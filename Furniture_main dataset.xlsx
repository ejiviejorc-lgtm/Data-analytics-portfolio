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32CAA823-7E23-AA44-A680-98448A8E5F2F}" xr6:coauthVersionLast="47" xr6:coauthVersionMax="47" xr10:uidLastSave="{00000000-0000-0000-0000-000000000000}"/>
  <bookViews>
    <workbookView xWindow="-120" yWindow="-120" windowWidth="20730" windowHeight="11160" xr2:uid="{B6EDE802-4CAD-4934-8309-188D07175C1A}"/>
  </bookViews>
  <sheets>
    <sheet name="Pivot Tables" sheetId="4" r:id="rId1"/>
    <sheet name="DASHBOARD" sheetId="5" r:id="rId2"/>
    <sheet name="Furniture_data (power query)" sheetId="3" r:id="rId3"/>
    <sheet name="Furniture_data" sheetId="2" r:id="rId4"/>
  </sheets>
  <definedNames>
    <definedName name="ExternalData_1" localSheetId="3" hidden="1">Furniture_data!$A$1:$T$2122</definedName>
    <definedName name="ExternalData_2" localSheetId="2" hidden="1">'Furniture_data (power query)'!$A$1:$U$2122</definedName>
    <definedName name="highestcategory">#REF!</definedName>
    <definedName name="ordersbyduration">#REF!</definedName>
    <definedName name="profit">#REF!</definedName>
    <definedName name="profityoy">#REF!</definedName>
    <definedName name="quantity">#REF!</definedName>
    <definedName name="quantityyoy">#REF!</definedName>
    <definedName name="sales">#REF!</definedName>
    <definedName name="salesbycategory">#REF!</definedName>
    <definedName name="salestrend">#REF!</definedName>
    <definedName name="salesyoy">#REF!</definedName>
    <definedName name="shipmode">#REF!</definedName>
    <definedName name="Slicer_Month">#N/A</definedName>
    <definedName name="Slicer_Region">#N/A</definedName>
    <definedName name="Slicer_Sub_Category">#N/A</definedName>
    <definedName name="topsellingcity">#REF!</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U7" i="5"/>
  <c r="D7" i="5"/>
  <c r="J7" i="5"/>
  <c r="O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Furniture_data" description="Connection to the 'Furniture_data' query in the workbook." type="5" refreshedVersion="7" background="1" saveData="1">
    <dbPr connection="Provider=Microsoft.Mashup.OleDb.1;Data Source=$Workbook$;Location=Furniture_data;Extended Properties=&quot;&quot;" command="SELECT * FROM [Furniture_data]"/>
  </connection>
  <connection id="2" xr16:uid="{00000000-0015-0000-FFFF-FFFF01000000}" keepAlive="1" name="Query - Furniture_data (2)" description="Connection to the 'Furniture_data (2)' query in the workbook." type="5" refreshedVersion="8" background="1" saveData="1">
    <dbPr connection="Provider=Microsoft.Mashup.OleDb.1;Data Source=$Workbook$;Location=&quot;Furniture_data (2)&quot;;Extended Properties=&quot;&quot;" command="SELECT * FROM [Furniture_data (2)]"/>
  </connection>
</connections>
</file>

<file path=xl/sharedStrings.xml><?xml version="1.0" encoding="utf-8"?>
<sst xmlns="http://schemas.openxmlformats.org/spreadsheetml/2006/main" count="63737" uniqueCount="4427">
  <si>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</si>
  <si>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</si>
  <si>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</si>
  <si>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</si>
  <si>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</si>
  <si>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</si>
  <si>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</si>
  <si>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</si>
  <si>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</si>
  <si>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</si>
  <si>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</si>
  <si>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</si>
  <si>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</si>
  <si>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</si>
  <si>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</si>
  <si>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</si>
  <si>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</si>
  <si>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</si>
  <si>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</si>
  <si>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</si>
  <si>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</si>
  <si>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</si>
  <si>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</si>
  <si>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</si>
  <si>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</si>
  <si>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</si>
  <si>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</si>
  <si>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</si>
  <si>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</si>
  <si>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</si>
  <si>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</si>
  <si>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</si>
  <si>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</si>
  <si>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</si>
  <si>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</si>
  <si>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</si>
  <si>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</si>
  <si>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</si>
  <si>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</si>
  <si>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</si>
  <si>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</si>
  <si>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</si>
  <si>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</si>
  <si>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</si>
  <si>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</si>
  <si>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</si>
  <si>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</si>
  <si>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</si>
  <si>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</si>
  <si>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</si>
  <si>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</si>
  <si>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</si>
  <si>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</si>
  <si>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</si>
  <si>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</si>
  <si>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</si>
  <si>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</si>
  <si>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</si>
  <si>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</si>
  <si>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</si>
  <si>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</si>
  <si>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</si>
  <si>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</si>
  <si>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</si>
  <si>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</si>
  <si>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</si>
  <si>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</si>
  <si>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</si>
  <si>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</si>
  <si>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</si>
  <si>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</si>
  <si>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</si>
  <si>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</si>
  <si>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</si>
  <si>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</si>
  <si>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</si>
  <si>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</si>
  <si>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</si>
  <si>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</si>
  <si>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</si>
  <si>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</si>
  <si>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</si>
  <si>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</si>
  <si>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</si>
  <si>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</si>
  <si>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</si>
  <si>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</si>
  <si>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</si>
  <si>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</si>
  <si>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</si>
  <si>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</si>
  <si>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</si>
  <si>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</si>
  <si>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</si>
  <si>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</si>
  <si>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</si>
  <si>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</si>
  <si>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</si>
  <si>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</si>
  <si>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</si>
  <si>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</si>
  <si>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</si>
  <si>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</si>
  <si>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</si>
  <si>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</si>
  <si>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</si>
  <si>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</si>
  <si>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</si>
  <si>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</si>
  <si>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</si>
  <si>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</si>
  <si>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</si>
  <si>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</si>
  <si>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</si>
  <si>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</si>
  <si>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</si>
  <si>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</si>
  <si>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</si>
  <si>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</si>
  <si>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</si>
  <si>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</si>
  <si>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</si>
  <si>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</si>
  <si>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</si>
  <si>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</si>
  <si>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</si>
  <si>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</si>
  <si>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</si>
  <si>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</si>
  <si>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</si>
  <si>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</si>
  <si>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</si>
  <si>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</si>
  <si>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</si>
  <si>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</si>
  <si>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</si>
  <si>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</si>
  <si>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</si>
  <si>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</si>
  <si>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</si>
  <si>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</si>
  <si>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</si>
  <si>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</si>
  <si>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</si>
  <si>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</si>
  <si>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</si>
  <si>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</si>
  <si>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</si>
  <si>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</si>
  <si>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</si>
  <si>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</si>
  <si>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</si>
  <si>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</si>
  <si>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</si>
  <si>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</si>
  <si>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</si>
  <si>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</si>
  <si>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</si>
  <si>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</si>
  <si>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</si>
  <si>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</si>
  <si>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</si>
  <si>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</si>
  <si>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</si>
  <si>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</si>
  <si>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</si>
  <si>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</si>
  <si>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</si>
  <si>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</si>
  <si>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</si>
  <si>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</si>
  <si>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</si>
  <si>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</si>
  <si>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</si>
  <si>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</si>
  <si>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</si>
  <si>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</si>
  <si>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</si>
  <si>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</si>
  <si>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</si>
  <si>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</si>
  <si>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</si>
  <si>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</si>
  <si>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</si>
  <si>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</si>
  <si>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</si>
  <si>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</si>
  <si>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</si>
  <si>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</si>
  <si>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</si>
  <si>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</si>
  <si>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</si>
  <si>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</si>
  <si>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</si>
  <si>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</si>
  <si>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</si>
  <si>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</si>
  <si>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</si>
  <si>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</si>
  <si>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</si>
  <si>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</si>
  <si>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</si>
  <si>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</si>
  <si>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</si>
  <si>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</si>
  <si>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</si>
  <si>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</si>
  <si>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</si>
  <si>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</si>
  <si>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</si>
  <si>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</si>
  <si>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</si>
  <si>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</si>
  <si>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</si>
  <si>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</si>
  <si>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</si>
  <si>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</si>
  <si>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</si>
  <si>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</si>
  <si>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</si>
  <si>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</si>
  <si>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</si>
  <si>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</si>
  <si>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</si>
  <si>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</si>
  <si>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</si>
  <si>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</si>
  <si>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</si>
  <si>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</si>
  <si>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</si>
  <si>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</si>
  <si>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</si>
  <si>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</si>
  <si>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</si>
  <si>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</si>
  <si>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</si>
  <si>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</si>
  <si>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</si>
  <si>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</si>
  <si>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</si>
  <si>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</si>
  <si>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</si>
  <si>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</si>
  <si>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</si>
  <si>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</si>
  <si>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</si>
  <si>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</si>
  <si>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</si>
  <si>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</si>
  <si>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</si>
  <si>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</si>
  <si>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</si>
  <si>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</si>
  <si>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</si>
  <si>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</si>
  <si>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</si>
  <si>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</si>
  <si>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</si>
  <si>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</si>
  <si>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</si>
  <si>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</si>
  <si>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</si>
  <si>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</si>
  <si>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</si>
  <si>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</si>
  <si>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</si>
  <si>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</si>
  <si>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</si>
  <si>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</si>
  <si>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</si>
  <si>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</si>
  <si>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</si>
  <si>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</si>
  <si>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</si>
  <si>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</si>
  <si>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</si>
  <si>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</si>
  <si>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</si>
  <si>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</si>
  <si>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</si>
  <si>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</si>
  <si>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</si>
  <si>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</si>
  <si>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</si>
  <si>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</si>
  <si>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</si>
  <si>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</si>
  <si>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</si>
  <si>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</si>
  <si>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</si>
  <si>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</si>
  <si>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</si>
  <si>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</si>
  <si>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</si>
  <si>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</si>
  <si>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</si>
  <si>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</si>
  <si>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</si>
  <si>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</si>
  <si>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</si>
  <si>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</si>
  <si>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</si>
  <si>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</si>
  <si>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</si>
  <si>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</si>
  <si>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</si>
  <si>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</si>
  <si>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</si>
  <si>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</si>
  <si>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</si>
  <si>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</si>
  <si>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</si>
  <si>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</si>
  <si>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</si>
  <si>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</si>
  <si>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</si>
  <si>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</si>
  <si>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</si>
  <si>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</si>
  <si>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</si>
  <si>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</si>
  <si>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</si>
  <si>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</si>
  <si>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</si>
  <si>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</si>
  <si>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</si>
  <si>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</si>
  <si>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</si>
  <si>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</si>
  <si>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</si>
  <si>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</si>
  <si>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</si>
  <si>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</si>
  <si>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</si>
  <si>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</si>
  <si>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</si>
  <si>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</si>
  <si>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</si>
  <si>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</si>
  <si>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</si>
  <si>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</si>
  <si>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</si>
  <si>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</si>
  <si>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</si>
  <si>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</si>
  <si>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</si>
  <si>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</si>
  <si>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</si>
  <si>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</si>
  <si>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</si>
  <si>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</si>
  <si>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</si>
  <si>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</si>
  <si>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</si>
  <si>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</si>
  <si>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</si>
  <si>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</si>
  <si>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</si>
  <si>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</si>
  <si>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</si>
  <si>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</si>
  <si>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</si>
  <si>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</si>
  <si>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</si>
  <si>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</si>
  <si>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</si>
  <si>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</si>
  <si>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</si>
  <si>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</si>
  <si>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</si>
  <si>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</si>
  <si>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</si>
  <si>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</si>
  <si>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</si>
  <si>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</si>
  <si>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</si>
  <si>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</si>
  <si>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</si>
  <si>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</si>
  <si>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</si>
  <si>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</si>
  <si>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</si>
  <si>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</si>
  <si>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</si>
  <si>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</si>
  <si>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</si>
  <si>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</si>
  <si>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</si>
  <si>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</si>
  <si>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</si>
  <si>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</si>
  <si>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</si>
  <si>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</si>
  <si>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</si>
  <si>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</si>
  <si>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</si>
  <si>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</si>
  <si>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</si>
  <si>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</si>
  <si>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</si>
  <si>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</si>
  <si>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</si>
  <si>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</si>
  <si>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</si>
  <si>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</si>
  <si>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</si>
  <si>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</si>
  <si>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</si>
  <si>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</si>
  <si>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</si>
  <si>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</si>
  <si>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</si>
  <si>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</si>
  <si>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</si>
  <si>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</si>
  <si>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</si>
  <si>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</si>
  <si>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</si>
  <si>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</si>
  <si>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</si>
  <si>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</si>
  <si>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</si>
  <si>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</si>
  <si>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</si>
  <si>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</si>
  <si>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</si>
  <si>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</si>
  <si>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</si>
  <si>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</si>
  <si>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</si>
  <si>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</si>
  <si>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</si>
  <si>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</si>
  <si>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</si>
  <si>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</si>
  <si>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</si>
  <si>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</si>
  <si>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</si>
  <si>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</si>
  <si>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</si>
  <si>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</si>
  <si>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</si>
  <si>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</si>
  <si>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</si>
  <si>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</si>
  <si>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</si>
  <si>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</si>
  <si>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</si>
  <si>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</si>
  <si>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</si>
  <si>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</si>
  <si>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</si>
  <si>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</si>
  <si>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</si>
  <si>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</si>
  <si>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</si>
  <si>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</si>
  <si>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</si>
  <si>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</si>
  <si>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</si>
  <si>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</si>
  <si>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</si>
  <si>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</si>
  <si>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</si>
  <si>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</si>
  <si>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</si>
  <si>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</si>
  <si>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</si>
  <si>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</si>
  <si>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</si>
  <si>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</si>
  <si>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</si>
  <si>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</si>
  <si>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</si>
  <si>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</si>
  <si>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</si>
  <si>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</si>
  <si>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</si>
  <si>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</si>
  <si>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</si>
  <si>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</si>
  <si>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</si>
  <si>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</si>
  <si>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</si>
  <si>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</si>
  <si>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</si>
  <si>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</si>
  <si>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</si>
  <si>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</si>
  <si>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</si>
  <si>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</si>
  <si>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</si>
  <si>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</si>
  <si>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</si>
  <si>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</si>
  <si>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</si>
  <si>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</si>
  <si>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</si>
  <si>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</si>
  <si>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</si>
  <si>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</si>
  <si>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</si>
  <si>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</si>
  <si>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</si>
  <si>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</si>
  <si>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</si>
  <si>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</si>
  <si>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</si>
  <si>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</si>
  <si>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</si>
  <si>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</si>
  <si>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</si>
  <si>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</si>
  <si>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</si>
  <si>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</si>
  <si>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</si>
  <si>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</si>
  <si>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</si>
  <si>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</si>
  <si>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</si>
  <si>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</si>
  <si>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</si>
  <si>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</si>
  <si>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</si>
  <si>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</si>
  <si>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</si>
  <si>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</si>
  <si>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</si>
  <si>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</si>
  <si>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</si>
  <si>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</si>
  <si>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</si>
  <si>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</si>
  <si>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</si>
  <si>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</si>
  <si>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</si>
  <si>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</si>
  <si>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</si>
  <si>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</si>
  <si>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</si>
  <si>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</si>
  <si>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</si>
  <si>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</si>
  <si>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</si>
  <si>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</si>
  <si>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</si>
  <si>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</si>
  <si>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</si>
  <si>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</si>
  <si>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</si>
  <si>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</si>
  <si>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</si>
  <si>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</si>
  <si>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</si>
  <si>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</si>
  <si>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</si>
  <si>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</si>
  <si>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</si>
  <si>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</si>
  <si>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</si>
  <si>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</si>
  <si>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</si>
  <si>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</si>
  <si>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</si>
  <si>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</si>
  <si>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</si>
  <si>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</si>
  <si>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</si>
  <si>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</si>
  <si>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</si>
  <si>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</si>
  <si>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</si>
  <si>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</si>
  <si>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</si>
  <si>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</si>
  <si>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</si>
  <si>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</si>
  <si>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</si>
  <si>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</si>
  <si>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</si>
  <si>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</si>
  <si>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</si>
  <si>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</si>
  <si>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</si>
  <si>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</si>
  <si>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</si>
  <si>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</si>
  <si>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</si>
  <si>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</si>
  <si>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</si>
  <si>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</si>
  <si>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</si>
  <si>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</si>
  <si>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</si>
  <si>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</si>
  <si>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</si>
  <si>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</si>
  <si>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</si>
  <si>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</si>
  <si>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</si>
  <si>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</si>
  <si>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</si>
  <si>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</si>
  <si>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</si>
  <si>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</si>
  <si>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</si>
  <si>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</si>
  <si>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</si>
  <si>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</si>
  <si>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</si>
  <si>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</si>
  <si>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</si>
  <si>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</si>
  <si>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</si>
  <si>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</si>
  <si>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</si>
  <si>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</si>
  <si>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</si>
  <si>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</si>
  <si>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</si>
  <si>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</si>
  <si>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</si>
  <si>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</si>
  <si>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</si>
  <si>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</si>
  <si>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</si>
  <si>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</si>
  <si>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</si>
  <si>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</si>
  <si>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</si>
  <si>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</si>
  <si>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</si>
  <si>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</si>
  <si>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</si>
  <si>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</si>
  <si>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</si>
  <si>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</si>
  <si>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</si>
  <si>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</si>
  <si>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</si>
  <si>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</si>
  <si>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</si>
  <si>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</si>
  <si>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</si>
  <si>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</si>
  <si>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</si>
  <si>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</si>
  <si>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</si>
  <si>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</si>
  <si>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</si>
  <si>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</si>
  <si>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</si>
  <si>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</si>
  <si>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</si>
  <si>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</si>
  <si>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</si>
  <si>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</si>
  <si>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</si>
  <si>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</si>
  <si>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</si>
  <si>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</si>
  <si>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</si>
  <si>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</si>
  <si>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</si>
  <si>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</si>
  <si>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</si>
  <si>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</si>
  <si>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</si>
  <si>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</si>
  <si>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</si>
  <si>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</si>
  <si>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</si>
  <si>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</si>
  <si>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</si>
  <si>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</si>
  <si>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</si>
  <si>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</si>
  <si>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</si>
  <si>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</si>
  <si>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</si>
  <si>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</si>
  <si>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</si>
  <si>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</si>
  <si>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</si>
  <si>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</si>
  <si>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</si>
  <si>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</si>
  <si>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</si>
  <si>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</si>
  <si>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</si>
  <si>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</si>
  <si>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</si>
  <si>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</si>
  <si>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</si>
  <si>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</si>
  <si>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</si>
  <si>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</si>
  <si>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</si>
  <si>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</si>
  <si>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</si>
  <si>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</si>
  <si>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</si>
  <si>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</si>
  <si>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</si>
  <si>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</si>
  <si>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</si>
  <si>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</si>
  <si>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</si>
  <si>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</si>
  <si>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</si>
  <si>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</si>
  <si>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</si>
  <si>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</si>
  <si>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</si>
  <si>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</si>
  <si>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</si>
  <si>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</si>
  <si>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</si>
  <si>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</si>
  <si>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</si>
  <si>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</si>
  <si>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</si>
  <si>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</si>
  <si>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</si>
  <si>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</si>
  <si>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</si>
  <si>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</si>
  <si>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</si>
  <si>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</si>
  <si>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</si>
  <si>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</si>
  <si>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</si>
  <si>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</si>
  <si>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</si>
  <si>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</si>
  <si>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</si>
  <si>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</si>
  <si>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</si>
  <si>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</si>
  <si>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</si>
  <si>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</si>
  <si>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</si>
  <si>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</si>
  <si>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</si>
  <si>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</si>
  <si>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</si>
  <si>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</si>
  <si>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</si>
  <si>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</si>
  <si>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</si>
  <si>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</si>
  <si>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</si>
  <si>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</si>
  <si>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</si>
  <si>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</si>
  <si>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</si>
  <si>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</si>
  <si>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</si>
  <si>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</si>
  <si>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</si>
  <si>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</si>
  <si>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</si>
  <si>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</si>
  <si>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</si>
  <si>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</si>
  <si>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</si>
  <si>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</si>
  <si>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</si>
  <si>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</si>
  <si>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</si>
  <si>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</si>
  <si>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</si>
  <si>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</si>
  <si>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</si>
  <si>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</si>
  <si>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</si>
  <si>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</si>
  <si>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</si>
  <si>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</si>
  <si>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</si>
  <si>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</si>
  <si>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</si>
  <si>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</si>
  <si>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</si>
  <si>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</si>
  <si>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</si>
  <si>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</si>
  <si>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</si>
  <si>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</si>
  <si>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</si>
  <si>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</si>
  <si>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</si>
  <si>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</si>
  <si>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</si>
  <si>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</si>
  <si>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</si>
  <si>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</si>
  <si>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</si>
  <si>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</si>
  <si>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</si>
  <si>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</si>
  <si>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</si>
  <si>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</si>
  <si>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</si>
  <si>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</si>
  <si>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</si>
  <si>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</si>
  <si>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</si>
  <si>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</si>
  <si>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</si>
  <si>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</si>
  <si>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</si>
  <si>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</si>
  <si>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</si>
  <si>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</si>
  <si>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</si>
  <si>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</si>
  <si>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</si>
  <si>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</si>
  <si>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</si>
  <si>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</si>
  <si>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</si>
  <si>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</si>
  <si>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</si>
  <si>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</si>
  <si>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</si>
  <si>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</si>
  <si>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</si>
  <si>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</si>
  <si>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</si>
  <si>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</si>
  <si>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</si>
  <si>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</si>
  <si>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</si>
  <si>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</si>
  <si>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</si>
  <si>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</si>
  <si>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</si>
  <si>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</si>
  <si>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</si>
  <si>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</si>
  <si>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</si>
  <si>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</si>
  <si>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</si>
  <si>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</si>
  <si>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</si>
  <si>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</si>
  <si>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</si>
  <si>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</si>
  <si>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</si>
  <si>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</si>
  <si>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</si>
  <si>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</si>
  <si>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</si>
  <si>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</si>
  <si>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</si>
  <si>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</si>
  <si>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</si>
  <si>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</si>
  <si>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</si>
  <si>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</si>
  <si>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</si>
  <si>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</si>
  <si>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</si>
  <si>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</si>
  <si>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</si>
  <si>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</si>
  <si>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</si>
  <si>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</si>
  <si>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</si>
  <si>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</si>
  <si>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</si>
  <si>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</si>
  <si>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</si>
  <si>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</si>
  <si>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</si>
  <si>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</si>
  <si>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</si>
  <si>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</si>
  <si>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</si>
  <si>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</si>
  <si>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</si>
  <si>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</si>
  <si>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</si>
  <si>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</si>
  <si>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</si>
  <si>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</si>
  <si>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</si>
  <si>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</si>
  <si>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</si>
  <si>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</si>
  <si>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</si>
  <si>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</si>
  <si>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</si>
  <si>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</si>
  <si>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</si>
  <si>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</si>
  <si>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</si>
  <si>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</si>
  <si>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</si>
  <si>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</si>
  <si>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</si>
  <si>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</si>
  <si>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</si>
  <si>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</si>
  <si>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</si>
  <si>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</si>
  <si>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</si>
  <si>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</si>
  <si>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</si>
  <si>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</si>
  <si>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</si>
  <si>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</si>
  <si>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</si>
  <si>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</si>
  <si>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</si>
  <si>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</si>
  <si>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</si>
  <si>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</si>
  <si>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</si>
  <si>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</si>
  <si>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</si>
  <si>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</si>
  <si>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</si>
  <si>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</si>
  <si>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</si>
  <si>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</si>
  <si>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</si>
  <si>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</si>
  <si>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</si>
  <si>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</si>
  <si>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</si>
  <si>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</si>
  <si>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</si>
  <si>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</si>
  <si>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</si>
  <si>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</si>
  <si>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</si>
  <si>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</si>
  <si>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</si>
  <si>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</si>
  <si>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</si>
  <si>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</si>
  <si>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</si>
  <si>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</si>
  <si>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</si>
  <si>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</si>
  <si>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</si>
  <si>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</si>
  <si>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</si>
  <si>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</si>
  <si>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</si>
  <si>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</si>
  <si>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</si>
  <si>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</si>
  <si>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</si>
  <si>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</si>
  <si>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</si>
  <si>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</si>
  <si>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</si>
  <si>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</si>
  <si>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</si>
  <si>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</si>
  <si>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</si>
  <si>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</si>
  <si>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</si>
  <si>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</si>
  <si>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</si>
  <si>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</si>
  <si>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</si>
  <si>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</si>
  <si>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</si>
  <si>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</si>
  <si>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</si>
  <si>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</si>
  <si>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</si>
  <si>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</si>
  <si>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</si>
  <si>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</si>
  <si>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</si>
  <si>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</si>
  <si>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</si>
  <si>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</si>
  <si>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</si>
  <si>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</si>
  <si>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</si>
  <si>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</si>
  <si>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</si>
  <si>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</si>
  <si>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</si>
  <si>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</si>
  <si>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</si>
  <si>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</si>
  <si>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</si>
  <si>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</si>
  <si>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</si>
  <si>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</si>
  <si>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</si>
  <si>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</si>
  <si>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</si>
  <si>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</si>
  <si>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</si>
  <si>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</si>
  <si>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</si>
  <si>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</si>
  <si>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</si>
  <si>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</si>
  <si>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</si>
  <si>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</si>
  <si>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</si>
  <si>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</si>
  <si>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</si>
  <si>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</si>
  <si>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</si>
  <si>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</si>
  <si>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</si>
  <si>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</si>
  <si>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</si>
  <si>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</si>
  <si>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</si>
  <si>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</si>
  <si>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</si>
  <si>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</si>
  <si>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</si>
  <si>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</si>
  <si>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</si>
  <si>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</si>
  <si>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</si>
  <si>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</si>
  <si>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</si>
  <si>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</si>
  <si>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</si>
  <si>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</si>
  <si>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</si>
  <si>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</si>
  <si>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</si>
  <si>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</si>
  <si>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</si>
  <si>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</si>
  <si>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</si>
  <si>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</si>
  <si>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</si>
  <si>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</si>
  <si>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</si>
  <si>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</si>
  <si>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</si>
  <si>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</si>
  <si>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</si>
  <si>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</si>
  <si>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</si>
  <si>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</si>
  <si>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</si>
  <si>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</si>
  <si>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</si>
  <si>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</si>
  <si>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</si>
  <si>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</si>
  <si>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</si>
  <si>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</si>
  <si>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</si>
  <si>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</si>
  <si>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</si>
  <si>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</si>
  <si>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</si>
  <si>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</si>
  <si>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</si>
  <si>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</si>
  <si>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</si>
  <si>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</si>
  <si>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</si>
  <si>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</si>
  <si>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</si>
  <si>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</si>
  <si>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</si>
  <si>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</si>
  <si>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</si>
  <si>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</si>
  <si>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</si>
  <si>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</si>
  <si>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</si>
  <si>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</si>
  <si>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</si>
  <si>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</si>
  <si>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</si>
  <si>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</si>
  <si>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</si>
  <si>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</si>
  <si>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</si>
  <si>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</si>
  <si>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</si>
  <si>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</si>
  <si>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</si>
  <si>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</si>
  <si>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</si>
  <si>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</si>
  <si>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</si>
  <si>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</si>
  <si>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</si>
  <si>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</si>
  <si>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</si>
  <si>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</si>
  <si>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</si>
  <si>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</si>
  <si>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</si>
  <si>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</si>
  <si>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</si>
  <si>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</si>
  <si>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</si>
  <si>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</si>
  <si>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</si>
  <si>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</si>
  <si>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</si>
  <si>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</si>
  <si>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</si>
  <si>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</si>
  <si>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</si>
  <si>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</si>
  <si>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</si>
  <si>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</si>
  <si>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</si>
  <si>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</si>
  <si>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</si>
  <si>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</si>
  <si>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</si>
  <si>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</si>
  <si>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</si>
  <si>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</si>
  <si>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</si>
  <si>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</si>
  <si>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</si>
  <si>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</si>
  <si>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</si>
  <si>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</si>
  <si>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</si>
  <si>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</si>
  <si>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</si>
  <si>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</si>
  <si>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</si>
  <si>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</si>
  <si>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</si>
  <si>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</si>
  <si>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</si>
  <si>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</si>
  <si>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</si>
  <si>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</si>
  <si>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</si>
  <si>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</si>
  <si>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</si>
  <si>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</si>
  <si>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</si>
  <si>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</si>
  <si>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</si>
  <si>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</si>
  <si>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</si>
  <si>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</si>
  <si>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</si>
  <si>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</si>
  <si>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</si>
  <si>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</si>
  <si>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</si>
  <si>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</si>
  <si>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</si>
  <si>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</si>
  <si>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</si>
  <si>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</si>
  <si>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</si>
  <si>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</si>
  <si>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</si>
  <si>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</si>
  <si>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</si>
  <si>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</si>
  <si>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</si>
  <si>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</si>
  <si>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</si>
  <si>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</si>
  <si>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</si>
  <si>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</si>
  <si>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</si>
  <si>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</si>
  <si>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</si>
  <si>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</si>
  <si>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</si>
  <si>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</si>
  <si>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</si>
  <si>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</si>
  <si>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</si>
  <si>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</si>
  <si>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</si>
  <si>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</si>
  <si>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</si>
  <si>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</si>
  <si>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</si>
  <si>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</si>
  <si>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</si>
  <si>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</si>
  <si>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</si>
  <si>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</si>
  <si>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</si>
  <si>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</si>
  <si>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</si>
  <si>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</si>
  <si>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</si>
  <si>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</si>
  <si>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</si>
  <si>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</si>
  <si>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</si>
  <si>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</si>
  <si>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</si>
  <si>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</si>
  <si>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</si>
  <si>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</si>
  <si>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</si>
  <si>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</si>
  <si>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</si>
  <si>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</si>
  <si>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</si>
  <si>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</si>
  <si>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</si>
  <si>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</si>
  <si>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</si>
  <si>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</si>
  <si>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</si>
  <si>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</si>
  <si>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</si>
  <si>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</si>
  <si>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</si>
  <si>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</si>
  <si>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</si>
  <si>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</si>
  <si>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</si>
  <si>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</si>
  <si>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</si>
  <si>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</si>
  <si>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</si>
  <si>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</si>
  <si>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</si>
  <si>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</si>
  <si>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</si>
  <si>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</si>
  <si>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</si>
  <si>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</si>
  <si>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</si>
  <si>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</si>
  <si>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</si>
  <si>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</si>
  <si>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</si>
  <si>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</si>
  <si>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</si>
  <si>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</si>
  <si>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</si>
  <si>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</si>
  <si>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</si>
  <si>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</si>
  <si>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</si>
  <si>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</si>
  <si>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</si>
  <si>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</si>
  <si>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</si>
  <si>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</si>
  <si>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</si>
  <si>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</si>
  <si>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</si>
  <si>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</si>
  <si>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</si>
  <si>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</si>
  <si>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</si>
  <si>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</si>
  <si>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</si>
  <si>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</si>
  <si>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</si>
  <si>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</si>
  <si>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</si>
  <si>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</si>
  <si>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</si>
  <si>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</si>
  <si>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</si>
  <si>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</si>
  <si>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</si>
  <si>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</si>
  <si>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</si>
  <si>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</si>
  <si>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</si>
  <si>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</si>
  <si>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</si>
  <si>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</si>
  <si>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</si>
  <si>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</si>
  <si>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</si>
  <si>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</si>
  <si>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</si>
  <si>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</si>
  <si>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</si>
  <si>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</si>
  <si>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</si>
  <si>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</si>
  <si>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</si>
  <si>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</si>
  <si>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</si>
  <si>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</si>
  <si>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</si>
  <si>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</si>
  <si>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</si>
  <si>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</si>
  <si>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</si>
  <si>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</si>
  <si>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</si>
  <si>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</si>
  <si>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</si>
  <si>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</si>
  <si>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</si>
  <si>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</si>
  <si>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</si>
  <si>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</si>
  <si>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</si>
  <si>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</si>
  <si>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</si>
  <si>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</si>
  <si>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</si>
  <si>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</si>
  <si>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</si>
  <si>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</si>
  <si>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</si>
  <si>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</si>
  <si>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</si>
  <si>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</si>
  <si>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</si>
  <si>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</si>
  <si>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</si>
  <si>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</si>
  <si>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</si>
  <si>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</si>
  <si>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</si>
  <si>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</si>
  <si>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</si>
  <si>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</si>
  <si>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</si>
  <si>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</si>
  <si>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</si>
  <si>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</si>
  <si>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</si>
  <si>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</si>
  <si>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</si>
  <si>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</si>
  <si>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</si>
  <si>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</si>
  <si>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</si>
  <si>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</si>
  <si>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</si>
  <si>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</si>
  <si>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</si>
  <si>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</si>
  <si>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</si>
  <si>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</si>
  <si>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</si>
  <si>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</si>
  <si>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</si>
  <si>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</si>
  <si>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</si>
  <si>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</si>
  <si>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</si>
  <si>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</si>
  <si>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</si>
  <si>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</si>
  <si>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</si>
  <si>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</si>
  <si>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</si>
  <si>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</si>
  <si>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</si>
  <si>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</si>
  <si>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</si>
  <si>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</si>
  <si>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</si>
  <si>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</si>
  <si>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</si>
  <si>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</si>
  <si>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</si>
  <si>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</si>
  <si>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</si>
  <si>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</si>
  <si>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</si>
  <si>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</si>
  <si>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</si>
  <si>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</si>
  <si>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</si>
  <si>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</si>
  <si>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</si>
  <si>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</si>
  <si>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</si>
  <si>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</si>
  <si>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</si>
  <si>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</si>
  <si>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</si>
  <si>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</si>
  <si>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</si>
  <si>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</si>
  <si>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</si>
  <si>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</si>
  <si>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</si>
  <si>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</si>
  <si>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</si>
  <si>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</si>
  <si>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</si>
  <si>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</si>
  <si>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</si>
  <si>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</si>
  <si>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</si>
  <si>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</si>
  <si>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</si>
  <si>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</si>
  <si>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</si>
  <si>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</si>
  <si>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</si>
  <si>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</si>
  <si>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</si>
  <si>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</si>
  <si>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</si>
  <si>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</si>
  <si>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</si>
  <si>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</si>
  <si>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</si>
  <si>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</si>
  <si>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</si>
  <si>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</si>
  <si>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</si>
  <si>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</si>
  <si>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</si>
  <si>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</si>
  <si>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</si>
  <si>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</si>
  <si>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</si>
  <si>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</si>
  <si>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</si>
  <si>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</si>
  <si>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</si>
  <si>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</si>
  <si>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</si>
  <si>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</si>
  <si>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</si>
  <si>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</si>
  <si>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</si>
  <si>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</si>
  <si>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</si>
  <si>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</si>
  <si>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</si>
  <si>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</si>
  <si>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</si>
  <si>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</si>
  <si>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</si>
  <si>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</si>
  <si>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</si>
  <si>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</si>
  <si>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</si>
  <si>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</si>
  <si>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</si>
  <si>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</si>
  <si>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</si>
  <si>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</si>
  <si>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</si>
  <si>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</si>
  <si>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</si>
  <si>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</si>
  <si>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</si>
  <si>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</si>
  <si>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</si>
  <si>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</si>
  <si>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</si>
  <si>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</si>
  <si>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</si>
  <si>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</si>
  <si>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</si>
  <si>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</si>
  <si>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</si>
  <si>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</si>
  <si>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</si>
  <si>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</si>
  <si>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</si>
  <si>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</si>
  <si>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</si>
  <si>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</si>
  <si>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</si>
  <si>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</si>
  <si>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</si>
  <si>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</si>
  <si>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</si>
  <si>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</si>
  <si>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</si>
  <si>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</si>
  <si>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</si>
  <si>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</si>
  <si>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</si>
  <si>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</si>
  <si>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</si>
  <si>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</si>
  <si>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</si>
  <si>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</si>
  <si>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</si>
  <si>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</si>
  <si>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</si>
  <si>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</si>
  <si>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</si>
  <si>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</si>
  <si>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</si>
  <si>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</si>
  <si>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</si>
  <si>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</si>
  <si>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</si>
  <si>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</si>
  <si>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</si>
  <si>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</si>
  <si>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</si>
  <si>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</si>
  <si>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</si>
  <si>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</si>
  <si>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</si>
  <si>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</si>
  <si>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</si>
  <si>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</si>
  <si>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</si>
  <si>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</si>
  <si>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</si>
  <si>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</si>
  <si>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</si>
  <si>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</si>
  <si>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</si>
  <si>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</si>
  <si>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</si>
  <si>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</si>
  <si>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</si>
  <si>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</si>
  <si>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</si>
  <si>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</si>
  <si>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</si>
  <si>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</si>
  <si>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</si>
  <si>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</si>
  <si>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</si>
  <si>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</si>
  <si>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</si>
  <si>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</si>
  <si>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</si>
  <si>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</si>
  <si>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</si>
  <si>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</si>
  <si>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</si>
  <si>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</si>
  <si>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</si>
  <si>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</si>
  <si>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</si>
  <si>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</si>
  <si>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</si>
  <si>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</si>
  <si>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</si>
  <si>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</si>
  <si>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</si>
  <si>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</si>
  <si>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</si>
  <si>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</si>
  <si>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</si>
  <si>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</si>
  <si>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</si>
  <si>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</si>
  <si>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</si>
  <si>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</si>
  <si>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</si>
  <si>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</si>
  <si>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</si>
  <si>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</si>
  <si>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</si>
  <si>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</si>
  <si>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</si>
  <si>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</si>
  <si>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</si>
  <si>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</si>
  <si>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</si>
  <si>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</si>
  <si>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</si>
  <si>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</si>
  <si>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</si>
  <si>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</si>
  <si>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</si>
  <si>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</si>
  <si>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</si>
  <si>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</si>
  <si>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</si>
  <si>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</si>
  <si>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</si>
  <si>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</si>
  <si>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</si>
  <si>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</si>
  <si>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</si>
  <si>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</si>
  <si>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</si>
  <si>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</si>
  <si>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</si>
  <si>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</si>
  <si>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</si>
  <si>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</si>
  <si>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</si>
  <si>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</si>
  <si>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</si>
  <si>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</si>
  <si>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</si>
  <si>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</si>
  <si>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</si>
  <si>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</si>
  <si>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</si>
  <si>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</si>
  <si>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</si>
  <si>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</si>
  <si>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</si>
  <si>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</si>
  <si>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</si>
  <si>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</si>
  <si>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</si>
  <si>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</si>
  <si>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</si>
  <si>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</si>
  <si>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</si>
  <si>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</si>
  <si>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</si>
  <si>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</si>
  <si>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</si>
  <si>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</si>
  <si>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</si>
  <si>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</si>
  <si>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</si>
  <si>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</si>
  <si>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</si>
  <si>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</si>
  <si>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</si>
  <si>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</si>
  <si>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</si>
  <si>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</si>
  <si>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</si>
  <si>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</si>
  <si>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</si>
  <si>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</si>
  <si>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</si>
  <si>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</si>
  <si>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</si>
  <si>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</si>
  <si>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</si>
  <si>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</si>
  <si>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</si>
  <si>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</si>
  <si>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</si>
  <si>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</si>
  <si>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</si>
  <si>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</si>
  <si>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</si>
  <si>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</si>
  <si>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</si>
  <si>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</si>
  <si>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</si>
  <si>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</si>
  <si>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</si>
  <si>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</si>
  <si>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</si>
  <si>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</si>
  <si>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</si>
  <si>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</si>
  <si>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</si>
  <si>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</si>
  <si>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</si>
  <si>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</si>
  <si>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</si>
  <si>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</si>
  <si>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</si>
  <si>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</si>
  <si>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</si>
  <si>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</si>
  <si>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</si>
  <si>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</si>
  <si>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</si>
  <si>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</si>
  <si>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</si>
  <si>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</si>
  <si>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</si>
  <si>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</si>
  <si>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</si>
  <si>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</si>
  <si>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</si>
  <si>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</si>
  <si>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</si>
  <si>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</si>
  <si>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</si>
  <si>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</si>
  <si>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</si>
  <si>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</si>
  <si>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</si>
  <si>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</si>
  <si>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</si>
  <si>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</si>
  <si>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</si>
  <si>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</si>
  <si>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</si>
  <si>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</si>
  <si>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</si>
  <si>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</si>
  <si>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</si>
  <si>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</si>
  <si>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</si>
  <si>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</si>
  <si>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</si>
  <si>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</si>
  <si>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</si>
  <si>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</si>
  <si>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</si>
  <si>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</si>
  <si>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</si>
  <si>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</si>
  <si>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</si>
  <si>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</si>
  <si>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</si>
  <si>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</si>
  <si>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</si>
  <si>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</si>
  <si>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</si>
  <si>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</si>
  <si>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</si>
  <si>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</si>
  <si>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</si>
  <si>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</si>
  <si>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</si>
  <si>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</si>
  <si>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</si>
  <si>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</si>
  <si>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</si>
  <si>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</si>
  <si>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</si>
  <si>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</si>
  <si>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</si>
  <si>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</si>
  <si>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</si>
  <si>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</si>
  <si>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</si>
  <si>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</si>
  <si>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</si>
  <si>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</si>
  <si>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</si>
  <si>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</si>
  <si>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</si>
  <si>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</si>
  <si>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</si>
  <si>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</si>
  <si>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</si>
  <si>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</si>
  <si>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</si>
  <si>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</si>
  <si>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</si>
  <si>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</si>
  <si>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</si>
  <si>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</si>
  <si>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</si>
  <si>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</si>
  <si>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</si>
  <si>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</si>
  <si>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</si>
  <si>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</si>
  <si>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</si>
  <si>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</si>
  <si>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</si>
  <si>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</si>
  <si>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</si>
  <si>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</si>
  <si>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</si>
  <si>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</si>
  <si>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</si>
  <si>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</si>
  <si>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</si>
  <si>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</si>
  <si>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</si>
  <si>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</si>
  <si>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</si>
  <si>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</si>
  <si>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</si>
  <si>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</si>
  <si>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</si>
  <si>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</si>
  <si>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</si>
  <si>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</si>
  <si>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</si>
  <si>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</si>
  <si>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</si>
  <si>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</si>
  <si>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</si>
  <si>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</si>
  <si>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</si>
  <si>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</si>
  <si>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</si>
  <si>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</si>
  <si>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</si>
  <si>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</si>
  <si>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</si>
  <si>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</si>
  <si>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</si>
  <si>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</si>
  <si>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</si>
  <si>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</si>
  <si>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</si>
  <si>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</si>
  <si>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</si>
  <si>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</si>
  <si>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</si>
  <si>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</si>
  <si>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</si>
  <si>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</si>
  <si>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</si>
  <si>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</si>
  <si>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</si>
  <si>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</si>
  <si>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</si>
  <si>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</si>
  <si>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</si>
  <si>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</si>
  <si>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</si>
  <si>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</si>
  <si>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</si>
  <si>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</si>
  <si>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</si>
  <si>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</si>
  <si>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</si>
  <si>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</si>
  <si>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</si>
  <si>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</si>
  <si>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</si>
  <si>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</si>
  <si>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</si>
  <si>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</si>
  <si>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</si>
  <si>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</si>
  <si>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</si>
  <si>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</si>
  <si>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</si>
  <si>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</si>
  <si>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</si>
  <si>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</si>
  <si>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</si>
  <si>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</si>
  <si>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</si>
  <si>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</si>
  <si>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</si>
  <si>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</si>
  <si>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</si>
  <si>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</si>
  <si>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</si>
  <si>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</si>
  <si>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</si>
  <si>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</si>
  <si>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</si>
  <si>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</si>
  <si>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</si>
  <si>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</si>
  <si>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</si>
  <si>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</si>
  <si>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</si>
  <si>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</si>
  <si>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</si>
  <si>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</si>
  <si>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</si>
  <si>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</si>
  <si>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</si>
  <si>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</si>
  <si>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</si>
  <si>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</si>
  <si>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</si>
  <si>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</si>
  <si>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</si>
  <si>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</si>
  <si>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</si>
  <si>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</si>
  <si>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</si>
  <si>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</si>
  <si>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</si>
  <si>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</si>
  <si>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</si>
  <si>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</si>
  <si>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</si>
  <si>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</si>
  <si>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</si>
  <si>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</si>
  <si>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</si>
  <si>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</si>
  <si>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</si>
  <si>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</si>
  <si>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</si>
  <si>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</si>
  <si>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</si>
  <si>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</si>
  <si>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</si>
  <si>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</si>
  <si>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</si>
  <si>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</si>
  <si>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</si>
  <si>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</si>
  <si>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</si>
  <si>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</si>
  <si>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</si>
  <si>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</si>
  <si>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</si>
  <si>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</si>
  <si>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</si>
  <si>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</si>
  <si>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</si>
  <si>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</si>
  <si>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</si>
  <si>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</si>
  <si>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</si>
  <si>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</si>
  <si>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</si>
  <si>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</si>
  <si>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</si>
  <si>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</si>
  <si>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</si>
  <si>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</si>
  <si>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</si>
  <si>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</si>
  <si>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</si>
  <si>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</si>
  <si>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</si>
  <si>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</si>
  <si>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</si>
  <si>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</si>
  <si>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</si>
  <si>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</si>
  <si>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</si>
  <si>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</si>
  <si>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</si>
  <si>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</si>
  <si>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</si>
  <si>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</si>
  <si>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</si>
  <si>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</si>
  <si>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</si>
  <si>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</si>
  <si>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</si>
  <si>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</si>
  <si>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</si>
  <si>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</si>
  <si>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</si>
  <si>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</si>
  <si>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</si>
  <si>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</si>
  <si>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</si>
  <si>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</si>
  <si>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</si>
  <si>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</si>
  <si>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</si>
  <si>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</si>
  <si>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</si>
  <si>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</si>
  <si>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</si>
  <si>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</si>
  <si>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</si>
  <si>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</si>
  <si>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</si>
  <si>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</si>
  <si>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</si>
  <si>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</si>
  <si>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</si>
  <si>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</si>
  <si>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</si>
  <si>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</si>
  <si>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</si>
  <si>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</si>
  <si>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</si>
  <si>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</si>
  <si>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</si>
  <si>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</si>
  <si>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</si>
  <si>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</si>
  <si>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</si>
  <si>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</si>
  <si>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</si>
  <si>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</si>
  <si>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</si>
  <si>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</si>
  <si>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</si>
  <si>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</si>
  <si>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</si>
  <si>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</si>
  <si>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</si>
  <si>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</si>
  <si>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</si>
  <si>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</si>
  <si>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</si>
  <si>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</si>
  <si>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</si>
  <si>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</si>
  <si>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</si>
  <si>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</si>
  <si>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</si>
  <si>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</si>
  <si>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</si>
  <si>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</si>
  <si>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</si>
  <si>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</si>
  <si>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</si>
  <si>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</si>
  <si>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</si>
  <si>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</si>
  <si>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</si>
  <si>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</si>
  <si>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</si>
  <si>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</si>
  <si>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</si>
  <si>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</si>
  <si>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</si>
  <si>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</si>
  <si>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</si>
  <si>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</si>
  <si>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</si>
  <si>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</si>
  <si>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</si>
  <si>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</si>
  <si>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</si>
  <si>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</si>
  <si>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</si>
  <si>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</si>
  <si>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</si>
  <si>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</si>
  <si>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</si>
  <si>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</si>
  <si>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</si>
  <si>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</si>
  <si>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</si>
  <si>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</si>
  <si>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</si>
  <si>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</si>
  <si>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</si>
  <si>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</si>
  <si>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</si>
  <si>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</si>
  <si>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</si>
  <si>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</si>
  <si>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</si>
  <si>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</si>
  <si>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</si>
  <si>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</si>
  <si>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</si>
  <si>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</si>
  <si>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</si>
  <si>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</si>
  <si>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</si>
  <si>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</si>
  <si>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</si>
  <si>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</si>
  <si>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</si>
  <si>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</si>
  <si>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</si>
  <si>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</si>
  <si>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</si>
  <si>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</si>
  <si>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</si>
  <si>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</si>
  <si>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</si>
  <si>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</si>
  <si>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</si>
  <si>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</si>
  <si>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</si>
  <si>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</si>
  <si>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</si>
  <si>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</si>
  <si>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</si>
  <si>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</si>
  <si>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</si>
  <si>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</si>
  <si>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</si>
  <si>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</si>
  <si>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</si>
  <si>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</si>
  <si>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</si>
  <si>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</si>
  <si>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</si>
  <si>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</si>
  <si>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</si>
  <si>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</si>
  <si>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</si>
  <si>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</si>
  <si>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</si>
  <si>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</si>
  <si>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</si>
  <si>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</si>
  <si>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</si>
  <si>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</si>
  <si>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</si>
  <si>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</si>
  <si>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</si>
  <si>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</si>
  <si>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</si>
  <si>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</si>
  <si>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</si>
  <si>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</si>
  <si>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</si>
  <si>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</si>
  <si>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</si>
  <si>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</si>
  <si>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</si>
  <si>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</si>
  <si>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</si>
  <si>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</si>
  <si>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</si>
  <si>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</si>
  <si>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</si>
  <si>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</si>
  <si>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</si>
  <si>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</si>
  <si>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</si>
  <si>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</si>
  <si>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</si>
  <si>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</si>
  <si>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</si>
  <si>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</si>
  <si>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</si>
  <si>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</si>
  <si>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</si>
  <si>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</si>
  <si>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</si>
  <si>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</si>
  <si>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</si>
  <si>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</si>
  <si>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</si>
  <si>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</si>
  <si>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</si>
  <si>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</si>
  <si>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</si>
  <si>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</si>
  <si>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</si>
  <si>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</si>
  <si>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</si>
  <si>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</si>
  <si>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</si>
  <si>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</si>
  <si>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</si>
  <si>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</si>
  <si>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</si>
  <si>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</si>
  <si>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</si>
  <si>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</si>
  <si>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</si>
  <si>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</si>
  <si>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</si>
  <si>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</si>
  <si>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</si>
  <si>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</si>
  <si>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</si>
  <si>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</si>
  <si>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</si>
  <si>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</si>
  <si>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</si>
  <si>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</si>
  <si>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</si>
  <si>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</si>
  <si>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</si>
  <si>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</si>
  <si>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</si>
  <si>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</si>
  <si>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</si>
  <si>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</si>
  <si>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</si>
  <si>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</si>
  <si>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</si>
  <si>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</si>
  <si>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</si>
  <si>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</si>
  <si>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</si>
  <si>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</si>
  <si>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</si>
  <si>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</si>
  <si>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</si>
  <si>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</si>
  <si>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</si>
  <si>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</si>
  <si>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</si>
  <si>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</si>
  <si>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</si>
  <si>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</si>
  <si>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</si>
  <si>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</si>
  <si>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</si>
  <si>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</si>
  <si>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</si>
  <si>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</si>
  <si>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</si>
  <si>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</si>
  <si>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</si>
  <si>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</si>
  <si>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</si>
  <si>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</si>
  <si>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</si>
  <si>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</si>
  <si>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</si>
  <si>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</si>
  <si>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</si>
  <si>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</si>
  <si>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</si>
  <si>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</si>
  <si>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</si>
  <si>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</si>
  <si>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</si>
  <si>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</si>
  <si>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</si>
  <si>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</si>
  <si>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</si>
  <si>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</si>
  <si>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</si>
  <si>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</si>
  <si>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</si>
  <si>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</si>
  <si>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</si>
  <si>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</si>
  <si>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</si>
  <si>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</si>
  <si>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</si>
  <si>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</si>
  <si>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</si>
  <si>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</si>
  <si>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</si>
  <si>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</si>
  <si>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</si>
  <si>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</si>
  <si>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</si>
  <si>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</si>
  <si>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</si>
  <si>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</si>
  <si>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</si>
  <si>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</si>
  <si>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</si>
  <si>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</si>
  <si>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</si>
  <si>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</si>
  <si>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</si>
  <si>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</si>
  <si>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</si>
  <si>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</si>
  <si>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</si>
  <si>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</si>
  <si>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</si>
  <si>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</si>
  <si>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</si>
  <si>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</si>
  <si>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</si>
  <si>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</si>
  <si>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</si>
  <si>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</si>
  <si>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</si>
  <si>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</si>
  <si>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</si>
  <si>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</si>
  <si>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</si>
  <si>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</si>
  <si>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</si>
  <si>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</si>
  <si>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</si>
  <si>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</si>
  <si>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</si>
  <si>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</si>
  <si>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</si>
  <si>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</si>
  <si>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</si>
  <si>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</si>
  <si>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</si>
  <si>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</si>
  <si>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</si>
  <si>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</si>
  <si>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</si>
  <si>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</si>
  <si>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</si>
  <si>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</si>
  <si>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</si>
  <si>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</si>
  <si>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</si>
  <si>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</si>
  <si>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</si>
  <si>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</si>
  <si>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</si>
  <si>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</si>
  <si>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</si>
  <si>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</si>
  <si>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</si>
  <si>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</si>
  <si>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</si>
  <si>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</si>
  <si>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</si>
  <si>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</si>
  <si>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</si>
  <si>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</si>
  <si>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</si>
  <si>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</si>
  <si>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</si>
  <si>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</si>
  <si>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</si>
  <si>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</si>
  <si>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</si>
  <si>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</si>
  <si>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</si>
  <si>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</si>
  <si>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</si>
  <si>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</si>
  <si>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</si>
  <si>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</si>
  <si>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</si>
  <si>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</si>
  <si>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</si>
  <si>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</si>
  <si>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</si>
  <si>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</si>
  <si>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</si>
  <si>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</si>
  <si>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</si>
  <si>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</si>
  <si>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</si>
  <si>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</si>
  <si>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</si>
  <si>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</si>
  <si>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</si>
  <si>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</si>
  <si>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</si>
  <si>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</si>
  <si>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</si>
  <si>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</si>
  <si>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</si>
  <si>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</si>
  <si>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</si>
  <si>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</si>
  <si>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</si>
  <si>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</si>
  <si>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</si>
  <si>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</si>
  <si>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</si>
  <si>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</si>
  <si>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</si>
  <si>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</si>
  <si>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</si>
  <si>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</si>
  <si>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</si>
  <si>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</si>
  <si>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</si>
  <si>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</si>
  <si>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</si>
  <si>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</si>
  <si>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</si>
  <si>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</si>
  <si>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</si>
  <si>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</si>
  <si>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</si>
  <si>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</si>
  <si>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</si>
  <si>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</si>
  <si>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</si>
  <si>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</si>
  <si>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</si>
  <si>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</si>
  <si>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</si>
  <si>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</si>
  <si>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</si>
  <si>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</si>
  <si>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</si>
  <si>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</si>
  <si>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</si>
  <si>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</si>
  <si>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</si>
  <si>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</si>
  <si>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</si>
  <si>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</si>
  <si>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</si>
  <si>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</si>
  <si>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</si>
  <si>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</si>
  <si>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</si>
  <si>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</si>
  <si>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</si>
  <si>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</si>
  <si>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</si>
  <si>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</si>
  <si>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</si>
  <si>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</si>
  <si>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</si>
  <si>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</si>
  <si>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</si>
  <si>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</si>
  <si>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</si>
  <si>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</si>
  <si>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</si>
  <si>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</si>
  <si>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</si>
  <si>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</si>
  <si>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</si>
  <si>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</si>
  <si>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</si>
  <si>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</si>
  <si>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</si>
  <si>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</si>
  <si>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</si>
  <si>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</si>
  <si>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</si>
  <si>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</si>
  <si>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</si>
  <si>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</si>
  <si>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</si>
  <si>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</si>
  <si>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</si>
  <si>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</si>
  <si>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</si>
  <si>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</si>
  <si>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</si>
  <si>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</si>
  <si>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</si>
  <si>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</si>
  <si>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</si>
  <si>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</si>
  <si>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</si>
  <si>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</si>
  <si>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</si>
  <si>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</si>
  <si>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</si>
  <si>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</si>
  <si>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</si>
  <si>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</si>
  <si>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</si>
  <si>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</si>
  <si>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</si>
  <si>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</si>
  <si>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</si>
  <si>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</si>
  <si>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</si>
  <si>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</si>
  <si>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</si>
  <si>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</si>
  <si>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</si>
  <si>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</si>
  <si>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</si>
  <si>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</si>
  <si>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</si>
  <si>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</si>
  <si>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</si>
  <si>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</si>
  <si>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</si>
  <si>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</si>
  <si>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</si>
  <si>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</si>
  <si>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</si>
  <si>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</si>
  <si>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</si>
  <si>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</si>
  <si>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</si>
  <si>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</si>
  <si>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</si>
  <si>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</si>
  <si>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</si>
  <si>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</si>
  <si>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</si>
  <si>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</si>
  <si>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</si>
  <si>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</si>
  <si>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</si>
  <si>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</si>
  <si>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</si>
  <si>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</si>
  <si>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</si>
  <si>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</si>
  <si>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</si>
  <si>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</si>
  <si>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</si>
  <si>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</si>
  <si>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</si>
  <si>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</si>
  <si>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</si>
  <si>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</si>
  <si>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</si>
  <si>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</si>
  <si>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</si>
  <si>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</si>
  <si>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</si>
  <si>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</si>
  <si>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</si>
  <si>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</si>
  <si>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</si>
  <si>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</si>
  <si>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</si>
  <si>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</si>
  <si>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</si>
  <si>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</si>
  <si>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</si>
  <si>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</si>
  <si>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</si>
  <si>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</si>
  <si>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</si>
  <si>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</si>
  <si>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</si>
  <si>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</si>
  <si>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</si>
  <si>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</si>
  <si>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</si>
  <si>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</si>
  <si>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</si>
  <si>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</si>
  <si>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</si>
  <si>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</si>
  <si>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</si>
  <si>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</si>
  <si>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</si>
  <si>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</si>
  <si>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</si>
  <si>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</si>
  <si>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</si>
  <si>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</si>
  <si>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</si>
  <si>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</si>
  <si>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</si>
  <si>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</si>
  <si>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</si>
  <si>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</si>
  <si>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</si>
  <si>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</si>
  <si>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</si>
  <si>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</si>
  <si>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</si>
  <si>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</si>
  <si>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</si>
  <si>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</si>
  <si>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</si>
  <si>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</si>
  <si>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</si>
  <si>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</si>
  <si>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</si>
  <si>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</si>
  <si>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</si>
  <si>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</si>
  <si>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</si>
  <si>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</si>
  <si>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</si>
  <si>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</si>
  <si>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</si>
  <si>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</si>
  <si>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</si>
  <si>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</si>
  <si>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</si>
  <si>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</si>
  <si>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</si>
  <si>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</si>
  <si>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</si>
  <si>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</si>
  <si>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</si>
  <si>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</si>
  <si>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</si>
  <si>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</si>
  <si>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</si>
  <si>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</si>
  <si>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</si>
  <si>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</si>
  <si>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</si>
  <si>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</si>
  <si>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</si>
  <si>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</si>
  <si>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</si>
  <si>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</si>
  <si>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</si>
  <si>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</si>
  <si>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</si>
  <si>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</si>
  <si>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</si>
  <si>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</si>
  <si>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</si>
  <si>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</si>
  <si>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</si>
  <si>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</si>
  <si>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</si>
  <si>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</si>
  <si>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</si>
  <si>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</si>
  <si>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</si>
  <si>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</si>
  <si>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</si>
  <si>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</si>
  <si>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</si>
  <si>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</si>
  <si>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</si>
  <si>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</si>
  <si>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</si>
  <si>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</si>
  <si>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</si>
  <si>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</si>
  <si>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</si>
  <si>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</si>
  <si>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</si>
  <si>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</si>
  <si>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</si>
  <si>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</si>
  <si>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</si>
  <si>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</si>
  <si>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</si>
  <si>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</si>
  <si>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</si>
  <si>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</si>
  <si>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</si>
  <si>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</si>
  <si>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</si>
  <si>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</si>
  <si>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</si>
  <si>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</si>
  <si>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</si>
  <si>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</si>
  <si>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</si>
  <si>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</si>
  <si>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</si>
  <si>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</si>
  <si>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</si>
  <si>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</si>
  <si>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</si>
  <si>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</si>
  <si>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</si>
  <si>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</si>
  <si>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</si>
  <si>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</si>
  <si>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</si>
  <si>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</si>
  <si>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</si>
  <si>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</si>
  <si>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</si>
  <si>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</si>
  <si>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</si>
  <si>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</si>
  <si>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</si>
  <si>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</si>
  <si>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</si>
  <si>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</si>
  <si>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</si>
  <si>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</si>
  <si>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</si>
  <si>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</si>
  <si>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</si>
  <si>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</si>
  <si>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</si>
  <si>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</si>
  <si>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</si>
  <si>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</si>
  <si>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</si>
  <si>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</si>
  <si>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</si>
  <si>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</si>
  <si>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</si>
  <si>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</si>
  <si>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</si>
  <si>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</si>
  <si>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</si>
  <si>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</si>
  <si>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</si>
  <si>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</si>
  <si>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</si>
  <si>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</si>
  <si>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</si>
  <si>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</si>
  <si>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</si>
  <si>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</si>
  <si>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</si>
  <si>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</si>
  <si>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</si>
  <si>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</si>
  <si>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</si>
  <si>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</si>
  <si>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</si>
  <si>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</si>
  <si>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</si>
  <si>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</si>
  <si>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</si>
  <si>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</si>
  <si>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</si>
  <si>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</si>
  <si>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</si>
  <si>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</si>
  <si>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</si>
  <si>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</si>
  <si>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</si>
  <si>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</si>
  <si>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</si>
  <si>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</si>
  <si>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</si>
  <si>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</si>
  <si>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</si>
  <si>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</si>
  <si>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</si>
  <si>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</si>
  <si>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</si>
  <si>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</si>
  <si>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</si>
  <si>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</si>
  <si>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</si>
  <si>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</si>
  <si>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</si>
  <si>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</si>
  <si>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</si>
  <si>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</si>
  <si>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</si>
  <si>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</si>
  <si>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</si>
  <si>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</si>
  <si>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</si>
  <si>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</si>
  <si>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</si>
  <si>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</si>
  <si>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</si>
  <si>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</si>
  <si>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</si>
  <si>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</si>
  <si>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</si>
  <si>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</si>
  <si>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</si>
  <si>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</si>
  <si>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</si>
  <si>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</si>
  <si>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</si>
  <si>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</si>
  <si>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</si>
  <si>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</si>
  <si>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</si>
  <si>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</si>
  <si>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</si>
  <si>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</si>
  <si>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</si>
  <si>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</si>
  <si>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</si>
  <si>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</si>
  <si>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</si>
  <si>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</si>
  <si>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</si>
  <si>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</si>
  <si>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</si>
  <si>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</si>
  <si>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</si>
  <si>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</si>
  <si>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</si>
  <si>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</si>
  <si>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</si>
  <si>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</si>
  <si>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</si>
  <si>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</si>
  <si>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</si>
  <si>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</si>
  <si>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</si>
  <si>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</si>
  <si>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</si>
  <si>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</si>
  <si>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</si>
  <si>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</si>
  <si>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</si>
  <si>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</si>
  <si>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</si>
  <si>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</si>
  <si>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</si>
  <si>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</si>
  <si>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</si>
  <si>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</si>
  <si>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</si>
  <si>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</si>
  <si>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</si>
  <si>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</si>
  <si>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</si>
  <si>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</si>
  <si>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</si>
  <si>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</si>
  <si>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</si>
  <si>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</si>
  <si>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</si>
  <si>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</si>
  <si>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</si>
  <si>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</si>
  <si>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</si>
  <si>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</si>
  <si>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</si>
  <si>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</si>
  <si>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</si>
  <si>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</si>
  <si>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</si>
  <si>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</si>
  <si>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</si>
  <si>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</si>
  <si>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</si>
  <si>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</si>
  <si>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</si>
  <si>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</si>
  <si>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</si>
  <si>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</si>
  <si>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</si>
  <si>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</si>
  <si>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</si>
  <si>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</si>
  <si>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</si>
  <si>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</si>
  <si>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</si>
  <si>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</si>
  <si>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</si>
  <si>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</si>
  <si>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</si>
  <si>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</si>
  <si>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</si>
  <si>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</si>
  <si>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</si>
  <si>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</si>
  <si>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</si>
  <si>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</si>
  <si>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</si>
  <si>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</si>
  <si>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</si>
  <si>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</si>
  <si>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</si>
  <si>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</si>
  <si>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</si>
  <si>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</si>
  <si>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</si>
  <si>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</si>
  <si>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</si>
  <si>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</si>
  <si>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</si>
  <si>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</si>
  <si>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</si>
  <si>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</si>
  <si>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</si>
  <si>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</si>
  <si>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</si>
  <si>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</si>
  <si>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</si>
  <si>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</si>
  <si>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</si>
  <si>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</si>
  <si>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</si>
  <si>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</si>
  <si>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</si>
  <si>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</si>
  <si>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</si>
  <si>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</si>
  <si>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</si>
  <si>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</si>
  <si>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</si>
  <si>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</si>
  <si>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</si>
  <si>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</si>
  <si>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</si>
  <si>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</si>
  <si>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</si>
  <si>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</si>
  <si>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</si>
  <si>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</si>
  <si>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</si>
  <si>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</si>
  <si>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</si>
  <si>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</si>
  <si>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</si>
  <si>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</si>
  <si>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</si>
  <si>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</si>
  <si>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</si>
  <si>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</si>
  <si>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</si>
  <si>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</si>
  <si>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</si>
  <si>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</si>
  <si>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</si>
  <si>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</si>
  <si>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</si>
  <si>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</si>
  <si>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</si>
  <si>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</si>
  <si>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</si>
  <si>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</si>
  <si>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</si>
  <si>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</si>
  <si>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</si>
  <si>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</si>
  <si>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</si>
  <si>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</si>
  <si>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</si>
  <si>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</si>
  <si>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</si>
  <si>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</si>
  <si>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</si>
  <si>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</si>
  <si>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</si>
  <si>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</si>
  <si>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</si>
  <si>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</si>
  <si>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</si>
  <si>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</si>
  <si>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</si>
  <si>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</si>
  <si>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</si>
  <si>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</si>
  <si>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</si>
  <si>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</si>
  <si>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</si>
  <si>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</si>
  <si>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</si>
  <si>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</si>
  <si>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</si>
  <si>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</si>
  <si>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</si>
  <si>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</si>
  <si>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</si>
  <si>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</si>
  <si>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</si>
  <si>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</si>
  <si>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</si>
  <si>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</si>
  <si>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</si>
  <si>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</si>
  <si>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</si>
  <si>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</si>
  <si>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</si>
  <si>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</si>
  <si>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</si>
  <si>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</si>
  <si>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</si>
  <si>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</si>
  <si>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</si>
  <si>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</si>
  <si>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</si>
  <si>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</si>
  <si>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</si>
  <si>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</si>
  <si>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</si>
  <si>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</si>
  <si>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</si>
  <si>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</si>
  <si>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</si>
  <si>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</si>
  <si>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</si>
  <si>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</si>
  <si>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</si>
  <si>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</si>
  <si>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</si>
  <si>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</si>
  <si>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</si>
  <si>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</si>
  <si>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</si>
  <si>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</si>
  <si>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</si>
  <si>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</si>
  <si>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</si>
  <si>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</si>
  <si>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</si>
  <si>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</si>
  <si>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</si>
  <si>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</si>
  <si>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</si>
  <si>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</si>
  <si>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</si>
  <si>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</si>
  <si>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</si>
  <si>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</si>
  <si>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</si>
  <si>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</si>
  <si>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</si>
  <si>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</si>
  <si>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</si>
  <si>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</si>
  <si>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</si>
  <si>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</si>
  <si>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</si>
  <si>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</si>
  <si>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</si>
  <si>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</si>
  <si>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</si>
  <si>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</si>
  <si>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</si>
  <si>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</si>
  <si>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</si>
  <si>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</si>
  <si>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</si>
  <si>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</si>
  <si>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</si>
  <si>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</si>
  <si>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</si>
  <si>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</si>
  <si>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</si>
  <si>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</si>
  <si>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</si>
  <si>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</si>
  <si>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</si>
  <si>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</si>
  <si>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</si>
  <si>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</si>
  <si>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</si>
  <si>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</si>
  <si>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</si>
  <si>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</si>
  <si>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</si>
  <si>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</si>
  <si>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</si>
  <si>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</si>
  <si>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</si>
  <si>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</si>
  <si>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</si>
  <si>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</si>
  <si>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</si>
  <si>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</si>
  <si>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</si>
  <si>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</si>
  <si>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</si>
  <si>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</si>
  <si>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</si>
  <si>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</si>
  <si>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</si>
  <si>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</si>
  <si>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</si>
  <si>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</si>
  <si>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</si>
  <si>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</si>
  <si>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</si>
  <si>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</si>
  <si>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</si>
  <si>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</si>
  <si>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</si>
  <si>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</si>
  <si>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</si>
  <si>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</si>
  <si>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</si>
  <si>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</si>
  <si>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</si>
  <si>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</si>
  <si>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</si>
  <si>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</si>
  <si>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</si>
  <si>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</si>
  <si>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</si>
  <si>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</si>
  <si>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</si>
  <si>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</si>
  <si>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</si>
  <si>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</si>
  <si>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</si>
  <si>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</si>
  <si>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</si>
  <si>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</si>
  <si>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</si>
  <si>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</si>
  <si>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</si>
  <si>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</si>
  <si>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</si>
  <si>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</si>
  <si>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</si>
  <si>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</si>
  <si>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</si>
  <si>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</si>
  <si>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</si>
  <si>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</si>
  <si>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</si>
  <si>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</si>
  <si>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</si>
  <si>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</si>
  <si>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</si>
  <si>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</si>
  <si>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</si>
  <si>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</si>
  <si>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</si>
  <si>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</si>
  <si>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</si>
  <si>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</si>
  <si>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</si>
  <si>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</si>
  <si>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</si>
  <si>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</si>
  <si>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</si>
  <si>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</si>
  <si>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</si>
  <si>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</si>
  <si>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</si>
  <si>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</si>
  <si>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</si>
  <si>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</si>
  <si>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</si>
  <si>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</si>
  <si>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</si>
  <si>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</si>
  <si>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</si>
  <si>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</si>
  <si>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</si>
  <si>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</si>
  <si>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</si>
  <si>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</si>
  <si>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</si>
  <si>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</si>
  <si>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</si>
  <si>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</si>
  <si>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</si>
  <si>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</si>
  <si>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</si>
  <si>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</si>
  <si>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</si>
  <si>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</si>
  <si>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</si>
  <si>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</si>
  <si>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</si>
  <si>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</si>
  <si>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</si>
  <si>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</si>
  <si>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</si>
  <si>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</si>
  <si>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</si>
  <si>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</si>
  <si>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</si>
  <si>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</si>
  <si>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</si>
  <si>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</si>
  <si>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</si>
  <si>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</si>
  <si>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</si>
  <si>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</si>
  <si>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</si>
  <si>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</si>
  <si>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</si>
  <si>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</si>
  <si>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</si>
  <si>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</si>
  <si>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</si>
  <si>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</si>
  <si>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</si>
  <si>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</si>
  <si>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</si>
  <si>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</si>
  <si>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</si>
  <si>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</si>
  <si>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</si>
  <si>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</si>
  <si>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</si>
  <si>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</si>
  <si>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</si>
  <si>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</si>
  <si>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</si>
  <si>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</si>
  <si>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</si>
  <si>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</si>
  <si>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</si>
  <si>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</si>
  <si>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</si>
  <si>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</si>
  <si>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</si>
  <si>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</si>
  <si>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</si>
  <si>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</si>
  <si>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</si>
  <si>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</si>
  <si>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</si>
  <si>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</si>
  <si>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</si>
  <si>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</si>
  <si>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</si>
  <si>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</si>
  <si>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</si>
  <si>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</si>
  <si>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</si>
  <si>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</si>
  <si>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</si>
  <si>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</si>
  <si>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</si>
  <si>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</si>
  <si>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</si>
  <si>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</si>
  <si>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</si>
  <si>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</si>
  <si>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</si>
  <si>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</si>
  <si>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</si>
  <si>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</si>
  <si>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</si>
  <si>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</si>
  <si>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</si>
  <si>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</si>
  <si>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</si>
  <si>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</si>
  <si>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</si>
  <si>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</si>
  <si>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</si>
  <si>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</si>
  <si>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</si>
  <si>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</si>
  <si>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</si>
  <si>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</si>
  <si>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</si>
  <si>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</si>
  <si>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</si>
  <si>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</si>
  <si>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</si>
  <si>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</si>
  <si>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</si>
  <si>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</si>
  <si>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</si>
  <si>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</si>
  <si>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</si>
  <si>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</si>
  <si>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</si>
  <si>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</si>
  <si>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</si>
  <si>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</si>
  <si>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</si>
  <si>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</si>
  <si>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</si>
  <si>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</si>
  <si>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</si>
  <si>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</si>
  <si>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</si>
  <si>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</si>
  <si>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</si>
  <si>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</si>
  <si>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</si>
  <si>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</si>
  <si>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</si>
  <si>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</si>
  <si>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</si>
  <si>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</si>
  <si>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</si>
  <si>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</si>
  <si>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</si>
  <si>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</si>
  <si>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</si>
  <si>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</si>
  <si>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</si>
  <si>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</si>
  <si>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</si>
  <si>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</si>
  <si>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</si>
  <si>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</si>
  <si>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</si>
  <si>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</si>
  <si>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</si>
  <si>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</si>
  <si>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</si>
  <si>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</si>
  <si>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</si>
  <si>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</si>
  <si>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</si>
  <si>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</si>
  <si>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</si>
  <si>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</si>
  <si>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</si>
  <si>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</si>
  <si>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</si>
  <si>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</si>
  <si>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</si>
  <si>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</si>
  <si>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</si>
  <si>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</si>
  <si>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</si>
  <si>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</si>
  <si>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</si>
  <si>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</si>
  <si>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</si>
  <si>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</si>
  <si>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</si>
  <si>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</si>
  <si>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</si>
  <si>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</si>
  <si>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</si>
  <si>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</si>
  <si>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</si>
  <si>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</si>
  <si>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</si>
  <si>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</si>
  <si>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</si>
  <si>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</si>
  <si>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</si>
  <si>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</si>
  <si>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</si>
  <si>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</si>
  <si>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</si>
  <si>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</si>
  <si>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</si>
  <si>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</si>
  <si>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</si>
  <si>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</si>
  <si>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</si>
  <si>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</si>
  <si>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</si>
  <si>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</si>
  <si>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</si>
  <si>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</si>
  <si>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</si>
  <si>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</si>
  <si>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</si>
  <si>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</si>
  <si>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</si>
  <si>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</si>
  <si>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</si>
  <si>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</si>
  <si>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</si>
  <si>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</si>
  <si>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</si>
  <si>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</si>
  <si>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</si>
  <si>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</si>
  <si>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</si>
  <si>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</si>
  <si>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</si>
  <si>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</si>
  <si>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</si>
  <si>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</si>
  <si>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</si>
  <si>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</si>
  <si>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</si>
  <si>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</si>
  <si>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</si>
  <si>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</si>
  <si>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</si>
  <si>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</si>
  <si>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</si>
  <si>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</si>
  <si>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</si>
  <si>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</si>
  <si>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</si>
  <si>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</si>
  <si>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</si>
  <si>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</si>
  <si>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</si>
  <si>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</si>
  <si>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</si>
  <si>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</si>
  <si>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</si>
  <si>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</si>
  <si>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</si>
  <si>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</si>
  <si>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</si>
  <si>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</si>
  <si>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</si>
  <si>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</si>
  <si>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</si>
  <si>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</si>
  <si>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</si>
  <si>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</si>
  <si>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</si>
  <si>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</si>
  <si>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</si>
  <si>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</si>
  <si>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</si>
  <si>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</si>
  <si>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</si>
  <si>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</si>
  <si>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</si>
  <si>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</si>
  <si>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</si>
  <si>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</si>
  <si>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</si>
  <si>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</si>
  <si>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</si>
  <si>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</si>
  <si>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</si>
  <si>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</si>
  <si>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</si>
  <si>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</si>
  <si>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</si>
  <si>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</si>
  <si>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</si>
  <si>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</si>
  <si>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</si>
  <si>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</si>
  <si>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</si>
  <si>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</si>
  <si>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</si>
  <si>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</si>
  <si>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</si>
  <si>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</si>
  <si>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</si>
  <si>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</si>
  <si>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</si>
  <si>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</si>
  <si>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</si>
  <si>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</si>
  <si>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</si>
  <si>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</si>
  <si>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</si>
  <si>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</si>
  <si>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</si>
  <si>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</si>
  <si>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</si>
  <si>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</si>
  <si>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</si>
  <si>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</si>
  <si>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</si>
  <si>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</si>
  <si>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</si>
  <si>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</si>
  <si>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</si>
  <si>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</si>
  <si>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</si>
  <si>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</si>
  <si>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</si>
  <si>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</si>
  <si>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</si>
  <si>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</si>
  <si>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</si>
  <si>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</si>
  <si>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</si>
  <si>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</si>
  <si>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</si>
  <si>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</si>
  <si>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</si>
  <si>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</si>
  <si>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</si>
  <si>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</si>
  <si>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</si>
  <si>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</si>
  <si>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</si>
  <si>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</si>
  <si>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</si>
  <si>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</si>
  <si>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</si>
  <si>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</si>
  <si>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</si>
  <si>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</si>
  <si>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</si>
  <si>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</si>
  <si>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</si>
  <si>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</si>
  <si>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</si>
  <si>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</si>
  <si>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</si>
  <si>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</si>
  <si>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</si>
  <si>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</si>
  <si>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</si>
  <si>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</si>
  <si>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</si>
  <si>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</si>
  <si>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</si>
  <si>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</si>
  <si>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</si>
  <si>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</si>
  <si>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</si>
  <si>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</si>
  <si>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</si>
  <si>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</si>
  <si>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</si>
  <si>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</si>
  <si>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</si>
  <si>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</si>
  <si>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</si>
  <si>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</si>
  <si>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</si>
  <si>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</si>
  <si>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</si>
  <si>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</si>
  <si>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</si>
  <si>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</si>
  <si>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</si>
  <si>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</si>
  <si>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</si>
  <si>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</si>
  <si>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</si>
  <si>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</si>
  <si>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</si>
  <si>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</si>
  <si>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</si>
  <si>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</si>
  <si>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</si>
  <si>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</si>
  <si>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</si>
  <si>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</si>
  <si>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</si>
  <si>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</si>
  <si>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</si>
  <si>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</si>
  <si>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</si>
  <si>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</si>
  <si>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</si>
  <si>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</si>
  <si>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</si>
  <si>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</si>
  <si>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</si>
  <si>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</si>
  <si>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</si>
  <si>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</si>
  <si>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</si>
  <si>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</si>
  <si>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</si>
  <si>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</si>
  <si>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</si>
  <si>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</si>
  <si>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</si>
  <si>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</si>
  <si>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</si>
  <si>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</si>
  <si>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</si>
  <si>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</si>
  <si>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</si>
  <si>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</si>
  <si>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</si>
  <si>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</si>
  <si>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</si>
  <si>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</si>
  <si>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</si>
  <si>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</si>
  <si>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</si>
  <si>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</si>
  <si>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</si>
  <si>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</si>
  <si>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</si>
  <si>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</si>
  <si>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</si>
  <si>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</si>
  <si>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</si>
  <si>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</si>
  <si>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</si>
  <si>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</si>
  <si>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</si>
  <si>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</si>
  <si>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</si>
  <si>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</si>
  <si>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</si>
  <si>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</si>
  <si>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</si>
  <si>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</si>
  <si>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</si>
  <si>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</si>
  <si>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</si>
  <si>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</si>
  <si>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</si>
  <si>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</si>
  <si>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</si>
  <si>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</si>
  <si>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</si>
  <si>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</si>
  <si>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</si>
  <si>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</si>
  <si>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</si>
  <si>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</si>
  <si>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</si>
  <si>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</si>
  <si>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</si>
  <si>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</si>
  <si>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</si>
  <si>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</si>
  <si>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</si>
  <si>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</si>
  <si>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</si>
  <si>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</si>
  <si>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</si>
  <si>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</si>
  <si>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</si>
  <si>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</si>
  <si>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</si>
  <si>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</si>
  <si>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</si>
  <si>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</si>
  <si>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</si>
  <si>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</si>
  <si>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</si>
  <si>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</si>
  <si>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</si>
  <si>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</si>
  <si>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</si>
  <si>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</si>
  <si>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</si>
  <si>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</si>
  <si>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</si>
  <si>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</si>
  <si>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</si>
  <si>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</si>
  <si>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</si>
  <si>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</si>
  <si>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</si>
  <si>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</si>
  <si>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</si>
  <si>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</si>
  <si>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</si>
  <si>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</si>
  <si>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</si>
  <si>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</si>
  <si>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</si>
  <si>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</si>
  <si>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</si>
  <si>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</si>
  <si>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</si>
  <si>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</si>
  <si>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</si>
  <si>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</si>
  <si>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</si>
  <si>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</si>
  <si>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</si>
  <si>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</si>
  <si>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</si>
  <si>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</si>
  <si>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</si>
  <si>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</si>
  <si>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</si>
  <si>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</si>
  <si>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</si>
  <si>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</si>
  <si>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</si>
  <si>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</si>
  <si>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</si>
  <si>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</si>
  <si>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</si>
  <si>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</si>
  <si>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</si>
  <si>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</si>
  <si>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</si>
  <si>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</si>
  <si>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</si>
  <si>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</si>
  <si>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</si>
  <si>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</si>
  <si>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</si>
  <si>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</si>
  <si>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</si>
  <si>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</si>
  <si>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</si>
  <si>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</si>
  <si>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</si>
  <si>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</si>
  <si>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</si>
  <si>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</si>
  <si>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</si>
  <si>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</si>
  <si>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</si>
  <si>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</si>
  <si>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</si>
  <si>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</si>
  <si>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</si>
  <si>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</si>
  <si>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</si>
  <si>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</si>
  <si>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</si>
  <si>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</si>
  <si>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</si>
  <si>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</si>
  <si>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</si>
  <si>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</si>
  <si>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</si>
  <si>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</si>
  <si>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</si>
  <si>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</si>
  <si>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</si>
  <si>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</si>
  <si>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</si>
  <si>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</si>
  <si>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</si>
  <si>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</si>
  <si>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</si>
  <si>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</si>
  <si>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</si>
  <si>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</si>
  <si>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</si>
  <si>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</si>
  <si>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</si>
  <si>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</si>
  <si>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</si>
  <si>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</si>
  <si>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</si>
  <si>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</si>
  <si>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</si>
  <si>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</si>
  <si>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</si>
  <si>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</si>
  <si>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</si>
  <si>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</si>
  <si>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</si>
  <si>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</si>
  <si>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</si>
  <si>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</si>
  <si>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</si>
  <si>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</si>
  <si>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</si>
  <si>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</si>
  <si>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</si>
  <si>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</si>
  <si>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</si>
  <si>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</si>
  <si>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</si>
  <si>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</si>
  <si>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</si>
  <si>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</si>
  <si>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</si>
  <si>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</si>
  <si>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</si>
  <si>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</si>
  <si>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</si>
  <si>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</si>
  <si>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</si>
  <si>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</si>
  <si>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</si>
  <si>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</si>
  <si>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</si>
  <si>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</si>
  <si>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</si>
  <si>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</si>
  <si>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</si>
  <si>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</si>
  <si>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</si>
  <si>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</si>
  <si>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</si>
  <si>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</si>
  <si>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</si>
  <si>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</si>
  <si>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</si>
  <si>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</si>
  <si>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</si>
  <si>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</si>
  <si>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</si>
  <si>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</si>
  <si>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</si>
  <si>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</si>
  <si>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</si>
  <si>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</si>
  <si>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</si>
  <si>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</si>
  <si>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</si>
  <si>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</si>
  <si>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</si>
  <si>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</si>
  <si>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</si>
  <si>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</si>
  <si>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</si>
  <si>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</si>
  <si>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</si>
  <si>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</si>
  <si>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</si>
  <si>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</si>
  <si>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</si>
  <si>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</si>
  <si>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</si>
  <si>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</si>
  <si>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</si>
  <si>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</si>
  <si>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</si>
  <si>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</si>
  <si>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</si>
  <si>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</si>
  <si>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</si>
  <si>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</si>
  <si>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</si>
  <si>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</si>
  <si>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</si>
  <si>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</si>
  <si>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</si>
  <si>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</si>
  <si>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</si>
  <si>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</si>
  <si>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</si>
  <si>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</si>
  <si>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</si>
  <si>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</si>
  <si>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</si>
  <si>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</si>
  <si>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</si>
  <si>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</si>
  <si>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</si>
  <si>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</si>
  <si>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</si>
  <si>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</si>
  <si>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</si>
  <si>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</si>
  <si>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</si>
  <si>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</si>
  <si>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</si>
  <si>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</si>
  <si>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</si>
  <si>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</si>
  <si>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</si>
  <si>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</si>
  <si>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</si>
  <si>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</si>
  <si>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</si>
  <si>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</si>
  <si>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</si>
  <si>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</si>
  <si>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</si>
  <si>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</si>
  <si>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</si>
  <si>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</si>
  <si>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</si>
  <si>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</si>
  <si>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</si>
  <si>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</si>
  <si>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</si>
  <si>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</si>
  <si>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</si>
  <si>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</si>
  <si>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</si>
  <si>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</si>
  <si>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</si>
  <si>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</si>
  <si>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</si>
  <si>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</si>
  <si>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</si>
  <si>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</si>
  <si>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</si>
  <si>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</si>
  <si>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</si>
  <si>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</si>
  <si>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</si>
  <si>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</si>
  <si>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</si>
  <si>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</si>
  <si>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</si>
  <si>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</si>
  <si>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</si>
  <si>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</si>
  <si>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</si>
  <si>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</si>
  <si>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</si>
  <si>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</si>
  <si>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</si>
  <si>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</si>
  <si>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</si>
  <si>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</si>
  <si>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</si>
  <si>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</si>
  <si>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</si>
  <si>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</si>
  <si>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</si>
  <si>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</si>
  <si>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</si>
  <si>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</si>
  <si>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</si>
  <si>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</si>
  <si>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</si>
  <si>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</si>
  <si>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</si>
  <si>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</si>
  <si>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</si>
  <si>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</si>
  <si>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</si>
  <si>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</si>
  <si>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</si>
  <si>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</si>
  <si>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</si>
  <si>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</si>
  <si>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</si>
  <si>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</si>
  <si>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</si>
  <si>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</si>
  <si>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</si>
  <si>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</si>
  <si>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</si>
  <si>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</si>
  <si>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</si>
  <si>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</si>
  <si>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</si>
  <si>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</si>
  <si>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</si>
  <si>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</si>
  <si>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</si>
  <si>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</si>
  <si>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</si>
  <si>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</si>
  <si>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</si>
  <si>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</si>
  <si>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</si>
  <si>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</si>
  <si>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</si>
  <si>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</si>
  <si>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</si>
  <si>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</si>
  <si>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</si>
  <si>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</si>
  <si>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</si>
  <si>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</si>
  <si>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</si>
  <si>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</si>
  <si>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</si>
  <si>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</si>
  <si>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</si>
  <si>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</si>
  <si>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</si>
  <si>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</si>
  <si>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</si>
  <si>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</si>
  <si>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</si>
  <si>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</si>
  <si>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</si>
  <si>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</si>
  <si>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</si>
  <si>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</si>
  <si>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</si>
  <si>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</si>
  <si>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</si>
  <si>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</si>
  <si>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</si>
  <si>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</si>
  <si>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</si>
  <si>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</si>
  <si>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</si>
  <si>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</si>
  <si>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</si>
  <si>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</si>
  <si>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</si>
  <si>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</si>
  <si>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</si>
  <si>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</si>
  <si>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</si>
  <si>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</si>
  <si>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</si>
  <si>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</si>
  <si>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</si>
  <si>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</si>
  <si>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</si>
  <si>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</si>
  <si>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</si>
  <si>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</si>
  <si>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</si>
  <si>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</si>
  <si>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</si>
  <si>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</si>
  <si>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</si>
  <si>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</si>
  <si>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</si>
  <si>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</si>
  <si>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</si>
  <si>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</si>
  <si>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</si>
  <si>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</si>
  <si>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</si>
  <si>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</si>
  <si>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</si>
  <si>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</si>
  <si>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</si>
  <si>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</si>
  <si>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</si>
  <si>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</si>
  <si>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</si>
  <si>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</si>
  <si>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</si>
  <si>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</si>
  <si>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</si>
  <si>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</si>
  <si>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</si>
  <si>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</si>
  <si>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</si>
  <si>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</si>
  <si>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</si>
  <si>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</si>
  <si>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</si>
  <si>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</si>
  <si>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</si>
  <si>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</si>
  <si>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</si>
  <si>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</si>
  <si>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</si>
  <si>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</si>
  <si>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</si>
  <si>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</si>
  <si>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</si>
  <si>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</si>
  <si>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</si>
  <si>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</si>
  <si>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</si>
  <si>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</si>
  <si>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</si>
  <si>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</si>
  <si>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</si>
  <si>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</si>
  <si>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</si>
  <si>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</si>
  <si>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</si>
  <si>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</si>
  <si>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</si>
  <si>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</si>
  <si>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</si>
  <si>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</si>
  <si>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</si>
  <si>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</si>
  <si>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</si>
  <si>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</si>
  <si>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</si>
  <si>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</si>
  <si>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</si>
  <si>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</si>
  <si>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</si>
  <si>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</si>
  <si>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</si>
  <si>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</si>
  <si>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</si>
  <si>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</si>
  <si>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</si>
  <si>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</si>
  <si>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</si>
  <si>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</si>
  <si>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</si>
  <si>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</si>
  <si>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</si>
  <si>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</si>
  <si>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</si>
  <si>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</si>
  <si>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</si>
  <si>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</si>
  <si>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</si>
  <si>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</si>
  <si>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</si>
  <si>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</si>
  <si>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</si>
  <si>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</si>
  <si>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</si>
  <si>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</si>
  <si>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</si>
  <si>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</si>
  <si>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</si>
  <si>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</si>
  <si>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</si>
  <si>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</si>
  <si>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</si>
  <si>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</si>
  <si>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</si>
  <si>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</si>
  <si>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</si>
  <si>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</si>
  <si>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</si>
  <si>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</si>
  <si>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</si>
  <si>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</si>
  <si>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</si>
  <si>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</si>
  <si>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</si>
  <si>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</si>
  <si>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</si>
  <si>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</si>
  <si>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</si>
  <si>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</si>
  <si>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</si>
  <si>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</si>
  <si>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</si>
  <si>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</si>
  <si>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</si>
  <si>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</si>
  <si>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</si>
  <si>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</si>
  <si>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</si>
  <si>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</si>
  <si>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</si>
  <si>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</si>
  <si>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</si>
  <si>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</si>
  <si>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</si>
  <si>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</si>
  <si>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</si>
  <si>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</si>
  <si>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</si>
  <si>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</si>
  <si>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</si>
  <si>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</si>
  <si>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</si>
  <si>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</si>
  <si>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</si>
  <si>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</si>
  <si>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</si>
  <si>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</si>
  <si>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</si>
  <si>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</si>
  <si>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</si>
  <si>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</si>
  <si>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</si>
  <si>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</si>
  <si>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</si>
  <si>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</si>
  <si>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</si>
  <si>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</si>
  <si>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</si>
  <si>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</si>
  <si>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</si>
  <si>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</si>
  <si>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</si>
  <si>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</si>
  <si>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</si>
  <si>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</si>
  <si>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</si>
  <si>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</si>
  <si>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</si>
  <si>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</si>
  <si>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</si>
  <si>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</si>
  <si>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</si>
  <si>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</si>
  <si>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</si>
  <si>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</si>
  <si>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</si>
  <si>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</si>
  <si>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</si>
  <si>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</si>
  <si>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</si>
  <si>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</si>
  <si>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</si>
  <si>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</si>
  <si>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</si>
  <si>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</si>
  <si>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</si>
  <si>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</si>
  <si>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</si>
  <si>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</si>
  <si>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</si>
  <si>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</si>
  <si>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</si>
  <si>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</si>
  <si>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</si>
  <si>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</si>
  <si>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</si>
  <si>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</si>
  <si>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</si>
  <si>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</si>
  <si>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</si>
  <si>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</si>
  <si>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</si>
  <si>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</si>
  <si>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</si>
  <si>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</si>
  <si>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</si>
  <si>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</si>
  <si>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</si>
  <si>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</si>
  <si>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</si>
  <si>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</si>
  <si>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</si>
  <si>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</si>
  <si>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</si>
  <si>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</si>
  <si>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</si>
  <si>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</si>
  <si>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</si>
  <si>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</si>
  <si>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</si>
  <si>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</si>
  <si>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</si>
  <si>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</si>
  <si>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</si>
  <si>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</si>
  <si>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</si>
  <si>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</si>
  <si>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</si>
  <si>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</si>
  <si>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</si>
  <si>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</si>
  <si>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</si>
  <si>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</si>
  <si>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</si>
  <si>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</si>
  <si>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</si>
  <si>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</si>
  <si>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</si>
  <si>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</si>
  <si>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</si>
  <si>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</si>
  <si>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</si>
  <si>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</si>
  <si>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</si>
  <si>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</si>
  <si>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</si>
  <si>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</si>
  <si>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</si>
  <si>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</si>
  <si>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</si>
  <si>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</si>
  <si>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</si>
  <si>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</si>
  <si>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</si>
  <si>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</si>
  <si>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</si>
  <si>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</si>
  <si>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</si>
  <si>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</si>
  <si>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</si>
  <si>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</si>
  <si>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</si>
  <si>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</si>
  <si>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</si>
  <si>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</si>
  <si>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</si>
  <si>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</si>
  <si>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</si>
  <si>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</si>
  <si>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</si>
  <si>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</si>
  <si>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</si>
  <si>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</si>
  <si>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</si>
  <si>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</si>
  <si>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</si>
  <si>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</si>
  <si>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</si>
  <si>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</si>
  <si>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</si>
  <si>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</si>
  <si>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</si>
  <si>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</si>
  <si>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</si>
  <si>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</si>
  <si>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</si>
  <si>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</si>
  <si>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</si>
  <si>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</si>
  <si>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</si>
  <si>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</si>
  <si>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</si>
  <si>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</si>
  <si>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</si>
  <si>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</si>
  <si>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</si>
  <si>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</si>
  <si>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</si>
  <si>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</si>
  <si>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</si>
  <si>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</si>
  <si>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</si>
  <si>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</si>
  <si>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</si>
  <si>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</si>
  <si>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</si>
  <si>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</si>
  <si>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</si>
  <si>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</si>
  <si>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</si>
  <si>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</si>
  <si>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</si>
  <si>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</si>
  <si>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</si>
  <si>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</si>
  <si>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</si>
  <si>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</si>
  <si>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</si>
  <si>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</si>
  <si>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</si>
  <si>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</si>
  <si>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</si>
  <si>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</si>
  <si>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</si>
  <si>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</si>
  <si>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</si>
  <si>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</si>
  <si>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</si>
  <si>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</si>
  <si>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</si>
  <si>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</si>
  <si>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</si>
  <si>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</si>
  <si>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</si>
  <si>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</si>
  <si>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</si>
  <si>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</si>
  <si>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</si>
  <si>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</si>
  <si>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</si>
  <si>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</si>
  <si>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</si>
  <si>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</si>
  <si>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</si>
  <si>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</si>
  <si>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</si>
  <si>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</si>
  <si>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</si>
  <si>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</si>
  <si>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</si>
  <si>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</si>
  <si>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</si>
  <si>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</si>
  <si>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</si>
  <si>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</si>
  <si>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</si>
  <si>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</si>
  <si>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</si>
  <si>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</si>
  <si>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</si>
  <si>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</si>
  <si>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</si>
  <si>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</si>
  <si>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</si>
  <si>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</si>
  <si>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</si>
  <si>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</si>
  <si>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</si>
  <si>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</si>
  <si>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</si>
  <si>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</si>
  <si>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</si>
  <si>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</si>
  <si>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</si>
  <si>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</si>
  <si>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</si>
  <si>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</si>
  <si>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</si>
  <si>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</si>
  <si>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</si>
  <si>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</si>
  <si>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</si>
  <si>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</si>
  <si>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</si>
  <si>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</si>
  <si>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</si>
  <si>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</si>
  <si>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</si>
  <si>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</si>
  <si>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</si>
  <si>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</si>
  <si>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</si>
  <si>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</si>
  <si>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</si>
  <si>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</si>
  <si>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</si>
  <si>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</si>
  <si>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</si>
  <si>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</si>
  <si>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</si>
  <si>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</si>
  <si>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</si>
  <si>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</si>
  <si>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</si>
  <si>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</si>
  <si>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</si>
  <si>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</si>
  <si>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</si>
  <si>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</si>
  <si>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</si>
  <si>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</si>
  <si>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</si>
  <si>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</si>
  <si>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</si>
  <si>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</si>
  <si>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</si>
  <si>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</si>
  <si>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</si>
  <si>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</si>
  <si>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</si>
  <si>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</si>
  <si>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</si>
  <si>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</si>
  <si>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</si>
  <si>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</si>
  <si>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</si>
  <si>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</si>
  <si>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</si>
  <si>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</si>
  <si>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</si>
  <si>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</si>
  <si>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</si>
  <si>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</si>
  <si>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</si>
  <si>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</si>
  <si>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</si>
  <si>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</si>
  <si>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</si>
  <si>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</si>
  <si>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</si>
  <si>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</si>
  <si>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</si>
  <si>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</si>
  <si>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</si>
  <si>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</si>
  <si>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</si>
  <si>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</si>
  <si>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</si>
  <si>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</si>
  <si>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</si>
  <si>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</si>
  <si>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</si>
  <si>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</si>
  <si>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</si>
  <si>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</si>
  <si>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</si>
  <si>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</si>
  <si>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</si>
  <si>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</si>
  <si>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</si>
  <si>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</si>
  <si>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</si>
  <si>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</si>
  <si>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</si>
  <si>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</si>
  <si>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</si>
  <si>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</si>
  <si>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</si>
  <si>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</si>
  <si>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</si>
  <si>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</si>
  <si>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</si>
  <si>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</si>
  <si>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</si>
  <si>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</si>
  <si>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</si>
  <si>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</si>
  <si>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</si>
  <si>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</si>
  <si>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</si>
  <si>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</si>
  <si>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</si>
  <si>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</si>
  <si>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</si>
  <si>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</si>
  <si>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</si>
  <si>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</si>
  <si>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</si>
  <si>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</si>
  <si>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</si>
  <si>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</si>
  <si>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</si>
  <si>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</si>
  <si>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</si>
  <si>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</si>
  <si>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</si>
  <si>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</si>
  <si>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</si>
  <si>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</si>
  <si>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</si>
  <si>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</si>
  <si>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</si>
  <si>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</si>
  <si>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</si>
  <si>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</si>
  <si>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</si>
  <si>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</si>
  <si>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</si>
  <si>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</si>
  <si>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</si>
  <si>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</si>
  <si>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</si>
  <si>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</si>
  <si>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Profit</t>
  </si>
  <si>
    <t>Sum of Quantity</t>
  </si>
  <si>
    <t>% Profit Margin</t>
  </si>
  <si>
    <t>Row Labels</t>
  </si>
  <si>
    <t>(blank)</t>
  </si>
  <si>
    <t>Grand Total</t>
  </si>
  <si>
    <t>1. Monthly Sales Trend</t>
  </si>
  <si>
    <t>Charts</t>
  </si>
  <si>
    <t>4. Top 10 Product by Sales</t>
  </si>
  <si>
    <t>Shipping duration</t>
  </si>
  <si>
    <t>3.Sales by Region</t>
  </si>
  <si>
    <t>2.Sales by Sub-category</t>
  </si>
  <si>
    <t>5. Sales by segment</t>
  </si>
  <si>
    <t>KPIs</t>
  </si>
  <si>
    <t>Slicers</t>
  </si>
  <si>
    <t>1. Region</t>
  </si>
  <si>
    <t>2. Sub-category</t>
  </si>
  <si>
    <t>3.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</si>
</sst>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gt;=1000000]\$0.0,,&quot;M&quot;;[&gt;=1000]\$0.0,&quot;K&quot;;\$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9" fontId="0" fillId="0" borderId="0" xfId="1" applyFont="1"/>
    <xf numFmtId="165"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2" fontId="0" fillId="0" borderId="0" xfId="0" applyNumberFormat="1"/>
    <xf numFmtId="1" fontId="0" fillId="0" borderId="0" xfId="0" applyNumberFormat="1"/>
    <xf numFmtId="165" fontId="4" fillId="0" borderId="0" xfId="0" applyNumberFormat="1" applyFont="1"/>
    <xf numFmtId="9" fontId="4" fillId="0" borderId="0" xfId="1" applyFont="1"/>
    <xf numFmtId="9" fontId="0" fillId="0" borderId="0" xfId="1" applyFont="1" applyBorder="1"/>
    <xf numFmtId="0" fontId="4" fillId="0" borderId="0" xfId="0" applyFont="1"/>
  </cellXfs>
  <cellStyles count="2">
    <cellStyle name="Normal" xfId="0" builtinId="0"/>
    <cellStyle name="Percent" xfId="1" builtinId="5"/>
  </cellStyles>
  <dxfs count="48">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numFmt numFmtId="166" formatCode="dd/mm/yyyy"/>
    </dxf>
    <dxf>
      <numFmt numFmtId="0" formatCode="General"/>
    </dxf>
    <dxf>
      <numFmt numFmtId="0" formatCode="General"/>
    </dxf>
    <dxf>
      <numFmt numFmtId="1" formatCode="0"/>
    </dxf>
    <dxf>
      <numFmt numFmtId="0" formatCode="General"/>
    </dxf>
    <dxf>
      <numFmt numFmtId="164" formatCode="[$$-409]#,##0"/>
    </dxf>
    <dxf>
      <numFmt numFmtId="164" formatCode="[$$-409]#,##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numFmt numFmtId="166" formatCode="dd/mm/yyyy"/>
    </dxf>
    <dxf>
      <numFmt numFmtId="0" formatCode="General"/>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font>
        <b/>
        <i val="0"/>
        <sz val="10"/>
        <color theme="1"/>
      </font>
      <border diagonalUp="0" diagonalDown="0">
        <left/>
        <right/>
        <top/>
        <bottom/>
        <vertical/>
        <horizontal/>
      </border>
    </dxf>
    <dxf>
      <font>
        <b/>
        <i val="0"/>
        <sz val="10"/>
        <color rgb="FF385F7C"/>
      </font>
      <fill>
        <patternFill patternType="solid">
          <bgColor rgb="FFE1EAF1"/>
        </patternFill>
      </fill>
      <border diagonalUp="0" diagonalDown="0">
        <left/>
        <right/>
        <top/>
        <bottom/>
        <vertical/>
        <horizontal/>
      </border>
    </dxf>
    <dxf>
      <font>
        <color theme="0"/>
      </font>
      <fill>
        <patternFill>
          <bgColor theme="4" tint="-0.499984740745262"/>
        </patternFill>
      </fill>
    </dxf>
  </dxfs>
  <tableStyles count="2" defaultTableStyle="TableStyleMedium2" defaultPivotStyle="PivotStyleLight16">
    <tableStyle name="Slicer Style 1" pivot="0" table="0" count="3" xr9:uid="{C906BE43-DF69-4B02-ACD6-90827650FC81}">
      <tableStyleElement type="wholeTable" dxfId="47"/>
    </tableStyle>
    <tableStyle name="SlicerStyleOther1 2" pivot="0" table="0" count="10" xr9:uid="{D7FA1737-594E-47A8-9DE0-9FE75B825199}">
      <tableStyleElement type="wholeTable" dxfId="46"/>
      <tableStyleElement type="headerRow" dxfId="45"/>
    </tableStyle>
  </tableStyles>
  <colors>
    <mruColors>
      <color rgb="FFF0F4F6"/>
      <color rgb="FFCCDCE8"/>
      <color rgb="FFAABFE4"/>
      <color rgb="FF385F7C"/>
      <color rgb="FFE1EAF1"/>
      <color rgb="FFF8F9FA"/>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dxf>
          <fill>
            <patternFill>
              <bgColor theme="4" tint="-0.24994659260841701"/>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 /><Relationship Id="rId13" Type="http://schemas.openxmlformats.org/officeDocument/2006/relationships/calcChain" Target="calcChain.xml" /><Relationship Id="rId3" Type="http://schemas.openxmlformats.org/officeDocument/2006/relationships/worksheet" Target="worksheets/sheet3.xml" /><Relationship Id="rId7" Type="http://schemas.microsoft.com/office/2007/relationships/slicerCache" Target="slicerCaches/slicerCache2.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1.xml" /><Relationship Id="rId11" Type="http://schemas.openxmlformats.org/officeDocument/2006/relationships/styles" Target="styles.xml" /><Relationship Id="rId5" Type="http://schemas.openxmlformats.org/officeDocument/2006/relationships/pivotCacheDefinition" Target="pivotCache/pivotCacheDefinition1.xml" /><Relationship Id="rId10" Type="http://schemas.openxmlformats.org/officeDocument/2006/relationships/connections" Target="connections.xml" /><Relationship Id="rId4" Type="http://schemas.openxmlformats.org/officeDocument/2006/relationships/worksheet" Target="worksheets/sheet4.xml" /><Relationship Id="rId9" Type="http://schemas.openxmlformats.org/officeDocument/2006/relationships/theme" Target="theme/theme1.xml" /><Relationship Id="rId14" Type="http://schemas.openxmlformats.org/officeDocument/2006/relationships/customXml" Target="../customXml/item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[Furniture_main dataset.xlsx]Pivot Tables!PivotTable4</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Tables'!$A$11:$A$24</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Tables'!$B$11:$B$24</c:f>
              <c:numCache>
                <c:formatCode>[&gt;=1000000]\$0.0,,"M";[&gt;=1000]\$0.0,"K";\$0</c:formatCode>
                <c:ptCount val="13"/>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0"/>
          <c:extLst>
            <c:ext xmlns:c16="http://schemas.microsoft.com/office/drawing/2014/chart" uri="{C3380CC4-5D6E-409C-BE32-E72D297353CC}">
              <c16:uniqueId val="{00000000-2067-4292-8479-3382F02722F4}"/>
            </c:ext>
          </c:extLst>
        </c:ser>
        <c:dLbls>
          <c:showLegendKey val="0"/>
          <c:showVal val="0"/>
          <c:showCatName val="0"/>
          <c:showSerName val="0"/>
          <c:showPercent val="0"/>
          <c:showBubbleSize val="0"/>
        </c:dLbls>
        <c:marker val="1"/>
        <c:smooth val="0"/>
        <c:axId val="1623565264"/>
        <c:axId val="1623564304"/>
      </c:lineChart>
      <c:catAx>
        <c:axId val="16235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564304"/>
        <c:crosses val="autoZero"/>
        <c:auto val="1"/>
        <c:lblAlgn val="ctr"/>
        <c:lblOffset val="100"/>
        <c:noMultiLvlLbl val="0"/>
      </c:catAx>
      <c:valAx>
        <c:axId val="1623564304"/>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5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[Furniture_main dataset.xlsx]Pivot Tables!PivotTable5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2222222222224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555555555555556"/>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499999999999999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555555555555556"/>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222222222222224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499999999999999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0871434440126285E-2"/>
              <c:y val="-0.10817191657331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308553306474352"/>
              <c:y val="-1.8776947247021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5944777603327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690442971335509"/>
              <c:y val="-1.3888733707506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s>
    <c:plotArea>
      <c:layout>
        <c:manualLayout>
          <c:layoutTarget val="inner"/>
          <c:xMode val="edge"/>
          <c:yMode val="edge"/>
          <c:x val="0.16267907550725472"/>
          <c:y val="0.12239517682185419"/>
          <c:w val="0.41738469846455761"/>
          <c:h val="0.75520964635629162"/>
        </c:manualLayout>
      </c:layout>
      <c:doughnutChart>
        <c:varyColors val="1"/>
        <c:ser>
          <c:idx val="0"/>
          <c:order val="0"/>
          <c:tx>
            <c:strRef>
              <c:f>'Pivot Tables'!$B$27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5-4821-A411-2BED27953B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5-4821-A411-2BED27953B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5-4821-A411-2BED27953B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5-4821-A411-2BED27953B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D4E-4355-9386-DAA331D1AE34}"/>
              </c:ext>
            </c:extLst>
          </c:dPt>
          <c:dLbls>
            <c:dLbl>
              <c:idx val="0"/>
              <c:layout>
                <c:manualLayout>
                  <c:x val="6.0871434440126285E-2"/>
                  <c:y val="-0.10817191657331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45-4821-A411-2BED27953BE2}"/>
                </c:ext>
              </c:extLst>
            </c:dLbl>
            <c:dLbl>
              <c:idx val="1"/>
              <c:layout>
                <c:manualLayout>
                  <c:x val="0.10308553306474352"/>
                  <c:y val="-1.877694724702165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45-4821-A411-2BED27953BE2}"/>
                </c:ext>
              </c:extLst>
            </c:dLbl>
            <c:dLbl>
              <c:idx val="2"/>
              <c:layout>
                <c:manualLayout>
                  <c:x val="-0.105944777603327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45-4821-A411-2BED27953BE2}"/>
                </c:ext>
              </c:extLst>
            </c:dLbl>
            <c:dLbl>
              <c:idx val="3"/>
              <c:layout>
                <c:manualLayout>
                  <c:x val="-0.11690442971335509"/>
                  <c:y val="-1.3888733707506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45-4821-A411-2BED27953B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Tables'!$A$28:$A$33</c:f>
              <c:strCache>
                <c:ptCount val="5"/>
                <c:pt idx="0">
                  <c:v>Bookcases</c:v>
                </c:pt>
                <c:pt idx="1">
                  <c:v>Chairs</c:v>
                </c:pt>
                <c:pt idx="2">
                  <c:v>Furnishings</c:v>
                </c:pt>
                <c:pt idx="3">
                  <c:v>Tables</c:v>
                </c:pt>
                <c:pt idx="4">
                  <c:v>(blank)</c:v>
                </c:pt>
              </c:strCache>
            </c:strRef>
          </c:cat>
          <c:val>
            <c:numRef>
              <c:f>'Pivot Tables'!$B$28:$B$33</c:f>
              <c:numCache>
                <c:formatCode>[&gt;=1000000]\$0.0,,"M";[&gt;=1000]\$0.0,"K";\$0</c:formatCode>
                <c:ptCount val="5"/>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8-9845-4821-A411-2BED27953B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584541268849438"/>
          <c:y val="0.31622909238708219"/>
          <c:w val="0.1729960805332996"/>
          <c:h val="0.36754181522583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[Furniture_main dataset.xlsx]Pivot Tables!PivotTable6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Tables'!$B$36</c:f>
              <c:strCache>
                <c:ptCount val="1"/>
                <c:pt idx="0">
                  <c:v>Total</c:v>
                </c:pt>
              </c:strCache>
            </c:strRef>
          </c:tx>
          <c:spPr>
            <a:solidFill>
              <a:schemeClr val="accent1"/>
            </a:solidFill>
            <a:ln>
              <a:noFill/>
            </a:ln>
            <a:effectLst/>
          </c:spPr>
          <c:invertIfNegative val="0"/>
          <c:cat>
            <c:strRef>
              <c:f>'Pivot Tables'!$A$37:$A$42</c:f>
              <c:strCache>
                <c:ptCount val="5"/>
                <c:pt idx="0">
                  <c:v>Central</c:v>
                </c:pt>
                <c:pt idx="1">
                  <c:v>East</c:v>
                </c:pt>
                <c:pt idx="2">
                  <c:v>South</c:v>
                </c:pt>
                <c:pt idx="3">
                  <c:v>West</c:v>
                </c:pt>
                <c:pt idx="4">
                  <c:v>(blank)</c:v>
                </c:pt>
              </c:strCache>
            </c:strRef>
          </c:cat>
          <c:val>
            <c:numRef>
              <c:f>'Pivot Tables'!$B$37:$B$42</c:f>
              <c:numCache>
                <c:formatCode>[&gt;=1000000]\$0.0,,"M";[&gt;=1000]\$0.0,"K";\$0</c:formatCode>
                <c:ptCount val="5"/>
                <c:pt idx="0">
                  <c:v>163797.16380000004</c:v>
                </c:pt>
                <c:pt idx="1">
                  <c:v>208291.20400000009</c:v>
                </c:pt>
                <c:pt idx="2">
                  <c:v>117298.6840000001</c:v>
                </c:pt>
                <c:pt idx="3">
                  <c:v>252612.7435000003</c:v>
                </c:pt>
              </c:numCache>
            </c:numRef>
          </c:val>
          <c:extLst>
            <c:ext xmlns:c16="http://schemas.microsoft.com/office/drawing/2014/chart" uri="{C3380CC4-5D6E-409C-BE32-E72D297353CC}">
              <c16:uniqueId val="{00000000-9F4D-4129-BC74-3218F24B452E}"/>
            </c:ext>
          </c:extLst>
        </c:ser>
        <c:dLbls>
          <c:showLegendKey val="0"/>
          <c:showVal val="0"/>
          <c:showCatName val="0"/>
          <c:showSerName val="0"/>
          <c:showPercent val="0"/>
          <c:showBubbleSize val="0"/>
        </c:dLbls>
        <c:gapWidth val="219"/>
        <c:axId val="1485539360"/>
        <c:axId val="1485537920"/>
      </c:barChart>
      <c:catAx>
        <c:axId val="148553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37920"/>
        <c:crosses val="autoZero"/>
        <c:auto val="1"/>
        <c:lblAlgn val="ctr"/>
        <c:lblOffset val="100"/>
        <c:noMultiLvlLbl val="0"/>
      </c:catAx>
      <c:valAx>
        <c:axId val="1485537920"/>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3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[Furniture_main dataset.xlsx]Pivot Tables!PivotTable7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Tables'!$B$45</c:f>
              <c:strCache>
                <c:ptCount val="1"/>
                <c:pt idx="0">
                  <c:v>Total</c:v>
                </c:pt>
              </c:strCache>
            </c:strRef>
          </c:tx>
          <c:spPr>
            <a:solidFill>
              <a:schemeClr val="accent1"/>
            </a:solidFill>
            <a:ln>
              <a:noFill/>
            </a:ln>
            <a:effectLst/>
          </c:spPr>
          <c:invertIfNegative val="0"/>
          <c:cat>
            <c:strRef>
              <c:f>'Pivot Tables'!$A$46:$A$56</c:f>
              <c:strCache>
                <c:ptCount val="10"/>
                <c:pt idx="0">
                  <c:v>HON 5400 Series Task Chairs for Big and Tall</c:v>
                </c:pt>
                <c:pt idx="1">
                  <c:v>Riverside Palais Royal Lawyers Bookcase, Royale Cherry Finish</c:v>
                </c:pt>
                <c:pt idx="2">
                  <c:v>Bretford Rectangular Conference Table Tops</c:v>
                </c:pt>
                <c:pt idx="3">
                  <c:v>Global Troy Executive Leather Low-Back Tilter</c:v>
                </c:pt>
                <c:pt idx="4">
                  <c:v>SAFCO Arco Folding Chair</c:v>
                </c:pt>
                <c:pt idx="5">
                  <c:v>DMI Eclipse Executive Suite Bookcases</c:v>
                </c:pt>
                <c:pt idx="6">
                  <c:v>Hon Deluxe Fabric Upholstered Stacking Chairs, Rounded Back</c:v>
                </c:pt>
                <c:pt idx="7">
                  <c:v>Chromcraft Bull-Nose Wood Oval Conference Tables &amp; Bases</c:v>
                </c:pt>
                <c:pt idx="8">
                  <c:v>Bush Advantage Collection Racetrack Conference Table</c:v>
                </c:pt>
                <c:pt idx="9">
                  <c:v>GuestStacker Chair with Chrome Finish Legs</c:v>
                </c:pt>
              </c:strCache>
            </c:strRef>
          </c:cat>
          <c:val>
            <c:numRef>
              <c:f>'Pivot Tables'!$B$46:$B$56</c:f>
              <c:numCache>
                <c:formatCode>[&gt;=1000000]\$0.0,,"M";[&gt;=1000]\$0.0,"K";\$0</c:formatCode>
                <c:ptCount val="10"/>
                <c:pt idx="0">
                  <c:v>21870.576000000001</c:v>
                </c:pt>
                <c:pt idx="1">
                  <c:v>15610.9656</c:v>
                </c:pt>
                <c:pt idx="2">
                  <c:v>12995.291500000001</c:v>
                </c:pt>
                <c:pt idx="3">
                  <c:v>12975.382</c:v>
                </c:pt>
                <c:pt idx="4">
                  <c:v>11572.78</c:v>
                </c:pt>
                <c:pt idx="5">
                  <c:v>11046.609</c:v>
                </c:pt>
                <c:pt idx="6">
                  <c:v>10637.527999999998</c:v>
                </c:pt>
                <c:pt idx="7">
                  <c:v>9917.64</c:v>
                </c:pt>
                <c:pt idx="8">
                  <c:v>9544.7250000000004</c:v>
                </c:pt>
                <c:pt idx="9">
                  <c:v>9070.9440000000013</c:v>
                </c:pt>
              </c:numCache>
            </c:numRef>
          </c:val>
          <c:extLst>
            <c:ext xmlns:c16="http://schemas.microsoft.com/office/drawing/2014/chart" uri="{C3380CC4-5D6E-409C-BE32-E72D297353CC}">
              <c16:uniqueId val="{00000000-B395-4AFC-A4F4-E53C701C5913}"/>
            </c:ext>
          </c:extLst>
        </c:ser>
        <c:dLbls>
          <c:showLegendKey val="0"/>
          <c:showVal val="0"/>
          <c:showCatName val="0"/>
          <c:showSerName val="0"/>
          <c:showPercent val="0"/>
          <c:showBubbleSize val="0"/>
        </c:dLbls>
        <c:gapWidth val="219"/>
        <c:overlap val="-27"/>
        <c:axId val="1484386576"/>
        <c:axId val="1484389456"/>
      </c:barChart>
      <c:catAx>
        <c:axId val="1484386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389456"/>
        <c:crosses val="autoZero"/>
        <c:auto val="1"/>
        <c:lblAlgn val="ctr"/>
        <c:lblOffset val="100"/>
        <c:noMultiLvlLbl val="0"/>
      </c:catAx>
      <c:valAx>
        <c:axId val="1484389456"/>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38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[Furniture_main dataset.xlsx]Pivot Tables!PivotTable9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Tables'!$B$60</c:f>
              <c:strCache>
                <c:ptCount val="1"/>
                <c:pt idx="0">
                  <c:v>Total</c:v>
                </c:pt>
              </c:strCache>
            </c:strRef>
          </c:tx>
          <c:spPr>
            <a:solidFill>
              <a:schemeClr val="accent2"/>
            </a:solidFill>
            <a:ln>
              <a:noFill/>
            </a:ln>
            <a:effectLst/>
          </c:spPr>
          <c:invertIfNegative val="0"/>
          <c:cat>
            <c:strRef>
              <c:f>'Pivot Tables'!$A$61:$A$64</c:f>
              <c:strCache>
                <c:ptCount val="3"/>
                <c:pt idx="0">
                  <c:v>Consumer</c:v>
                </c:pt>
                <c:pt idx="1">
                  <c:v>Corporate</c:v>
                </c:pt>
                <c:pt idx="2">
                  <c:v>Home Office</c:v>
                </c:pt>
              </c:strCache>
            </c:strRef>
          </c:cat>
          <c:val>
            <c:numRef>
              <c:f>'Pivot Tables'!$B$61:$B$64</c:f>
              <c:numCache>
                <c:formatCode>[&gt;=1000000]\$0.0,,"M";[&gt;=1000]\$0.0,"K";\$0</c:formatCode>
                <c:ptCount val="3"/>
                <c:pt idx="0">
                  <c:v>391049.31200000056</c:v>
                </c:pt>
                <c:pt idx="1">
                  <c:v>229019.78580000027</c:v>
                </c:pt>
                <c:pt idx="2">
                  <c:v>121930.69749999995</c:v>
                </c:pt>
              </c:numCache>
            </c:numRef>
          </c:val>
          <c:extLst>
            <c:ext xmlns:c16="http://schemas.microsoft.com/office/drawing/2014/chart" uri="{C3380CC4-5D6E-409C-BE32-E72D297353CC}">
              <c16:uniqueId val="{00000000-8C31-4228-BECF-622B92C70A8C}"/>
            </c:ext>
          </c:extLst>
        </c:ser>
        <c:dLbls>
          <c:showLegendKey val="0"/>
          <c:showVal val="0"/>
          <c:showCatName val="0"/>
          <c:showSerName val="0"/>
          <c:showPercent val="0"/>
          <c:showBubbleSize val="0"/>
        </c:dLbls>
        <c:gapWidth val="219"/>
        <c:overlap val="-27"/>
        <c:axId val="1487542800"/>
        <c:axId val="1487543280"/>
      </c:barChart>
      <c:catAx>
        <c:axId val="148754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43280"/>
        <c:crosses val="autoZero"/>
        <c:auto val="1"/>
        <c:lblAlgn val="ctr"/>
        <c:lblOffset val="100"/>
        <c:noMultiLvlLbl val="0"/>
      </c:catAx>
      <c:valAx>
        <c:axId val="1487543280"/>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4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 /><Relationship Id="rId3" Type="http://schemas.openxmlformats.org/officeDocument/2006/relationships/image" Target="../media/image3.png" /><Relationship Id="rId7" Type="http://schemas.openxmlformats.org/officeDocument/2006/relationships/chart" Target="../charts/chart3.xml" /><Relationship Id="rId2" Type="http://schemas.openxmlformats.org/officeDocument/2006/relationships/image" Target="../media/image2.png" /><Relationship Id="rId1" Type="http://schemas.openxmlformats.org/officeDocument/2006/relationships/image" Target="../media/image1.jpeg" /><Relationship Id="rId6" Type="http://schemas.openxmlformats.org/officeDocument/2006/relationships/chart" Target="../charts/chart2.xml" /><Relationship Id="rId5" Type="http://schemas.openxmlformats.org/officeDocument/2006/relationships/chart" Target="../charts/chart1.xml" /><Relationship Id="rId4" Type="http://schemas.openxmlformats.org/officeDocument/2006/relationships/image" Target="../media/image4.png" /><Relationship Id="rId9"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dr:twoCellAnchor>
    <xdr:from>
      <xdr:col>0</xdr:col>
      <xdr:colOff>61058</xdr:colOff>
      <xdr:row>1</xdr:row>
      <xdr:rowOff>80901</xdr:rowOff>
    </xdr:from>
    <xdr:to>
      <xdr:col>22</xdr:col>
      <xdr:colOff>146538</xdr:colOff>
      <xdr:row>41</xdr:row>
      <xdr:rowOff>11760</xdr:rowOff>
    </xdr:to>
    <xdr:sp macro="" textlink="">
      <xdr:nvSpPr>
        <xdr:cNvPr id="2" name="Rectangle: Rounded Corners 1">
          <a:extLst>
            <a:ext uri="{FF2B5EF4-FFF2-40B4-BE49-F238E27FC236}">
              <a16:creationId xmlns:a16="http://schemas.microsoft.com/office/drawing/2014/main" id="{7F375813-3DE9-84E4-3400-545F26934ECB}"/>
            </a:ext>
          </a:extLst>
        </xdr:cNvPr>
        <xdr:cNvSpPr/>
      </xdr:nvSpPr>
      <xdr:spPr>
        <a:xfrm>
          <a:off x="61058" y="276286"/>
          <a:ext cx="13750192" cy="7795089"/>
        </a:xfrm>
        <a:prstGeom prst="roundRect">
          <a:avLst>
            <a:gd name="adj" fmla="val 371"/>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488852</xdr:colOff>
      <xdr:row>1</xdr:row>
      <xdr:rowOff>88605</xdr:rowOff>
    </xdr:from>
    <xdr:to>
      <xdr:col>22</xdr:col>
      <xdr:colOff>83724</xdr:colOff>
      <xdr:row>3</xdr:row>
      <xdr:rowOff>61913</xdr:rowOff>
    </xdr:to>
    <xdr:sp macro="" textlink="">
      <xdr:nvSpPr>
        <xdr:cNvPr id="3" name="Rectangle: Rounded Corners 2">
          <a:extLst>
            <a:ext uri="{FF2B5EF4-FFF2-40B4-BE49-F238E27FC236}">
              <a16:creationId xmlns:a16="http://schemas.microsoft.com/office/drawing/2014/main" id="{F808ECF9-4051-5D0A-AC21-EAC3F6916841}"/>
            </a:ext>
          </a:extLst>
        </xdr:cNvPr>
        <xdr:cNvSpPr/>
      </xdr:nvSpPr>
      <xdr:spPr>
        <a:xfrm>
          <a:off x="1721499" y="275370"/>
          <a:ext cx="12145460" cy="346837"/>
        </a:xfrm>
        <a:prstGeom prst="roundRect">
          <a:avLst/>
        </a:prstGeom>
        <a:solidFill>
          <a:schemeClr val="accent1">
            <a:lumMod val="50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520700</xdr:colOff>
      <xdr:row>1</xdr:row>
      <xdr:rowOff>103841</xdr:rowOff>
    </xdr:from>
    <xdr:to>
      <xdr:col>17</xdr:col>
      <xdr:colOff>511175</xdr:colOff>
      <xdr:row>3</xdr:row>
      <xdr:rowOff>56216</xdr:rowOff>
    </xdr:to>
    <xdr:sp macro="" textlink="">
      <xdr:nvSpPr>
        <xdr:cNvPr id="4" name="TextBox 3">
          <a:extLst>
            <a:ext uri="{FF2B5EF4-FFF2-40B4-BE49-F238E27FC236}">
              <a16:creationId xmlns:a16="http://schemas.microsoft.com/office/drawing/2014/main" id="{939A548F-258C-7972-8472-5EE60F71C4C3}"/>
            </a:ext>
          </a:extLst>
        </xdr:cNvPr>
        <xdr:cNvSpPr txBox="1"/>
      </xdr:nvSpPr>
      <xdr:spPr>
        <a:xfrm>
          <a:off x="5675406" y="290606"/>
          <a:ext cx="5537387" cy="325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FURNITURE SALES PERFORMANCE DASHBOARD</a:t>
          </a:r>
        </a:p>
      </xdr:txBody>
    </xdr:sp>
    <xdr:clientData/>
  </xdr:twoCellAnchor>
  <xdr:twoCellAnchor>
    <xdr:from>
      <xdr:col>2</xdr:col>
      <xdr:colOff>497078</xdr:colOff>
      <xdr:row>3</xdr:row>
      <xdr:rowOff>114299</xdr:rowOff>
    </xdr:from>
    <xdr:to>
      <xdr:col>5</xdr:col>
      <xdr:colOff>413328</xdr:colOff>
      <xdr:row>7</xdr:row>
      <xdr:rowOff>103368</xdr:rowOff>
    </xdr:to>
    <xdr:sp macro="" textlink="">
      <xdr:nvSpPr>
        <xdr:cNvPr id="5" name="Rectangle 4">
          <a:extLst>
            <a:ext uri="{FF2B5EF4-FFF2-40B4-BE49-F238E27FC236}">
              <a16:creationId xmlns:a16="http://schemas.microsoft.com/office/drawing/2014/main" id="{A5594237-6B70-96A5-0E9C-49A604D5220D}"/>
            </a:ext>
          </a:extLst>
        </xdr:cNvPr>
        <xdr:cNvSpPr/>
      </xdr:nvSpPr>
      <xdr:spPr>
        <a:xfrm>
          <a:off x="1720041" y="678743"/>
          <a:ext cx="1985880" cy="753421"/>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87981</xdr:colOff>
      <xdr:row>3</xdr:row>
      <xdr:rowOff>177568</xdr:rowOff>
    </xdr:from>
    <xdr:to>
      <xdr:col>5</xdr:col>
      <xdr:colOff>359973</xdr:colOff>
      <xdr:row>5</xdr:row>
      <xdr:rowOff>65618</xdr:rowOff>
    </xdr:to>
    <xdr:sp macro="" textlink="">
      <xdr:nvSpPr>
        <xdr:cNvPr id="10" name="TextBox 9">
          <a:extLst>
            <a:ext uri="{FF2B5EF4-FFF2-40B4-BE49-F238E27FC236}">
              <a16:creationId xmlns:a16="http://schemas.microsoft.com/office/drawing/2014/main" id="{49DFB3B1-FD65-2E50-07E6-0E08C53A05E5}"/>
            </a:ext>
          </a:extLst>
        </xdr:cNvPr>
        <xdr:cNvSpPr txBox="1"/>
      </xdr:nvSpPr>
      <xdr:spPr>
        <a:xfrm>
          <a:off x="1922425" y="742012"/>
          <a:ext cx="1730141" cy="2643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TOTAL</a:t>
          </a:r>
          <a:r>
            <a:rPr lang="en-US" sz="1400" b="1" baseline="0">
              <a:solidFill>
                <a:schemeClr val="accent1"/>
              </a:solidFill>
            </a:rPr>
            <a:t> SALES</a:t>
          </a:r>
          <a:endParaRPr lang="en-US" sz="1400" b="1">
            <a:solidFill>
              <a:schemeClr val="accent1"/>
            </a:solidFill>
          </a:endParaRPr>
        </a:p>
      </xdr:txBody>
    </xdr:sp>
    <xdr:clientData/>
  </xdr:twoCellAnchor>
  <xdr:twoCellAnchor>
    <xdr:from>
      <xdr:col>7</xdr:col>
      <xdr:colOff>547391</xdr:colOff>
      <xdr:row>3</xdr:row>
      <xdr:rowOff>114299</xdr:rowOff>
    </xdr:from>
    <xdr:to>
      <xdr:col>11</xdr:col>
      <xdr:colOff>90285</xdr:colOff>
      <xdr:row>7</xdr:row>
      <xdr:rowOff>103368</xdr:rowOff>
    </xdr:to>
    <xdr:sp macro="" textlink="">
      <xdr:nvSpPr>
        <xdr:cNvPr id="13" name="Rectangle 12">
          <a:extLst>
            <a:ext uri="{FF2B5EF4-FFF2-40B4-BE49-F238E27FC236}">
              <a16:creationId xmlns:a16="http://schemas.microsoft.com/office/drawing/2014/main" id="{01392D6A-47B0-43AB-9480-CAFDEFA6007F}"/>
            </a:ext>
          </a:extLst>
        </xdr:cNvPr>
        <xdr:cNvSpPr/>
      </xdr:nvSpPr>
      <xdr:spPr>
        <a:xfrm>
          <a:off x="5062947" y="678743"/>
          <a:ext cx="1988819" cy="753421"/>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173442</xdr:colOff>
      <xdr:row>3</xdr:row>
      <xdr:rowOff>168041</xdr:rowOff>
    </xdr:from>
    <xdr:to>
      <xdr:col>10</xdr:col>
      <xdr:colOff>440142</xdr:colOff>
      <xdr:row>5</xdr:row>
      <xdr:rowOff>56091</xdr:rowOff>
    </xdr:to>
    <xdr:sp macro="" textlink="">
      <xdr:nvSpPr>
        <xdr:cNvPr id="14" name="TextBox 13">
          <a:extLst>
            <a:ext uri="{FF2B5EF4-FFF2-40B4-BE49-F238E27FC236}">
              <a16:creationId xmlns:a16="http://schemas.microsoft.com/office/drawing/2014/main" id="{D7B5E7C6-E70A-47EC-BE79-0172A6BE4C5A}"/>
            </a:ext>
          </a:extLst>
        </xdr:cNvPr>
        <xdr:cNvSpPr txBox="1"/>
      </xdr:nvSpPr>
      <xdr:spPr>
        <a:xfrm>
          <a:off x="5300479" y="732485"/>
          <a:ext cx="1489663" cy="2643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TOTAL</a:t>
          </a:r>
          <a:r>
            <a:rPr lang="en-US" sz="1400" b="1" baseline="0">
              <a:solidFill>
                <a:schemeClr val="accent1"/>
              </a:solidFill>
            </a:rPr>
            <a:t> PROFIT</a:t>
          </a:r>
          <a:endParaRPr lang="en-US" sz="1400" b="1">
            <a:solidFill>
              <a:schemeClr val="accent1"/>
            </a:solidFill>
          </a:endParaRPr>
        </a:p>
      </xdr:txBody>
    </xdr:sp>
    <xdr:clientData/>
  </xdr:twoCellAnchor>
  <xdr:twoCellAnchor>
    <xdr:from>
      <xdr:col>13</xdr:col>
      <xdr:colOff>224348</xdr:colOff>
      <xdr:row>3</xdr:row>
      <xdr:rowOff>114299</xdr:rowOff>
    </xdr:from>
    <xdr:to>
      <xdr:col>16</xdr:col>
      <xdr:colOff>378723</xdr:colOff>
      <xdr:row>7</xdr:row>
      <xdr:rowOff>103368</xdr:rowOff>
    </xdr:to>
    <xdr:sp macro="" textlink="">
      <xdr:nvSpPr>
        <xdr:cNvPr id="17" name="Rectangle 16">
          <a:extLst>
            <a:ext uri="{FF2B5EF4-FFF2-40B4-BE49-F238E27FC236}">
              <a16:creationId xmlns:a16="http://schemas.microsoft.com/office/drawing/2014/main" id="{1CFB87FF-98F9-4DE9-B4C7-93C5B432FD92}"/>
            </a:ext>
          </a:extLst>
        </xdr:cNvPr>
        <xdr:cNvSpPr/>
      </xdr:nvSpPr>
      <xdr:spPr>
        <a:xfrm>
          <a:off x="8408792" y="678743"/>
          <a:ext cx="1988820" cy="753421"/>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300982</xdr:colOff>
      <xdr:row>3</xdr:row>
      <xdr:rowOff>152872</xdr:rowOff>
    </xdr:from>
    <xdr:to>
      <xdr:col>16</xdr:col>
      <xdr:colOff>235185</xdr:colOff>
      <xdr:row>5</xdr:row>
      <xdr:rowOff>32640</xdr:rowOff>
    </xdr:to>
    <xdr:sp macro="" textlink="">
      <xdr:nvSpPr>
        <xdr:cNvPr id="18" name="TextBox 17">
          <a:extLst>
            <a:ext uri="{FF2B5EF4-FFF2-40B4-BE49-F238E27FC236}">
              <a16:creationId xmlns:a16="http://schemas.microsoft.com/office/drawing/2014/main" id="{6A92D240-7797-4C17-9153-36ECCBCE2282}"/>
            </a:ext>
          </a:extLst>
        </xdr:cNvPr>
        <xdr:cNvSpPr txBox="1"/>
      </xdr:nvSpPr>
      <xdr:spPr>
        <a:xfrm>
          <a:off x="8485426" y="717316"/>
          <a:ext cx="1768648" cy="2560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SUM</a:t>
          </a:r>
          <a:r>
            <a:rPr lang="en-US" sz="1400" b="1" baseline="0">
              <a:solidFill>
                <a:schemeClr val="accent1"/>
              </a:solidFill>
            </a:rPr>
            <a:t> OF QUANTITY</a:t>
          </a:r>
          <a:endParaRPr lang="en-US" sz="1400" b="1">
            <a:solidFill>
              <a:schemeClr val="accent1"/>
            </a:solidFill>
          </a:endParaRPr>
        </a:p>
      </xdr:txBody>
    </xdr:sp>
    <xdr:clientData/>
  </xdr:twoCellAnchor>
  <xdr:twoCellAnchor>
    <xdr:from>
      <xdr:col>18</xdr:col>
      <xdr:colOff>512785</xdr:colOff>
      <xdr:row>3</xdr:row>
      <xdr:rowOff>114299</xdr:rowOff>
    </xdr:from>
    <xdr:to>
      <xdr:col>22</xdr:col>
      <xdr:colOff>55679</xdr:colOff>
      <xdr:row>7</xdr:row>
      <xdr:rowOff>103368</xdr:rowOff>
    </xdr:to>
    <xdr:sp macro="" textlink="">
      <xdr:nvSpPr>
        <xdr:cNvPr id="19" name="Rectangle 18">
          <a:extLst>
            <a:ext uri="{FF2B5EF4-FFF2-40B4-BE49-F238E27FC236}">
              <a16:creationId xmlns:a16="http://schemas.microsoft.com/office/drawing/2014/main" id="{4D70180B-7BC6-417A-82AB-49A91E30FDC5}"/>
            </a:ext>
          </a:extLst>
        </xdr:cNvPr>
        <xdr:cNvSpPr/>
      </xdr:nvSpPr>
      <xdr:spPr>
        <a:xfrm>
          <a:off x="11754637" y="678743"/>
          <a:ext cx="1988820" cy="753421"/>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63228</xdr:colOff>
      <xdr:row>3</xdr:row>
      <xdr:rowOff>129353</xdr:rowOff>
    </xdr:from>
    <xdr:to>
      <xdr:col>21</xdr:col>
      <xdr:colOff>564444</xdr:colOff>
      <xdr:row>5</xdr:row>
      <xdr:rowOff>78396</xdr:rowOff>
    </xdr:to>
    <xdr:sp macro="" textlink="">
      <xdr:nvSpPr>
        <xdr:cNvPr id="20" name="TextBox 19">
          <a:extLst>
            <a:ext uri="{FF2B5EF4-FFF2-40B4-BE49-F238E27FC236}">
              <a16:creationId xmlns:a16="http://schemas.microsoft.com/office/drawing/2014/main" id="{A39CBC59-6BE7-488E-8016-1C13E1BF131C}"/>
            </a:ext>
          </a:extLst>
        </xdr:cNvPr>
        <xdr:cNvSpPr txBox="1"/>
      </xdr:nvSpPr>
      <xdr:spPr>
        <a:xfrm>
          <a:off x="11916561" y="693797"/>
          <a:ext cx="1724179" cy="325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a:t>
          </a:r>
          <a:r>
            <a:rPr lang="en-US" sz="1400" b="1" baseline="0">
              <a:solidFill>
                <a:schemeClr val="accent1"/>
              </a:solidFill>
            </a:rPr>
            <a:t> PROFIT MARGIN</a:t>
          </a:r>
        </a:p>
        <a:p>
          <a:endParaRPr lang="en-US" sz="1400" b="1">
            <a:solidFill>
              <a:schemeClr val="accent1"/>
            </a:solidFill>
          </a:endParaRPr>
        </a:p>
      </xdr:txBody>
    </xdr:sp>
    <xdr:clientData/>
  </xdr:twoCellAnchor>
  <xdr:twoCellAnchor>
    <xdr:from>
      <xdr:col>18</xdr:col>
      <xdr:colOff>531835</xdr:colOff>
      <xdr:row>3</xdr:row>
      <xdr:rowOff>126021</xdr:rowOff>
    </xdr:from>
    <xdr:to>
      <xdr:col>19</xdr:col>
      <xdr:colOff>28354</xdr:colOff>
      <xdr:row>7</xdr:row>
      <xdr:rowOff>106971</xdr:rowOff>
    </xdr:to>
    <xdr:sp macro="" textlink="">
      <xdr:nvSpPr>
        <xdr:cNvPr id="24" name="Rectangle: Rounded Corners 23">
          <a:extLst>
            <a:ext uri="{FF2B5EF4-FFF2-40B4-BE49-F238E27FC236}">
              <a16:creationId xmlns:a16="http://schemas.microsoft.com/office/drawing/2014/main" id="{076952A3-AE3B-4DDE-96AA-41729A96B197}"/>
            </a:ext>
          </a:extLst>
        </xdr:cNvPr>
        <xdr:cNvSpPr/>
      </xdr:nvSpPr>
      <xdr:spPr>
        <a:xfrm>
          <a:off x="11773687" y="690465"/>
          <a:ext cx="108000" cy="745302"/>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223095</xdr:colOff>
      <xdr:row>3</xdr:row>
      <xdr:rowOff>128293</xdr:rowOff>
    </xdr:from>
    <xdr:to>
      <xdr:col>13</xdr:col>
      <xdr:colOff>331095</xdr:colOff>
      <xdr:row>7</xdr:row>
      <xdr:rowOff>109243</xdr:rowOff>
    </xdr:to>
    <xdr:sp macro="" textlink="">
      <xdr:nvSpPr>
        <xdr:cNvPr id="25" name="Rectangle: Rounded Corners 24">
          <a:extLst>
            <a:ext uri="{FF2B5EF4-FFF2-40B4-BE49-F238E27FC236}">
              <a16:creationId xmlns:a16="http://schemas.microsoft.com/office/drawing/2014/main" id="{9F1CD6FC-0B02-4250-877C-A320EE213AB1}"/>
            </a:ext>
          </a:extLst>
        </xdr:cNvPr>
        <xdr:cNvSpPr/>
      </xdr:nvSpPr>
      <xdr:spPr>
        <a:xfrm>
          <a:off x="8407539" y="692737"/>
          <a:ext cx="108000" cy="780580"/>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566083</xdr:colOff>
      <xdr:row>3</xdr:row>
      <xdr:rowOff>133350</xdr:rowOff>
    </xdr:from>
    <xdr:to>
      <xdr:col>8</xdr:col>
      <xdr:colOff>62602</xdr:colOff>
      <xdr:row>7</xdr:row>
      <xdr:rowOff>114300</xdr:rowOff>
    </xdr:to>
    <xdr:sp macro="" textlink="">
      <xdr:nvSpPr>
        <xdr:cNvPr id="26" name="Rectangle: Rounded Corners 25">
          <a:extLst>
            <a:ext uri="{FF2B5EF4-FFF2-40B4-BE49-F238E27FC236}">
              <a16:creationId xmlns:a16="http://schemas.microsoft.com/office/drawing/2014/main" id="{4051A556-5EC6-43A0-A1E5-D47EBA0D5B5A}"/>
            </a:ext>
          </a:extLst>
        </xdr:cNvPr>
        <xdr:cNvSpPr/>
      </xdr:nvSpPr>
      <xdr:spPr>
        <a:xfrm>
          <a:off x="5081639" y="697794"/>
          <a:ext cx="108000" cy="745302"/>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506603</xdr:colOff>
      <xdr:row>3</xdr:row>
      <xdr:rowOff>126648</xdr:rowOff>
    </xdr:from>
    <xdr:to>
      <xdr:col>3</xdr:col>
      <xdr:colOff>6061</xdr:colOff>
      <xdr:row>7</xdr:row>
      <xdr:rowOff>107598</xdr:rowOff>
    </xdr:to>
    <xdr:sp macro="" textlink="">
      <xdr:nvSpPr>
        <xdr:cNvPr id="27" name="Rectangle: Rounded Corners 26">
          <a:extLst>
            <a:ext uri="{FF2B5EF4-FFF2-40B4-BE49-F238E27FC236}">
              <a16:creationId xmlns:a16="http://schemas.microsoft.com/office/drawing/2014/main" id="{F5FCA2C5-FB6C-4BC8-82DC-E461EE22E783}"/>
            </a:ext>
          </a:extLst>
        </xdr:cNvPr>
        <xdr:cNvSpPr/>
      </xdr:nvSpPr>
      <xdr:spPr>
        <a:xfrm>
          <a:off x="1729566" y="691092"/>
          <a:ext cx="110939" cy="745302"/>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478614</xdr:colOff>
      <xdr:row>4</xdr:row>
      <xdr:rowOff>85725</xdr:rowOff>
    </xdr:from>
    <xdr:to>
      <xdr:col>5</xdr:col>
      <xdr:colOff>197471</xdr:colOff>
      <xdr:row>6</xdr:row>
      <xdr:rowOff>64725</xdr:rowOff>
    </xdr:to>
    <xdr:pic>
      <xdr:nvPicPr>
        <xdr:cNvPr id="28" name="Picture 27" descr="Clean sales icon transparent suitable for dashboards">
          <a:extLst>
            <a:ext uri="{FF2B5EF4-FFF2-40B4-BE49-F238E27FC236}">
              <a16:creationId xmlns:a16="http://schemas.microsoft.com/office/drawing/2014/main" id="{8664EBC8-75C9-323A-E32E-70D99D5E687B}"/>
            </a:ext>
          </a:extLst>
        </xdr:cNvPr>
        <xdr:cNvPicPr>
          <a:picLocks noChangeAspect="1" noChangeArrowheads="1"/>
        </xdr:cNvPicPr>
      </xdr:nvPicPr>
      <xdr:blipFill>
        <a:blip xmlns:r="http://schemas.openxmlformats.org/officeDocument/2006/relationships" r:embed="rId1" cstate="print">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3159725" y="838318"/>
          <a:ext cx="330339" cy="355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295620</xdr:colOff>
      <xdr:row>4</xdr:row>
      <xdr:rowOff>104775</xdr:rowOff>
    </xdr:from>
    <xdr:to>
      <xdr:col>11</xdr:col>
      <xdr:colOff>37789</xdr:colOff>
      <xdr:row>6</xdr:row>
      <xdr:rowOff>83775</xdr:rowOff>
    </xdr:to>
    <xdr:pic>
      <xdr:nvPicPr>
        <xdr:cNvPr id="29" name="Picture 28" descr="Profit ">
          <a:extLst>
            <a:ext uri="{FF2B5EF4-FFF2-40B4-BE49-F238E27FC236}">
              <a16:creationId xmlns:a16="http://schemas.microsoft.com/office/drawing/2014/main" id="{49054240-E4A5-592B-A062-1DF2E3CCA0BC}"/>
            </a:ext>
          </a:extLst>
        </xdr:cNvPr>
        <xdr:cNvPicPr>
          <a:picLocks noChangeAspect="1" noChangeArrowheads="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645620" y="857368"/>
          <a:ext cx="353650" cy="355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523303</xdr:colOff>
      <xdr:row>4</xdr:row>
      <xdr:rowOff>93605</xdr:rowOff>
    </xdr:from>
    <xdr:to>
      <xdr:col>16</xdr:col>
      <xdr:colOff>280053</xdr:colOff>
      <xdr:row>6</xdr:row>
      <xdr:rowOff>72605</xdr:rowOff>
    </xdr:to>
    <xdr:pic>
      <xdr:nvPicPr>
        <xdr:cNvPr id="30" name="Picture 29" descr="Inventory ">
          <a:extLst>
            <a:ext uri="{FF2B5EF4-FFF2-40B4-BE49-F238E27FC236}">
              <a16:creationId xmlns:a16="http://schemas.microsoft.com/office/drawing/2014/main" id="{AFA907B2-01AF-0737-5D59-EF744C095EE0}"/>
            </a:ext>
          </a:extLst>
        </xdr:cNvPr>
        <xdr:cNvPicPr>
          <a:picLocks noChangeAspect="1" noChangeArrowheads="1"/>
        </xdr:cNvPicPr>
      </xdr:nvPicPr>
      <xdr:blipFill>
        <a:blip xmlns:r="http://schemas.openxmlformats.org/officeDocument/2006/relationships" r:embed="rId3" cstate="print">
          <a:duotone>
            <a:schemeClr val="accent4">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930710" y="846198"/>
          <a:ext cx="368232" cy="355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239613</xdr:colOff>
      <xdr:row>4</xdr:row>
      <xdr:rowOff>23480</xdr:rowOff>
    </xdr:from>
    <xdr:to>
      <xdr:col>22</xdr:col>
      <xdr:colOff>3820</xdr:colOff>
      <xdr:row>6</xdr:row>
      <xdr:rowOff>6663</xdr:rowOff>
    </xdr:to>
    <xdr:pic>
      <xdr:nvPicPr>
        <xdr:cNvPr id="31" name="Picture 30" descr="Arrows ">
          <a:extLst>
            <a:ext uri="{FF2B5EF4-FFF2-40B4-BE49-F238E27FC236}">
              <a16:creationId xmlns:a16="http://schemas.microsoft.com/office/drawing/2014/main" id="{90BF42D5-A2C3-6C52-C2AD-73691DDB134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315909" y="776073"/>
          <a:ext cx="368232" cy="359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514990</xdr:colOff>
      <xdr:row>8</xdr:row>
      <xdr:rowOff>66675</xdr:rowOff>
    </xdr:from>
    <xdr:to>
      <xdr:col>13</xdr:col>
      <xdr:colOff>293982</xdr:colOff>
      <xdr:row>22</xdr:row>
      <xdr:rowOff>99217</xdr:rowOff>
    </xdr:to>
    <xdr:sp macro="" textlink="">
      <xdr:nvSpPr>
        <xdr:cNvPr id="6" name="Rectangle 5">
          <a:extLst>
            <a:ext uri="{FF2B5EF4-FFF2-40B4-BE49-F238E27FC236}">
              <a16:creationId xmlns:a16="http://schemas.microsoft.com/office/drawing/2014/main" id="{F6EAA550-9D5C-4EC4-B1A0-1FD75177A47C}"/>
            </a:ext>
          </a:extLst>
        </xdr:cNvPr>
        <xdr:cNvSpPr/>
      </xdr:nvSpPr>
      <xdr:spPr>
        <a:xfrm>
          <a:off x="1745303" y="1693863"/>
          <a:ext cx="6783835" cy="2810667"/>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106728</xdr:colOff>
      <xdr:row>8</xdr:row>
      <xdr:rowOff>134327</xdr:rowOff>
    </xdr:from>
    <xdr:to>
      <xdr:col>6</xdr:col>
      <xdr:colOff>109904</xdr:colOff>
      <xdr:row>10</xdr:row>
      <xdr:rowOff>47336</xdr:rowOff>
    </xdr:to>
    <xdr:sp macro="" textlink="">
      <xdr:nvSpPr>
        <xdr:cNvPr id="7" name="TextBox 6">
          <a:extLst>
            <a:ext uri="{FF2B5EF4-FFF2-40B4-BE49-F238E27FC236}">
              <a16:creationId xmlns:a16="http://schemas.microsoft.com/office/drawing/2014/main" id="{5878F2C7-93D4-4DA3-8401-EBB886EC0933}"/>
            </a:ext>
          </a:extLst>
        </xdr:cNvPr>
        <xdr:cNvSpPr txBox="1"/>
      </xdr:nvSpPr>
      <xdr:spPr>
        <a:xfrm>
          <a:off x="1938459" y="1746250"/>
          <a:ext cx="2066926" cy="303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solidFill>
            </a:rPr>
            <a:t>MONTHLY</a:t>
          </a:r>
          <a:r>
            <a:rPr lang="en-US" sz="1200" b="1" baseline="0">
              <a:solidFill>
                <a:schemeClr val="accent1"/>
              </a:solidFill>
            </a:rPr>
            <a:t> SALES TREND</a:t>
          </a:r>
        </a:p>
        <a:p>
          <a:endParaRPr lang="en-US" sz="1200" b="1">
            <a:solidFill>
              <a:schemeClr val="accent1"/>
            </a:solidFill>
          </a:endParaRPr>
        </a:p>
      </xdr:txBody>
    </xdr:sp>
    <xdr:clientData/>
  </xdr:twoCellAnchor>
  <xdr:twoCellAnchor>
    <xdr:from>
      <xdr:col>3</xdr:col>
      <xdr:colOff>96437</xdr:colOff>
      <xdr:row>9</xdr:row>
      <xdr:rowOff>182802</xdr:rowOff>
    </xdr:from>
    <xdr:to>
      <xdr:col>13</xdr:col>
      <xdr:colOff>183172</xdr:colOff>
      <xdr:row>21</xdr:row>
      <xdr:rowOff>170962</xdr:rowOff>
    </xdr:to>
    <xdr:graphicFrame macro="">
      <xdr:nvGraphicFramePr>
        <xdr:cNvPr id="8" name="Chart 7">
          <a:extLst>
            <a:ext uri="{FF2B5EF4-FFF2-40B4-BE49-F238E27FC236}">
              <a16:creationId xmlns:a16="http://schemas.microsoft.com/office/drawing/2014/main" id="{531D6F4A-F69A-4216-95DA-434B4429F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525096</xdr:colOff>
      <xdr:row>8</xdr:row>
      <xdr:rowOff>49097</xdr:rowOff>
    </xdr:from>
    <xdr:to>
      <xdr:col>3</xdr:col>
      <xdr:colOff>22519</xdr:colOff>
      <xdr:row>22</xdr:row>
      <xdr:rowOff>85479</xdr:rowOff>
    </xdr:to>
    <xdr:sp macro="" textlink="">
      <xdr:nvSpPr>
        <xdr:cNvPr id="9" name="Rectangle: Rounded Corners 8">
          <a:extLst>
            <a:ext uri="{FF2B5EF4-FFF2-40B4-BE49-F238E27FC236}">
              <a16:creationId xmlns:a16="http://schemas.microsoft.com/office/drawing/2014/main" id="{B5142F7C-0283-41FB-9A24-A09ACA9C7B9E}"/>
            </a:ext>
          </a:extLst>
        </xdr:cNvPr>
        <xdr:cNvSpPr/>
      </xdr:nvSpPr>
      <xdr:spPr>
        <a:xfrm>
          <a:off x="1746250" y="1661020"/>
          <a:ext cx="108000" cy="2771767"/>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399815</xdr:colOff>
      <xdr:row>8</xdr:row>
      <xdr:rowOff>76969</xdr:rowOff>
    </xdr:from>
    <xdr:to>
      <xdr:col>22</xdr:col>
      <xdr:colOff>61470</xdr:colOff>
      <xdr:row>22</xdr:row>
      <xdr:rowOff>99217</xdr:rowOff>
    </xdr:to>
    <xdr:sp macro="" textlink="">
      <xdr:nvSpPr>
        <xdr:cNvPr id="15" name="Rectangle 14">
          <a:extLst>
            <a:ext uri="{FF2B5EF4-FFF2-40B4-BE49-F238E27FC236}">
              <a16:creationId xmlns:a16="http://schemas.microsoft.com/office/drawing/2014/main" id="{C52A560B-F9FC-4936-9151-A2D3E63B56C1}"/>
            </a:ext>
          </a:extLst>
        </xdr:cNvPr>
        <xdr:cNvSpPr/>
      </xdr:nvSpPr>
      <xdr:spPr>
        <a:xfrm>
          <a:off x="8634971" y="1704157"/>
          <a:ext cx="5198062" cy="2800373"/>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12211</xdr:colOff>
      <xdr:row>10</xdr:row>
      <xdr:rowOff>24423</xdr:rowOff>
    </xdr:from>
    <xdr:to>
      <xdr:col>20</xdr:col>
      <xdr:colOff>568966</xdr:colOff>
      <xdr:row>22</xdr:row>
      <xdr:rowOff>12211</xdr:rowOff>
    </xdr:to>
    <xdr:graphicFrame macro="">
      <xdr:nvGraphicFramePr>
        <xdr:cNvPr id="16" name="Chart 15">
          <a:extLst>
            <a:ext uri="{FF2B5EF4-FFF2-40B4-BE49-F238E27FC236}">
              <a16:creationId xmlns:a16="http://schemas.microsoft.com/office/drawing/2014/main" id="{3319AD6F-59E8-4F35-8C74-25F3A9C0C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415193</xdr:colOff>
      <xdr:row>8</xdr:row>
      <xdr:rowOff>76969</xdr:rowOff>
    </xdr:from>
    <xdr:to>
      <xdr:col>13</xdr:col>
      <xdr:colOff>523193</xdr:colOff>
      <xdr:row>22</xdr:row>
      <xdr:rowOff>97691</xdr:rowOff>
    </xdr:to>
    <xdr:sp macro="" textlink="">
      <xdr:nvSpPr>
        <xdr:cNvPr id="21" name="Rectangle: Rounded Corners 20">
          <a:extLst>
            <a:ext uri="{FF2B5EF4-FFF2-40B4-BE49-F238E27FC236}">
              <a16:creationId xmlns:a16="http://schemas.microsoft.com/office/drawing/2014/main" id="{1D61C0C8-BE4E-4196-8930-B498BCD61AF8}"/>
            </a:ext>
          </a:extLst>
        </xdr:cNvPr>
        <xdr:cNvSpPr/>
      </xdr:nvSpPr>
      <xdr:spPr>
        <a:xfrm>
          <a:off x="8584712" y="1688892"/>
          <a:ext cx="108000" cy="2756107"/>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100430</xdr:colOff>
      <xdr:row>8</xdr:row>
      <xdr:rowOff>146539</xdr:rowOff>
    </xdr:from>
    <xdr:to>
      <xdr:col>17</xdr:col>
      <xdr:colOff>122114</xdr:colOff>
      <xdr:row>10</xdr:row>
      <xdr:rowOff>12492</xdr:rowOff>
    </xdr:to>
    <xdr:sp macro="" textlink="">
      <xdr:nvSpPr>
        <xdr:cNvPr id="22" name="TextBox 21">
          <a:extLst>
            <a:ext uri="{FF2B5EF4-FFF2-40B4-BE49-F238E27FC236}">
              <a16:creationId xmlns:a16="http://schemas.microsoft.com/office/drawing/2014/main" id="{1ED8B0C4-924E-4EE9-AB47-9B7E8D1BE95F}"/>
            </a:ext>
          </a:extLst>
        </xdr:cNvPr>
        <xdr:cNvSpPr txBox="1"/>
      </xdr:nvSpPr>
      <xdr:spPr>
        <a:xfrm>
          <a:off x="8880526" y="1758462"/>
          <a:ext cx="1853415" cy="256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1"/>
              </a:solidFill>
            </a:rPr>
            <a:t>SALES BY SUB-CATEGORY</a:t>
          </a:r>
        </a:p>
        <a:p>
          <a:endParaRPr lang="en-US" sz="1200" b="1">
            <a:solidFill>
              <a:schemeClr val="accent1"/>
            </a:solidFill>
          </a:endParaRPr>
        </a:p>
      </xdr:txBody>
    </xdr:sp>
    <xdr:clientData/>
  </xdr:twoCellAnchor>
  <xdr:twoCellAnchor>
    <xdr:from>
      <xdr:col>3</xdr:col>
      <xdr:colOff>157649</xdr:colOff>
      <xdr:row>25</xdr:row>
      <xdr:rowOff>85480</xdr:rowOff>
    </xdr:from>
    <xdr:to>
      <xdr:col>9</xdr:col>
      <xdr:colOff>464038</xdr:colOff>
      <xdr:row>40</xdr:row>
      <xdr:rowOff>48846</xdr:rowOff>
    </xdr:to>
    <xdr:graphicFrame macro="">
      <xdr:nvGraphicFramePr>
        <xdr:cNvPr id="23" name="Chart 22">
          <a:extLst>
            <a:ext uri="{FF2B5EF4-FFF2-40B4-BE49-F238E27FC236}">
              <a16:creationId xmlns:a16="http://schemas.microsoft.com/office/drawing/2014/main" id="{BE0ADD82-8B8B-4223-978D-CFFD7C467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508795</xdr:colOff>
      <xdr:row>23</xdr:row>
      <xdr:rowOff>39689</xdr:rowOff>
    </xdr:from>
    <xdr:to>
      <xdr:col>9</xdr:col>
      <xdr:colOff>535782</xdr:colOff>
      <xdr:row>40</xdr:row>
      <xdr:rowOff>140475</xdr:rowOff>
    </xdr:to>
    <xdr:sp macro="" textlink="">
      <xdr:nvSpPr>
        <xdr:cNvPr id="32" name="Rectangle 31">
          <a:extLst>
            <a:ext uri="{FF2B5EF4-FFF2-40B4-BE49-F238E27FC236}">
              <a16:creationId xmlns:a16="http://schemas.microsoft.com/office/drawing/2014/main" id="{7E45B1F0-4BCD-4D06-8033-374897517564}"/>
            </a:ext>
          </a:extLst>
        </xdr:cNvPr>
        <xdr:cNvSpPr/>
      </xdr:nvSpPr>
      <xdr:spPr>
        <a:xfrm>
          <a:off x="1739108" y="4643439"/>
          <a:ext cx="4571205" cy="3474224"/>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498401</xdr:colOff>
      <xdr:row>23</xdr:row>
      <xdr:rowOff>44303</xdr:rowOff>
    </xdr:from>
    <xdr:to>
      <xdr:col>3</xdr:col>
      <xdr:colOff>844</xdr:colOff>
      <xdr:row>40</xdr:row>
      <xdr:rowOff>121831</xdr:rowOff>
    </xdr:to>
    <xdr:sp macro="" textlink="">
      <xdr:nvSpPr>
        <xdr:cNvPr id="33" name="Rectangle: Rounded Corners 32">
          <a:extLst>
            <a:ext uri="{FF2B5EF4-FFF2-40B4-BE49-F238E27FC236}">
              <a16:creationId xmlns:a16="http://schemas.microsoft.com/office/drawing/2014/main" id="{595E9DF7-5F5C-46E0-B426-3925302512A3}"/>
            </a:ext>
          </a:extLst>
        </xdr:cNvPr>
        <xdr:cNvSpPr/>
      </xdr:nvSpPr>
      <xdr:spPr>
        <a:xfrm>
          <a:off x="1716715" y="4430233"/>
          <a:ext cx="111600" cy="3278371"/>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39688</xdr:colOff>
      <xdr:row>23</xdr:row>
      <xdr:rowOff>19844</xdr:rowOff>
    </xdr:from>
    <xdr:to>
      <xdr:col>15</xdr:col>
      <xdr:colOff>599907</xdr:colOff>
      <xdr:row>40</xdr:row>
      <xdr:rowOff>125442</xdr:rowOff>
    </xdr:to>
    <xdr:sp macro="" textlink="">
      <xdr:nvSpPr>
        <xdr:cNvPr id="35" name="Rectangle 34">
          <a:extLst>
            <a:ext uri="{FF2B5EF4-FFF2-40B4-BE49-F238E27FC236}">
              <a16:creationId xmlns:a16="http://schemas.microsoft.com/office/drawing/2014/main" id="{286C4F24-38CD-4C40-A607-2FEEC8AEA2E1}"/>
            </a:ext>
          </a:extLst>
        </xdr:cNvPr>
        <xdr:cNvSpPr/>
      </xdr:nvSpPr>
      <xdr:spPr>
        <a:xfrm>
          <a:off x="6429376" y="4623594"/>
          <a:ext cx="3636000" cy="3479036"/>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22151</xdr:colOff>
      <xdr:row>23</xdr:row>
      <xdr:rowOff>33227</xdr:rowOff>
    </xdr:from>
    <xdr:to>
      <xdr:col>10</xdr:col>
      <xdr:colOff>133751</xdr:colOff>
      <xdr:row>40</xdr:row>
      <xdr:rowOff>88605</xdr:rowOff>
    </xdr:to>
    <xdr:sp macro="" textlink="">
      <xdr:nvSpPr>
        <xdr:cNvPr id="36" name="Rectangle: Rounded Corners 35">
          <a:extLst>
            <a:ext uri="{FF2B5EF4-FFF2-40B4-BE49-F238E27FC236}">
              <a16:creationId xmlns:a16="http://schemas.microsoft.com/office/drawing/2014/main" id="{EFBB6ECF-3B3C-4199-BBEE-D9B8BB31BB47}"/>
            </a:ext>
          </a:extLst>
        </xdr:cNvPr>
        <xdr:cNvSpPr/>
      </xdr:nvSpPr>
      <xdr:spPr>
        <a:xfrm>
          <a:off x="6357384" y="4419157"/>
          <a:ext cx="111600" cy="3256221"/>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232020</xdr:colOff>
      <xdr:row>26</xdr:row>
      <xdr:rowOff>158749</xdr:rowOff>
    </xdr:from>
    <xdr:to>
      <xdr:col>16</xdr:col>
      <xdr:colOff>6006</xdr:colOff>
      <xdr:row>40</xdr:row>
      <xdr:rowOff>25301</xdr:rowOff>
    </xdr:to>
    <xdr:graphicFrame macro="">
      <xdr:nvGraphicFramePr>
        <xdr:cNvPr id="38" name="Chart 37">
          <a:extLst>
            <a:ext uri="{FF2B5EF4-FFF2-40B4-BE49-F238E27FC236}">
              <a16:creationId xmlns:a16="http://schemas.microsoft.com/office/drawing/2014/main" id="{FCDAF5F9-3817-443B-9855-AF4E3082C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99219</xdr:colOff>
      <xdr:row>23</xdr:row>
      <xdr:rowOff>19844</xdr:rowOff>
    </xdr:from>
    <xdr:to>
      <xdr:col>22</xdr:col>
      <xdr:colOff>44281</xdr:colOff>
      <xdr:row>40</xdr:row>
      <xdr:rowOff>133817</xdr:rowOff>
    </xdr:to>
    <xdr:sp macro="" textlink="">
      <xdr:nvSpPr>
        <xdr:cNvPr id="39" name="Rectangle 38">
          <a:extLst>
            <a:ext uri="{FF2B5EF4-FFF2-40B4-BE49-F238E27FC236}">
              <a16:creationId xmlns:a16="http://schemas.microsoft.com/office/drawing/2014/main" id="{C8686810-DFC4-4FE8-9874-DF2455DFAA6D}"/>
            </a:ext>
          </a:extLst>
        </xdr:cNvPr>
        <xdr:cNvSpPr/>
      </xdr:nvSpPr>
      <xdr:spPr>
        <a:xfrm>
          <a:off x="10179844" y="4623594"/>
          <a:ext cx="3636000" cy="3487411"/>
        </a:xfrm>
        <a:prstGeom prst="rect">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88606</xdr:colOff>
      <xdr:row>23</xdr:row>
      <xdr:rowOff>33227</xdr:rowOff>
    </xdr:from>
    <xdr:to>
      <xdr:col>16</xdr:col>
      <xdr:colOff>200206</xdr:colOff>
      <xdr:row>40</xdr:row>
      <xdr:rowOff>99680</xdr:rowOff>
    </xdr:to>
    <xdr:sp macro="" textlink="">
      <xdr:nvSpPr>
        <xdr:cNvPr id="40" name="Rectangle: Rounded Corners 39">
          <a:extLst>
            <a:ext uri="{FF2B5EF4-FFF2-40B4-BE49-F238E27FC236}">
              <a16:creationId xmlns:a16="http://schemas.microsoft.com/office/drawing/2014/main" id="{EC26AC3E-0A9A-4323-8F3C-ED86C7E303A5}"/>
            </a:ext>
          </a:extLst>
        </xdr:cNvPr>
        <xdr:cNvSpPr/>
      </xdr:nvSpPr>
      <xdr:spPr>
        <a:xfrm>
          <a:off x="10078780" y="4419157"/>
          <a:ext cx="111600" cy="3267296"/>
        </a:xfrm>
        <a:prstGeom prst="roundRect">
          <a:avLst/>
        </a:prstGeom>
        <a:solidFill>
          <a:schemeClr val="accent1">
            <a:lumMod val="50000"/>
          </a:schemeClr>
        </a:solidFill>
        <a:ln>
          <a:solidFill>
            <a:schemeClr val="accent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402981</xdr:colOff>
      <xdr:row>25</xdr:row>
      <xdr:rowOff>73269</xdr:rowOff>
    </xdr:from>
    <xdr:to>
      <xdr:col>22</xdr:col>
      <xdr:colOff>0</xdr:colOff>
      <xdr:row>40</xdr:row>
      <xdr:rowOff>48846</xdr:rowOff>
    </xdr:to>
    <xdr:graphicFrame macro="">
      <xdr:nvGraphicFramePr>
        <xdr:cNvPr id="42" name="Chart 41">
          <a:extLst>
            <a:ext uri="{FF2B5EF4-FFF2-40B4-BE49-F238E27FC236}">
              <a16:creationId xmlns:a16="http://schemas.microsoft.com/office/drawing/2014/main" id="{F9938327-ECCF-4DEF-B18C-1FE6965B7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160087</xdr:colOff>
      <xdr:row>1</xdr:row>
      <xdr:rowOff>98479</xdr:rowOff>
    </xdr:from>
    <xdr:to>
      <xdr:col>2</xdr:col>
      <xdr:colOff>439440</xdr:colOff>
      <xdr:row>9</xdr:row>
      <xdr:rowOff>128514</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1904D0CC-C15C-4C4C-8E3C-50862622EC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087" y="283687"/>
              <a:ext cx="1496436" cy="156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123702</xdr:colOff>
      <xdr:row>10</xdr:row>
      <xdr:rowOff>178030</xdr:rowOff>
    </xdr:from>
    <xdr:to>
      <xdr:col>2</xdr:col>
      <xdr:colOff>403055</xdr:colOff>
      <xdr:row>19</xdr:row>
      <xdr:rowOff>61815</xdr:rowOff>
    </xdr:to>
    <mc:AlternateContent xmlns:mc="http://schemas.openxmlformats.org/markup-compatibility/2006" xmlns:a14="http://schemas.microsoft.com/office/drawing/2010/main">
      <mc:Choice Requires="a14">
        <xdr:graphicFrame macro="">
          <xdr:nvGraphicFramePr>
            <xdr:cNvPr id="46" name="Sub-Category">
              <a:extLst>
                <a:ext uri="{FF2B5EF4-FFF2-40B4-BE49-F238E27FC236}">
                  <a16:creationId xmlns:a16="http://schemas.microsoft.com/office/drawing/2014/main" id="{B02E329B-751D-4DE0-9EAE-2B7D796010D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23702" y="2083030"/>
              <a:ext cx="1496436" cy="155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148443</xdr:colOff>
      <xdr:row>20</xdr:row>
      <xdr:rowOff>111331</xdr:rowOff>
    </xdr:from>
    <xdr:to>
      <xdr:col>2</xdr:col>
      <xdr:colOff>427796</xdr:colOff>
      <xdr:row>40</xdr:row>
      <xdr:rowOff>148442</xdr:rowOff>
    </xdr:to>
    <mc:AlternateContent xmlns:mc="http://schemas.openxmlformats.org/markup-compatibility/2006" xmlns:a14="http://schemas.microsoft.com/office/drawing/2010/main">
      <mc:Choice Requires="a14">
        <xdr:graphicFrame macro="">
          <xdr:nvGraphicFramePr>
            <xdr:cNvPr id="47" name="Month">
              <a:extLst>
                <a:ext uri="{FF2B5EF4-FFF2-40B4-BE49-F238E27FC236}">
                  <a16:creationId xmlns:a16="http://schemas.microsoft.com/office/drawing/2014/main" id="{55F57718-8776-410F-8DF9-BDA5250762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443" y="3868414"/>
              <a:ext cx="1496436" cy="3741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219808</xdr:colOff>
      <xdr:row>23</xdr:row>
      <xdr:rowOff>122116</xdr:rowOff>
    </xdr:from>
    <xdr:to>
      <xdr:col>13</xdr:col>
      <xdr:colOff>455003</xdr:colOff>
      <xdr:row>25</xdr:row>
      <xdr:rowOff>35124</xdr:rowOff>
    </xdr:to>
    <xdr:sp macro="" textlink="">
      <xdr:nvSpPr>
        <xdr:cNvPr id="48" name="TextBox 47">
          <a:extLst>
            <a:ext uri="{FF2B5EF4-FFF2-40B4-BE49-F238E27FC236}">
              <a16:creationId xmlns:a16="http://schemas.microsoft.com/office/drawing/2014/main" id="{B44B1CF0-3560-4946-9663-8326E44867A8}"/>
            </a:ext>
          </a:extLst>
        </xdr:cNvPr>
        <xdr:cNvSpPr txBox="1"/>
      </xdr:nvSpPr>
      <xdr:spPr>
        <a:xfrm>
          <a:off x="6557596" y="4664808"/>
          <a:ext cx="2066926" cy="303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solidFill>
            </a:rPr>
            <a:t>TOP 10</a:t>
          </a:r>
          <a:r>
            <a:rPr lang="en-US" sz="1200" b="1" baseline="0">
              <a:solidFill>
                <a:schemeClr val="accent1"/>
              </a:solidFill>
            </a:rPr>
            <a:t> PRODUCTS  BY SALE</a:t>
          </a:r>
        </a:p>
        <a:p>
          <a:endParaRPr lang="en-US" sz="1200" b="1">
            <a:solidFill>
              <a:schemeClr val="accent1"/>
            </a:solidFill>
          </a:endParaRPr>
        </a:p>
      </xdr:txBody>
    </xdr:sp>
    <xdr:clientData/>
  </xdr:twoCellAnchor>
  <xdr:twoCellAnchor>
    <xdr:from>
      <xdr:col>16</xdr:col>
      <xdr:colOff>378558</xdr:colOff>
      <xdr:row>23</xdr:row>
      <xdr:rowOff>97694</xdr:rowOff>
    </xdr:from>
    <xdr:to>
      <xdr:col>20</xdr:col>
      <xdr:colOff>3176</xdr:colOff>
      <xdr:row>25</xdr:row>
      <xdr:rowOff>10702</xdr:rowOff>
    </xdr:to>
    <xdr:sp macro="" textlink="">
      <xdr:nvSpPr>
        <xdr:cNvPr id="49" name="TextBox 48">
          <a:extLst>
            <a:ext uri="{FF2B5EF4-FFF2-40B4-BE49-F238E27FC236}">
              <a16:creationId xmlns:a16="http://schemas.microsoft.com/office/drawing/2014/main" id="{8BE710B2-AA65-4269-B45F-DE2FC69F7DCE}"/>
            </a:ext>
          </a:extLst>
        </xdr:cNvPr>
        <xdr:cNvSpPr txBox="1"/>
      </xdr:nvSpPr>
      <xdr:spPr>
        <a:xfrm>
          <a:off x="10379808" y="4640386"/>
          <a:ext cx="2066926" cy="303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solidFill>
            </a:rPr>
            <a:t>SALES</a:t>
          </a:r>
          <a:r>
            <a:rPr lang="en-US" sz="1200" b="1" baseline="0">
              <a:solidFill>
                <a:schemeClr val="accent1"/>
              </a:solidFill>
            </a:rPr>
            <a:t> BY SEGMENT</a:t>
          </a:r>
        </a:p>
        <a:p>
          <a:endParaRPr lang="en-US" sz="1200" b="1">
            <a:solidFill>
              <a:schemeClr val="accent1"/>
            </a:solidFill>
          </a:endParaRPr>
        </a:p>
      </xdr:txBody>
    </xdr:sp>
    <xdr:clientData/>
  </xdr:twoCellAnchor>
  <xdr:twoCellAnchor>
    <xdr:from>
      <xdr:col>3</xdr:col>
      <xdr:colOff>232019</xdr:colOff>
      <xdr:row>23</xdr:row>
      <xdr:rowOff>146539</xdr:rowOff>
    </xdr:from>
    <xdr:to>
      <xdr:col>6</xdr:col>
      <xdr:colOff>235195</xdr:colOff>
      <xdr:row>25</xdr:row>
      <xdr:rowOff>59547</xdr:rowOff>
    </xdr:to>
    <xdr:sp macro="" textlink="">
      <xdr:nvSpPr>
        <xdr:cNvPr id="50" name="TextBox 49">
          <a:extLst>
            <a:ext uri="{FF2B5EF4-FFF2-40B4-BE49-F238E27FC236}">
              <a16:creationId xmlns:a16="http://schemas.microsoft.com/office/drawing/2014/main" id="{5C229334-C38B-487F-9AEC-346B15D2ABD0}"/>
            </a:ext>
          </a:extLst>
        </xdr:cNvPr>
        <xdr:cNvSpPr txBox="1"/>
      </xdr:nvSpPr>
      <xdr:spPr>
        <a:xfrm>
          <a:off x="2063750" y="4689231"/>
          <a:ext cx="2066926" cy="303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solidFill>
            </a:rPr>
            <a:t>SALES</a:t>
          </a:r>
          <a:r>
            <a:rPr lang="en-US" sz="1200" b="1" baseline="0">
              <a:solidFill>
                <a:schemeClr val="accent1"/>
              </a:solidFill>
            </a:rPr>
            <a:t> BY REGION</a:t>
          </a:r>
        </a:p>
        <a:p>
          <a:endParaRPr lang="en-US" sz="1200" b="1">
            <a:solidFill>
              <a:schemeClr val="accent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5.886479629633" createdVersion="8" refreshedVersion="8" minRefreshableVersion="3" recordCount="2122" xr:uid="{73A80A47-7B36-4AD5-B15B-11824582ED5C}">
  <cacheSource type="worksheet">
    <worksheetSource ref="A1:U1048576" sheet="Furniture_data (power query)"/>
  </cacheSource>
  <cacheFields count="21">
    <cacheField name="Order ID" numFmtId="0">
      <sharedItems containsBlank="1"/>
    </cacheField>
    <cacheField name="Order Date" numFmtId="0">
      <sharedItems containsNonDate="0" containsDate="1" containsString="0" containsBlank="1" minDate="2014-01-06T00:00:00" maxDate="2017-12-31T00:00:00"/>
    </cacheField>
    <cacheField name="Ship Date" numFmtId="0">
      <sharedItems containsNonDate="0" containsDate="1" containsString="0" containsBlank="1" minDate="2014-01-10T00:00:00" maxDate="2018-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Region" numFmtId="0">
      <sharedItems containsBlank="1" count="5">
        <s v="South"/>
        <s v="West"/>
        <s v="East"/>
        <s v="Central"/>
        <m/>
      </sharedItems>
    </cacheField>
    <cacheField name="Product ID" numFmtId="0">
      <sharedItems containsBlank="1"/>
    </cacheField>
    <cacheField name="Category" numFmtId="0">
      <sharedItems containsBlank="1"/>
    </cacheField>
    <cacheField name="Sub-Category" numFmtId="0">
      <sharedItems containsBlank="1" count="5">
        <s v="Bookcases"/>
        <s v="Chairs"/>
        <s v="Tables"/>
        <s v="Furnishings"/>
        <m/>
      </sharedItems>
    </cacheField>
    <cacheField name="Product Name" numFmtId="0">
      <sharedItems containsBlank="1" count="381">
        <s v="Bush Somerset Collection Bookcase"/>
        <s v="Hon Deluxe Fabric Upholstered Stacking Chairs, Rounded Back"/>
        <s v="Bretford CR4500 Series Slim Rectangular Table"/>
        <s v="Eldon Expressions Wood and Plastic Desk Accessories, Cherry Wood"/>
        <s v="Chromcraft Rectangular Conference Tables"/>
        <s v="Global Deluxe Stacking Chair, Gray"/>
        <s v="Riverside Palais Royal Lawyers Bookcase, Royale Cherry Finish"/>
        <s v="Howard Miller 13-3/4&quot; Diameter Brushed Chrome Round Wall Clock"/>
        <s v="Electrix Architect's Clamp-On Swing Arm Lamp, Black"/>
        <s v="Atlantic Metals Mobile 3-Shelf Bookcases, Custom Colors"/>
        <s v="Global Fabric Manager's Chair, Dark Gray"/>
        <s v="Longer-Life Soft White Bulbs"/>
        <s v="Global Leather Task Chair, Black"/>
        <s v="Novimex Turbo Task Chair"/>
        <s v="Luxo Economy Swing Arm Lamp"/>
        <s v="Global Value Mid-Back Manager's Chair, Gray"/>
        <s v="High-Back Leather Manager's Chair"/>
        <s v="Tenex Traditional Chairmats for Medium Pile Carpet, Standard Lip, 36&quot; x 48&quot;"/>
        <s v="6&quot; Cubicle Wall Clock, Black"/>
        <s v="Eldon Expressions Desk Accessory, Wood Pencil Holder, Oak"/>
        <s v="Novimex Swivel Fabric Task Chair"/>
        <s v="Seth Thomas 13 1/2&quot; Wall Clock"/>
        <s v="9-3/4 Diameter Round Wall Clock"/>
        <s v="Deflect-o DuraMat Lighweight, Studded, Beveled Mat for Low Pile Carpeting"/>
        <s v="Magnifier Swing Arm Lamp"/>
        <s v="Hon Racetrack Conference Tables"/>
        <s v="Artistic Insta-Plaque"/>
        <s v="Global Deluxe High-Back Manager's Chair"/>
        <s v="Bevis 44 x 96 Conference Tables"/>
        <s v="Global Task Chair, Black"/>
        <s v="Eldon Cleatmat Plus Chair Mats for High Pile Carpets"/>
        <s v="Seth Thomas 14&quot; Putty-Colored Wall Clock"/>
        <s v="SAFCO Arco Folding Chair"/>
        <s v="Global Value Steno Chair, Gray"/>
        <s v="Padded Folding Chairs, Black, 4/Carton"/>
        <s v="Atlantic Metals Mobile 4-Shelf Bookcases, Custom Colors"/>
        <s v="BoxOffice By Design Rectangular and Half-Moon Meeting Room Tables"/>
        <s v="Eldon 200 Class Desk Accessories, Burgundy"/>
        <s v="O'Sullivan 2-Door Barrister Bookcase in Odessa Pine"/>
        <s v="Executive Impressions 14&quot; Two-Color Numerals Wall Clock"/>
        <s v="Bevis 36 x 72 Conference Tables"/>
        <s v="Global Low Back Tilter Chair"/>
        <s v="Global Push Button Manager's Chair, Indigo"/>
        <s v="Bush Advantage Collection Round Conference Table"/>
        <s v="Bretford Rectangular Conference Table Tops"/>
        <s v="Tenex Contemporary Contur Chairmats for Low and Medium Pile Carpet, Computer, 39&quot; x 49&quot;"/>
        <s v="Luxo Professional Fluorescent Magnifier Lamp with Clamp-Mount Base"/>
        <s v="Staple-based wall hangings"/>
        <s v="KI Conference Tables"/>
        <s v="Eldon 100 Class Desk Accessories"/>
        <s v="Global Leather Highback Executive Chair with Pneumatic Height Adjustment, Black"/>
        <s v="Regeneration Desk Collection"/>
        <s v="Bevis Round Bullnose 29&quot; High Table Top"/>
        <s v="Bush Westfield Collection Bookcases, Medium Cherry Finish"/>
        <s v="Howard Miller 13&quot; Diameter Goldtone Round Wall Clock"/>
        <s v="Global Deluxe Office Fabric Chairs"/>
        <s v="Eldon ClusterMat Chair Mat with Cordless Antistatic Protection"/>
        <s v="Floodlight Indoor Halogen Bulbs, 1 Bulb per Pack, 60 Watts"/>
        <s v="BPI Conference Tables"/>
        <s v="Electrix 20W Halogen Replacement Bulb for Zoom-In Desk Lamp"/>
        <s v="C-Line Cubicle Keepers Polyproplyene Holder With Velcro Backings"/>
        <s v="Hon 4070 Series Pagoda Armless Upholstered Stacking Chairs"/>
        <s v="Eldon Expressions Desk Accessory, Wood Photo Frame, Mahogany"/>
        <s v="Deflect-o SuperTray Unbreakable Stackable Tray, Letter, Black"/>
        <s v="DMI Arturo Collection Mission-style Design Wood Chair"/>
        <s v="Telescoping Adjustable Floor Lamp"/>
        <s v="Hon 2090 ÒPillow SoftÓ Series Mid Back Swivel/Tilt Chairs"/>
        <s v="Hon 5100 Series Wood Tables"/>
        <s v="Sauder Barrister Bookcases"/>
        <s v="Global Ergonomic Managers Chair"/>
        <s v="Eldon Wave Desk Accessories"/>
        <s v="Office Impressions End Table, 20-1/2&quot;H x 24&quot;W x 20&quot;D"/>
        <s v="Hon Practical Foundations 30 x 60 Training Table, Light Gray/Charcoal"/>
        <s v="3M Hangers With Command Adhesive"/>
        <s v="Bevis Round Conference Table Top, X-Base"/>
        <s v="O'Sullivan 4-Shelf Bookcase in Odessa Pine"/>
        <s v="Novimex High-Tech Fabric Mesh Task Chair"/>
        <s v="Bevis Steel Folding Chairs"/>
        <s v="Westinghouse Mesh Shade Clip-On Gooseneck Lamp, Black"/>
        <s v="Hon Multipurpose Stacking Arm Chairs"/>
        <s v="Coloredge Poster Frame"/>
        <s v="Global Deluxe Steno Chair"/>
        <s v="Aluminum Document Frame"/>
        <s v="Office Star - Ergonomically Designed Knee Chair"/>
        <s v="GE General Purpose, Extra Long Life, Showcase &amp; Floodlight Incandescent Bulbs"/>
        <s v="Global Geo Office Task Chair, Gray"/>
        <s v="Hon 4700 Series Mobuis Mid-Back Task Chairs with Adjustable Arms"/>
        <s v="Bush Advantage Collection Racetrack Conference Table"/>
        <s v="Bush Mission Pointe Library"/>
        <s v="Sauder Mission Library with Doors, Fruitwood Finish"/>
        <s v="O'Sullivan Living Dimensions 2-Shelf Bookcases"/>
        <s v="Balt Solid Wood Rectangular Table"/>
        <s v="Howard Miller 14-1/2&quot; Diameter Chrome Round Wall Clock"/>
        <s v="Deflect-O Glasstique Clear Desk Accessories"/>
        <s v="Global Troy Executive Leather Low-Back Tilter"/>
        <s v="Executive Impressions Supervisor Wall Clock"/>
        <s v="Global Commerce Series High-Back Swivel/Tilt Chairs"/>
        <s v="Safco Contoured Stacking Chairs"/>
        <s v="Tenex Chairmats For Use With Carpeted Floors"/>
        <s v="Situations Contoured Folding Chairs, 4/Set"/>
        <s v="Deflect-o EconoMat Studded, No Bevel Mat for Low Pile Carpeting"/>
        <s v="HON 5400 Series Task Chairs for Big and Tall"/>
        <s v="Howard Miller 11-1/2&quot; Diameter Grantwood Wall Clock"/>
        <s v="Bretford ÒJust In TimeÓ Height-Adjustable Multi-Task Work Tables"/>
        <s v="Advantus Panel Wall Acrylic Frame"/>
        <s v="Hon Every-Day Series Multi-Task Chairs"/>
        <s v="Contract Clock, 14&quot;, Brown"/>
        <s v="Dana Halogen Swing-Arm Architect Lamp"/>
        <s v="DAX Metal Frame, Desktop, Stepped-Edge"/>
        <s v="DAX Value U-Channel Document Frames, Easel Back"/>
        <s v="Global Manager's Adjustable Task Chair, Storm"/>
        <s v="Master Caster Door Stop, Brown"/>
        <s v="Office Star - Mesh Screen back chair with Vinyl seat"/>
        <s v="Eldon 200 Class Desk Accessories"/>
        <s v="Master Giant Foot Doorstop, Safety Yellow"/>
        <s v="12-1/2 Diameter Round Wall Clock"/>
        <s v="Chromcraft Bull-Nose Wood Round Conference Table Top, Wood Base"/>
        <s v="Howard Miller 13-1/2&quot; Diameter Rosebrook Wall Clock"/>
        <s v="Bush Andora Bookcase, Maple/Graphite Gray Finish"/>
        <s v="Luxo Professional Magnifying Clamp-On Fluorescent Lamps"/>
        <s v="Tenex &quot;The Solids&quot; Textured Chair Mats"/>
        <s v="Laminate Occasional Tables"/>
        <s v="O'Sullivan Living Dimensions 5-Shelf Bookcases"/>
        <s v="Howard Miller 13&quot; Diameter Pewter Finish Round Wall Clock"/>
        <s v="Chromcraft Bull-Nose Wood Oval Conference Tables &amp; Bases"/>
        <s v="Seth Thomas 16&quot; Steel Case Clock"/>
        <s v="Bevis Traditional Conference Table Top, Plinth Base"/>
        <s v="O'Sullivan Cherrywood Estates Traditional Bookcase"/>
        <s v="Nu-Dell Leatherette Frames"/>
        <s v="Chromcraft Round Conference Tables"/>
        <s v="Electrix Halogen Magnifier Lamp"/>
        <s v="Hon 4070 Series Pagoda Round Back Stacking Chairs"/>
        <s v="C-Line Magnetic Cubicle Keepers, Clear Polypropylene"/>
        <s v="Hon GuestStacker Chair"/>
        <s v="Safco Value Mate Series Steel Bookcases, Baked Enamel Finish on Steel, Gray"/>
        <s v="Lifetime Advantage Folding Chairs, 4/Carton"/>
        <s v="Office Star - Contemporary Task Swivel Chair"/>
        <s v="Executive Impressions 14&quot; Contract Wall Clock"/>
        <s v="Eldon Stackable Tray, Side-Load, Legal, Smoke"/>
        <s v="Global Leather Executive Chair"/>
        <s v="Global Airflow Leather Mesh Back Chair, Black"/>
        <s v="O'Sullivan 3-Shelf Heavy-Duty Bookcases"/>
        <s v="Linden 10&quot; Round Wall Clock, Black"/>
        <s v="Howard Miller 11-1/2&quot; Diameter Ridgewood Wall Clock"/>
        <s v="Dax Clear Box Frame"/>
        <s v="Bush Westfield Collection Bookcases, Fully Assembled"/>
        <s v="Lesro Sheffield Collection Coffee Table, End Table, Center Table, Corner Table"/>
        <s v="Bevis Boat-Shaped Conference Table"/>
        <s v="Deflect-o RollaMat Studded, Beveled Mat for Medium Pile Carpeting"/>
        <s v="Riverside Furniture Oval Coffee Table, Oval End Table, End Table with Drawer"/>
        <s v="Luxo Professional Combination Clamp-On Lamps"/>
        <s v="DAX Black Cherry Wood-Tone Poster Frame"/>
        <s v="Magna Visual Magnetic Picture Hangers"/>
        <s v="Eldon Delta Triangular Chair Mat, 52&quot; x 58&quot;, Clear"/>
        <s v="G.E. Halogen Desk Lamp Bulbs"/>
        <s v="Global Comet Stacking Arm Chair"/>
        <s v="Eldon Advantage Chair Mats for Low to Medium Pile Carpets"/>
        <s v="Atlantic Metals Mobile 5-Shelf Bookcases, Custom Colors"/>
        <s v="Global Stack Chair without Arms, Black"/>
        <s v="Eldon Antistatic Chair Mats for Low to Medium Pile Carpets"/>
        <s v="Howard Miller 12&quot; Round Wall Clock"/>
        <s v="Eldon Advantage Foldable Chair Mats for Low Pile Carpets"/>
        <s v="Global High-Back Leather Tilter, Burgundy"/>
        <s v="Hon 4060 Series Tables"/>
        <s v="Bush Saratoga Collection 5-Shelf Bookcase, Hanover Cherry, *Special Order"/>
        <s v="KI Adjustable-Height Table"/>
        <s v="Eldon Regeneration Recycled Desk Accessories, Smoke"/>
        <s v="Chromcraft 48&quot; x 96&quot; Racetrack Double Pedestal Table"/>
        <s v="Hon Deluxe Fabric Upholstered Stacking Chairs"/>
        <s v="C-Line Cubicle Keepers Polyproplyene Holder w/Velcro Back, 8-1/2x11, 25/Bx"/>
        <s v="Harbour Creations Steel Folding Chair"/>
        <s v="GuestStacker Chair with Chrome Finish Legs"/>
        <s v="Ultra Door Push Plate"/>
        <s v="Global Chrome Stack Chair"/>
        <s v="Eldon Expressions Punched Metal &amp; Wood Desk Accessories, Pewter &amp; Cherry"/>
        <s v="24-Hour Round Wall Clock"/>
        <s v="Eldon Radial Chair Mat for Low to Medium Pile Carpets"/>
        <s v="Eldon Image Series Desk Accessories, Ebony"/>
        <s v="Hon Non-Folding Utility Tables"/>
        <s v="Bestar Classic Bookcase"/>
        <s v="Office Star - Contemporary Swivel Chair with Padded Adjustable Arms and Flex Back"/>
        <s v="Westinghouse Clip-On Gooseneck Lamps"/>
        <s v="Howard Miller Distant Time Traveler Alarm Clock"/>
        <s v="Office Star Flex Back Scooter Chair with White Frame"/>
        <s v="Sauder Cornerstone Collection Library"/>
        <s v="Westinghouse Floor Lamp with Metal Mesh Shade, Black"/>
        <s v="Hon Valutask Swivel Chairs"/>
        <s v="Seth Thomas 12&quot; Clock w/ Goldtone Case"/>
        <s v="Tensor Computer Mounted Lamp"/>
        <s v="Leather Task Chair, Black"/>
        <s v="Lesro Round Back Collection Coffee Table, End Table"/>
        <s v="Eldon 200 Class Desk Accessories, Black"/>
        <s v="Bevis Oval Conference Table, Walnut"/>
        <s v="Hon 61000 Series Interactive Training Tables"/>
        <s v="Bush Andora Conference Table, Maple/Graphite Gray Finish"/>
        <s v="DAX Executive Solid Wood Document Frame, Desktop or Hang, Mahogany, 5 x 7"/>
        <s v="Global Super Steno Chair"/>
        <s v="Iceberg OfficeWorks 42&quot; Round Tables"/>
        <s v="DAX Wood Document Frame"/>
        <s v="Global Executive Mid-Back Manager's Chair"/>
        <s v="Eldon Image Series Desk Accessories, Burgundy"/>
        <s v="Hon 2111 Invitation Series Corner Table"/>
        <s v="Master Caster Door Stop, Large Neon Orange"/>
        <s v="Sauder Inglewood Library Bookcases"/>
        <s v="Tenex 46&quot; x 60&quot; Computer Anti-Static Chairmat, Rectangular Shaped"/>
        <s v="GE 48&quot; Fluorescent Tube, Cool White Energy Saver, 34 Watts, 30/Box"/>
        <s v="Stacking Tray, Side-Loading, Legal, Smoke"/>
        <s v="DAX Natural Wood-Tone Poster Frame"/>
        <s v="O'Sullivan Manor Hill 2-Door Library in Brianna Oak"/>
        <s v="Nu-Dell Float Frame 11 x 14 1/2"/>
        <s v="Sauder Facets Collection Library, Sky Alder Finish"/>
        <s v="SAFCO PlanMaster Heigh-Adjustable Drafting Table Base, 43w x 30d x 30-37h, Black"/>
        <s v="Hon 2111 Invitation Series Straight Table"/>
        <s v="Sauder Camden County Barrister Bookcase, Planked Cherry Finish"/>
        <s v="Sauder Camden County Collection Libraries, Planked Cherry Finish"/>
        <s v="Advantus Panel Wall Certificate Holder - 8.5x11"/>
        <s v="Office Star - Professional Matrix Back Chair with 2-to-1 Synchro Tilt and Mesh Fabric Seat"/>
        <s v="DAX Cubicle Frames - 8x10"/>
        <s v="Electrix Incandescent Magnifying Lamp, Black"/>
        <s v="Global Stack Chair with Arms, Black"/>
        <s v="Seth Thomas 14&quot; Day/Date Wall Clock"/>
        <s v="Hon Olson Stacker Stools"/>
        <s v="Dana Fluorescent Magnifying Lamp, White, 36&quot;"/>
        <s v="Flat Face Poster Frame"/>
        <s v="Sauder Forest Hills Library with Doors, Woodland Oak Finish"/>
        <s v="Executive Impressions 8-1/2&quot; Career Panel/Partition Cubicle Clock"/>
        <s v="Hon 30&quot; x 60&quot; Table with Locking Drawer"/>
        <s v="Safco Drafting Table"/>
        <s v="Ultra Door Pull Handle"/>
        <s v="Global Comet Stacking Armless Chair"/>
        <s v="Hand-Finished Solid Wood Document Frame"/>
        <s v="DAX Charcoal/Nickel-Tone Document Frame, 5 x 7"/>
        <s v="Global Commerce Series Low-Back Swivel/Tilt Chairs"/>
        <s v="O'Sullivan 2-Shelf Heavy-Duty Bookcases"/>
        <s v="Global Wood Trimmed Manager's Task Chair, Khaki"/>
        <s v="Bevis Round Conference Table Top &amp; Single Column Base"/>
        <s v="O'Sullivan Elevations Bookcase, Cherry Finish"/>
        <s v="Novimex Fabric Task Chair"/>
        <s v="Master Big Foot Doorstop, Beige"/>
        <s v="Hon 94000 Series Round Tables"/>
        <s v="DMI Eclipse Executive Suite Bookcases"/>
        <s v="DataProducts Ampli Magnifier Task Lamp, Black,"/>
        <s v="Eldon Expressions Wood Desk Accessories, Oak"/>
        <s v="Chromcraft Bull-Nose Wood 48&quot; x 96&quot; Rectangular Conference Tables"/>
        <s v="Hon Mobius Operator's Chair"/>
        <s v="Howard Miller 16&quot; Diameter Gallery Wall Clock"/>
        <s v="Eldon Executive Woodline II Desk Accessories, Mahogany"/>
        <s v="Metal Folding Chairs, Beige, 4/Carton"/>
        <s v="Atlantic Metals Mobile 2-Shelf Bookcases, Custom Colors"/>
        <s v="Eldon Cleatmat Chair Mats for Medium Pile Carpets"/>
        <s v="Deflect-o Glass Clear Studded Chair Mats"/>
        <s v="Bevis Round Conference Room Tables and Bases"/>
        <s v="Balt Solid Wood Round Tables"/>
        <s v="Tenex Antistatic Computer Chair Mats"/>
        <s v="Nu-Dell Executive Frame"/>
        <s v="Global Leather &amp; Oak Executive Chair, Burgundy"/>
        <s v="Rubbermaid ClusterMat Chairmats, Mat Size- 66&quot; x 60&quot;, Lip 20&quot; x 11&quot; -90 Degree Angle"/>
        <s v="DAX Solid Wood Frames"/>
        <s v="O'Sullivan Plantations 2-Door Library in Landvery Oak"/>
        <s v="Hon Rectangular Conference Tables"/>
        <s v="Iceberg Nesting Folding Chair, 19w x 6d x 43h"/>
        <s v="Bevis Rectangular Conference Tables"/>
        <s v="Eldon Pizzaz Desk Accessories"/>
        <s v="Sauder Forest Hills Library, Woodland Oak Finish"/>
        <s v="Global Deluxe High-Back Office Chair in Storm"/>
        <s v="Bush Westfield Collection Bookcases, Dark Cherry Finish"/>
        <s v="3M Polarizing Task Lamp with Clamp Arm, Light Gray"/>
        <s v="Contemporary Wood/Metal Frame"/>
        <s v="O'Sullivan Living Dimensions 3-Shelf Bookcases"/>
        <s v="GE General Use Halogen Bulbs, 100 Watts, 1 Bulb per Pack"/>
        <s v="Eldon Image Series Black Desk Accessories"/>
        <s v="Executive Impressions 14&quot;"/>
        <s v="Executive Impressions 12&quot; Wall Clock"/>
        <s v="Bretford CR8500 Series Meeting Room Furniture"/>
        <s v="SAFCO Optional Arm Kit for Workspace Cribbage Stacking Chair"/>
        <s v="Stackable Trays"/>
        <s v="Executive Impressions 13&quot; Clairmont Wall Clock"/>
        <s v="Global Adaptabilites Bookcase, Cherry/Storm Gray Finish"/>
        <s v="Global Italian Leather Office Chair"/>
        <s v="Computer Room Manger, 14&quot;"/>
        <s v="Hon Deluxe Fabric Upholstered Stacking Chairs, Squared Back"/>
        <s v="Advantus Employee of the Month Certificate Frame, 11 x 13-1/2"/>
        <s v="Eldon Expressions Punched Metal &amp; Wood Desk Accessories, Black &amp; Cherry"/>
        <s v="GE 4 Foot Flourescent Tube, 40 Watt"/>
        <s v="Dana Swing-Arm Lamps"/>
        <s v="Eldon 200 Class Desk Accessories, Smoke"/>
        <s v="Tenex Carpeted, Granite-Look or Clear Contemporary Contour Shape Chair Mats"/>
        <s v="Global Highback Leather Tilter in Burgundy"/>
        <s v="Executive Impressions 13-1/2&quot; Indoor/Outdoor Wall Clock"/>
        <s v="Eldon 400 Class Desk Accessories, Black Carbon"/>
        <s v="Harbour Creations 67200 Series Stacking Chairs"/>
        <s v="Tenex V2T-RE Standard Weight Series Chair Mat, 45&quot; x 53&quot;, Lip 25&quot; x 12&quot;"/>
        <s v="DAX Two-Tone Rosewood/Black Document Frame, Desktop, 5 x 7"/>
        <s v="Safco Chair Connectors, 6/Carton"/>
        <s v="Eldon Expressions Mahogany Wood Desk Collection"/>
        <s v="Stacking Trays by OIC"/>
        <s v="DAX Clear Channel Poster Frame"/>
        <s v="Hon Pagoda Stacking Chairs"/>
        <s v="36X48 HARDFLOOR CHAIRMAT"/>
        <s v="Anderson Hickey Conga Table Tops &amp; Accessories"/>
        <s v="Eldon Econocleat Chair Mats for Low Pile Carpets"/>
        <s v="Bush Cubix Collection Bookcases, Fully Assembled"/>
        <s v="Seth Thomas 8 1/2&quot; Cubicle Clock"/>
        <s v="G.E. Longer-Life Indoor Recessed Floodlight Bulbs"/>
        <s v="Global Leather and Oak Executive Chair, Black"/>
        <s v="Master Caster Door Stop, Gray"/>
        <s v="Tenex Chairmats For Use with Hard Floors"/>
        <s v="Rush Hierlooms Collection 1&quot; Thick Stackable Bookcases"/>
        <s v="Barricks 18&quot; x 48&quot; Non-Folding Utility Table with Bottom Storage Shelf"/>
        <s v="Executive Impressions 10&quot; Spectator Wall Clock"/>
        <s v="Hon Metal Bookcases, Putty"/>
        <s v="OIC Stacking Trays"/>
        <s v="Global Armless Task Chair, Royal Blue"/>
        <s v="Eldon Executive Woodline II Cherry Finish Desk Accessories"/>
        <s v="Tenex Traditional Chairmats for Hard Floors, Average Lip, 36&quot; x 48&quot;"/>
        <s v="Hon Metal Bookcases, Black"/>
        <s v="Bush Birmingham Collection Bookcase, Dark Cherry"/>
        <s v="Acrylic Self-Standing Desk Frames"/>
        <s v="Eldon Regeneration Recycled Desk Accessories, Black"/>
        <s v="Office Star - Mid Back Dual function Ergonomic High Back Chair with 2-Way Adjustable Arms"/>
        <s v="Balt Split Level Computer Training Table"/>
        <s v="SAFCO Folding Chair Trolley"/>
        <s v="Office Star - Contemporary Task Swivel chair with Loop Arms, Charcoal"/>
        <s v="Executive Impressions 13&quot; Chairman Wall Clock"/>
        <s v="Eldon 300 Class Desk Accessories, Black"/>
        <s v="Eldon &quot;L&quot; Workstation Diamond Chairmat"/>
        <s v="DAX Copper Panel Document Frame, 5 x 7 Size"/>
        <s v="Bush Heritage Pine Collection 5-Shelf Bookcase, Albany Pine Finish, *Special Order"/>
        <s v="3M Polarizing Light Filter Sleeves"/>
        <s v="Eldon Expressions Wood and Plastic Desk Accessories, Oak"/>
        <s v="Ultra Door Kickplate, 8&quot;H x 34&quot;W"/>
        <s v="Howard Miller 11-1/2&quot; Diameter Brentwood Wall Clock"/>
        <s v="Hon Metal Bookcases, Gray"/>
        <s v="Rush Hierlooms Collection Rich Wood Bookcases"/>
        <s v="Global Enterprise Series Seating High-Back Swivel/Tilt Chairs"/>
        <s v="O'Sullivan 5-Shelf Heavy-Duty Bookcases"/>
        <s v="Safco Value Mate Steel Bookcase, Baked Enamel Finish on Steel, Black"/>
        <s v="Howard Miller 12-3/4 Diameter Accuwave DS  Wall Clock"/>
        <s v="DAX Wood Document Frame."/>
        <s v="DAX Two-Tone Silver Metal Document Frame"/>
        <s v="O'Sullivan Cherrywood Estates Traditional Barrister Bookcase"/>
        <s v="Hon 4-Shelf Metal Bookcases"/>
        <s v="Global Adaptabilities Conference Tables"/>
        <s v="Riverside Furniture Stanwyck Manor Table Series"/>
        <s v="Master Caster Door Stop, Large Brown"/>
        <s v="Nu-Dell Oak Frame"/>
        <s v="Document Clip Frames"/>
        <s v="DAX Cubicle Frames, 8-1/2 x 11"/>
        <s v="Sauder Camden County Collection Library"/>
        <s v="Office Star - Ergonomic Mid Back Chair with 2-Way Adjustable Arms"/>
        <s v="DAX Contemporary Wood Frame with Silver Metal Mat, Desktop, 11 x 14 Size"/>
        <s v="Deflect-o EconoMat Nonstudded, No Bevel Mat"/>
        <s v="Hon Every-Day Chair Series Swivel Task Chairs"/>
        <s v="Office Star Flex Back Scooter Chair with Aluminum Finish Frame"/>
        <s v="Eldon Imˆge Series Desk Accessories, Clear"/>
        <s v="Barricks Non-Folding Utility Table with Steel Legs, Laminate Tops"/>
        <s v="Eldon 500 Class Desk Accessories"/>
        <s v="Luxo Adjustable Task Clamp Lamp"/>
        <s v="Bush Cubix Conference Tables, Fully Assembled"/>
        <s v="Office Star - Contemporary Task Swivel chair with 2-way adjustable arms, Plum"/>
        <s v="SAFCO PlanMaster Boards, 60w x 37-1/2d, White Melamine"/>
        <s v="Hon Comfortask Task/Swivel Chairs"/>
        <s v="Career Cubicle Clock, 8 1/4&quot;, Black"/>
        <s v="Tenex B1-RE Series Chair Mats for Low Pile Carpets"/>
        <s v="Ultra Commercial Grade Dual Valve Door Closer"/>
        <s v="Contemporary Borderless Frame"/>
        <s v="Linden 12&quot; Wall Clock With Oak Frame"/>
        <s v="Tensor Brushed Steel Torchiere Floor Lamp"/>
        <s v="Nu-Dell EZ-Mount Plastic Wall Frames"/>
        <s v="Tensor Track Tree Floor Lamp"/>
        <s v="Hon Olson Stacker Chairs"/>
        <s v="Deflect-o DuraMat Antistatic Studded Beveled Mat for Medium Pile Carpeting"/>
        <s v="Tenex Chairmat w/ Average Lip, 45&quot; x 53&quot;"/>
        <s v="Electrix Fluorescent Magnifier Lamps &amp; Weighted Base"/>
        <s v="Tensor &quot;Hersey Kiss&quot; Styled Floor Lamp"/>
        <s v="Bush Westfield Collection Bookcases, Dark Cherry Finish, Fully Assembled"/>
        <s v="Executive Impressions 16-1/2&quot; Circular Wall Clock"/>
        <s v="Executive Impressions 14&quot; Contract Wall Clock with Quartz Movement"/>
        <s v="Global Enterprise Series Seating Low-Back Swivel/Tilt Chairs"/>
        <s v="Office Star - Task Chair with Contemporary Loop Arms"/>
        <m/>
      </sharedItems>
    </cacheField>
    <cacheField name="Sales" numFmtId="164">
      <sharedItems containsString="0" containsBlank="1" containsNumber="1" minValue="1.8919999999999999" maxValue="4416.174"/>
    </cacheField>
    <cacheField name="Quantity" numFmtId="0">
      <sharedItems containsString="0" containsBlank="1" containsNumber="1" containsInteger="1" minValue="1" maxValue="14"/>
    </cacheField>
    <cacheField name="Profit" numFmtId="164">
      <sharedItems containsString="0" containsBlank="1" containsNumber="1" minValue="-1862.3124" maxValue="1013.127"/>
    </cacheField>
    <cacheField name="Duration" numFmtId="0">
      <sharedItems containsBlank="1"/>
    </cacheField>
    <cacheField name="Shipping duration" numFmtId="1">
      <sharedItems containsString="0" containsBlank="1" containsNumber="1" containsInteger="1" minValue="0" maxValue="7"/>
    </cacheField>
    <cacheField name="Month" numFmtId="0">
      <sharedItems containsBlank="1" count="13">
        <s v="Nov"/>
        <s v="Oct"/>
        <s v="Jun"/>
        <s v="Jul"/>
        <s v="Sep"/>
        <s v="Dec"/>
        <s v="Apr"/>
        <s v="May"/>
        <s v="Jan"/>
        <s v="Mar"/>
        <s v="Aug"/>
        <s v="Feb"/>
        <m/>
      </sharedItems>
    </cacheField>
  </cacheFields>
  <extLst>
    <ext xmlns:x14="http://schemas.microsoft.com/office/spreadsheetml/2009/9/main" uri="{725AE2AE-9491-48be-B2B4-4EB974FC3084}">
      <x14:pivotCacheDefinition pivotCacheId="390265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2">
  <r>
    <s v="CA-2016-152156"/>
    <d v="2016-11-08T00:00:00"/>
    <d v="2016-11-11T00:00:00"/>
    <x v="0"/>
    <s v="CG-12520"/>
    <s v="Claire Gute"/>
    <x v="0"/>
    <s v="United States"/>
    <s v="Henderson"/>
    <s v="Kentucky"/>
    <x v="0"/>
    <s v="FUR-BO-10001798"/>
    <s v="Furniture"/>
    <x v="0"/>
    <x v="0"/>
    <n v="261.95999999999998"/>
    <n v="2"/>
    <n v="41.913600000000002"/>
    <s v="3- days"/>
    <n v="3"/>
    <x v="0"/>
  </r>
  <r>
    <s v="CA-2016-152156"/>
    <d v="2016-11-08T00:00:00"/>
    <d v="2016-11-11T00:00:00"/>
    <x v="0"/>
    <s v="CG-12520"/>
    <s v="Claire Gute"/>
    <x v="0"/>
    <s v="United States"/>
    <s v="Henderson"/>
    <s v="Kentucky"/>
    <x v="0"/>
    <s v="FUR-CH-10000454"/>
    <s v="Furniture"/>
    <x v="1"/>
    <x v="1"/>
    <n v="731.94"/>
    <n v="3"/>
    <n v="219.58199999999999"/>
    <s v="3- days"/>
    <n v="3"/>
    <x v="0"/>
  </r>
  <r>
    <s v="US-2015-108966"/>
    <d v="2015-10-11T00:00:00"/>
    <d v="2015-10-18T00:00:00"/>
    <x v="1"/>
    <s v="SO-20335"/>
    <s v="Sean O'Donnell"/>
    <x v="0"/>
    <s v="United States"/>
    <s v="Fort Lauderdale"/>
    <s v="Florida"/>
    <x v="0"/>
    <s v="FUR-TA-10000577"/>
    <s v="Furniture"/>
    <x v="2"/>
    <x v="2"/>
    <n v="957.57749999999999"/>
    <n v="5"/>
    <n v="-383.03100000000001"/>
    <s v="7- days"/>
    <n v="7"/>
    <x v="1"/>
  </r>
  <r>
    <s v="CA-2014-115812"/>
    <d v="2014-06-09T00:00:00"/>
    <d v="2014-06-14T00:00:00"/>
    <x v="1"/>
    <s v="BH-11710"/>
    <s v="Brosina Hoffman"/>
    <x v="0"/>
    <s v="United States"/>
    <s v="Los Angeles"/>
    <s v="California"/>
    <x v="1"/>
    <s v="FUR-FU-10001487"/>
    <s v="Furniture"/>
    <x v="3"/>
    <x v="3"/>
    <n v="48.86"/>
    <n v="7"/>
    <n v="14.1694"/>
    <s v="5- days"/>
    <n v="5"/>
    <x v="2"/>
  </r>
  <r>
    <s v="CA-2014-115812"/>
    <d v="2014-06-09T00:00:00"/>
    <d v="2014-06-14T00:00:00"/>
    <x v="1"/>
    <s v="BH-11710"/>
    <s v="Brosina Hoffman"/>
    <x v="0"/>
    <s v="United States"/>
    <s v="Los Angeles"/>
    <s v="California"/>
    <x v="1"/>
    <s v="FUR-TA-10001539"/>
    <s v="Furniture"/>
    <x v="2"/>
    <x v="4"/>
    <n v="1706.184"/>
    <n v="9"/>
    <n v="85.309200000000004"/>
    <s v="5- days"/>
    <n v="5"/>
    <x v="2"/>
  </r>
  <r>
    <s v="US-2017-156909"/>
    <d v="2017-07-16T00:00:00"/>
    <d v="2017-07-18T00:00:00"/>
    <x v="0"/>
    <s v="SF-20065"/>
    <s v="Sandra Flanagan"/>
    <x v="0"/>
    <s v="United States"/>
    <s v="Philadelphia"/>
    <s v="Pennsylvania"/>
    <x v="2"/>
    <s v="FUR-CH-10002774"/>
    <s v="Furniture"/>
    <x v="1"/>
    <x v="5"/>
    <n v="71.372"/>
    <n v="2"/>
    <n v="-1.0196000000000001"/>
    <s v="2- days"/>
    <n v="2"/>
    <x v="3"/>
  </r>
  <r>
    <s v="CA-2015-106320"/>
    <d v="2015-09-25T00:00:00"/>
    <d v="2015-09-30T00:00:00"/>
    <x v="1"/>
    <s v="EB-13870"/>
    <s v="Emily Burns"/>
    <x v="0"/>
    <s v="United States"/>
    <s v="Orem"/>
    <s v="Utah"/>
    <x v="1"/>
    <s v="FUR-TA-10000577"/>
    <s v="Furniture"/>
    <x v="2"/>
    <x v="2"/>
    <n v="1044.6300000000001"/>
    <n v="3"/>
    <n v="240.26490000000001"/>
    <s v="5- days"/>
    <n v="5"/>
    <x v="4"/>
  </r>
  <r>
    <s v="US-2015-150630"/>
    <d v="2015-09-17T00:00:00"/>
    <d v="2015-09-21T00:00:00"/>
    <x v="1"/>
    <s v="TB-21520"/>
    <s v="Tracy Blumstein"/>
    <x v="0"/>
    <s v="United States"/>
    <s v="Philadelphia"/>
    <s v="Pennsylvania"/>
    <x v="2"/>
    <s v="FUR-BO-10004834"/>
    <s v="Furniture"/>
    <x v="0"/>
    <x v="6"/>
    <n v="3083.43"/>
    <n v="7"/>
    <n v="-1665.0522000000001"/>
    <s v="4- days"/>
    <n v="4"/>
    <x v="4"/>
  </r>
  <r>
    <s v="US-2015-150630"/>
    <d v="2015-09-17T00:00:00"/>
    <d v="2015-09-21T00:00:00"/>
    <x v="1"/>
    <s v="TB-21520"/>
    <s v="Tracy Blumstein"/>
    <x v="0"/>
    <s v="United States"/>
    <s v="Philadelphia"/>
    <s v="Pennsylvania"/>
    <x v="2"/>
    <s v="FUR-FU-10004848"/>
    <s v="Furniture"/>
    <x v="3"/>
    <x v="7"/>
    <n v="124.2"/>
    <n v="3"/>
    <n v="15.525"/>
    <s v="4- days"/>
    <n v="4"/>
    <x v="4"/>
  </r>
  <r>
    <s v="CA-2016-117590"/>
    <d v="2016-12-08T00:00:00"/>
    <d v="2016-12-10T00:00:00"/>
    <x v="2"/>
    <s v="GH-14485"/>
    <s v="Gene Hale"/>
    <x v="1"/>
    <s v="United States"/>
    <s v="Richardson"/>
    <s v="Texas"/>
    <x v="3"/>
    <s v="FUR-FU-10003664"/>
    <s v="Furniture"/>
    <x v="3"/>
    <x v="8"/>
    <n v="190.92"/>
    <n v="5"/>
    <n v="-147.96299999999999"/>
    <s v="2- days"/>
    <n v="2"/>
    <x v="5"/>
  </r>
  <r>
    <s v="CA-2015-117415"/>
    <d v="2015-12-27T00:00:00"/>
    <d v="2015-12-31T00:00:00"/>
    <x v="1"/>
    <s v="SN-20710"/>
    <s v="Steve Nguyen"/>
    <x v="2"/>
    <s v="United States"/>
    <s v="Houston"/>
    <s v="Texas"/>
    <x v="3"/>
    <s v="FUR-BO-10002545"/>
    <s v="Furniture"/>
    <x v="0"/>
    <x v="9"/>
    <n v="532.39919999999995"/>
    <n v="3"/>
    <n v="-46.976399999999998"/>
    <s v="4- days"/>
    <n v="4"/>
    <x v="5"/>
  </r>
  <r>
    <s v="CA-2015-117415"/>
    <d v="2015-12-27T00:00:00"/>
    <d v="2015-12-31T00:00:00"/>
    <x v="1"/>
    <s v="SN-20710"/>
    <s v="Steve Nguyen"/>
    <x v="2"/>
    <s v="United States"/>
    <s v="Houston"/>
    <s v="Texas"/>
    <x v="3"/>
    <s v="FUR-CH-10004218"/>
    <s v="Furniture"/>
    <x v="1"/>
    <x v="10"/>
    <n v="212.05799999999999"/>
    <n v="3"/>
    <n v="-15.147"/>
    <s v="4- days"/>
    <n v="4"/>
    <x v="5"/>
  </r>
  <r>
    <s v="CA-2015-115742"/>
    <d v="2015-04-18T00:00:00"/>
    <d v="2015-04-22T00:00:00"/>
    <x v="1"/>
    <s v="DP-13000"/>
    <s v="Darren Powers"/>
    <x v="0"/>
    <s v="United States"/>
    <s v="New Albany"/>
    <s v="Indiana"/>
    <x v="3"/>
    <s v="FUR-FU-10001706"/>
    <s v="Furniture"/>
    <x v="3"/>
    <x v="11"/>
    <n v="6.16"/>
    <n v="2"/>
    <n v="2.9567999999999999"/>
    <s v="4- days"/>
    <n v="4"/>
    <x v="6"/>
  </r>
  <r>
    <s v="CA-2015-115742"/>
    <d v="2015-04-18T00:00:00"/>
    <d v="2015-04-22T00:00:00"/>
    <x v="1"/>
    <s v="DP-13000"/>
    <s v="Darren Powers"/>
    <x v="0"/>
    <s v="United States"/>
    <s v="New Albany"/>
    <s v="Indiana"/>
    <x v="3"/>
    <s v="FUR-CH-10003061"/>
    <s v="Furniture"/>
    <x v="1"/>
    <x v="12"/>
    <n v="89.99"/>
    <n v="1"/>
    <n v="17.098099999999999"/>
    <s v="4- days"/>
    <n v="4"/>
    <x v="6"/>
  </r>
  <r>
    <s v="CA-2016-111682"/>
    <d v="2016-06-17T00:00:00"/>
    <d v="2016-06-18T00:00:00"/>
    <x v="2"/>
    <s v="TB-21055"/>
    <s v="Ted Butterfield"/>
    <x v="0"/>
    <s v="United States"/>
    <s v="Troy"/>
    <s v="New York"/>
    <x v="2"/>
    <s v="FUR-CH-10003968"/>
    <s v="Furniture"/>
    <x v="1"/>
    <x v="13"/>
    <n v="319.41000000000003"/>
    <n v="5"/>
    <n v="7.0979999999999999"/>
    <s v="1- days"/>
    <n v="1"/>
    <x v="2"/>
  </r>
  <r>
    <s v="CA-2015-135545"/>
    <d v="2015-11-24T00:00:00"/>
    <d v="2015-11-30T00:00:00"/>
    <x v="1"/>
    <s v="KM-16720"/>
    <s v="Kunst Miller"/>
    <x v="0"/>
    <s v="United States"/>
    <s v="Los Angeles"/>
    <s v="California"/>
    <x v="1"/>
    <s v="FUR-FU-10000397"/>
    <s v="Furniture"/>
    <x v="3"/>
    <x v="14"/>
    <n v="79.760000000000005"/>
    <n v="4"/>
    <n v="22.332799999999999"/>
    <s v="6- days"/>
    <n v="6"/>
    <x v="0"/>
  </r>
  <r>
    <s v="US-2015-164175"/>
    <d v="2015-04-30T00:00:00"/>
    <d v="2015-05-05T00:00:00"/>
    <x v="1"/>
    <s v="PS-18970"/>
    <s v="Paul Stevenson"/>
    <x v="2"/>
    <s v="United States"/>
    <s v="Chicago"/>
    <s v="Illinois"/>
    <x v="3"/>
    <s v="FUR-CH-10001146"/>
    <s v="Furniture"/>
    <x v="1"/>
    <x v="15"/>
    <n v="213.11500000000001"/>
    <n v="5"/>
    <n v="-15.2225"/>
    <s v="5- days"/>
    <n v="5"/>
    <x v="6"/>
  </r>
  <r>
    <s v="US-2015-134026"/>
    <d v="2015-04-26T00:00:00"/>
    <d v="2015-05-02T00:00:00"/>
    <x v="1"/>
    <s v="JE-15745"/>
    <s v="Joel Eaton"/>
    <x v="0"/>
    <s v="United States"/>
    <s v="Memphis"/>
    <s v="Tennessee"/>
    <x v="0"/>
    <s v="FUR-CH-10000513"/>
    <s v="Furniture"/>
    <x v="1"/>
    <x v="16"/>
    <n v="831.93600000000004"/>
    <n v="8"/>
    <n v="-114.3912"/>
    <s v="6- days"/>
    <n v="6"/>
    <x v="6"/>
  </r>
  <r>
    <s v="US-2015-134026"/>
    <d v="2015-04-26T00:00:00"/>
    <d v="2015-05-02T00:00:00"/>
    <x v="1"/>
    <s v="JE-15745"/>
    <s v="Joel Eaton"/>
    <x v="0"/>
    <s v="United States"/>
    <s v="Memphis"/>
    <s v="Tennessee"/>
    <x v="0"/>
    <s v="FUR-FU-10003708"/>
    <s v="Furniture"/>
    <x v="3"/>
    <x v="17"/>
    <n v="97.04"/>
    <n v="2"/>
    <n v="1.2130000000000001"/>
    <s v="6- days"/>
    <n v="6"/>
    <x v="6"/>
  </r>
  <r>
    <s v="US-2017-118038"/>
    <d v="2017-12-09T00:00:00"/>
    <d v="2017-12-11T00:00:00"/>
    <x v="2"/>
    <s v="KB-16600"/>
    <s v="Ken Brennan"/>
    <x v="1"/>
    <s v="United States"/>
    <s v="Houston"/>
    <s v="Texas"/>
    <x v="3"/>
    <s v="FUR-FU-10000260"/>
    <s v="Furniture"/>
    <x v="3"/>
    <x v="18"/>
    <n v="9.7080000000000002"/>
    <n v="3"/>
    <n v="-5.8247999999999998"/>
    <s v="2- days"/>
    <n v="2"/>
    <x v="5"/>
  </r>
  <r>
    <s v="US-2014-147606"/>
    <d v="2014-11-26T00:00:00"/>
    <d v="2014-12-01T00:00:00"/>
    <x v="0"/>
    <s v="JE-15745"/>
    <s v="Joel Eaton"/>
    <x v="0"/>
    <s v="United States"/>
    <s v="Houston"/>
    <s v="Texas"/>
    <x v="3"/>
    <s v="FUR-FU-10003194"/>
    <s v="Furniture"/>
    <x v="3"/>
    <x v="19"/>
    <n v="19.3"/>
    <n v="5"/>
    <n v="-14.475"/>
    <s v="5- days"/>
    <n v="5"/>
    <x v="0"/>
  </r>
  <r>
    <s v="CA-2017-140088"/>
    <d v="2017-05-28T00:00:00"/>
    <d v="2017-05-30T00:00:00"/>
    <x v="0"/>
    <s v="PO-18865"/>
    <s v="Patrick O'Donnell"/>
    <x v="0"/>
    <s v="United States"/>
    <s v="Columbia"/>
    <s v="South Carolina"/>
    <x v="0"/>
    <s v="FUR-CH-10000863"/>
    <s v="Furniture"/>
    <x v="1"/>
    <x v="20"/>
    <n v="301.95999999999998"/>
    <n v="2"/>
    <n v="33.215600000000002"/>
    <s v="2- days"/>
    <n v="2"/>
    <x v="7"/>
  </r>
  <r>
    <s v="CA-2015-149587"/>
    <d v="2015-01-31T00:00:00"/>
    <d v="2015-02-05T00:00:00"/>
    <x v="0"/>
    <s v="KB-16315"/>
    <s v="Karl Braun"/>
    <x v="0"/>
    <s v="United States"/>
    <s v="Minneapolis"/>
    <s v="Minnesota"/>
    <x v="3"/>
    <s v="FUR-FU-10003799"/>
    <s v="Furniture"/>
    <x v="3"/>
    <x v="21"/>
    <n v="53.34"/>
    <n v="3"/>
    <n v="16.535399999999999"/>
    <s v="5- days"/>
    <n v="5"/>
    <x v="8"/>
  </r>
  <r>
    <s v="CA-2017-161018"/>
    <d v="2017-11-09T00:00:00"/>
    <d v="2017-11-11T00:00:00"/>
    <x v="0"/>
    <s v="PN-18775"/>
    <s v="Parhena Norris"/>
    <x v="2"/>
    <s v="United States"/>
    <s v="New York City"/>
    <s v="New York"/>
    <x v="2"/>
    <s v="FUR-FU-10000629"/>
    <s v="Furniture"/>
    <x v="3"/>
    <x v="22"/>
    <n v="96.53"/>
    <n v="7"/>
    <n v="40.5426"/>
    <s v="2- days"/>
    <n v="2"/>
    <x v="0"/>
  </r>
  <r>
    <s v="US-2015-156867"/>
    <d v="2015-11-13T00:00:00"/>
    <d v="2015-11-17T00:00:00"/>
    <x v="1"/>
    <s v="LC-16870"/>
    <s v="Lena Cacioppo"/>
    <x v="0"/>
    <s v="United States"/>
    <s v="Aurora"/>
    <s v="Colorado"/>
    <x v="1"/>
    <s v="FUR-FU-10004006"/>
    <s v="Furniture"/>
    <x v="3"/>
    <x v="23"/>
    <n v="102.36"/>
    <n v="3"/>
    <n v="-3.8384999999999998"/>
    <s v="4- days"/>
    <n v="4"/>
    <x v="0"/>
  </r>
  <r>
    <s v="CA-2017-146780"/>
    <d v="2017-12-25T00:00:00"/>
    <d v="2017-12-30T00:00:00"/>
    <x v="1"/>
    <s v="CV-12805"/>
    <s v="Cynthia Voltz"/>
    <x v="1"/>
    <s v="United States"/>
    <s v="New York City"/>
    <s v="New York"/>
    <x v="2"/>
    <s v="FUR-FU-10001934"/>
    <s v="Furniture"/>
    <x v="3"/>
    <x v="24"/>
    <n v="41.96"/>
    <n v="2"/>
    <n v="10.909599999999999"/>
    <s v="5- days"/>
    <n v="5"/>
    <x v="5"/>
  </r>
  <r>
    <s v="CA-2015-110457"/>
    <d v="2015-03-02T00:00:00"/>
    <d v="2015-03-06T00:00:00"/>
    <x v="1"/>
    <s v="DK-13090"/>
    <s v="Dave Kipp"/>
    <x v="0"/>
    <s v="United States"/>
    <s v="Seattle"/>
    <s v="Washington"/>
    <x v="1"/>
    <s v="FUR-TA-10001768"/>
    <s v="Furniture"/>
    <x v="2"/>
    <x v="25"/>
    <n v="787.53"/>
    <n v="3"/>
    <n v="165.38130000000001"/>
    <s v="4- days"/>
    <n v="4"/>
    <x v="9"/>
  </r>
  <r>
    <s v="CA-2016-103730"/>
    <d v="2016-06-12T00:00:00"/>
    <d v="2016-06-15T00:00:00"/>
    <x v="2"/>
    <s v="SC-20725"/>
    <s v="Steven Cartwright"/>
    <x v="0"/>
    <s v="United States"/>
    <s v="Wilmington"/>
    <s v="Delaware"/>
    <x v="2"/>
    <s v="FUR-FU-10002157"/>
    <s v="Furniture"/>
    <x v="3"/>
    <x v="26"/>
    <n v="47.04"/>
    <n v="3"/>
    <n v="18.345600000000001"/>
    <s v="3- days"/>
    <n v="3"/>
    <x v="2"/>
  </r>
  <r>
    <s v="US-2014-152030"/>
    <d v="2014-12-26T00:00:00"/>
    <d v="2014-12-28T00:00:00"/>
    <x v="0"/>
    <s v="AD-10180"/>
    <s v="Alan Dominguez"/>
    <x v="2"/>
    <s v="United States"/>
    <s v="Houston"/>
    <s v="Texas"/>
    <x v="3"/>
    <s v="FUR-CH-10004063"/>
    <s v="Furniture"/>
    <x v="1"/>
    <x v="27"/>
    <n v="600.55799999999999"/>
    <n v="3"/>
    <n v="-8.5793999999999997"/>
    <s v="2- days"/>
    <n v="2"/>
    <x v="5"/>
  </r>
  <r>
    <s v="US-2014-134614"/>
    <d v="2014-09-20T00:00:00"/>
    <d v="2014-09-25T00:00:00"/>
    <x v="1"/>
    <s v="PF-19165"/>
    <s v="Philip Fox"/>
    <x v="0"/>
    <s v="United States"/>
    <s v="Bloomington"/>
    <s v="Illinois"/>
    <x v="3"/>
    <s v="FUR-TA-10004534"/>
    <s v="Furniture"/>
    <x v="2"/>
    <x v="28"/>
    <n v="617.70000000000005"/>
    <n v="6"/>
    <n v="-407.68200000000002"/>
    <s v="5- days"/>
    <n v="5"/>
    <x v="4"/>
  </r>
  <r>
    <s v="US-2016-125969"/>
    <d v="2016-11-06T00:00:00"/>
    <d v="2016-11-10T00:00:00"/>
    <x v="0"/>
    <s v="LS-16975"/>
    <s v="Lindsay Shagiari"/>
    <x v="2"/>
    <s v="United States"/>
    <s v="Los Angeles"/>
    <s v="California"/>
    <x v="1"/>
    <s v="FUR-CH-10001146"/>
    <s v="Furniture"/>
    <x v="1"/>
    <x v="29"/>
    <n v="81.424000000000007"/>
    <n v="2"/>
    <n v="-9.1601999999999997"/>
    <s v="4- days"/>
    <n v="4"/>
    <x v="0"/>
  </r>
  <r>
    <s v="US-2016-125969"/>
    <d v="2016-11-06T00:00:00"/>
    <d v="2016-11-10T00:00:00"/>
    <x v="0"/>
    <s v="LS-16975"/>
    <s v="Lindsay Shagiari"/>
    <x v="2"/>
    <s v="United States"/>
    <s v="Los Angeles"/>
    <s v="California"/>
    <x v="1"/>
    <s v="FUR-FU-10003773"/>
    <s v="Furniture"/>
    <x v="3"/>
    <x v="30"/>
    <n v="238.56"/>
    <n v="3"/>
    <n v="26.241599999999998"/>
    <s v="4- days"/>
    <n v="4"/>
    <x v="0"/>
  </r>
  <r>
    <s v="CA-2016-145583"/>
    <d v="2016-10-13T00:00:00"/>
    <d v="2016-10-19T00:00:00"/>
    <x v="1"/>
    <s v="LC-16885"/>
    <s v="Lena Creighton"/>
    <x v="0"/>
    <s v="United States"/>
    <s v="Roseville"/>
    <s v="California"/>
    <x v="1"/>
    <s v="FUR-FU-10001706"/>
    <s v="Furniture"/>
    <x v="3"/>
    <x v="11"/>
    <n v="43.12"/>
    <n v="14"/>
    <n v="20.697600000000001"/>
    <s v="6- days"/>
    <n v="6"/>
    <x v="1"/>
  </r>
  <r>
    <s v="CA-2016-110366"/>
    <d v="2016-09-05T00:00:00"/>
    <d v="2016-09-07T00:00:00"/>
    <x v="0"/>
    <s v="JD-15895"/>
    <s v="Jonathan Doherty"/>
    <x v="1"/>
    <s v="United States"/>
    <s v="Philadelphia"/>
    <s v="Pennsylvania"/>
    <x v="2"/>
    <s v="FUR-FU-10004848"/>
    <s v="Furniture"/>
    <x v="3"/>
    <x v="7"/>
    <n v="82.8"/>
    <n v="2"/>
    <n v="10.35"/>
    <s v="2- days"/>
    <n v="2"/>
    <x v="4"/>
  </r>
  <r>
    <s v="CA-2014-110072"/>
    <d v="2014-10-22T00:00:00"/>
    <d v="2014-10-28T00:00:00"/>
    <x v="1"/>
    <s v="MG-17680"/>
    <s v="Maureen Gastineau"/>
    <x v="2"/>
    <s v="United States"/>
    <s v="Newark"/>
    <s v="Ohio"/>
    <x v="2"/>
    <s v="FUR-FU-10000521"/>
    <s v="Furniture"/>
    <x v="3"/>
    <x v="31"/>
    <n v="93.888000000000005"/>
    <n v="4"/>
    <n v="12.909599999999999"/>
    <s v="6- days"/>
    <n v="6"/>
    <x v="1"/>
  </r>
  <r>
    <s v="CA-2016-114489"/>
    <d v="2016-12-05T00:00:00"/>
    <d v="2016-12-09T00:00:00"/>
    <x v="1"/>
    <s v="JE-16165"/>
    <s v="Justin Ellison"/>
    <x v="1"/>
    <s v="United States"/>
    <s v="Franklin"/>
    <s v="Wisconsin"/>
    <x v="3"/>
    <s v="FUR-CH-10000454"/>
    <s v="Furniture"/>
    <x v="1"/>
    <x v="1"/>
    <n v="1951.84"/>
    <n v="8"/>
    <n v="585.55200000000002"/>
    <s v="4- days"/>
    <n v="4"/>
    <x v="5"/>
  </r>
  <r>
    <s v="CA-2014-104269"/>
    <d v="2014-03-01T00:00:00"/>
    <d v="2014-03-06T00:00:00"/>
    <x v="0"/>
    <s v="DB-13060"/>
    <s v="Dave Brooks"/>
    <x v="0"/>
    <s v="United States"/>
    <s v="Seattle"/>
    <s v="Washington"/>
    <x v="1"/>
    <s v="FUR-CH-10004063"/>
    <s v="Furniture"/>
    <x v="1"/>
    <x v="27"/>
    <n v="457.56799999999998"/>
    <n v="2"/>
    <n v="51.476399999999998"/>
    <s v="5- days"/>
    <n v="5"/>
    <x v="9"/>
  </r>
  <r>
    <s v="CA-2014-139892"/>
    <d v="2014-09-08T00:00:00"/>
    <d v="2014-09-12T00:00:00"/>
    <x v="1"/>
    <s v="BM-11140"/>
    <s v="Becky Martin"/>
    <x v="0"/>
    <s v="United States"/>
    <s v="San Antonio"/>
    <s v="Texas"/>
    <x v="3"/>
    <s v="FUR-CH-10004287"/>
    <s v="Furniture"/>
    <x v="1"/>
    <x v="32"/>
    <n v="1740.06"/>
    <n v="9"/>
    <n v="-24.858000000000001"/>
    <s v="4- days"/>
    <n v="4"/>
    <x v="4"/>
  </r>
  <r>
    <s v="CA-2014-118962"/>
    <d v="2014-08-05T00:00:00"/>
    <d v="2014-08-09T00:00:00"/>
    <x v="1"/>
    <s v="CS-12130"/>
    <s v="Chad Sievert"/>
    <x v="0"/>
    <s v="United States"/>
    <s v="Los Angeles"/>
    <s v="California"/>
    <x v="1"/>
    <s v="FUR-CH-10003817"/>
    <s v="Furniture"/>
    <x v="1"/>
    <x v="33"/>
    <n v="340.14400000000001"/>
    <n v="7"/>
    <n v="21.259"/>
    <s v="4- days"/>
    <n v="4"/>
    <x v="10"/>
  </r>
  <r>
    <s v="US-2015-101511"/>
    <d v="2015-11-21T00:00:00"/>
    <d v="2015-11-23T00:00:00"/>
    <x v="0"/>
    <s v="JE-15745"/>
    <s v="Joel Eaton"/>
    <x v="0"/>
    <s v="United States"/>
    <s v="Newark"/>
    <s v="Ohio"/>
    <x v="2"/>
    <s v="FUR-CH-10004698"/>
    <s v="Furniture"/>
    <x v="1"/>
    <x v="34"/>
    <n v="396.80200000000002"/>
    <n v="7"/>
    <n v="-11.337199999999999"/>
    <s v="2- days"/>
    <n v="2"/>
    <x v="0"/>
  </r>
  <r>
    <s v="CA-2015-102281"/>
    <d v="2015-10-12T00:00:00"/>
    <d v="2015-10-14T00:00:00"/>
    <x v="2"/>
    <s v="MP-17470"/>
    <s v="Mark Packer"/>
    <x v="2"/>
    <s v="United States"/>
    <s v="New York City"/>
    <s v="New York"/>
    <x v="2"/>
    <s v="FUR-BO-10002613"/>
    <s v="Furniture"/>
    <x v="0"/>
    <x v="35"/>
    <n v="899.13599999999997"/>
    <n v="4"/>
    <n v="112.392"/>
    <s v="2- days"/>
    <n v="2"/>
    <x v="1"/>
  </r>
  <r>
    <s v="CA-2015-102281"/>
    <d v="2015-10-12T00:00:00"/>
    <d v="2015-10-14T00:00:00"/>
    <x v="2"/>
    <s v="MP-17470"/>
    <s v="Mark Packer"/>
    <x v="2"/>
    <s v="United States"/>
    <s v="New York City"/>
    <s v="New York"/>
    <x v="2"/>
    <s v="FUR-BO-10002545"/>
    <s v="Furniture"/>
    <x v="0"/>
    <x v="9"/>
    <n v="626.35199999999998"/>
    <n v="3"/>
    <n v="46.976399999999998"/>
    <s v="2- days"/>
    <n v="2"/>
    <x v="1"/>
  </r>
  <r>
    <s v="CA-2014-133690"/>
    <d v="2014-08-03T00:00:00"/>
    <d v="2014-08-05T00:00:00"/>
    <x v="2"/>
    <s v="BS-11755"/>
    <s v="Bruce Stewart"/>
    <x v="0"/>
    <s v="United States"/>
    <s v="Denver"/>
    <s v="Colorado"/>
    <x v="1"/>
    <s v="FUR-TA-10004289"/>
    <s v="Furniture"/>
    <x v="2"/>
    <x v="36"/>
    <n v="218.75"/>
    <n v="2"/>
    <n v="-161.875"/>
    <s v="2- days"/>
    <n v="2"/>
    <x v="10"/>
  </r>
  <r>
    <s v="CA-2017-126382"/>
    <d v="2017-06-03T00:00:00"/>
    <d v="2017-06-07T00:00:00"/>
    <x v="1"/>
    <s v="HK-14890"/>
    <s v="Heather Kirkland"/>
    <x v="1"/>
    <s v="United States"/>
    <s v="Franklin"/>
    <s v="Tennessee"/>
    <x v="0"/>
    <s v="FUR-FU-10002960"/>
    <s v="Furniture"/>
    <x v="3"/>
    <x v="37"/>
    <n v="35.167999999999999"/>
    <n v="7"/>
    <n v="9.6712000000000007"/>
    <s v="4- days"/>
    <n v="4"/>
    <x v="2"/>
  </r>
  <r>
    <s v="CA-2015-146262"/>
    <d v="2015-01-02T00:00:00"/>
    <d v="2015-01-09T00:00:00"/>
    <x v="1"/>
    <s v="VW-21775"/>
    <s v="Victoria Wilson"/>
    <x v="1"/>
    <s v="United States"/>
    <s v="Medina"/>
    <s v="Ohio"/>
    <x v="2"/>
    <s v="FUR-BO-10004695"/>
    <s v="Furniture"/>
    <x v="0"/>
    <x v="38"/>
    <n v="452.45"/>
    <n v="5"/>
    <n v="-244.32300000000001"/>
    <s v="7- days"/>
    <n v="7"/>
    <x v="8"/>
  </r>
  <r>
    <s v="CA-2015-169397"/>
    <d v="2015-12-24T00:00:00"/>
    <d v="2015-12-27T00:00:00"/>
    <x v="2"/>
    <s v="JB-15925"/>
    <s v="Joni Blumstein"/>
    <x v="0"/>
    <s v="United States"/>
    <s v="Dublin"/>
    <s v="Ohio"/>
    <x v="2"/>
    <s v="FUR-FU-10000087"/>
    <s v="Furniture"/>
    <x v="3"/>
    <x v="39"/>
    <n v="72.703999999999994"/>
    <n v="4"/>
    <n v="19.084800000000001"/>
    <s v="3- days"/>
    <n v="3"/>
    <x v="5"/>
  </r>
  <r>
    <s v="CA-2015-163055"/>
    <d v="2015-08-09T00:00:00"/>
    <d v="2015-08-16T00:00:00"/>
    <x v="1"/>
    <s v="DS-13180"/>
    <s v="David Smith"/>
    <x v="1"/>
    <s v="United States"/>
    <s v="Detroit"/>
    <s v="Michigan"/>
    <x v="3"/>
    <s v="FUR-TA-10003748"/>
    <s v="Furniture"/>
    <x v="2"/>
    <x v="40"/>
    <n v="622.45000000000005"/>
    <n v="5"/>
    <n v="136.93899999999999"/>
    <s v="7- days"/>
    <n v="7"/>
    <x v="10"/>
  </r>
  <r>
    <s v="US-2015-145436"/>
    <d v="2015-02-28T00:00:00"/>
    <d v="2015-03-04T00:00:00"/>
    <x v="1"/>
    <s v="VD-21670"/>
    <s v="Valerie Dominguez"/>
    <x v="0"/>
    <s v="United States"/>
    <s v="Columbia"/>
    <s v="Tennessee"/>
    <x v="0"/>
    <s v="FUR-CH-10004860"/>
    <s v="Furniture"/>
    <x v="1"/>
    <x v="41"/>
    <n v="161.56800000000001"/>
    <n v="2"/>
    <n v="-28.2744"/>
    <s v="4- days"/>
    <n v="4"/>
    <x v="11"/>
  </r>
  <r>
    <s v="US-2015-145436"/>
    <d v="2015-02-28T00:00:00"/>
    <d v="2015-03-04T00:00:00"/>
    <x v="1"/>
    <s v="VD-21670"/>
    <s v="Valerie Dominguez"/>
    <x v="0"/>
    <s v="United States"/>
    <s v="Columbia"/>
    <s v="Tennessee"/>
    <x v="0"/>
    <s v="FUR-CH-10004477"/>
    <s v="Furniture"/>
    <x v="1"/>
    <x v="42"/>
    <n v="389.69600000000003"/>
    <n v="8"/>
    <n v="43.840800000000002"/>
    <s v="4- days"/>
    <n v="4"/>
    <x v="11"/>
  </r>
  <r>
    <s v="US-2017-100930"/>
    <d v="2017-04-07T00:00:00"/>
    <d v="2017-04-12T00:00:00"/>
    <x v="1"/>
    <s v="CS-12400"/>
    <s v="Christopher Schild"/>
    <x v="2"/>
    <s v="United States"/>
    <s v="Tampa"/>
    <s v="Florida"/>
    <x v="0"/>
    <s v="FUR-TA-10001705"/>
    <s v="Furniture"/>
    <x v="2"/>
    <x v="43"/>
    <n v="233.86"/>
    <n v="2"/>
    <n v="-102.048"/>
    <s v="5- days"/>
    <n v="5"/>
    <x v="6"/>
  </r>
  <r>
    <s v="US-2017-100930"/>
    <d v="2017-04-07T00:00:00"/>
    <d v="2017-04-12T00:00:00"/>
    <x v="1"/>
    <s v="CS-12400"/>
    <s v="Christopher Schild"/>
    <x v="2"/>
    <s v="United States"/>
    <s v="Tampa"/>
    <s v="Florida"/>
    <x v="0"/>
    <s v="FUR-TA-10003473"/>
    <s v="Furniture"/>
    <x v="2"/>
    <x v="44"/>
    <n v="620.61450000000002"/>
    <n v="3"/>
    <n v="-248.2458"/>
    <s v="5- days"/>
    <n v="5"/>
    <x v="6"/>
  </r>
  <r>
    <s v="US-2017-100930"/>
    <d v="2017-04-07T00:00:00"/>
    <d v="2017-04-12T00:00:00"/>
    <x v="1"/>
    <s v="CS-12400"/>
    <s v="Christopher Schild"/>
    <x v="2"/>
    <s v="United States"/>
    <s v="Tampa"/>
    <s v="Florida"/>
    <x v="0"/>
    <s v="FUR-FU-10004017"/>
    <s v="Furniture"/>
    <x v="3"/>
    <x v="45"/>
    <n v="258.072"/>
    <n v="3"/>
    <n v="0"/>
    <s v="5- days"/>
    <n v="5"/>
    <x v="6"/>
  </r>
  <r>
    <s v="CA-2016-157749"/>
    <d v="2016-06-04T00:00:00"/>
    <d v="2016-06-09T00:00:00"/>
    <x v="0"/>
    <s v="KL-16645"/>
    <s v="Ken Lonsdale"/>
    <x v="0"/>
    <s v="United States"/>
    <s v="Chicago"/>
    <s v="Illinois"/>
    <x v="3"/>
    <s v="FUR-FU-10000576"/>
    <s v="Furniture"/>
    <x v="3"/>
    <x v="46"/>
    <n v="419.68"/>
    <n v="5"/>
    <n v="-356.72800000000001"/>
    <s v="5- days"/>
    <n v="5"/>
    <x v="2"/>
  </r>
  <r>
    <s v="CA-2016-157749"/>
    <d v="2016-06-04T00:00:00"/>
    <d v="2016-06-09T00:00:00"/>
    <x v="0"/>
    <s v="KL-16645"/>
    <s v="Ken Lonsdale"/>
    <x v="0"/>
    <s v="United States"/>
    <s v="Chicago"/>
    <s v="Illinois"/>
    <x v="3"/>
    <s v="FUR-FU-10004351"/>
    <s v="Furniture"/>
    <x v="3"/>
    <x v="47"/>
    <n v="11.688000000000001"/>
    <n v="3"/>
    <n v="-4.6752000000000002"/>
    <s v="5- days"/>
    <n v="5"/>
    <x v="2"/>
  </r>
  <r>
    <s v="CA-2016-157749"/>
    <d v="2016-06-04T00:00:00"/>
    <d v="2016-06-09T00:00:00"/>
    <x v="0"/>
    <s v="KL-16645"/>
    <s v="Ken Lonsdale"/>
    <x v="0"/>
    <s v="United States"/>
    <s v="Chicago"/>
    <s v="Illinois"/>
    <x v="3"/>
    <s v="FUR-TA-10002607"/>
    <s v="Furniture"/>
    <x v="2"/>
    <x v="48"/>
    <n v="177.22499999999999"/>
    <n v="5"/>
    <n v="-120.51300000000001"/>
    <s v="5- days"/>
    <n v="5"/>
    <x v="2"/>
  </r>
  <r>
    <s v="CA-2016-157749"/>
    <d v="2016-06-04T00:00:00"/>
    <d v="2016-06-09T00:00:00"/>
    <x v="0"/>
    <s v="KL-16645"/>
    <s v="Ken Lonsdale"/>
    <x v="0"/>
    <s v="United States"/>
    <s v="Chicago"/>
    <s v="Illinois"/>
    <x v="3"/>
    <s v="FUR-FU-10002505"/>
    <s v="Furniture"/>
    <x v="3"/>
    <x v="49"/>
    <n v="4.0439999999999996"/>
    <n v="3"/>
    <n v="-2.8308"/>
    <s v="5- days"/>
    <n v="5"/>
    <x v="2"/>
  </r>
  <r>
    <s v="CA-2014-131926"/>
    <d v="2014-06-01T00:00:00"/>
    <d v="2014-06-06T00:00:00"/>
    <x v="0"/>
    <s v="DW-13480"/>
    <s v="Dianna Wilson"/>
    <x v="2"/>
    <s v="United States"/>
    <s v="Lakeville"/>
    <s v="Minnesota"/>
    <x v="3"/>
    <s v="FUR-CH-10004063"/>
    <s v="Furniture"/>
    <x v="1"/>
    <x v="27"/>
    <n v="2001.86"/>
    <n v="7"/>
    <n v="580.5394"/>
    <s v="5- days"/>
    <n v="5"/>
    <x v="2"/>
  </r>
  <r>
    <s v="CA-2016-154739"/>
    <d v="2016-12-10T00:00:00"/>
    <d v="2016-12-15T00:00:00"/>
    <x v="0"/>
    <s v="LH-17155"/>
    <s v="Logan Haushalter"/>
    <x v="0"/>
    <s v="United States"/>
    <s v="San Francisco"/>
    <s v="California"/>
    <x v="1"/>
    <s v="FUR-CH-10002965"/>
    <s v="Furniture"/>
    <x v="1"/>
    <x v="50"/>
    <n v="321.56799999999998"/>
    <n v="2"/>
    <n v="28.1372"/>
    <s v="5- days"/>
    <n v="5"/>
    <x v="5"/>
  </r>
  <r>
    <s v="US-2015-159982"/>
    <d v="2015-11-28T00:00:00"/>
    <d v="2015-12-04T00:00:00"/>
    <x v="1"/>
    <s v="DR-12880"/>
    <s v="Dan Reichenbach"/>
    <x v="1"/>
    <s v="United States"/>
    <s v="Chicago"/>
    <s v="Illinois"/>
    <x v="3"/>
    <s v="FUR-FU-10002505"/>
    <s v="Furniture"/>
    <x v="3"/>
    <x v="49"/>
    <n v="12.132"/>
    <n v="9"/>
    <n v="-8.4923999999999999"/>
    <s v="6- days"/>
    <n v="6"/>
    <x v="0"/>
  </r>
  <r>
    <s v="CA-2015-155334"/>
    <d v="2015-07-30T00:00:00"/>
    <d v="2015-07-31T00:00:00"/>
    <x v="2"/>
    <s v="HA-14920"/>
    <s v="Helen Andreada"/>
    <x v="0"/>
    <s v="United States"/>
    <s v="San Francisco"/>
    <s v="California"/>
    <x v="1"/>
    <s v="FUR-FU-10003274"/>
    <s v="Furniture"/>
    <x v="3"/>
    <x v="51"/>
    <n v="5.28"/>
    <n v="3"/>
    <n v="2.3231999999999999"/>
    <s v="1- days"/>
    <n v="1"/>
    <x v="3"/>
  </r>
  <r>
    <s v="CA-2015-130890"/>
    <d v="2015-11-02T00:00:00"/>
    <d v="2015-11-06T00:00:00"/>
    <x v="1"/>
    <s v="JO-15280"/>
    <s v="Jas O'Carroll"/>
    <x v="0"/>
    <s v="United States"/>
    <s v="Los Angeles"/>
    <s v="California"/>
    <x v="1"/>
    <s v="FUR-TA-10002903"/>
    <s v="Furniture"/>
    <x v="2"/>
    <x v="52"/>
    <n v="1038.8399999999999"/>
    <n v="5"/>
    <n v="51.942"/>
    <s v="4- days"/>
    <n v="4"/>
    <x v="0"/>
  </r>
  <r>
    <s v="CA-2016-110772"/>
    <d v="2016-11-20T00:00:00"/>
    <d v="2016-11-24T00:00:00"/>
    <x v="0"/>
    <s v="NZ-18565"/>
    <s v="Nick Zandusky"/>
    <x v="2"/>
    <s v="United States"/>
    <s v="Columbus"/>
    <s v="Ohio"/>
    <x v="2"/>
    <s v="FUR-BO-10004709"/>
    <s v="Furniture"/>
    <x v="0"/>
    <x v="53"/>
    <n v="86.97"/>
    <n v="3"/>
    <n v="-48.703200000000002"/>
    <s v="4- days"/>
    <n v="4"/>
    <x v="0"/>
  </r>
  <r>
    <s v="CA-2014-111451"/>
    <d v="2014-12-26T00:00:00"/>
    <d v="2014-12-28T00:00:00"/>
    <x v="2"/>
    <s v="KL-16555"/>
    <s v="Kelly Lampkin"/>
    <x v="1"/>
    <s v="United States"/>
    <s v="Colorado Springs"/>
    <s v="Colorado"/>
    <x v="1"/>
    <s v="FUR-FU-10004091"/>
    <s v="Furniture"/>
    <x v="3"/>
    <x v="54"/>
    <n v="300.416"/>
    <n v="8"/>
    <n v="78.859200000000001"/>
    <s v="2- days"/>
    <n v="2"/>
    <x v="5"/>
  </r>
  <r>
    <s v="CA-2014-111451"/>
    <d v="2014-12-26T00:00:00"/>
    <d v="2014-12-28T00:00:00"/>
    <x v="2"/>
    <s v="KL-16555"/>
    <s v="Kelly Lampkin"/>
    <x v="1"/>
    <s v="United States"/>
    <s v="Colorado Springs"/>
    <s v="Colorado"/>
    <x v="1"/>
    <s v="FUR-CH-10001891"/>
    <s v="Furniture"/>
    <x v="1"/>
    <x v="55"/>
    <n v="230.352"/>
    <n v="3"/>
    <n v="20.155799999999999"/>
    <s v="2- days"/>
    <n v="2"/>
    <x v="5"/>
  </r>
  <r>
    <s v="CA-2014-111451"/>
    <d v="2014-12-26T00:00:00"/>
    <d v="2014-12-28T00:00:00"/>
    <x v="2"/>
    <s v="KL-16555"/>
    <s v="Kelly Lampkin"/>
    <x v="1"/>
    <s v="United States"/>
    <s v="Colorado Springs"/>
    <s v="Colorado"/>
    <x v="1"/>
    <s v="FUR-FU-10002918"/>
    <s v="Furniture"/>
    <x v="3"/>
    <x v="56"/>
    <n v="218.352"/>
    <n v="3"/>
    <n v="-24.564599999999999"/>
    <s v="2- days"/>
    <n v="2"/>
    <x v="5"/>
  </r>
  <r>
    <s v="CA-2016-142545"/>
    <d v="2016-10-28T00:00:00"/>
    <d v="2016-11-03T00:00:00"/>
    <x v="1"/>
    <s v="JD-15895"/>
    <s v="Jonathan Doherty"/>
    <x v="1"/>
    <s v="United States"/>
    <s v="Belleville"/>
    <s v="New Jersey"/>
    <x v="2"/>
    <s v="FUR-FU-10001861"/>
    <s v="Furniture"/>
    <x v="3"/>
    <x v="57"/>
    <n v="77.599999999999994"/>
    <n v="4"/>
    <n v="38.024000000000001"/>
    <s v="6- days"/>
    <n v="6"/>
    <x v="1"/>
  </r>
  <r>
    <s v="US-2017-152380"/>
    <d v="2017-11-19T00:00:00"/>
    <d v="2017-11-23T00:00:00"/>
    <x v="1"/>
    <s v="JH-15910"/>
    <s v="Jonathan Howell"/>
    <x v="0"/>
    <s v="United States"/>
    <s v="Chicago"/>
    <s v="Illinois"/>
    <x v="3"/>
    <s v="FUR-TA-10002533"/>
    <s v="Furniture"/>
    <x v="2"/>
    <x v="58"/>
    <n v="219.07499999999999"/>
    <n v="3"/>
    <n v="-131.44499999999999"/>
    <s v="4- days"/>
    <n v="4"/>
    <x v="0"/>
  </r>
  <r>
    <s v="CA-2015-144253"/>
    <d v="2015-05-04T00:00:00"/>
    <d v="2015-05-09T00:00:00"/>
    <x v="0"/>
    <s v="AS-10225"/>
    <s v="Alan Schoenberger"/>
    <x v="1"/>
    <s v="United States"/>
    <s v="New York City"/>
    <s v="New York"/>
    <x v="2"/>
    <s v="FUR-FU-10002671"/>
    <s v="Furniture"/>
    <x v="3"/>
    <x v="59"/>
    <n v="26.8"/>
    <n v="2"/>
    <n v="12.864000000000001"/>
    <s v="5- days"/>
    <n v="5"/>
    <x v="7"/>
  </r>
  <r>
    <s v="CA-2016-142902"/>
    <d v="2016-09-12T00:00:00"/>
    <d v="2016-09-14T00:00:00"/>
    <x v="0"/>
    <s v="BP-11185"/>
    <s v="Ben Peterman"/>
    <x v="1"/>
    <s v="United States"/>
    <s v="Arvada"/>
    <s v="Colorado"/>
    <x v="1"/>
    <s v="FUR-FU-10001918"/>
    <s v="Furniture"/>
    <x v="3"/>
    <x v="60"/>
    <n v="15.135999999999999"/>
    <n v="4"/>
    <n v="3.5948000000000002"/>
    <s v="2- days"/>
    <n v="2"/>
    <x v="4"/>
  </r>
  <r>
    <s v="CA-2016-142902"/>
    <d v="2016-09-12T00:00:00"/>
    <d v="2016-09-14T00:00:00"/>
    <x v="0"/>
    <s v="BP-11185"/>
    <s v="Ben Peterman"/>
    <x v="1"/>
    <s v="United States"/>
    <s v="Arvada"/>
    <s v="Colorado"/>
    <x v="1"/>
    <s v="FUR-CH-10004086"/>
    <s v="Furniture"/>
    <x v="1"/>
    <x v="61"/>
    <n v="466.76799999999997"/>
    <n v="2"/>
    <n v="52.511400000000002"/>
    <s v="2- days"/>
    <n v="2"/>
    <x v="4"/>
  </r>
  <r>
    <s v="CA-2016-142902"/>
    <d v="2016-09-12T00:00:00"/>
    <d v="2016-09-14T00:00:00"/>
    <x v="0"/>
    <s v="BP-11185"/>
    <s v="Ben Peterman"/>
    <x v="1"/>
    <s v="United States"/>
    <s v="Arvada"/>
    <s v="Colorado"/>
    <x v="1"/>
    <s v="FUR-FU-10001756"/>
    <s v="Furniture"/>
    <x v="3"/>
    <x v="62"/>
    <n v="15.231999999999999"/>
    <n v="1"/>
    <n v="1.7136"/>
    <s v="2- days"/>
    <n v="2"/>
    <x v="4"/>
  </r>
  <r>
    <s v="CA-2014-120887"/>
    <d v="2014-09-27T00:00:00"/>
    <d v="2014-10-03T00:00:00"/>
    <x v="1"/>
    <s v="TS-21205"/>
    <s v="Thomas Seio"/>
    <x v="1"/>
    <s v="United States"/>
    <s v="Hackensack"/>
    <s v="New Jersey"/>
    <x v="2"/>
    <s v="FUR-FU-10001588"/>
    <s v="Furniture"/>
    <x v="3"/>
    <x v="63"/>
    <n v="87.54"/>
    <n v="3"/>
    <n v="37.642200000000003"/>
    <s v="6- days"/>
    <n v="6"/>
    <x v="4"/>
  </r>
  <r>
    <s v="CA-2014-164973"/>
    <d v="2014-11-04T00:00:00"/>
    <d v="2014-11-09T00:00:00"/>
    <x v="1"/>
    <s v="NM-18445"/>
    <s v="Nathan Mautz"/>
    <x v="2"/>
    <s v="United States"/>
    <s v="New York City"/>
    <s v="New York"/>
    <x v="2"/>
    <s v="FUR-CH-10002602"/>
    <s v="Furniture"/>
    <x v="1"/>
    <x v="64"/>
    <n v="135.88200000000001"/>
    <n v="1"/>
    <n v="24.1568"/>
    <s v="5- days"/>
    <n v="5"/>
    <x v="0"/>
  </r>
  <r>
    <s v="CA-2017-153339"/>
    <d v="2017-11-03T00:00:00"/>
    <d v="2017-11-05T00:00:00"/>
    <x v="0"/>
    <s v="DJ-13510"/>
    <s v="Don Jones"/>
    <x v="1"/>
    <s v="United States"/>
    <s v="Murfreesboro"/>
    <s v="Tennessee"/>
    <x v="0"/>
    <s v="FUR-FU-10001967"/>
    <s v="Furniture"/>
    <x v="3"/>
    <x v="65"/>
    <n v="15.992000000000001"/>
    <n v="1"/>
    <n v="0.99950000000000006"/>
    <s v="2- days"/>
    <n v="2"/>
    <x v="0"/>
  </r>
  <r>
    <s v="US-2016-141544"/>
    <d v="2016-08-30T00:00:00"/>
    <d v="2016-09-01T00:00:00"/>
    <x v="2"/>
    <s v="PO-18850"/>
    <s v="Patrick O'Brill"/>
    <x v="0"/>
    <s v="United States"/>
    <s v="Philadelphia"/>
    <s v="Pennsylvania"/>
    <x v="2"/>
    <s v="FUR-CH-10003312"/>
    <s v="Furniture"/>
    <x v="1"/>
    <x v="66"/>
    <n v="786.74400000000003"/>
    <n v="4"/>
    <n v="-258.5016"/>
    <s v="2- days"/>
    <n v="2"/>
    <x v="10"/>
  </r>
  <r>
    <s v="CA-2014-129924"/>
    <d v="2014-07-12T00:00:00"/>
    <d v="2014-07-17T00:00:00"/>
    <x v="1"/>
    <s v="AC-10420"/>
    <s v="Alyssa Crouse"/>
    <x v="1"/>
    <s v="United States"/>
    <s v="San Francisco"/>
    <s v="California"/>
    <x v="1"/>
    <s v="FUR-TA-10004575"/>
    <s v="Furniture"/>
    <x v="2"/>
    <x v="67"/>
    <n v="698.35199999999998"/>
    <n v="3"/>
    <n v="-17.4588"/>
    <s v="5- days"/>
    <n v="5"/>
    <x v="3"/>
  </r>
  <r>
    <s v="CA-2016-138520"/>
    <d v="2016-04-08T00:00:00"/>
    <d v="2016-04-13T00:00:00"/>
    <x v="1"/>
    <s v="JL-15505"/>
    <s v="Jeremy Lonsdale"/>
    <x v="0"/>
    <s v="United States"/>
    <s v="New York City"/>
    <s v="New York"/>
    <x v="2"/>
    <s v="FUR-BO-10002268"/>
    <s v="Furniture"/>
    <x v="0"/>
    <x v="68"/>
    <n v="388.70400000000001"/>
    <n v="6"/>
    <n v="-4.8587999999999996"/>
    <s v="5- days"/>
    <n v="5"/>
    <x v="6"/>
  </r>
  <r>
    <s v="CA-2017-144904"/>
    <d v="2017-09-25T00:00:00"/>
    <d v="2017-10-01T00:00:00"/>
    <x v="1"/>
    <s v="KW-16435"/>
    <s v="Katrina Willman"/>
    <x v="0"/>
    <s v="United States"/>
    <s v="New York City"/>
    <s v="New York"/>
    <x v="2"/>
    <s v="FUR-CH-10000785"/>
    <s v="Furniture"/>
    <x v="1"/>
    <x v="69"/>
    <n v="488.64600000000002"/>
    <n v="3"/>
    <n v="86.870400000000004"/>
    <s v="6- days"/>
    <n v="6"/>
    <x v="4"/>
  </r>
  <r>
    <s v="CA-2017-144904"/>
    <d v="2017-09-25T00:00:00"/>
    <d v="2017-10-01T00:00:00"/>
    <x v="1"/>
    <s v="KW-16435"/>
    <s v="Katrina Willman"/>
    <x v="0"/>
    <s v="United States"/>
    <s v="New York City"/>
    <s v="New York"/>
    <x v="2"/>
    <s v="FUR-FU-10000023"/>
    <s v="Furniture"/>
    <x v="3"/>
    <x v="70"/>
    <n v="47.12"/>
    <n v="8"/>
    <n v="20.732800000000001"/>
    <s v="6- days"/>
    <n v="6"/>
    <x v="4"/>
  </r>
  <r>
    <s v="CA-2016-155516"/>
    <d v="2016-10-21T00:00:00"/>
    <d v="2016-10-21T00:00:00"/>
    <x v="3"/>
    <s v="MK-17905"/>
    <s v="Michael Kennedy"/>
    <x v="1"/>
    <s v="United States"/>
    <s v="Manchester"/>
    <s v="Connecticut"/>
    <x v="2"/>
    <s v="FUR-BO-10002545"/>
    <s v="Furniture"/>
    <x v="0"/>
    <x v="9"/>
    <n v="1043.92"/>
    <n v="4"/>
    <n v="271.41919999999999"/>
    <s v="0- days"/>
    <n v="0"/>
    <x v="1"/>
  </r>
  <r>
    <s v="US-2017-134481"/>
    <d v="2017-08-27T00:00:00"/>
    <d v="2017-09-01T00:00:00"/>
    <x v="1"/>
    <s v="AR-10405"/>
    <s v="Allen Rosenblatt"/>
    <x v="1"/>
    <s v="United States"/>
    <s v="Franklin"/>
    <s v="Massachusetts"/>
    <x v="2"/>
    <s v="FUR-TA-10004915"/>
    <s v="Furniture"/>
    <x v="2"/>
    <x v="71"/>
    <n v="1488.424"/>
    <n v="7"/>
    <n v="-297.6848"/>
    <s v="5- days"/>
    <n v="5"/>
    <x v="10"/>
  </r>
  <r>
    <s v="US-2015-168935"/>
    <d v="2015-11-27T00:00:00"/>
    <d v="2015-12-02T00:00:00"/>
    <x v="1"/>
    <s v="DO-13435"/>
    <s v="Denny Ordway"/>
    <x v="0"/>
    <s v="United States"/>
    <s v="Pembroke Pines"/>
    <s v="Florida"/>
    <x v="0"/>
    <s v="FUR-TA-10000617"/>
    <s v="Furniture"/>
    <x v="2"/>
    <x v="72"/>
    <n v="375.45749999999998"/>
    <n v="3"/>
    <n v="-157.0095"/>
    <s v="5- days"/>
    <n v="5"/>
    <x v="0"/>
  </r>
  <r>
    <s v="CA-2015-122756"/>
    <d v="2015-12-03T00:00:00"/>
    <d v="2015-12-07T00:00:00"/>
    <x v="1"/>
    <s v="DK-13225"/>
    <s v="Dean Katz"/>
    <x v="1"/>
    <s v="United States"/>
    <s v="Philadelphia"/>
    <s v="Pennsylvania"/>
    <x v="2"/>
    <s v="FUR-FU-10001935"/>
    <s v="Furniture"/>
    <x v="3"/>
    <x v="73"/>
    <n v="2.96"/>
    <n v="1"/>
    <n v="0.77700000000000002"/>
    <s v="4- days"/>
    <n v="4"/>
    <x v="5"/>
  </r>
  <r>
    <s v="CA-2016-108987"/>
    <d v="2016-09-08T00:00:00"/>
    <d v="2016-09-10T00:00:00"/>
    <x v="0"/>
    <s v="AG-10675"/>
    <s v="Anna Gayman"/>
    <x v="0"/>
    <s v="United States"/>
    <s v="Houston"/>
    <s v="Texas"/>
    <x v="3"/>
    <s v="FUR-BO-10004834"/>
    <s v="Furniture"/>
    <x v="0"/>
    <x v="6"/>
    <n v="2396.2656000000002"/>
    <n v="4"/>
    <n v="-317.15280000000001"/>
    <s v="2- days"/>
    <n v="2"/>
    <x v="4"/>
  </r>
  <r>
    <s v="CA-2017-117457"/>
    <d v="2017-12-08T00:00:00"/>
    <d v="2017-12-12T00:00:00"/>
    <x v="1"/>
    <s v="KH-16510"/>
    <s v="Keith Herrera"/>
    <x v="0"/>
    <s v="United States"/>
    <s v="San Francisco"/>
    <s v="California"/>
    <x v="1"/>
    <s v="FUR-TA-10002041"/>
    <s v="Furniture"/>
    <x v="2"/>
    <x v="74"/>
    <n v="1004.024"/>
    <n v="7"/>
    <n v="-112.95269999999999"/>
    <s v="4- days"/>
    <n v="4"/>
    <x v="5"/>
  </r>
  <r>
    <s v="CA-2017-117457"/>
    <d v="2017-12-08T00:00:00"/>
    <d v="2017-12-12T00:00:00"/>
    <x v="1"/>
    <s v="KH-16510"/>
    <s v="Keith Herrera"/>
    <x v="0"/>
    <s v="United States"/>
    <s v="San Francisco"/>
    <s v="California"/>
    <x v="1"/>
    <s v="FUR-BO-10001972"/>
    <s v="Furniture"/>
    <x v="0"/>
    <x v="75"/>
    <n v="1336.829"/>
    <n v="13"/>
    <n v="31.454799999999999"/>
    <s v="4- days"/>
    <n v="4"/>
    <x v="5"/>
  </r>
  <r>
    <s v="CA-2017-117457"/>
    <d v="2017-12-08T00:00:00"/>
    <d v="2017-12-12T00:00:00"/>
    <x v="1"/>
    <s v="KH-16510"/>
    <s v="Keith Herrera"/>
    <x v="0"/>
    <s v="United States"/>
    <s v="San Francisco"/>
    <s v="California"/>
    <x v="1"/>
    <s v="FUR-CH-10003956"/>
    <s v="Furniture"/>
    <x v="1"/>
    <x v="76"/>
    <n v="113.568"/>
    <n v="2"/>
    <n v="-18.454799999999999"/>
    <s v="4- days"/>
    <n v="4"/>
    <x v="5"/>
  </r>
  <r>
    <s v="CA-2017-142636"/>
    <d v="2017-11-03T00:00:00"/>
    <d v="2017-11-07T00:00:00"/>
    <x v="1"/>
    <s v="KC-16675"/>
    <s v="Kimberly Carter"/>
    <x v="1"/>
    <s v="United States"/>
    <s v="Seattle"/>
    <s v="Washington"/>
    <x v="1"/>
    <s v="FUR-CH-10001891"/>
    <s v="Furniture"/>
    <x v="1"/>
    <x v="55"/>
    <n v="307.13600000000002"/>
    <n v="4"/>
    <n v="26.874400000000001"/>
    <s v="4- days"/>
    <n v="4"/>
    <x v="0"/>
  </r>
  <r>
    <s v="CA-2016-148796"/>
    <d v="2016-04-14T00:00:00"/>
    <d v="2016-04-18T00:00:00"/>
    <x v="1"/>
    <s v="PB-19150"/>
    <s v="Philip Brown"/>
    <x v="0"/>
    <s v="United States"/>
    <s v="Los Angeles"/>
    <s v="California"/>
    <x v="1"/>
    <s v="FUR-CH-10004886"/>
    <s v="Furniture"/>
    <x v="1"/>
    <x v="77"/>
    <n v="383.8"/>
    <n v="5"/>
    <n v="38.380000000000003"/>
    <s v="4- days"/>
    <n v="4"/>
    <x v="6"/>
  </r>
  <r>
    <s v="CA-2017-125388"/>
    <d v="2017-10-19T00:00:00"/>
    <d v="2017-10-23T00:00:00"/>
    <x v="1"/>
    <s v="MP-17965"/>
    <s v="Michael Paige"/>
    <x v="1"/>
    <s v="United States"/>
    <s v="Lawrence"/>
    <s v="Massachusetts"/>
    <x v="2"/>
    <s v="FUR-FU-10004712"/>
    <s v="Furniture"/>
    <x v="3"/>
    <x v="78"/>
    <n v="56.56"/>
    <n v="4"/>
    <n v="14.7056"/>
    <s v="4- days"/>
    <n v="4"/>
    <x v="1"/>
  </r>
  <r>
    <s v="CA-2017-155705"/>
    <d v="2017-08-21T00:00:00"/>
    <d v="2017-08-23T00:00:00"/>
    <x v="0"/>
    <s v="NF-18385"/>
    <s v="Natalie Fritzler"/>
    <x v="0"/>
    <s v="United States"/>
    <s v="Jackson"/>
    <s v="Mississippi"/>
    <x v="0"/>
    <s v="FUR-CH-10000015"/>
    <s v="Furniture"/>
    <x v="1"/>
    <x v="79"/>
    <n v="866.4"/>
    <n v="4"/>
    <n v="225.26400000000001"/>
    <s v="2- days"/>
    <n v="2"/>
    <x v="10"/>
  </r>
  <r>
    <s v="CA-2017-149160"/>
    <d v="2017-11-23T00:00:00"/>
    <d v="2017-11-26T00:00:00"/>
    <x v="0"/>
    <s v="JM-15265"/>
    <s v="Janet Molinari"/>
    <x v="1"/>
    <s v="United States"/>
    <s v="Canton"/>
    <s v="Michigan"/>
    <x v="3"/>
    <s v="FUR-FU-10003347"/>
    <s v="Furniture"/>
    <x v="3"/>
    <x v="80"/>
    <n v="28.4"/>
    <n v="2"/>
    <n v="11.076000000000001"/>
    <s v="3- days"/>
    <n v="3"/>
    <x v="0"/>
  </r>
  <r>
    <s v="CA-2017-157252"/>
    <d v="2017-01-20T00:00:00"/>
    <d v="2017-01-23T00:00:00"/>
    <x v="0"/>
    <s v="CV-12805"/>
    <s v="Cynthia Voltz"/>
    <x v="1"/>
    <s v="United States"/>
    <s v="New York City"/>
    <s v="New York"/>
    <x v="2"/>
    <s v="FUR-CH-10003396"/>
    <s v="Furniture"/>
    <x v="1"/>
    <x v="81"/>
    <n v="207.846"/>
    <n v="3"/>
    <n v="2.3094000000000001"/>
    <s v="3- days"/>
    <n v="3"/>
    <x v="8"/>
  </r>
  <r>
    <s v="CA-2016-115756"/>
    <d v="2016-09-05T00:00:00"/>
    <d v="2016-09-07T00:00:00"/>
    <x v="0"/>
    <s v="PK-19075"/>
    <s v="Pete Kriz"/>
    <x v="0"/>
    <s v="United States"/>
    <s v="Detroit"/>
    <s v="Michigan"/>
    <x v="3"/>
    <s v="FUR-FU-10000246"/>
    <s v="Furniture"/>
    <x v="3"/>
    <x v="82"/>
    <n v="12.22"/>
    <n v="1"/>
    <n v="3.6659999999999999"/>
    <s v="2- days"/>
    <n v="2"/>
    <x v="4"/>
  </r>
  <r>
    <s v="CA-2016-115756"/>
    <d v="2016-09-05T00:00:00"/>
    <d v="2016-09-07T00:00:00"/>
    <x v="0"/>
    <s v="PK-19075"/>
    <s v="Pete Kriz"/>
    <x v="0"/>
    <s v="United States"/>
    <s v="Detroit"/>
    <s v="Michigan"/>
    <x v="3"/>
    <s v="FUR-CH-10002372"/>
    <s v="Furniture"/>
    <x v="1"/>
    <x v="83"/>
    <n v="242.94"/>
    <n v="3"/>
    <n v="29.152799999999999"/>
    <s v="2- days"/>
    <n v="2"/>
    <x v="4"/>
  </r>
  <r>
    <s v="CA-2017-154214"/>
    <d v="2017-03-20T00:00:00"/>
    <d v="2017-03-25T00:00:00"/>
    <x v="0"/>
    <s v="TB-21595"/>
    <s v="Troy Blackwell"/>
    <x v="0"/>
    <s v="United States"/>
    <s v="Columbus"/>
    <s v="Indiana"/>
    <x v="3"/>
    <s v="FUR-FU-10000206"/>
    <s v="Furniture"/>
    <x v="3"/>
    <x v="84"/>
    <n v="2.91"/>
    <n v="1"/>
    <n v="1.3676999999999999"/>
    <s v="5- days"/>
    <n v="5"/>
    <x v="9"/>
  </r>
  <r>
    <s v="CA-2017-147277"/>
    <d v="2017-10-20T00:00:00"/>
    <d v="2017-10-24T00:00:00"/>
    <x v="1"/>
    <s v="EB-13705"/>
    <s v="Ed Braxton"/>
    <x v="1"/>
    <s v="United States"/>
    <s v="Akron"/>
    <s v="Ohio"/>
    <x v="2"/>
    <s v="FUR-TA-10001539"/>
    <s v="Furniture"/>
    <x v="2"/>
    <x v="4"/>
    <n v="284.36399999999998"/>
    <n v="2"/>
    <n v="-75.830399999999997"/>
    <s v="4- days"/>
    <n v="4"/>
    <x v="1"/>
  </r>
  <r>
    <s v="US-2014-110674"/>
    <d v="2014-02-12T00:00:00"/>
    <d v="2014-02-18T00:00:00"/>
    <x v="1"/>
    <s v="SC-20095"/>
    <s v="Sanjit Chand"/>
    <x v="0"/>
    <s v="United States"/>
    <s v="Concord"/>
    <s v="California"/>
    <x v="1"/>
    <s v="FUR-CH-10000225"/>
    <s v="Furniture"/>
    <x v="1"/>
    <x v="85"/>
    <n v="129.56800000000001"/>
    <n v="2"/>
    <n v="-24.294"/>
    <s v="6- days"/>
    <n v="6"/>
    <x v="11"/>
  </r>
  <r>
    <s v="US-2016-157945"/>
    <d v="2016-09-26T00:00:00"/>
    <d v="2016-10-01T00:00:00"/>
    <x v="1"/>
    <s v="NF-18385"/>
    <s v="Natalie Fritzler"/>
    <x v="0"/>
    <s v="United States"/>
    <s v="Decatur"/>
    <s v="Illinois"/>
    <x v="3"/>
    <s v="FUR-CH-10002331"/>
    <s v="Furniture"/>
    <x v="1"/>
    <x v="86"/>
    <n v="747.55799999999999"/>
    <n v="3"/>
    <n v="-96.114599999999996"/>
    <s v="5- days"/>
    <n v="5"/>
    <x v="4"/>
  </r>
  <r>
    <s v="CA-2016-109869"/>
    <d v="2016-04-22T00:00:00"/>
    <d v="2016-04-29T00:00:00"/>
    <x v="1"/>
    <s v="TN-21040"/>
    <s v="Tanja Norvell"/>
    <x v="2"/>
    <s v="United States"/>
    <s v="Phoenix"/>
    <s v="Arizona"/>
    <x v="1"/>
    <s v="FUR-FU-10000023"/>
    <s v="Furniture"/>
    <x v="3"/>
    <x v="70"/>
    <n v="23.56"/>
    <n v="5"/>
    <n v="7.0679999999999996"/>
    <s v="7- days"/>
    <n v="7"/>
    <x v="6"/>
  </r>
  <r>
    <s v="CA-2016-109869"/>
    <d v="2016-04-22T00:00:00"/>
    <d v="2016-04-29T00:00:00"/>
    <x v="1"/>
    <s v="TN-21040"/>
    <s v="Tanja Norvell"/>
    <x v="2"/>
    <s v="United States"/>
    <s v="Phoenix"/>
    <s v="Arizona"/>
    <x v="1"/>
    <s v="FUR-TA-10001889"/>
    <s v="Furniture"/>
    <x v="2"/>
    <x v="87"/>
    <n v="1272.6300000000001"/>
    <n v="6"/>
    <n v="-814.48320000000001"/>
    <s v="7- days"/>
    <n v="7"/>
    <x v="6"/>
  </r>
  <r>
    <s v="US-2015-101399"/>
    <d v="2015-01-17T00:00:00"/>
    <d v="2015-01-24T00:00:00"/>
    <x v="1"/>
    <s v="JS-15940"/>
    <s v="Joni Sundaresam"/>
    <x v="2"/>
    <s v="United States"/>
    <s v="Park Ridge"/>
    <s v="Illinois"/>
    <x v="3"/>
    <s v="FUR-FU-10002918"/>
    <s v="Furniture"/>
    <x v="3"/>
    <x v="56"/>
    <n v="254.744"/>
    <n v="7"/>
    <n v="-312.06139999999999"/>
    <s v="7- days"/>
    <n v="7"/>
    <x v="8"/>
  </r>
  <r>
    <s v="CA-2017-154907"/>
    <d v="2017-03-31T00:00:00"/>
    <d v="2017-04-04T00:00:00"/>
    <x v="1"/>
    <s v="DS-13180"/>
    <s v="David Smith"/>
    <x v="1"/>
    <s v="United States"/>
    <s v="Amarillo"/>
    <s v="Texas"/>
    <x v="3"/>
    <s v="FUR-BO-10002824"/>
    <s v="Furniture"/>
    <x v="0"/>
    <x v="88"/>
    <n v="205.33279999999999"/>
    <n v="2"/>
    <n v="-36.235199999999999"/>
    <s v="4- days"/>
    <n v="4"/>
    <x v="9"/>
  </r>
  <r>
    <s v="CA-2014-144666"/>
    <d v="2014-11-09T00:00:00"/>
    <d v="2014-11-11T00:00:00"/>
    <x v="0"/>
    <s v="JP-15520"/>
    <s v="Jeremy Pistek"/>
    <x v="0"/>
    <s v="United States"/>
    <s v="San Francisco"/>
    <s v="California"/>
    <x v="1"/>
    <s v="FUR-BO-10001601"/>
    <s v="Furniture"/>
    <x v="0"/>
    <x v="89"/>
    <n v="222.666"/>
    <n v="2"/>
    <n v="10.478400000000001"/>
    <s v="2- days"/>
    <n v="2"/>
    <x v="0"/>
  </r>
  <r>
    <s v="CA-2016-152632"/>
    <d v="2016-10-27T00:00:00"/>
    <d v="2016-11-02T00:00:00"/>
    <x v="1"/>
    <s v="JE-15475"/>
    <s v="Jeremy Ellison"/>
    <x v="0"/>
    <s v="United States"/>
    <s v="Troy"/>
    <s v="New York"/>
    <x v="2"/>
    <s v="FUR-FU-10002671"/>
    <s v="Furniture"/>
    <x v="3"/>
    <x v="59"/>
    <n v="40.200000000000003"/>
    <n v="3"/>
    <n v="19.295999999999999"/>
    <s v="6- days"/>
    <n v="6"/>
    <x v="1"/>
  </r>
  <r>
    <s v="CA-2017-140963"/>
    <d v="2017-06-10T00:00:00"/>
    <d v="2017-06-13T00:00:00"/>
    <x v="2"/>
    <s v="MT-18070"/>
    <s v="Michelle Tran"/>
    <x v="2"/>
    <s v="United States"/>
    <s v="Los Angeles"/>
    <s v="California"/>
    <x v="1"/>
    <s v="FUR-BO-10001337"/>
    <s v="Furniture"/>
    <x v="0"/>
    <x v="90"/>
    <n v="514.16499999999996"/>
    <n v="5"/>
    <n v="-30.245000000000001"/>
    <s v="3- days"/>
    <n v="3"/>
    <x v="2"/>
  </r>
  <r>
    <s v="US-2016-120929"/>
    <d v="2016-03-18T00:00:00"/>
    <d v="2016-03-21T00:00:00"/>
    <x v="0"/>
    <s v="RO-19780"/>
    <s v="Rose O'Brian"/>
    <x v="0"/>
    <s v="United States"/>
    <s v="Memphis"/>
    <s v="Tennessee"/>
    <x v="0"/>
    <s v="FUR-TA-10001857"/>
    <s v="Furniture"/>
    <x v="2"/>
    <x v="91"/>
    <n v="189.88200000000001"/>
    <n v="3"/>
    <n v="-94.941000000000003"/>
    <s v="3- days"/>
    <n v="3"/>
    <x v="9"/>
  </r>
  <r>
    <s v="CA-2016-126158"/>
    <d v="2016-07-25T00:00:00"/>
    <d v="2016-07-31T00:00:00"/>
    <x v="1"/>
    <s v="SC-20095"/>
    <s v="Sanjit Chand"/>
    <x v="0"/>
    <s v="United States"/>
    <s v="Costa Mesa"/>
    <s v="California"/>
    <x v="1"/>
    <s v="FUR-FU-10004864"/>
    <s v="Furniture"/>
    <x v="3"/>
    <x v="92"/>
    <n v="255.76"/>
    <n v="4"/>
    <n v="81.843199999999996"/>
    <s v="6- days"/>
    <n v="6"/>
    <x v="3"/>
  </r>
  <r>
    <s v="CA-2016-126158"/>
    <d v="2016-07-25T00:00:00"/>
    <d v="2016-07-31T00:00:00"/>
    <x v="1"/>
    <s v="SC-20095"/>
    <s v="Sanjit Chand"/>
    <x v="0"/>
    <s v="United States"/>
    <s v="Costa Mesa"/>
    <s v="California"/>
    <x v="1"/>
    <s v="FUR-CH-10002602"/>
    <s v="Furniture"/>
    <x v="1"/>
    <x v="64"/>
    <n v="241.56800000000001"/>
    <n v="2"/>
    <n v="18.117599999999999"/>
    <s v="6- days"/>
    <n v="6"/>
    <x v="3"/>
  </r>
  <r>
    <s v="CA-2016-126158"/>
    <d v="2016-07-25T00:00:00"/>
    <d v="2016-07-31T00:00:00"/>
    <x v="1"/>
    <s v="SC-20095"/>
    <s v="Sanjit Chand"/>
    <x v="0"/>
    <s v="United States"/>
    <s v="Costa Mesa"/>
    <s v="California"/>
    <x v="1"/>
    <s v="FUR-FU-10000073"/>
    <s v="Furniture"/>
    <x v="3"/>
    <x v="93"/>
    <n v="69.3"/>
    <n v="9"/>
    <n v="22.869"/>
    <s v="6- days"/>
    <n v="6"/>
    <x v="3"/>
  </r>
  <r>
    <s v="US-2016-105578"/>
    <d v="2016-05-30T00:00:00"/>
    <d v="2016-06-04T00:00:00"/>
    <x v="1"/>
    <s v="MY-17380"/>
    <s v="Maribeth Yedwab"/>
    <x v="1"/>
    <s v="United States"/>
    <s v="Parker"/>
    <s v="Colorado"/>
    <x v="1"/>
    <s v="FUR-CH-10001215"/>
    <s v="Furniture"/>
    <x v="1"/>
    <x v="94"/>
    <n v="801.56799999999998"/>
    <n v="2"/>
    <n v="50.097999999999999"/>
    <s v="5- days"/>
    <n v="5"/>
    <x v="7"/>
  </r>
  <r>
    <s v="CA-2017-135307"/>
    <d v="2017-11-26T00:00:00"/>
    <d v="2017-11-27T00:00:00"/>
    <x v="2"/>
    <s v="LS-17245"/>
    <s v="Lynn Smith"/>
    <x v="0"/>
    <s v="United States"/>
    <s v="Gladstone"/>
    <s v="Missouri"/>
    <x v="3"/>
    <s v="FUR-FU-10001290"/>
    <s v="Furniture"/>
    <x v="3"/>
    <x v="95"/>
    <n v="126.3"/>
    <n v="3"/>
    <n v="40.415999999999997"/>
    <s v="1- days"/>
    <n v="1"/>
    <x v="0"/>
  </r>
  <r>
    <s v="CA-2017-145142"/>
    <d v="2017-01-23T00:00:00"/>
    <d v="2017-01-25T00:00:00"/>
    <x v="2"/>
    <s v="MC-17605"/>
    <s v="Matt Connell"/>
    <x v="1"/>
    <s v="United States"/>
    <s v="Detroit"/>
    <s v="Michigan"/>
    <x v="3"/>
    <s v="FUR-TA-10001857"/>
    <s v="Furniture"/>
    <x v="2"/>
    <x v="91"/>
    <n v="210.98"/>
    <n v="2"/>
    <n v="21.097999999999999"/>
    <s v="2- days"/>
    <n v="2"/>
    <x v="8"/>
  </r>
  <r>
    <s v="CA-2017-113558"/>
    <d v="2017-10-21T00:00:00"/>
    <d v="2017-10-26T00:00:00"/>
    <x v="1"/>
    <s v="PH-18790"/>
    <s v="Patricia Hirasaki"/>
    <x v="2"/>
    <s v="United States"/>
    <s v="Lakeland"/>
    <s v="Florida"/>
    <x v="0"/>
    <s v="FUR-CH-10003379"/>
    <s v="Furniture"/>
    <x v="1"/>
    <x v="96"/>
    <n v="683.952"/>
    <n v="3"/>
    <n v="42.747"/>
    <s v="5- days"/>
    <n v="5"/>
    <x v="1"/>
  </r>
  <r>
    <s v="CA-2017-113558"/>
    <d v="2017-10-21T00:00:00"/>
    <d v="2017-10-26T00:00:00"/>
    <x v="1"/>
    <s v="PH-18790"/>
    <s v="Patricia Hirasaki"/>
    <x v="2"/>
    <s v="United States"/>
    <s v="Lakeland"/>
    <s v="Florida"/>
    <x v="0"/>
    <s v="FUR-FU-10001756"/>
    <s v="Furniture"/>
    <x v="3"/>
    <x v="62"/>
    <n v="45.695999999999998"/>
    <n v="3"/>
    <n v="5.1407999999999996"/>
    <s v="5- days"/>
    <n v="5"/>
    <x v="1"/>
  </r>
  <r>
    <s v="CA-2015-102848"/>
    <d v="2015-11-07T00:00:00"/>
    <d v="2015-11-09T00:00:00"/>
    <x v="0"/>
    <s v="KB-16240"/>
    <s v="Karen Bern"/>
    <x v="1"/>
    <s v="United States"/>
    <s v="Los Angeles"/>
    <s v="California"/>
    <x v="1"/>
    <s v="FUR-CH-10000595"/>
    <s v="Furniture"/>
    <x v="1"/>
    <x v="97"/>
    <n v="190.72"/>
    <n v="1"/>
    <n v="11.92"/>
    <s v="2- days"/>
    <n v="2"/>
    <x v="0"/>
  </r>
  <r>
    <s v="US-2017-129441"/>
    <d v="2017-09-07T00:00:00"/>
    <d v="2017-09-11T00:00:00"/>
    <x v="1"/>
    <s v="JC-15340"/>
    <s v="Jasper Cacioppo"/>
    <x v="0"/>
    <s v="United States"/>
    <s v="Los Angeles"/>
    <s v="California"/>
    <x v="1"/>
    <s v="FUR-FU-10000448"/>
    <s v="Furniture"/>
    <x v="3"/>
    <x v="98"/>
    <n v="47.94"/>
    <n v="3"/>
    <n v="2.3969999999999998"/>
    <s v="4- days"/>
    <n v="4"/>
    <x v="4"/>
  </r>
  <r>
    <s v="CA-2015-134894"/>
    <d v="2015-12-07T00:00:00"/>
    <d v="2015-12-11T00:00:00"/>
    <x v="1"/>
    <s v="DK-12985"/>
    <s v="Darren Koutras"/>
    <x v="0"/>
    <s v="United States"/>
    <s v="Henderson"/>
    <s v="Kentucky"/>
    <x v="0"/>
    <s v="FUR-CH-10002647"/>
    <s v="Furniture"/>
    <x v="1"/>
    <x v="99"/>
    <n v="283.92"/>
    <n v="4"/>
    <n v="70.98"/>
    <s v="4- days"/>
    <n v="4"/>
    <x v="5"/>
  </r>
  <r>
    <s v="CA-2014-103849"/>
    <d v="2014-05-11T00:00:00"/>
    <d v="2014-05-16T00:00:00"/>
    <x v="1"/>
    <s v="PG-18895"/>
    <s v="Paul Gonzalez"/>
    <x v="0"/>
    <s v="United States"/>
    <s v="Fort Worth"/>
    <s v="Texas"/>
    <x v="3"/>
    <s v="FUR-FU-10000723"/>
    <s v="Furniture"/>
    <x v="3"/>
    <x v="100"/>
    <n v="66.111999999999995"/>
    <n v="4"/>
    <n v="-84.2928"/>
    <s v="5- days"/>
    <n v="5"/>
    <x v="7"/>
  </r>
  <r>
    <s v="CA-2016-136406"/>
    <d v="2016-04-15T00:00:00"/>
    <d v="2016-04-17T00:00:00"/>
    <x v="0"/>
    <s v="BD-11320"/>
    <s v="Bill Donatelli"/>
    <x v="0"/>
    <s v="United States"/>
    <s v="San Francisco"/>
    <s v="California"/>
    <x v="1"/>
    <s v="FUR-CH-10002024"/>
    <s v="Furniture"/>
    <x v="1"/>
    <x v="101"/>
    <n v="1121.568"/>
    <n v="2"/>
    <n v="0"/>
    <s v="2- days"/>
    <n v="2"/>
    <x v="6"/>
  </r>
  <r>
    <s v="CA-2017-112774"/>
    <d v="2017-09-11T00:00:00"/>
    <d v="2017-09-12T00:00:00"/>
    <x v="2"/>
    <s v="RC-19960"/>
    <s v="Ryan Crowe"/>
    <x v="0"/>
    <s v="United States"/>
    <s v="Jacksonville"/>
    <s v="Florida"/>
    <x v="0"/>
    <s v="FUR-FU-10003039"/>
    <s v="Furniture"/>
    <x v="3"/>
    <x v="102"/>
    <n v="34.503999999999998"/>
    <n v="1"/>
    <n v="6.0381999999999998"/>
    <s v="1- days"/>
    <n v="1"/>
    <x v="4"/>
  </r>
  <r>
    <s v="CA-2016-113243"/>
    <d v="2016-06-10T00:00:00"/>
    <d v="2016-06-15T00:00:00"/>
    <x v="1"/>
    <s v="OT-18730"/>
    <s v="Olvera Toch"/>
    <x v="0"/>
    <s v="United States"/>
    <s v="Los Angeles"/>
    <s v="California"/>
    <x v="1"/>
    <s v="FUR-TA-10004256"/>
    <s v="Furniture"/>
    <x v="2"/>
    <x v="103"/>
    <n v="1335.68"/>
    <n v="4"/>
    <n v="-217.048"/>
    <s v="5- days"/>
    <n v="5"/>
    <x v="2"/>
  </r>
  <r>
    <s v="CA-2017-118731"/>
    <d v="2017-11-20T00:00:00"/>
    <d v="2017-11-22T00:00:00"/>
    <x v="0"/>
    <s v="LP-17080"/>
    <s v="Liz Pelletier"/>
    <x v="0"/>
    <s v="United States"/>
    <s v="San Francisco"/>
    <s v="California"/>
    <x v="1"/>
    <s v="FUR-FU-10003347"/>
    <s v="Furniture"/>
    <x v="3"/>
    <x v="80"/>
    <n v="42.6"/>
    <n v="3"/>
    <n v="16.614000000000001"/>
    <s v="2- days"/>
    <n v="2"/>
    <x v="0"/>
  </r>
  <r>
    <s v="CA-2014-145576"/>
    <d v="2014-09-14T00:00:00"/>
    <d v="2014-09-18T00:00:00"/>
    <x v="0"/>
    <s v="CA-12775"/>
    <s v="Cynthia Arntzen"/>
    <x v="0"/>
    <s v="United States"/>
    <s v="Tampa"/>
    <s v="Florida"/>
    <x v="0"/>
    <s v="FUR-FU-10004020"/>
    <s v="Furniture"/>
    <x v="3"/>
    <x v="104"/>
    <n v="13.128"/>
    <n v="3"/>
    <n v="3.7743000000000002"/>
    <s v="4- days"/>
    <n v="4"/>
    <x v="4"/>
  </r>
  <r>
    <s v="CA-2017-156951"/>
    <d v="2017-10-01T00:00:00"/>
    <d v="2017-10-08T00:00:00"/>
    <x v="1"/>
    <s v="EB-13840"/>
    <s v="Ellis Ballard"/>
    <x v="1"/>
    <s v="United States"/>
    <s v="Seattle"/>
    <s v="Washington"/>
    <x v="1"/>
    <s v="FUR-CH-10004997"/>
    <s v="Furniture"/>
    <x v="1"/>
    <x v="105"/>
    <n v="451.15199999999999"/>
    <n v="3"/>
    <n v="0"/>
    <s v="7- days"/>
    <n v="7"/>
    <x v="1"/>
  </r>
  <r>
    <s v="CA-2017-118640"/>
    <d v="2017-07-20T00:00:00"/>
    <d v="2017-07-26T00:00:00"/>
    <x v="1"/>
    <s v="CS-11950"/>
    <s v="Carlos Soltero"/>
    <x v="0"/>
    <s v="United States"/>
    <s v="Chicago"/>
    <s v="Illinois"/>
    <x v="3"/>
    <s v="FUR-FU-10001475"/>
    <s v="Furniture"/>
    <x v="3"/>
    <x v="106"/>
    <n v="8.7919999999999998"/>
    <n v="1"/>
    <n v="-5.7148000000000003"/>
    <s v="6- days"/>
    <n v="6"/>
    <x v="3"/>
  </r>
  <r>
    <s v="CA-2015-128139"/>
    <d v="2015-07-03T00:00:00"/>
    <d v="2015-07-09T00:00:00"/>
    <x v="1"/>
    <s v="BD-11725"/>
    <s v="Bruce Degenhardt"/>
    <x v="0"/>
    <s v="United States"/>
    <s v="Richmond"/>
    <s v="Kentucky"/>
    <x v="0"/>
    <s v="FUR-CH-10003956"/>
    <s v="Furniture"/>
    <x v="1"/>
    <x v="76"/>
    <n v="70.98"/>
    <n v="1"/>
    <n v="4.9686000000000003"/>
    <s v="6- days"/>
    <n v="6"/>
    <x v="3"/>
  </r>
  <r>
    <s v="CA-2014-131450"/>
    <d v="2014-08-08T00:00:00"/>
    <d v="2014-08-15T00:00:00"/>
    <x v="1"/>
    <s v="LR-16915"/>
    <s v="Lena Radford"/>
    <x v="0"/>
    <s v="United States"/>
    <s v="San Diego"/>
    <s v="California"/>
    <x v="1"/>
    <s v="FUR-FU-10001979"/>
    <s v="Furniture"/>
    <x v="3"/>
    <x v="107"/>
    <n v="327.76"/>
    <n v="8"/>
    <n v="91.772800000000004"/>
    <s v="7- days"/>
    <n v="7"/>
    <x v="10"/>
  </r>
  <r>
    <s v="CA-2014-149958"/>
    <d v="2014-03-15T00:00:00"/>
    <d v="2014-03-19T00:00:00"/>
    <x v="1"/>
    <s v="AS-10240"/>
    <s v="Alan Shonely"/>
    <x v="0"/>
    <s v="United States"/>
    <s v="Tampa"/>
    <s v="Florida"/>
    <x v="0"/>
    <s v="FUR-FU-10001756"/>
    <s v="Furniture"/>
    <x v="3"/>
    <x v="62"/>
    <n v="45.695999999999998"/>
    <n v="3"/>
    <n v="5.1407999999999996"/>
    <s v="4- days"/>
    <n v="4"/>
    <x v="9"/>
  </r>
  <r>
    <s v="CA-2017-117947"/>
    <d v="2017-08-18T00:00:00"/>
    <d v="2017-08-23T00:00:00"/>
    <x v="0"/>
    <s v="NG-18355"/>
    <s v="Nat Gilpin"/>
    <x v="1"/>
    <s v="United States"/>
    <s v="New York City"/>
    <s v="New York"/>
    <x v="2"/>
    <s v="FUR-FU-10003849"/>
    <s v="Furniture"/>
    <x v="3"/>
    <x v="108"/>
    <n v="40.479999999999997"/>
    <n v="2"/>
    <n v="15.7872"/>
    <s v="5- days"/>
    <n v="5"/>
    <x v="10"/>
  </r>
  <r>
    <s v="CA-2017-117947"/>
    <d v="2017-08-18T00:00:00"/>
    <d v="2017-08-23T00:00:00"/>
    <x v="0"/>
    <s v="NG-18355"/>
    <s v="Nat Gilpin"/>
    <x v="1"/>
    <s v="United States"/>
    <s v="New York City"/>
    <s v="New York"/>
    <x v="2"/>
    <s v="FUR-FU-10000010"/>
    <s v="Furniture"/>
    <x v="3"/>
    <x v="109"/>
    <n v="9.94"/>
    <n v="2"/>
    <n v="3.0813999999999999"/>
    <s v="5- days"/>
    <n v="5"/>
    <x v="10"/>
  </r>
  <r>
    <s v="CA-2017-117947"/>
    <d v="2017-08-18T00:00:00"/>
    <d v="2017-08-23T00:00:00"/>
    <x v="0"/>
    <s v="NG-18355"/>
    <s v="Nat Gilpin"/>
    <x v="1"/>
    <s v="United States"/>
    <s v="New York City"/>
    <s v="New York"/>
    <x v="2"/>
    <s v="FUR-FU-10000521"/>
    <s v="Furniture"/>
    <x v="3"/>
    <x v="31"/>
    <n v="88.02"/>
    <n v="3"/>
    <n v="27.286200000000001"/>
    <s v="5- days"/>
    <n v="5"/>
    <x v="10"/>
  </r>
  <r>
    <s v="CA-2015-138009"/>
    <d v="2015-11-29T00:00:00"/>
    <d v="2015-12-03T00:00:00"/>
    <x v="1"/>
    <s v="SF-20965"/>
    <s v="Sylvia Foulston"/>
    <x v="1"/>
    <s v="United States"/>
    <s v="Dearborn"/>
    <s v="Michigan"/>
    <x v="3"/>
    <s v="FUR-CH-10004853"/>
    <s v="Furniture"/>
    <x v="1"/>
    <x v="110"/>
    <n v="301.95999999999998"/>
    <n v="2"/>
    <n v="87.568399999999997"/>
    <s v="4- days"/>
    <n v="4"/>
    <x v="0"/>
  </r>
  <r>
    <s v="CA-2017-163020"/>
    <d v="2017-09-15T00:00:00"/>
    <d v="2017-09-19T00:00:00"/>
    <x v="1"/>
    <s v="MO-17800"/>
    <s v="Meg O'Connel"/>
    <x v="2"/>
    <s v="United States"/>
    <s v="New York City"/>
    <s v="New York"/>
    <x v="2"/>
    <s v="FUR-FU-10000221"/>
    <s v="Furniture"/>
    <x v="3"/>
    <x v="111"/>
    <n v="35.56"/>
    <n v="7"/>
    <n v="12.090400000000001"/>
    <s v="4- days"/>
    <n v="4"/>
    <x v="4"/>
  </r>
  <r>
    <s v="CA-2015-168004"/>
    <d v="2015-10-04T00:00:00"/>
    <d v="2015-10-09T00:00:00"/>
    <x v="0"/>
    <s v="DJ-13420"/>
    <s v="Denny Joy"/>
    <x v="1"/>
    <s v="United States"/>
    <s v="Warner Robins"/>
    <s v="Georgia"/>
    <x v="0"/>
    <s v="FUR-CH-10001482"/>
    <s v="Furniture"/>
    <x v="1"/>
    <x v="112"/>
    <n v="392.94"/>
    <n v="3"/>
    <n v="43.223399999999998"/>
    <s v="5- days"/>
    <n v="5"/>
    <x v="1"/>
  </r>
  <r>
    <s v="CA-2016-115917"/>
    <d v="2016-05-20T00:00:00"/>
    <d v="2016-05-25T00:00:00"/>
    <x v="1"/>
    <s v="RB-19465"/>
    <s v="Rick Bensley"/>
    <x v="2"/>
    <s v="United States"/>
    <s v="Vallejo"/>
    <s v="California"/>
    <x v="1"/>
    <s v="FUR-FU-10000576"/>
    <s v="Furniture"/>
    <x v="3"/>
    <x v="46"/>
    <n v="1049.2"/>
    <n v="5"/>
    <n v="272.79199999999997"/>
    <s v="5- days"/>
    <n v="5"/>
    <x v="7"/>
  </r>
  <r>
    <s v="CA-2016-147067"/>
    <d v="2016-12-18T00:00:00"/>
    <d v="2016-12-22T00:00:00"/>
    <x v="1"/>
    <s v="JD-16150"/>
    <s v="Justin Deggeller"/>
    <x v="1"/>
    <s v="United States"/>
    <s v="Minneapolis"/>
    <s v="Minnesota"/>
    <x v="3"/>
    <s v="FUR-FU-10000732"/>
    <s v="Furniture"/>
    <x v="3"/>
    <x v="113"/>
    <n v="18.84"/>
    <n v="3"/>
    <n v="6.0288000000000004"/>
    <s v="4- days"/>
    <n v="4"/>
    <x v="5"/>
  </r>
  <r>
    <s v="CA-2016-160745"/>
    <d v="2016-12-11T00:00:00"/>
    <d v="2016-12-16T00:00:00"/>
    <x v="0"/>
    <s v="AR-10825"/>
    <s v="Anthony Rawles"/>
    <x v="1"/>
    <s v="United States"/>
    <s v="Vancouver"/>
    <s v="Washington"/>
    <x v="1"/>
    <s v="FUR-FU-10001935"/>
    <s v="Furniture"/>
    <x v="3"/>
    <x v="73"/>
    <n v="14.8"/>
    <n v="4"/>
    <n v="6.0679999999999996"/>
    <s v="5- days"/>
    <n v="5"/>
    <x v="5"/>
  </r>
  <r>
    <s v="US-2016-156097"/>
    <d v="2016-09-19T00:00:00"/>
    <d v="2016-09-19T00:00:00"/>
    <x v="3"/>
    <s v="EH-14125"/>
    <s v="Eugene Hildebrand"/>
    <x v="2"/>
    <s v="United States"/>
    <s v="Aurora"/>
    <s v="Illinois"/>
    <x v="3"/>
    <s v="FUR-CH-10001215"/>
    <s v="Furniture"/>
    <x v="1"/>
    <x v="94"/>
    <n v="701.37199999999996"/>
    <n v="2"/>
    <n v="-50.097999999999999"/>
    <s v="0- days"/>
    <n v="0"/>
    <x v="4"/>
  </r>
  <r>
    <s v="CA-2015-146563"/>
    <d v="2015-08-24T00:00:00"/>
    <d v="2015-08-28T00:00:00"/>
    <x v="1"/>
    <s v="CB-12025"/>
    <s v="Cassandra Brandow"/>
    <x v="0"/>
    <s v="United States"/>
    <s v="Arlington"/>
    <s v="Texas"/>
    <x v="3"/>
    <s v="FUR-TA-10001768"/>
    <s v="Furniture"/>
    <x v="2"/>
    <x v="25"/>
    <n v="918.78499999999997"/>
    <n v="5"/>
    <n v="-118.12949999999999"/>
    <s v="4- days"/>
    <n v="4"/>
    <x v="10"/>
  </r>
  <r>
    <s v="CA-2014-156314"/>
    <d v="2014-12-24T00:00:00"/>
    <d v="2014-12-26T00:00:00"/>
    <x v="2"/>
    <s v="RP-19390"/>
    <s v="Resi Pšlking"/>
    <x v="0"/>
    <s v="United States"/>
    <s v="Cleveland"/>
    <s v="Ohio"/>
    <x v="2"/>
    <s v="FUR-FU-10003096"/>
    <s v="Furniture"/>
    <x v="3"/>
    <x v="114"/>
    <n v="30.36"/>
    <n v="5"/>
    <n v="8.7285000000000004"/>
    <s v="2- days"/>
    <n v="2"/>
    <x v="5"/>
  </r>
  <r>
    <s v="US-2017-106663"/>
    <d v="2017-06-09T00:00:00"/>
    <d v="2017-06-13T00:00:00"/>
    <x v="1"/>
    <s v="MO-17800"/>
    <s v="Meg O'Connel"/>
    <x v="2"/>
    <s v="United States"/>
    <s v="Chicago"/>
    <s v="Illinois"/>
    <x v="3"/>
    <s v="FUR-FU-10002759"/>
    <s v="Furniture"/>
    <x v="3"/>
    <x v="115"/>
    <n v="23.975999999999999"/>
    <n v="3"/>
    <n v="-14.3856"/>
    <s v="4- days"/>
    <n v="4"/>
    <x v="2"/>
  </r>
  <r>
    <s v="US-2017-106663"/>
    <d v="2017-06-09T00:00:00"/>
    <d v="2017-06-13T00:00:00"/>
    <x v="1"/>
    <s v="MO-17800"/>
    <s v="Meg O'Connel"/>
    <x v="2"/>
    <s v="United States"/>
    <s v="Chicago"/>
    <s v="Illinois"/>
    <x v="3"/>
    <s v="FUR-TA-10000688"/>
    <s v="Furniture"/>
    <x v="2"/>
    <x v="116"/>
    <n v="108.925"/>
    <n v="1"/>
    <n v="-71.890500000000003"/>
    <s v="4- days"/>
    <n v="4"/>
    <x v="2"/>
  </r>
  <r>
    <s v="US-2017-119438"/>
    <d v="2017-03-18T00:00:00"/>
    <d v="2017-03-23T00:00:00"/>
    <x v="1"/>
    <s v="CD-11980"/>
    <s v="Carol Darley"/>
    <x v="0"/>
    <s v="United States"/>
    <s v="Tyler"/>
    <s v="Texas"/>
    <x v="3"/>
    <s v="FUR-FU-10003553"/>
    <s v="Furniture"/>
    <x v="3"/>
    <x v="117"/>
    <n v="82.524000000000001"/>
    <n v="3"/>
    <n v="-41.262"/>
    <s v="5- days"/>
    <n v="5"/>
    <x v="9"/>
  </r>
  <r>
    <s v="CA-2017-161480"/>
    <d v="2017-12-25T00:00:00"/>
    <d v="2017-12-29T00:00:00"/>
    <x v="1"/>
    <s v="RA-19285"/>
    <s v="Ralph Arnett"/>
    <x v="0"/>
    <s v="United States"/>
    <s v="New York City"/>
    <s v="New York"/>
    <x v="2"/>
    <s v="FUR-BO-10004015"/>
    <s v="Furniture"/>
    <x v="0"/>
    <x v="118"/>
    <n v="191.98400000000001"/>
    <n v="2"/>
    <n v="4.7995999999999999"/>
    <s v="4- days"/>
    <n v="4"/>
    <x v="5"/>
  </r>
  <r>
    <s v="US-2014-117135"/>
    <d v="2014-06-21T00:00:00"/>
    <d v="2014-06-23T00:00:00"/>
    <x v="0"/>
    <s v="NP-18325"/>
    <s v="Naresj Patel"/>
    <x v="0"/>
    <s v="United States"/>
    <s v="Waynesboro"/>
    <s v="Virginia"/>
    <x v="0"/>
    <s v="FUR-FU-10004071"/>
    <s v="Furniture"/>
    <x v="3"/>
    <x v="119"/>
    <n v="104.01"/>
    <n v="1"/>
    <n v="14.561400000000001"/>
    <s v="2- days"/>
    <n v="2"/>
    <x v="2"/>
  </r>
  <r>
    <s v="CA-2017-114552"/>
    <d v="2017-09-02T00:00:00"/>
    <d v="2017-09-08T00:00:00"/>
    <x v="1"/>
    <s v="Dl-13600"/>
    <s v="Dorris liebe"/>
    <x v="1"/>
    <s v="United States"/>
    <s v="Cleveland"/>
    <s v="Ohio"/>
    <x v="2"/>
    <s v="FUR-FU-10002960"/>
    <s v="Furniture"/>
    <x v="3"/>
    <x v="37"/>
    <n v="15.071999999999999"/>
    <n v="3"/>
    <n v="4.1448"/>
    <s v="6- days"/>
    <n v="6"/>
    <x v="4"/>
  </r>
  <r>
    <s v="CA-2016-163755"/>
    <d v="2016-11-04T00:00:00"/>
    <d v="2016-11-08T00:00:00"/>
    <x v="0"/>
    <s v="AS-10285"/>
    <s v="Alejandro Savely"/>
    <x v="1"/>
    <s v="United States"/>
    <s v="Seattle"/>
    <s v="Washington"/>
    <x v="1"/>
    <s v="FUR-FU-10003394"/>
    <s v="Furniture"/>
    <x v="3"/>
    <x v="120"/>
    <n v="209.88"/>
    <n v="3"/>
    <n v="35.679600000000001"/>
    <s v="4- days"/>
    <n v="4"/>
    <x v="0"/>
  </r>
  <r>
    <s v="CA-2015-142027"/>
    <d v="2015-04-09T00:00:00"/>
    <d v="2015-04-14T00:00:00"/>
    <x v="1"/>
    <s v="JK-15370"/>
    <s v="Jay Kimmel"/>
    <x v="0"/>
    <s v="United States"/>
    <s v="Long Beach"/>
    <s v="California"/>
    <x v="1"/>
    <s v="FUR-TA-10002774"/>
    <s v="Furniture"/>
    <x v="2"/>
    <x v="121"/>
    <n v="369.91199999999998"/>
    <n v="3"/>
    <n v="-13.871700000000001"/>
    <s v="5- days"/>
    <n v="5"/>
    <x v="6"/>
  </r>
  <r>
    <s v="CA-2014-112158"/>
    <d v="2014-12-02T00:00:00"/>
    <d v="2014-12-04T00:00:00"/>
    <x v="2"/>
    <s v="DP-13165"/>
    <s v="David Philippe"/>
    <x v="0"/>
    <s v="United States"/>
    <s v="New York City"/>
    <s v="New York"/>
    <x v="2"/>
    <s v="FUR-BO-10003272"/>
    <s v="Furniture"/>
    <x v="0"/>
    <x v="122"/>
    <n v="883.92"/>
    <n v="5"/>
    <n v="-110.49"/>
    <s v="2- days"/>
    <n v="2"/>
    <x v="5"/>
  </r>
  <r>
    <s v="CA-2014-130092"/>
    <d v="2014-01-11T00:00:00"/>
    <d v="2014-01-14T00:00:00"/>
    <x v="2"/>
    <s v="SV-20365"/>
    <s v="Seth Vernon"/>
    <x v="0"/>
    <s v="United States"/>
    <s v="Dover"/>
    <s v="Delaware"/>
    <x v="2"/>
    <s v="FUR-FU-10000010"/>
    <s v="Furniture"/>
    <x v="3"/>
    <x v="109"/>
    <n v="9.94"/>
    <n v="2"/>
    <n v="3.0813999999999999"/>
    <s v="3- days"/>
    <n v="3"/>
    <x v="8"/>
  </r>
  <r>
    <s v="CA-2017-108910"/>
    <d v="2017-09-24T00:00:00"/>
    <d v="2017-09-29T00:00:00"/>
    <x v="1"/>
    <s v="KC-16540"/>
    <s v="Kelly Collister"/>
    <x v="0"/>
    <s v="United States"/>
    <s v="Newark"/>
    <s v="Ohio"/>
    <x v="2"/>
    <s v="FUR-FU-10002253"/>
    <s v="Furniture"/>
    <x v="3"/>
    <x v="123"/>
    <n v="103.056"/>
    <n v="3"/>
    <n v="24.4758"/>
    <s v="5- days"/>
    <n v="5"/>
    <x v="4"/>
  </r>
  <r>
    <s v="CA-2014-104472"/>
    <d v="2014-06-02T00:00:00"/>
    <d v="2014-06-07T00:00:00"/>
    <x v="1"/>
    <s v="CK-12325"/>
    <s v="Christine Kargatis"/>
    <x v="2"/>
    <s v="United States"/>
    <s v="Orem"/>
    <s v="Utah"/>
    <x v="1"/>
    <s v="FUR-FU-10000246"/>
    <s v="Furniture"/>
    <x v="3"/>
    <x v="82"/>
    <n v="73.319999999999993"/>
    <n v="6"/>
    <n v="21.995999999999999"/>
    <s v="5- days"/>
    <n v="5"/>
    <x v="2"/>
  </r>
  <r>
    <s v="CA-2016-142335"/>
    <d v="2016-12-15T00:00:00"/>
    <d v="2016-12-19T00:00:00"/>
    <x v="1"/>
    <s v="MP-17965"/>
    <s v="Michael Paige"/>
    <x v="1"/>
    <s v="United States"/>
    <s v="Detroit"/>
    <s v="Michigan"/>
    <x v="3"/>
    <s v="FUR-TA-10000198"/>
    <s v="Furniture"/>
    <x v="2"/>
    <x v="124"/>
    <n v="1652.94"/>
    <n v="3"/>
    <n v="231.41159999999999"/>
    <s v="4- days"/>
    <n v="4"/>
    <x v="5"/>
  </r>
  <r>
    <s v="CA-2014-117429"/>
    <d v="2014-10-07T00:00:00"/>
    <d v="2014-10-13T00:00:00"/>
    <x v="1"/>
    <s v="MR-17545"/>
    <s v="Mathew Reese"/>
    <x v="2"/>
    <s v="United States"/>
    <s v="Philadelphia"/>
    <s v="Pennsylvania"/>
    <x v="2"/>
    <s v="FUR-FU-10000222"/>
    <s v="Furniture"/>
    <x v="3"/>
    <x v="125"/>
    <n v="129.91999999999999"/>
    <n v="5"/>
    <n v="21.111999999999998"/>
    <s v="6- days"/>
    <n v="6"/>
    <x v="1"/>
  </r>
  <r>
    <s v="US-2016-150861"/>
    <d v="2016-12-03T00:00:00"/>
    <d v="2016-12-06T00:00:00"/>
    <x v="2"/>
    <s v="EG-13900"/>
    <s v="Emily Grady"/>
    <x v="0"/>
    <s v="United States"/>
    <s v="Oceanside"/>
    <s v="New York"/>
    <x v="2"/>
    <s v="FUR-TA-10002228"/>
    <s v="Furniture"/>
    <x v="2"/>
    <x v="126"/>
    <n v="400.03199999999998"/>
    <n v="2"/>
    <n v="-153.34559999999999"/>
    <s v="3- days"/>
    <n v="3"/>
    <x v="5"/>
  </r>
  <r>
    <s v="US-2016-150861"/>
    <d v="2016-12-03T00:00:00"/>
    <d v="2016-12-06T00:00:00"/>
    <x v="2"/>
    <s v="EG-13900"/>
    <s v="Emily Grady"/>
    <x v="0"/>
    <s v="United States"/>
    <s v="Oceanside"/>
    <s v="New York"/>
    <x v="2"/>
    <s v="FUR-CH-10002965"/>
    <s v="Furniture"/>
    <x v="1"/>
    <x v="50"/>
    <n v="542.64599999999996"/>
    <n v="3"/>
    <n v="102.49979999999999"/>
    <s v="3- days"/>
    <n v="3"/>
    <x v="5"/>
  </r>
  <r>
    <s v="CA-2017-131954"/>
    <d v="2017-01-21T00:00:00"/>
    <d v="2017-01-25T00:00:00"/>
    <x v="1"/>
    <s v="DS-13030"/>
    <s v="Darrin Sayre"/>
    <x v="2"/>
    <s v="United States"/>
    <s v="Seattle"/>
    <s v="Washington"/>
    <x v="1"/>
    <s v="FUR-BO-10001619"/>
    <s v="Furniture"/>
    <x v="0"/>
    <x v="127"/>
    <n v="84.98"/>
    <n v="1"/>
    <n v="18.695599999999999"/>
    <s v="4- days"/>
    <n v="4"/>
    <x v="8"/>
  </r>
  <r>
    <s v="CA-2014-124429"/>
    <d v="2014-05-27T00:00:00"/>
    <d v="2014-05-27T00:00:00"/>
    <x v="3"/>
    <s v="MH-17785"/>
    <s v="Maya Herman"/>
    <x v="1"/>
    <s v="United States"/>
    <s v="San Diego"/>
    <s v="California"/>
    <x v="1"/>
    <s v="FUR-TA-10002607"/>
    <s v="Furniture"/>
    <x v="2"/>
    <x v="48"/>
    <n v="567.12"/>
    <n v="10"/>
    <n v="-28.356000000000002"/>
    <s v="0- days"/>
    <n v="0"/>
    <x v="7"/>
  </r>
  <r>
    <s v="CA-2017-126074"/>
    <d v="2017-10-02T00:00:00"/>
    <d v="2017-10-06T00:00:00"/>
    <x v="1"/>
    <s v="RF-19735"/>
    <s v="Roland Fjeld"/>
    <x v="0"/>
    <s v="United States"/>
    <s v="Trenton"/>
    <s v="Michigan"/>
    <x v="3"/>
    <s v="FUR-FU-10003577"/>
    <s v="Furniture"/>
    <x v="3"/>
    <x v="128"/>
    <n v="157.74"/>
    <n v="11"/>
    <n v="56.7864"/>
    <s v="4- days"/>
    <n v="4"/>
    <x v="1"/>
  </r>
  <r>
    <s v="CA-2015-135272"/>
    <d v="2015-12-07T00:00:00"/>
    <d v="2015-12-12T00:00:00"/>
    <x v="1"/>
    <s v="MS-17830"/>
    <s v="Melanie Seite"/>
    <x v="0"/>
    <s v="United States"/>
    <s v="Los Angeles"/>
    <s v="California"/>
    <x v="1"/>
    <s v="FUR-FU-10002759"/>
    <s v="Furniture"/>
    <x v="3"/>
    <x v="115"/>
    <n v="79.92"/>
    <n v="4"/>
    <n v="28.7712"/>
    <s v="5- days"/>
    <n v="5"/>
    <x v="5"/>
  </r>
  <r>
    <s v="CA-2016-140928"/>
    <d v="2016-09-18T00:00:00"/>
    <d v="2016-09-22T00:00:00"/>
    <x v="1"/>
    <s v="NB-18655"/>
    <s v="Nona Balk"/>
    <x v="1"/>
    <s v="United States"/>
    <s v="Jacksonville"/>
    <s v="Florida"/>
    <x v="0"/>
    <s v="FUR-TA-10001095"/>
    <s v="Furniture"/>
    <x v="2"/>
    <x v="129"/>
    <n v="383.43799999999999"/>
    <n v="4"/>
    <n v="-167.3184"/>
    <s v="4- days"/>
    <n v="4"/>
    <x v="4"/>
  </r>
  <r>
    <s v="CA-2014-106810"/>
    <d v="2014-05-14T00:00:00"/>
    <d v="2014-05-20T00:00:00"/>
    <x v="1"/>
    <s v="AJ-10795"/>
    <s v="Anthony Johnson"/>
    <x v="1"/>
    <s v="United States"/>
    <s v="Saint Petersburg"/>
    <s v="Florida"/>
    <x v="0"/>
    <s v="FUR-FU-10004306"/>
    <s v="Furniture"/>
    <x v="3"/>
    <x v="130"/>
    <n v="310.88"/>
    <n v="2"/>
    <n v="23.315999999999999"/>
    <s v="6- days"/>
    <n v="6"/>
    <x v="7"/>
  </r>
  <r>
    <s v="CA-2016-157245"/>
    <d v="2016-05-19T00:00:00"/>
    <d v="2016-05-24T00:00:00"/>
    <x v="1"/>
    <s v="LE-16810"/>
    <s v="Laurel Elliston"/>
    <x v="0"/>
    <s v="United States"/>
    <s v="Arlington"/>
    <s v="Virginia"/>
    <x v="0"/>
    <s v="FUR-CH-10003746"/>
    <s v="Furniture"/>
    <x v="1"/>
    <x v="131"/>
    <n v="641.96"/>
    <n v="2"/>
    <n v="179.74879999999999"/>
    <s v="5- days"/>
    <n v="5"/>
    <x v="7"/>
  </r>
  <r>
    <s v="CA-2017-104220"/>
    <d v="2017-01-30T00:00:00"/>
    <d v="2017-02-05T00:00:00"/>
    <x v="1"/>
    <s v="BV-11245"/>
    <s v="Benjamin Venier"/>
    <x v="1"/>
    <s v="United States"/>
    <s v="Des Moines"/>
    <s v="Iowa"/>
    <x v="3"/>
    <s v="FUR-FU-10002597"/>
    <s v="Furniture"/>
    <x v="3"/>
    <x v="132"/>
    <n v="34.58"/>
    <n v="7"/>
    <n v="14.5236"/>
    <s v="6- days"/>
    <n v="6"/>
    <x v="8"/>
  </r>
  <r>
    <s v="CA-2015-144267"/>
    <d v="2015-08-21T00:00:00"/>
    <d v="2015-08-23T00:00:00"/>
    <x v="2"/>
    <s v="NZ-18565"/>
    <s v="Nick Zandusky"/>
    <x v="2"/>
    <s v="United States"/>
    <s v="San Francisco"/>
    <s v="California"/>
    <x v="1"/>
    <s v="FUR-CH-10002335"/>
    <s v="Furniture"/>
    <x v="1"/>
    <x v="133"/>
    <n v="544.00800000000004"/>
    <n v="3"/>
    <n v="40.800600000000003"/>
    <s v="2- days"/>
    <n v="2"/>
    <x v="10"/>
  </r>
  <r>
    <s v="US-2015-157014"/>
    <d v="2015-10-03T00:00:00"/>
    <d v="2015-10-06T00:00:00"/>
    <x v="0"/>
    <s v="BM-11785"/>
    <s v="Bryan Mills"/>
    <x v="0"/>
    <s v="United States"/>
    <s v="Columbus"/>
    <s v="Ohio"/>
    <x v="2"/>
    <s v="FUR-BO-10004409"/>
    <s v="Furniture"/>
    <x v="0"/>
    <x v="134"/>
    <n v="35.49"/>
    <n v="1"/>
    <n v="-15.615600000000001"/>
    <s v="3- days"/>
    <n v="3"/>
    <x v="1"/>
  </r>
  <r>
    <s v="CA-2015-154620"/>
    <d v="2015-12-12T00:00:00"/>
    <d v="2015-12-16T00:00:00"/>
    <x v="1"/>
    <s v="LT-17110"/>
    <s v="Liz Thompson"/>
    <x v="0"/>
    <s v="United States"/>
    <s v="Lancaster"/>
    <s v="California"/>
    <x v="1"/>
    <s v="FUR-CH-10004675"/>
    <s v="Furniture"/>
    <x v="1"/>
    <x v="135"/>
    <n v="348.928"/>
    <n v="2"/>
    <n v="34.892800000000001"/>
    <s v="4- days"/>
    <n v="4"/>
    <x v="5"/>
  </r>
  <r>
    <s v="CA-2015-115938"/>
    <d v="2015-06-26T00:00:00"/>
    <d v="2015-06-30T00:00:00"/>
    <x v="1"/>
    <s v="SA-20830"/>
    <s v="Sue Ann Reed"/>
    <x v="0"/>
    <s v="United States"/>
    <s v="Richmond"/>
    <s v="Virginia"/>
    <x v="0"/>
    <s v="FUR-CH-10003199"/>
    <s v="Furniture"/>
    <x v="1"/>
    <x v="136"/>
    <n v="332.94"/>
    <n v="3"/>
    <n v="79.905600000000007"/>
    <s v="4- days"/>
    <n v="4"/>
    <x v="2"/>
  </r>
  <r>
    <s v="CA-2015-101910"/>
    <d v="2015-11-27T00:00:00"/>
    <d v="2015-12-03T00:00:00"/>
    <x v="1"/>
    <s v="CD-11920"/>
    <s v="Carlos Daly"/>
    <x v="0"/>
    <s v="United States"/>
    <s v="Lake Elsinore"/>
    <s v="California"/>
    <x v="1"/>
    <s v="FUR-CH-10002647"/>
    <s v="Furniture"/>
    <x v="1"/>
    <x v="99"/>
    <n v="283.92"/>
    <n v="5"/>
    <n v="17.745000000000001"/>
    <s v="6- days"/>
    <n v="6"/>
    <x v="0"/>
  </r>
  <r>
    <s v="CA-2017-105809"/>
    <d v="2017-02-20T00:00:00"/>
    <d v="2017-02-23T00:00:00"/>
    <x v="2"/>
    <s v="HW-14935"/>
    <s v="Helen Wasserman"/>
    <x v="1"/>
    <s v="United States"/>
    <s v="San Diego"/>
    <s v="California"/>
    <x v="1"/>
    <s v="FUR-FU-10004090"/>
    <s v="Furniture"/>
    <x v="3"/>
    <x v="137"/>
    <n v="22.23"/>
    <n v="1"/>
    <n v="7.3358999999999996"/>
    <s v="3- days"/>
    <n v="3"/>
    <x v="11"/>
  </r>
  <r>
    <s v="CA-2017-135783"/>
    <d v="2017-04-22T00:00:00"/>
    <d v="2017-04-24T00:00:00"/>
    <x v="2"/>
    <s v="GM-14440"/>
    <s v="Gary McGarr"/>
    <x v="0"/>
    <s v="United States"/>
    <s v="San Francisco"/>
    <s v="California"/>
    <x v="1"/>
    <s v="FUR-FU-10000794"/>
    <s v="Furniture"/>
    <x v="3"/>
    <x v="138"/>
    <n v="18.28"/>
    <n v="2"/>
    <n v="6.2152000000000003"/>
    <s v="2- days"/>
    <n v="2"/>
    <x v="6"/>
  </r>
  <r>
    <s v="CA-2015-140921"/>
    <d v="2015-02-03T00:00:00"/>
    <d v="2015-02-05T00:00:00"/>
    <x v="2"/>
    <s v="AA-10375"/>
    <s v="Allen Armold"/>
    <x v="0"/>
    <s v="United States"/>
    <s v="Omaha"/>
    <s v="Nebraska"/>
    <x v="3"/>
    <s v="FUR-FU-10003347"/>
    <s v="Furniture"/>
    <x v="3"/>
    <x v="80"/>
    <n v="28.4"/>
    <n v="2"/>
    <n v="11.076000000000001"/>
    <s v="2- days"/>
    <n v="2"/>
    <x v="11"/>
  </r>
  <r>
    <s v="CA-2014-151995"/>
    <d v="2014-10-13T00:00:00"/>
    <d v="2014-10-15T00:00:00"/>
    <x v="2"/>
    <s v="ZC-21910"/>
    <s v="Zuschuss Carroll"/>
    <x v="0"/>
    <s v="United States"/>
    <s v="Edmonds"/>
    <s v="Washington"/>
    <x v="1"/>
    <s v="FUR-TA-10002903"/>
    <s v="Furniture"/>
    <x v="2"/>
    <x v="52"/>
    <n v="1298.55"/>
    <n v="5"/>
    <n v="311.65199999999999"/>
    <s v="2- days"/>
    <n v="2"/>
    <x v="1"/>
  </r>
  <r>
    <s v="CA-2017-143686"/>
    <d v="2017-05-14T00:00:00"/>
    <d v="2017-05-14T00:00:00"/>
    <x v="3"/>
    <s v="PJ-19015"/>
    <s v="Pauline Johnson"/>
    <x v="0"/>
    <s v="United States"/>
    <s v="Santa Ana"/>
    <s v="California"/>
    <x v="1"/>
    <s v="FUR-FU-10000794"/>
    <s v="Furniture"/>
    <x v="3"/>
    <x v="138"/>
    <n v="18.28"/>
    <n v="2"/>
    <n v="6.2152000000000003"/>
    <s v="0- days"/>
    <n v="0"/>
    <x v="7"/>
  </r>
  <r>
    <s v="CA-2014-140858"/>
    <d v="2014-06-28T00:00:00"/>
    <d v="2014-07-02T00:00:00"/>
    <x v="1"/>
    <s v="CA-12775"/>
    <s v="Cynthia Arntzen"/>
    <x v="0"/>
    <s v="United States"/>
    <s v="Philadelphia"/>
    <s v="Pennsylvania"/>
    <x v="2"/>
    <s v="FUR-CH-10001394"/>
    <s v="Furniture"/>
    <x v="1"/>
    <x v="139"/>
    <n v="1228.4649999999999"/>
    <n v="5"/>
    <n v="0"/>
    <s v="4- days"/>
    <n v="4"/>
    <x v="2"/>
  </r>
  <r>
    <s v="CA-2017-129462"/>
    <d v="2017-06-16T00:00:00"/>
    <d v="2017-06-21T00:00:00"/>
    <x v="0"/>
    <s v="JE-15745"/>
    <s v="Joel Eaton"/>
    <x v="0"/>
    <s v="United States"/>
    <s v="Florence"/>
    <s v="Kentucky"/>
    <x v="0"/>
    <s v="FUR-CH-10000665"/>
    <s v="Furniture"/>
    <x v="1"/>
    <x v="140"/>
    <n v="301.95999999999998"/>
    <n v="2"/>
    <n v="90.587999999999994"/>
    <s v="5- days"/>
    <n v="5"/>
    <x v="2"/>
  </r>
  <r>
    <s v="CA-2015-100454"/>
    <d v="2015-11-20T00:00:00"/>
    <d v="2015-11-25T00:00:00"/>
    <x v="1"/>
    <s v="BM-11650"/>
    <s v="Brian Moss"/>
    <x v="1"/>
    <s v="United States"/>
    <s v="New York City"/>
    <s v="New York"/>
    <x v="2"/>
    <s v="FUR-BO-10001519"/>
    <s v="Furniture"/>
    <x v="0"/>
    <x v="141"/>
    <n v="186.048"/>
    <n v="4"/>
    <n v="9.3024000000000004"/>
    <s v="5- days"/>
    <n v="5"/>
    <x v="0"/>
  </r>
  <r>
    <s v="CA-2015-114300"/>
    <d v="2015-10-13T00:00:00"/>
    <d v="2015-10-17T00:00:00"/>
    <x v="1"/>
    <s v="AF-10885"/>
    <s v="Art Foster"/>
    <x v="0"/>
    <s v="United States"/>
    <s v="Louisville"/>
    <s v="Kentucky"/>
    <x v="0"/>
    <s v="FUR-CH-10001891"/>
    <s v="Furniture"/>
    <x v="1"/>
    <x v="55"/>
    <n v="287.94"/>
    <n v="3"/>
    <n v="77.743799999999993"/>
    <s v="4- days"/>
    <n v="4"/>
    <x v="1"/>
  </r>
  <r>
    <s v="CA-2017-107503"/>
    <d v="2017-01-01T00:00:00"/>
    <d v="2017-01-06T00:00:00"/>
    <x v="1"/>
    <s v="GA-14725"/>
    <s v="Guy Armstrong"/>
    <x v="0"/>
    <s v="United States"/>
    <s v="Lorain"/>
    <s v="Ohio"/>
    <x v="2"/>
    <s v="FUR-FU-10003878"/>
    <s v="Furniture"/>
    <x v="3"/>
    <x v="142"/>
    <n v="48.896000000000001"/>
    <n v="4"/>
    <n v="8.5568000000000008"/>
    <s v="5- days"/>
    <n v="5"/>
    <x v="8"/>
  </r>
  <r>
    <s v="CA-2016-123274"/>
    <d v="2016-02-19T00:00:00"/>
    <d v="2016-02-24T00:00:00"/>
    <x v="1"/>
    <s v="GT-14710"/>
    <s v="Greg Tran"/>
    <x v="0"/>
    <s v="United States"/>
    <s v="New York City"/>
    <s v="New York"/>
    <x v="2"/>
    <s v="FUR-FU-10004090"/>
    <s v="Furniture"/>
    <x v="3"/>
    <x v="137"/>
    <n v="44.46"/>
    <n v="2"/>
    <n v="14.671799999999999"/>
    <s v="5- days"/>
    <n v="5"/>
    <x v="11"/>
  </r>
  <r>
    <s v="CA-2014-149020"/>
    <d v="2014-01-10T00:00:00"/>
    <d v="2014-01-15T00:00:00"/>
    <x v="1"/>
    <s v="AJ-10780"/>
    <s v="Anthony Jacobs"/>
    <x v="1"/>
    <s v="United States"/>
    <s v="Springfield"/>
    <s v="Virginia"/>
    <x v="0"/>
    <s v="FUR-FU-10000965"/>
    <s v="Furniture"/>
    <x v="3"/>
    <x v="143"/>
    <n v="51.94"/>
    <n v="1"/>
    <n v="21.295400000000001"/>
    <s v="5- days"/>
    <n v="5"/>
    <x v="8"/>
  </r>
  <r>
    <s v="CA-2016-116736"/>
    <d v="2016-01-17T00:00:00"/>
    <d v="2016-01-21T00:00:00"/>
    <x v="1"/>
    <s v="CC-12430"/>
    <s v="Chuck Clark"/>
    <x v="2"/>
    <s v="United States"/>
    <s v="Concord"/>
    <s v="New Hampshire"/>
    <x v="2"/>
    <s v="FUR-FU-10004017"/>
    <s v="Furniture"/>
    <x v="3"/>
    <x v="45"/>
    <n v="322.58999999999997"/>
    <n v="3"/>
    <n v="64.518000000000001"/>
    <s v="4- days"/>
    <n v="4"/>
    <x v="8"/>
  </r>
  <r>
    <s v="CA-2017-111689"/>
    <d v="2017-11-30T00:00:00"/>
    <d v="2017-12-02T00:00:00"/>
    <x v="0"/>
    <s v="HP-14815"/>
    <s v="Harold Pawlan"/>
    <x v="2"/>
    <s v="United States"/>
    <s v="New York City"/>
    <s v="New York"/>
    <x v="2"/>
    <s v="FUR-CH-10004287"/>
    <s v="Furniture"/>
    <x v="1"/>
    <x v="32"/>
    <n v="1242.9000000000001"/>
    <n v="5"/>
    <n v="262.39"/>
    <s v="2- days"/>
    <n v="2"/>
    <x v="0"/>
  </r>
  <r>
    <s v="CA-2016-165148"/>
    <d v="2016-10-22T00:00:00"/>
    <d v="2016-10-24T00:00:00"/>
    <x v="2"/>
    <s v="PM-19135"/>
    <s v="Peter McVee"/>
    <x v="2"/>
    <s v="United States"/>
    <s v="Detroit"/>
    <s v="Michigan"/>
    <x v="3"/>
    <s v="FUR-FU-10000732"/>
    <s v="Furniture"/>
    <x v="3"/>
    <x v="113"/>
    <n v="31.4"/>
    <n v="5"/>
    <n v="10.048"/>
    <s v="2- days"/>
    <n v="2"/>
    <x v="1"/>
  </r>
  <r>
    <s v="CA-2014-134061"/>
    <d v="2014-04-29T00:00:00"/>
    <d v="2014-05-04T00:00:00"/>
    <x v="1"/>
    <s v="LL-16840"/>
    <s v="Lauren Leatherbury"/>
    <x v="0"/>
    <s v="United States"/>
    <s v="Rochester"/>
    <s v="New York"/>
    <x v="2"/>
    <s v="FUR-FU-10001424"/>
    <s v="Furniture"/>
    <x v="3"/>
    <x v="144"/>
    <n v="17.46"/>
    <n v="2"/>
    <n v="5.9363999999999999"/>
    <s v="5- days"/>
    <n v="5"/>
    <x v="6"/>
  </r>
  <r>
    <s v="CA-2017-143259"/>
    <d v="2017-12-30T00:00:00"/>
    <d v="2018-01-03T00:00:00"/>
    <x v="1"/>
    <s v="PO-18865"/>
    <s v="Patrick O'Donnell"/>
    <x v="0"/>
    <s v="United States"/>
    <s v="New York City"/>
    <s v="New York"/>
    <x v="2"/>
    <s v="FUR-BO-10003441"/>
    <s v="Furniture"/>
    <x v="0"/>
    <x v="145"/>
    <n v="323.13600000000002"/>
    <n v="4"/>
    <n v="12.117599999999999"/>
    <s v="4- days"/>
    <n v="4"/>
    <x v="5"/>
  </r>
  <r>
    <s v="CA-2015-133627"/>
    <d v="2015-05-31T00:00:00"/>
    <d v="2015-06-07T00:00:00"/>
    <x v="1"/>
    <s v="SC-20050"/>
    <s v="Sample Company A"/>
    <x v="2"/>
    <s v="United States"/>
    <s v="Norwich"/>
    <s v="Connecticut"/>
    <x v="2"/>
    <s v="FUR-FU-10001935"/>
    <s v="Furniture"/>
    <x v="3"/>
    <x v="73"/>
    <n v="22.2"/>
    <n v="6"/>
    <n v="9.1020000000000003"/>
    <s v="7- days"/>
    <n v="7"/>
    <x v="7"/>
  </r>
  <r>
    <s v="CA-2017-102519"/>
    <d v="2017-11-27T00:00:00"/>
    <d v="2017-11-29T00:00:00"/>
    <x v="2"/>
    <s v="BM-11650"/>
    <s v="Brian Moss"/>
    <x v="1"/>
    <s v="United States"/>
    <s v="Milwaukee"/>
    <s v="Wisconsin"/>
    <x v="3"/>
    <s v="FUR-FU-10004091"/>
    <s v="Furniture"/>
    <x v="3"/>
    <x v="54"/>
    <n v="46.94"/>
    <n v="1"/>
    <n v="19.2454"/>
    <s v="2- days"/>
    <n v="2"/>
    <x v="0"/>
  </r>
  <r>
    <s v="US-2014-141215"/>
    <d v="2014-06-15T00:00:00"/>
    <d v="2014-06-21T00:00:00"/>
    <x v="1"/>
    <s v="KL-16555"/>
    <s v="Kelly Lampkin"/>
    <x v="1"/>
    <s v="United States"/>
    <s v="San Antonio"/>
    <s v="Texas"/>
    <x v="3"/>
    <s v="FUR-TA-10001520"/>
    <s v="Furniture"/>
    <x v="2"/>
    <x v="146"/>
    <n v="99.918000000000006"/>
    <n v="2"/>
    <n v="-18.5562"/>
    <s v="6- days"/>
    <n v="6"/>
    <x v="2"/>
  </r>
  <r>
    <s v="US-2014-141215"/>
    <d v="2014-06-15T00:00:00"/>
    <d v="2014-06-21T00:00:00"/>
    <x v="1"/>
    <s v="KL-16555"/>
    <s v="Kelly Lampkin"/>
    <x v="1"/>
    <s v="United States"/>
    <s v="San Antonio"/>
    <s v="Texas"/>
    <x v="3"/>
    <s v="FUR-CH-10003379"/>
    <s v="Furniture"/>
    <x v="1"/>
    <x v="96"/>
    <n v="797.94399999999996"/>
    <n v="4"/>
    <n v="-56.996000000000002"/>
    <s v="6- days"/>
    <n v="6"/>
    <x v="2"/>
  </r>
  <r>
    <s v="CA-2016-142958"/>
    <d v="2016-12-13T00:00:00"/>
    <d v="2016-12-20T00:00:00"/>
    <x v="1"/>
    <s v="RW-19630"/>
    <s v="Rob Williams"/>
    <x v="1"/>
    <s v="United States"/>
    <s v="Torrance"/>
    <s v="California"/>
    <x v="1"/>
    <s v="FUR-TA-10000577"/>
    <s v="Furniture"/>
    <x v="2"/>
    <x v="2"/>
    <n v="1114.2719999999999"/>
    <n v="4"/>
    <n v="41.785200000000003"/>
    <s v="7- days"/>
    <n v="7"/>
    <x v="5"/>
  </r>
  <r>
    <s v="US-2015-140200"/>
    <d v="2015-07-26T00:00:00"/>
    <d v="2015-07-28T00:00:00"/>
    <x v="2"/>
    <s v="CA-12775"/>
    <s v="Cynthia Arntzen"/>
    <x v="0"/>
    <s v="United States"/>
    <s v="Mesa"/>
    <s v="Arizona"/>
    <x v="1"/>
    <s v="FUR-TA-10002356"/>
    <s v="Furniture"/>
    <x v="2"/>
    <x v="147"/>
    <n v="393.16500000000002"/>
    <n v="3"/>
    <n v="-204.44579999999999"/>
    <s v="2- days"/>
    <n v="2"/>
    <x v="3"/>
  </r>
  <r>
    <s v="US-2017-110576"/>
    <d v="2017-11-28T00:00:00"/>
    <d v="2017-12-02T00:00:00"/>
    <x v="1"/>
    <s v="RB-19795"/>
    <s v="Ross Baird"/>
    <x v="2"/>
    <s v="United States"/>
    <s v="Philadelphia"/>
    <s v="Pennsylvania"/>
    <x v="2"/>
    <s v="FUR-FU-10003601"/>
    <s v="Furniture"/>
    <x v="3"/>
    <x v="148"/>
    <n v="516.48800000000006"/>
    <n v="7"/>
    <n v="-12.9122"/>
    <s v="4- days"/>
    <n v="4"/>
    <x v="0"/>
  </r>
  <r>
    <s v="US-2017-110576"/>
    <d v="2017-11-28T00:00:00"/>
    <d v="2017-12-02T00:00:00"/>
    <x v="1"/>
    <s v="RB-19795"/>
    <s v="Ross Baird"/>
    <x v="2"/>
    <s v="United States"/>
    <s v="Philadelphia"/>
    <s v="Pennsylvania"/>
    <x v="2"/>
    <s v="FUR-FU-10000576"/>
    <s v="Furniture"/>
    <x v="3"/>
    <x v="46"/>
    <n v="1007.232"/>
    <n v="6"/>
    <n v="75.542400000000001"/>
    <s v="4- days"/>
    <n v="4"/>
    <x v="0"/>
  </r>
  <r>
    <s v="US-2017-110576"/>
    <d v="2017-11-28T00:00:00"/>
    <d v="2017-12-02T00:00:00"/>
    <x v="1"/>
    <s v="RB-19795"/>
    <s v="Ross Baird"/>
    <x v="2"/>
    <s v="United States"/>
    <s v="Philadelphia"/>
    <s v="Pennsylvania"/>
    <x v="2"/>
    <s v="FUR-TA-10004154"/>
    <s v="Furniture"/>
    <x v="2"/>
    <x v="149"/>
    <n v="2065.3200000000002"/>
    <n v="12"/>
    <n v="-619.596"/>
    <s v="4- days"/>
    <n v="4"/>
    <x v="0"/>
  </r>
  <r>
    <s v="CA-2017-131156"/>
    <d v="2017-04-03T00:00:00"/>
    <d v="2017-04-07T00:00:00"/>
    <x v="1"/>
    <s v="KH-16360"/>
    <s v="Katherine Hughes"/>
    <x v="0"/>
    <s v="United States"/>
    <s v="Philadelphia"/>
    <s v="Pennsylvania"/>
    <x v="2"/>
    <s v="FUR-FU-10001940"/>
    <s v="Furniture"/>
    <x v="3"/>
    <x v="47"/>
    <n v="25.472000000000001"/>
    <n v="4"/>
    <n v="7.6416000000000004"/>
    <s v="4- days"/>
    <n v="4"/>
    <x v="6"/>
  </r>
  <r>
    <s v="CA-2017-136539"/>
    <d v="2017-12-28T00:00:00"/>
    <d v="2018-01-01T00:00:00"/>
    <x v="1"/>
    <s v="GH-14665"/>
    <s v="Greg Hansen"/>
    <x v="0"/>
    <s v="United States"/>
    <s v="Round Rock"/>
    <s v="Texas"/>
    <x v="3"/>
    <s v="FUR-BO-10004709"/>
    <s v="Furniture"/>
    <x v="0"/>
    <x v="53"/>
    <n v="78.852800000000002"/>
    <n v="2"/>
    <n v="-11.596"/>
    <s v="4- days"/>
    <n v="4"/>
    <x v="5"/>
  </r>
  <r>
    <s v="CA-2015-112571"/>
    <d v="2015-09-22T00:00:00"/>
    <d v="2015-09-22T00:00:00"/>
    <x v="3"/>
    <s v="DL-12925"/>
    <s v="Daniel Lacy"/>
    <x v="0"/>
    <s v="United States"/>
    <s v="Oceanside"/>
    <s v="California"/>
    <x v="1"/>
    <s v="FUR-FU-10004188"/>
    <s v="Furniture"/>
    <x v="3"/>
    <x v="150"/>
    <n v="204.6"/>
    <n v="2"/>
    <n v="53.195999999999998"/>
    <s v="0- days"/>
    <n v="0"/>
    <x v="4"/>
  </r>
  <r>
    <s v="CA-2017-152142"/>
    <d v="2017-11-14T00:00:00"/>
    <d v="2017-11-19T00:00:00"/>
    <x v="1"/>
    <s v="LW-16990"/>
    <s v="Lindsay Williams"/>
    <x v="1"/>
    <s v="United States"/>
    <s v="San Francisco"/>
    <s v="California"/>
    <x v="1"/>
    <s v="FUR-CH-10002965"/>
    <s v="Furniture"/>
    <x v="1"/>
    <x v="50"/>
    <n v="321.56799999999998"/>
    <n v="2"/>
    <n v="28.1372"/>
    <s v="5- days"/>
    <n v="5"/>
    <x v="0"/>
  </r>
  <r>
    <s v="CA-2014-115791"/>
    <d v="2014-01-16T00:00:00"/>
    <d v="2014-01-18T00:00:00"/>
    <x v="0"/>
    <s v="DL-13315"/>
    <s v="Delfina Latchford"/>
    <x v="0"/>
    <s v="United States"/>
    <s v="Philadelphia"/>
    <s v="Pennsylvania"/>
    <x v="2"/>
    <s v="FUR-FU-10001095"/>
    <s v="Furniture"/>
    <x v="3"/>
    <x v="151"/>
    <n v="127.104"/>
    <n v="6"/>
    <n v="28.598400000000002"/>
    <s v="2- days"/>
    <n v="2"/>
    <x v="8"/>
  </r>
  <r>
    <s v="CA-2016-144939"/>
    <d v="2016-10-03T00:00:00"/>
    <d v="2016-10-08T00:00:00"/>
    <x v="1"/>
    <s v="EB-13870"/>
    <s v="Emily Burns"/>
    <x v="0"/>
    <s v="United States"/>
    <s v="New York City"/>
    <s v="New York"/>
    <x v="2"/>
    <s v="FUR-CH-10003199"/>
    <s v="Furniture"/>
    <x v="1"/>
    <x v="136"/>
    <n v="599.29200000000003"/>
    <n v="6"/>
    <n v="93.223200000000006"/>
    <s v="5- days"/>
    <n v="5"/>
    <x v="1"/>
  </r>
  <r>
    <s v="CA-2014-163419"/>
    <d v="2014-11-11T00:00:00"/>
    <d v="2014-11-14T00:00:00"/>
    <x v="0"/>
    <s v="TZ-21580"/>
    <s v="Tracy Zic"/>
    <x v="0"/>
    <s v="United States"/>
    <s v="Louisville"/>
    <s v="Colorado"/>
    <x v="1"/>
    <s v="FUR-CH-10000665"/>
    <s v="Furniture"/>
    <x v="1"/>
    <x v="140"/>
    <n v="603.91999999999996"/>
    <n v="5"/>
    <n v="75.489999999999995"/>
    <s v="3- days"/>
    <n v="3"/>
    <x v="0"/>
  </r>
  <r>
    <s v="CA-2017-167899"/>
    <d v="2017-05-21T00:00:00"/>
    <d v="2017-05-26T00:00:00"/>
    <x v="1"/>
    <s v="JG-15805"/>
    <s v="John Grady"/>
    <x v="1"/>
    <s v="United States"/>
    <s v="Auburn"/>
    <s v="New York"/>
    <x v="2"/>
    <s v="FUR-FU-10004071"/>
    <s v="Furniture"/>
    <x v="3"/>
    <x v="119"/>
    <n v="520.04999999999995"/>
    <n v="5"/>
    <n v="72.807000000000002"/>
    <s v="5- days"/>
    <n v="5"/>
    <x v="7"/>
  </r>
  <r>
    <s v="CA-2015-153549"/>
    <d v="2015-03-29T00:00:00"/>
    <d v="2015-03-31T00:00:00"/>
    <x v="0"/>
    <s v="SL-20155"/>
    <s v="Sara Luxemburg"/>
    <x v="2"/>
    <s v="United States"/>
    <s v="Jacksonville"/>
    <s v="Florida"/>
    <x v="0"/>
    <s v="FUR-CH-10004086"/>
    <s v="Furniture"/>
    <x v="1"/>
    <x v="61"/>
    <n v="1166.92"/>
    <n v="5"/>
    <n v="131.27850000000001"/>
    <s v="2- days"/>
    <n v="2"/>
    <x v="9"/>
  </r>
  <r>
    <s v="CA-2015-162537"/>
    <d v="2015-10-28T00:00:00"/>
    <d v="2015-11-03T00:00:00"/>
    <x v="1"/>
    <s v="RD-19585"/>
    <s v="Rob Dowd"/>
    <x v="0"/>
    <s v="United States"/>
    <s v="Henderson"/>
    <s v="Kentucky"/>
    <x v="0"/>
    <s v="FUR-FU-10002885"/>
    <s v="Furniture"/>
    <x v="3"/>
    <x v="152"/>
    <n v="24.1"/>
    <n v="5"/>
    <n v="9.1579999999999995"/>
    <s v="6- days"/>
    <n v="6"/>
    <x v="1"/>
  </r>
  <r>
    <s v="CA-2015-162537"/>
    <d v="2015-10-28T00:00:00"/>
    <d v="2015-11-03T00:00:00"/>
    <x v="1"/>
    <s v="RD-19585"/>
    <s v="Rob Dowd"/>
    <x v="0"/>
    <s v="United States"/>
    <s v="Henderson"/>
    <s v="Kentucky"/>
    <x v="0"/>
    <s v="FUR-FU-10001918"/>
    <s v="Furniture"/>
    <x v="3"/>
    <x v="60"/>
    <n v="33.11"/>
    <n v="7"/>
    <n v="12.9129"/>
    <s v="6- days"/>
    <n v="6"/>
    <x v="1"/>
  </r>
  <r>
    <s v="CA-2015-124891"/>
    <d v="2015-07-31T00:00:00"/>
    <d v="2015-07-31T00:00:00"/>
    <x v="3"/>
    <s v="RH-19495"/>
    <s v="Rick Hansen"/>
    <x v="0"/>
    <s v="United States"/>
    <s v="New York City"/>
    <s v="New York"/>
    <x v="2"/>
    <s v="FUR-TA-10002903"/>
    <s v="Furniture"/>
    <x v="2"/>
    <x v="52"/>
    <n v="1090.7819999999999"/>
    <n v="7"/>
    <n v="-290.87520000000001"/>
    <s v="0- days"/>
    <n v="0"/>
    <x v="3"/>
  </r>
  <r>
    <s v="CA-2014-158540"/>
    <d v="2014-11-24T00:00:00"/>
    <d v="2014-11-26T00:00:00"/>
    <x v="2"/>
    <s v="VG-21790"/>
    <s v="Vivek Gonzalez"/>
    <x v="0"/>
    <s v="United States"/>
    <s v="San Diego"/>
    <s v="California"/>
    <x v="1"/>
    <s v="FUR-FU-10001602"/>
    <s v="Furniture"/>
    <x v="3"/>
    <x v="153"/>
    <n v="151.72"/>
    <n v="4"/>
    <n v="27.3096"/>
    <s v="2- days"/>
    <n v="2"/>
    <x v="0"/>
  </r>
  <r>
    <s v="CA-2017-118437"/>
    <d v="2017-06-17T00:00:00"/>
    <d v="2017-06-21T00:00:00"/>
    <x v="0"/>
    <s v="PF-19165"/>
    <s v="Philip Fox"/>
    <x v="0"/>
    <s v="United States"/>
    <s v="Olympia"/>
    <s v="Washington"/>
    <x v="1"/>
    <s v="FUR-FU-10004848"/>
    <s v="Furniture"/>
    <x v="3"/>
    <x v="7"/>
    <n v="155.25"/>
    <n v="3"/>
    <n v="46.575000000000003"/>
    <s v="4- days"/>
    <n v="4"/>
    <x v="2"/>
  </r>
  <r>
    <s v="US-2015-126214"/>
    <d v="2015-12-21T00:00:00"/>
    <d v="2015-12-24T00:00:00"/>
    <x v="0"/>
    <s v="JS-15880"/>
    <s v="John Stevenson"/>
    <x v="0"/>
    <s v="United States"/>
    <s v="Seattle"/>
    <s v="Washington"/>
    <x v="1"/>
    <s v="FUR-TA-10003748"/>
    <s v="Furniture"/>
    <x v="2"/>
    <x v="40"/>
    <n v="1618.37"/>
    <n v="13"/>
    <n v="356.04140000000001"/>
    <s v="3- days"/>
    <n v="3"/>
    <x v="5"/>
  </r>
  <r>
    <s v="CA-2015-108665"/>
    <d v="2015-07-06T00:00:00"/>
    <d v="2015-07-10T00:00:00"/>
    <x v="1"/>
    <s v="KM-16225"/>
    <s v="Kalyca Meade"/>
    <x v="1"/>
    <s v="United States"/>
    <s v="New York City"/>
    <s v="New York"/>
    <x v="2"/>
    <s v="FUR-FU-10002191"/>
    <s v="Furniture"/>
    <x v="3"/>
    <x v="154"/>
    <n v="13.96"/>
    <n v="2"/>
    <n v="6.7008000000000001"/>
    <s v="4- days"/>
    <n v="4"/>
    <x v="3"/>
  </r>
  <r>
    <s v="CA-2015-108665"/>
    <d v="2015-07-06T00:00:00"/>
    <d v="2015-07-10T00:00:00"/>
    <x v="1"/>
    <s v="KM-16225"/>
    <s v="Kalyca Meade"/>
    <x v="1"/>
    <s v="United States"/>
    <s v="New York City"/>
    <s v="New York"/>
    <x v="2"/>
    <s v="FUR-FU-10000965"/>
    <s v="Furniture"/>
    <x v="3"/>
    <x v="143"/>
    <n v="155.82"/>
    <n v="3"/>
    <n v="63.886200000000002"/>
    <s v="4- days"/>
    <n v="4"/>
    <x v="3"/>
  </r>
  <r>
    <s v="CA-2015-124450"/>
    <d v="2015-04-27T00:00:00"/>
    <d v="2015-05-03T00:00:00"/>
    <x v="1"/>
    <s v="GT-14710"/>
    <s v="Greg Tran"/>
    <x v="0"/>
    <s v="United States"/>
    <s v="Washington"/>
    <s v="District of Columbia"/>
    <x v="2"/>
    <s v="FUR-CH-10000309"/>
    <s v="Furniture"/>
    <x v="1"/>
    <x v="155"/>
    <n v="1267.53"/>
    <n v="3"/>
    <n v="316.88249999999999"/>
    <s v="6- days"/>
    <n v="6"/>
    <x v="6"/>
  </r>
  <r>
    <s v="CA-2014-163552"/>
    <d v="2014-07-11T00:00:00"/>
    <d v="2014-07-15T00:00:00"/>
    <x v="1"/>
    <s v="LA-16780"/>
    <s v="Laura Armstrong"/>
    <x v="1"/>
    <s v="United States"/>
    <s v="Hackensack"/>
    <s v="New Jersey"/>
    <x v="2"/>
    <s v="FUR-CH-10003379"/>
    <s v="Furniture"/>
    <x v="1"/>
    <x v="96"/>
    <n v="854.94"/>
    <n v="3"/>
    <n v="213.73500000000001"/>
    <s v="4- days"/>
    <n v="4"/>
    <x v="3"/>
  </r>
  <r>
    <s v="CA-2014-163552"/>
    <d v="2014-07-11T00:00:00"/>
    <d v="2014-07-15T00:00:00"/>
    <x v="1"/>
    <s v="LA-16780"/>
    <s v="Laura Armstrong"/>
    <x v="1"/>
    <s v="United States"/>
    <s v="Hackensack"/>
    <s v="New Jersey"/>
    <x v="2"/>
    <s v="FUR-FU-10000629"/>
    <s v="Furniture"/>
    <x v="3"/>
    <x v="22"/>
    <n v="124.11"/>
    <n v="9"/>
    <n v="52.126199999999997"/>
    <s v="4- days"/>
    <n v="4"/>
    <x v="3"/>
  </r>
  <r>
    <s v="CA-2016-113061"/>
    <d v="2016-04-22T00:00:00"/>
    <d v="2016-04-26T00:00:00"/>
    <x v="1"/>
    <s v="EL-13735"/>
    <s v="Ed Ludwig"/>
    <x v="2"/>
    <s v="United States"/>
    <s v="Jefferson City"/>
    <s v="Missouri"/>
    <x v="3"/>
    <s v="FUR-FU-10003975"/>
    <s v="Furniture"/>
    <x v="3"/>
    <x v="156"/>
    <n v="86.62"/>
    <n v="2"/>
    <n v="8.6620000000000008"/>
    <s v="4- days"/>
    <n v="4"/>
    <x v="6"/>
  </r>
  <r>
    <s v="CA-2016-127670"/>
    <d v="2016-03-20T00:00:00"/>
    <d v="2016-03-24T00:00:00"/>
    <x v="1"/>
    <s v="RD-19660"/>
    <s v="Robert Dilbeck"/>
    <x v="2"/>
    <s v="United States"/>
    <s v="Saint Peters"/>
    <s v="Missouri"/>
    <x v="3"/>
    <s v="FUR-TA-10001095"/>
    <s v="Furniture"/>
    <x v="2"/>
    <x v="129"/>
    <n v="697.16"/>
    <n v="4"/>
    <n v="146.40360000000001"/>
    <s v="4- days"/>
    <n v="4"/>
    <x v="9"/>
  </r>
  <r>
    <s v="CA-2016-102981"/>
    <d v="2016-09-06T00:00:00"/>
    <d v="2016-09-09T00:00:00"/>
    <x v="0"/>
    <s v="MO-17500"/>
    <s v="Mary O'Rourke"/>
    <x v="0"/>
    <s v="United States"/>
    <s v="New York City"/>
    <s v="New York"/>
    <x v="2"/>
    <s v="FUR-BO-10001811"/>
    <s v="Furniture"/>
    <x v="0"/>
    <x v="157"/>
    <n v="722.35199999999998"/>
    <n v="3"/>
    <n v="90.293999999999997"/>
    <s v="3- days"/>
    <n v="3"/>
    <x v="4"/>
  </r>
  <r>
    <s v="CA-2017-152702"/>
    <d v="2017-10-12T00:00:00"/>
    <d v="2017-10-16T00:00:00"/>
    <x v="1"/>
    <s v="SN-20710"/>
    <s v="Steve Nguyen"/>
    <x v="2"/>
    <s v="United States"/>
    <s v="Rockford"/>
    <s v="Illinois"/>
    <x v="3"/>
    <s v="FUR-CH-10002304"/>
    <s v="Furniture"/>
    <x v="1"/>
    <x v="158"/>
    <n v="254.60400000000001"/>
    <n v="14"/>
    <n v="-18.186"/>
    <s v="4- days"/>
    <n v="4"/>
    <x v="1"/>
  </r>
  <r>
    <s v="CA-2016-169103"/>
    <d v="2016-03-08T00:00:00"/>
    <d v="2016-03-13T00:00:00"/>
    <x v="1"/>
    <s v="ZC-21910"/>
    <s v="Zuschuss Carroll"/>
    <x v="0"/>
    <s v="United States"/>
    <s v="Miami"/>
    <s v="Florida"/>
    <x v="0"/>
    <s v="FUR-FU-10004006"/>
    <s v="Furniture"/>
    <x v="3"/>
    <x v="23"/>
    <n v="102.36"/>
    <n v="3"/>
    <n v="-3.8384999999999998"/>
    <s v="5- days"/>
    <n v="5"/>
    <x v="9"/>
  </r>
  <r>
    <s v="US-2015-153500"/>
    <d v="2015-07-03T00:00:00"/>
    <d v="2015-07-05T00:00:00"/>
    <x v="2"/>
    <s v="DG-13300"/>
    <s v="Deirdre Greer"/>
    <x v="1"/>
    <s v="United States"/>
    <s v="Philadelphia"/>
    <s v="Pennsylvania"/>
    <x v="2"/>
    <s v="FUR-FU-10000293"/>
    <s v="Furniture"/>
    <x v="3"/>
    <x v="159"/>
    <n v="168.464"/>
    <n v="2"/>
    <n v="-29.481200000000001"/>
    <s v="2- days"/>
    <n v="2"/>
    <x v="3"/>
  </r>
  <r>
    <s v="US-2015-153500"/>
    <d v="2015-07-03T00:00:00"/>
    <d v="2015-07-05T00:00:00"/>
    <x v="2"/>
    <s v="DG-13300"/>
    <s v="Deirdre Greer"/>
    <x v="1"/>
    <s v="United States"/>
    <s v="Philadelphia"/>
    <s v="Pennsylvania"/>
    <x v="2"/>
    <s v="FUR-FU-10004460"/>
    <s v="Furniture"/>
    <x v="3"/>
    <x v="160"/>
    <n v="282.88799999999998"/>
    <n v="9"/>
    <n v="56.577599999999997"/>
    <s v="2- days"/>
    <n v="2"/>
    <x v="3"/>
  </r>
  <r>
    <s v="CA-2015-110667"/>
    <d v="2015-04-04T00:00:00"/>
    <d v="2015-04-08T00:00:00"/>
    <x v="1"/>
    <s v="NF-18595"/>
    <s v="Nicole Fjeld"/>
    <x v="2"/>
    <s v="United States"/>
    <s v="New York City"/>
    <s v="New York"/>
    <x v="2"/>
    <s v="FUR-FU-10004622"/>
    <s v="Furniture"/>
    <x v="3"/>
    <x v="161"/>
    <n v="108.4"/>
    <n v="2"/>
    <n v="22.763999999999999"/>
    <s v="4- days"/>
    <n v="4"/>
    <x v="6"/>
  </r>
  <r>
    <s v="US-2015-125374"/>
    <d v="2015-03-23T00:00:00"/>
    <d v="2015-03-29T00:00:00"/>
    <x v="1"/>
    <s v="JD-16060"/>
    <s v="Julia Dunbar"/>
    <x v="0"/>
    <s v="United States"/>
    <s v="Houston"/>
    <s v="Texas"/>
    <x v="3"/>
    <s v="FUR-CH-10003396"/>
    <s v="Furniture"/>
    <x v="1"/>
    <x v="81"/>
    <n v="107.77200000000001"/>
    <n v="2"/>
    <n v="-29.252400000000002"/>
    <s v="6- days"/>
    <n v="6"/>
    <x v="9"/>
  </r>
  <r>
    <s v="CA-2016-157686"/>
    <d v="2016-10-01T00:00:00"/>
    <d v="2016-10-02T00:00:00"/>
    <x v="2"/>
    <s v="BD-11620"/>
    <s v="Brian DeCherney"/>
    <x v="0"/>
    <s v="United States"/>
    <s v="San Francisco"/>
    <s v="California"/>
    <x v="1"/>
    <s v="FUR-CH-10001146"/>
    <s v="Furniture"/>
    <x v="1"/>
    <x v="15"/>
    <n v="194.84800000000001"/>
    <n v="4"/>
    <n v="12.178000000000001"/>
    <s v="1- days"/>
    <n v="1"/>
    <x v="1"/>
  </r>
  <r>
    <s v="CA-2015-110016"/>
    <d v="2015-11-29T00:00:00"/>
    <d v="2015-12-04T00:00:00"/>
    <x v="1"/>
    <s v="BT-11395"/>
    <s v="Bill Tyler"/>
    <x v="1"/>
    <s v="United States"/>
    <s v="Detroit"/>
    <s v="Michigan"/>
    <x v="3"/>
    <s v="FUR-CH-10002880"/>
    <s v="Furniture"/>
    <x v="1"/>
    <x v="162"/>
    <n v="1106.9100000000001"/>
    <n v="9"/>
    <n v="121.76009999999999"/>
    <s v="5- days"/>
    <n v="5"/>
    <x v="0"/>
  </r>
  <r>
    <s v="US-2016-143819"/>
    <d v="2016-03-01T00:00:00"/>
    <d v="2016-03-05T00:00:00"/>
    <x v="1"/>
    <s v="KD-16270"/>
    <s v="Karen Daniels"/>
    <x v="0"/>
    <s v="United States"/>
    <s v="Yonkers"/>
    <s v="New York"/>
    <x v="2"/>
    <s v="FUR-TA-10001095"/>
    <s v="Furniture"/>
    <x v="2"/>
    <x v="129"/>
    <n v="836.59199999999998"/>
    <n v="8"/>
    <n v="-264.92079999999999"/>
    <s v="4- days"/>
    <n v="4"/>
    <x v="9"/>
  </r>
  <r>
    <s v="CA-2017-158407"/>
    <d v="2017-06-04T00:00:00"/>
    <d v="2017-06-10T00:00:00"/>
    <x v="1"/>
    <s v="LW-16990"/>
    <s v="Lindsay Williams"/>
    <x v="1"/>
    <s v="United States"/>
    <s v="Monroe"/>
    <s v="North Carolina"/>
    <x v="0"/>
    <s v="FUR-FU-10001967"/>
    <s v="Furniture"/>
    <x v="3"/>
    <x v="65"/>
    <n v="31.984000000000002"/>
    <n v="2"/>
    <n v="1.9990000000000001"/>
    <s v="6- days"/>
    <n v="6"/>
    <x v="2"/>
  </r>
  <r>
    <s v="CA-2014-159338"/>
    <d v="2014-06-25T00:00:00"/>
    <d v="2014-06-28T00:00:00"/>
    <x v="2"/>
    <s v="NS-18640"/>
    <s v="Noel Staavos"/>
    <x v="1"/>
    <s v="United States"/>
    <s v="Los Angeles"/>
    <s v="California"/>
    <x v="1"/>
    <s v="FUR-TA-10004147"/>
    <s v="Furniture"/>
    <x v="2"/>
    <x v="163"/>
    <n v="447.84"/>
    <n v="5"/>
    <n v="11.196"/>
    <s v="3- days"/>
    <n v="3"/>
    <x v="2"/>
  </r>
  <r>
    <s v="CA-2016-107216"/>
    <d v="2016-06-14T00:00:00"/>
    <d v="2016-06-17T00:00:00"/>
    <x v="2"/>
    <s v="PV-18985"/>
    <s v="Paul Van Hugh"/>
    <x v="2"/>
    <s v="United States"/>
    <s v="San Francisco"/>
    <s v="California"/>
    <x v="1"/>
    <s v="FUR-FU-10000206"/>
    <s v="Furniture"/>
    <x v="3"/>
    <x v="84"/>
    <n v="8.73"/>
    <n v="3"/>
    <n v="4.1031000000000004"/>
    <s v="3- days"/>
    <n v="3"/>
    <x v="2"/>
  </r>
  <r>
    <s v="US-2016-110156"/>
    <d v="2016-11-19T00:00:00"/>
    <d v="2016-11-24T00:00:00"/>
    <x v="1"/>
    <s v="EH-13945"/>
    <s v="Eric Hoffmann"/>
    <x v="0"/>
    <s v="United States"/>
    <s v="Houston"/>
    <s v="Texas"/>
    <x v="3"/>
    <s v="FUR-FU-10000206"/>
    <s v="Furniture"/>
    <x v="3"/>
    <x v="84"/>
    <n v="2.3279999999999998"/>
    <n v="2"/>
    <n v="-0.75660000000000005"/>
    <s v="5- days"/>
    <n v="5"/>
    <x v="0"/>
  </r>
  <r>
    <s v="CA-2017-140585"/>
    <d v="2017-12-18T00:00:00"/>
    <d v="2017-12-23T00:00:00"/>
    <x v="0"/>
    <s v="RA-19915"/>
    <s v="Russell Applegate"/>
    <x v="0"/>
    <s v="United States"/>
    <s v="Encinitas"/>
    <s v="California"/>
    <x v="1"/>
    <s v="FUR-BO-10002206"/>
    <s v="Furniture"/>
    <x v="0"/>
    <x v="164"/>
    <n v="119.833"/>
    <n v="1"/>
    <n v="-12.6882"/>
    <s v="5- days"/>
    <n v="5"/>
    <x v="5"/>
  </r>
  <r>
    <s v="US-2014-147627"/>
    <d v="2014-01-20T00:00:00"/>
    <d v="2014-01-26T00:00:00"/>
    <x v="1"/>
    <s v="HL-15040"/>
    <s v="Hunter Lopez"/>
    <x v="0"/>
    <s v="United States"/>
    <s v="Jonesboro"/>
    <s v="Arkansas"/>
    <x v="0"/>
    <s v="FUR-FU-10003194"/>
    <s v="Furniture"/>
    <x v="3"/>
    <x v="19"/>
    <n v="38.6"/>
    <n v="4"/>
    <n v="11.58"/>
    <s v="6- days"/>
    <n v="6"/>
    <x v="8"/>
  </r>
  <r>
    <s v="US-2014-147627"/>
    <d v="2014-01-20T00:00:00"/>
    <d v="2014-01-26T00:00:00"/>
    <x v="1"/>
    <s v="HL-15040"/>
    <s v="Hunter Lopez"/>
    <x v="0"/>
    <s v="United States"/>
    <s v="Jonesboro"/>
    <s v="Arkansas"/>
    <x v="0"/>
    <s v="FUR-CH-10002331"/>
    <s v="Furniture"/>
    <x v="1"/>
    <x v="86"/>
    <n v="1067.94"/>
    <n v="3"/>
    <n v="224.26740000000001"/>
    <s v="6- days"/>
    <n v="6"/>
    <x v="8"/>
  </r>
  <r>
    <s v="CA-2016-112102"/>
    <d v="2016-04-12T00:00:00"/>
    <d v="2016-04-16T00:00:00"/>
    <x v="1"/>
    <s v="BD-11605"/>
    <s v="Brian Dahlen"/>
    <x v="0"/>
    <s v="United States"/>
    <s v="Springfield"/>
    <s v="Virginia"/>
    <x v="0"/>
    <s v="FUR-TA-10004086"/>
    <s v="Furniture"/>
    <x v="2"/>
    <x v="165"/>
    <n v="343.92"/>
    <n v="4"/>
    <n v="75.662400000000005"/>
    <s v="4- days"/>
    <n v="4"/>
    <x v="6"/>
  </r>
  <r>
    <s v="CA-2014-146969"/>
    <d v="2014-09-29T00:00:00"/>
    <d v="2014-10-03T00:00:00"/>
    <x v="1"/>
    <s v="AP-10915"/>
    <s v="Arthur Prichep"/>
    <x v="0"/>
    <s v="United States"/>
    <s v="Los Angeles"/>
    <s v="California"/>
    <x v="1"/>
    <s v="FUR-FU-10004188"/>
    <s v="Furniture"/>
    <x v="3"/>
    <x v="150"/>
    <n v="204.6"/>
    <n v="2"/>
    <n v="53.195999999999998"/>
    <s v="4- days"/>
    <n v="4"/>
    <x v="4"/>
  </r>
  <r>
    <s v="CA-2015-113971"/>
    <d v="2015-05-08T00:00:00"/>
    <d v="2015-05-14T00:00:00"/>
    <x v="1"/>
    <s v="CB-12535"/>
    <s v="Claudia Bergmann"/>
    <x v="1"/>
    <s v="United States"/>
    <s v="Cuyahoga Falls"/>
    <s v="Ohio"/>
    <x v="2"/>
    <s v="FUR-FU-10001852"/>
    <s v="Furniture"/>
    <x v="3"/>
    <x v="166"/>
    <n v="8.3520000000000003"/>
    <n v="6"/>
    <n v="1.2527999999999999"/>
    <s v="6- days"/>
    <n v="6"/>
    <x v="7"/>
  </r>
  <r>
    <s v="CA-2014-136567"/>
    <d v="2014-12-20T00:00:00"/>
    <d v="2014-12-21T00:00:00"/>
    <x v="2"/>
    <s v="PS-19045"/>
    <s v="Penelope Sewall"/>
    <x v="2"/>
    <s v="United States"/>
    <s v="Harrisonburg"/>
    <s v="Virginia"/>
    <x v="0"/>
    <s v="FUR-TA-10001932"/>
    <s v="Furniture"/>
    <x v="2"/>
    <x v="167"/>
    <n v="2244.48"/>
    <n v="7"/>
    <n v="493.78559999999999"/>
    <s v="1- days"/>
    <n v="1"/>
    <x v="5"/>
  </r>
  <r>
    <s v="CA-2014-136567"/>
    <d v="2014-12-20T00:00:00"/>
    <d v="2014-12-21T00:00:00"/>
    <x v="2"/>
    <s v="PS-19045"/>
    <s v="Penelope Sewall"/>
    <x v="2"/>
    <s v="United States"/>
    <s v="Harrisonburg"/>
    <s v="Virginia"/>
    <x v="0"/>
    <s v="FUR-TA-10000617"/>
    <s v="Furniture"/>
    <x v="2"/>
    <x v="72"/>
    <n v="455.1"/>
    <n v="2"/>
    <n v="100.122"/>
    <s v="1- days"/>
    <n v="1"/>
    <x v="5"/>
  </r>
  <r>
    <s v="CA-2016-149314"/>
    <d v="2016-07-02T00:00:00"/>
    <d v="2016-07-07T00:00:00"/>
    <x v="0"/>
    <s v="GB-14530"/>
    <s v="George Bell"/>
    <x v="1"/>
    <s v="United States"/>
    <s v="Los Angeles"/>
    <s v="California"/>
    <x v="1"/>
    <s v="FUR-CH-10002126"/>
    <s v="Furniture"/>
    <x v="1"/>
    <x v="168"/>
    <n v="195.184"/>
    <n v="1"/>
    <n v="19.5184"/>
    <s v="5- days"/>
    <n v="5"/>
    <x v="3"/>
  </r>
  <r>
    <s v="CA-2017-145226"/>
    <d v="2017-12-08T00:00:00"/>
    <d v="2017-12-10T00:00:00"/>
    <x v="0"/>
    <s v="DL-13315"/>
    <s v="Delfina Latchford"/>
    <x v="0"/>
    <s v="United States"/>
    <s v="New York City"/>
    <s v="New York"/>
    <x v="2"/>
    <s v="FUR-FU-10004952"/>
    <s v="Furniture"/>
    <x v="3"/>
    <x v="169"/>
    <n v="109.48"/>
    <n v="2"/>
    <n v="33.938800000000001"/>
    <s v="2- days"/>
    <n v="2"/>
    <x v="5"/>
  </r>
  <r>
    <s v="CA-2016-113621"/>
    <d v="2016-12-01T00:00:00"/>
    <d v="2016-12-05T00:00:00"/>
    <x v="1"/>
    <s v="JE-15745"/>
    <s v="Joel Eaton"/>
    <x v="0"/>
    <s v="United States"/>
    <s v="Rockville"/>
    <s v="Maryland"/>
    <x v="2"/>
    <s v="FUR-CH-10001270"/>
    <s v="Furniture"/>
    <x v="1"/>
    <x v="170"/>
    <n v="172.5"/>
    <n v="2"/>
    <n v="51.75"/>
    <s v="4- days"/>
    <n v="4"/>
    <x v="5"/>
  </r>
  <r>
    <s v="CA-2017-117212"/>
    <d v="2017-02-26T00:00:00"/>
    <d v="2017-02-28T00:00:00"/>
    <x v="0"/>
    <s v="BT-11530"/>
    <s v="Bradley Talbott"/>
    <x v="2"/>
    <s v="United States"/>
    <s v="Los Angeles"/>
    <s v="California"/>
    <x v="1"/>
    <s v="FUR-CH-10003973"/>
    <s v="Furniture"/>
    <x v="1"/>
    <x v="171"/>
    <n v="892.22400000000005"/>
    <n v="3"/>
    <n v="89.222399999999993"/>
    <s v="2- days"/>
    <n v="2"/>
    <x v="11"/>
  </r>
  <r>
    <s v="US-2015-130519"/>
    <d v="2015-09-15T00:00:00"/>
    <d v="2015-09-15T00:00:00"/>
    <x v="3"/>
    <s v="NG-18355"/>
    <s v="Nat Gilpin"/>
    <x v="1"/>
    <s v="United States"/>
    <s v="Coral Springs"/>
    <s v="Florida"/>
    <x v="0"/>
    <s v="FUR-FU-10002268"/>
    <s v="Furniture"/>
    <x v="3"/>
    <x v="172"/>
    <n v="15.712"/>
    <n v="4"/>
    <n v="2.5531999999999999"/>
    <s v="0- days"/>
    <n v="0"/>
    <x v="4"/>
  </r>
  <r>
    <s v="US-2015-130519"/>
    <d v="2015-09-15T00:00:00"/>
    <d v="2015-09-15T00:00:00"/>
    <x v="3"/>
    <s v="NG-18355"/>
    <s v="Nat Gilpin"/>
    <x v="1"/>
    <s v="United States"/>
    <s v="Coral Springs"/>
    <s v="Florida"/>
    <x v="0"/>
    <s v="FUR-FU-10003394"/>
    <s v="Furniture"/>
    <x v="3"/>
    <x v="120"/>
    <n v="55.968000000000004"/>
    <n v="1"/>
    <n v="-2.0988000000000002"/>
    <s v="0- days"/>
    <n v="0"/>
    <x v="4"/>
  </r>
  <r>
    <s v="CA-2016-130946"/>
    <d v="2016-04-08T00:00:00"/>
    <d v="2016-04-12T00:00:00"/>
    <x v="1"/>
    <s v="ZC-21910"/>
    <s v="Zuschuss Carroll"/>
    <x v="0"/>
    <s v="United States"/>
    <s v="Houston"/>
    <s v="Texas"/>
    <x v="3"/>
    <s v="FUR-CH-10004540"/>
    <s v="Furniture"/>
    <x v="1"/>
    <x v="173"/>
    <n v="95.983999999999995"/>
    <n v="4"/>
    <n v="-4.1135999999999999"/>
    <s v="4- days"/>
    <n v="4"/>
    <x v="6"/>
  </r>
  <r>
    <s v="CA-2016-114727"/>
    <d v="2016-07-18T00:00:00"/>
    <d v="2016-07-24T00:00:00"/>
    <x v="1"/>
    <s v="LS-16945"/>
    <s v="Linda Southworth"/>
    <x v="1"/>
    <s v="United States"/>
    <s v="Denver"/>
    <s v="Colorado"/>
    <x v="1"/>
    <s v="FUR-CH-10002335"/>
    <s v="Furniture"/>
    <x v="1"/>
    <x v="133"/>
    <n v="544.00800000000004"/>
    <n v="3"/>
    <n v="40.800600000000003"/>
    <s v="6- days"/>
    <n v="6"/>
    <x v="3"/>
  </r>
  <r>
    <s v="CA-2016-114727"/>
    <d v="2016-07-18T00:00:00"/>
    <d v="2016-07-24T00:00:00"/>
    <x v="1"/>
    <s v="LS-16945"/>
    <s v="Linda Southworth"/>
    <x v="1"/>
    <s v="United States"/>
    <s v="Denver"/>
    <s v="Colorado"/>
    <x v="1"/>
    <s v="FUR-CH-10002331"/>
    <s v="Furniture"/>
    <x v="1"/>
    <x v="86"/>
    <n v="854.35199999999998"/>
    <n v="3"/>
    <n v="10.679399999999999"/>
    <s v="6- days"/>
    <n v="6"/>
    <x v="3"/>
  </r>
  <r>
    <s v="CA-2016-137050"/>
    <d v="2016-07-14T00:00:00"/>
    <d v="2016-07-18T00:00:00"/>
    <x v="0"/>
    <s v="SW-20755"/>
    <s v="Steven Ward"/>
    <x v="1"/>
    <s v="United States"/>
    <s v="New York City"/>
    <s v="New York"/>
    <x v="2"/>
    <s v="FUR-BO-10004695"/>
    <s v="Furniture"/>
    <x v="0"/>
    <x v="38"/>
    <n v="579.13599999999997"/>
    <n v="4"/>
    <n v="21.717600000000001"/>
    <s v="4- days"/>
    <n v="4"/>
    <x v="3"/>
  </r>
  <r>
    <s v="US-2017-118087"/>
    <d v="2017-09-09T00:00:00"/>
    <d v="2017-09-13T00:00:00"/>
    <x v="1"/>
    <s v="SP-20620"/>
    <s v="Stefania Perrino"/>
    <x v="1"/>
    <s v="United States"/>
    <s v="Philadelphia"/>
    <s v="Pennsylvania"/>
    <x v="2"/>
    <s v="FUR-CH-10004860"/>
    <s v="Furniture"/>
    <x v="1"/>
    <x v="41"/>
    <n v="141.37200000000001"/>
    <n v="2"/>
    <n v="-48.470399999999998"/>
    <s v="4- days"/>
    <n v="4"/>
    <x v="4"/>
  </r>
  <r>
    <s v="US-2017-118087"/>
    <d v="2017-09-09T00:00:00"/>
    <d v="2017-09-13T00:00:00"/>
    <x v="1"/>
    <s v="SP-20620"/>
    <s v="Stefania Perrino"/>
    <x v="1"/>
    <s v="United States"/>
    <s v="Philadelphia"/>
    <s v="Pennsylvania"/>
    <x v="2"/>
    <s v="FUR-FU-10001867"/>
    <s v="Furniture"/>
    <x v="3"/>
    <x v="174"/>
    <n v="17.024000000000001"/>
    <n v="2"/>
    <n v="1.7023999999999999"/>
    <s v="4- days"/>
    <n v="4"/>
    <x v="4"/>
  </r>
  <r>
    <s v="CA-2016-126004"/>
    <d v="2016-12-04T00:00:00"/>
    <d v="2016-12-05T00:00:00"/>
    <x v="2"/>
    <s v="BM-11140"/>
    <s v="Becky Martin"/>
    <x v="0"/>
    <s v="United States"/>
    <s v="New York City"/>
    <s v="New York"/>
    <x v="2"/>
    <s v="FUR-FU-10001602"/>
    <s v="Furniture"/>
    <x v="3"/>
    <x v="153"/>
    <n v="113.79"/>
    <n v="3"/>
    <n v="20.482199999999999"/>
    <s v="1- days"/>
    <n v="1"/>
    <x v="5"/>
  </r>
  <r>
    <s v="CA-2017-100013"/>
    <d v="2017-11-06T00:00:00"/>
    <d v="2017-11-11T00:00:00"/>
    <x v="1"/>
    <s v="ZC-21910"/>
    <s v="Zuschuss Carroll"/>
    <x v="0"/>
    <s v="United States"/>
    <s v="Los Angeles"/>
    <s v="California"/>
    <x v="1"/>
    <s v="FUR-FU-10001424"/>
    <s v="Furniture"/>
    <x v="3"/>
    <x v="144"/>
    <n v="8.73"/>
    <n v="1"/>
    <n v="2.9681999999999999"/>
    <s v="5- days"/>
    <n v="5"/>
    <x v="0"/>
  </r>
  <r>
    <s v="CA-2016-144344"/>
    <d v="2016-10-28T00:00:00"/>
    <d v="2016-10-28T00:00:00"/>
    <x v="3"/>
    <s v="PG-18820"/>
    <s v="Patrick Gardner"/>
    <x v="0"/>
    <s v="United States"/>
    <s v="Boynton Beach"/>
    <s v="Florida"/>
    <x v="0"/>
    <s v="FUR-FU-10000076"/>
    <s v="Furniture"/>
    <x v="3"/>
    <x v="175"/>
    <n v="47.951999999999998"/>
    <n v="3"/>
    <n v="13.786199999999999"/>
    <s v="0- days"/>
    <n v="0"/>
    <x v="1"/>
  </r>
  <r>
    <s v="CA-2016-144344"/>
    <d v="2016-10-28T00:00:00"/>
    <d v="2016-10-28T00:00:00"/>
    <x v="3"/>
    <s v="PG-18820"/>
    <s v="Patrick Gardner"/>
    <x v="0"/>
    <s v="United States"/>
    <s v="Boynton Beach"/>
    <s v="Florida"/>
    <x v="0"/>
    <s v="FUR-FU-10003268"/>
    <s v="Furniture"/>
    <x v="3"/>
    <x v="176"/>
    <n v="63.968000000000004"/>
    <n v="2"/>
    <n v="0"/>
    <s v="0- days"/>
    <n v="0"/>
    <x v="1"/>
  </r>
  <r>
    <s v="CA-2016-144344"/>
    <d v="2016-10-28T00:00:00"/>
    <d v="2016-10-28T00:00:00"/>
    <x v="3"/>
    <s v="PG-18820"/>
    <s v="Patrick Gardner"/>
    <x v="0"/>
    <s v="United States"/>
    <s v="Boynton Beach"/>
    <s v="Florida"/>
    <x v="0"/>
    <s v="FUR-FU-10003553"/>
    <s v="Furniture"/>
    <x v="3"/>
    <x v="117"/>
    <n v="165.048"/>
    <n v="3"/>
    <n v="41.262"/>
    <s v="0- days"/>
    <n v="0"/>
    <x v="1"/>
  </r>
  <r>
    <s v="CA-2014-127012"/>
    <d v="2014-08-11T00:00:00"/>
    <d v="2014-08-15T00:00:00"/>
    <x v="1"/>
    <s v="GM-14680"/>
    <s v="Greg Matthias"/>
    <x v="0"/>
    <s v="United States"/>
    <s v="Seattle"/>
    <s v="Washington"/>
    <x v="1"/>
    <s v="FUR-FU-10003691"/>
    <s v="Furniture"/>
    <x v="3"/>
    <x v="177"/>
    <n v="12.35"/>
    <n v="1"/>
    <n v="5.4340000000000002"/>
    <s v="4- days"/>
    <n v="4"/>
    <x v="10"/>
  </r>
  <r>
    <s v="CA-2014-168494"/>
    <d v="2014-12-12T00:00:00"/>
    <d v="2014-12-14T00:00:00"/>
    <x v="0"/>
    <s v="NP-18700"/>
    <s v="Nora Preis"/>
    <x v="0"/>
    <s v="United States"/>
    <s v="Fresno"/>
    <s v="California"/>
    <x v="1"/>
    <s v="FUR-TA-10004619"/>
    <s v="Furniture"/>
    <x v="2"/>
    <x v="178"/>
    <n v="764.68799999999999"/>
    <n v="6"/>
    <n v="95.585999999999999"/>
    <s v="2- days"/>
    <n v="2"/>
    <x v="5"/>
  </r>
  <r>
    <s v="CA-2014-168494"/>
    <d v="2014-12-12T00:00:00"/>
    <d v="2014-12-14T00:00:00"/>
    <x v="0"/>
    <s v="NP-18700"/>
    <s v="Nora Preis"/>
    <x v="0"/>
    <s v="United States"/>
    <s v="Fresno"/>
    <s v="California"/>
    <x v="1"/>
    <s v="FUR-TA-10003473"/>
    <s v="Furniture"/>
    <x v="2"/>
    <x v="44"/>
    <n v="3610.848"/>
    <n v="12"/>
    <n v="135.4068"/>
    <s v="2- days"/>
    <n v="2"/>
    <x v="5"/>
  </r>
  <r>
    <s v="CA-2014-168494"/>
    <d v="2014-12-12T00:00:00"/>
    <d v="2014-12-14T00:00:00"/>
    <x v="0"/>
    <s v="NP-18700"/>
    <s v="Nora Preis"/>
    <x v="0"/>
    <s v="United States"/>
    <s v="Fresno"/>
    <s v="California"/>
    <x v="1"/>
    <s v="FUR-BO-10004467"/>
    <s v="Furniture"/>
    <x v="0"/>
    <x v="179"/>
    <n v="254.97450000000001"/>
    <n v="3"/>
    <n v="11.998799999999999"/>
    <s v="2- days"/>
    <n v="2"/>
    <x v="5"/>
  </r>
  <r>
    <s v="CA-2017-115602"/>
    <d v="2017-12-18T00:00:00"/>
    <d v="2017-12-24T00:00:00"/>
    <x v="1"/>
    <s v="DJ-13630"/>
    <s v="Doug Jacobs"/>
    <x v="0"/>
    <s v="United States"/>
    <s v="New York City"/>
    <s v="New York"/>
    <x v="2"/>
    <s v="FUR-CH-10001708"/>
    <s v="Furniture"/>
    <x v="1"/>
    <x v="180"/>
    <n v="1141.9380000000001"/>
    <n v="9"/>
    <n v="139.5702"/>
    <s v="6- days"/>
    <n v="6"/>
    <x v="5"/>
  </r>
  <r>
    <s v="CA-2017-144638"/>
    <d v="2017-03-10T00:00:00"/>
    <d v="2017-03-14T00:00:00"/>
    <x v="1"/>
    <s v="MH-18115"/>
    <s v="Mick Hernandez"/>
    <x v="2"/>
    <s v="United States"/>
    <s v="Chester"/>
    <s v="Pennsylvania"/>
    <x v="2"/>
    <s v="FUR-FU-10003724"/>
    <s v="Furniture"/>
    <x v="3"/>
    <x v="181"/>
    <n v="6.6959999999999997"/>
    <n v="1"/>
    <n v="0.50219999999999998"/>
    <s v="4- days"/>
    <n v="4"/>
    <x v="9"/>
  </r>
  <r>
    <s v="CA-2017-144638"/>
    <d v="2017-03-10T00:00:00"/>
    <d v="2017-03-14T00:00:00"/>
    <x v="1"/>
    <s v="MH-18115"/>
    <s v="Mick Hernandez"/>
    <x v="2"/>
    <s v="United States"/>
    <s v="Chester"/>
    <s v="Pennsylvania"/>
    <x v="2"/>
    <s v="FUR-FU-10003535"/>
    <s v="Furniture"/>
    <x v="3"/>
    <x v="182"/>
    <n v="43.872"/>
    <n v="2"/>
    <n v="11.516400000000001"/>
    <s v="4- days"/>
    <n v="4"/>
    <x v="9"/>
  </r>
  <r>
    <s v="CA-2016-155992"/>
    <d v="2016-10-01T00:00:00"/>
    <d v="2016-10-02T00:00:00"/>
    <x v="2"/>
    <s v="CC-12220"/>
    <s v="Chris Cortes"/>
    <x v="0"/>
    <s v="United States"/>
    <s v="La Porte"/>
    <s v="Indiana"/>
    <x v="3"/>
    <s v="FUR-FU-10003724"/>
    <s v="Furniture"/>
    <x v="3"/>
    <x v="181"/>
    <n v="41.85"/>
    <n v="5"/>
    <n v="10.881"/>
    <s v="1- days"/>
    <n v="1"/>
    <x v="1"/>
  </r>
  <r>
    <s v="US-2014-167738"/>
    <d v="2014-12-24T00:00:00"/>
    <d v="2014-12-29T00:00:00"/>
    <x v="1"/>
    <s v="JC-16105"/>
    <s v="Julie Creighton"/>
    <x v="1"/>
    <s v="United States"/>
    <s v="Los Angeles"/>
    <s v="California"/>
    <x v="1"/>
    <s v="FUR-CH-10001146"/>
    <s v="Furniture"/>
    <x v="1"/>
    <x v="15"/>
    <n v="292.27199999999999"/>
    <n v="6"/>
    <n v="18.266999999999999"/>
    <s v="5- days"/>
    <n v="5"/>
    <x v="5"/>
  </r>
  <r>
    <s v="CA-2017-121412"/>
    <d v="2017-09-23T00:00:00"/>
    <d v="2017-09-27T00:00:00"/>
    <x v="1"/>
    <s v="BG-11695"/>
    <s v="Brooke Gillingham"/>
    <x v="1"/>
    <s v="United States"/>
    <s v="Louisville"/>
    <s v="Colorado"/>
    <x v="1"/>
    <s v="FUR-FU-10000246"/>
    <s v="Furniture"/>
    <x v="3"/>
    <x v="82"/>
    <n v="29.327999999999999"/>
    <n v="3"/>
    <n v="3.6659999999999999"/>
    <s v="4- days"/>
    <n v="4"/>
    <x v="4"/>
  </r>
  <r>
    <s v="CA-2016-119186"/>
    <d v="2016-05-26T00:00:00"/>
    <d v="2016-05-26T00:00:00"/>
    <x v="3"/>
    <s v="MS-17710"/>
    <s v="Maurice Satty"/>
    <x v="0"/>
    <s v="United States"/>
    <s v="Fort Worth"/>
    <s v="Texas"/>
    <x v="3"/>
    <s v="FUR-CH-10001973"/>
    <s v="Furniture"/>
    <x v="1"/>
    <x v="183"/>
    <n v="388.43"/>
    <n v="5"/>
    <n v="-88.784000000000006"/>
    <s v="0- days"/>
    <n v="0"/>
    <x v="7"/>
  </r>
  <r>
    <s v="CA-2016-154711"/>
    <d v="2016-11-22T00:00:00"/>
    <d v="2016-11-26T00:00:00"/>
    <x v="1"/>
    <s v="TB-21355"/>
    <s v="Todd Boyes"/>
    <x v="1"/>
    <s v="United States"/>
    <s v="New York City"/>
    <s v="New York"/>
    <x v="2"/>
    <s v="FUR-FU-10000397"/>
    <s v="Furniture"/>
    <x v="3"/>
    <x v="14"/>
    <n v="39.880000000000003"/>
    <n v="2"/>
    <n v="11.166399999999999"/>
    <s v="4- days"/>
    <n v="4"/>
    <x v="0"/>
  </r>
  <r>
    <s v="CA-2016-137043"/>
    <d v="2016-12-23T00:00:00"/>
    <d v="2016-12-25T00:00:00"/>
    <x v="0"/>
    <s v="LC-17140"/>
    <s v="Logan Currie"/>
    <x v="0"/>
    <s v="United States"/>
    <s v="Springfield"/>
    <s v="Virginia"/>
    <x v="0"/>
    <s v="FUR-FU-10003664"/>
    <s v="Furniture"/>
    <x v="3"/>
    <x v="8"/>
    <n v="572.76"/>
    <n v="6"/>
    <n v="166.10040000000001"/>
    <s v="2- days"/>
    <n v="2"/>
    <x v="5"/>
  </r>
  <r>
    <s v="CA-2016-137043"/>
    <d v="2016-12-23T00:00:00"/>
    <d v="2016-12-25T00:00:00"/>
    <x v="0"/>
    <s v="LC-17140"/>
    <s v="Logan Currie"/>
    <x v="0"/>
    <s v="United States"/>
    <s v="Springfield"/>
    <s v="Virginia"/>
    <x v="0"/>
    <s v="FUR-FU-10003664"/>
    <s v="Furniture"/>
    <x v="3"/>
    <x v="8"/>
    <n v="286.38"/>
    <n v="3"/>
    <n v="83.050200000000004"/>
    <s v="2- days"/>
    <n v="2"/>
    <x v="5"/>
  </r>
  <r>
    <s v="CA-2015-115847"/>
    <d v="2015-09-19T00:00:00"/>
    <d v="2015-09-24T00:00:00"/>
    <x v="0"/>
    <s v="TC-21535"/>
    <s v="Tracy Collins"/>
    <x v="2"/>
    <s v="United States"/>
    <s v="Arlington"/>
    <s v="Virginia"/>
    <x v="0"/>
    <s v="FUR-BO-10003433"/>
    <s v="Furniture"/>
    <x v="0"/>
    <x v="184"/>
    <n v="61.96"/>
    <n v="2"/>
    <n v="4.3372000000000002"/>
    <s v="5- days"/>
    <n v="5"/>
    <x v="4"/>
  </r>
  <r>
    <s v="US-2017-126179"/>
    <d v="2017-07-03T00:00:00"/>
    <d v="2017-07-07T00:00:00"/>
    <x v="1"/>
    <s v="CS-12460"/>
    <s v="Chuck Sachs"/>
    <x v="0"/>
    <s v="United States"/>
    <s v="Columbus"/>
    <s v="Georgia"/>
    <x v="0"/>
    <s v="FUR-FU-10002554"/>
    <s v="Furniture"/>
    <x v="3"/>
    <x v="185"/>
    <n v="23.99"/>
    <n v="1"/>
    <n v="5.5176999999999996"/>
    <s v="4- days"/>
    <n v="4"/>
    <x v="3"/>
  </r>
  <r>
    <s v="CA-2016-141397"/>
    <d v="2016-06-20T00:00:00"/>
    <d v="2016-06-21T00:00:00"/>
    <x v="2"/>
    <s v="RC-19825"/>
    <s v="Roy Collins"/>
    <x v="0"/>
    <s v="United States"/>
    <s v="Pasadena"/>
    <s v="California"/>
    <x v="1"/>
    <s v="FUR-CH-10003846"/>
    <s v="Furniture"/>
    <x v="1"/>
    <x v="186"/>
    <n v="161.56800000000001"/>
    <n v="2"/>
    <n v="-8.0784000000000002"/>
    <s v="1- days"/>
    <n v="1"/>
    <x v="2"/>
  </r>
  <r>
    <s v="US-2016-134488"/>
    <d v="2016-09-24T00:00:00"/>
    <d v="2016-10-01T00:00:00"/>
    <x v="1"/>
    <s v="PK-19075"/>
    <s v="Pete Kriz"/>
    <x v="0"/>
    <s v="United States"/>
    <s v="Columbus"/>
    <s v="Ohio"/>
    <x v="2"/>
    <s v="FUR-CH-10003199"/>
    <s v="Furniture"/>
    <x v="1"/>
    <x v="136"/>
    <n v="155.37200000000001"/>
    <n v="2"/>
    <n v="-13.317600000000001"/>
    <s v="7- days"/>
    <n v="7"/>
    <x v="4"/>
  </r>
  <r>
    <s v="CA-2016-145919"/>
    <d v="2016-12-18T00:00:00"/>
    <d v="2016-12-23T00:00:00"/>
    <x v="1"/>
    <s v="HG-14965"/>
    <s v="Henry Goldwyn"/>
    <x v="1"/>
    <s v="United States"/>
    <s v="Los Angeles"/>
    <s v="California"/>
    <x v="1"/>
    <s v="FUR-FU-10004960"/>
    <s v="Furniture"/>
    <x v="3"/>
    <x v="187"/>
    <n v="183.84"/>
    <n v="8"/>
    <n v="62.505600000000001"/>
    <s v="5- days"/>
    <n v="5"/>
    <x v="5"/>
  </r>
  <r>
    <s v="CA-2015-120439"/>
    <d v="2015-06-14T00:00:00"/>
    <d v="2015-06-18T00:00:00"/>
    <x v="1"/>
    <s v="AD-10180"/>
    <s v="Alan Dominguez"/>
    <x v="2"/>
    <s v="United States"/>
    <s v="Philadelphia"/>
    <s v="Pennsylvania"/>
    <x v="2"/>
    <s v="FUR-FU-10001867"/>
    <s v="Furniture"/>
    <x v="3"/>
    <x v="174"/>
    <n v="51.072000000000003"/>
    <n v="6"/>
    <n v="5.1071999999999997"/>
    <s v="4- days"/>
    <n v="4"/>
    <x v="2"/>
  </r>
  <r>
    <s v="CA-2016-142762"/>
    <d v="2016-05-23T00:00:00"/>
    <d v="2016-05-27T00:00:00"/>
    <x v="1"/>
    <s v="LD-17005"/>
    <s v="Lisa DeCherney"/>
    <x v="0"/>
    <s v="United States"/>
    <s v="San Francisco"/>
    <s v="California"/>
    <x v="1"/>
    <s v="FUR-FU-10003691"/>
    <s v="Furniture"/>
    <x v="3"/>
    <x v="177"/>
    <n v="37.049999999999997"/>
    <n v="3"/>
    <n v="16.302"/>
    <s v="4- days"/>
    <n v="4"/>
    <x v="7"/>
  </r>
  <r>
    <s v="US-2017-123281"/>
    <d v="2017-04-02T00:00:00"/>
    <d v="2017-04-07T00:00:00"/>
    <x v="1"/>
    <s v="JF-15190"/>
    <s v="Jamie Frazer"/>
    <x v="0"/>
    <s v="United States"/>
    <s v="Los Angeles"/>
    <s v="California"/>
    <x v="1"/>
    <s v="FUR-FU-10003724"/>
    <s v="Furniture"/>
    <x v="3"/>
    <x v="181"/>
    <n v="25.11"/>
    <n v="3"/>
    <n v="6.5286"/>
    <s v="5- days"/>
    <n v="5"/>
    <x v="6"/>
  </r>
  <r>
    <s v="CA-2017-100524"/>
    <d v="2017-03-31T00:00:00"/>
    <d v="2017-04-02T00:00:00"/>
    <x v="0"/>
    <s v="CM-12115"/>
    <s v="Chad McGuire"/>
    <x v="0"/>
    <s v="United States"/>
    <s v="New York City"/>
    <s v="New York"/>
    <x v="2"/>
    <s v="FUR-FU-10004018"/>
    <s v="Furniture"/>
    <x v="3"/>
    <x v="188"/>
    <n v="29.78"/>
    <n v="2"/>
    <n v="8.0405999999999995"/>
    <s v="2- days"/>
    <n v="2"/>
    <x v="9"/>
  </r>
  <r>
    <s v="CA-2014-153976"/>
    <d v="2014-10-03T00:00:00"/>
    <d v="2014-10-08T00:00:00"/>
    <x v="0"/>
    <s v="BP-11290"/>
    <s v="Beth Paige"/>
    <x v="0"/>
    <s v="United States"/>
    <s v="Evanston"/>
    <s v="Illinois"/>
    <x v="3"/>
    <s v="FUR-CH-10002880"/>
    <s v="Furniture"/>
    <x v="1"/>
    <x v="162"/>
    <n v="258.279"/>
    <n v="3"/>
    <n v="-70.104299999999995"/>
    <s v="5- days"/>
    <n v="5"/>
    <x v="1"/>
  </r>
  <r>
    <s v="CA-2017-162978"/>
    <d v="2017-05-04T00:00:00"/>
    <d v="2017-05-09T00:00:00"/>
    <x v="1"/>
    <s v="LW-16990"/>
    <s v="Lindsay Williams"/>
    <x v="1"/>
    <s v="United States"/>
    <s v="San Francisco"/>
    <s v="California"/>
    <x v="1"/>
    <s v="FUR-TA-10003473"/>
    <s v="Furniture"/>
    <x v="2"/>
    <x v="44"/>
    <n v="300.904"/>
    <n v="1"/>
    <n v="11.283899999999999"/>
    <s v="5- days"/>
    <n v="5"/>
    <x v="7"/>
  </r>
  <r>
    <s v="CA-2017-160045"/>
    <d v="2017-04-26T00:00:00"/>
    <d v="2017-04-27T00:00:00"/>
    <x v="2"/>
    <s v="LB-16735"/>
    <s v="Larry Blacks"/>
    <x v="0"/>
    <s v="United States"/>
    <s v="Fort Worth"/>
    <s v="Texas"/>
    <x v="3"/>
    <s v="FUR-FU-10000010"/>
    <s v="Furniture"/>
    <x v="3"/>
    <x v="109"/>
    <n v="1.988"/>
    <n v="1"/>
    <n v="-1.4413"/>
    <s v="1- days"/>
    <n v="1"/>
    <x v="6"/>
  </r>
  <r>
    <s v="US-2014-151925"/>
    <d v="2014-09-26T00:00:00"/>
    <d v="2014-10-01T00:00:00"/>
    <x v="0"/>
    <s v="KT-16465"/>
    <s v="Kean Takahito"/>
    <x v="0"/>
    <s v="United States"/>
    <s v="Los Angeles"/>
    <s v="California"/>
    <x v="1"/>
    <s v="FUR-CH-10002961"/>
    <s v="Furniture"/>
    <x v="1"/>
    <x v="189"/>
    <n v="145.56800000000001"/>
    <n v="2"/>
    <n v="0"/>
    <s v="5- days"/>
    <n v="5"/>
    <x v="4"/>
  </r>
  <r>
    <s v="US-2017-155425"/>
    <d v="2017-11-10T00:00:00"/>
    <d v="2017-11-11T00:00:00"/>
    <x v="2"/>
    <s v="AB-10600"/>
    <s v="Ann Blume"/>
    <x v="1"/>
    <s v="United States"/>
    <s v="Tucson"/>
    <s v="Arizona"/>
    <x v="1"/>
    <s v="FUR-CH-10003312"/>
    <s v="Furniture"/>
    <x v="1"/>
    <x v="66"/>
    <n v="899.13599999999997"/>
    <n v="4"/>
    <n v="-146.1096"/>
    <s v="1- days"/>
    <n v="1"/>
    <x v="0"/>
  </r>
  <r>
    <s v="CA-2017-133249"/>
    <d v="2017-07-08T00:00:00"/>
    <d v="2017-07-11T00:00:00"/>
    <x v="2"/>
    <s v="SZ-20035"/>
    <s v="Sam Zeldin"/>
    <x v="2"/>
    <s v="United States"/>
    <s v="Pico Rivera"/>
    <s v="California"/>
    <x v="1"/>
    <s v="FUR-FU-10001588"/>
    <s v="Furniture"/>
    <x v="3"/>
    <x v="63"/>
    <n v="145.9"/>
    <n v="5"/>
    <n v="62.737000000000002"/>
    <s v="3- days"/>
    <n v="3"/>
    <x v="3"/>
  </r>
  <r>
    <s v="US-2015-103471"/>
    <d v="2015-12-24T00:00:00"/>
    <d v="2015-12-28T00:00:00"/>
    <x v="1"/>
    <s v="JR-15670"/>
    <s v="Jim Radford"/>
    <x v="0"/>
    <s v="United States"/>
    <s v="Colorado Springs"/>
    <s v="Colorado"/>
    <x v="1"/>
    <s v="FUR-BO-10002613"/>
    <s v="Furniture"/>
    <x v="0"/>
    <x v="35"/>
    <n v="590.05799999999999"/>
    <n v="7"/>
    <n v="-786.74400000000003"/>
    <s v="4- days"/>
    <n v="4"/>
    <x v="5"/>
  </r>
  <r>
    <s v="CA-2015-120362"/>
    <d v="2015-09-14T00:00:00"/>
    <d v="2015-09-19T00:00:00"/>
    <x v="1"/>
    <s v="CA-12265"/>
    <s v="Christina Anderson"/>
    <x v="0"/>
    <s v="United States"/>
    <s v="Provo"/>
    <s v="Utah"/>
    <x v="1"/>
    <s v="FUR-TA-10003008"/>
    <s v="Furniture"/>
    <x v="2"/>
    <x v="190"/>
    <n v="912.75"/>
    <n v="5"/>
    <n v="118.6575"/>
    <s v="5- days"/>
    <n v="5"/>
    <x v="4"/>
  </r>
  <r>
    <s v="US-2016-100566"/>
    <d v="2016-09-03T00:00:00"/>
    <d v="2016-09-09T00:00:00"/>
    <x v="1"/>
    <s v="JK-16120"/>
    <s v="Julie Kriz"/>
    <x v="2"/>
    <s v="United States"/>
    <s v="Aurora"/>
    <s v="Illinois"/>
    <x v="3"/>
    <s v="FUR-FU-10003394"/>
    <s v="Furniture"/>
    <x v="3"/>
    <x v="120"/>
    <n v="83.951999999999998"/>
    <n v="3"/>
    <n v="-90.248400000000004"/>
    <s v="6- days"/>
    <n v="6"/>
    <x v="4"/>
  </r>
  <r>
    <s v="US-2016-108504"/>
    <d v="2016-02-05T00:00:00"/>
    <d v="2016-02-05T00:00:00"/>
    <x v="3"/>
    <s v="PP-18955"/>
    <s v="Paul Prost"/>
    <x v="2"/>
    <s v="United States"/>
    <s v="Smyrna"/>
    <s v="Georgia"/>
    <x v="0"/>
    <s v="FUR-FU-10004091"/>
    <s v="Furniture"/>
    <x v="3"/>
    <x v="191"/>
    <n v="18.84"/>
    <n v="3"/>
    <n v="7.1592000000000002"/>
    <s v="0- days"/>
    <n v="0"/>
    <x v="11"/>
  </r>
  <r>
    <s v="US-2016-108504"/>
    <d v="2016-02-05T00:00:00"/>
    <d v="2016-02-05T00:00:00"/>
    <x v="3"/>
    <s v="PP-18955"/>
    <s v="Paul Prost"/>
    <x v="2"/>
    <s v="United States"/>
    <s v="Smyrna"/>
    <s v="Georgia"/>
    <x v="0"/>
    <s v="FUR-BO-10004015"/>
    <s v="Furniture"/>
    <x v="0"/>
    <x v="118"/>
    <n v="239.98"/>
    <n v="2"/>
    <n v="52.7956"/>
    <s v="0- days"/>
    <n v="0"/>
    <x v="11"/>
  </r>
  <r>
    <s v="US-2017-117247"/>
    <d v="2017-10-09T00:00:00"/>
    <d v="2017-10-14T00:00:00"/>
    <x v="1"/>
    <s v="CK-12760"/>
    <s v="Cyma Kinney"/>
    <x v="1"/>
    <s v="United States"/>
    <s v="Aurora"/>
    <s v="Illinois"/>
    <x v="3"/>
    <s v="FUR-TA-10002958"/>
    <s v="Furniture"/>
    <x v="2"/>
    <x v="192"/>
    <n v="652.45000000000005"/>
    <n v="5"/>
    <n v="-430.61700000000002"/>
    <s v="5- days"/>
    <n v="5"/>
    <x v="1"/>
  </r>
  <r>
    <s v="US-2017-117247"/>
    <d v="2017-10-09T00:00:00"/>
    <d v="2017-10-14T00:00:00"/>
    <x v="1"/>
    <s v="CK-12760"/>
    <s v="Cyma Kinney"/>
    <x v="1"/>
    <s v="United States"/>
    <s v="Aurora"/>
    <s v="Illinois"/>
    <x v="3"/>
    <s v="FUR-TA-10001676"/>
    <s v="Furniture"/>
    <x v="2"/>
    <x v="193"/>
    <n v="66.644999999999996"/>
    <n v="3"/>
    <n v="-42.652799999999999"/>
    <s v="5- days"/>
    <n v="5"/>
    <x v="1"/>
  </r>
  <r>
    <s v="US-2016-161396"/>
    <d v="2016-04-19T00:00:00"/>
    <d v="2016-04-25T00:00:00"/>
    <x v="1"/>
    <s v="GM-14455"/>
    <s v="Gary Mitchum"/>
    <x v="2"/>
    <s v="United States"/>
    <s v="Columbus"/>
    <s v="Ohio"/>
    <x v="2"/>
    <s v="FUR-TA-10002622"/>
    <s v="Furniture"/>
    <x v="2"/>
    <x v="194"/>
    <n v="205.17599999999999"/>
    <n v="2"/>
    <n v="-58.133200000000002"/>
    <s v="6- days"/>
    <n v="6"/>
    <x v="6"/>
  </r>
  <r>
    <s v="US-2014-118486"/>
    <d v="2014-04-06T00:00:00"/>
    <d v="2014-04-08T00:00:00"/>
    <x v="2"/>
    <s v="SD-20485"/>
    <s v="Shirley Daniels"/>
    <x v="2"/>
    <s v="United States"/>
    <s v="Philadelphia"/>
    <s v="Pennsylvania"/>
    <x v="2"/>
    <s v="FUR-TA-10001039"/>
    <s v="Furniture"/>
    <x v="2"/>
    <x v="165"/>
    <n v="154.76400000000001"/>
    <n v="3"/>
    <n v="-36.111600000000003"/>
    <s v="2- days"/>
    <n v="2"/>
    <x v="6"/>
  </r>
  <r>
    <s v="CA-2016-130407"/>
    <d v="2016-09-02T00:00:00"/>
    <d v="2016-09-06T00:00:00"/>
    <x v="1"/>
    <s v="KD-16270"/>
    <s v="Karen Daniels"/>
    <x v="0"/>
    <s v="United States"/>
    <s v="New York City"/>
    <s v="New York"/>
    <x v="2"/>
    <s v="FUR-FU-10001967"/>
    <s v="Furniture"/>
    <x v="3"/>
    <x v="65"/>
    <n v="39.979999999999997"/>
    <n v="2"/>
    <n v="9.9949999999999992"/>
    <s v="4- days"/>
    <n v="4"/>
    <x v="4"/>
  </r>
  <r>
    <s v="US-2016-122245"/>
    <d v="2016-09-25T00:00:00"/>
    <d v="2016-09-30T00:00:00"/>
    <x v="1"/>
    <s v="AB-10105"/>
    <s v="Adrian Barton"/>
    <x v="0"/>
    <s v="United States"/>
    <s v="Phoenix"/>
    <s v="Arizona"/>
    <x v="1"/>
    <s v="FUR-TA-10002356"/>
    <s v="Furniture"/>
    <x v="2"/>
    <x v="147"/>
    <n v="393.16500000000002"/>
    <n v="3"/>
    <n v="-204.44579999999999"/>
    <s v="5- days"/>
    <n v="5"/>
    <x v="4"/>
  </r>
  <r>
    <s v="CA-2016-136329"/>
    <d v="2016-07-09T00:00:00"/>
    <d v="2016-07-13T00:00:00"/>
    <x v="1"/>
    <s v="JD-15895"/>
    <s v="Jonathan Doherty"/>
    <x v="1"/>
    <s v="United States"/>
    <s v="New York City"/>
    <s v="New York"/>
    <x v="2"/>
    <s v="FUR-CH-10002335"/>
    <s v="Furniture"/>
    <x v="1"/>
    <x v="133"/>
    <n v="408.00599999999997"/>
    <n v="2"/>
    <n v="72.534400000000005"/>
    <s v="4- days"/>
    <n v="4"/>
    <x v="3"/>
  </r>
  <r>
    <s v="CA-2016-136329"/>
    <d v="2016-07-09T00:00:00"/>
    <d v="2016-07-13T00:00:00"/>
    <x v="1"/>
    <s v="JD-15895"/>
    <s v="Jonathan Doherty"/>
    <x v="1"/>
    <s v="United States"/>
    <s v="New York City"/>
    <s v="New York"/>
    <x v="2"/>
    <s v="FUR-FU-10000723"/>
    <s v="Furniture"/>
    <x v="3"/>
    <x v="100"/>
    <n v="165.28"/>
    <n v="4"/>
    <n v="14.8752"/>
    <s v="4- days"/>
    <n v="4"/>
    <x v="3"/>
  </r>
  <r>
    <s v="CA-2017-115994"/>
    <d v="2017-01-28T00:00:00"/>
    <d v="2017-01-31T00:00:00"/>
    <x v="0"/>
    <s v="BT-11305"/>
    <s v="Beth Thompson"/>
    <x v="2"/>
    <s v="United States"/>
    <s v="Costa Mesa"/>
    <s v="California"/>
    <x v="1"/>
    <s v="FUR-FU-10003976"/>
    <s v="Furniture"/>
    <x v="3"/>
    <x v="195"/>
    <n v="37.74"/>
    <n v="3"/>
    <n v="12.8316"/>
    <s v="3- days"/>
    <n v="3"/>
    <x v="8"/>
  </r>
  <r>
    <s v="CA-2015-126697"/>
    <d v="2015-09-21T00:00:00"/>
    <d v="2015-09-24T00:00:00"/>
    <x v="2"/>
    <s v="SV-20815"/>
    <s v="Stuart Van"/>
    <x v="1"/>
    <s v="United States"/>
    <s v="Houston"/>
    <s v="Texas"/>
    <x v="3"/>
    <s v="FUR-FU-10001706"/>
    <s v="Furniture"/>
    <x v="3"/>
    <x v="11"/>
    <n v="4.9279999999999999"/>
    <n v="4"/>
    <n v="-1.4783999999999999"/>
    <s v="3- days"/>
    <n v="3"/>
    <x v="4"/>
  </r>
  <r>
    <s v="CA-2014-120768"/>
    <d v="2014-12-19T00:00:00"/>
    <d v="2014-12-21T00:00:00"/>
    <x v="0"/>
    <s v="IM-15070"/>
    <s v="Irene Maddox"/>
    <x v="0"/>
    <s v="United States"/>
    <s v="Florence"/>
    <s v="Alabama"/>
    <x v="0"/>
    <s v="FUR-CH-10000513"/>
    <s v="Furniture"/>
    <x v="1"/>
    <x v="16"/>
    <n v="1819.86"/>
    <n v="14"/>
    <n v="163.78739999999999"/>
    <s v="2- days"/>
    <n v="2"/>
    <x v="5"/>
  </r>
  <r>
    <s v="CA-2015-139731"/>
    <d v="2015-10-15T00:00:00"/>
    <d v="2015-10-15T00:00:00"/>
    <x v="3"/>
    <s v="JE-15745"/>
    <s v="Joel Eaton"/>
    <x v="0"/>
    <s v="United States"/>
    <s v="Amarillo"/>
    <s v="Texas"/>
    <x v="3"/>
    <s v="FUR-CH-10002024"/>
    <s v="Furniture"/>
    <x v="1"/>
    <x v="101"/>
    <n v="2453.4299999999998"/>
    <n v="5"/>
    <n v="-350.49"/>
    <s v="0- days"/>
    <n v="0"/>
    <x v="1"/>
  </r>
  <r>
    <s v="CA-2017-102337"/>
    <d v="2017-06-13T00:00:00"/>
    <d v="2017-06-16T00:00:00"/>
    <x v="2"/>
    <s v="SD-20485"/>
    <s v="Shirley Daniels"/>
    <x v="2"/>
    <s v="United States"/>
    <s v="Chicago"/>
    <s v="Illinois"/>
    <x v="3"/>
    <s v="FUR-CH-10004289"/>
    <s v="Furniture"/>
    <x v="1"/>
    <x v="196"/>
    <n v="470.30200000000002"/>
    <n v="7"/>
    <n v="-87.341800000000006"/>
    <s v="3- days"/>
    <n v="3"/>
    <x v="2"/>
  </r>
  <r>
    <s v="CA-2017-148474"/>
    <d v="2017-06-12T00:00:00"/>
    <d v="2017-06-19T00:00:00"/>
    <x v="1"/>
    <s v="ME-17320"/>
    <s v="Maria Etezadi"/>
    <x v="2"/>
    <s v="United States"/>
    <s v="Columbus"/>
    <s v="Georgia"/>
    <x v="0"/>
    <s v="FUR-TA-10002530"/>
    <s v="Furniture"/>
    <x v="2"/>
    <x v="197"/>
    <n v="452.94"/>
    <n v="3"/>
    <n v="67.941000000000003"/>
    <s v="7- days"/>
    <n v="7"/>
    <x v="2"/>
  </r>
  <r>
    <s v="CA-2014-155271"/>
    <d v="2014-05-04T00:00:00"/>
    <d v="2014-05-04T00:00:00"/>
    <x v="3"/>
    <s v="AA-10480"/>
    <s v="Andrew Allen"/>
    <x v="0"/>
    <s v="United States"/>
    <s v="Middletown"/>
    <s v="Connecticut"/>
    <x v="2"/>
    <s v="FUR-FU-10001473"/>
    <s v="Furniture"/>
    <x v="3"/>
    <x v="198"/>
    <n v="27.46"/>
    <n v="2"/>
    <n v="9.8856000000000002"/>
    <s v="0- days"/>
    <n v="0"/>
    <x v="7"/>
  </r>
  <r>
    <s v="US-2016-128902"/>
    <d v="2016-03-11T00:00:00"/>
    <d v="2016-03-15T00:00:00"/>
    <x v="1"/>
    <s v="MB-18085"/>
    <s v="Mick Brown"/>
    <x v="0"/>
    <s v="United States"/>
    <s v="Vineland"/>
    <s v="New Jersey"/>
    <x v="2"/>
    <s v="FUR-TA-10001095"/>
    <s v="Furniture"/>
    <x v="2"/>
    <x v="129"/>
    <n v="244.006"/>
    <n v="2"/>
    <n v="-31.372199999999999"/>
    <s v="4- days"/>
    <n v="4"/>
    <x v="9"/>
  </r>
  <r>
    <s v="CA-2016-152289"/>
    <d v="2016-08-26T00:00:00"/>
    <d v="2016-08-28T00:00:00"/>
    <x v="2"/>
    <s v="LC-16930"/>
    <s v="Linda Cazamias"/>
    <x v="1"/>
    <s v="United States"/>
    <s v="Pasadena"/>
    <s v="Texas"/>
    <x v="3"/>
    <s v="FUR-CH-10002126"/>
    <s v="Furniture"/>
    <x v="1"/>
    <x v="168"/>
    <n v="1024.7159999999999"/>
    <n v="6"/>
    <n v="-29.2776"/>
    <s v="2- days"/>
    <n v="2"/>
    <x v="10"/>
  </r>
  <r>
    <s v="CA-2014-151708"/>
    <d v="2014-08-08T00:00:00"/>
    <d v="2014-08-14T00:00:00"/>
    <x v="1"/>
    <s v="MB-17305"/>
    <s v="Maria Bertelson"/>
    <x v="0"/>
    <s v="United States"/>
    <s v="Glendale"/>
    <s v="Arizona"/>
    <x v="1"/>
    <s v="FUR-FU-10001602"/>
    <s v="Furniture"/>
    <x v="3"/>
    <x v="153"/>
    <n v="121.376"/>
    <n v="4"/>
    <n v="-3.0344000000000002"/>
    <s v="6- days"/>
    <n v="6"/>
    <x v="10"/>
  </r>
  <r>
    <s v="CA-2017-139199"/>
    <d v="2017-12-09T00:00:00"/>
    <d v="2017-12-13T00:00:00"/>
    <x v="1"/>
    <s v="DK-12835"/>
    <s v="Damala Kotsonis"/>
    <x v="1"/>
    <s v="United States"/>
    <s v="Detroit"/>
    <s v="Michigan"/>
    <x v="3"/>
    <s v="FUR-CH-10000847"/>
    <s v="Furniture"/>
    <x v="1"/>
    <x v="199"/>
    <n v="872.94"/>
    <n v="3"/>
    <n v="226.96440000000001"/>
    <s v="4- days"/>
    <n v="4"/>
    <x v="5"/>
  </r>
  <r>
    <s v="US-2015-105676"/>
    <d v="2015-12-01T00:00:00"/>
    <d v="2015-12-02T00:00:00"/>
    <x v="3"/>
    <s v="NM-18520"/>
    <s v="Neoma Murray"/>
    <x v="0"/>
    <s v="United States"/>
    <s v="Houston"/>
    <s v="Texas"/>
    <x v="3"/>
    <s v="FUR-FU-10004270"/>
    <s v="Furniture"/>
    <x v="3"/>
    <x v="200"/>
    <n v="6.6879999999999997"/>
    <n v="4"/>
    <n v="-4.0128000000000004"/>
    <s v="1- days"/>
    <n v="1"/>
    <x v="5"/>
  </r>
  <r>
    <s v="CA-2015-140410"/>
    <d v="2015-11-03T00:00:00"/>
    <d v="2015-11-07T00:00:00"/>
    <x v="1"/>
    <s v="CM-12655"/>
    <s v="Corinna Mitchell"/>
    <x v="2"/>
    <s v="United States"/>
    <s v="Los Angeles"/>
    <s v="California"/>
    <x v="1"/>
    <s v="FUR-FU-10003347"/>
    <s v="Furniture"/>
    <x v="3"/>
    <x v="80"/>
    <n v="42.6"/>
    <n v="3"/>
    <n v="16.614000000000001"/>
    <s v="4- days"/>
    <n v="4"/>
    <x v="0"/>
  </r>
  <r>
    <s v="CA-2017-166436"/>
    <d v="2017-11-24T00:00:00"/>
    <d v="2017-11-28T00:00:00"/>
    <x v="1"/>
    <s v="TS-21370"/>
    <s v="Todd Sumrall"/>
    <x v="1"/>
    <s v="United States"/>
    <s v="New York City"/>
    <s v="New York"/>
    <x v="2"/>
    <s v="FUR-CH-10000785"/>
    <s v="Furniture"/>
    <x v="1"/>
    <x v="69"/>
    <n v="977.29200000000003"/>
    <n v="6"/>
    <n v="173.74080000000001"/>
    <s v="4- days"/>
    <n v="4"/>
    <x v="0"/>
  </r>
  <r>
    <s v="CA-2017-139661"/>
    <d v="2017-10-30T00:00:00"/>
    <d v="2017-11-03T00:00:00"/>
    <x v="1"/>
    <s v="JW-15220"/>
    <s v="Jane Waco"/>
    <x v="1"/>
    <s v="United States"/>
    <s v="Vancouver"/>
    <s v="Washington"/>
    <x v="1"/>
    <s v="FUR-FU-10002885"/>
    <s v="Furniture"/>
    <x v="3"/>
    <x v="152"/>
    <n v="9.64"/>
    <n v="2"/>
    <n v="3.6631999999999998"/>
    <s v="4- days"/>
    <n v="4"/>
    <x v="1"/>
  </r>
  <r>
    <s v="CA-2016-100468"/>
    <d v="2016-11-24T00:00:00"/>
    <d v="2016-12-01T00:00:00"/>
    <x v="1"/>
    <s v="AT-10435"/>
    <s v="Alyssa Tate"/>
    <x v="2"/>
    <s v="United States"/>
    <s v="Los Angeles"/>
    <s v="California"/>
    <x v="1"/>
    <s v="FUR-FU-10000010"/>
    <s v="Furniture"/>
    <x v="3"/>
    <x v="109"/>
    <n v="9.94"/>
    <n v="2"/>
    <n v="3.0813999999999999"/>
    <s v="7- days"/>
    <n v="7"/>
    <x v="0"/>
  </r>
  <r>
    <s v="CA-2015-153388"/>
    <d v="2015-08-01T00:00:00"/>
    <d v="2015-08-07T00:00:00"/>
    <x v="1"/>
    <s v="PC-19000"/>
    <s v="Pauline Chand"/>
    <x v="2"/>
    <s v="United States"/>
    <s v="Los Angeles"/>
    <s v="California"/>
    <x v="1"/>
    <s v="FUR-TA-10003715"/>
    <s v="Furniture"/>
    <x v="2"/>
    <x v="201"/>
    <n v="1004.976"/>
    <n v="6"/>
    <n v="-175.8708"/>
    <s v="6- days"/>
    <n v="6"/>
    <x v="10"/>
  </r>
  <r>
    <s v="CA-2017-103611"/>
    <d v="2017-09-12T00:00:00"/>
    <d v="2017-09-15T00:00:00"/>
    <x v="2"/>
    <s v="JM-15535"/>
    <s v="Jessica Myrick"/>
    <x v="0"/>
    <s v="United States"/>
    <s v="Los Angeles"/>
    <s v="California"/>
    <x v="1"/>
    <s v="FUR-FU-10004270"/>
    <s v="Furniture"/>
    <x v="3"/>
    <x v="200"/>
    <n v="8.36"/>
    <n v="2"/>
    <n v="3.0095999999999998"/>
    <s v="3- days"/>
    <n v="3"/>
    <x v="4"/>
  </r>
  <r>
    <s v="US-2017-160759"/>
    <d v="2017-12-11T00:00:00"/>
    <d v="2017-12-17T00:00:00"/>
    <x v="1"/>
    <s v="AI-10855"/>
    <s v="Arianne Irving"/>
    <x v="0"/>
    <s v="United States"/>
    <s v="Philadelphia"/>
    <s v="Pennsylvania"/>
    <x v="2"/>
    <s v="FUR-CH-10002961"/>
    <s v="Furniture"/>
    <x v="1"/>
    <x v="189"/>
    <n v="63.686"/>
    <n v="1"/>
    <n v="-9.0980000000000008"/>
    <s v="6- days"/>
    <n v="6"/>
    <x v="5"/>
  </r>
  <r>
    <s v="CA-2017-148446"/>
    <d v="2017-12-10T00:00:00"/>
    <d v="2017-12-14T00:00:00"/>
    <x v="0"/>
    <s v="MC-17845"/>
    <s v="Michael Chen"/>
    <x v="0"/>
    <s v="United States"/>
    <s v="North Las Vegas"/>
    <s v="Nevada"/>
    <x v="1"/>
    <s v="FUR-TA-10004256"/>
    <s v="Furniture"/>
    <x v="2"/>
    <x v="103"/>
    <n v="1669.6"/>
    <n v="4"/>
    <n v="116.872"/>
    <s v="4- days"/>
    <n v="4"/>
    <x v="5"/>
  </r>
  <r>
    <s v="CA-2015-144806"/>
    <d v="2015-12-06T00:00:00"/>
    <d v="2015-12-11T00:00:00"/>
    <x v="1"/>
    <s v="GH-14425"/>
    <s v="Gary Hwang"/>
    <x v="0"/>
    <s v="United States"/>
    <s v="Tucson"/>
    <s v="Arizona"/>
    <x v="1"/>
    <s v="FUR-FU-10002253"/>
    <s v="Furniture"/>
    <x v="3"/>
    <x v="123"/>
    <n v="206.11199999999999"/>
    <n v="6"/>
    <n v="48.951599999999999"/>
    <s v="5- days"/>
    <n v="5"/>
    <x v="5"/>
  </r>
  <r>
    <s v="CA-2016-122392"/>
    <d v="2016-07-22T00:00:00"/>
    <d v="2016-07-27T00:00:00"/>
    <x v="1"/>
    <s v="CJ-12010"/>
    <s v="Caroline Jumper"/>
    <x v="0"/>
    <s v="United States"/>
    <s v="Allentown"/>
    <s v="Pennsylvania"/>
    <x v="2"/>
    <s v="FUR-FU-10002456"/>
    <s v="Furniture"/>
    <x v="3"/>
    <x v="202"/>
    <n v="11.648"/>
    <n v="2"/>
    <n v="3.3488000000000002"/>
    <s v="5- days"/>
    <n v="5"/>
    <x v="3"/>
  </r>
  <r>
    <s v="CA-2017-124086"/>
    <d v="2017-02-10T00:00:00"/>
    <d v="2017-02-14T00:00:00"/>
    <x v="1"/>
    <s v="MP-18175"/>
    <s v="Mike Pelletier"/>
    <x v="2"/>
    <s v="United States"/>
    <s v="Laguna Niguel"/>
    <s v="California"/>
    <x v="1"/>
    <s v="FUR-BO-10004015"/>
    <s v="Furniture"/>
    <x v="0"/>
    <x v="118"/>
    <n v="203.983"/>
    <n v="2"/>
    <n v="16.7986"/>
    <s v="4- days"/>
    <n v="4"/>
    <x v="11"/>
  </r>
  <r>
    <s v="CA-2017-121888"/>
    <d v="2017-09-15T00:00:00"/>
    <d v="2017-09-17T00:00:00"/>
    <x v="0"/>
    <s v="CL-11890"/>
    <s v="Carl Ludwig"/>
    <x v="0"/>
    <s v="United States"/>
    <s v="Everett"/>
    <s v="Massachusetts"/>
    <x v="2"/>
    <s v="FUR-BO-10002545"/>
    <s v="Furniture"/>
    <x v="0"/>
    <x v="9"/>
    <n v="782.94"/>
    <n v="3"/>
    <n v="203.56440000000001"/>
    <s v="2- days"/>
    <n v="2"/>
    <x v="4"/>
  </r>
  <r>
    <s v="CA-2014-166884"/>
    <d v="2014-03-11T00:00:00"/>
    <d v="2014-03-16T00:00:00"/>
    <x v="0"/>
    <s v="CK-12205"/>
    <s v="Chloris Kastensmidt"/>
    <x v="0"/>
    <s v="United States"/>
    <s v="Columbus"/>
    <s v="Ohio"/>
    <x v="2"/>
    <s v="FUR-FU-10003981"/>
    <s v="Furniture"/>
    <x v="3"/>
    <x v="70"/>
    <n v="8.32"/>
    <n v="5"/>
    <n v="2.2879999999999998"/>
    <s v="5- days"/>
    <n v="5"/>
    <x v="9"/>
  </r>
  <r>
    <s v="CA-2014-150245"/>
    <d v="2014-12-31T00:00:00"/>
    <d v="2015-01-04T00:00:00"/>
    <x v="0"/>
    <s v="PC-18745"/>
    <s v="Pamela Coakley"/>
    <x v="1"/>
    <s v="United States"/>
    <s v="Watertown"/>
    <s v="New York"/>
    <x v="2"/>
    <s v="FUR-BO-10002613"/>
    <s v="Furniture"/>
    <x v="0"/>
    <x v="35"/>
    <n v="1573.4880000000001"/>
    <n v="7"/>
    <n v="196.68600000000001"/>
    <s v="4- days"/>
    <n v="4"/>
    <x v="5"/>
  </r>
  <r>
    <s v="CA-2015-112116"/>
    <d v="2015-03-16T00:00:00"/>
    <d v="2015-03-18T00:00:00"/>
    <x v="0"/>
    <s v="JE-15475"/>
    <s v="Jeremy Ellison"/>
    <x v="0"/>
    <s v="United States"/>
    <s v="Seattle"/>
    <s v="Washington"/>
    <x v="1"/>
    <s v="FUR-TA-10001039"/>
    <s v="Furniture"/>
    <x v="2"/>
    <x v="165"/>
    <n v="171.96"/>
    <n v="2"/>
    <n v="44.709600000000002"/>
    <s v="2- days"/>
    <n v="2"/>
    <x v="9"/>
  </r>
  <r>
    <s v="US-2017-102890"/>
    <d v="2017-06-30T00:00:00"/>
    <d v="2017-06-30T00:00:00"/>
    <x v="3"/>
    <s v="SG-20470"/>
    <s v="Sheri Gordon"/>
    <x v="0"/>
    <s v="United States"/>
    <s v="New York City"/>
    <s v="New York"/>
    <x v="2"/>
    <s v="FUR-TA-10000577"/>
    <s v="Furniture"/>
    <x v="2"/>
    <x v="2"/>
    <n v="1044.6300000000001"/>
    <n v="5"/>
    <n v="-295.9785"/>
    <s v="0- days"/>
    <n v="0"/>
    <x v="2"/>
  </r>
  <r>
    <s v="US-2014-157385"/>
    <d v="2014-11-23T00:00:00"/>
    <d v="2014-11-25T00:00:00"/>
    <x v="2"/>
    <s v="SC-20095"/>
    <s v="Sanjit Chand"/>
    <x v="0"/>
    <s v="United States"/>
    <s v="Los Angeles"/>
    <s v="California"/>
    <x v="1"/>
    <s v="FUR-CH-10000863"/>
    <s v="Furniture"/>
    <x v="1"/>
    <x v="20"/>
    <n v="603.91999999999996"/>
    <n v="5"/>
    <n v="-67.941000000000003"/>
    <s v="2- days"/>
    <n v="2"/>
    <x v="0"/>
  </r>
  <r>
    <s v="US-2014-157385"/>
    <d v="2014-11-23T00:00:00"/>
    <d v="2014-11-25T00:00:00"/>
    <x v="2"/>
    <s v="SC-20095"/>
    <s v="Sanjit Chand"/>
    <x v="0"/>
    <s v="United States"/>
    <s v="Los Angeles"/>
    <s v="California"/>
    <x v="1"/>
    <s v="FUR-CH-10000595"/>
    <s v="Furniture"/>
    <x v="1"/>
    <x v="97"/>
    <n v="381.44"/>
    <n v="2"/>
    <n v="23.84"/>
    <s v="2- days"/>
    <n v="2"/>
    <x v="0"/>
  </r>
  <r>
    <s v="CA-2014-101602"/>
    <d v="2014-12-15T00:00:00"/>
    <d v="2014-12-18T00:00:00"/>
    <x v="2"/>
    <s v="MC-18100"/>
    <s v="Mick Crebagga"/>
    <x v="0"/>
    <s v="United States"/>
    <s v="El Paso"/>
    <s v="Texas"/>
    <x v="3"/>
    <s v="FUR-CH-10004675"/>
    <s v="Furniture"/>
    <x v="1"/>
    <x v="135"/>
    <n v="763.28"/>
    <n v="5"/>
    <n v="-21.808"/>
    <s v="3- days"/>
    <n v="3"/>
    <x v="5"/>
  </r>
  <r>
    <s v="CA-2015-131338"/>
    <d v="2015-08-09T00:00:00"/>
    <d v="2015-08-12T00:00:00"/>
    <x v="2"/>
    <s v="NP-18325"/>
    <s v="Naresj Patel"/>
    <x v="0"/>
    <s v="United States"/>
    <s v="New York City"/>
    <s v="New York"/>
    <x v="2"/>
    <s v="FUR-TA-10002607"/>
    <s v="Furniture"/>
    <x v="2"/>
    <x v="48"/>
    <n v="382.80599999999998"/>
    <n v="9"/>
    <n v="-153.1224"/>
    <s v="3- days"/>
    <n v="3"/>
    <x v="10"/>
  </r>
  <r>
    <s v="CA-2015-131338"/>
    <d v="2015-08-09T00:00:00"/>
    <d v="2015-08-12T00:00:00"/>
    <x v="2"/>
    <s v="NP-18325"/>
    <s v="Naresj Patel"/>
    <x v="0"/>
    <s v="United States"/>
    <s v="New York City"/>
    <s v="New York"/>
    <x v="2"/>
    <s v="FUR-FU-10002157"/>
    <s v="Furniture"/>
    <x v="3"/>
    <x v="26"/>
    <n v="47.04"/>
    <n v="3"/>
    <n v="18.345600000000001"/>
    <s v="3- days"/>
    <n v="3"/>
    <x v="10"/>
  </r>
  <r>
    <s v="CA-2015-131338"/>
    <d v="2015-08-09T00:00:00"/>
    <d v="2015-08-12T00:00:00"/>
    <x v="2"/>
    <s v="NP-18325"/>
    <s v="Naresj Patel"/>
    <x v="0"/>
    <s v="United States"/>
    <s v="New York City"/>
    <s v="New York"/>
    <x v="2"/>
    <s v="FUR-FU-10001706"/>
    <s v="Furniture"/>
    <x v="3"/>
    <x v="11"/>
    <n v="6.16"/>
    <n v="2"/>
    <n v="2.9567999999999999"/>
    <s v="3- days"/>
    <n v="3"/>
    <x v="10"/>
  </r>
  <r>
    <s v="CA-2015-118423"/>
    <d v="2015-03-24T00:00:00"/>
    <d v="2015-03-27T00:00:00"/>
    <x v="2"/>
    <s v="DP-13390"/>
    <s v="Dennis Pardue"/>
    <x v="2"/>
    <s v="United States"/>
    <s v="Peoria"/>
    <s v="Illinois"/>
    <x v="3"/>
    <s v="FUR-BO-10000362"/>
    <s v="Furniture"/>
    <x v="0"/>
    <x v="203"/>
    <n v="359.05799999999999"/>
    <n v="3"/>
    <n v="-35.905799999999999"/>
    <s v="3- days"/>
    <n v="3"/>
    <x v="9"/>
  </r>
  <r>
    <s v="CA-2017-149181"/>
    <d v="2017-05-08T00:00:00"/>
    <d v="2017-05-12T00:00:00"/>
    <x v="1"/>
    <s v="MD-17350"/>
    <s v="Maribeth Dona"/>
    <x v="0"/>
    <s v="United States"/>
    <s v="Columbus"/>
    <s v="Ohio"/>
    <x v="2"/>
    <s v="FUR-CH-10004540"/>
    <s v="Furniture"/>
    <x v="1"/>
    <x v="173"/>
    <n v="47.991999999999997"/>
    <n v="2"/>
    <n v="-2.0568"/>
    <s v="4- days"/>
    <n v="4"/>
    <x v="7"/>
  </r>
  <r>
    <s v="CA-2017-132234"/>
    <d v="2017-10-16T00:00:00"/>
    <d v="2017-10-18T00:00:00"/>
    <x v="2"/>
    <s v="MY-17380"/>
    <s v="Maribeth Yedwab"/>
    <x v="1"/>
    <s v="United States"/>
    <s v="New York City"/>
    <s v="New York"/>
    <x v="2"/>
    <s v="FUR-FU-10001290"/>
    <s v="Furniture"/>
    <x v="3"/>
    <x v="95"/>
    <n v="547.29999999999995"/>
    <n v="13"/>
    <n v="175.136"/>
    <s v="2- days"/>
    <n v="2"/>
    <x v="1"/>
  </r>
  <r>
    <s v="CA-2017-158876"/>
    <d v="2017-11-19T00:00:00"/>
    <d v="2017-11-21T00:00:00"/>
    <x v="0"/>
    <s v="AB-10150"/>
    <s v="Aimee Bixby"/>
    <x v="0"/>
    <s v="United States"/>
    <s v="Carrollton"/>
    <s v="Texas"/>
    <x v="3"/>
    <s v="FUR-FU-10001967"/>
    <s v="Furniture"/>
    <x v="3"/>
    <x v="65"/>
    <n v="15.992000000000001"/>
    <n v="2"/>
    <n v="-13.993"/>
    <s v="2- days"/>
    <n v="2"/>
    <x v="0"/>
  </r>
  <r>
    <s v="CA-2016-164672"/>
    <d v="2016-05-08T00:00:00"/>
    <d v="2016-05-13T00:00:00"/>
    <x v="0"/>
    <s v="GB-14530"/>
    <s v="George Bell"/>
    <x v="1"/>
    <s v="United States"/>
    <s v="Dover"/>
    <s v="Delaware"/>
    <x v="2"/>
    <s v="FUR-FU-10001488"/>
    <s v="Furniture"/>
    <x v="3"/>
    <x v="204"/>
    <n v="211.96"/>
    <n v="2"/>
    <n v="42.392000000000003"/>
    <s v="5- days"/>
    <n v="5"/>
    <x v="7"/>
  </r>
  <r>
    <s v="CA-2014-156349"/>
    <d v="2014-05-26T00:00:00"/>
    <d v="2014-05-30T00:00:00"/>
    <x v="1"/>
    <s v="ML-17395"/>
    <s v="Marina Lichtenstein"/>
    <x v="1"/>
    <s v="United States"/>
    <s v="Los Angeles"/>
    <s v="California"/>
    <x v="1"/>
    <s v="FUR-BO-10000362"/>
    <s v="Furniture"/>
    <x v="0"/>
    <x v="203"/>
    <n v="290.666"/>
    <n v="2"/>
    <n v="27.3568"/>
    <s v="4- days"/>
    <n v="4"/>
    <x v="7"/>
  </r>
  <r>
    <s v="CA-2017-108560"/>
    <d v="2017-07-08T00:00:00"/>
    <d v="2017-07-15T00:00:00"/>
    <x v="1"/>
    <s v="JC-15385"/>
    <s v="Jenna Caffey"/>
    <x v="0"/>
    <s v="United States"/>
    <s v="Kent"/>
    <s v="Washington"/>
    <x v="1"/>
    <s v="FUR-FU-10002937"/>
    <s v="Furniture"/>
    <x v="3"/>
    <x v="205"/>
    <n v="198.46"/>
    <n v="2"/>
    <n v="99.23"/>
    <s v="7- days"/>
    <n v="7"/>
    <x v="3"/>
  </r>
  <r>
    <s v="CA-2015-143119"/>
    <d v="2015-09-24T00:00:00"/>
    <d v="2015-09-30T00:00:00"/>
    <x v="1"/>
    <s v="MC-17275"/>
    <s v="Marc Crier"/>
    <x v="0"/>
    <s v="United States"/>
    <s v="Lafayette"/>
    <s v="Louisiana"/>
    <x v="0"/>
    <s v="FUR-CH-10001270"/>
    <s v="Furniture"/>
    <x v="1"/>
    <x v="170"/>
    <n v="517.5"/>
    <n v="6"/>
    <n v="155.25"/>
    <s v="6- days"/>
    <n v="6"/>
    <x v="4"/>
  </r>
  <r>
    <s v="CA-2017-101049"/>
    <d v="2017-06-21T00:00:00"/>
    <d v="2017-06-25T00:00:00"/>
    <x v="0"/>
    <s v="AS-10240"/>
    <s v="Alan Shonely"/>
    <x v="0"/>
    <s v="United States"/>
    <s v="Cleveland"/>
    <s v="Ohio"/>
    <x v="2"/>
    <s v="FUR-FU-10004415"/>
    <s v="Furniture"/>
    <x v="3"/>
    <x v="206"/>
    <n v="17.920000000000002"/>
    <n v="5"/>
    <n v="2.464"/>
    <s v="4- days"/>
    <n v="4"/>
    <x v="2"/>
  </r>
  <r>
    <s v="CA-2016-157266"/>
    <d v="2016-05-26T00:00:00"/>
    <d v="2016-06-01T00:00:00"/>
    <x v="1"/>
    <s v="TB-21280"/>
    <s v="Toby Braunhardt"/>
    <x v="0"/>
    <s v="United States"/>
    <s v="Washington"/>
    <s v="District of Columbia"/>
    <x v="2"/>
    <s v="FUR-FU-10000629"/>
    <s v="Furniture"/>
    <x v="3"/>
    <x v="22"/>
    <n v="41.37"/>
    <n v="3"/>
    <n v="17.375399999999999"/>
    <s v="6- days"/>
    <n v="6"/>
    <x v="7"/>
  </r>
  <r>
    <s v="CA-2014-127159"/>
    <d v="2014-05-12T00:00:00"/>
    <d v="2014-05-15T00:00:00"/>
    <x v="2"/>
    <s v="HL-15040"/>
    <s v="Hunter Lopez"/>
    <x v="0"/>
    <s v="United States"/>
    <s v="Milwaukee"/>
    <s v="Wisconsin"/>
    <x v="3"/>
    <s v="FUR-FU-10000010"/>
    <s v="Furniture"/>
    <x v="3"/>
    <x v="109"/>
    <n v="34.79"/>
    <n v="7"/>
    <n v="10.7849"/>
    <s v="3- days"/>
    <n v="3"/>
    <x v="7"/>
  </r>
  <r>
    <s v="US-2015-157154"/>
    <d v="2015-01-10T00:00:00"/>
    <d v="2015-01-15T00:00:00"/>
    <x v="1"/>
    <s v="MM-17920"/>
    <s v="Michael Moore"/>
    <x v="0"/>
    <s v="United States"/>
    <s v="New York City"/>
    <s v="New York"/>
    <x v="2"/>
    <s v="FUR-TA-10001889"/>
    <s v="Furniture"/>
    <x v="2"/>
    <x v="87"/>
    <n v="1018.104"/>
    <n v="4"/>
    <n v="-373.3048"/>
    <s v="5- days"/>
    <n v="5"/>
    <x v="8"/>
  </r>
  <r>
    <s v="CA-2015-143077"/>
    <d v="2015-09-17T00:00:00"/>
    <d v="2015-09-21T00:00:00"/>
    <x v="1"/>
    <s v="SF-20965"/>
    <s v="Sylvia Foulston"/>
    <x v="1"/>
    <s v="United States"/>
    <s v="Houston"/>
    <s v="Texas"/>
    <x v="3"/>
    <s v="FUR-FU-10003535"/>
    <s v="Furniture"/>
    <x v="3"/>
    <x v="182"/>
    <n v="21.936"/>
    <n v="2"/>
    <n v="-10.419600000000001"/>
    <s v="4- days"/>
    <n v="4"/>
    <x v="4"/>
  </r>
  <r>
    <s v="CA-2014-122882"/>
    <d v="2014-09-07T00:00:00"/>
    <d v="2014-09-13T00:00:00"/>
    <x v="1"/>
    <s v="SB-20290"/>
    <s v="Sean Braxton"/>
    <x v="1"/>
    <s v="United States"/>
    <s v="Philadelphia"/>
    <s v="Pennsylvania"/>
    <x v="2"/>
    <s v="FUR-FU-10000758"/>
    <s v="Furniture"/>
    <x v="3"/>
    <x v="207"/>
    <n v="42.368000000000002"/>
    <n v="2"/>
    <n v="8.4735999999999994"/>
    <s v="6- days"/>
    <n v="6"/>
    <x v="4"/>
  </r>
  <r>
    <s v="CA-2016-147585"/>
    <d v="2016-11-07T00:00:00"/>
    <d v="2016-11-12T00:00:00"/>
    <x v="1"/>
    <s v="CB-12535"/>
    <s v="Claudia Bergmann"/>
    <x v="1"/>
    <s v="United States"/>
    <s v="San Francisco"/>
    <s v="California"/>
    <x v="1"/>
    <s v="FUR-FU-10002597"/>
    <s v="Furniture"/>
    <x v="3"/>
    <x v="132"/>
    <n v="14.82"/>
    <n v="3"/>
    <n v="6.2244000000000002"/>
    <s v="5- days"/>
    <n v="5"/>
    <x v="0"/>
  </r>
  <r>
    <s v="CA-2017-143798"/>
    <d v="2017-12-10T00:00:00"/>
    <d v="2017-12-12T00:00:00"/>
    <x v="2"/>
    <s v="AW-10840"/>
    <s v="Anthony Witt"/>
    <x v="0"/>
    <s v="United States"/>
    <s v="Philadelphia"/>
    <s v="Pennsylvania"/>
    <x v="2"/>
    <s v="FUR-FU-10004306"/>
    <s v="Furniture"/>
    <x v="3"/>
    <x v="130"/>
    <n v="310.88"/>
    <n v="2"/>
    <n v="23.315999999999999"/>
    <s v="2- days"/>
    <n v="2"/>
    <x v="5"/>
  </r>
  <r>
    <s v="CA-2014-142839"/>
    <d v="2014-08-16T00:00:00"/>
    <d v="2014-08-20T00:00:00"/>
    <x v="1"/>
    <s v="TS-21610"/>
    <s v="Troy Staebel"/>
    <x v="0"/>
    <s v="United States"/>
    <s v="Philadelphia"/>
    <s v="Pennsylvania"/>
    <x v="2"/>
    <s v="FUR-TA-10001539"/>
    <s v="Furniture"/>
    <x v="2"/>
    <x v="4"/>
    <n v="853.09199999999998"/>
    <n v="6"/>
    <n v="-227.49119999999999"/>
    <s v="4- days"/>
    <n v="4"/>
    <x v="10"/>
  </r>
  <r>
    <s v="US-2016-154361"/>
    <d v="2016-03-14T00:00:00"/>
    <d v="2016-03-19T00:00:00"/>
    <x v="1"/>
    <s v="HZ-14950"/>
    <s v="Henia Zydlo"/>
    <x v="0"/>
    <s v="United States"/>
    <s v="Columbus"/>
    <s v="Ohio"/>
    <x v="2"/>
    <s v="FUR-FU-10004020"/>
    <s v="Furniture"/>
    <x v="3"/>
    <x v="104"/>
    <n v="21.88"/>
    <n v="5"/>
    <n v="6.2904999999999998"/>
    <s v="5- days"/>
    <n v="5"/>
    <x v="9"/>
  </r>
  <r>
    <s v="CA-2014-135657"/>
    <d v="2014-06-03T00:00:00"/>
    <d v="2014-06-07T00:00:00"/>
    <x v="0"/>
    <s v="SC-20725"/>
    <s v="Steven Cartwright"/>
    <x v="0"/>
    <s v="United States"/>
    <s v="Seattle"/>
    <s v="Washington"/>
    <x v="1"/>
    <s v="FUR-TA-10004086"/>
    <s v="Furniture"/>
    <x v="2"/>
    <x v="165"/>
    <n v="515.88"/>
    <n v="6"/>
    <n v="113.4936"/>
    <s v="4- days"/>
    <n v="4"/>
    <x v="2"/>
  </r>
  <r>
    <s v="CA-2015-114069"/>
    <d v="2015-07-13T00:00:00"/>
    <d v="2015-07-15T00:00:00"/>
    <x v="0"/>
    <s v="ND-18370"/>
    <s v="Natalie DeCherney"/>
    <x v="0"/>
    <s v="United States"/>
    <s v="New York City"/>
    <s v="New York"/>
    <x v="2"/>
    <s v="FUR-CH-10000595"/>
    <s v="Furniture"/>
    <x v="1"/>
    <x v="97"/>
    <n v="1931.04"/>
    <n v="9"/>
    <n v="321.83999999999997"/>
    <s v="2- days"/>
    <n v="2"/>
    <x v="3"/>
  </r>
  <r>
    <s v="CA-2017-123491"/>
    <d v="2017-10-30T00:00:00"/>
    <d v="2017-11-05T00:00:00"/>
    <x v="1"/>
    <s v="JK-15205"/>
    <s v="Jamie Kunitz"/>
    <x v="0"/>
    <s v="United States"/>
    <s v="San Francisco"/>
    <s v="California"/>
    <x v="1"/>
    <s v="FUR-CH-10003061"/>
    <s v="Furniture"/>
    <x v="1"/>
    <x v="12"/>
    <n v="71.992000000000004"/>
    <n v="1"/>
    <n v="-0.89990000000000003"/>
    <s v="6- days"/>
    <n v="6"/>
    <x v="1"/>
  </r>
  <r>
    <s v="US-2017-124968"/>
    <d v="2017-09-08T00:00:00"/>
    <d v="2017-09-13T00:00:00"/>
    <x v="0"/>
    <s v="MM-18055"/>
    <s v="Michelle Moray"/>
    <x v="0"/>
    <s v="United States"/>
    <s v="Chicago"/>
    <s v="Illinois"/>
    <x v="3"/>
    <s v="FUR-TA-10004289"/>
    <s v="Furniture"/>
    <x v="2"/>
    <x v="36"/>
    <n v="765.625"/>
    <n v="7"/>
    <n v="-566.5625"/>
    <s v="5- days"/>
    <n v="5"/>
    <x v="4"/>
  </r>
  <r>
    <s v="CA-2017-104003"/>
    <d v="2017-10-07T00:00:00"/>
    <d v="2017-10-13T00:00:00"/>
    <x v="1"/>
    <s v="DC-13285"/>
    <s v="Debra Catini"/>
    <x v="0"/>
    <s v="United States"/>
    <s v="San Francisco"/>
    <s v="California"/>
    <x v="1"/>
    <s v="FUR-BO-10003965"/>
    <s v="Furniture"/>
    <x v="0"/>
    <x v="208"/>
    <n v="307.666"/>
    <n v="2"/>
    <n v="-14.478400000000001"/>
    <s v="6- days"/>
    <n v="6"/>
    <x v="1"/>
  </r>
  <r>
    <s v="CA-2016-169943"/>
    <d v="2016-05-19T00:00:00"/>
    <d v="2016-05-24T00:00:00"/>
    <x v="1"/>
    <s v="BN-11515"/>
    <s v="Bradley Nguyen"/>
    <x v="0"/>
    <s v="United States"/>
    <s v="New York City"/>
    <s v="New York"/>
    <x v="2"/>
    <s v="FUR-FU-10002088"/>
    <s v="Furniture"/>
    <x v="3"/>
    <x v="209"/>
    <n v="35.92"/>
    <n v="4"/>
    <n v="15.086399999999999"/>
    <s v="5- days"/>
    <n v="5"/>
    <x v="7"/>
  </r>
  <r>
    <s v="CA-2016-169943"/>
    <d v="2016-05-19T00:00:00"/>
    <d v="2016-05-24T00:00:00"/>
    <x v="1"/>
    <s v="BN-11515"/>
    <s v="Bradley Nguyen"/>
    <x v="0"/>
    <s v="United States"/>
    <s v="New York City"/>
    <s v="New York"/>
    <x v="2"/>
    <s v="FUR-FU-10000010"/>
    <s v="Furniture"/>
    <x v="3"/>
    <x v="109"/>
    <n v="39.76"/>
    <n v="8"/>
    <n v="12.3256"/>
    <s v="5- days"/>
    <n v="5"/>
    <x v="7"/>
  </r>
  <r>
    <s v="US-2015-123218"/>
    <d v="2015-12-20T00:00:00"/>
    <d v="2015-12-25T00:00:00"/>
    <x v="1"/>
    <s v="KD-16345"/>
    <s v="Katherine Ducich"/>
    <x v="0"/>
    <s v="United States"/>
    <s v="Chicago"/>
    <s v="Illinois"/>
    <x v="3"/>
    <s v="FUR-BO-10003966"/>
    <s v="Furniture"/>
    <x v="0"/>
    <x v="210"/>
    <n v="359.05799999999999"/>
    <n v="3"/>
    <n v="-71.811599999999999"/>
    <s v="5- days"/>
    <n v="5"/>
    <x v="5"/>
  </r>
  <r>
    <s v="US-2017-164056"/>
    <d v="2017-04-29T00:00:00"/>
    <d v="2017-05-04T00:00:00"/>
    <x v="0"/>
    <s v="FM-14215"/>
    <s v="Filia McAdams"/>
    <x v="1"/>
    <s v="United States"/>
    <s v="Dublin"/>
    <s v="Ohio"/>
    <x v="2"/>
    <s v="FUR-TA-10001307"/>
    <s v="Furniture"/>
    <x v="2"/>
    <x v="211"/>
    <n v="1048.3499999999999"/>
    <n v="5"/>
    <n v="-69.89"/>
    <s v="5- days"/>
    <n v="5"/>
    <x v="6"/>
  </r>
  <r>
    <s v="CA-2017-152807"/>
    <d v="2017-10-30T00:00:00"/>
    <d v="2017-11-03T00:00:00"/>
    <x v="1"/>
    <s v="MC-18100"/>
    <s v="Mick Crebagga"/>
    <x v="0"/>
    <s v="United States"/>
    <s v="Philadelphia"/>
    <s v="Pennsylvania"/>
    <x v="2"/>
    <s v="FUR-FU-10004415"/>
    <s v="Furniture"/>
    <x v="3"/>
    <x v="206"/>
    <n v="7.1680000000000001"/>
    <n v="2"/>
    <n v="0.98560000000000003"/>
    <s v="4- days"/>
    <n v="4"/>
    <x v="1"/>
  </r>
  <r>
    <s v="CA-2015-139094"/>
    <d v="2015-11-22T00:00:00"/>
    <d v="2015-11-27T00:00:00"/>
    <x v="1"/>
    <s v="MO-17800"/>
    <s v="Meg O'Connel"/>
    <x v="2"/>
    <s v="United States"/>
    <s v="San Antonio"/>
    <s v="Texas"/>
    <x v="3"/>
    <s v="FUR-TA-10004607"/>
    <s v="Furniture"/>
    <x v="2"/>
    <x v="212"/>
    <n v="206.96199999999999"/>
    <n v="2"/>
    <n v="-32.522599999999997"/>
    <s v="5- days"/>
    <n v="5"/>
    <x v="0"/>
  </r>
  <r>
    <s v="CA-2017-168837"/>
    <d v="2017-10-14T00:00:00"/>
    <d v="2017-10-17T00:00:00"/>
    <x v="2"/>
    <s v="JW-15955"/>
    <s v="Joni Wasserman"/>
    <x v="0"/>
    <s v="United States"/>
    <s v="Oakland"/>
    <s v="California"/>
    <x v="1"/>
    <s v="FUR-FU-10001918"/>
    <s v="Furniture"/>
    <x v="3"/>
    <x v="60"/>
    <n v="9.4600000000000009"/>
    <n v="2"/>
    <n v="3.6894"/>
    <s v="3- days"/>
    <n v="3"/>
    <x v="1"/>
  </r>
  <r>
    <s v="CA-2015-130785"/>
    <d v="2015-09-05T00:00:00"/>
    <d v="2015-09-09T00:00:00"/>
    <x v="1"/>
    <s v="AG-10900"/>
    <s v="Arthur Gainer"/>
    <x v="0"/>
    <s v="United States"/>
    <s v="San Diego"/>
    <s v="California"/>
    <x v="1"/>
    <s v="FUR-BO-10000330"/>
    <s v="Furniture"/>
    <x v="0"/>
    <x v="213"/>
    <n v="411.33199999999999"/>
    <n v="4"/>
    <n v="-4.8391999999999999"/>
    <s v="4- days"/>
    <n v="4"/>
    <x v="4"/>
  </r>
  <r>
    <s v="CA-2015-130785"/>
    <d v="2015-09-05T00:00:00"/>
    <d v="2015-09-09T00:00:00"/>
    <x v="1"/>
    <s v="AG-10900"/>
    <s v="Arthur Gainer"/>
    <x v="0"/>
    <s v="United States"/>
    <s v="San Diego"/>
    <s v="California"/>
    <x v="1"/>
    <s v="FUR-BO-10003159"/>
    <s v="Furniture"/>
    <x v="0"/>
    <x v="214"/>
    <n v="293.19900000000001"/>
    <n v="3"/>
    <n v="-20.696400000000001"/>
    <s v="4- days"/>
    <n v="4"/>
    <x v="4"/>
  </r>
  <r>
    <s v="CA-2016-110254"/>
    <d v="2016-08-04T00:00:00"/>
    <d v="2016-08-08T00:00:00"/>
    <x v="1"/>
    <s v="ML-17755"/>
    <s v="Max Ludwig"/>
    <x v="2"/>
    <s v="United States"/>
    <s v="Suffolk"/>
    <s v="Virginia"/>
    <x v="0"/>
    <s v="FUR-FU-10001591"/>
    <s v="Furniture"/>
    <x v="3"/>
    <x v="215"/>
    <n v="109.8"/>
    <n v="9"/>
    <n v="46.116"/>
    <s v="4- days"/>
    <n v="4"/>
    <x v="10"/>
  </r>
  <r>
    <s v="CA-2014-120474"/>
    <d v="2014-12-01T00:00:00"/>
    <d v="2014-12-03T00:00:00"/>
    <x v="2"/>
    <s v="RP-19390"/>
    <s v="Resi Pšlking"/>
    <x v="0"/>
    <s v="United States"/>
    <s v="Madison"/>
    <s v="Wisconsin"/>
    <x v="3"/>
    <s v="FUR-CH-10001854"/>
    <s v="Furniture"/>
    <x v="1"/>
    <x v="216"/>
    <n v="2807.84"/>
    <n v="8"/>
    <n v="673.88160000000005"/>
    <s v="2- days"/>
    <n v="2"/>
    <x v="5"/>
  </r>
  <r>
    <s v="CA-2016-100965"/>
    <d v="2016-07-07T00:00:00"/>
    <d v="2016-07-11T00:00:00"/>
    <x v="1"/>
    <s v="RM-19375"/>
    <s v="Raymond Messe"/>
    <x v="0"/>
    <s v="United States"/>
    <s v="San Jose"/>
    <s v="California"/>
    <x v="1"/>
    <s v="FUR-FU-10003039"/>
    <s v="Furniture"/>
    <x v="3"/>
    <x v="102"/>
    <n v="215.65"/>
    <n v="5"/>
    <n v="73.320999999999998"/>
    <s v="4- days"/>
    <n v="4"/>
    <x v="3"/>
  </r>
  <r>
    <s v="CA-2016-149461"/>
    <d v="2016-11-13T00:00:00"/>
    <d v="2016-11-19T00:00:00"/>
    <x v="1"/>
    <s v="AS-10135"/>
    <s v="Adrian Shami"/>
    <x v="2"/>
    <s v="United States"/>
    <s v="Auburn"/>
    <s v="Washington"/>
    <x v="1"/>
    <s v="FUR-FU-10004270"/>
    <s v="Furniture"/>
    <x v="3"/>
    <x v="200"/>
    <n v="4.18"/>
    <n v="1"/>
    <n v="1.5047999999999999"/>
    <s v="6- days"/>
    <n v="6"/>
    <x v="0"/>
  </r>
  <r>
    <s v="CA-2016-165484"/>
    <d v="2016-10-23T00:00:00"/>
    <d v="2016-10-29T00:00:00"/>
    <x v="1"/>
    <s v="HK-14890"/>
    <s v="Heather Kirkland"/>
    <x v="1"/>
    <s v="United States"/>
    <s v="Chicago"/>
    <s v="Illinois"/>
    <x v="3"/>
    <s v="FUR-FU-10001196"/>
    <s v="Furniture"/>
    <x v="3"/>
    <x v="217"/>
    <n v="16.155999999999999"/>
    <n v="7"/>
    <n v="-12.117000000000001"/>
    <s v="6- days"/>
    <n v="6"/>
    <x v="1"/>
  </r>
  <r>
    <s v="CA-2014-132612"/>
    <d v="2014-06-09T00:00:00"/>
    <d v="2014-06-11T00:00:00"/>
    <x v="0"/>
    <s v="FO-14305"/>
    <s v="Frank Olsen"/>
    <x v="0"/>
    <s v="United States"/>
    <s v="Harrisonburg"/>
    <s v="Virginia"/>
    <x v="0"/>
    <s v="FUR-TA-10004534"/>
    <s v="Furniture"/>
    <x v="2"/>
    <x v="28"/>
    <n v="1441.3"/>
    <n v="7"/>
    <n v="245.02099999999999"/>
    <s v="2- days"/>
    <n v="2"/>
    <x v="2"/>
  </r>
  <r>
    <s v="US-2017-161193"/>
    <d v="2017-11-20T00:00:00"/>
    <d v="2017-11-26T00:00:00"/>
    <x v="1"/>
    <s v="BT-11680"/>
    <s v="Brian Thompson"/>
    <x v="0"/>
    <s v="United States"/>
    <s v="Newark"/>
    <s v="Ohio"/>
    <x v="2"/>
    <s v="FUR-FU-10001861"/>
    <s v="Furniture"/>
    <x v="3"/>
    <x v="57"/>
    <n v="77.599999999999994"/>
    <n v="5"/>
    <n v="28.13"/>
    <s v="6- days"/>
    <n v="6"/>
    <x v="0"/>
  </r>
  <r>
    <s v="US-2017-161193"/>
    <d v="2017-11-20T00:00:00"/>
    <d v="2017-11-26T00:00:00"/>
    <x v="1"/>
    <s v="BT-11680"/>
    <s v="Brian Thompson"/>
    <x v="0"/>
    <s v="United States"/>
    <s v="Newark"/>
    <s v="Ohio"/>
    <x v="2"/>
    <s v="FUR-FU-10000206"/>
    <s v="Furniture"/>
    <x v="3"/>
    <x v="84"/>
    <n v="4.6559999999999997"/>
    <n v="2"/>
    <n v="1.5713999999999999"/>
    <s v="6- days"/>
    <n v="6"/>
    <x v="0"/>
  </r>
  <r>
    <s v="CA-2015-131597"/>
    <d v="2015-09-14T00:00:00"/>
    <d v="2015-09-18T00:00:00"/>
    <x v="1"/>
    <s v="SP-20620"/>
    <s v="Stefania Perrino"/>
    <x v="1"/>
    <s v="United States"/>
    <s v="Los Angeles"/>
    <s v="California"/>
    <x v="1"/>
    <s v="FUR-TA-10002607"/>
    <s v="Furniture"/>
    <x v="2"/>
    <x v="48"/>
    <n v="170.136"/>
    <n v="3"/>
    <n v="-8.5068000000000001"/>
    <s v="4- days"/>
    <n v="4"/>
    <x v="4"/>
  </r>
  <r>
    <s v="US-2014-130379"/>
    <d v="2014-05-25T00:00:00"/>
    <d v="2014-05-29T00:00:00"/>
    <x v="1"/>
    <s v="JL-15235"/>
    <s v="Janet Lee"/>
    <x v="0"/>
    <s v="United States"/>
    <s v="Chicago"/>
    <s v="Illinois"/>
    <x v="3"/>
    <s v="FUR-FU-10002553"/>
    <s v="Furniture"/>
    <x v="3"/>
    <x v="218"/>
    <n v="29.32"/>
    <n v="2"/>
    <n v="-24.189"/>
    <s v="4- days"/>
    <n v="4"/>
    <x v="7"/>
  </r>
  <r>
    <s v="CA-2016-168956"/>
    <d v="2016-02-16T00:00:00"/>
    <d v="2016-02-20T00:00:00"/>
    <x v="1"/>
    <s v="EA-14035"/>
    <s v="Erin Ashbrook"/>
    <x v="1"/>
    <s v="United States"/>
    <s v="Chicago"/>
    <s v="Illinois"/>
    <x v="3"/>
    <s v="FUR-CH-10004754"/>
    <s v="Furniture"/>
    <x v="1"/>
    <x v="219"/>
    <n v="62.957999999999998"/>
    <n v="3"/>
    <n v="-2.6981999999999999"/>
    <s v="4- days"/>
    <n v="4"/>
    <x v="11"/>
  </r>
  <r>
    <s v="CA-2016-167507"/>
    <d v="2016-12-22T00:00:00"/>
    <d v="2016-12-28T00:00:00"/>
    <x v="1"/>
    <s v="SA-20830"/>
    <s v="Sue Ann Reed"/>
    <x v="0"/>
    <s v="United States"/>
    <s v="Redmond"/>
    <s v="Oregon"/>
    <x v="1"/>
    <s v="FUR-FU-10001935"/>
    <s v="Furniture"/>
    <x v="3"/>
    <x v="73"/>
    <n v="11.84"/>
    <n v="4"/>
    <n v="3.1080000000000001"/>
    <s v="6- days"/>
    <n v="6"/>
    <x v="5"/>
  </r>
  <r>
    <s v="CA-2016-167507"/>
    <d v="2016-12-22T00:00:00"/>
    <d v="2016-12-28T00:00:00"/>
    <x v="1"/>
    <s v="SA-20830"/>
    <s v="Sue Ann Reed"/>
    <x v="0"/>
    <s v="United States"/>
    <s v="Redmond"/>
    <s v="Oregon"/>
    <x v="1"/>
    <s v="FUR-FU-10002878"/>
    <s v="Furniture"/>
    <x v="3"/>
    <x v="220"/>
    <n v="22.783999999999999"/>
    <n v="1"/>
    <n v="4.8415999999999997"/>
    <s v="6- days"/>
    <n v="6"/>
    <x v="5"/>
  </r>
  <r>
    <s v="CA-2017-145884"/>
    <d v="2017-10-21T00:00:00"/>
    <d v="2017-10-21T00:00:00"/>
    <x v="3"/>
    <s v="SL-20155"/>
    <s v="Sara Luxemburg"/>
    <x v="2"/>
    <s v="United States"/>
    <s v="Muskogee"/>
    <s v="Oklahoma"/>
    <x v="3"/>
    <s v="FUR-TA-10002356"/>
    <s v="Furniture"/>
    <x v="2"/>
    <x v="147"/>
    <n v="262.11"/>
    <n v="1"/>
    <n v="62.906399999999998"/>
    <s v="0- days"/>
    <n v="0"/>
    <x v="1"/>
  </r>
  <r>
    <s v="CA-2015-131422"/>
    <d v="2015-11-05T00:00:00"/>
    <d v="2015-11-09T00:00:00"/>
    <x v="1"/>
    <s v="GB-14530"/>
    <s v="George Bell"/>
    <x v="1"/>
    <s v="United States"/>
    <s v="Monroe"/>
    <s v="North Carolina"/>
    <x v="0"/>
    <s v="FUR-CH-10001270"/>
    <s v="Furniture"/>
    <x v="1"/>
    <x v="170"/>
    <n v="207"/>
    <n v="3"/>
    <n v="25.875"/>
    <s v="4- days"/>
    <n v="4"/>
    <x v="0"/>
  </r>
  <r>
    <s v="CA-2014-117345"/>
    <d v="2014-08-01T00:00:00"/>
    <d v="2014-08-05T00:00:00"/>
    <x v="1"/>
    <s v="BF-10975"/>
    <s v="Barbara Fisher"/>
    <x v="1"/>
    <s v="United States"/>
    <s v="Charlotte"/>
    <s v="North Carolina"/>
    <x v="0"/>
    <s v="FUR-FU-10000629"/>
    <s v="Furniture"/>
    <x v="3"/>
    <x v="22"/>
    <n v="44.128"/>
    <n v="4"/>
    <n v="12.135199999999999"/>
    <s v="4- days"/>
    <n v="4"/>
    <x v="10"/>
  </r>
  <r>
    <s v="CA-2016-157763"/>
    <d v="2016-07-18T00:00:00"/>
    <d v="2016-07-23T00:00:00"/>
    <x v="1"/>
    <s v="KH-16330"/>
    <s v="Katharine Harms"/>
    <x v="1"/>
    <s v="United States"/>
    <s v="Bowling Green"/>
    <s v="Kentucky"/>
    <x v="0"/>
    <s v="FUR-CH-10000988"/>
    <s v="Furniture"/>
    <x v="1"/>
    <x v="221"/>
    <n v="140.81"/>
    <n v="1"/>
    <n v="39.4268"/>
    <s v="5- days"/>
    <n v="5"/>
    <x v="3"/>
  </r>
  <r>
    <s v="CA-2015-135391"/>
    <d v="2015-02-09T00:00:00"/>
    <d v="2015-02-11T00:00:00"/>
    <x v="0"/>
    <s v="FA-14230"/>
    <s v="Frank Atkinson"/>
    <x v="1"/>
    <s v="United States"/>
    <s v="San Antonio"/>
    <s v="Texas"/>
    <x v="3"/>
    <s v="FUR-FU-10001986"/>
    <s v="Furniture"/>
    <x v="3"/>
    <x v="222"/>
    <n v="40.783999999999999"/>
    <n v="2"/>
    <n v="-30.588000000000001"/>
    <s v="2- days"/>
    <n v="2"/>
    <x v="11"/>
  </r>
  <r>
    <s v="US-2017-158512"/>
    <d v="2017-01-12T00:00:00"/>
    <d v="2017-01-17T00:00:00"/>
    <x v="0"/>
    <s v="DA-13450"/>
    <s v="Dianna Arnett"/>
    <x v="2"/>
    <s v="United States"/>
    <s v="Washington"/>
    <s v="District of Columbia"/>
    <x v="2"/>
    <s v="FUR-FU-10004973"/>
    <s v="Furniture"/>
    <x v="3"/>
    <x v="223"/>
    <n v="37.68"/>
    <n v="2"/>
    <n v="15.8256"/>
    <s v="5- days"/>
    <n v="5"/>
    <x v="8"/>
  </r>
  <r>
    <s v="CA-2017-128370"/>
    <d v="2017-09-10T00:00:00"/>
    <d v="2017-09-10T00:00:00"/>
    <x v="3"/>
    <s v="FH-14275"/>
    <s v="Frank Hawley"/>
    <x v="1"/>
    <s v="United States"/>
    <s v="Los Angeles"/>
    <s v="California"/>
    <x v="1"/>
    <s v="FUR-CH-10002602"/>
    <s v="Furniture"/>
    <x v="1"/>
    <x v="64"/>
    <n v="362.35199999999998"/>
    <n v="3"/>
    <n v="27.176400000000001"/>
    <s v="0- days"/>
    <n v="0"/>
    <x v="4"/>
  </r>
  <r>
    <s v="US-2017-121251"/>
    <d v="2017-03-26T00:00:00"/>
    <d v="2017-03-27T00:00:00"/>
    <x v="2"/>
    <s v="GM-14440"/>
    <s v="Gary McGarr"/>
    <x v="0"/>
    <s v="United States"/>
    <s v="New York City"/>
    <s v="New York"/>
    <x v="2"/>
    <s v="FUR-BO-10001918"/>
    <s v="Furniture"/>
    <x v="0"/>
    <x v="224"/>
    <n v="257.56799999999998"/>
    <n v="2"/>
    <n v="-28.976400000000002"/>
    <s v="1- days"/>
    <n v="1"/>
    <x v="9"/>
  </r>
  <r>
    <s v="US-2016-100839"/>
    <d v="2016-10-13T00:00:00"/>
    <d v="2016-10-17T00:00:00"/>
    <x v="1"/>
    <s v="NC-18625"/>
    <s v="Noah Childs"/>
    <x v="1"/>
    <s v="United States"/>
    <s v="Aurora"/>
    <s v="Colorado"/>
    <x v="1"/>
    <s v="FUR-TA-10004575"/>
    <s v="Furniture"/>
    <x v="2"/>
    <x v="67"/>
    <n v="727.45"/>
    <n v="5"/>
    <n v="-465.56799999999998"/>
    <s v="4- days"/>
    <n v="4"/>
    <x v="1"/>
  </r>
  <r>
    <s v="US-2016-100839"/>
    <d v="2016-10-13T00:00:00"/>
    <d v="2016-10-17T00:00:00"/>
    <x v="1"/>
    <s v="NC-18625"/>
    <s v="Noah Childs"/>
    <x v="1"/>
    <s v="United States"/>
    <s v="Aurora"/>
    <s v="Colorado"/>
    <x v="1"/>
    <s v="FUR-FU-10001617"/>
    <s v="Furniture"/>
    <x v="3"/>
    <x v="225"/>
    <n v="24.96"/>
    <n v="3"/>
    <n v="4.3680000000000003"/>
    <s v="4- days"/>
    <n v="4"/>
    <x v="1"/>
  </r>
  <r>
    <s v="CA-2017-118857"/>
    <d v="2017-04-15T00:00:00"/>
    <d v="2017-04-18T00:00:00"/>
    <x v="2"/>
    <s v="AH-10075"/>
    <s v="Adam Hart"/>
    <x v="1"/>
    <s v="United States"/>
    <s v="Henderson"/>
    <s v="Nevada"/>
    <x v="1"/>
    <s v="FUR-FU-10004460"/>
    <s v="Furniture"/>
    <x v="3"/>
    <x v="160"/>
    <n v="196.45"/>
    <n v="5"/>
    <n v="70.721999999999994"/>
    <s v="3- days"/>
    <n v="3"/>
    <x v="6"/>
  </r>
  <r>
    <s v="CA-2014-116932"/>
    <d v="2014-07-21T00:00:00"/>
    <d v="2014-07-25T00:00:00"/>
    <x v="1"/>
    <s v="ME-18010"/>
    <s v="Michelle Ellison"/>
    <x v="1"/>
    <s v="United States"/>
    <s v="San Francisco"/>
    <s v="California"/>
    <x v="1"/>
    <s v="FUR-CH-10001215"/>
    <s v="Furniture"/>
    <x v="1"/>
    <x v="94"/>
    <n v="801.56799999999998"/>
    <n v="2"/>
    <n v="50.097999999999999"/>
    <s v="4- days"/>
    <n v="4"/>
    <x v="3"/>
  </r>
  <r>
    <s v="CA-2014-116932"/>
    <d v="2014-07-21T00:00:00"/>
    <d v="2014-07-25T00:00:00"/>
    <x v="1"/>
    <s v="ME-18010"/>
    <s v="Michelle Ellison"/>
    <x v="1"/>
    <s v="United States"/>
    <s v="San Francisco"/>
    <s v="California"/>
    <x v="1"/>
    <s v="FUR-TA-10004175"/>
    <s v="Furniture"/>
    <x v="2"/>
    <x v="226"/>
    <n v="272.84800000000001"/>
    <n v="1"/>
    <n v="27.284800000000001"/>
    <s v="4- days"/>
    <n v="4"/>
    <x v="3"/>
  </r>
  <r>
    <s v="CA-2017-142888"/>
    <d v="2017-11-21T00:00:00"/>
    <d v="2017-11-25T00:00:00"/>
    <x v="1"/>
    <s v="BP-11230"/>
    <s v="Benjamin Patterson"/>
    <x v="0"/>
    <s v="United States"/>
    <s v="Spokane"/>
    <s v="Washington"/>
    <x v="1"/>
    <s v="FUR-TA-10004767"/>
    <s v="Furniture"/>
    <x v="2"/>
    <x v="227"/>
    <n v="70.98"/>
    <n v="1"/>
    <n v="20.584199999999999"/>
    <s v="4- days"/>
    <n v="4"/>
    <x v="0"/>
  </r>
  <r>
    <s v="US-2016-112977"/>
    <d v="2016-03-10T00:00:00"/>
    <d v="2016-03-16T00:00:00"/>
    <x v="1"/>
    <s v="CJ-12010"/>
    <s v="Caroline Jumper"/>
    <x v="0"/>
    <s v="United States"/>
    <s v="Long Beach"/>
    <s v="New York"/>
    <x v="2"/>
    <s v="FUR-BO-10003272"/>
    <s v="Furniture"/>
    <x v="0"/>
    <x v="122"/>
    <n v="176.78399999999999"/>
    <n v="1"/>
    <n v="-22.097999999999999"/>
    <s v="6- days"/>
    <n v="6"/>
    <x v="9"/>
  </r>
  <r>
    <s v="CA-2017-118885"/>
    <d v="2017-12-29T00:00:00"/>
    <d v="2018-01-02T00:00:00"/>
    <x v="1"/>
    <s v="JG-15160"/>
    <s v="James Galang"/>
    <x v="0"/>
    <s v="United States"/>
    <s v="Los Angeles"/>
    <s v="California"/>
    <x v="1"/>
    <s v="FUR-CH-10002880"/>
    <s v="Furniture"/>
    <x v="1"/>
    <x v="162"/>
    <n v="393.56799999999998"/>
    <n v="4"/>
    <n v="-44.276400000000002"/>
    <s v="4- days"/>
    <n v="4"/>
    <x v="5"/>
  </r>
  <r>
    <s v="CA-2015-109512"/>
    <d v="2015-03-05T00:00:00"/>
    <d v="2015-03-05T00:00:00"/>
    <x v="3"/>
    <s v="LF-17185"/>
    <s v="Luke Foster"/>
    <x v="0"/>
    <s v="United States"/>
    <s v="New York City"/>
    <s v="New York"/>
    <x v="2"/>
    <s v="FUR-CH-10001146"/>
    <s v="Furniture"/>
    <x v="1"/>
    <x v="15"/>
    <n v="383.60700000000003"/>
    <n v="7"/>
    <n v="63.9345"/>
    <s v="0- days"/>
    <n v="0"/>
    <x v="9"/>
  </r>
  <r>
    <s v="CA-2016-147578"/>
    <d v="2016-04-22T00:00:00"/>
    <d v="2016-04-26T00:00:00"/>
    <x v="0"/>
    <s v="PG-18895"/>
    <s v="Paul Gonzalez"/>
    <x v="0"/>
    <s v="United States"/>
    <s v="San Francisco"/>
    <s v="California"/>
    <x v="1"/>
    <s v="FUR-FU-10001889"/>
    <s v="Furniture"/>
    <x v="3"/>
    <x v="228"/>
    <n v="31.56"/>
    <n v="3"/>
    <n v="10.4148"/>
    <s v="4- days"/>
    <n v="4"/>
    <x v="6"/>
  </r>
  <r>
    <s v="CA-2014-142587"/>
    <d v="2014-10-21T00:00:00"/>
    <d v="2014-10-22T00:00:00"/>
    <x v="2"/>
    <s v="TB-21520"/>
    <s v="Tracy Blumstein"/>
    <x v="0"/>
    <s v="United States"/>
    <s v="Fairfield"/>
    <s v="Ohio"/>
    <x v="2"/>
    <s v="FUR-TA-10000617"/>
    <s v="Furniture"/>
    <x v="2"/>
    <x v="72"/>
    <n v="409.59"/>
    <n v="3"/>
    <n v="-122.877"/>
    <s v="1- days"/>
    <n v="1"/>
    <x v="1"/>
  </r>
  <r>
    <s v="CA-2014-169775"/>
    <d v="2014-08-29T00:00:00"/>
    <d v="2014-09-02T00:00:00"/>
    <x v="0"/>
    <s v="RA-19945"/>
    <s v="Ryan Akin"/>
    <x v="0"/>
    <s v="United States"/>
    <s v="Miami"/>
    <s v="Florida"/>
    <x v="0"/>
    <s v="FUR-TA-10001857"/>
    <s v="Furniture"/>
    <x v="2"/>
    <x v="91"/>
    <n v="174.05850000000001"/>
    <n v="3"/>
    <n v="-110.7645"/>
    <s v="4- days"/>
    <n v="4"/>
    <x v="10"/>
  </r>
  <r>
    <s v="CA-2017-167094"/>
    <d v="2017-10-21T00:00:00"/>
    <d v="2017-10-22T00:00:00"/>
    <x v="2"/>
    <s v="DK-12835"/>
    <s v="Damala Kotsonis"/>
    <x v="1"/>
    <s v="United States"/>
    <s v="Springfield"/>
    <s v="Oregon"/>
    <x v="1"/>
    <s v="FUR-CH-10000155"/>
    <s v="Furniture"/>
    <x v="1"/>
    <x v="229"/>
    <n v="478.48"/>
    <n v="2"/>
    <n v="47.847999999999999"/>
    <s v="1- days"/>
    <n v="1"/>
    <x v="1"/>
  </r>
  <r>
    <s v="CA-2015-157959"/>
    <d v="2015-02-03T00:00:00"/>
    <d v="2015-02-04T00:00:00"/>
    <x v="2"/>
    <s v="RW-19540"/>
    <s v="Rick Wilson"/>
    <x v="1"/>
    <s v="United States"/>
    <s v="Los Angeles"/>
    <s v="California"/>
    <x v="1"/>
    <s v="FUR-FU-10004093"/>
    <s v="Furniture"/>
    <x v="3"/>
    <x v="230"/>
    <n v="136.91999999999999"/>
    <n v="4"/>
    <n v="41.076000000000001"/>
    <s v="1- days"/>
    <n v="1"/>
    <x v="11"/>
  </r>
  <r>
    <s v="CA-2017-105886"/>
    <d v="2017-12-18T00:00:00"/>
    <d v="2017-12-23T00:00:00"/>
    <x v="1"/>
    <s v="DB-13660"/>
    <s v="Duane Benoit"/>
    <x v="0"/>
    <s v="United States"/>
    <s v="Oceanside"/>
    <s v="New York"/>
    <x v="2"/>
    <s v="FUR-FU-10001037"/>
    <s v="Furniture"/>
    <x v="3"/>
    <x v="231"/>
    <n v="18.96"/>
    <n v="2"/>
    <n v="8.532"/>
    <s v="5- days"/>
    <n v="5"/>
    <x v="5"/>
  </r>
  <r>
    <s v="US-2017-111423"/>
    <d v="2017-08-17T00:00:00"/>
    <d v="2017-08-19T00:00:00"/>
    <x v="2"/>
    <s v="EH-13765"/>
    <s v="Edward Hooks"/>
    <x v="1"/>
    <s v="United States"/>
    <s v="Watertown"/>
    <s v="New York"/>
    <x v="2"/>
    <s v="FUR-CH-10003981"/>
    <s v="Furniture"/>
    <x v="1"/>
    <x v="232"/>
    <n v="462.56400000000002"/>
    <n v="2"/>
    <n v="97.6524"/>
    <s v="2- days"/>
    <n v="2"/>
    <x v="10"/>
  </r>
  <r>
    <s v="CA-2017-161200"/>
    <d v="2017-08-06T00:00:00"/>
    <d v="2017-08-10T00:00:00"/>
    <x v="0"/>
    <s v="SV-20365"/>
    <s v="Seth Vernon"/>
    <x v="0"/>
    <s v="United States"/>
    <s v="Lafayette"/>
    <s v="Louisiana"/>
    <x v="0"/>
    <s v="FUR-BO-10000468"/>
    <s v="Furniture"/>
    <x v="0"/>
    <x v="233"/>
    <n v="145.74"/>
    <n v="3"/>
    <n v="23.3184"/>
    <s v="4- days"/>
    <n v="4"/>
    <x v="10"/>
  </r>
  <r>
    <s v="CA-2017-161200"/>
    <d v="2017-08-06T00:00:00"/>
    <d v="2017-08-10T00:00:00"/>
    <x v="0"/>
    <s v="SV-20365"/>
    <s v="Seth Vernon"/>
    <x v="0"/>
    <s v="United States"/>
    <s v="Lafayette"/>
    <s v="Louisiana"/>
    <x v="0"/>
    <s v="FUR-FU-10001706"/>
    <s v="Furniture"/>
    <x v="3"/>
    <x v="11"/>
    <n v="15.4"/>
    <n v="5"/>
    <n v="7.3920000000000003"/>
    <s v="4- days"/>
    <n v="4"/>
    <x v="10"/>
  </r>
  <r>
    <s v="CA-2015-141768"/>
    <d v="2015-05-25T00:00:00"/>
    <d v="2015-05-27T00:00:00"/>
    <x v="0"/>
    <s v="NP-18685"/>
    <s v="Nora Pelletier"/>
    <x v="2"/>
    <s v="United States"/>
    <s v="San Francisco"/>
    <s v="California"/>
    <x v="1"/>
    <s v="FUR-FU-10002268"/>
    <s v="Furniture"/>
    <x v="3"/>
    <x v="172"/>
    <n v="14.73"/>
    <n v="3"/>
    <n v="4.8609"/>
    <s v="2- days"/>
    <n v="2"/>
    <x v="7"/>
  </r>
  <r>
    <s v="CA-2016-112109"/>
    <d v="2016-07-08T00:00:00"/>
    <d v="2016-07-12T00:00:00"/>
    <x v="1"/>
    <s v="JE-15715"/>
    <s v="Joe Elijah"/>
    <x v="0"/>
    <s v="United States"/>
    <s v="Broomfield"/>
    <s v="Colorado"/>
    <x v="1"/>
    <s v="FUR-CH-10004287"/>
    <s v="Furniture"/>
    <x v="1"/>
    <x v="32"/>
    <n v="662.88"/>
    <n v="3"/>
    <n v="74.573999999999998"/>
    <s v="4- days"/>
    <n v="4"/>
    <x v="3"/>
  </r>
  <r>
    <s v="CA-2017-157987"/>
    <d v="2017-09-02T00:00:00"/>
    <d v="2017-09-06T00:00:00"/>
    <x v="1"/>
    <s v="AC-10615"/>
    <s v="Ann Chong"/>
    <x v="1"/>
    <s v="United States"/>
    <s v="New York City"/>
    <s v="New York"/>
    <x v="2"/>
    <s v="FUR-FU-10001196"/>
    <s v="Furniture"/>
    <x v="3"/>
    <x v="217"/>
    <n v="11.54"/>
    <n v="2"/>
    <n v="3.4620000000000002"/>
    <s v="4- days"/>
    <n v="4"/>
    <x v="4"/>
  </r>
  <r>
    <s v="CA-2017-157987"/>
    <d v="2017-09-02T00:00:00"/>
    <d v="2017-09-06T00:00:00"/>
    <x v="1"/>
    <s v="AC-10615"/>
    <s v="Ann Chong"/>
    <x v="1"/>
    <s v="United States"/>
    <s v="New York City"/>
    <s v="New York"/>
    <x v="2"/>
    <s v="FUR-TA-10001889"/>
    <s v="Furniture"/>
    <x v="2"/>
    <x v="87"/>
    <n v="254.52600000000001"/>
    <n v="1"/>
    <n v="-93.3262"/>
    <s v="4- days"/>
    <n v="4"/>
    <x v="4"/>
  </r>
  <r>
    <s v="CA-2017-157987"/>
    <d v="2017-09-02T00:00:00"/>
    <d v="2017-09-06T00:00:00"/>
    <x v="1"/>
    <s v="AC-10615"/>
    <s v="Ann Chong"/>
    <x v="1"/>
    <s v="United States"/>
    <s v="New York City"/>
    <s v="New York"/>
    <x v="2"/>
    <s v="FUR-CH-10003379"/>
    <s v="Furniture"/>
    <x v="1"/>
    <x v="96"/>
    <n v="1282.4100000000001"/>
    <n v="5"/>
    <n v="213.73500000000001"/>
    <s v="4- days"/>
    <n v="4"/>
    <x v="4"/>
  </r>
  <r>
    <s v="CA-2014-110408"/>
    <d v="2014-10-18T00:00:00"/>
    <d v="2014-10-20T00:00:00"/>
    <x v="0"/>
    <s v="AS-10225"/>
    <s v="Alan Schoenberger"/>
    <x v="1"/>
    <s v="United States"/>
    <s v="Montgomery"/>
    <s v="Alabama"/>
    <x v="0"/>
    <s v="FUR-CH-10003774"/>
    <s v="Furniture"/>
    <x v="1"/>
    <x v="234"/>
    <n v="545.88"/>
    <n v="6"/>
    <n v="70.964399999999998"/>
    <s v="2- days"/>
    <n v="2"/>
    <x v="1"/>
  </r>
  <r>
    <s v="CA-2016-112669"/>
    <d v="2016-04-14T00:00:00"/>
    <d v="2016-04-14T00:00:00"/>
    <x v="3"/>
    <s v="KT-16465"/>
    <s v="Kean Takahito"/>
    <x v="0"/>
    <s v="United States"/>
    <s v="Glendale"/>
    <s v="Arizona"/>
    <x v="1"/>
    <s v="FUR-CH-10004086"/>
    <s v="Furniture"/>
    <x v="1"/>
    <x v="61"/>
    <n v="933.53599999999994"/>
    <n v="4"/>
    <n v="105.0228"/>
    <s v="0- days"/>
    <n v="0"/>
    <x v="6"/>
  </r>
  <r>
    <s v="CA-2014-164721"/>
    <d v="2014-11-25T00:00:00"/>
    <d v="2014-11-27T00:00:00"/>
    <x v="0"/>
    <s v="LW-16825"/>
    <s v="Laurel Workman"/>
    <x v="1"/>
    <s v="United States"/>
    <s v="Brentwood"/>
    <s v="California"/>
    <x v="1"/>
    <s v="FUR-FU-10001940"/>
    <s v="Furniture"/>
    <x v="3"/>
    <x v="47"/>
    <n v="23.88"/>
    <n v="3"/>
    <n v="10.507199999999999"/>
    <s v="2- days"/>
    <n v="2"/>
    <x v="0"/>
  </r>
  <r>
    <s v="CA-2015-127509"/>
    <d v="2015-11-09T00:00:00"/>
    <d v="2015-11-13T00:00:00"/>
    <x v="1"/>
    <s v="AS-10090"/>
    <s v="Adam Shillingsburg"/>
    <x v="0"/>
    <s v="United States"/>
    <s v="Springfield"/>
    <s v="Missouri"/>
    <x v="3"/>
    <s v="FUR-TA-10002855"/>
    <s v="Furniture"/>
    <x v="2"/>
    <x v="235"/>
    <n v="1024.3800000000001"/>
    <n v="7"/>
    <n v="215.1198"/>
    <s v="4- days"/>
    <n v="4"/>
    <x v="0"/>
  </r>
  <r>
    <s v="US-2017-147221"/>
    <d v="2017-12-02T00:00:00"/>
    <d v="2017-12-04T00:00:00"/>
    <x v="0"/>
    <s v="JS-16030"/>
    <s v="Joy Smith"/>
    <x v="0"/>
    <s v="United States"/>
    <s v="Houston"/>
    <s v="Texas"/>
    <x v="3"/>
    <s v="FUR-FU-10004020"/>
    <s v="Furniture"/>
    <x v="3"/>
    <x v="104"/>
    <n v="8.7520000000000007"/>
    <n v="4"/>
    <n v="-3.7195999999999998"/>
    <s v="2- days"/>
    <n v="2"/>
    <x v="5"/>
  </r>
  <r>
    <s v="CA-2017-163510"/>
    <d v="2017-12-25T00:00:00"/>
    <d v="2017-12-28T00:00:00"/>
    <x v="0"/>
    <s v="JW-15955"/>
    <s v="Joni Wasserman"/>
    <x v="0"/>
    <s v="United States"/>
    <s v="Louisville"/>
    <s v="Kentucky"/>
    <x v="0"/>
    <s v="FUR-CH-10001146"/>
    <s v="Furniture"/>
    <x v="1"/>
    <x v="15"/>
    <n v="304.45"/>
    <n v="5"/>
    <n v="76.112499999999997"/>
    <s v="3- days"/>
    <n v="3"/>
    <x v="5"/>
  </r>
  <r>
    <s v="CA-2017-165386"/>
    <d v="2017-08-03T00:00:00"/>
    <d v="2017-08-04T00:00:00"/>
    <x v="2"/>
    <s v="CM-12190"/>
    <s v="Charlotte Melton"/>
    <x v="0"/>
    <s v="United States"/>
    <s v="Chicago"/>
    <s v="Illinois"/>
    <x v="3"/>
    <s v="FUR-BO-10003034"/>
    <s v="Furniture"/>
    <x v="0"/>
    <x v="236"/>
    <n v="183.37200000000001"/>
    <n v="2"/>
    <n v="-36.674399999999999"/>
    <s v="1- days"/>
    <n v="1"/>
    <x v="10"/>
  </r>
  <r>
    <s v="CA-2016-145905"/>
    <d v="2016-09-18T00:00:00"/>
    <d v="2016-09-23T00:00:00"/>
    <x v="1"/>
    <s v="AM-10705"/>
    <s v="Anne McFarland"/>
    <x v="0"/>
    <s v="United States"/>
    <s v="Auburn"/>
    <s v="Alabama"/>
    <x v="0"/>
    <s v="FUR-CH-10001854"/>
    <s v="Furniture"/>
    <x v="1"/>
    <x v="216"/>
    <n v="350.98"/>
    <n v="1"/>
    <n v="84.235200000000006"/>
    <s v="5- days"/>
    <n v="5"/>
    <x v="4"/>
  </r>
  <r>
    <s v="CA-2016-168354"/>
    <d v="2016-09-19T00:00:00"/>
    <d v="2016-09-21T00:00:00"/>
    <x v="2"/>
    <s v="RH-19510"/>
    <s v="Rick Huthwaite"/>
    <x v="2"/>
    <s v="United States"/>
    <s v="Providence"/>
    <s v="Rhode Island"/>
    <x v="2"/>
    <s v="FUR-CH-10004675"/>
    <s v="Furniture"/>
    <x v="1"/>
    <x v="135"/>
    <n v="872.32"/>
    <n v="4"/>
    <n v="244.24959999999999"/>
    <s v="2- days"/>
    <n v="2"/>
    <x v="4"/>
  </r>
  <r>
    <s v="CA-2015-114237"/>
    <d v="2015-03-13T00:00:00"/>
    <d v="2015-03-15T00:00:00"/>
    <x v="2"/>
    <s v="MC-17275"/>
    <s v="Marc Crier"/>
    <x v="0"/>
    <s v="United States"/>
    <s v="Seattle"/>
    <s v="Washington"/>
    <x v="1"/>
    <s v="FUR-BO-10004409"/>
    <s v="Furniture"/>
    <x v="0"/>
    <x v="134"/>
    <n v="141.96"/>
    <n v="2"/>
    <n v="39.748800000000003"/>
    <s v="2- days"/>
    <n v="2"/>
    <x v="9"/>
  </r>
  <r>
    <s v="CA-2017-162481"/>
    <d v="2017-09-25T00:00:00"/>
    <d v="2017-09-29T00:00:00"/>
    <x v="1"/>
    <s v="CT-11995"/>
    <s v="Carol Triggs"/>
    <x v="0"/>
    <s v="United States"/>
    <s v="Rochester"/>
    <s v="Minnesota"/>
    <x v="3"/>
    <s v="FUR-CH-10003061"/>
    <s v="Furniture"/>
    <x v="1"/>
    <x v="12"/>
    <n v="269.97000000000003"/>
    <n v="3"/>
    <n v="51.2943"/>
    <s v="4- days"/>
    <n v="4"/>
    <x v="4"/>
  </r>
  <r>
    <s v="CA-2015-122287"/>
    <d v="2015-06-18T00:00:00"/>
    <d v="2015-06-23T00:00:00"/>
    <x v="1"/>
    <s v="SN-20560"/>
    <s v="Skye Norling"/>
    <x v="2"/>
    <s v="United States"/>
    <s v="Peoria"/>
    <s v="Arizona"/>
    <x v="1"/>
    <s v="FUR-FU-10004973"/>
    <s v="Furniture"/>
    <x v="3"/>
    <x v="223"/>
    <n v="75.36"/>
    <n v="5"/>
    <n v="20.724"/>
    <s v="5- days"/>
    <n v="5"/>
    <x v="2"/>
  </r>
  <r>
    <s v="CA-2015-142237"/>
    <d v="2015-07-11T00:00:00"/>
    <d v="2015-07-13T00:00:00"/>
    <x v="2"/>
    <s v="CK-12595"/>
    <s v="Clytie Kelty"/>
    <x v="0"/>
    <s v="United States"/>
    <s v="Philadelphia"/>
    <s v="Pennsylvania"/>
    <x v="2"/>
    <s v="FUR-FU-10004848"/>
    <s v="Furniture"/>
    <x v="3"/>
    <x v="7"/>
    <n v="289.8"/>
    <n v="7"/>
    <n v="36.225000000000001"/>
    <s v="2- days"/>
    <n v="2"/>
    <x v="3"/>
  </r>
  <r>
    <s v="CA-2015-142237"/>
    <d v="2015-07-11T00:00:00"/>
    <d v="2015-07-13T00:00:00"/>
    <x v="2"/>
    <s v="CK-12595"/>
    <s v="Clytie Kelty"/>
    <x v="0"/>
    <s v="United States"/>
    <s v="Philadelphia"/>
    <s v="Pennsylvania"/>
    <x v="2"/>
    <s v="FUR-CH-10003833"/>
    <s v="Furniture"/>
    <x v="1"/>
    <x v="237"/>
    <n v="341.488"/>
    <n v="8"/>
    <n v="-73.176000000000002"/>
    <s v="2- days"/>
    <n v="2"/>
    <x v="3"/>
  </r>
  <r>
    <s v="CA-2015-142237"/>
    <d v="2015-07-11T00:00:00"/>
    <d v="2015-07-13T00:00:00"/>
    <x v="2"/>
    <s v="CK-12595"/>
    <s v="Clytie Kelty"/>
    <x v="0"/>
    <s v="United States"/>
    <s v="Philadelphia"/>
    <s v="Pennsylvania"/>
    <x v="2"/>
    <s v="FUR-FU-10003142"/>
    <s v="Furniture"/>
    <x v="3"/>
    <x v="238"/>
    <n v="25.344000000000001"/>
    <n v="6"/>
    <n v="3.4847999999999999"/>
    <s v="2- days"/>
    <n v="2"/>
    <x v="3"/>
  </r>
  <r>
    <s v="CA-2016-136434"/>
    <d v="2016-12-01T00:00:00"/>
    <d v="2016-12-07T00:00:00"/>
    <x v="1"/>
    <s v="RD-19480"/>
    <s v="Rick Duston"/>
    <x v="0"/>
    <s v="United States"/>
    <s v="Richmond"/>
    <s v="Indiana"/>
    <x v="3"/>
    <s v="FUR-FU-10001196"/>
    <s v="Furniture"/>
    <x v="3"/>
    <x v="217"/>
    <n v="17.309999999999999"/>
    <n v="3"/>
    <n v="5.1929999999999996"/>
    <s v="6- days"/>
    <n v="6"/>
    <x v="5"/>
  </r>
  <r>
    <s v="CA-2017-120376"/>
    <d v="2017-12-22T00:00:00"/>
    <d v="2017-12-25T00:00:00"/>
    <x v="2"/>
    <s v="TP-21130"/>
    <s v="Theone Pippenger"/>
    <x v="0"/>
    <s v="United States"/>
    <s v="Detroit"/>
    <s v="Michigan"/>
    <x v="3"/>
    <s v="FUR-CH-10002335"/>
    <s v="Furniture"/>
    <x v="1"/>
    <x v="133"/>
    <n v="1586.69"/>
    <n v="7"/>
    <n v="412.5394"/>
    <s v="3- days"/>
    <n v="3"/>
    <x v="5"/>
  </r>
  <r>
    <s v="CA-2017-120376"/>
    <d v="2017-12-22T00:00:00"/>
    <d v="2017-12-25T00:00:00"/>
    <x v="2"/>
    <s v="TP-21130"/>
    <s v="Theone Pippenger"/>
    <x v="0"/>
    <s v="United States"/>
    <s v="Detroit"/>
    <s v="Michigan"/>
    <x v="3"/>
    <s v="FUR-TA-10004534"/>
    <s v="Furniture"/>
    <x v="2"/>
    <x v="28"/>
    <n v="411.8"/>
    <n v="2"/>
    <n v="70.006"/>
    <s v="3- days"/>
    <n v="3"/>
    <x v="5"/>
  </r>
  <r>
    <s v="CA-2014-106439"/>
    <d v="2014-10-31T00:00:00"/>
    <d v="2014-11-04T00:00:00"/>
    <x v="1"/>
    <s v="GG-14650"/>
    <s v="Greg Guthrie"/>
    <x v="1"/>
    <s v="United States"/>
    <s v="Los Angeles"/>
    <s v="California"/>
    <x v="1"/>
    <s v="FUR-CH-10003833"/>
    <s v="Furniture"/>
    <x v="1"/>
    <x v="237"/>
    <n v="146.352"/>
    <n v="3"/>
    <n v="-9.1470000000000002"/>
    <s v="4- days"/>
    <n v="4"/>
    <x v="1"/>
  </r>
  <r>
    <s v="CA-2015-133452"/>
    <d v="2015-04-13T00:00:00"/>
    <d v="2015-04-19T00:00:00"/>
    <x v="1"/>
    <s v="ZC-21910"/>
    <s v="Zuschuss Carroll"/>
    <x v="0"/>
    <s v="United States"/>
    <s v="Pomona"/>
    <s v="California"/>
    <x v="1"/>
    <s v="FUR-TA-10003954"/>
    <s v="Furniture"/>
    <x v="2"/>
    <x v="239"/>
    <n v="710.83199999999999"/>
    <n v="3"/>
    <n v="-97.739400000000003"/>
    <s v="6- days"/>
    <n v="6"/>
    <x v="6"/>
  </r>
  <r>
    <s v="US-2017-110996"/>
    <d v="2017-11-20T00:00:00"/>
    <d v="2017-11-25T00:00:00"/>
    <x v="1"/>
    <s v="KA-16525"/>
    <s v="Kelly Andreada"/>
    <x v="0"/>
    <s v="United States"/>
    <s v="Ontario"/>
    <s v="California"/>
    <x v="1"/>
    <s v="FUR-CH-10003956"/>
    <s v="Furniture"/>
    <x v="1"/>
    <x v="76"/>
    <n v="283.92"/>
    <n v="5"/>
    <n v="-46.137"/>
    <s v="5- days"/>
    <n v="5"/>
    <x v="0"/>
  </r>
  <r>
    <s v="CA-2014-131051"/>
    <d v="2014-12-01T00:00:00"/>
    <d v="2014-12-05T00:00:00"/>
    <x v="1"/>
    <s v="TR-21325"/>
    <s v="Toby Ritter"/>
    <x v="0"/>
    <s v="United States"/>
    <s v="San Francisco"/>
    <s v="California"/>
    <x v="1"/>
    <s v="FUR-FU-10001861"/>
    <s v="Furniture"/>
    <x v="3"/>
    <x v="57"/>
    <n v="58.2"/>
    <n v="3"/>
    <n v="28.518000000000001"/>
    <s v="4- days"/>
    <n v="4"/>
    <x v="5"/>
  </r>
  <r>
    <s v="CA-2015-120103"/>
    <d v="2015-12-24T00:00:00"/>
    <d v="2015-12-29T00:00:00"/>
    <x v="1"/>
    <s v="MS-17365"/>
    <s v="Maribeth Schnelling"/>
    <x v="0"/>
    <s v="United States"/>
    <s v="Phoenix"/>
    <s v="Arizona"/>
    <x v="1"/>
    <s v="FUR-FU-10002885"/>
    <s v="Furniture"/>
    <x v="3"/>
    <x v="152"/>
    <n v="7.7119999999999997"/>
    <n v="2"/>
    <n v="1.7352000000000001"/>
    <s v="5- days"/>
    <n v="5"/>
    <x v="5"/>
  </r>
  <r>
    <s v="CA-2017-166142"/>
    <d v="2017-07-15T00:00:00"/>
    <d v="2017-07-19T00:00:00"/>
    <x v="1"/>
    <s v="MM-17260"/>
    <s v="Magdelene Morse"/>
    <x v="0"/>
    <s v="United States"/>
    <s v="Wilmington"/>
    <s v="Delaware"/>
    <x v="2"/>
    <s v="FUR-TA-10004607"/>
    <s v="Furniture"/>
    <x v="2"/>
    <x v="212"/>
    <n v="310.44299999999998"/>
    <n v="3"/>
    <n v="-48.783900000000003"/>
    <s v="4- days"/>
    <n v="4"/>
    <x v="3"/>
  </r>
  <r>
    <s v="CA-2014-145926"/>
    <d v="2014-11-17T00:00:00"/>
    <d v="2014-11-21T00:00:00"/>
    <x v="1"/>
    <s v="MP-17470"/>
    <s v="Mark Packer"/>
    <x v="2"/>
    <s v="United States"/>
    <s v="Moorhead"/>
    <s v="Minnesota"/>
    <x v="3"/>
    <s v="FUR-CH-10004289"/>
    <s v="Furniture"/>
    <x v="1"/>
    <x v="196"/>
    <n v="479.9"/>
    <n v="5"/>
    <n v="81.582999999999998"/>
    <s v="4- days"/>
    <n v="4"/>
    <x v="0"/>
  </r>
  <r>
    <s v="CA-2014-123295"/>
    <d v="2014-07-18T00:00:00"/>
    <d v="2014-07-18T00:00:00"/>
    <x v="3"/>
    <s v="AH-10120"/>
    <s v="Adrian Hane"/>
    <x v="2"/>
    <s v="United States"/>
    <s v="Tucson"/>
    <s v="Arizona"/>
    <x v="1"/>
    <s v="FUR-CH-10002372"/>
    <s v="Furniture"/>
    <x v="1"/>
    <x v="83"/>
    <n v="259.13600000000002"/>
    <n v="4"/>
    <n v="-25.913599999999999"/>
    <s v="0- days"/>
    <n v="0"/>
    <x v="3"/>
  </r>
  <r>
    <s v="CA-2015-164882"/>
    <d v="2015-10-31T00:00:00"/>
    <d v="2015-10-31T00:00:00"/>
    <x v="3"/>
    <s v="SG-20080"/>
    <s v="Sandra Glassco"/>
    <x v="0"/>
    <s v="United States"/>
    <s v="Redlands"/>
    <s v="California"/>
    <x v="1"/>
    <s v="FUR-CH-10004218"/>
    <s v="Furniture"/>
    <x v="1"/>
    <x v="10"/>
    <n v="323.13600000000002"/>
    <n v="4"/>
    <n v="20.196000000000002"/>
    <s v="0- days"/>
    <n v="0"/>
    <x v="1"/>
  </r>
  <r>
    <s v="CA-2015-164882"/>
    <d v="2015-10-31T00:00:00"/>
    <d v="2015-10-31T00:00:00"/>
    <x v="3"/>
    <s v="SG-20080"/>
    <s v="Sandra Glassco"/>
    <x v="0"/>
    <s v="United States"/>
    <s v="Redlands"/>
    <s v="California"/>
    <x v="1"/>
    <s v="FUR-BO-10002213"/>
    <s v="Furniture"/>
    <x v="0"/>
    <x v="240"/>
    <n v="425.83300000000003"/>
    <n v="1"/>
    <n v="20.039200000000001"/>
    <s v="0- days"/>
    <n v="0"/>
    <x v="1"/>
  </r>
  <r>
    <s v="CA-2015-159786"/>
    <d v="2015-10-12T00:00:00"/>
    <d v="2015-10-17T00:00:00"/>
    <x v="0"/>
    <s v="RK-19300"/>
    <s v="Ralph Kennedy"/>
    <x v="0"/>
    <s v="United States"/>
    <s v="Rochester"/>
    <s v="New York"/>
    <x v="2"/>
    <s v="FUR-TA-10001307"/>
    <s v="Furniture"/>
    <x v="2"/>
    <x v="211"/>
    <n v="209.67"/>
    <n v="1"/>
    <n v="-13.978"/>
    <s v="5- days"/>
    <n v="5"/>
    <x v="1"/>
  </r>
  <r>
    <s v="CA-2017-158246"/>
    <d v="2017-11-09T00:00:00"/>
    <d v="2017-11-11T00:00:00"/>
    <x v="2"/>
    <s v="JB-15400"/>
    <s v="Jennifer Braxton"/>
    <x v="1"/>
    <s v="United States"/>
    <s v="Sunnyvale"/>
    <s v="California"/>
    <x v="1"/>
    <s v="FUR-CH-10003061"/>
    <s v="Furniture"/>
    <x v="1"/>
    <x v="12"/>
    <n v="215.976"/>
    <n v="3"/>
    <n v="-2.6997"/>
    <s v="2- days"/>
    <n v="2"/>
    <x v="0"/>
  </r>
  <r>
    <s v="CA-2017-167381"/>
    <d v="2017-09-22T00:00:00"/>
    <d v="2017-09-24T00:00:00"/>
    <x v="0"/>
    <s v="EH-14005"/>
    <s v="Erica Hernandez"/>
    <x v="2"/>
    <s v="United States"/>
    <s v="Lansing"/>
    <s v="Michigan"/>
    <x v="3"/>
    <s v="FUR-BO-10001972"/>
    <s v="Furniture"/>
    <x v="0"/>
    <x v="75"/>
    <n v="241.96"/>
    <n v="2"/>
    <n v="41.133200000000002"/>
    <s v="2- days"/>
    <n v="2"/>
    <x v="4"/>
  </r>
  <r>
    <s v="CA-2015-134859"/>
    <d v="2015-10-04T00:00:00"/>
    <d v="2015-10-09T00:00:00"/>
    <x v="1"/>
    <s v="JK-16120"/>
    <s v="Julie Kriz"/>
    <x v="2"/>
    <s v="United States"/>
    <s v="Philadelphia"/>
    <s v="Pennsylvania"/>
    <x v="2"/>
    <s v="FUR-FU-10003623"/>
    <s v="Furniture"/>
    <x v="3"/>
    <x v="241"/>
    <n v="64.944000000000003"/>
    <n v="3"/>
    <n v="6.4943999999999997"/>
    <s v="5- days"/>
    <n v="5"/>
    <x v="1"/>
  </r>
  <r>
    <s v="US-2014-114188"/>
    <d v="2014-05-20T00:00:00"/>
    <d v="2014-05-22T00:00:00"/>
    <x v="0"/>
    <s v="RF-19345"/>
    <s v="Randy Ferguson"/>
    <x v="1"/>
    <s v="United States"/>
    <s v="Dover"/>
    <s v="New Hampshire"/>
    <x v="2"/>
    <s v="FUR-FU-10000076"/>
    <s v="Furniture"/>
    <x v="3"/>
    <x v="175"/>
    <n v="139.86000000000001"/>
    <n v="7"/>
    <n v="60.139800000000001"/>
    <s v="2- days"/>
    <n v="2"/>
    <x v="7"/>
  </r>
  <r>
    <s v="CA-2015-156377"/>
    <d v="2015-12-31T00:00:00"/>
    <d v="2016-01-05T00:00:00"/>
    <x v="1"/>
    <s v="TB-21625"/>
    <s v="Trudy Brown"/>
    <x v="0"/>
    <s v="United States"/>
    <s v="Grand Prairie"/>
    <s v="Texas"/>
    <x v="3"/>
    <s v="FUR-FU-10002364"/>
    <s v="Furniture"/>
    <x v="3"/>
    <x v="242"/>
    <n v="14.76"/>
    <n v="5"/>
    <n v="-11.439"/>
    <s v="5- days"/>
    <n v="5"/>
    <x v="5"/>
  </r>
  <r>
    <s v="CA-2014-159520"/>
    <d v="2014-06-06T00:00:00"/>
    <d v="2014-06-11T00:00:00"/>
    <x v="1"/>
    <s v="GT-14635"/>
    <s v="Grant Thornton"/>
    <x v="1"/>
    <s v="United States"/>
    <s v="Long Beach"/>
    <s v="New York"/>
    <x v="2"/>
    <s v="FUR-TA-10003238"/>
    <s v="Furniture"/>
    <x v="2"/>
    <x v="243"/>
    <n v="991.76400000000001"/>
    <n v="3"/>
    <n v="-347.11739999999998"/>
    <s v="5- days"/>
    <n v="5"/>
    <x v="2"/>
  </r>
  <r>
    <s v="US-2016-152051"/>
    <d v="2016-06-25T00:00:00"/>
    <d v="2016-06-29T00:00:00"/>
    <x v="1"/>
    <s v="TS-21160"/>
    <s v="Theresa Swint"/>
    <x v="1"/>
    <s v="United States"/>
    <s v="York"/>
    <s v="Pennsylvania"/>
    <x v="2"/>
    <s v="FUR-CH-10002965"/>
    <s v="Furniture"/>
    <x v="1"/>
    <x v="50"/>
    <n v="422.05799999999999"/>
    <n v="3"/>
    <n v="-18.088200000000001"/>
    <s v="4- days"/>
    <n v="4"/>
    <x v="2"/>
  </r>
  <r>
    <s v="CA-2014-141607"/>
    <d v="2014-12-12T00:00:00"/>
    <d v="2014-12-17T00:00:00"/>
    <x v="1"/>
    <s v="WB-21850"/>
    <s v="William Brown"/>
    <x v="0"/>
    <s v="United States"/>
    <s v="Concord"/>
    <s v="California"/>
    <x v="1"/>
    <s v="FUR-FU-10003975"/>
    <s v="Furniture"/>
    <x v="3"/>
    <x v="156"/>
    <n v="43.31"/>
    <n v="1"/>
    <n v="4.3310000000000004"/>
    <s v="5- days"/>
    <n v="5"/>
    <x v="5"/>
  </r>
  <r>
    <s v="US-2017-139969"/>
    <d v="2017-11-19T00:00:00"/>
    <d v="2017-11-26T00:00:00"/>
    <x v="1"/>
    <s v="AF-10870"/>
    <s v="Art Ferguson"/>
    <x v="0"/>
    <s v="United States"/>
    <s v="College Station"/>
    <s v="Texas"/>
    <x v="3"/>
    <s v="FUR-CH-10001973"/>
    <s v="Furniture"/>
    <x v="1"/>
    <x v="183"/>
    <n v="233.05799999999999"/>
    <n v="3"/>
    <n v="-53.270400000000002"/>
    <s v="7- days"/>
    <n v="7"/>
    <x v="0"/>
  </r>
  <r>
    <s v="US-2016-120460"/>
    <d v="2016-04-30T00:00:00"/>
    <d v="2016-05-05T00:00:00"/>
    <x v="1"/>
    <s v="BF-11170"/>
    <s v="Ben Ferrer"/>
    <x v="2"/>
    <s v="United States"/>
    <s v="Dallas"/>
    <s v="Texas"/>
    <x v="3"/>
    <s v="FUR-FU-10004973"/>
    <s v="Furniture"/>
    <x v="3"/>
    <x v="223"/>
    <n v="22.608000000000001"/>
    <n v="3"/>
    <n v="-10.1736"/>
    <s v="5- days"/>
    <n v="5"/>
    <x v="6"/>
  </r>
  <r>
    <s v="CA-2016-141019"/>
    <d v="2016-05-14T00:00:00"/>
    <d v="2016-05-14T00:00:00"/>
    <x v="3"/>
    <s v="LH-17155"/>
    <s v="Logan Haushalter"/>
    <x v="0"/>
    <s v="United States"/>
    <s v="Cincinnati"/>
    <s v="Ohio"/>
    <x v="2"/>
    <s v="FUR-FU-10002937"/>
    <s v="Furniture"/>
    <x v="3"/>
    <x v="205"/>
    <n v="79.384"/>
    <n v="1"/>
    <n v="29.768999999999998"/>
    <s v="0- days"/>
    <n v="0"/>
    <x v="7"/>
  </r>
  <r>
    <s v="CA-2016-154018"/>
    <d v="2016-10-13T00:00:00"/>
    <d v="2016-10-19T00:00:00"/>
    <x v="1"/>
    <s v="HA-14920"/>
    <s v="Helen Andreada"/>
    <x v="0"/>
    <s v="United States"/>
    <s v="Laredo"/>
    <s v="Texas"/>
    <x v="3"/>
    <s v="FUR-FU-10003394"/>
    <s v="Furniture"/>
    <x v="3"/>
    <x v="120"/>
    <n v="139.91999999999999"/>
    <n v="5"/>
    <n v="-150.41399999999999"/>
    <s v="6- days"/>
    <n v="6"/>
    <x v="1"/>
  </r>
  <r>
    <s v="US-2017-137491"/>
    <d v="2017-11-19T00:00:00"/>
    <d v="2017-11-25T00:00:00"/>
    <x v="1"/>
    <s v="LC-16930"/>
    <s v="Linda Cazamias"/>
    <x v="1"/>
    <s v="United States"/>
    <s v="San Angelo"/>
    <s v="Texas"/>
    <x v="3"/>
    <s v="FUR-CH-10004675"/>
    <s v="Furniture"/>
    <x v="1"/>
    <x v="135"/>
    <n v="305.31200000000001"/>
    <n v="2"/>
    <n v="-8.7232000000000003"/>
    <s v="6- days"/>
    <n v="6"/>
    <x v="0"/>
  </r>
  <r>
    <s v="CA-2016-128818"/>
    <d v="2016-05-07T00:00:00"/>
    <d v="2016-05-11T00:00:00"/>
    <x v="1"/>
    <s v="CJ-12010"/>
    <s v="Caroline Jumper"/>
    <x v="0"/>
    <s v="United States"/>
    <s v="New York City"/>
    <s v="New York"/>
    <x v="2"/>
    <s v="FUR-CH-10002084"/>
    <s v="Furniture"/>
    <x v="1"/>
    <x v="244"/>
    <n v="442.76400000000001"/>
    <n v="4"/>
    <n v="59.035200000000003"/>
    <s v="4- days"/>
    <n v="4"/>
    <x v="7"/>
  </r>
  <r>
    <s v="CA-2016-128818"/>
    <d v="2016-05-07T00:00:00"/>
    <d v="2016-05-11T00:00:00"/>
    <x v="1"/>
    <s v="CJ-12010"/>
    <s v="Caroline Jumper"/>
    <x v="0"/>
    <s v="United States"/>
    <s v="New York City"/>
    <s v="New York"/>
    <x v="2"/>
    <s v="FUR-FU-10001940"/>
    <s v="Furniture"/>
    <x v="3"/>
    <x v="47"/>
    <n v="63.68"/>
    <n v="8"/>
    <n v="28.019200000000001"/>
    <s v="4- days"/>
    <n v="4"/>
    <x v="7"/>
  </r>
  <r>
    <s v="CA-2017-143063"/>
    <d v="2017-08-10T00:00:00"/>
    <d v="2017-08-15T00:00:00"/>
    <x v="1"/>
    <s v="IL-15100"/>
    <s v="Ivan Liston"/>
    <x v="0"/>
    <s v="United States"/>
    <s v="Columbus"/>
    <s v="Indiana"/>
    <x v="3"/>
    <s v="FUR-FU-10003708"/>
    <s v="Furniture"/>
    <x v="3"/>
    <x v="17"/>
    <n v="121.3"/>
    <n v="2"/>
    <n v="25.472999999999999"/>
    <s v="5- days"/>
    <n v="5"/>
    <x v="10"/>
  </r>
  <r>
    <s v="US-2014-165659"/>
    <d v="2014-06-01T00:00:00"/>
    <d v="2014-06-06T00:00:00"/>
    <x v="1"/>
    <s v="LT-17110"/>
    <s v="Liz Thompson"/>
    <x v="0"/>
    <s v="United States"/>
    <s v="Little Rock"/>
    <s v="Arkansas"/>
    <x v="0"/>
    <s v="FUR-FU-10001935"/>
    <s v="Furniture"/>
    <x v="3"/>
    <x v="73"/>
    <n v="22.2"/>
    <n v="6"/>
    <n v="9.1020000000000003"/>
    <s v="5- days"/>
    <n v="5"/>
    <x v="2"/>
  </r>
  <r>
    <s v="CA-2015-138002"/>
    <d v="2015-09-06T00:00:00"/>
    <d v="2015-09-12T00:00:00"/>
    <x v="1"/>
    <s v="BT-11305"/>
    <s v="Beth Thompson"/>
    <x v="2"/>
    <s v="United States"/>
    <s v="Seattle"/>
    <s v="Washington"/>
    <x v="1"/>
    <s v="FUR-FU-10004748"/>
    <s v="Furniture"/>
    <x v="3"/>
    <x v="245"/>
    <n v="191.82"/>
    <n v="3"/>
    <n v="74.809799999999996"/>
    <s v="6- days"/>
    <n v="6"/>
    <x v="4"/>
  </r>
  <r>
    <s v="CA-2015-128860"/>
    <d v="2015-06-29T00:00:00"/>
    <d v="2015-07-05T00:00:00"/>
    <x v="1"/>
    <s v="SC-20725"/>
    <s v="Steven Cartwright"/>
    <x v="0"/>
    <s v="United States"/>
    <s v="Lancaster"/>
    <s v="Pennsylvania"/>
    <x v="2"/>
    <s v="FUR-FU-10001473"/>
    <s v="Furniture"/>
    <x v="3"/>
    <x v="246"/>
    <n v="20.103999999999999"/>
    <n v="1"/>
    <n v="1.7591000000000001"/>
    <s v="6- days"/>
    <n v="6"/>
    <x v="2"/>
  </r>
  <r>
    <s v="CA-2017-107874"/>
    <d v="2017-11-21T00:00:00"/>
    <d v="2017-11-25T00:00:00"/>
    <x v="1"/>
    <s v="SW-20275"/>
    <s v="Scott Williamson"/>
    <x v="0"/>
    <s v="United States"/>
    <s v="New York City"/>
    <s v="New York"/>
    <x v="2"/>
    <s v="FUR-FU-10003535"/>
    <s v="Furniture"/>
    <x v="3"/>
    <x v="182"/>
    <n v="27.42"/>
    <n v="1"/>
    <n v="11.2422"/>
    <s v="4- days"/>
    <n v="4"/>
    <x v="0"/>
  </r>
  <r>
    <s v="CA-2017-129378"/>
    <d v="2017-10-01T00:00:00"/>
    <d v="2017-10-02T00:00:00"/>
    <x v="2"/>
    <s v="NS-18505"/>
    <s v="Neola Schneider"/>
    <x v="0"/>
    <s v="United States"/>
    <s v="San Jose"/>
    <s v="California"/>
    <x v="1"/>
    <s v="FUR-CH-10000553"/>
    <s v="Furniture"/>
    <x v="1"/>
    <x v="247"/>
    <n v="108.608"/>
    <n v="4"/>
    <n v="9.5031999999999996"/>
    <s v="1- days"/>
    <n v="1"/>
    <x v="1"/>
  </r>
  <r>
    <s v="CA-2015-131884"/>
    <d v="2015-12-06T00:00:00"/>
    <d v="2015-12-06T00:00:00"/>
    <x v="3"/>
    <s v="DK-13375"/>
    <s v="Dennis Kane"/>
    <x v="0"/>
    <s v="United States"/>
    <s v="Marion"/>
    <s v="Ohio"/>
    <x v="2"/>
    <s v="FUR-CH-10004860"/>
    <s v="Furniture"/>
    <x v="1"/>
    <x v="41"/>
    <n v="70.686000000000007"/>
    <n v="1"/>
    <n v="-24.235199999999999"/>
    <s v="0- days"/>
    <n v="0"/>
    <x v="5"/>
  </r>
  <r>
    <s v="CA-2016-106383"/>
    <d v="2016-03-19T00:00:00"/>
    <d v="2016-03-21T00:00:00"/>
    <x v="0"/>
    <s v="BT-11440"/>
    <s v="Bobby Trafton"/>
    <x v="0"/>
    <s v="United States"/>
    <s v="Littleton"/>
    <s v="Colorado"/>
    <x v="1"/>
    <s v="FUR-BO-10002202"/>
    <s v="Furniture"/>
    <x v="0"/>
    <x v="248"/>
    <n v="72.293999999999997"/>
    <n v="1"/>
    <n v="-98.8018"/>
    <s v="2- days"/>
    <n v="2"/>
    <x v="9"/>
  </r>
  <r>
    <s v="CA-2016-139157"/>
    <d v="2016-10-01T00:00:00"/>
    <d v="2016-10-05T00:00:00"/>
    <x v="1"/>
    <s v="GM-14680"/>
    <s v="Greg Matthias"/>
    <x v="0"/>
    <s v="United States"/>
    <s v="New York City"/>
    <s v="New York"/>
    <x v="2"/>
    <s v="FUR-TA-10003238"/>
    <s v="Furniture"/>
    <x v="2"/>
    <x v="243"/>
    <n v="330.58800000000002"/>
    <n v="1"/>
    <n v="-115.7058"/>
    <s v="4- days"/>
    <n v="4"/>
    <x v="1"/>
  </r>
  <r>
    <s v="CA-2017-157091"/>
    <d v="2017-06-26T00:00:00"/>
    <d v="2017-07-01T00:00:00"/>
    <x v="1"/>
    <s v="DB-13405"/>
    <s v="Denny Blanton"/>
    <x v="0"/>
    <s v="United States"/>
    <s v="La Porte"/>
    <s v="Indiana"/>
    <x v="3"/>
    <s v="FUR-FU-10000293"/>
    <s v="Furniture"/>
    <x v="3"/>
    <x v="159"/>
    <n v="526.45000000000005"/>
    <n v="5"/>
    <n v="31.587"/>
    <s v="5- days"/>
    <n v="5"/>
    <x v="2"/>
  </r>
  <r>
    <s v="CA-2017-166849"/>
    <d v="2017-04-20T00:00:00"/>
    <d v="2017-04-26T00:00:00"/>
    <x v="1"/>
    <s v="SJ-20125"/>
    <s v="Sanjit Jacobs"/>
    <x v="2"/>
    <s v="United States"/>
    <s v="Chicago"/>
    <s v="Illinois"/>
    <x v="3"/>
    <s v="FUR-FU-10004597"/>
    <s v="Furniture"/>
    <x v="3"/>
    <x v="249"/>
    <n v="44.4"/>
    <n v="2"/>
    <n v="-52.17"/>
    <s v="6- days"/>
    <n v="6"/>
    <x v="6"/>
  </r>
  <r>
    <s v="CA-2016-164091"/>
    <d v="2016-09-17T00:00:00"/>
    <d v="2016-09-22T00:00:00"/>
    <x v="1"/>
    <s v="LA-16780"/>
    <s v="Laura Armstrong"/>
    <x v="1"/>
    <s v="United States"/>
    <s v="Bangor"/>
    <s v="Maine"/>
    <x v="2"/>
    <s v="FUR-FU-10004952"/>
    <s v="Furniture"/>
    <x v="3"/>
    <x v="169"/>
    <n v="109.48"/>
    <n v="2"/>
    <n v="33.938800000000001"/>
    <s v="5- days"/>
    <n v="5"/>
    <x v="4"/>
  </r>
  <r>
    <s v="CA-2017-105214"/>
    <d v="2017-06-16T00:00:00"/>
    <d v="2017-06-19T00:00:00"/>
    <x v="2"/>
    <s v="TS-21610"/>
    <s v="Troy Staebel"/>
    <x v="0"/>
    <s v="United States"/>
    <s v="San Francisco"/>
    <s v="California"/>
    <x v="1"/>
    <s v="FUR-CH-10000015"/>
    <s v="Furniture"/>
    <x v="1"/>
    <x v="79"/>
    <n v="1212.96"/>
    <n v="7"/>
    <n v="90.971999999999994"/>
    <s v="3- days"/>
    <n v="3"/>
    <x v="2"/>
  </r>
  <r>
    <s v="CA-2017-122994"/>
    <d v="2017-02-06T00:00:00"/>
    <d v="2017-02-09T00:00:00"/>
    <x v="2"/>
    <s v="MV-17485"/>
    <s v="Mark Van Huff"/>
    <x v="0"/>
    <s v="United States"/>
    <s v="Arlington"/>
    <s v="Virginia"/>
    <x v="0"/>
    <s v="FUR-BO-10004015"/>
    <s v="Furniture"/>
    <x v="0"/>
    <x v="118"/>
    <n v="359.97"/>
    <n v="3"/>
    <n v="79.193399999999997"/>
    <s v="3- days"/>
    <n v="3"/>
    <x v="11"/>
  </r>
  <r>
    <s v="CA-2015-142944"/>
    <d v="2015-03-06T00:00:00"/>
    <d v="2015-03-11T00:00:00"/>
    <x v="1"/>
    <s v="JL-15850"/>
    <s v="John Lucas"/>
    <x v="0"/>
    <s v="United States"/>
    <s v="San Francisco"/>
    <s v="California"/>
    <x v="1"/>
    <s v="FUR-FU-10000308"/>
    <s v="Furniture"/>
    <x v="3"/>
    <x v="250"/>
    <n v="435.26"/>
    <n v="7"/>
    <n v="95.757199999999997"/>
    <s v="5- days"/>
    <n v="5"/>
    <x v="9"/>
  </r>
  <r>
    <s v="CA-2014-157882"/>
    <d v="2014-10-03T00:00:00"/>
    <d v="2014-10-08T00:00:00"/>
    <x v="0"/>
    <s v="AR-10405"/>
    <s v="Allen Rosenblatt"/>
    <x v="1"/>
    <s v="United States"/>
    <s v="Los Angeles"/>
    <s v="California"/>
    <x v="1"/>
    <s v="FUR-TA-10001866"/>
    <s v="Furniture"/>
    <x v="2"/>
    <x v="251"/>
    <n v="143.43199999999999"/>
    <n v="1"/>
    <n v="3.5857999999999999"/>
    <s v="5- days"/>
    <n v="5"/>
    <x v="1"/>
  </r>
  <r>
    <s v="CA-2014-157882"/>
    <d v="2014-10-03T00:00:00"/>
    <d v="2014-10-08T00:00:00"/>
    <x v="0"/>
    <s v="AR-10405"/>
    <s v="Allen Rosenblatt"/>
    <x v="1"/>
    <s v="United States"/>
    <s v="Los Angeles"/>
    <s v="California"/>
    <x v="1"/>
    <s v="FUR-CH-10002774"/>
    <s v="Furniture"/>
    <x v="1"/>
    <x v="5"/>
    <n v="122.352"/>
    <n v="3"/>
    <n v="13.7646"/>
    <s v="5- days"/>
    <n v="5"/>
    <x v="1"/>
  </r>
  <r>
    <s v="CA-2014-104283"/>
    <d v="2014-06-27T00:00:00"/>
    <d v="2014-07-01T00:00:00"/>
    <x v="1"/>
    <s v="LM-17065"/>
    <s v="Liz MacKendrick"/>
    <x v="0"/>
    <s v="United States"/>
    <s v="Southaven"/>
    <s v="Mississippi"/>
    <x v="0"/>
    <s v="FUR-TA-10001039"/>
    <s v="Furniture"/>
    <x v="2"/>
    <x v="165"/>
    <n v="85.98"/>
    <n v="1"/>
    <n v="22.354800000000001"/>
    <s v="4- days"/>
    <n v="4"/>
    <x v="2"/>
  </r>
  <r>
    <s v="CA-2017-142622"/>
    <d v="2017-10-30T00:00:00"/>
    <d v="2017-11-02T00:00:00"/>
    <x v="2"/>
    <s v="JK-15625"/>
    <s v="Jim Karlsson"/>
    <x v="0"/>
    <s v="United States"/>
    <s v="Seattle"/>
    <s v="Washington"/>
    <x v="1"/>
    <s v="FUR-CH-10003833"/>
    <s v="Furniture"/>
    <x v="1"/>
    <x v="237"/>
    <n v="97.567999999999998"/>
    <n v="2"/>
    <n v="-6.0979999999999999"/>
    <s v="3- days"/>
    <n v="3"/>
    <x v="1"/>
  </r>
  <r>
    <s v="CA-2017-142622"/>
    <d v="2017-10-30T00:00:00"/>
    <d v="2017-11-02T00:00:00"/>
    <x v="2"/>
    <s v="JK-15625"/>
    <s v="Jim Karlsson"/>
    <x v="0"/>
    <s v="United States"/>
    <s v="Seattle"/>
    <s v="Washington"/>
    <x v="1"/>
    <s v="FUR-CH-10004289"/>
    <s v="Furniture"/>
    <x v="1"/>
    <x v="196"/>
    <n v="614.27200000000005"/>
    <n v="8"/>
    <n v="-23.0352"/>
    <s v="3- days"/>
    <n v="3"/>
    <x v="1"/>
  </r>
  <r>
    <s v="CA-2017-142622"/>
    <d v="2017-10-30T00:00:00"/>
    <d v="2017-11-02T00:00:00"/>
    <x v="2"/>
    <s v="JK-15625"/>
    <s v="Jim Karlsson"/>
    <x v="0"/>
    <s v="United States"/>
    <s v="Seattle"/>
    <s v="Washington"/>
    <x v="1"/>
    <s v="FUR-BO-10004467"/>
    <s v="Furniture"/>
    <x v="0"/>
    <x v="179"/>
    <n v="199.98"/>
    <n v="2"/>
    <n v="37.996200000000002"/>
    <s v="3- days"/>
    <n v="3"/>
    <x v="1"/>
  </r>
  <r>
    <s v="CA-2017-115154"/>
    <d v="2017-01-08T00:00:00"/>
    <d v="2017-01-11T00:00:00"/>
    <x v="2"/>
    <s v="RS-19420"/>
    <s v="Ricardo Sperren"/>
    <x v="1"/>
    <s v="United States"/>
    <s v="Seattle"/>
    <s v="Washington"/>
    <x v="1"/>
    <s v="FUR-TA-10001950"/>
    <s v="Furniture"/>
    <x v="2"/>
    <x v="252"/>
    <n v="892.98"/>
    <n v="2"/>
    <n v="80.368200000000002"/>
    <s v="3- days"/>
    <n v="3"/>
    <x v="8"/>
  </r>
  <r>
    <s v="CA-2015-149342"/>
    <d v="2015-04-20T00:00:00"/>
    <d v="2015-04-25T00:00:00"/>
    <x v="1"/>
    <s v="TS-21160"/>
    <s v="Theresa Swint"/>
    <x v="1"/>
    <s v="United States"/>
    <s v="Columbus"/>
    <s v="Georgia"/>
    <x v="0"/>
    <s v="FUR-FU-10002937"/>
    <s v="Furniture"/>
    <x v="3"/>
    <x v="205"/>
    <n v="595.38"/>
    <n v="6"/>
    <n v="297.69"/>
    <s v="5- days"/>
    <n v="5"/>
    <x v="6"/>
  </r>
  <r>
    <s v="CA-2017-127929"/>
    <d v="2017-12-23T00:00:00"/>
    <d v="2017-12-27T00:00:00"/>
    <x v="1"/>
    <s v="FM-14215"/>
    <s v="Filia McAdams"/>
    <x v="1"/>
    <s v="United States"/>
    <s v="Middletown"/>
    <s v="Connecticut"/>
    <x v="2"/>
    <s v="FUR-FU-10003708"/>
    <s v="Furniture"/>
    <x v="3"/>
    <x v="17"/>
    <n v="181.95"/>
    <n v="3"/>
    <n v="38.209499999999998"/>
    <s v="4- days"/>
    <n v="4"/>
    <x v="5"/>
  </r>
  <r>
    <s v="CA-2015-113145"/>
    <d v="2015-11-01T00:00:00"/>
    <d v="2015-11-05T00:00:00"/>
    <x v="1"/>
    <s v="VD-21670"/>
    <s v="Valerie Dominguez"/>
    <x v="0"/>
    <s v="United States"/>
    <s v="New York City"/>
    <s v="New York"/>
    <x v="2"/>
    <s v="FUR-FU-10000965"/>
    <s v="Furniture"/>
    <x v="3"/>
    <x v="143"/>
    <n v="259.7"/>
    <n v="5"/>
    <n v="106.477"/>
    <s v="4- days"/>
    <n v="4"/>
    <x v="0"/>
  </r>
  <r>
    <s v="CA-2017-157931"/>
    <d v="2017-09-17T00:00:00"/>
    <d v="2017-09-22T00:00:00"/>
    <x v="0"/>
    <s v="MO-17800"/>
    <s v="Meg O'Connel"/>
    <x v="2"/>
    <s v="United States"/>
    <s v="Roswell"/>
    <s v="Georgia"/>
    <x v="0"/>
    <s v="FUR-CH-10000785"/>
    <s v="Furniture"/>
    <x v="1"/>
    <x v="69"/>
    <n v="723.92"/>
    <n v="4"/>
    <n v="188.2192"/>
    <s v="5- days"/>
    <n v="5"/>
    <x v="4"/>
  </r>
  <r>
    <s v="CA-2016-115574"/>
    <d v="2016-12-23T00:00:00"/>
    <d v="2016-12-24T00:00:00"/>
    <x v="2"/>
    <s v="BP-11185"/>
    <s v="Ben Peterman"/>
    <x v="1"/>
    <s v="United States"/>
    <s v="Chicago"/>
    <s v="Illinois"/>
    <x v="3"/>
    <s v="FUR-BO-10003441"/>
    <s v="Furniture"/>
    <x v="0"/>
    <x v="145"/>
    <n v="141.37200000000001"/>
    <n v="2"/>
    <n v="-14.1372"/>
    <s v="1- days"/>
    <n v="1"/>
    <x v="5"/>
  </r>
  <r>
    <s v="US-2017-120418"/>
    <d v="2017-06-11T00:00:00"/>
    <d v="2017-06-12T00:00:00"/>
    <x v="2"/>
    <s v="BC-11125"/>
    <s v="Becky Castell"/>
    <x v="2"/>
    <s v="United States"/>
    <s v="Peoria"/>
    <s v="Arizona"/>
    <x v="1"/>
    <s v="FUR-CH-10001394"/>
    <s v="Furniture"/>
    <x v="1"/>
    <x v="139"/>
    <n v="280.79199999999997"/>
    <n v="1"/>
    <n v="35.098999999999997"/>
    <s v="1- days"/>
    <n v="1"/>
    <x v="2"/>
  </r>
  <r>
    <s v="CA-2017-122035"/>
    <d v="2017-07-20T00:00:00"/>
    <d v="2017-07-25T00:00:00"/>
    <x v="1"/>
    <s v="EM-13825"/>
    <s v="Elizabeth Moffitt"/>
    <x v="1"/>
    <s v="United States"/>
    <s v="Sioux Falls"/>
    <s v="South Dakota"/>
    <x v="3"/>
    <s v="FUR-CH-10003833"/>
    <s v="Furniture"/>
    <x v="1"/>
    <x v="237"/>
    <n v="182.94"/>
    <n v="3"/>
    <n v="27.440999999999999"/>
    <s v="5- days"/>
    <n v="5"/>
    <x v="3"/>
  </r>
  <r>
    <s v="CA-2015-105102"/>
    <d v="2015-09-15T00:00:00"/>
    <d v="2015-09-19T00:00:00"/>
    <x v="0"/>
    <s v="BM-11575"/>
    <s v="Brendan Murry"/>
    <x v="1"/>
    <s v="United States"/>
    <s v="New York City"/>
    <s v="New York"/>
    <x v="2"/>
    <s v="FUR-BO-10004709"/>
    <s v="Furniture"/>
    <x v="0"/>
    <x v="53"/>
    <n v="46.384"/>
    <n v="1"/>
    <n v="1.1596"/>
    <s v="4- days"/>
    <n v="4"/>
    <x v="4"/>
  </r>
  <r>
    <s v="US-2015-147739"/>
    <d v="2015-12-25T00:00:00"/>
    <d v="2015-12-29T00:00:00"/>
    <x v="1"/>
    <s v="JD-16150"/>
    <s v="Justin Deggeller"/>
    <x v="1"/>
    <s v="United States"/>
    <s v="Philadelphia"/>
    <s v="Pennsylvania"/>
    <x v="2"/>
    <s v="FUR-FU-10001468"/>
    <s v="Furniture"/>
    <x v="3"/>
    <x v="253"/>
    <n v="547.13599999999997"/>
    <n v="4"/>
    <n v="-68.391999999999996"/>
    <s v="4- days"/>
    <n v="4"/>
    <x v="5"/>
  </r>
  <r>
    <s v="US-2014-143231"/>
    <d v="2014-12-31T00:00:00"/>
    <d v="2015-01-03T00:00:00"/>
    <x v="2"/>
    <s v="GM-14455"/>
    <s v="Gary Mitchum"/>
    <x v="2"/>
    <s v="United States"/>
    <s v="Franklin"/>
    <s v="Massachusetts"/>
    <x v="2"/>
    <s v="FUR-FU-10002501"/>
    <s v="Furniture"/>
    <x v="3"/>
    <x v="254"/>
    <n v="63.2"/>
    <n v="5"/>
    <n v="23.384"/>
    <s v="3- days"/>
    <n v="3"/>
    <x v="5"/>
  </r>
  <r>
    <s v="CA-2016-159373"/>
    <d v="2016-03-13T00:00:00"/>
    <d v="2016-03-18T00:00:00"/>
    <x v="1"/>
    <s v="LT-17110"/>
    <s v="Liz Thompson"/>
    <x v="0"/>
    <s v="United States"/>
    <s v="San Antonio"/>
    <s v="Texas"/>
    <x v="3"/>
    <s v="FUR-TA-10004619"/>
    <s v="Furniture"/>
    <x v="2"/>
    <x v="178"/>
    <n v="557.58500000000004"/>
    <n v="5"/>
    <n v="0"/>
    <s v="5- days"/>
    <n v="5"/>
    <x v="9"/>
  </r>
  <r>
    <s v="CA-2015-111514"/>
    <d v="2015-08-31T00:00:00"/>
    <d v="2015-09-02T00:00:00"/>
    <x v="2"/>
    <s v="SC-20260"/>
    <s v="Scott Cohen"/>
    <x v="1"/>
    <s v="United States"/>
    <s v="San Francisco"/>
    <s v="California"/>
    <x v="1"/>
    <s v="FUR-BO-10002545"/>
    <s v="Furniture"/>
    <x v="0"/>
    <x v="9"/>
    <n v="1552.8309999999999"/>
    <n v="7"/>
    <n v="200.9546"/>
    <s v="2- days"/>
    <n v="2"/>
    <x v="10"/>
  </r>
  <r>
    <s v="US-2014-148838"/>
    <d v="2014-03-17T00:00:00"/>
    <d v="2014-03-21T00:00:00"/>
    <x v="1"/>
    <s v="CP-12340"/>
    <s v="Christine Phan"/>
    <x v="1"/>
    <s v="United States"/>
    <s v="New York City"/>
    <s v="New York"/>
    <x v="2"/>
    <s v="FUR-TA-10003473"/>
    <s v="Furniture"/>
    <x v="2"/>
    <x v="44"/>
    <n v="1579.7460000000001"/>
    <n v="7"/>
    <n v="-447.59469999999999"/>
    <s v="4- days"/>
    <n v="4"/>
    <x v="9"/>
  </r>
  <r>
    <s v="US-2014-148838"/>
    <d v="2014-03-17T00:00:00"/>
    <d v="2014-03-21T00:00:00"/>
    <x v="1"/>
    <s v="CP-12340"/>
    <s v="Christine Phan"/>
    <x v="1"/>
    <s v="United States"/>
    <s v="New York City"/>
    <s v="New York"/>
    <x v="2"/>
    <s v="FUR-TA-10001950"/>
    <s v="Furniture"/>
    <x v="2"/>
    <x v="252"/>
    <n v="1071.576"/>
    <n v="4"/>
    <n v="-553.64760000000001"/>
    <s v="4- days"/>
    <n v="4"/>
    <x v="9"/>
  </r>
  <r>
    <s v="US-2014-148838"/>
    <d v="2014-03-17T00:00:00"/>
    <d v="2014-03-21T00:00:00"/>
    <x v="1"/>
    <s v="CP-12340"/>
    <s v="Christine Phan"/>
    <x v="1"/>
    <s v="United States"/>
    <s v="New York City"/>
    <s v="New York"/>
    <x v="2"/>
    <s v="FUR-TA-10004175"/>
    <s v="Furniture"/>
    <x v="2"/>
    <x v="226"/>
    <n v="613.90800000000002"/>
    <n v="3"/>
    <n v="-122.7816"/>
    <s v="4- days"/>
    <n v="4"/>
    <x v="9"/>
  </r>
  <r>
    <s v="US-2016-108637"/>
    <d v="2016-03-13T00:00:00"/>
    <d v="2016-03-18T00:00:00"/>
    <x v="1"/>
    <s v="AB-10060"/>
    <s v="Adam Bellavance"/>
    <x v="2"/>
    <s v="United States"/>
    <s v="Waynesboro"/>
    <s v="Virginia"/>
    <x v="0"/>
    <s v="FUR-FU-10004864"/>
    <s v="Furniture"/>
    <x v="3"/>
    <x v="92"/>
    <n v="127.88"/>
    <n v="2"/>
    <n v="40.921599999999998"/>
    <s v="5- days"/>
    <n v="5"/>
    <x v="9"/>
  </r>
  <r>
    <s v="CA-2014-102295"/>
    <d v="2014-11-24T00:00:00"/>
    <d v="2014-11-26T00:00:00"/>
    <x v="0"/>
    <s v="EH-13990"/>
    <s v="Erica Hackney"/>
    <x v="0"/>
    <s v="United States"/>
    <s v="Sacramento"/>
    <s v="California"/>
    <x v="1"/>
    <s v="FUR-CH-10001714"/>
    <s v="Furniture"/>
    <x v="1"/>
    <x v="255"/>
    <n v="120.712"/>
    <n v="1"/>
    <n v="-18.1068"/>
    <s v="2- days"/>
    <n v="2"/>
    <x v="0"/>
  </r>
  <r>
    <s v="US-2016-129469"/>
    <d v="2016-09-23T00:00:00"/>
    <d v="2016-09-27T00:00:00"/>
    <x v="1"/>
    <s v="KL-16555"/>
    <s v="Kelly Lampkin"/>
    <x v="1"/>
    <s v="United States"/>
    <s v="Fairfield"/>
    <s v="Ohio"/>
    <x v="2"/>
    <s v="FUR-FU-10002298"/>
    <s v="Furniture"/>
    <x v="3"/>
    <x v="256"/>
    <n v="532.70399999999995"/>
    <n v="6"/>
    <n v="-26.635200000000001"/>
    <s v="4- days"/>
    <n v="4"/>
    <x v="4"/>
  </r>
  <r>
    <s v="CA-2016-159940"/>
    <d v="2016-07-07T00:00:00"/>
    <d v="2016-07-11T00:00:00"/>
    <x v="0"/>
    <s v="BF-11020"/>
    <s v="Barry Franzšsisch"/>
    <x v="1"/>
    <s v="United States"/>
    <s v="Aurora"/>
    <s v="Illinois"/>
    <x v="3"/>
    <s v="FUR-FU-10004973"/>
    <s v="Furniture"/>
    <x v="3"/>
    <x v="223"/>
    <n v="60.287999999999997"/>
    <n v="8"/>
    <n v="-27.1296"/>
    <s v="4- days"/>
    <n v="4"/>
    <x v="3"/>
  </r>
  <r>
    <s v="CA-2016-159940"/>
    <d v="2016-07-07T00:00:00"/>
    <d v="2016-07-11T00:00:00"/>
    <x v="0"/>
    <s v="BF-11020"/>
    <s v="Barry Franzšsisch"/>
    <x v="1"/>
    <s v="United States"/>
    <s v="Aurora"/>
    <s v="Illinois"/>
    <x v="3"/>
    <s v="FUR-CH-10000785"/>
    <s v="Furniture"/>
    <x v="1"/>
    <x v="69"/>
    <n v="253.37200000000001"/>
    <n v="2"/>
    <n v="-14.478400000000001"/>
    <s v="4- days"/>
    <n v="4"/>
    <x v="3"/>
  </r>
  <r>
    <s v="CA-2016-118052"/>
    <d v="2016-05-06T00:00:00"/>
    <d v="2016-05-10T00:00:00"/>
    <x v="1"/>
    <s v="BE-11455"/>
    <s v="Brad Eason"/>
    <x v="2"/>
    <s v="United States"/>
    <s v="Lorain"/>
    <s v="Ohio"/>
    <x v="2"/>
    <s v="FUR-FU-10004848"/>
    <s v="Furniture"/>
    <x v="3"/>
    <x v="257"/>
    <n v="54.712000000000003"/>
    <n v="7"/>
    <n v="11.626300000000001"/>
    <s v="4- days"/>
    <n v="4"/>
    <x v="7"/>
  </r>
  <r>
    <s v="US-2015-127040"/>
    <d v="2015-12-06T00:00:00"/>
    <d v="2015-12-10T00:00:00"/>
    <x v="1"/>
    <s v="SG-20605"/>
    <s v="Speros Goranitis"/>
    <x v="0"/>
    <s v="United States"/>
    <s v="New York City"/>
    <s v="New York"/>
    <x v="2"/>
    <s v="FUR-FU-10002878"/>
    <s v="Furniture"/>
    <x v="3"/>
    <x v="220"/>
    <n v="113.92"/>
    <n v="4"/>
    <n v="42.150399999999998"/>
    <s v="4- days"/>
    <n v="4"/>
    <x v="5"/>
  </r>
  <r>
    <s v="US-2016-110170"/>
    <d v="2016-09-27T00:00:00"/>
    <d v="2016-10-03T00:00:00"/>
    <x v="1"/>
    <s v="HM-14860"/>
    <s v="Harry Marie"/>
    <x v="1"/>
    <s v="United States"/>
    <s v="Huntsville"/>
    <s v="Texas"/>
    <x v="3"/>
    <s v="FUR-BO-10000780"/>
    <s v="Furniture"/>
    <x v="0"/>
    <x v="258"/>
    <n v="956.66480000000001"/>
    <n v="7"/>
    <n v="-225.0976"/>
    <s v="6- days"/>
    <n v="6"/>
    <x v="4"/>
  </r>
  <r>
    <s v="CA-2017-155985"/>
    <d v="2017-03-23T00:00:00"/>
    <d v="2017-03-25T00:00:00"/>
    <x v="2"/>
    <s v="BE-11335"/>
    <s v="Bill Eplett"/>
    <x v="2"/>
    <s v="United States"/>
    <s v="San Francisco"/>
    <s v="California"/>
    <x v="1"/>
    <s v="FUR-FU-10000758"/>
    <s v="Furniture"/>
    <x v="3"/>
    <x v="207"/>
    <n v="211.84"/>
    <n v="8"/>
    <n v="76.2624"/>
    <s v="2- days"/>
    <n v="2"/>
    <x v="9"/>
  </r>
  <r>
    <s v="CA-2014-151295"/>
    <d v="2014-11-12T00:00:00"/>
    <d v="2014-11-16T00:00:00"/>
    <x v="1"/>
    <s v="JA-15970"/>
    <s v="Joseph Airdo"/>
    <x v="0"/>
    <s v="United States"/>
    <s v="Los Angeles"/>
    <s v="California"/>
    <x v="1"/>
    <s v="FUR-TA-10002356"/>
    <s v="Furniture"/>
    <x v="2"/>
    <x v="147"/>
    <n v="629.06399999999996"/>
    <n v="3"/>
    <n v="31.453199999999999"/>
    <s v="4- days"/>
    <n v="4"/>
    <x v="0"/>
  </r>
  <r>
    <s v="CA-2016-156300"/>
    <d v="2016-12-29T00:00:00"/>
    <d v="2017-01-02T00:00:00"/>
    <x v="1"/>
    <s v="TB-21595"/>
    <s v="Troy Blackwell"/>
    <x v="0"/>
    <s v="United States"/>
    <s v="Milwaukee"/>
    <s v="Wisconsin"/>
    <x v="3"/>
    <s v="FUR-CH-10001714"/>
    <s v="Furniture"/>
    <x v="1"/>
    <x v="255"/>
    <n v="754.45"/>
    <n v="5"/>
    <n v="60.356000000000002"/>
    <s v="4- days"/>
    <n v="4"/>
    <x v="5"/>
  </r>
  <r>
    <s v="CA-2015-146087"/>
    <d v="2015-07-06T00:00:00"/>
    <d v="2015-07-11T00:00:00"/>
    <x v="1"/>
    <s v="PP-18955"/>
    <s v="Paul Prost"/>
    <x v="2"/>
    <s v="United States"/>
    <s v="Holyoke"/>
    <s v="Massachusetts"/>
    <x v="2"/>
    <s v="FUR-BO-10002824"/>
    <s v="Furniture"/>
    <x v="0"/>
    <x v="88"/>
    <n v="301.95999999999998"/>
    <n v="2"/>
    <n v="60.392000000000003"/>
    <s v="5- days"/>
    <n v="5"/>
    <x v="3"/>
  </r>
  <r>
    <s v="US-2017-147669"/>
    <d v="2017-12-25T00:00:00"/>
    <d v="2017-12-30T00:00:00"/>
    <x v="1"/>
    <s v="SV-20935"/>
    <s v="Susan Vittorini"/>
    <x v="0"/>
    <s v="United States"/>
    <s v="Fairfield"/>
    <s v="Ohio"/>
    <x v="2"/>
    <s v="FUR-TA-10002645"/>
    <s v="Furniture"/>
    <x v="2"/>
    <x v="259"/>
    <n v="273.06"/>
    <n v="2"/>
    <n v="-104.673"/>
    <s v="5- days"/>
    <n v="5"/>
    <x v="5"/>
  </r>
  <r>
    <s v="CA-2016-169922"/>
    <d v="2016-06-11T00:00:00"/>
    <d v="2016-06-17T00:00:00"/>
    <x v="1"/>
    <s v="MZ-17515"/>
    <s v="Mary Zewe"/>
    <x v="1"/>
    <s v="United States"/>
    <s v="Arlington"/>
    <s v="Texas"/>
    <x v="3"/>
    <s v="FUR-FU-10004415"/>
    <s v="Furniture"/>
    <x v="3"/>
    <x v="206"/>
    <n v="12.544"/>
    <n v="7"/>
    <n v="-9.0944000000000003"/>
    <s v="6- days"/>
    <n v="6"/>
    <x v="2"/>
  </r>
  <r>
    <s v="CA-2017-129805"/>
    <d v="2017-12-28T00:00:00"/>
    <d v="2018-01-02T00:00:00"/>
    <x v="1"/>
    <s v="HM-14860"/>
    <s v="Harry Marie"/>
    <x v="1"/>
    <s v="United States"/>
    <s v="Seattle"/>
    <s v="Washington"/>
    <x v="1"/>
    <s v="FUR-FU-10001935"/>
    <s v="Furniture"/>
    <x v="3"/>
    <x v="73"/>
    <n v="7.4"/>
    <n v="2"/>
    <n v="3.0339999999999998"/>
    <s v="5- days"/>
    <n v="5"/>
    <x v="5"/>
  </r>
  <r>
    <s v="CA-2014-148586"/>
    <d v="2014-03-25T00:00:00"/>
    <d v="2014-04-01T00:00:00"/>
    <x v="1"/>
    <s v="AZ-10750"/>
    <s v="Annie Zypern"/>
    <x v="0"/>
    <s v="United States"/>
    <s v="New York City"/>
    <s v="New York"/>
    <x v="2"/>
    <s v="FUR-CH-10002439"/>
    <s v="Furniture"/>
    <x v="1"/>
    <x v="260"/>
    <n v="366.786"/>
    <n v="7"/>
    <n v="65.206400000000002"/>
    <s v="7- days"/>
    <n v="7"/>
    <x v="9"/>
  </r>
  <r>
    <s v="CA-2017-140053"/>
    <d v="2017-07-03T00:00:00"/>
    <d v="2017-07-10T00:00:00"/>
    <x v="1"/>
    <s v="CA-12265"/>
    <s v="Christina Anderson"/>
    <x v="0"/>
    <s v="United States"/>
    <s v="Farmington"/>
    <s v="New Mexico"/>
    <x v="1"/>
    <s v="FUR-FU-10003708"/>
    <s v="Furniture"/>
    <x v="3"/>
    <x v="17"/>
    <n v="545.85"/>
    <n v="9"/>
    <n v="114.6285"/>
    <s v="7- days"/>
    <n v="7"/>
    <x v="3"/>
  </r>
  <r>
    <s v="CA-2014-164210"/>
    <d v="2014-11-18T00:00:00"/>
    <d v="2014-11-20T00:00:00"/>
    <x v="0"/>
    <s v="PW-19240"/>
    <s v="Pierre Wener"/>
    <x v="0"/>
    <s v="United States"/>
    <s v="Louisville"/>
    <s v="Colorado"/>
    <x v="1"/>
    <s v="FUR-TA-10000849"/>
    <s v="Furniture"/>
    <x v="2"/>
    <x v="261"/>
    <n v="145.97999999999999"/>
    <n v="2"/>
    <n v="-99.266400000000004"/>
    <s v="2- days"/>
    <n v="2"/>
    <x v="0"/>
  </r>
  <r>
    <s v="CA-2017-139948"/>
    <d v="2017-07-17T00:00:00"/>
    <d v="2017-07-22T00:00:00"/>
    <x v="1"/>
    <s v="SW-20455"/>
    <s v="Shaun Weien"/>
    <x v="0"/>
    <s v="United States"/>
    <s v="Tampa"/>
    <s v="Florida"/>
    <x v="0"/>
    <s v="FUR-FU-10002597"/>
    <s v="Furniture"/>
    <x v="3"/>
    <x v="132"/>
    <n v="7.9039999999999999"/>
    <n v="2"/>
    <n v="2.1736"/>
    <s v="5- days"/>
    <n v="5"/>
    <x v="3"/>
  </r>
  <r>
    <s v="CA-2016-146934"/>
    <d v="2016-05-22T00:00:00"/>
    <d v="2016-05-27T00:00:00"/>
    <x v="1"/>
    <s v="AF-10870"/>
    <s v="Art Ferguson"/>
    <x v="0"/>
    <s v="United States"/>
    <s v="Passaic"/>
    <s v="New Jersey"/>
    <x v="2"/>
    <s v="FUR-TA-10003748"/>
    <s v="Furniture"/>
    <x v="2"/>
    <x v="40"/>
    <n v="174.286"/>
    <n v="2"/>
    <n v="-19.918399999999998"/>
    <s v="5- days"/>
    <n v="5"/>
    <x v="7"/>
  </r>
  <r>
    <s v="CA-2016-119165"/>
    <d v="2016-10-31T00:00:00"/>
    <d v="2016-11-06T00:00:00"/>
    <x v="1"/>
    <s v="BD-11320"/>
    <s v="Bill Donatelli"/>
    <x v="0"/>
    <s v="United States"/>
    <s v="Philadelphia"/>
    <s v="Pennsylvania"/>
    <x v="2"/>
    <s v="FUR-CH-10000988"/>
    <s v="Furniture"/>
    <x v="1"/>
    <x v="221"/>
    <n v="492.83499999999998"/>
    <n v="5"/>
    <n v="-14.081"/>
    <s v="6- days"/>
    <n v="6"/>
    <x v="1"/>
  </r>
  <r>
    <s v="US-2016-135923"/>
    <d v="2016-01-22T00:00:00"/>
    <d v="2016-01-28T00:00:00"/>
    <x v="1"/>
    <s v="CM-11935"/>
    <s v="Carlos Meador"/>
    <x v="0"/>
    <s v="United States"/>
    <s v="Fayetteville"/>
    <s v="North Carolina"/>
    <x v="0"/>
    <s v="FUR-FU-10002107"/>
    <s v="Furniture"/>
    <x v="3"/>
    <x v="262"/>
    <n v="14.272"/>
    <n v="8"/>
    <n v="4.2816000000000001"/>
    <s v="6- days"/>
    <n v="6"/>
    <x v="8"/>
  </r>
  <r>
    <s v="US-2016-135923"/>
    <d v="2016-01-22T00:00:00"/>
    <d v="2016-01-28T00:00:00"/>
    <x v="1"/>
    <s v="CM-11935"/>
    <s v="Carlos Meador"/>
    <x v="0"/>
    <s v="United States"/>
    <s v="Fayetteville"/>
    <s v="North Carolina"/>
    <x v="0"/>
    <s v="FUR-BO-10002213"/>
    <s v="Furniture"/>
    <x v="0"/>
    <x v="263"/>
    <n v="451.13600000000002"/>
    <n v="4"/>
    <n v="-67.670400000000001"/>
    <s v="6- days"/>
    <n v="6"/>
    <x v="8"/>
  </r>
  <r>
    <s v="CA-2016-114972"/>
    <d v="2016-11-03T00:00:00"/>
    <d v="2016-11-06T00:00:00"/>
    <x v="2"/>
    <s v="PF-19225"/>
    <s v="Phillip Flathmann"/>
    <x v="0"/>
    <s v="United States"/>
    <s v="Los Angeles"/>
    <s v="California"/>
    <x v="1"/>
    <s v="FUR-CH-10001190"/>
    <s v="Furniture"/>
    <x v="1"/>
    <x v="264"/>
    <n v="217.584"/>
    <n v="2"/>
    <n v="-29.9178"/>
    <s v="3- days"/>
    <n v="3"/>
    <x v="0"/>
  </r>
  <r>
    <s v="CA-2017-102750"/>
    <d v="2017-09-04T00:00:00"/>
    <d v="2017-09-08T00:00:00"/>
    <x v="0"/>
    <s v="GM-14695"/>
    <s v="Greg Maxwell"/>
    <x v="1"/>
    <s v="United States"/>
    <s v="Los Angeles"/>
    <s v="California"/>
    <x v="1"/>
    <s v="FUR-TA-10000198"/>
    <s v="Furniture"/>
    <x v="2"/>
    <x v="124"/>
    <n v="1322.3520000000001"/>
    <n v="3"/>
    <n v="-99.176400000000001"/>
    <s v="4- days"/>
    <n v="4"/>
    <x v="4"/>
  </r>
  <r>
    <s v="CA-2017-126067"/>
    <d v="2017-08-28T00:00:00"/>
    <d v="2017-09-03T00:00:00"/>
    <x v="1"/>
    <s v="KN-16705"/>
    <s v="Kristina Nunn"/>
    <x v="2"/>
    <s v="United States"/>
    <s v="Seattle"/>
    <s v="Washington"/>
    <x v="1"/>
    <s v="FUR-TA-10000617"/>
    <s v="Furniture"/>
    <x v="2"/>
    <x v="72"/>
    <n v="1137.75"/>
    <n v="5"/>
    <n v="250.30500000000001"/>
    <s v="6- days"/>
    <n v="6"/>
    <x v="10"/>
  </r>
  <r>
    <s v="CA-2016-146206"/>
    <d v="2016-09-10T00:00:00"/>
    <d v="2016-09-14T00:00:00"/>
    <x v="0"/>
    <s v="KT-16480"/>
    <s v="Kean Thornton"/>
    <x v="0"/>
    <s v="United States"/>
    <s v="Houston"/>
    <s v="Texas"/>
    <x v="3"/>
    <s v="FUR-TA-10004086"/>
    <s v="Furniture"/>
    <x v="2"/>
    <x v="165"/>
    <n v="300.93"/>
    <n v="5"/>
    <n v="-34.392000000000003"/>
    <s v="4- days"/>
    <n v="4"/>
    <x v="4"/>
  </r>
  <r>
    <s v="CA-2014-136644"/>
    <d v="2014-06-16T00:00:00"/>
    <d v="2014-06-22T00:00:00"/>
    <x v="1"/>
    <s v="SC-20575"/>
    <s v="Sonia Cooley"/>
    <x v="0"/>
    <s v="United States"/>
    <s v="Mishawaka"/>
    <s v="Indiana"/>
    <x v="3"/>
    <s v="FUR-CH-10000225"/>
    <s v="Furniture"/>
    <x v="1"/>
    <x v="85"/>
    <n v="647.84"/>
    <n v="8"/>
    <n v="32.392000000000003"/>
    <s v="6- days"/>
    <n v="6"/>
    <x v="2"/>
  </r>
  <r>
    <s v="CA-2014-143917"/>
    <d v="2014-07-25T00:00:00"/>
    <d v="2014-07-27T00:00:00"/>
    <x v="0"/>
    <s v="KL-16645"/>
    <s v="Ken Lonsdale"/>
    <x v="0"/>
    <s v="United States"/>
    <s v="San Francisco"/>
    <s v="California"/>
    <x v="1"/>
    <s v="FUR-FU-10004351"/>
    <s v="Furniture"/>
    <x v="3"/>
    <x v="47"/>
    <n v="77.92"/>
    <n v="8"/>
    <n v="34.284799999999997"/>
    <s v="2- days"/>
    <n v="2"/>
    <x v="3"/>
  </r>
  <r>
    <s v="CA-2016-124506"/>
    <d v="2016-11-11T00:00:00"/>
    <d v="2016-11-17T00:00:00"/>
    <x v="1"/>
    <s v="BB-11545"/>
    <s v="Brenda Bowman"/>
    <x v="1"/>
    <s v="United States"/>
    <s v="Chicago"/>
    <s v="Illinois"/>
    <x v="3"/>
    <s v="FUR-CH-10004540"/>
    <s v="Furniture"/>
    <x v="1"/>
    <x v="173"/>
    <n v="47.991999999999997"/>
    <n v="2"/>
    <n v="-2.0568"/>
    <s v="6- days"/>
    <n v="6"/>
    <x v="0"/>
  </r>
  <r>
    <s v="CA-2017-123134"/>
    <d v="2017-05-02T00:00:00"/>
    <d v="2017-05-07T00:00:00"/>
    <x v="1"/>
    <s v="DW-13585"/>
    <s v="Dorothy Wardle"/>
    <x v="1"/>
    <s v="United States"/>
    <s v="Westfield"/>
    <s v="New Jersey"/>
    <x v="2"/>
    <s v="FUR-FU-10003975"/>
    <s v="Furniture"/>
    <x v="3"/>
    <x v="156"/>
    <n v="129.93"/>
    <n v="3"/>
    <n v="12.993"/>
    <s v="5- days"/>
    <n v="5"/>
    <x v="7"/>
  </r>
  <r>
    <s v="CA-2015-168746"/>
    <d v="2015-01-27T00:00:00"/>
    <d v="2015-01-29T00:00:00"/>
    <x v="0"/>
    <s v="SV-20365"/>
    <s v="Seth Vernon"/>
    <x v="0"/>
    <s v="United States"/>
    <s v="Cleveland"/>
    <s v="Ohio"/>
    <x v="2"/>
    <s v="FUR-CH-10000513"/>
    <s v="Furniture"/>
    <x v="1"/>
    <x v="16"/>
    <n v="181.98599999999999"/>
    <n v="2"/>
    <n v="-54.595799999999997"/>
    <s v="2- days"/>
    <n v="2"/>
    <x v="8"/>
  </r>
  <r>
    <s v="CA-2015-113404"/>
    <d v="2015-07-16T00:00:00"/>
    <d v="2015-07-16T00:00:00"/>
    <x v="3"/>
    <s v="EM-13810"/>
    <s v="Eleni McCrary"/>
    <x v="1"/>
    <s v="United States"/>
    <s v="San Francisco"/>
    <s v="California"/>
    <x v="1"/>
    <s v="FUR-CH-10003312"/>
    <s v="Furniture"/>
    <x v="1"/>
    <x v="66"/>
    <n v="1348.704"/>
    <n v="6"/>
    <n v="-219.1644"/>
    <s v="0- days"/>
    <n v="0"/>
    <x v="3"/>
  </r>
  <r>
    <s v="CA-2015-113404"/>
    <d v="2015-07-16T00:00:00"/>
    <d v="2015-07-16T00:00:00"/>
    <x v="3"/>
    <s v="EM-13810"/>
    <s v="Eleni McCrary"/>
    <x v="1"/>
    <s v="United States"/>
    <s v="San Francisco"/>
    <s v="California"/>
    <x v="1"/>
    <s v="FUR-CH-10004086"/>
    <s v="Furniture"/>
    <x v="1"/>
    <x v="61"/>
    <n v="700.15200000000004"/>
    <n v="3"/>
    <n v="78.767099999999999"/>
    <s v="0- days"/>
    <n v="0"/>
    <x v="3"/>
  </r>
  <r>
    <s v="CA-2016-144792"/>
    <d v="2016-04-30T00:00:00"/>
    <d v="2016-05-04T00:00:00"/>
    <x v="1"/>
    <s v="KD-16615"/>
    <s v="Ken Dana"/>
    <x v="1"/>
    <s v="United States"/>
    <s v="Scottsdale"/>
    <s v="Arizona"/>
    <x v="1"/>
    <s v="FUR-FU-10002759"/>
    <s v="Furniture"/>
    <x v="3"/>
    <x v="115"/>
    <n v="111.88800000000001"/>
    <n v="7"/>
    <n v="22.377600000000001"/>
    <s v="4- days"/>
    <n v="4"/>
    <x v="6"/>
  </r>
  <r>
    <s v="US-2016-114174"/>
    <d v="2016-09-08T00:00:00"/>
    <d v="2016-09-14T00:00:00"/>
    <x v="1"/>
    <s v="AP-10720"/>
    <s v="Anne Pryor"/>
    <x v="2"/>
    <s v="United States"/>
    <s v="Malden"/>
    <s v="Massachusetts"/>
    <x v="2"/>
    <s v="FUR-BO-10003450"/>
    <s v="Furniture"/>
    <x v="0"/>
    <x v="265"/>
    <n v="173.94"/>
    <n v="3"/>
    <n v="13.9152"/>
    <s v="6- days"/>
    <n v="6"/>
    <x v="4"/>
  </r>
  <r>
    <s v="CA-2017-108070"/>
    <d v="2017-04-16T00:00:00"/>
    <d v="2017-04-20T00:00:00"/>
    <x v="1"/>
    <s v="JE-15745"/>
    <s v="Joel Eaton"/>
    <x v="0"/>
    <s v="United States"/>
    <s v="San Jose"/>
    <s v="California"/>
    <x v="1"/>
    <s v="FUR-BO-10001337"/>
    <s v="Furniture"/>
    <x v="0"/>
    <x v="90"/>
    <n v="102.833"/>
    <n v="1"/>
    <n v="-6.0490000000000004"/>
    <s v="4- days"/>
    <n v="4"/>
    <x v="6"/>
  </r>
  <r>
    <s v="CA-2017-101042"/>
    <d v="2017-11-19T00:00:00"/>
    <d v="2017-11-23T00:00:00"/>
    <x v="1"/>
    <s v="AB-10105"/>
    <s v="Adrian Barton"/>
    <x v="0"/>
    <s v="United States"/>
    <s v="Henderson"/>
    <s v="Kentucky"/>
    <x v="0"/>
    <s v="FUR-FU-10004665"/>
    <s v="Furniture"/>
    <x v="3"/>
    <x v="266"/>
    <n v="821.88"/>
    <n v="6"/>
    <n v="213.68879999999999"/>
    <s v="4- days"/>
    <n v="4"/>
    <x v="0"/>
  </r>
  <r>
    <s v="US-2016-126844"/>
    <d v="2016-10-08T00:00:00"/>
    <d v="2016-10-14T00:00:00"/>
    <x v="1"/>
    <s v="BW-11110"/>
    <s v="Bart Watters"/>
    <x v="1"/>
    <s v="United States"/>
    <s v="Houston"/>
    <s v="Texas"/>
    <x v="3"/>
    <s v="FUR-FU-10004909"/>
    <s v="Furniture"/>
    <x v="3"/>
    <x v="267"/>
    <n v="51.712000000000003"/>
    <n v="8"/>
    <n v="-32.32"/>
    <s v="6- days"/>
    <n v="6"/>
    <x v="1"/>
  </r>
  <r>
    <s v="CA-2015-147788"/>
    <d v="2015-05-31T00:00:00"/>
    <d v="2015-06-04T00:00:00"/>
    <x v="1"/>
    <s v="TM-21010"/>
    <s v="Tamara Manning"/>
    <x v="0"/>
    <s v="United States"/>
    <s v="Orem"/>
    <s v="Utah"/>
    <x v="1"/>
    <s v="FUR-BO-10004357"/>
    <s v="Furniture"/>
    <x v="0"/>
    <x v="268"/>
    <n v="1406.86"/>
    <n v="7"/>
    <n v="140.68600000000001"/>
    <s v="4- days"/>
    <n v="4"/>
    <x v="7"/>
  </r>
  <r>
    <s v="CA-2017-123967"/>
    <d v="2017-11-01T00:00:00"/>
    <d v="2017-11-03T00:00:00"/>
    <x v="0"/>
    <s v="SF-20200"/>
    <s v="Sarah Foster"/>
    <x v="0"/>
    <s v="United States"/>
    <s v="Bellingham"/>
    <s v="Washington"/>
    <x v="1"/>
    <s v="FUR-TA-10003954"/>
    <s v="Furniture"/>
    <x v="2"/>
    <x v="239"/>
    <n v="2665.62"/>
    <n v="9"/>
    <n v="239.9058"/>
    <s v="2- days"/>
    <n v="2"/>
    <x v="0"/>
  </r>
  <r>
    <s v="CA-2017-145128"/>
    <d v="2017-07-09T00:00:00"/>
    <d v="2017-07-14T00:00:00"/>
    <x v="1"/>
    <s v="SM-20320"/>
    <s v="Sean Miller"/>
    <x v="2"/>
    <s v="United States"/>
    <s v="Lafayette"/>
    <s v="Indiana"/>
    <x v="3"/>
    <s v="FUR-FU-10000293"/>
    <s v="Furniture"/>
    <x v="3"/>
    <x v="159"/>
    <n v="526.45000000000005"/>
    <n v="5"/>
    <n v="31.587"/>
    <s v="5- days"/>
    <n v="5"/>
    <x v="3"/>
  </r>
  <r>
    <s v="US-2014-155502"/>
    <d v="2014-01-26T00:00:00"/>
    <d v="2014-01-31T00:00:00"/>
    <x v="1"/>
    <s v="SD-20485"/>
    <s v="Shirley Daniels"/>
    <x v="2"/>
    <s v="United States"/>
    <s v="Alexandria"/>
    <s v="Virginia"/>
    <x v="0"/>
    <s v="FUR-FU-10004587"/>
    <s v="Furniture"/>
    <x v="3"/>
    <x v="269"/>
    <n v="62.82"/>
    <n v="3"/>
    <n v="30.7818"/>
    <s v="5- days"/>
    <n v="5"/>
    <x v="8"/>
  </r>
  <r>
    <s v="US-2014-155502"/>
    <d v="2014-01-26T00:00:00"/>
    <d v="2014-01-31T00:00:00"/>
    <x v="1"/>
    <s v="SD-20485"/>
    <s v="Shirley Daniels"/>
    <x v="2"/>
    <s v="United States"/>
    <s v="Alexandria"/>
    <s v="Virginia"/>
    <x v="0"/>
    <s v="FUR-FU-10001847"/>
    <s v="Furniture"/>
    <x v="3"/>
    <x v="270"/>
    <n v="12.42"/>
    <n v="3"/>
    <n v="4.4711999999999996"/>
    <s v="5- days"/>
    <n v="5"/>
    <x v="8"/>
  </r>
  <r>
    <s v="CA-2017-131695"/>
    <d v="2017-06-30T00:00:00"/>
    <d v="2017-07-06T00:00:00"/>
    <x v="1"/>
    <s v="RA-19285"/>
    <s v="Ralph Arnett"/>
    <x v="0"/>
    <s v="United States"/>
    <s v="New York City"/>
    <s v="New York"/>
    <x v="2"/>
    <s v="FUR-FU-10002045"/>
    <s v="Furniture"/>
    <x v="3"/>
    <x v="271"/>
    <n v="22.23"/>
    <n v="1"/>
    <n v="9.7812000000000001"/>
    <s v="6- days"/>
    <n v="6"/>
    <x v="2"/>
  </r>
  <r>
    <s v="US-2016-115455"/>
    <d v="2016-09-08T00:00:00"/>
    <d v="2016-09-14T00:00:00"/>
    <x v="1"/>
    <s v="SE-20110"/>
    <s v="Sanjit Engle"/>
    <x v="0"/>
    <s v="United States"/>
    <s v="Wheeling"/>
    <s v="Illinois"/>
    <x v="3"/>
    <s v="FUR-FU-10004671"/>
    <s v="Furniture"/>
    <x v="3"/>
    <x v="272"/>
    <n v="14.135999999999999"/>
    <n v="2"/>
    <n v="-7.7747999999999999"/>
    <s v="6- days"/>
    <n v="6"/>
    <x v="4"/>
  </r>
  <r>
    <s v="US-2016-115455"/>
    <d v="2016-09-08T00:00:00"/>
    <d v="2016-09-14T00:00:00"/>
    <x v="1"/>
    <s v="SE-20110"/>
    <s v="Sanjit Engle"/>
    <x v="0"/>
    <s v="United States"/>
    <s v="Wheeling"/>
    <s v="Illinois"/>
    <x v="3"/>
    <s v="FUR-TA-10003569"/>
    <s v="Furniture"/>
    <x v="2"/>
    <x v="273"/>
    <n v="601.47"/>
    <n v="3"/>
    <n v="-300.73500000000001"/>
    <s v="6- days"/>
    <n v="6"/>
    <x v="4"/>
  </r>
  <r>
    <s v="CA-2016-165848"/>
    <d v="2016-06-04T00:00:00"/>
    <d v="2016-06-04T00:00:00"/>
    <x v="3"/>
    <s v="EN-13780"/>
    <s v="Edward Nazzal"/>
    <x v="0"/>
    <s v="United States"/>
    <s v="New York City"/>
    <s v="New York"/>
    <x v="2"/>
    <s v="FUR-BO-10000362"/>
    <s v="Furniture"/>
    <x v="0"/>
    <x v="203"/>
    <n v="136.78399999999999"/>
    <n v="1"/>
    <n v="5.1294000000000004"/>
    <s v="0- days"/>
    <n v="0"/>
    <x v="2"/>
  </r>
  <r>
    <s v="CA-2016-165848"/>
    <d v="2016-06-04T00:00:00"/>
    <d v="2016-06-04T00:00:00"/>
    <x v="3"/>
    <s v="EN-13780"/>
    <s v="Edward Nazzal"/>
    <x v="0"/>
    <s v="United States"/>
    <s v="New York City"/>
    <s v="New York"/>
    <x v="2"/>
    <s v="FUR-FU-10003878"/>
    <s v="Furniture"/>
    <x v="3"/>
    <x v="142"/>
    <n v="61.12"/>
    <n v="4"/>
    <n v="20.780799999999999"/>
    <s v="0- days"/>
    <n v="0"/>
    <x v="2"/>
  </r>
  <r>
    <s v="CA-2014-127446"/>
    <d v="2014-11-25T00:00:00"/>
    <d v="2014-11-30T00:00:00"/>
    <x v="1"/>
    <s v="MC-17590"/>
    <s v="Matt Collister"/>
    <x v="1"/>
    <s v="United States"/>
    <s v="Arlington"/>
    <s v="Texas"/>
    <x v="3"/>
    <s v="FUR-TA-10000577"/>
    <s v="Furniture"/>
    <x v="2"/>
    <x v="2"/>
    <n v="1218.7349999999999"/>
    <n v="5"/>
    <n v="-121.87350000000001"/>
    <s v="5- days"/>
    <n v="5"/>
    <x v="0"/>
  </r>
  <r>
    <s v="CA-2014-127446"/>
    <d v="2014-11-25T00:00:00"/>
    <d v="2014-11-30T00:00:00"/>
    <x v="1"/>
    <s v="MC-17590"/>
    <s v="Matt Collister"/>
    <x v="1"/>
    <s v="United States"/>
    <s v="Arlington"/>
    <s v="Texas"/>
    <x v="3"/>
    <s v="FUR-FU-10000221"/>
    <s v="Furniture"/>
    <x v="3"/>
    <x v="111"/>
    <n v="6.0960000000000001"/>
    <n v="3"/>
    <n v="-3.9624000000000001"/>
    <s v="5- days"/>
    <n v="5"/>
    <x v="0"/>
  </r>
  <r>
    <s v="CA-2016-137204"/>
    <d v="2016-04-28T00:00:00"/>
    <d v="2016-05-05T00:00:00"/>
    <x v="1"/>
    <s v="BO-11350"/>
    <s v="Bill Overfelt"/>
    <x v="1"/>
    <s v="United States"/>
    <s v="Los Angeles"/>
    <s v="California"/>
    <x v="1"/>
    <s v="FUR-CH-10002304"/>
    <s v="Furniture"/>
    <x v="1"/>
    <x v="158"/>
    <n v="41.567999999999998"/>
    <n v="2"/>
    <n v="2.5979999999999999"/>
    <s v="7- days"/>
    <n v="7"/>
    <x v="6"/>
  </r>
  <r>
    <s v="CA-2014-147298"/>
    <d v="2014-04-26T00:00:00"/>
    <d v="2014-05-03T00:00:00"/>
    <x v="1"/>
    <s v="AG-10300"/>
    <s v="Aleksandra Gannaway"/>
    <x v="1"/>
    <s v="United States"/>
    <s v="Los Angeles"/>
    <s v="California"/>
    <x v="1"/>
    <s v="FUR-CH-10004886"/>
    <s v="Furniture"/>
    <x v="1"/>
    <x v="77"/>
    <n v="230.28"/>
    <n v="3"/>
    <n v="23.027999999999999"/>
    <s v="7- days"/>
    <n v="7"/>
    <x v="6"/>
  </r>
  <r>
    <s v="US-2017-110604"/>
    <d v="2017-05-15T00:00:00"/>
    <d v="2017-05-20T00:00:00"/>
    <x v="1"/>
    <s v="JF-15295"/>
    <s v="Jason Fortune-"/>
    <x v="0"/>
    <s v="United States"/>
    <s v="Seattle"/>
    <s v="Washington"/>
    <x v="1"/>
    <s v="FUR-FU-10000076"/>
    <s v="Furniture"/>
    <x v="3"/>
    <x v="175"/>
    <n v="39.96"/>
    <n v="2"/>
    <n v="17.1828"/>
    <s v="5- days"/>
    <n v="5"/>
    <x v="7"/>
  </r>
  <r>
    <s v="US-2017-110604"/>
    <d v="2017-05-15T00:00:00"/>
    <d v="2017-05-20T00:00:00"/>
    <x v="1"/>
    <s v="JF-15295"/>
    <s v="Jason Fortune-"/>
    <x v="0"/>
    <s v="United States"/>
    <s v="Seattle"/>
    <s v="Washington"/>
    <x v="1"/>
    <s v="FUR-CH-10002017"/>
    <s v="Furniture"/>
    <x v="1"/>
    <x v="274"/>
    <n v="42.624000000000002"/>
    <n v="2"/>
    <n v="4.2624000000000004"/>
    <s v="5- days"/>
    <n v="5"/>
    <x v="7"/>
  </r>
  <r>
    <s v="US-2017-110604"/>
    <d v="2017-05-15T00:00:00"/>
    <d v="2017-05-20T00:00:00"/>
    <x v="1"/>
    <s v="JF-15295"/>
    <s v="Jason Fortune-"/>
    <x v="0"/>
    <s v="United States"/>
    <s v="Seattle"/>
    <s v="Washington"/>
    <x v="1"/>
    <s v="FUR-CH-10004287"/>
    <s v="Furniture"/>
    <x v="1"/>
    <x v="32"/>
    <n v="220.96"/>
    <n v="1"/>
    <n v="24.858000000000001"/>
    <s v="5- days"/>
    <n v="5"/>
    <x v="7"/>
  </r>
  <r>
    <s v="CA-2015-116750"/>
    <d v="2015-07-05T00:00:00"/>
    <d v="2015-07-10T00:00:00"/>
    <x v="0"/>
    <s v="BF-10975"/>
    <s v="Barbara Fisher"/>
    <x v="1"/>
    <s v="United States"/>
    <s v="Fayetteville"/>
    <s v="North Carolina"/>
    <x v="0"/>
    <s v="FUR-FU-10003829"/>
    <s v="Furniture"/>
    <x v="3"/>
    <x v="275"/>
    <n v="4.9279999999999999"/>
    <n v="2"/>
    <n v="0.73919999999999997"/>
    <s v="5- days"/>
    <n v="5"/>
    <x v="3"/>
  </r>
  <r>
    <s v="CA-2017-108441"/>
    <d v="2017-06-12T00:00:00"/>
    <d v="2017-06-18T00:00:00"/>
    <x v="1"/>
    <s v="SB-20170"/>
    <s v="Sarah Bern"/>
    <x v="0"/>
    <s v="United States"/>
    <s v="New York City"/>
    <s v="New York"/>
    <x v="2"/>
    <s v="FUR-CH-10000595"/>
    <s v="Furniture"/>
    <x v="1"/>
    <x v="97"/>
    <n v="858.24"/>
    <n v="4"/>
    <n v="143.04"/>
    <s v="6- days"/>
    <n v="6"/>
    <x v="2"/>
  </r>
  <r>
    <s v="CA-2016-149111"/>
    <d v="2016-04-17T00:00:00"/>
    <d v="2016-04-21T00:00:00"/>
    <x v="0"/>
    <s v="BF-11170"/>
    <s v="Ben Ferrer"/>
    <x v="2"/>
    <s v="United States"/>
    <s v="Raleigh"/>
    <s v="North Carolina"/>
    <x v="0"/>
    <s v="FUR-FU-10000206"/>
    <s v="Furniture"/>
    <x v="3"/>
    <x v="84"/>
    <n v="18.623999999999999"/>
    <n v="8"/>
    <n v="6.2855999999999996"/>
    <s v="4- days"/>
    <n v="4"/>
    <x v="6"/>
  </r>
  <r>
    <s v="CA-2014-131002"/>
    <d v="2014-09-07T00:00:00"/>
    <d v="2014-09-12T00:00:00"/>
    <x v="0"/>
    <s v="TB-21400"/>
    <s v="Tom Boeckenhauer"/>
    <x v="0"/>
    <s v="United States"/>
    <s v="Tulsa"/>
    <s v="Oklahoma"/>
    <x v="3"/>
    <s v="FUR-FU-10004270"/>
    <s v="Furniture"/>
    <x v="3"/>
    <x v="276"/>
    <n v="57.69"/>
    <n v="3"/>
    <n v="23.652899999999999"/>
    <s v="5- days"/>
    <n v="5"/>
    <x v="4"/>
  </r>
  <r>
    <s v="CA-2014-131002"/>
    <d v="2014-09-07T00:00:00"/>
    <d v="2014-09-12T00:00:00"/>
    <x v="0"/>
    <s v="TB-21400"/>
    <s v="Tom Boeckenhauer"/>
    <x v="0"/>
    <s v="United States"/>
    <s v="Tulsa"/>
    <s v="Oklahoma"/>
    <x v="3"/>
    <s v="FUR-FU-10004665"/>
    <s v="Furniture"/>
    <x v="3"/>
    <x v="266"/>
    <n v="821.88"/>
    <n v="6"/>
    <n v="213.68879999999999"/>
    <s v="5- days"/>
    <n v="5"/>
    <x v="4"/>
  </r>
  <r>
    <s v="US-2016-146794"/>
    <d v="2016-09-26T00:00:00"/>
    <d v="2016-10-01T00:00:00"/>
    <x v="1"/>
    <s v="SH-19975"/>
    <s v="Sally Hughsby"/>
    <x v="1"/>
    <s v="United States"/>
    <s v="Hesperia"/>
    <s v="California"/>
    <x v="1"/>
    <s v="FUR-BO-10004467"/>
    <s v="Furniture"/>
    <x v="0"/>
    <x v="179"/>
    <n v="424.95749999999998"/>
    <n v="5"/>
    <n v="19.998000000000001"/>
    <s v="5- days"/>
    <n v="5"/>
    <x v="4"/>
  </r>
  <r>
    <s v="CA-2017-112515"/>
    <d v="2017-09-17T00:00:00"/>
    <d v="2017-09-21T00:00:00"/>
    <x v="0"/>
    <s v="AS-10225"/>
    <s v="Alan Schoenberger"/>
    <x v="1"/>
    <s v="United States"/>
    <s v="Provo"/>
    <s v="Utah"/>
    <x v="1"/>
    <s v="FUR-BO-10003404"/>
    <s v="Furniture"/>
    <x v="0"/>
    <x v="277"/>
    <n v="1292.94"/>
    <n v="3"/>
    <n v="77.576400000000007"/>
    <s v="4- days"/>
    <n v="4"/>
    <x v="4"/>
  </r>
  <r>
    <s v="CA-2015-135538"/>
    <d v="2015-12-24T00:00:00"/>
    <d v="2015-12-28T00:00:00"/>
    <x v="1"/>
    <s v="HR-14830"/>
    <s v="Harold Ryan"/>
    <x v="1"/>
    <s v="United States"/>
    <s v="Gilbert"/>
    <s v="Arizona"/>
    <x v="1"/>
    <s v="FUR-CH-10004287"/>
    <s v="Furniture"/>
    <x v="1"/>
    <x v="32"/>
    <n v="883.84"/>
    <n v="4"/>
    <n v="99.432000000000002"/>
    <s v="4- days"/>
    <n v="4"/>
    <x v="5"/>
  </r>
  <r>
    <s v="CA-2016-164784"/>
    <d v="2016-05-01T00:00:00"/>
    <d v="2016-05-04T00:00:00"/>
    <x v="2"/>
    <s v="HF-14995"/>
    <s v="Herbert Flentye"/>
    <x v="0"/>
    <s v="United States"/>
    <s v="Memphis"/>
    <s v="Tennessee"/>
    <x v="0"/>
    <s v="FUR-TA-10004534"/>
    <s v="Furniture"/>
    <x v="2"/>
    <x v="28"/>
    <n v="370.62"/>
    <n v="3"/>
    <n v="-142.071"/>
    <s v="3- days"/>
    <n v="3"/>
    <x v="7"/>
  </r>
  <r>
    <s v="US-2015-139759"/>
    <d v="2015-08-25T00:00:00"/>
    <d v="2015-08-30T00:00:00"/>
    <x v="1"/>
    <s v="NL-18310"/>
    <s v="Nancy Lomonaco"/>
    <x v="2"/>
    <s v="United States"/>
    <s v="Los Angeles"/>
    <s v="California"/>
    <x v="1"/>
    <s v="FUR-CH-10002774"/>
    <s v="Furniture"/>
    <x v="1"/>
    <x v="5"/>
    <n v="40.783999999999999"/>
    <n v="1"/>
    <n v="4.5881999999999996"/>
    <s v="5- days"/>
    <n v="5"/>
    <x v="10"/>
  </r>
  <r>
    <s v="CA-2014-126403"/>
    <d v="2014-09-09T00:00:00"/>
    <d v="2014-09-12T00:00:00"/>
    <x v="0"/>
    <s v="RR-19525"/>
    <s v="Rick Reed"/>
    <x v="1"/>
    <s v="United States"/>
    <s v="Lowell"/>
    <s v="Massachusetts"/>
    <x v="2"/>
    <s v="FUR-CH-10003761"/>
    <s v="Furniture"/>
    <x v="1"/>
    <x v="278"/>
    <n v="785.88"/>
    <n v="6"/>
    <n v="212.1876"/>
    <s v="3- days"/>
    <n v="3"/>
    <x v="4"/>
  </r>
  <r>
    <s v="CA-2016-138079"/>
    <d v="2016-01-22T00:00:00"/>
    <d v="2016-01-28T00:00:00"/>
    <x v="1"/>
    <s v="AJ-10795"/>
    <s v="Anthony Johnson"/>
    <x v="1"/>
    <s v="United States"/>
    <s v="Seattle"/>
    <s v="Washington"/>
    <x v="1"/>
    <s v="FUR-FU-10001475"/>
    <s v="Furniture"/>
    <x v="3"/>
    <x v="106"/>
    <n v="109.9"/>
    <n v="5"/>
    <n v="37.366"/>
    <s v="6- days"/>
    <n v="6"/>
    <x v="8"/>
  </r>
  <r>
    <s v="CA-2014-143182"/>
    <d v="2014-10-15T00:00:00"/>
    <d v="2014-10-20T00:00:00"/>
    <x v="1"/>
    <s v="DL-12865"/>
    <s v="Dan Lawera"/>
    <x v="0"/>
    <s v="United States"/>
    <s v="Hialeah"/>
    <s v="Florida"/>
    <x v="0"/>
    <s v="FUR-FU-10004270"/>
    <s v="Furniture"/>
    <x v="3"/>
    <x v="276"/>
    <n v="15.384"/>
    <n v="1"/>
    <n v="4.0382999999999996"/>
    <s v="5- days"/>
    <n v="5"/>
    <x v="1"/>
  </r>
  <r>
    <s v="CA-2014-145317"/>
    <d v="2014-03-18T00:00:00"/>
    <d v="2014-03-23T00:00:00"/>
    <x v="1"/>
    <s v="SM-20320"/>
    <s v="Sean Miller"/>
    <x v="2"/>
    <s v="United States"/>
    <s v="Jacksonville"/>
    <s v="Florida"/>
    <x v="0"/>
    <s v="FUR-FU-10004270"/>
    <s v="Furniture"/>
    <x v="3"/>
    <x v="276"/>
    <n v="30.768000000000001"/>
    <n v="2"/>
    <n v="8.0765999999999991"/>
    <s v="5- days"/>
    <n v="5"/>
    <x v="9"/>
  </r>
  <r>
    <s v="CA-2014-145317"/>
    <d v="2014-03-18T00:00:00"/>
    <d v="2014-03-23T00:00:00"/>
    <x v="1"/>
    <s v="SM-20320"/>
    <s v="Sean Miller"/>
    <x v="2"/>
    <s v="United States"/>
    <s v="Jacksonville"/>
    <s v="Florida"/>
    <x v="0"/>
    <s v="FUR-FU-10001986"/>
    <s v="Furniture"/>
    <x v="3"/>
    <x v="222"/>
    <n v="122.352"/>
    <n v="3"/>
    <n v="15.294"/>
    <s v="5- days"/>
    <n v="5"/>
    <x v="9"/>
  </r>
  <r>
    <s v="CA-2015-121797"/>
    <d v="2015-01-30T00:00:00"/>
    <d v="2015-02-06T00:00:00"/>
    <x v="1"/>
    <s v="CC-12145"/>
    <s v="Charles Crestani"/>
    <x v="0"/>
    <s v="United States"/>
    <s v="Los Angeles"/>
    <s v="California"/>
    <x v="1"/>
    <s v="FUR-FU-10001876"/>
    <s v="Furniture"/>
    <x v="3"/>
    <x v="279"/>
    <n v="227.36"/>
    <n v="7"/>
    <n v="81.849599999999995"/>
    <s v="7- days"/>
    <n v="7"/>
    <x v="8"/>
  </r>
  <r>
    <s v="CA-2017-132430"/>
    <d v="2017-10-09T00:00:00"/>
    <d v="2017-10-11T00:00:00"/>
    <x v="2"/>
    <s v="CP-12085"/>
    <s v="Cathy Prescott"/>
    <x v="1"/>
    <s v="United States"/>
    <s v="Lakewood"/>
    <s v="Ohio"/>
    <x v="2"/>
    <s v="FUR-FU-10003577"/>
    <s v="Furniture"/>
    <x v="3"/>
    <x v="128"/>
    <n v="45.887999999999998"/>
    <n v="4"/>
    <n v="9.1776"/>
    <s v="2- days"/>
    <n v="2"/>
    <x v="1"/>
  </r>
  <r>
    <s v="CA-2014-110030"/>
    <d v="2014-12-06T00:00:00"/>
    <d v="2014-12-08T00:00:00"/>
    <x v="0"/>
    <s v="LF-17185"/>
    <s v="Luke Foster"/>
    <x v="0"/>
    <s v="United States"/>
    <s v="Houston"/>
    <s v="Texas"/>
    <x v="3"/>
    <s v="FUR-FU-10002759"/>
    <s v="Furniture"/>
    <x v="3"/>
    <x v="115"/>
    <n v="23.975999999999999"/>
    <n v="3"/>
    <n v="-14.3856"/>
    <s v="2- days"/>
    <n v="2"/>
    <x v="5"/>
  </r>
  <r>
    <s v="CA-2017-149888"/>
    <d v="2017-11-07T00:00:00"/>
    <d v="2017-11-13T00:00:00"/>
    <x v="1"/>
    <s v="EP-13915"/>
    <s v="Emily Phan"/>
    <x v="0"/>
    <s v="United States"/>
    <s v="Philadelphia"/>
    <s v="Pennsylvania"/>
    <x v="2"/>
    <s v="FUR-TA-10000849"/>
    <s v="Furniture"/>
    <x v="2"/>
    <x v="261"/>
    <n v="350.35199999999998"/>
    <n v="4"/>
    <n v="-140.14080000000001"/>
    <s v="6- days"/>
    <n v="6"/>
    <x v="0"/>
  </r>
  <r>
    <s v="CA-2017-104801"/>
    <d v="2017-02-13T00:00:00"/>
    <d v="2017-02-19T00:00:00"/>
    <x v="1"/>
    <s v="FH-14350"/>
    <s v="Fred Harton"/>
    <x v="0"/>
    <s v="United States"/>
    <s v="Seattle"/>
    <s v="Washington"/>
    <x v="1"/>
    <s v="FUR-FU-10004017"/>
    <s v="Furniture"/>
    <x v="3"/>
    <x v="45"/>
    <n v="107.53"/>
    <n v="1"/>
    <n v="21.506"/>
    <s v="6- days"/>
    <n v="6"/>
    <x v="11"/>
  </r>
  <r>
    <s v="CA-2015-115798"/>
    <d v="2015-11-13T00:00:00"/>
    <d v="2015-11-19T00:00:00"/>
    <x v="1"/>
    <s v="KL-16645"/>
    <s v="Ken Lonsdale"/>
    <x v="0"/>
    <s v="United States"/>
    <s v="Newark"/>
    <s v="Delaware"/>
    <x v="2"/>
    <s v="FUR-BO-10004467"/>
    <s v="Furniture"/>
    <x v="0"/>
    <x v="179"/>
    <n v="299.97000000000003"/>
    <n v="3"/>
    <n v="56.994300000000003"/>
    <s v="6- days"/>
    <n v="6"/>
    <x v="0"/>
  </r>
  <r>
    <s v="CA-2014-149244"/>
    <d v="2014-11-04T00:00:00"/>
    <d v="2014-11-08T00:00:00"/>
    <x v="1"/>
    <s v="MS-17530"/>
    <s v="MaryBeth Skach"/>
    <x v="0"/>
    <s v="United States"/>
    <s v="San Diego"/>
    <s v="California"/>
    <x v="1"/>
    <s v="FUR-FU-10004671"/>
    <s v="Furniture"/>
    <x v="3"/>
    <x v="272"/>
    <n v="35.340000000000003"/>
    <n v="2"/>
    <n v="13.4292"/>
    <s v="4- days"/>
    <n v="4"/>
    <x v="0"/>
  </r>
  <r>
    <s v="CA-2015-140144"/>
    <d v="2015-06-20T00:00:00"/>
    <d v="2015-06-25T00:00:00"/>
    <x v="0"/>
    <s v="SC-20770"/>
    <s v="Stewart Carmichael"/>
    <x v="1"/>
    <s v="United States"/>
    <s v="San Francisco"/>
    <s v="California"/>
    <x v="1"/>
    <s v="FUR-FU-10002253"/>
    <s v="Furniture"/>
    <x v="3"/>
    <x v="123"/>
    <n v="257.64"/>
    <n v="6"/>
    <n v="100.4796"/>
    <s v="5- days"/>
    <n v="5"/>
    <x v="2"/>
  </r>
  <r>
    <s v="CA-2014-155887"/>
    <d v="2014-05-12T00:00:00"/>
    <d v="2014-05-17T00:00:00"/>
    <x v="1"/>
    <s v="KT-16480"/>
    <s v="Kean Thornton"/>
    <x v="0"/>
    <s v="United States"/>
    <s v="Franklin"/>
    <s v="Massachusetts"/>
    <x v="2"/>
    <s v="FUR-TA-10002228"/>
    <s v="Furniture"/>
    <x v="2"/>
    <x v="126"/>
    <n v="700.05600000000004"/>
    <n v="3"/>
    <n v="-130.0104"/>
    <s v="5- days"/>
    <n v="5"/>
    <x v="7"/>
  </r>
  <r>
    <s v="US-2014-141257"/>
    <d v="2014-06-08T00:00:00"/>
    <d v="2014-06-14T00:00:00"/>
    <x v="1"/>
    <s v="CS-11950"/>
    <s v="Carlos Soltero"/>
    <x v="0"/>
    <s v="United States"/>
    <s v="Seattle"/>
    <s v="Washington"/>
    <x v="1"/>
    <s v="FUR-CH-10002758"/>
    <s v="Furniture"/>
    <x v="1"/>
    <x v="280"/>
    <n v="585.55200000000002"/>
    <n v="3"/>
    <n v="73.194000000000003"/>
    <s v="6- days"/>
    <n v="6"/>
    <x v="2"/>
  </r>
  <r>
    <s v="CA-2014-158029"/>
    <d v="2014-05-26T00:00:00"/>
    <d v="2014-05-30T00:00:00"/>
    <x v="1"/>
    <s v="HF-14995"/>
    <s v="Herbert Flentye"/>
    <x v="0"/>
    <s v="United States"/>
    <s v="Los Angeles"/>
    <s v="California"/>
    <x v="1"/>
    <s v="FUR-CH-10000988"/>
    <s v="Furniture"/>
    <x v="1"/>
    <x v="221"/>
    <n v="225.29599999999999"/>
    <n v="2"/>
    <n v="22.529599999999999"/>
    <s v="4- days"/>
    <n v="4"/>
    <x v="7"/>
  </r>
  <r>
    <s v="CA-2016-146171"/>
    <d v="2016-03-11T00:00:00"/>
    <d v="2016-03-15T00:00:00"/>
    <x v="1"/>
    <s v="JP-16135"/>
    <s v="Julie Prescott"/>
    <x v="2"/>
    <s v="United States"/>
    <s v="Columbus"/>
    <s v="Georgia"/>
    <x v="0"/>
    <s v="FUR-FU-10004270"/>
    <s v="Furniture"/>
    <x v="3"/>
    <x v="276"/>
    <n v="76.92"/>
    <n v="4"/>
    <n v="31.537199999999999"/>
    <s v="4- days"/>
    <n v="4"/>
    <x v="9"/>
  </r>
  <r>
    <s v="CA-2017-158967"/>
    <d v="2017-12-10T00:00:00"/>
    <d v="2017-12-12T00:00:00"/>
    <x v="2"/>
    <s v="BT-11680"/>
    <s v="Brian Thompson"/>
    <x v="0"/>
    <s v="United States"/>
    <s v="Fort Lauderdale"/>
    <s v="Florida"/>
    <x v="0"/>
    <s v="FUR-FU-10001940"/>
    <s v="Furniture"/>
    <x v="3"/>
    <x v="47"/>
    <n v="19.103999999999999"/>
    <n v="3"/>
    <n v="5.7312000000000003"/>
    <s v="2- days"/>
    <n v="2"/>
    <x v="5"/>
  </r>
  <r>
    <s v="CA-2015-138534"/>
    <d v="2015-07-17T00:00:00"/>
    <d v="2015-07-19T00:00:00"/>
    <x v="0"/>
    <s v="JM-15535"/>
    <s v="Jessica Myrick"/>
    <x v="0"/>
    <s v="United States"/>
    <s v="Bakersfield"/>
    <s v="California"/>
    <x v="1"/>
    <s v="FUR-BO-10003159"/>
    <s v="Furniture"/>
    <x v="0"/>
    <x v="214"/>
    <n v="195.46600000000001"/>
    <n v="2"/>
    <n v="-13.797599999999999"/>
    <s v="2- days"/>
    <n v="2"/>
    <x v="3"/>
  </r>
  <r>
    <s v="CA-2017-108322"/>
    <d v="2017-04-30T00:00:00"/>
    <d v="2017-05-05T00:00:00"/>
    <x v="1"/>
    <s v="SS-20140"/>
    <s v="Saphhira Shifley"/>
    <x v="1"/>
    <s v="United States"/>
    <s v="Pompano Beach"/>
    <s v="Florida"/>
    <x v="0"/>
    <s v="FUR-FU-10001935"/>
    <s v="Furniture"/>
    <x v="3"/>
    <x v="73"/>
    <n v="23.68"/>
    <n v="8"/>
    <n v="6.2160000000000002"/>
    <s v="5- days"/>
    <n v="5"/>
    <x v="6"/>
  </r>
  <r>
    <s v="CA-2015-149972"/>
    <d v="2015-09-21T00:00:00"/>
    <d v="2015-09-23T00:00:00"/>
    <x v="2"/>
    <s v="CD-12790"/>
    <s v="Cynthia Delaney"/>
    <x v="2"/>
    <s v="United States"/>
    <s v="Los Angeles"/>
    <s v="California"/>
    <x v="1"/>
    <s v="FUR-CH-10004997"/>
    <s v="Furniture"/>
    <x v="1"/>
    <x v="105"/>
    <n v="601.53599999999994"/>
    <n v="4"/>
    <n v="0"/>
    <s v="2- days"/>
    <n v="2"/>
    <x v="4"/>
  </r>
  <r>
    <s v="US-2014-117744"/>
    <d v="2014-12-02T00:00:00"/>
    <d v="2014-12-06T00:00:00"/>
    <x v="1"/>
    <s v="MD-17860"/>
    <s v="Michael Dominguez"/>
    <x v="1"/>
    <s v="United States"/>
    <s v="Corpus Christi"/>
    <s v="Texas"/>
    <x v="3"/>
    <s v="FUR-FU-10001588"/>
    <s v="Furniture"/>
    <x v="3"/>
    <x v="63"/>
    <n v="58.36"/>
    <n v="5"/>
    <n v="-24.803000000000001"/>
    <s v="4- days"/>
    <n v="4"/>
    <x v="5"/>
  </r>
  <r>
    <s v="US-2014-117744"/>
    <d v="2014-12-02T00:00:00"/>
    <d v="2014-12-06T00:00:00"/>
    <x v="1"/>
    <s v="MD-17860"/>
    <s v="Michael Dominguez"/>
    <x v="1"/>
    <s v="United States"/>
    <s v="Corpus Christi"/>
    <s v="Texas"/>
    <x v="3"/>
    <s v="FUR-FU-10002759"/>
    <s v="Furniture"/>
    <x v="3"/>
    <x v="115"/>
    <n v="39.96"/>
    <n v="5"/>
    <n v="-23.975999999999999"/>
    <s v="4- days"/>
    <n v="4"/>
    <x v="5"/>
  </r>
  <r>
    <s v="CA-2014-154599"/>
    <d v="2014-04-12T00:00:00"/>
    <d v="2014-04-17T00:00:00"/>
    <x v="1"/>
    <s v="KN-16450"/>
    <s v="Kean Nguyen"/>
    <x v="1"/>
    <s v="United States"/>
    <s v="Redondo Beach"/>
    <s v="California"/>
    <x v="1"/>
    <s v="FUR-BO-10001337"/>
    <s v="Furniture"/>
    <x v="0"/>
    <x v="90"/>
    <n v="308.49900000000002"/>
    <n v="3"/>
    <n v="-18.146999999999998"/>
    <s v="5- days"/>
    <n v="5"/>
    <x v="6"/>
  </r>
  <r>
    <s v="CA-2017-143329"/>
    <d v="2017-11-03T00:00:00"/>
    <d v="2017-11-08T00:00:00"/>
    <x v="1"/>
    <s v="DL-13330"/>
    <s v="Denise Leinenbach"/>
    <x v="0"/>
    <s v="United States"/>
    <s v="Las Cruces"/>
    <s v="New Mexico"/>
    <x v="1"/>
    <s v="FUR-FU-10000629"/>
    <s v="Furniture"/>
    <x v="3"/>
    <x v="22"/>
    <n v="41.37"/>
    <n v="3"/>
    <n v="17.375399999999999"/>
    <s v="5- days"/>
    <n v="5"/>
    <x v="0"/>
  </r>
  <r>
    <s v="CA-2015-122623"/>
    <d v="2015-09-07T00:00:00"/>
    <d v="2015-09-11T00:00:00"/>
    <x v="1"/>
    <s v="CC-12145"/>
    <s v="Charles Crestani"/>
    <x v="0"/>
    <s v="United States"/>
    <s v="El Paso"/>
    <s v="Texas"/>
    <x v="3"/>
    <s v="FUR-CH-10000553"/>
    <s v="Furniture"/>
    <x v="1"/>
    <x v="247"/>
    <n v="47.515999999999998"/>
    <n v="2"/>
    <n v="-2.0364"/>
    <s v="4- days"/>
    <n v="4"/>
    <x v="4"/>
  </r>
  <r>
    <s v="CA-2015-148635"/>
    <d v="2015-07-25T00:00:00"/>
    <d v="2015-07-27T00:00:00"/>
    <x v="0"/>
    <s v="MH-18025"/>
    <s v="Michelle Huthwaite"/>
    <x v="0"/>
    <s v="United States"/>
    <s v="Seattle"/>
    <s v="Washington"/>
    <x v="1"/>
    <s v="FUR-BO-10002213"/>
    <s v="Furniture"/>
    <x v="0"/>
    <x v="263"/>
    <n v="704.9"/>
    <n v="5"/>
    <n v="56.392000000000003"/>
    <s v="2- days"/>
    <n v="2"/>
    <x v="3"/>
  </r>
  <r>
    <s v="CA-2015-148635"/>
    <d v="2015-07-25T00:00:00"/>
    <d v="2015-07-27T00:00:00"/>
    <x v="0"/>
    <s v="MH-18025"/>
    <s v="Michelle Huthwaite"/>
    <x v="0"/>
    <s v="United States"/>
    <s v="Seattle"/>
    <s v="Washington"/>
    <x v="1"/>
    <s v="FUR-CH-10001854"/>
    <s v="Furniture"/>
    <x v="1"/>
    <x v="216"/>
    <n v="561.56799999999998"/>
    <n v="2"/>
    <n v="28.078399999999998"/>
    <s v="2- days"/>
    <n v="2"/>
    <x v="3"/>
  </r>
  <r>
    <s v="CA-2015-135685"/>
    <d v="2015-11-16T00:00:00"/>
    <d v="2015-11-18T00:00:00"/>
    <x v="0"/>
    <s v="MP-18175"/>
    <s v="Mike Pelletier"/>
    <x v="2"/>
    <s v="United States"/>
    <s v="Milwaukee"/>
    <s v="Wisconsin"/>
    <x v="3"/>
    <s v="FUR-FU-10001185"/>
    <s v="Furniture"/>
    <x v="3"/>
    <x v="281"/>
    <n v="185.58"/>
    <n v="6"/>
    <n v="76.087800000000001"/>
    <s v="2- days"/>
    <n v="2"/>
    <x v="0"/>
  </r>
  <r>
    <s v="CA-2015-135685"/>
    <d v="2015-11-16T00:00:00"/>
    <d v="2015-11-18T00:00:00"/>
    <x v="0"/>
    <s v="MP-18175"/>
    <s v="Mike Pelletier"/>
    <x v="2"/>
    <s v="United States"/>
    <s v="Milwaukee"/>
    <s v="Wisconsin"/>
    <x v="3"/>
    <s v="FUR-TA-10001520"/>
    <s v="Furniture"/>
    <x v="2"/>
    <x v="146"/>
    <n v="214.11"/>
    <n v="3"/>
    <n v="36.398699999999998"/>
    <s v="2- days"/>
    <n v="2"/>
    <x v="0"/>
  </r>
  <r>
    <s v="CA-2015-135685"/>
    <d v="2015-11-16T00:00:00"/>
    <d v="2015-11-18T00:00:00"/>
    <x v="0"/>
    <s v="MP-18175"/>
    <s v="Mike Pelletier"/>
    <x v="2"/>
    <s v="United States"/>
    <s v="Milwaukee"/>
    <s v="Wisconsin"/>
    <x v="3"/>
    <s v="FUR-TA-10000688"/>
    <s v="Furniture"/>
    <x v="2"/>
    <x v="116"/>
    <n v="653.54999999999995"/>
    <n v="3"/>
    <n v="111.1035"/>
    <s v="2- days"/>
    <n v="2"/>
    <x v="0"/>
  </r>
  <r>
    <s v="CA-2015-104626"/>
    <d v="2015-09-01T00:00:00"/>
    <d v="2015-09-08T00:00:00"/>
    <x v="1"/>
    <s v="DR-12940"/>
    <s v="Daniel Raglin"/>
    <x v="2"/>
    <s v="United States"/>
    <s v="Franklin"/>
    <s v="Massachusetts"/>
    <x v="2"/>
    <s v="FUR-CH-10003817"/>
    <s v="Furniture"/>
    <x v="1"/>
    <x v="33"/>
    <n v="60.74"/>
    <n v="1"/>
    <n v="15.185"/>
    <s v="7- days"/>
    <n v="7"/>
    <x v="4"/>
  </r>
  <r>
    <s v="CA-2015-104626"/>
    <d v="2015-09-01T00:00:00"/>
    <d v="2015-09-08T00:00:00"/>
    <x v="1"/>
    <s v="DR-12940"/>
    <s v="Daniel Raglin"/>
    <x v="2"/>
    <s v="United States"/>
    <s v="Franklin"/>
    <s v="Massachusetts"/>
    <x v="2"/>
    <s v="FUR-FU-10000308"/>
    <s v="Furniture"/>
    <x v="3"/>
    <x v="250"/>
    <n v="124.36"/>
    <n v="2"/>
    <n v="27.359200000000001"/>
    <s v="7- days"/>
    <n v="7"/>
    <x v="4"/>
  </r>
  <r>
    <s v="CA-2016-160500"/>
    <d v="2016-05-05T00:00:00"/>
    <d v="2016-05-08T00:00:00"/>
    <x v="2"/>
    <s v="DM-13015"/>
    <s v="Darrin Martin"/>
    <x v="0"/>
    <s v="United States"/>
    <s v="Encinitas"/>
    <s v="California"/>
    <x v="1"/>
    <s v="FUR-TA-10003748"/>
    <s v="Furniture"/>
    <x v="2"/>
    <x v="40"/>
    <n v="298.77600000000001"/>
    <n v="3"/>
    <n v="7.4694000000000003"/>
    <s v="3- days"/>
    <n v="3"/>
    <x v="7"/>
  </r>
  <r>
    <s v="US-2014-112914"/>
    <d v="2014-09-25T00:00:00"/>
    <d v="2014-09-30T00:00:00"/>
    <x v="1"/>
    <s v="MT-18070"/>
    <s v="Michelle Tran"/>
    <x v="2"/>
    <s v="United States"/>
    <s v="Houston"/>
    <s v="Texas"/>
    <x v="3"/>
    <s v="FUR-BO-10003272"/>
    <s v="Furniture"/>
    <x v="0"/>
    <x v="122"/>
    <n v="300.53280000000001"/>
    <n v="2"/>
    <n v="-97.231200000000001"/>
    <s v="5- days"/>
    <n v="5"/>
    <x v="4"/>
  </r>
  <r>
    <s v="US-2014-125521"/>
    <d v="2014-03-14T00:00:00"/>
    <d v="2014-03-19T00:00:00"/>
    <x v="1"/>
    <s v="CK-12325"/>
    <s v="Christine Kargatis"/>
    <x v="2"/>
    <s v="United States"/>
    <s v="Chesapeake"/>
    <s v="Virginia"/>
    <x v="0"/>
    <s v="FUR-CH-10003379"/>
    <s v="Furniture"/>
    <x v="1"/>
    <x v="96"/>
    <n v="1139.92"/>
    <n v="4"/>
    <n v="284.98"/>
    <s v="5- days"/>
    <n v="5"/>
    <x v="9"/>
  </r>
  <r>
    <s v="US-2016-162852"/>
    <d v="2016-12-27T00:00:00"/>
    <d v="2016-12-31T00:00:00"/>
    <x v="1"/>
    <s v="BG-11695"/>
    <s v="Brooke Gillingham"/>
    <x v="1"/>
    <s v="United States"/>
    <s v="Woodstock"/>
    <s v="Illinois"/>
    <x v="3"/>
    <s v="FUR-CH-10004853"/>
    <s v="Furniture"/>
    <x v="1"/>
    <x v="110"/>
    <n v="845.48800000000006"/>
    <n v="8"/>
    <n v="-12.0784"/>
    <s v="4- days"/>
    <n v="4"/>
    <x v="5"/>
  </r>
  <r>
    <s v="CA-2017-157854"/>
    <d v="2017-04-08T00:00:00"/>
    <d v="2017-04-15T00:00:00"/>
    <x v="1"/>
    <s v="DM-13345"/>
    <s v="Denise Monton"/>
    <x v="1"/>
    <s v="United States"/>
    <s v="Roswell"/>
    <s v="Georgia"/>
    <x v="0"/>
    <s v="FUR-FU-10003832"/>
    <s v="Furniture"/>
    <x v="3"/>
    <x v="282"/>
    <n v="56.28"/>
    <n v="6"/>
    <n v="15.7584"/>
    <s v="7- days"/>
    <n v="7"/>
    <x v="6"/>
  </r>
  <r>
    <s v="CA-2016-136371"/>
    <d v="2016-03-19T00:00:00"/>
    <d v="2016-03-21T00:00:00"/>
    <x v="0"/>
    <s v="SV-20935"/>
    <s v="Susan Vittorini"/>
    <x v="0"/>
    <s v="United States"/>
    <s v="Oceanside"/>
    <s v="New York"/>
    <x v="2"/>
    <s v="FUR-FU-10000409"/>
    <s v="Furniture"/>
    <x v="3"/>
    <x v="283"/>
    <n v="14.98"/>
    <n v="1"/>
    <n v="6.8907999999999996"/>
    <s v="2- days"/>
    <n v="2"/>
    <x v="9"/>
  </r>
  <r>
    <s v="CA-2016-136371"/>
    <d v="2016-03-19T00:00:00"/>
    <d v="2016-03-21T00:00:00"/>
    <x v="0"/>
    <s v="SV-20935"/>
    <s v="Susan Vittorini"/>
    <x v="0"/>
    <s v="United States"/>
    <s v="Oceanside"/>
    <s v="New York"/>
    <x v="2"/>
    <s v="FUR-FU-10000221"/>
    <s v="Furniture"/>
    <x v="3"/>
    <x v="111"/>
    <n v="20.32"/>
    <n v="4"/>
    <n v="6.9088000000000003"/>
    <s v="2- days"/>
    <n v="2"/>
    <x v="9"/>
  </r>
  <r>
    <s v="CA-2016-128594"/>
    <d v="2016-08-26T00:00:00"/>
    <d v="2016-08-29T00:00:00"/>
    <x v="2"/>
    <s v="DJ-13510"/>
    <s v="Don Jones"/>
    <x v="1"/>
    <s v="United States"/>
    <s v="San Diego"/>
    <s v="California"/>
    <x v="1"/>
    <s v="FUR-CH-10001215"/>
    <s v="Furniture"/>
    <x v="1"/>
    <x v="94"/>
    <n v="1603.136"/>
    <n v="4"/>
    <n v="100.196"/>
    <s v="3- days"/>
    <n v="3"/>
    <x v="10"/>
  </r>
  <r>
    <s v="CA-2016-154690"/>
    <d v="2016-08-15T00:00:00"/>
    <d v="2016-08-17T00:00:00"/>
    <x v="0"/>
    <s v="CC-12370"/>
    <s v="Christopher Conant"/>
    <x v="0"/>
    <s v="United States"/>
    <s v="Fayetteville"/>
    <s v="North Carolina"/>
    <x v="0"/>
    <s v="FUR-CH-10000988"/>
    <s v="Furniture"/>
    <x v="1"/>
    <x v="221"/>
    <n v="225.29599999999999"/>
    <n v="2"/>
    <n v="22.529599999999999"/>
    <s v="2- days"/>
    <n v="2"/>
    <x v="10"/>
  </r>
  <r>
    <s v="CA-2017-138975"/>
    <d v="2017-05-19T00:00:00"/>
    <d v="2017-05-23T00:00:00"/>
    <x v="1"/>
    <s v="SC-20380"/>
    <s v="Shahid Collister"/>
    <x v="0"/>
    <s v="United States"/>
    <s v="Atlanta"/>
    <s v="Georgia"/>
    <x v="0"/>
    <s v="FUR-BO-10004695"/>
    <s v="Furniture"/>
    <x v="0"/>
    <x v="38"/>
    <n v="1628.82"/>
    <n v="9"/>
    <n v="374.62860000000001"/>
    <s v="4- days"/>
    <n v="4"/>
    <x v="7"/>
  </r>
  <r>
    <s v="CA-2017-143861"/>
    <d v="2017-06-12T00:00:00"/>
    <d v="2017-06-19T00:00:00"/>
    <x v="1"/>
    <s v="LC-16885"/>
    <s v="Lena Creighton"/>
    <x v="0"/>
    <s v="United States"/>
    <s v="Saint Petersburg"/>
    <s v="Florida"/>
    <x v="0"/>
    <s v="FUR-FU-10001546"/>
    <s v="Furniture"/>
    <x v="3"/>
    <x v="284"/>
    <n v="17.088000000000001"/>
    <n v="2"/>
    <n v="1.0680000000000001"/>
    <s v="7- days"/>
    <n v="7"/>
    <x v="2"/>
  </r>
  <r>
    <s v="CA-2014-148040"/>
    <d v="2014-03-22T00:00:00"/>
    <d v="2014-03-26T00:00:00"/>
    <x v="1"/>
    <s v="BF-11275"/>
    <s v="Beth Fritzler"/>
    <x v="1"/>
    <s v="United States"/>
    <s v="Tucson"/>
    <s v="Arizona"/>
    <x v="1"/>
    <s v="FUR-CH-10001482"/>
    <s v="Furniture"/>
    <x v="1"/>
    <x v="112"/>
    <n v="314.35199999999998"/>
    <n v="3"/>
    <n v="-35.364600000000003"/>
    <s v="4- days"/>
    <n v="4"/>
    <x v="9"/>
  </r>
  <r>
    <s v="US-2016-167339"/>
    <d v="2016-01-21T00:00:00"/>
    <d v="2016-01-23T00:00:00"/>
    <x v="0"/>
    <s v="TD-20995"/>
    <s v="Tamara Dahlen"/>
    <x v="0"/>
    <s v="United States"/>
    <s v="San Diego"/>
    <s v="California"/>
    <x v="1"/>
    <s v="FUR-CH-10004289"/>
    <s v="Furniture"/>
    <x v="1"/>
    <x v="196"/>
    <n v="153.56800000000001"/>
    <n v="2"/>
    <n v="-5.7587999999999999"/>
    <s v="2- days"/>
    <n v="2"/>
    <x v="8"/>
  </r>
  <r>
    <s v="US-2016-167339"/>
    <d v="2016-01-21T00:00:00"/>
    <d v="2016-01-23T00:00:00"/>
    <x v="0"/>
    <s v="TD-20995"/>
    <s v="Tamara Dahlen"/>
    <x v="0"/>
    <s v="United States"/>
    <s v="San Diego"/>
    <s v="California"/>
    <x v="1"/>
    <s v="FUR-CH-10000785"/>
    <s v="Furniture"/>
    <x v="1"/>
    <x v="69"/>
    <n v="1013.4880000000001"/>
    <n v="7"/>
    <n v="76.011600000000001"/>
    <s v="2- days"/>
    <n v="2"/>
    <x v="8"/>
  </r>
  <r>
    <s v="CA-2016-130799"/>
    <d v="2016-11-11T00:00:00"/>
    <d v="2016-11-16T00:00:00"/>
    <x v="0"/>
    <s v="BK-11260"/>
    <s v="Berenike Kampe"/>
    <x v="0"/>
    <s v="United States"/>
    <s v="San Francisco"/>
    <s v="California"/>
    <x v="1"/>
    <s v="FUR-FU-10001852"/>
    <s v="Furniture"/>
    <x v="3"/>
    <x v="166"/>
    <n v="6.96"/>
    <n v="4"/>
    <n v="2.2271999999999998"/>
    <s v="5- days"/>
    <n v="5"/>
    <x v="0"/>
  </r>
  <r>
    <s v="US-2016-159856"/>
    <d v="2016-10-18T00:00:00"/>
    <d v="2016-10-22T00:00:00"/>
    <x v="1"/>
    <s v="EP-13915"/>
    <s v="Emily Phan"/>
    <x v="0"/>
    <s v="United States"/>
    <s v="Tempe"/>
    <s v="Arizona"/>
    <x v="1"/>
    <s v="FUR-CH-10003396"/>
    <s v="Furniture"/>
    <x v="1"/>
    <x v="81"/>
    <n v="307.92"/>
    <n v="5"/>
    <n v="-34.640999999999998"/>
    <s v="4- days"/>
    <n v="4"/>
    <x v="1"/>
  </r>
  <r>
    <s v="CA-2014-142727"/>
    <d v="2014-04-29T00:00:00"/>
    <d v="2014-05-01T00:00:00"/>
    <x v="0"/>
    <s v="HG-14845"/>
    <s v="Harry Greene"/>
    <x v="0"/>
    <s v="United States"/>
    <s v="Lake Charles"/>
    <s v="Louisiana"/>
    <x v="0"/>
    <s v="FUR-CH-10002304"/>
    <s v="Furniture"/>
    <x v="1"/>
    <x v="158"/>
    <n v="51.96"/>
    <n v="2"/>
    <n v="12.99"/>
    <s v="2- days"/>
    <n v="2"/>
    <x v="6"/>
  </r>
  <r>
    <s v="CA-2017-139913"/>
    <d v="2017-10-23T00:00:00"/>
    <d v="2017-10-29T00:00:00"/>
    <x v="1"/>
    <s v="JC-16105"/>
    <s v="Julie Creighton"/>
    <x v="1"/>
    <s v="United States"/>
    <s v="Rochester"/>
    <s v="New York"/>
    <x v="2"/>
    <s v="FUR-FU-10000771"/>
    <s v="Furniture"/>
    <x v="3"/>
    <x v="285"/>
    <n v="69.08"/>
    <n v="11"/>
    <n v="29.0136"/>
    <s v="6- days"/>
    <n v="6"/>
    <x v="1"/>
  </r>
  <r>
    <s v="US-2015-114839"/>
    <d v="2015-04-26T00:00:00"/>
    <d v="2015-04-30T00:00:00"/>
    <x v="1"/>
    <s v="PW-19240"/>
    <s v="Pierre Wener"/>
    <x v="0"/>
    <s v="United States"/>
    <s v="Houston"/>
    <s v="Texas"/>
    <x v="3"/>
    <s v="FUR-CH-10004086"/>
    <s v="Furniture"/>
    <x v="1"/>
    <x v="61"/>
    <n v="408.42200000000003"/>
    <n v="2"/>
    <n v="-5.8346"/>
    <s v="4- days"/>
    <n v="4"/>
    <x v="6"/>
  </r>
  <r>
    <s v="CA-2016-153577"/>
    <d v="2016-06-27T00:00:00"/>
    <d v="2016-07-01T00:00:00"/>
    <x v="1"/>
    <s v="KH-16330"/>
    <s v="Katharine Harms"/>
    <x v="1"/>
    <s v="United States"/>
    <s v="Highland Park"/>
    <s v="Illinois"/>
    <x v="3"/>
    <s v="FUR-CH-10003981"/>
    <s v="Furniture"/>
    <x v="1"/>
    <x v="232"/>
    <n v="539.65800000000002"/>
    <n v="3"/>
    <n v="-7.7093999999999996"/>
    <s v="4- days"/>
    <n v="4"/>
    <x v="2"/>
  </r>
  <r>
    <s v="CA-2016-160129"/>
    <d v="2016-11-23T00:00:00"/>
    <d v="2016-11-23T00:00:00"/>
    <x v="3"/>
    <s v="LS-17200"/>
    <s v="Luke Schmidt"/>
    <x v="1"/>
    <s v="United States"/>
    <s v="Philadelphia"/>
    <s v="Pennsylvania"/>
    <x v="2"/>
    <s v="FUR-FU-10002088"/>
    <s v="Furniture"/>
    <x v="3"/>
    <x v="209"/>
    <n v="14.368"/>
    <n v="2"/>
    <n v="3.9512"/>
    <s v="0- days"/>
    <n v="0"/>
    <x v="0"/>
  </r>
  <r>
    <s v="CA-2016-160129"/>
    <d v="2016-11-23T00:00:00"/>
    <d v="2016-11-23T00:00:00"/>
    <x v="3"/>
    <s v="LS-17200"/>
    <s v="Luke Schmidt"/>
    <x v="1"/>
    <s v="United States"/>
    <s v="Philadelphia"/>
    <s v="Pennsylvania"/>
    <x v="2"/>
    <s v="FUR-FU-10003976"/>
    <s v="Furniture"/>
    <x v="3"/>
    <x v="195"/>
    <n v="70.447999999999993"/>
    <n v="7"/>
    <n v="12.3284"/>
    <s v="0- days"/>
    <n v="0"/>
    <x v="0"/>
  </r>
  <r>
    <s v="CA-2014-157721"/>
    <d v="2014-09-02T00:00:00"/>
    <d v="2014-09-05T00:00:00"/>
    <x v="2"/>
    <s v="JM-16195"/>
    <s v="Justin MacKendrick"/>
    <x v="0"/>
    <s v="United States"/>
    <s v="Watertown"/>
    <s v="New York"/>
    <x v="2"/>
    <s v="FUR-FU-10002116"/>
    <s v="Furniture"/>
    <x v="3"/>
    <x v="286"/>
    <n v="70.709999999999994"/>
    <n v="1"/>
    <n v="4.9497"/>
    <s v="3- days"/>
    <n v="3"/>
    <x v="4"/>
  </r>
  <r>
    <s v="CA-2017-128629"/>
    <d v="2017-07-10T00:00:00"/>
    <d v="2017-07-14T00:00:00"/>
    <x v="0"/>
    <s v="BP-11155"/>
    <s v="Becky Pak"/>
    <x v="0"/>
    <s v="United States"/>
    <s v="Columbus"/>
    <s v="Georgia"/>
    <x v="0"/>
    <s v="FUR-FU-10000771"/>
    <s v="Furniture"/>
    <x v="3"/>
    <x v="285"/>
    <n v="18.84"/>
    <n v="3"/>
    <n v="7.9127999999999998"/>
    <s v="4- days"/>
    <n v="4"/>
    <x v="3"/>
  </r>
  <r>
    <s v="CA-2017-143434"/>
    <d v="2017-11-18T00:00:00"/>
    <d v="2017-11-24T00:00:00"/>
    <x v="1"/>
    <s v="ME-17320"/>
    <s v="Maria Etezadi"/>
    <x v="2"/>
    <s v="United States"/>
    <s v="Saginaw"/>
    <s v="Michigan"/>
    <x v="3"/>
    <s v="FUR-FU-10002597"/>
    <s v="Furniture"/>
    <x v="3"/>
    <x v="132"/>
    <n v="19.760000000000002"/>
    <n v="4"/>
    <n v="8.2992000000000008"/>
    <s v="6- days"/>
    <n v="6"/>
    <x v="0"/>
  </r>
  <r>
    <s v="CA-2015-168564"/>
    <d v="2015-08-08T00:00:00"/>
    <d v="2015-08-08T00:00:00"/>
    <x v="3"/>
    <s v="TT-21220"/>
    <s v="Thomas Thornton"/>
    <x v="0"/>
    <s v="United States"/>
    <s v="San Francisco"/>
    <s v="California"/>
    <x v="1"/>
    <s v="FUR-CH-10000785"/>
    <s v="Furniture"/>
    <x v="1"/>
    <x v="69"/>
    <n v="144.78399999999999"/>
    <n v="1"/>
    <n v="10.8588"/>
    <s v="0- days"/>
    <n v="0"/>
    <x v="10"/>
  </r>
  <r>
    <s v="CA-2017-155880"/>
    <d v="2017-03-25T00:00:00"/>
    <d v="2017-03-31T00:00:00"/>
    <x v="1"/>
    <s v="JD-16150"/>
    <s v="Justin Deggeller"/>
    <x v="1"/>
    <s v="United States"/>
    <s v="Milwaukee"/>
    <s v="Wisconsin"/>
    <x v="3"/>
    <s v="FUR-CH-10000422"/>
    <s v="Furniture"/>
    <x v="1"/>
    <x v="287"/>
    <n v="90.99"/>
    <n v="1"/>
    <n v="14.558400000000001"/>
    <s v="6- days"/>
    <n v="6"/>
    <x v="9"/>
  </r>
  <r>
    <s v="CA-2017-155880"/>
    <d v="2017-03-25T00:00:00"/>
    <d v="2017-03-31T00:00:00"/>
    <x v="1"/>
    <s v="JD-16150"/>
    <s v="Justin Deggeller"/>
    <x v="1"/>
    <s v="United States"/>
    <s v="Milwaukee"/>
    <s v="Wisconsin"/>
    <x v="3"/>
    <s v="FUR-CH-10004675"/>
    <s v="Furniture"/>
    <x v="1"/>
    <x v="135"/>
    <n v="1526.56"/>
    <n v="7"/>
    <n v="427.43680000000001"/>
    <s v="6- days"/>
    <n v="6"/>
    <x v="9"/>
  </r>
  <r>
    <s v="CA-2017-155880"/>
    <d v="2017-03-25T00:00:00"/>
    <d v="2017-03-31T00:00:00"/>
    <x v="1"/>
    <s v="JD-16150"/>
    <s v="Justin Deggeller"/>
    <x v="1"/>
    <s v="United States"/>
    <s v="Milwaukee"/>
    <s v="Wisconsin"/>
    <x v="3"/>
    <s v="FUR-CH-10002880"/>
    <s v="Furniture"/>
    <x v="1"/>
    <x v="162"/>
    <n v="368.97"/>
    <n v="3"/>
    <n v="40.5867"/>
    <s v="6- days"/>
    <n v="6"/>
    <x v="9"/>
  </r>
  <r>
    <s v="CA-2017-126242"/>
    <d v="2017-11-19T00:00:00"/>
    <d v="2017-11-24T00:00:00"/>
    <x v="1"/>
    <s v="MC-18100"/>
    <s v="Mick Crebagga"/>
    <x v="0"/>
    <s v="United States"/>
    <s v="Los Angeles"/>
    <s v="California"/>
    <x v="1"/>
    <s v="FUR-FU-10002685"/>
    <s v="Furniture"/>
    <x v="3"/>
    <x v="288"/>
    <n v="18.7"/>
    <n v="1"/>
    <n v="7.1059999999999999"/>
    <s v="5- days"/>
    <n v="5"/>
    <x v="0"/>
  </r>
  <r>
    <s v="CA-2016-166443"/>
    <d v="2016-11-04T00:00:00"/>
    <d v="2016-11-05T00:00:00"/>
    <x v="2"/>
    <s v="LH-17020"/>
    <s v="Lisa Hazard"/>
    <x v="0"/>
    <s v="United States"/>
    <s v="San Francisco"/>
    <s v="California"/>
    <x v="1"/>
    <s v="FUR-FU-10004020"/>
    <s v="Furniture"/>
    <x v="3"/>
    <x v="104"/>
    <n v="38.29"/>
    <n v="7"/>
    <n v="16.464700000000001"/>
    <s v="1- days"/>
    <n v="1"/>
    <x v="0"/>
  </r>
  <r>
    <s v="CA-2017-169859"/>
    <d v="2017-12-14T00:00:00"/>
    <d v="2017-12-18T00:00:00"/>
    <x v="1"/>
    <s v="MP-18175"/>
    <s v="Mike Pelletier"/>
    <x v="2"/>
    <s v="United States"/>
    <s v="San Diego"/>
    <s v="California"/>
    <x v="1"/>
    <s v="FUR-FU-10004963"/>
    <s v="Furniture"/>
    <x v="3"/>
    <x v="289"/>
    <n v="26.25"/>
    <n v="3"/>
    <n v="11.025"/>
    <s v="4- days"/>
    <n v="4"/>
    <x v="5"/>
  </r>
  <r>
    <s v="CA-2017-134915"/>
    <d v="2017-11-12T00:00:00"/>
    <d v="2017-11-12T00:00:00"/>
    <x v="3"/>
    <s v="EM-14140"/>
    <s v="Eugene Moren"/>
    <x v="2"/>
    <s v="United States"/>
    <s v="Glendale"/>
    <s v="Arizona"/>
    <x v="1"/>
    <s v="FUR-CH-10004875"/>
    <s v="Furniture"/>
    <x v="1"/>
    <x v="290"/>
    <n v="113.88800000000001"/>
    <n v="2"/>
    <n v="9.9651999999999994"/>
    <s v="0- days"/>
    <n v="0"/>
    <x v="0"/>
  </r>
  <r>
    <s v="CA-2017-134915"/>
    <d v="2017-11-12T00:00:00"/>
    <d v="2017-11-12T00:00:00"/>
    <x v="3"/>
    <s v="EM-14140"/>
    <s v="Eugene Moren"/>
    <x v="2"/>
    <s v="United States"/>
    <s v="Glendale"/>
    <s v="Arizona"/>
    <x v="1"/>
    <s v="FUR-FU-10000305"/>
    <s v="Furniture"/>
    <x v="3"/>
    <x v="291"/>
    <n v="113.568"/>
    <n v="2"/>
    <n v="-5.6783999999999999"/>
    <s v="0- days"/>
    <n v="0"/>
    <x v="0"/>
  </r>
  <r>
    <s v="CA-2017-123638"/>
    <d v="2017-06-27T00:00:00"/>
    <d v="2017-07-04T00:00:00"/>
    <x v="1"/>
    <s v="MA-17995"/>
    <s v="Michelle Arnett"/>
    <x v="2"/>
    <s v="United States"/>
    <s v="Watertown"/>
    <s v="New York"/>
    <x v="2"/>
    <s v="FUR-CH-10002647"/>
    <s v="Furniture"/>
    <x v="1"/>
    <x v="99"/>
    <n v="191.64599999999999"/>
    <n v="3"/>
    <n v="31.940999999999999"/>
    <s v="7- days"/>
    <n v="7"/>
    <x v="2"/>
  </r>
  <r>
    <s v="CA-2017-137428"/>
    <d v="2017-12-16T00:00:00"/>
    <d v="2017-12-21T00:00:00"/>
    <x v="0"/>
    <s v="AY-10555"/>
    <s v="Andy Yotov"/>
    <x v="1"/>
    <s v="United States"/>
    <s v="Oceanside"/>
    <s v="California"/>
    <x v="1"/>
    <s v="FUR-CH-10002774"/>
    <s v="Furniture"/>
    <x v="1"/>
    <x v="5"/>
    <n v="81.567999999999998"/>
    <n v="2"/>
    <n v="9.1763999999999992"/>
    <s v="5- days"/>
    <n v="5"/>
    <x v="5"/>
  </r>
  <r>
    <s v="CA-2017-137428"/>
    <d v="2017-12-16T00:00:00"/>
    <d v="2017-12-21T00:00:00"/>
    <x v="0"/>
    <s v="AY-10555"/>
    <s v="Andy Yotov"/>
    <x v="1"/>
    <s v="United States"/>
    <s v="Oceanside"/>
    <s v="California"/>
    <x v="1"/>
    <s v="FUR-CH-10003817"/>
    <s v="Furniture"/>
    <x v="1"/>
    <x v="33"/>
    <n v="97.183999999999997"/>
    <n v="2"/>
    <n v="6.0739999999999998"/>
    <s v="5- days"/>
    <n v="5"/>
    <x v="5"/>
  </r>
  <r>
    <s v="CA-2017-137428"/>
    <d v="2017-12-16T00:00:00"/>
    <d v="2017-12-21T00:00:00"/>
    <x v="0"/>
    <s v="AY-10555"/>
    <s v="Andy Yotov"/>
    <x v="1"/>
    <s v="United States"/>
    <s v="Oceanside"/>
    <s v="California"/>
    <x v="1"/>
    <s v="FUR-FU-10002445"/>
    <s v="Furniture"/>
    <x v="3"/>
    <x v="292"/>
    <n v="18.96"/>
    <n v="2"/>
    <n v="7.5839999999999996"/>
    <s v="5- days"/>
    <n v="5"/>
    <x v="5"/>
  </r>
  <r>
    <s v="CA-2014-162866"/>
    <d v="2014-12-27T00:00:00"/>
    <d v="2014-12-31T00:00:00"/>
    <x v="1"/>
    <s v="Co-12640"/>
    <s v="Corey-Lock"/>
    <x v="0"/>
    <s v="United States"/>
    <s v="Skokie"/>
    <s v="Illinois"/>
    <x v="3"/>
    <s v="FUR-FU-10001473"/>
    <s v="Furniture"/>
    <x v="3"/>
    <x v="198"/>
    <n v="32.951999999999998"/>
    <n v="6"/>
    <n v="-19.7712"/>
    <s v="4- days"/>
    <n v="4"/>
    <x v="5"/>
  </r>
  <r>
    <s v="CA-2017-167941"/>
    <d v="2017-11-06T00:00:00"/>
    <d v="2017-11-09T00:00:00"/>
    <x v="0"/>
    <s v="JF-15565"/>
    <s v="Jill Fjeld"/>
    <x v="0"/>
    <s v="United States"/>
    <s v="Fayetteville"/>
    <s v="North Carolina"/>
    <x v="0"/>
    <s v="FUR-FU-10004671"/>
    <s v="Furniture"/>
    <x v="3"/>
    <x v="272"/>
    <n v="28.271999999999998"/>
    <n v="2"/>
    <n v="6.3612000000000002"/>
    <s v="3- days"/>
    <n v="3"/>
    <x v="0"/>
  </r>
  <r>
    <s v="CA-2015-137512"/>
    <d v="2015-05-07T00:00:00"/>
    <d v="2015-05-12T00:00:00"/>
    <x v="1"/>
    <s v="AG-10675"/>
    <s v="Anna Gayman"/>
    <x v="0"/>
    <s v="United States"/>
    <s v="Allen"/>
    <s v="Texas"/>
    <x v="3"/>
    <s v="FUR-TA-10001095"/>
    <s v="Furniture"/>
    <x v="2"/>
    <x v="129"/>
    <n v="244.006"/>
    <n v="2"/>
    <n v="-31.372199999999999"/>
    <s v="5- days"/>
    <n v="5"/>
    <x v="7"/>
  </r>
  <r>
    <s v="CA-2017-139773"/>
    <d v="2017-12-04T00:00:00"/>
    <d v="2017-12-04T00:00:00"/>
    <x v="3"/>
    <s v="DV-13045"/>
    <s v="Darrin Van Huff"/>
    <x v="1"/>
    <s v="United States"/>
    <s v="Philadelphia"/>
    <s v="Pennsylvania"/>
    <x v="2"/>
    <s v="FUR-CH-10001797"/>
    <s v="Furniture"/>
    <x v="1"/>
    <x v="293"/>
    <n v="188.55199999999999"/>
    <n v="7"/>
    <n v="-2.6936"/>
    <s v="0- days"/>
    <n v="0"/>
    <x v="5"/>
  </r>
  <r>
    <s v="CA-2014-109232"/>
    <d v="2014-01-13T00:00:00"/>
    <d v="2014-01-16T00:00:00"/>
    <x v="0"/>
    <s v="ND-18370"/>
    <s v="Natalie DeCherney"/>
    <x v="0"/>
    <s v="United States"/>
    <s v="Mount Pleasant"/>
    <s v="South Carolina"/>
    <x v="0"/>
    <s v="FUR-CH-10000422"/>
    <s v="Furniture"/>
    <x v="1"/>
    <x v="287"/>
    <n v="545.94000000000005"/>
    <n v="6"/>
    <n v="87.350399999999993"/>
    <s v="3- days"/>
    <n v="3"/>
    <x v="8"/>
  </r>
  <r>
    <s v="CA-2015-139850"/>
    <d v="2015-06-12T00:00:00"/>
    <d v="2015-06-17T00:00:00"/>
    <x v="1"/>
    <s v="GB-14575"/>
    <s v="Giulietta Baptist"/>
    <x v="0"/>
    <s v="United States"/>
    <s v="Philadelphia"/>
    <s v="Pennsylvania"/>
    <x v="2"/>
    <s v="FUR-FU-10003623"/>
    <s v="Furniture"/>
    <x v="3"/>
    <x v="241"/>
    <n v="43.295999999999999"/>
    <n v="2"/>
    <n v="4.3296000000000001"/>
    <s v="5- days"/>
    <n v="5"/>
    <x v="2"/>
  </r>
  <r>
    <s v="CA-2014-131310"/>
    <d v="2014-07-12T00:00:00"/>
    <d v="2014-07-18T00:00:00"/>
    <x v="1"/>
    <s v="CL-12565"/>
    <s v="Clay Ludtke"/>
    <x v="0"/>
    <s v="United States"/>
    <s v="Seattle"/>
    <s v="Washington"/>
    <x v="1"/>
    <s v="FUR-CH-10001797"/>
    <s v="Furniture"/>
    <x v="1"/>
    <x v="293"/>
    <n v="123.136"/>
    <n v="4"/>
    <n v="13.8528"/>
    <s v="6- days"/>
    <n v="6"/>
    <x v="3"/>
  </r>
  <r>
    <s v="US-2014-112872"/>
    <d v="2014-12-06T00:00:00"/>
    <d v="2014-12-11T00:00:00"/>
    <x v="0"/>
    <s v="RC-19960"/>
    <s v="Ryan Crowe"/>
    <x v="0"/>
    <s v="United States"/>
    <s v="Springfield"/>
    <s v="Oregon"/>
    <x v="1"/>
    <s v="FUR-TA-10003238"/>
    <s v="Furniture"/>
    <x v="2"/>
    <x v="243"/>
    <n v="275.49"/>
    <n v="1"/>
    <n v="-170.8038"/>
    <s v="5- days"/>
    <n v="5"/>
    <x v="5"/>
  </r>
  <r>
    <s v="CA-2016-139269"/>
    <d v="2016-05-25T00:00:00"/>
    <d v="2016-05-30T00:00:00"/>
    <x v="1"/>
    <s v="JB-16045"/>
    <s v="Julia Barnett"/>
    <x v="2"/>
    <s v="United States"/>
    <s v="Columbus"/>
    <s v="Georgia"/>
    <x v="0"/>
    <s v="FUR-FU-10000755"/>
    <s v="Furniture"/>
    <x v="3"/>
    <x v="294"/>
    <n v="24.96"/>
    <n v="4"/>
    <n v="6.24"/>
    <s v="5- days"/>
    <n v="5"/>
    <x v="7"/>
  </r>
  <r>
    <s v="CA-2014-138317"/>
    <d v="2014-06-21T00:00:00"/>
    <d v="2014-06-25T00:00:00"/>
    <x v="1"/>
    <s v="NW-18400"/>
    <s v="Natalie Webber"/>
    <x v="0"/>
    <s v="United States"/>
    <s v="Philadelphia"/>
    <s v="Pennsylvania"/>
    <x v="2"/>
    <s v="FUR-FU-10000550"/>
    <s v="Furniture"/>
    <x v="3"/>
    <x v="295"/>
    <n v="3.984"/>
    <n v="1"/>
    <n v="0.64739999999999998"/>
    <s v="4- days"/>
    <n v="4"/>
    <x v="2"/>
  </r>
  <r>
    <s v="CA-2016-124772"/>
    <d v="2016-12-05T00:00:00"/>
    <d v="2016-12-06T00:00:00"/>
    <x v="2"/>
    <s v="JG-15160"/>
    <s v="James Galang"/>
    <x v="0"/>
    <s v="United States"/>
    <s v="Murray"/>
    <s v="Kentucky"/>
    <x v="0"/>
    <s v="FUR-FU-10004748"/>
    <s v="Furniture"/>
    <x v="3"/>
    <x v="245"/>
    <n v="191.82"/>
    <n v="3"/>
    <n v="74.809799999999996"/>
    <s v="1- days"/>
    <n v="1"/>
    <x v="5"/>
  </r>
  <r>
    <s v="US-2015-138919"/>
    <d v="2015-09-17T00:00:00"/>
    <d v="2015-09-21T00:00:00"/>
    <x v="1"/>
    <s v="LS-16975"/>
    <s v="Lindsay Shagiari"/>
    <x v="2"/>
    <s v="United States"/>
    <s v="New York City"/>
    <s v="New York"/>
    <x v="2"/>
    <s v="FUR-TA-10004154"/>
    <s v="Furniture"/>
    <x v="2"/>
    <x v="149"/>
    <n v="344.22"/>
    <n v="2"/>
    <n v="-103.26600000000001"/>
    <s v="4- days"/>
    <n v="4"/>
    <x v="4"/>
  </r>
  <r>
    <s v="US-2016-160528"/>
    <d v="2016-08-23T00:00:00"/>
    <d v="2016-08-30T00:00:00"/>
    <x v="1"/>
    <s v="MH-18115"/>
    <s v="Mick Hernandez"/>
    <x v="2"/>
    <s v="United States"/>
    <s v="Pharr"/>
    <s v="Texas"/>
    <x v="3"/>
    <s v="FUR-FU-10004973"/>
    <s v="Furniture"/>
    <x v="3"/>
    <x v="223"/>
    <n v="22.608000000000001"/>
    <n v="3"/>
    <n v="-10.1736"/>
    <s v="7- days"/>
    <n v="7"/>
    <x v="10"/>
  </r>
  <r>
    <s v="CA-2015-123568"/>
    <d v="2015-11-08T00:00:00"/>
    <d v="2015-11-14T00:00:00"/>
    <x v="1"/>
    <s v="SC-20095"/>
    <s v="Sanjit Chand"/>
    <x v="0"/>
    <s v="United States"/>
    <s v="West Jordan"/>
    <s v="Utah"/>
    <x v="1"/>
    <s v="FUR-FU-10004090"/>
    <s v="Furniture"/>
    <x v="3"/>
    <x v="137"/>
    <n v="66.69"/>
    <n v="3"/>
    <n v="22.0077"/>
    <s v="6- days"/>
    <n v="6"/>
    <x v="0"/>
  </r>
  <r>
    <s v="CA-2017-124674"/>
    <d v="2017-11-17T00:00:00"/>
    <d v="2017-11-23T00:00:00"/>
    <x v="1"/>
    <s v="JB-16000"/>
    <s v="Joy Bell-"/>
    <x v="0"/>
    <s v="United States"/>
    <s v="Brownsville"/>
    <s v="Texas"/>
    <x v="3"/>
    <s v="FUR-BO-10002202"/>
    <s v="Furniture"/>
    <x v="0"/>
    <x v="248"/>
    <n v="327.7328"/>
    <n v="2"/>
    <n v="-14.4588"/>
    <s v="6- days"/>
    <n v="6"/>
    <x v="0"/>
  </r>
  <r>
    <s v="CA-2017-169054"/>
    <d v="2017-04-22T00:00:00"/>
    <d v="2017-04-26T00:00:00"/>
    <x v="1"/>
    <s v="MO-17800"/>
    <s v="Meg O'Connel"/>
    <x v="2"/>
    <s v="United States"/>
    <s v="Philadelphia"/>
    <s v="Pennsylvania"/>
    <x v="2"/>
    <s v="FUR-FU-10001488"/>
    <s v="Furniture"/>
    <x v="3"/>
    <x v="204"/>
    <n v="254.352"/>
    <n v="3"/>
    <n v="0"/>
    <s v="4- days"/>
    <n v="4"/>
    <x v="6"/>
  </r>
  <r>
    <s v="CA-2017-116855"/>
    <d v="2017-12-17T00:00:00"/>
    <d v="2017-12-21T00:00:00"/>
    <x v="1"/>
    <s v="AI-10855"/>
    <s v="Arianne Irving"/>
    <x v="0"/>
    <s v="United States"/>
    <s v="Chesapeake"/>
    <s v="Virginia"/>
    <x v="0"/>
    <s v="FUR-CH-10003846"/>
    <s v="Furniture"/>
    <x v="1"/>
    <x v="186"/>
    <n v="504.9"/>
    <n v="5"/>
    <n v="80.784000000000006"/>
    <s v="4- days"/>
    <n v="4"/>
    <x v="5"/>
  </r>
  <r>
    <s v="CA-2015-168480"/>
    <d v="2015-09-21T00:00:00"/>
    <d v="2015-09-27T00:00:00"/>
    <x v="1"/>
    <s v="DM-12955"/>
    <s v="Dario Medina"/>
    <x v="1"/>
    <s v="United States"/>
    <s v="Lincoln Park"/>
    <s v="Michigan"/>
    <x v="3"/>
    <s v="FUR-BO-10000468"/>
    <s v="Furniture"/>
    <x v="0"/>
    <x v="233"/>
    <n v="194.32"/>
    <n v="4"/>
    <n v="31.091200000000001"/>
    <s v="6- days"/>
    <n v="6"/>
    <x v="4"/>
  </r>
  <r>
    <s v="US-2016-114293"/>
    <d v="2016-11-21T00:00:00"/>
    <d v="2016-11-26T00:00:00"/>
    <x v="1"/>
    <s v="JH-16180"/>
    <s v="Justin Hirsh"/>
    <x v="0"/>
    <s v="United States"/>
    <s v="Gresham"/>
    <s v="Oregon"/>
    <x v="1"/>
    <s v="FUR-CH-10003833"/>
    <s v="Furniture"/>
    <x v="1"/>
    <x v="237"/>
    <n v="195.136"/>
    <n v="4"/>
    <n v="-12.196"/>
    <s v="5- days"/>
    <n v="5"/>
    <x v="0"/>
  </r>
  <r>
    <s v="US-2015-123960"/>
    <d v="2015-06-11T00:00:00"/>
    <d v="2015-06-16T00:00:00"/>
    <x v="1"/>
    <s v="BD-11605"/>
    <s v="Brian Dahlen"/>
    <x v="0"/>
    <s v="United States"/>
    <s v="Monroe"/>
    <s v="Louisiana"/>
    <x v="0"/>
    <s v="FUR-FU-10004666"/>
    <s v="Furniture"/>
    <x v="3"/>
    <x v="296"/>
    <n v="29.16"/>
    <n v="2"/>
    <n v="10.789199999999999"/>
    <s v="5- days"/>
    <n v="5"/>
    <x v="2"/>
  </r>
  <r>
    <s v="CA-2017-101749"/>
    <d v="2017-10-03T00:00:00"/>
    <d v="2017-10-08T00:00:00"/>
    <x v="1"/>
    <s v="AS-10045"/>
    <s v="Aaron Smayling"/>
    <x v="1"/>
    <s v="United States"/>
    <s v="Pasadena"/>
    <s v="California"/>
    <x v="1"/>
    <s v="FUR-TA-10001520"/>
    <s v="Furniture"/>
    <x v="2"/>
    <x v="146"/>
    <n v="171.28800000000001"/>
    <n v="3"/>
    <n v="-6.4233000000000002"/>
    <s v="5- days"/>
    <n v="5"/>
    <x v="1"/>
  </r>
  <r>
    <s v="US-2016-147991"/>
    <d v="2016-05-05T00:00:00"/>
    <d v="2016-05-09T00:00:00"/>
    <x v="1"/>
    <s v="ZD-21925"/>
    <s v="Zuschuss Donatelli"/>
    <x v="0"/>
    <s v="United States"/>
    <s v="Chattanooga"/>
    <s v="Tennessee"/>
    <x v="0"/>
    <s v="FUR-FU-10004270"/>
    <s v="Furniture"/>
    <x v="3"/>
    <x v="200"/>
    <n v="16.72"/>
    <n v="5"/>
    <n v="3.3439999999999999"/>
    <s v="4- days"/>
    <n v="4"/>
    <x v="7"/>
  </r>
  <r>
    <s v="CA-2017-149559"/>
    <d v="2017-09-11T00:00:00"/>
    <d v="2017-09-12T00:00:00"/>
    <x v="3"/>
    <s v="KF-16285"/>
    <s v="Karen Ferguson"/>
    <x v="2"/>
    <s v="United States"/>
    <s v="Long Beach"/>
    <s v="California"/>
    <x v="1"/>
    <s v="FUR-CH-10002320"/>
    <s v="Furniture"/>
    <x v="1"/>
    <x v="297"/>
    <n v="2054.2719999999999"/>
    <n v="8"/>
    <n v="256.78399999999999"/>
    <s v="1- days"/>
    <n v="1"/>
    <x v="4"/>
  </r>
  <r>
    <s v="CA-2017-121419"/>
    <d v="2017-04-02T00:00:00"/>
    <d v="2017-04-04T00:00:00"/>
    <x v="2"/>
    <s v="TC-21475"/>
    <s v="Tony Chapman"/>
    <x v="2"/>
    <s v="United States"/>
    <s v="Columbus"/>
    <s v="Georgia"/>
    <x v="0"/>
    <s v="FUR-TA-10004534"/>
    <s v="Furniture"/>
    <x v="2"/>
    <x v="28"/>
    <n v="411.8"/>
    <n v="2"/>
    <n v="70.006"/>
    <s v="2- days"/>
    <n v="2"/>
    <x v="6"/>
  </r>
  <r>
    <s v="US-2017-148054"/>
    <d v="2017-10-06T00:00:00"/>
    <d v="2017-10-11T00:00:00"/>
    <x v="1"/>
    <s v="NZ-18565"/>
    <s v="Nick Zandusky"/>
    <x v="2"/>
    <s v="United States"/>
    <s v="Meridian"/>
    <s v="Idaho"/>
    <x v="1"/>
    <s v="FUR-FU-10003247"/>
    <s v="Furniture"/>
    <x v="3"/>
    <x v="298"/>
    <n v="41.96"/>
    <n v="2"/>
    <n v="2.9371999999999998"/>
    <s v="5- days"/>
    <n v="5"/>
    <x v="1"/>
  </r>
  <r>
    <s v="CA-2017-131492"/>
    <d v="2017-10-19T00:00:00"/>
    <d v="2017-10-24T00:00:00"/>
    <x v="0"/>
    <s v="HH-15010"/>
    <s v="Hilary Holden"/>
    <x v="1"/>
    <s v="United States"/>
    <s v="San Francisco"/>
    <s v="California"/>
    <x v="1"/>
    <s v="FUR-FU-10003878"/>
    <s v="Furniture"/>
    <x v="3"/>
    <x v="142"/>
    <n v="30.56"/>
    <n v="2"/>
    <n v="10.3904"/>
    <s v="5- days"/>
    <n v="5"/>
    <x v="1"/>
  </r>
  <r>
    <s v="CA-2017-131492"/>
    <d v="2017-10-19T00:00:00"/>
    <d v="2017-10-24T00:00:00"/>
    <x v="0"/>
    <s v="HH-15010"/>
    <s v="Hilary Holden"/>
    <x v="1"/>
    <s v="United States"/>
    <s v="San Francisco"/>
    <s v="California"/>
    <x v="1"/>
    <s v="FUR-TA-10003837"/>
    <s v="Furniture"/>
    <x v="2"/>
    <x v="299"/>
    <n v="24.367999999999999"/>
    <n v="2"/>
    <n v="-3.3506"/>
    <s v="5- days"/>
    <n v="5"/>
    <x v="1"/>
  </r>
  <r>
    <s v="CA-2014-119375"/>
    <d v="2014-11-17T00:00:00"/>
    <d v="2014-11-22T00:00:00"/>
    <x v="1"/>
    <s v="YC-21895"/>
    <s v="Yoseph Carroll"/>
    <x v="1"/>
    <s v="United States"/>
    <s v="Newark"/>
    <s v="Delaware"/>
    <x v="2"/>
    <s v="FUR-FU-10002379"/>
    <s v="Furniture"/>
    <x v="3"/>
    <x v="300"/>
    <n v="124.41"/>
    <n v="3"/>
    <n v="14.9292"/>
    <s v="5- days"/>
    <n v="5"/>
    <x v="0"/>
  </r>
  <r>
    <s v="CA-2015-126137"/>
    <d v="2015-10-03T00:00:00"/>
    <d v="2015-10-08T00:00:00"/>
    <x v="1"/>
    <s v="BS-11755"/>
    <s v="Bruce Stewart"/>
    <x v="0"/>
    <s v="United States"/>
    <s v="Los Angeles"/>
    <s v="California"/>
    <x v="1"/>
    <s v="FUR-BO-10004409"/>
    <s v="Furniture"/>
    <x v="0"/>
    <x v="134"/>
    <n v="120.666"/>
    <n v="2"/>
    <n v="18.454799999999999"/>
    <s v="5- days"/>
    <n v="5"/>
    <x v="1"/>
  </r>
  <r>
    <s v="CA-2014-143903"/>
    <d v="2014-07-20T00:00:00"/>
    <d v="2014-07-24T00:00:00"/>
    <x v="1"/>
    <s v="KM-16375"/>
    <s v="Katherine Murray"/>
    <x v="2"/>
    <s v="United States"/>
    <s v="Dallas"/>
    <s v="Texas"/>
    <x v="3"/>
    <s v="FUR-FU-10003724"/>
    <s v="Furniture"/>
    <x v="3"/>
    <x v="181"/>
    <n v="16.739999999999998"/>
    <n v="5"/>
    <n v="-14.228999999999999"/>
    <s v="4- days"/>
    <n v="4"/>
    <x v="3"/>
  </r>
  <r>
    <s v="CA-2014-143903"/>
    <d v="2014-07-20T00:00:00"/>
    <d v="2014-07-24T00:00:00"/>
    <x v="1"/>
    <s v="KM-16375"/>
    <s v="Katherine Murray"/>
    <x v="2"/>
    <s v="United States"/>
    <s v="Dallas"/>
    <s v="Texas"/>
    <x v="3"/>
    <s v="FUR-CH-10002024"/>
    <s v="Furniture"/>
    <x v="1"/>
    <x v="101"/>
    <n v="981.37199999999996"/>
    <n v="2"/>
    <n v="-140.196"/>
    <s v="4- days"/>
    <n v="4"/>
    <x v="3"/>
  </r>
  <r>
    <s v="CA-2017-118773"/>
    <d v="2017-02-09T00:00:00"/>
    <d v="2017-02-14T00:00:00"/>
    <x v="1"/>
    <s v="TP-21415"/>
    <s v="Tom Prescott"/>
    <x v="0"/>
    <s v="United States"/>
    <s v="Houston"/>
    <s v="Texas"/>
    <x v="3"/>
    <s v="FUR-FU-10000550"/>
    <s v="Furniture"/>
    <x v="3"/>
    <x v="295"/>
    <n v="3.984"/>
    <n v="2"/>
    <n v="-2.6892"/>
    <s v="5- days"/>
    <n v="5"/>
    <x v="11"/>
  </r>
  <r>
    <s v="US-2017-159205"/>
    <d v="2017-03-31T00:00:00"/>
    <d v="2017-04-02T00:00:00"/>
    <x v="0"/>
    <s v="DB-12910"/>
    <s v="Daniel Byrd"/>
    <x v="2"/>
    <s v="United States"/>
    <s v="Henderson"/>
    <s v="Kentucky"/>
    <x v="0"/>
    <s v="FUR-FU-10001591"/>
    <s v="Furniture"/>
    <x v="3"/>
    <x v="215"/>
    <n v="61"/>
    <n v="5"/>
    <n v="25.62"/>
    <s v="2- days"/>
    <n v="2"/>
    <x v="9"/>
  </r>
  <r>
    <s v="CA-2017-135692"/>
    <d v="2017-04-27T00:00:00"/>
    <d v="2017-05-01T00:00:00"/>
    <x v="1"/>
    <s v="CV-12805"/>
    <s v="Cynthia Voltz"/>
    <x v="1"/>
    <s v="United States"/>
    <s v="Fort Worth"/>
    <s v="Texas"/>
    <x v="3"/>
    <s v="FUR-BO-10002268"/>
    <s v="Furniture"/>
    <x v="0"/>
    <x v="68"/>
    <n v="220.26560000000001"/>
    <n v="4"/>
    <n v="-42.1096"/>
    <s v="4- days"/>
    <n v="4"/>
    <x v="6"/>
  </r>
  <r>
    <s v="CA-2017-131233"/>
    <d v="2017-04-14T00:00:00"/>
    <d v="2017-04-19T00:00:00"/>
    <x v="1"/>
    <s v="CS-12355"/>
    <s v="Christine Sundaresam"/>
    <x v="0"/>
    <s v="United States"/>
    <s v="New York City"/>
    <s v="New York"/>
    <x v="2"/>
    <s v="FUR-BO-10003441"/>
    <s v="Furniture"/>
    <x v="0"/>
    <x v="145"/>
    <n v="242.352"/>
    <n v="3"/>
    <n v="9.0882000000000005"/>
    <s v="5- days"/>
    <n v="5"/>
    <x v="6"/>
  </r>
  <r>
    <s v="CA-2017-119578"/>
    <d v="2017-12-22T00:00:00"/>
    <d v="2017-12-27T00:00:00"/>
    <x v="0"/>
    <s v="JG-15310"/>
    <s v="Jason Gross"/>
    <x v="1"/>
    <s v="United States"/>
    <s v="Providence"/>
    <s v="Rhode Island"/>
    <x v="2"/>
    <s v="FUR-BO-10003660"/>
    <s v="Furniture"/>
    <x v="0"/>
    <x v="301"/>
    <n v="220.98"/>
    <n v="1"/>
    <n v="50.825400000000002"/>
    <s v="5- days"/>
    <n v="5"/>
    <x v="5"/>
  </r>
  <r>
    <s v="CA-2016-150350"/>
    <d v="2016-08-23T00:00:00"/>
    <d v="2016-08-30T00:00:00"/>
    <x v="1"/>
    <s v="MS-17770"/>
    <s v="Maxwell Schwartz"/>
    <x v="0"/>
    <s v="United States"/>
    <s v="Seattle"/>
    <s v="Washington"/>
    <x v="1"/>
    <s v="FUR-CH-10001973"/>
    <s v="Furniture"/>
    <x v="1"/>
    <x v="183"/>
    <n v="532.70399999999995"/>
    <n v="6"/>
    <n v="-39.952800000000003"/>
    <s v="7- days"/>
    <n v="7"/>
    <x v="10"/>
  </r>
  <r>
    <s v="CA-2015-121720"/>
    <d v="2015-06-11T00:00:00"/>
    <d v="2015-06-12T00:00:00"/>
    <x v="2"/>
    <s v="JE-15610"/>
    <s v="Jim Epp"/>
    <x v="1"/>
    <s v="United States"/>
    <s v="Lakeland"/>
    <s v="Florida"/>
    <x v="0"/>
    <s v="FUR-CH-10003312"/>
    <s v="Furniture"/>
    <x v="1"/>
    <x v="66"/>
    <n v="1123.92"/>
    <n v="5"/>
    <n v="-182.637"/>
    <s v="1- days"/>
    <n v="1"/>
    <x v="2"/>
  </r>
  <r>
    <s v="CA-2015-121720"/>
    <d v="2015-06-11T00:00:00"/>
    <d v="2015-06-12T00:00:00"/>
    <x v="2"/>
    <s v="JE-15610"/>
    <s v="Jim Epp"/>
    <x v="1"/>
    <s v="United States"/>
    <s v="Lakeland"/>
    <s v="Florida"/>
    <x v="0"/>
    <s v="FUR-FU-10003464"/>
    <s v="Furniture"/>
    <x v="3"/>
    <x v="302"/>
    <n v="48.671999999999997"/>
    <n v="3"/>
    <n v="7.3007999999999997"/>
    <s v="1- days"/>
    <n v="1"/>
    <x v="2"/>
  </r>
  <r>
    <s v="CA-2014-136399"/>
    <d v="2014-12-16T00:00:00"/>
    <d v="2014-12-17T00:00:00"/>
    <x v="2"/>
    <s v="CC-12100"/>
    <s v="Chad Cunningham"/>
    <x v="2"/>
    <s v="United States"/>
    <s v="Los Angeles"/>
    <s v="California"/>
    <x v="1"/>
    <s v="FUR-FU-10004090"/>
    <s v="Furniture"/>
    <x v="3"/>
    <x v="137"/>
    <n v="44.46"/>
    <n v="2"/>
    <n v="14.671799999999999"/>
    <s v="1- days"/>
    <n v="1"/>
    <x v="5"/>
  </r>
  <r>
    <s v="CA-2014-136399"/>
    <d v="2014-12-16T00:00:00"/>
    <d v="2014-12-17T00:00:00"/>
    <x v="2"/>
    <s v="CC-12100"/>
    <s v="Chad Cunningham"/>
    <x v="2"/>
    <s v="United States"/>
    <s v="Los Angeles"/>
    <s v="California"/>
    <x v="1"/>
    <s v="FUR-CH-10002602"/>
    <s v="Furniture"/>
    <x v="1"/>
    <x v="64"/>
    <n v="241.56800000000001"/>
    <n v="2"/>
    <n v="18.117599999999999"/>
    <s v="1- days"/>
    <n v="1"/>
    <x v="5"/>
  </r>
  <r>
    <s v="CA-2014-107916"/>
    <d v="2014-08-24T00:00:00"/>
    <d v="2014-08-26T00:00:00"/>
    <x v="2"/>
    <s v="JP-15460"/>
    <s v="Jennifer Patt"/>
    <x v="1"/>
    <s v="United States"/>
    <s v="Oceanside"/>
    <s v="New York"/>
    <x v="2"/>
    <s v="FUR-FU-10004586"/>
    <s v="Furniture"/>
    <x v="3"/>
    <x v="303"/>
    <n v="13.28"/>
    <n v="2"/>
    <n v="6.3743999999999996"/>
    <s v="2- days"/>
    <n v="2"/>
    <x v="10"/>
  </r>
  <r>
    <s v="CA-2017-164168"/>
    <d v="2017-11-12T00:00:00"/>
    <d v="2017-11-18T00:00:00"/>
    <x v="1"/>
    <s v="LS-16975"/>
    <s v="Lindsay Shagiari"/>
    <x v="2"/>
    <s v="United States"/>
    <s v="Dallas"/>
    <s v="Texas"/>
    <x v="3"/>
    <s v="FUR-FU-10001756"/>
    <s v="Furniture"/>
    <x v="3"/>
    <x v="62"/>
    <n v="22.847999999999999"/>
    <n v="3"/>
    <n v="-17.7072"/>
    <s v="6- days"/>
    <n v="6"/>
    <x v="0"/>
  </r>
  <r>
    <s v="US-2016-148110"/>
    <d v="2016-09-05T00:00:00"/>
    <d v="2016-09-11T00:00:00"/>
    <x v="1"/>
    <s v="AR-10825"/>
    <s v="Anthony Rawles"/>
    <x v="1"/>
    <s v="United States"/>
    <s v="Austin"/>
    <s v="Texas"/>
    <x v="3"/>
    <s v="FUR-CH-10002647"/>
    <s v="Furniture"/>
    <x v="1"/>
    <x v="99"/>
    <n v="347.80200000000002"/>
    <n v="7"/>
    <n v="-24.843"/>
    <s v="6- days"/>
    <n v="6"/>
    <x v="4"/>
  </r>
  <r>
    <s v="CA-2017-131828"/>
    <d v="2017-02-11T00:00:00"/>
    <d v="2017-02-13T00:00:00"/>
    <x v="0"/>
    <s v="CS-11845"/>
    <s v="Cari Sayre"/>
    <x v="1"/>
    <s v="United States"/>
    <s v="Seattle"/>
    <s v="Washington"/>
    <x v="1"/>
    <s v="FUR-CH-10004495"/>
    <s v="Furniture"/>
    <x v="1"/>
    <x v="304"/>
    <n v="963.13599999999997"/>
    <n v="4"/>
    <n v="108.3528"/>
    <s v="2- days"/>
    <n v="2"/>
    <x v="11"/>
  </r>
  <r>
    <s v="CA-2015-147830"/>
    <d v="2015-12-15T00:00:00"/>
    <d v="2015-12-18T00:00:00"/>
    <x v="2"/>
    <s v="NF-18385"/>
    <s v="Natalie Fritzler"/>
    <x v="0"/>
    <s v="United States"/>
    <s v="Newark"/>
    <s v="Ohio"/>
    <x v="2"/>
    <s v="FUR-FU-10004091"/>
    <s v="Furniture"/>
    <x v="3"/>
    <x v="54"/>
    <n v="262.86399999999998"/>
    <n v="7"/>
    <n v="69.001800000000003"/>
    <s v="3- days"/>
    <n v="3"/>
    <x v="5"/>
  </r>
  <r>
    <s v="CA-2015-139584"/>
    <d v="2015-08-24T00:00:00"/>
    <d v="2015-08-28T00:00:00"/>
    <x v="1"/>
    <s v="EM-13810"/>
    <s v="Eleni McCrary"/>
    <x v="1"/>
    <s v="United States"/>
    <s v="New York City"/>
    <s v="New York"/>
    <x v="2"/>
    <s v="FUR-TA-10001539"/>
    <s v="Furniture"/>
    <x v="2"/>
    <x v="4"/>
    <n v="284.36399999999998"/>
    <n v="2"/>
    <n v="-75.830399999999997"/>
    <s v="4- days"/>
    <n v="4"/>
    <x v="10"/>
  </r>
  <r>
    <s v="CA-2016-146682"/>
    <d v="2016-10-29T00:00:00"/>
    <d v="2016-10-31T00:00:00"/>
    <x v="2"/>
    <s v="KW-16435"/>
    <s v="Katrina Willman"/>
    <x v="0"/>
    <s v="United States"/>
    <s v="Lansing"/>
    <s v="Michigan"/>
    <x v="3"/>
    <s v="FUR-FU-10002671"/>
    <s v="Furniture"/>
    <x v="3"/>
    <x v="59"/>
    <n v="67"/>
    <n v="5"/>
    <n v="32.159999999999997"/>
    <s v="2- days"/>
    <n v="2"/>
    <x v="1"/>
  </r>
  <r>
    <s v="CA-2016-138695"/>
    <d v="2016-05-28T00:00:00"/>
    <d v="2016-06-03T00:00:00"/>
    <x v="1"/>
    <s v="KC-16675"/>
    <s v="Kimberly Carter"/>
    <x v="1"/>
    <s v="United States"/>
    <s v="Tallahassee"/>
    <s v="Florida"/>
    <x v="0"/>
    <s v="FUR-CH-10003833"/>
    <s v="Furniture"/>
    <x v="1"/>
    <x v="237"/>
    <n v="390.27199999999999"/>
    <n v="8"/>
    <n v="-24.391999999999999"/>
    <s v="6- days"/>
    <n v="6"/>
    <x v="7"/>
  </r>
  <r>
    <s v="US-2016-133879"/>
    <d v="2016-03-21T00:00:00"/>
    <d v="2016-03-28T00:00:00"/>
    <x v="1"/>
    <s v="KT-16465"/>
    <s v="Kean Takahito"/>
    <x v="0"/>
    <s v="United States"/>
    <s v="Chicago"/>
    <s v="Illinois"/>
    <x v="3"/>
    <s v="FUR-CH-10000665"/>
    <s v="Furniture"/>
    <x v="1"/>
    <x v="140"/>
    <n v="528.42999999999995"/>
    <n v="5"/>
    <n v="0"/>
    <s v="7- days"/>
    <n v="7"/>
    <x v="9"/>
  </r>
  <r>
    <s v="US-2017-132059"/>
    <d v="2017-09-23T00:00:00"/>
    <d v="2017-09-29T00:00:00"/>
    <x v="1"/>
    <s v="AP-10915"/>
    <s v="Arthur Prichep"/>
    <x v="0"/>
    <s v="United States"/>
    <s v="Fort Collins"/>
    <s v="Colorado"/>
    <x v="1"/>
    <s v="FUR-BO-10001811"/>
    <s v="Furniture"/>
    <x v="0"/>
    <x v="157"/>
    <n v="180.58799999999999"/>
    <n v="2"/>
    <n v="-240.78399999999999"/>
    <s v="6- days"/>
    <n v="6"/>
    <x v="4"/>
  </r>
  <r>
    <s v="CA-2017-105235"/>
    <d v="2017-12-05T00:00:00"/>
    <d v="2017-12-11T00:00:00"/>
    <x v="1"/>
    <s v="SM-20950"/>
    <s v="Suzanne McNair"/>
    <x v="1"/>
    <s v="United States"/>
    <s v="New York City"/>
    <s v="New York"/>
    <x v="2"/>
    <s v="FUR-FU-10001487"/>
    <s v="Furniture"/>
    <x v="3"/>
    <x v="3"/>
    <n v="20.94"/>
    <n v="3"/>
    <n v="6.0726000000000004"/>
    <s v="6- days"/>
    <n v="6"/>
    <x v="5"/>
  </r>
  <r>
    <s v="CA-2017-105235"/>
    <d v="2017-12-05T00:00:00"/>
    <d v="2017-12-11T00:00:00"/>
    <x v="1"/>
    <s v="SM-20950"/>
    <s v="Suzanne McNair"/>
    <x v="1"/>
    <s v="United States"/>
    <s v="New York City"/>
    <s v="New York"/>
    <x v="2"/>
    <s v="FUR-FU-10000521"/>
    <s v="Furniture"/>
    <x v="3"/>
    <x v="31"/>
    <n v="58.68"/>
    <n v="2"/>
    <n v="18.190799999999999"/>
    <s v="6- days"/>
    <n v="6"/>
    <x v="5"/>
  </r>
  <r>
    <s v="CA-2014-164224"/>
    <d v="2014-05-18T00:00:00"/>
    <d v="2014-05-20T00:00:00"/>
    <x v="0"/>
    <s v="TT-21070"/>
    <s v="Ted Trevino"/>
    <x v="0"/>
    <s v="United States"/>
    <s v="Akron"/>
    <s v="Ohio"/>
    <x v="2"/>
    <s v="FUR-FU-10000308"/>
    <s v="Furniture"/>
    <x v="3"/>
    <x v="250"/>
    <n v="149.232"/>
    <n v="3"/>
    <n v="3.7307999999999999"/>
    <s v="2- days"/>
    <n v="2"/>
    <x v="7"/>
  </r>
  <r>
    <s v="CA-2014-158372"/>
    <d v="2014-11-10T00:00:00"/>
    <d v="2014-11-16T00:00:00"/>
    <x v="1"/>
    <s v="RD-19900"/>
    <s v="Ruben Dartt"/>
    <x v="0"/>
    <s v="United States"/>
    <s v="San Diego"/>
    <s v="California"/>
    <x v="1"/>
    <s v="FUR-FU-10000397"/>
    <s v="Furniture"/>
    <x v="3"/>
    <x v="14"/>
    <n v="39.880000000000003"/>
    <n v="2"/>
    <n v="11.166399999999999"/>
    <s v="6- days"/>
    <n v="6"/>
    <x v="0"/>
  </r>
  <r>
    <s v="CA-2014-158372"/>
    <d v="2014-11-10T00:00:00"/>
    <d v="2014-11-16T00:00:00"/>
    <x v="1"/>
    <s v="RD-19900"/>
    <s v="Ruben Dartt"/>
    <x v="0"/>
    <s v="United States"/>
    <s v="San Diego"/>
    <s v="California"/>
    <x v="1"/>
    <s v="FUR-FU-10001867"/>
    <s v="Furniture"/>
    <x v="3"/>
    <x v="174"/>
    <n v="53.2"/>
    <n v="5"/>
    <n v="14.896000000000001"/>
    <s v="6- days"/>
    <n v="6"/>
    <x v="0"/>
  </r>
  <r>
    <s v="CA-2017-131625"/>
    <d v="2017-09-01T00:00:00"/>
    <d v="2017-09-05T00:00:00"/>
    <x v="0"/>
    <s v="BN-11515"/>
    <s v="Bradley Nguyen"/>
    <x v="0"/>
    <s v="United States"/>
    <s v="New York City"/>
    <s v="New York"/>
    <x v="2"/>
    <s v="FUR-FU-10004960"/>
    <s v="Furniture"/>
    <x v="3"/>
    <x v="187"/>
    <n v="114.9"/>
    <n v="5"/>
    <n v="39.066000000000003"/>
    <s v="4- days"/>
    <n v="4"/>
    <x v="4"/>
  </r>
  <r>
    <s v="CA-2016-140746"/>
    <d v="2016-01-15T00:00:00"/>
    <d v="2016-01-15T00:00:00"/>
    <x v="3"/>
    <s v="RC-19825"/>
    <s v="Roy Collins"/>
    <x v="0"/>
    <s v="United States"/>
    <s v="Fairfield"/>
    <s v="Connecticut"/>
    <x v="2"/>
    <s v="FUR-TA-10002903"/>
    <s v="Furniture"/>
    <x v="2"/>
    <x v="52"/>
    <n v="181.797"/>
    <n v="1"/>
    <n v="-15.582599999999999"/>
    <s v="0- days"/>
    <n v="0"/>
    <x v="8"/>
  </r>
  <r>
    <s v="US-2016-127971"/>
    <d v="2016-11-20T00:00:00"/>
    <d v="2016-11-27T00:00:00"/>
    <x v="1"/>
    <s v="DW-13195"/>
    <s v="David Wiener"/>
    <x v="1"/>
    <s v="United States"/>
    <s v="Houston"/>
    <s v="Texas"/>
    <x v="3"/>
    <s v="FUR-CH-10003774"/>
    <s v="Furniture"/>
    <x v="1"/>
    <x v="234"/>
    <n v="318.43"/>
    <n v="5"/>
    <n v="-77.332999999999998"/>
    <s v="7- days"/>
    <n v="7"/>
    <x v="0"/>
  </r>
  <r>
    <s v="US-2016-127971"/>
    <d v="2016-11-20T00:00:00"/>
    <d v="2016-11-27T00:00:00"/>
    <x v="1"/>
    <s v="DW-13195"/>
    <s v="David Wiener"/>
    <x v="1"/>
    <s v="United States"/>
    <s v="Houston"/>
    <s v="Texas"/>
    <x v="3"/>
    <s v="FUR-FU-10000023"/>
    <s v="Furniture"/>
    <x v="3"/>
    <x v="70"/>
    <n v="7.0679999999999996"/>
    <n v="3"/>
    <n v="-2.8271999999999999"/>
    <s v="7- days"/>
    <n v="7"/>
    <x v="0"/>
  </r>
  <r>
    <s v="CA-2017-113355"/>
    <d v="2017-12-01T00:00:00"/>
    <d v="2017-12-05T00:00:00"/>
    <x v="1"/>
    <s v="SJ-20215"/>
    <s v="Sarah Jordon"/>
    <x v="0"/>
    <s v="United States"/>
    <s v="Grand Prairie"/>
    <s v="Texas"/>
    <x v="3"/>
    <s v="FUR-CH-10002602"/>
    <s v="Furniture"/>
    <x v="1"/>
    <x v="64"/>
    <n v="317.05799999999999"/>
    <n v="3"/>
    <n v="-18.117599999999999"/>
    <s v="4- days"/>
    <n v="4"/>
    <x v="5"/>
  </r>
  <r>
    <s v="CA-2016-159730"/>
    <d v="2016-09-17T00:00:00"/>
    <d v="2016-09-21T00:00:00"/>
    <x v="1"/>
    <s v="SJ-20125"/>
    <s v="Sanjit Jacobs"/>
    <x v="2"/>
    <s v="United States"/>
    <s v="Seattle"/>
    <s v="Washington"/>
    <x v="1"/>
    <s v="FUR-CH-10004875"/>
    <s v="Furniture"/>
    <x v="1"/>
    <x v="290"/>
    <n v="113.88800000000001"/>
    <n v="2"/>
    <n v="9.9651999999999994"/>
    <s v="4- days"/>
    <n v="4"/>
    <x v="4"/>
  </r>
  <r>
    <s v="CA-2017-119389"/>
    <d v="2017-04-17T00:00:00"/>
    <d v="2017-04-19T00:00:00"/>
    <x v="2"/>
    <s v="BG-11740"/>
    <s v="Bruce Geld"/>
    <x v="0"/>
    <s v="United States"/>
    <s v="Philadelphia"/>
    <s v="Pennsylvania"/>
    <x v="2"/>
    <s v="FUR-FU-10001473"/>
    <s v="Furniture"/>
    <x v="3"/>
    <x v="246"/>
    <n v="60.311999999999998"/>
    <n v="3"/>
    <n v="5.2773000000000003"/>
    <s v="2- days"/>
    <n v="2"/>
    <x v="6"/>
  </r>
  <r>
    <s v="US-2016-161844"/>
    <d v="2016-12-09T00:00:00"/>
    <d v="2016-12-14T00:00:00"/>
    <x v="0"/>
    <s v="DK-12835"/>
    <s v="Damala Kotsonis"/>
    <x v="1"/>
    <s v="United States"/>
    <s v="Franklin"/>
    <s v="Tennessee"/>
    <x v="0"/>
    <s v="FUR-TA-10001676"/>
    <s v="Furniture"/>
    <x v="2"/>
    <x v="193"/>
    <n v="79.974000000000004"/>
    <n v="3"/>
    <n v="-29.323799999999999"/>
    <s v="5- days"/>
    <n v="5"/>
    <x v="5"/>
  </r>
  <r>
    <s v="CA-2015-146038"/>
    <d v="2015-02-09T00:00:00"/>
    <d v="2015-02-16T00:00:00"/>
    <x v="1"/>
    <s v="SJ-20215"/>
    <s v="Sarah Jordon"/>
    <x v="0"/>
    <s v="United States"/>
    <s v="Los Angeles"/>
    <s v="California"/>
    <x v="1"/>
    <s v="FUR-CH-10002774"/>
    <s v="Furniture"/>
    <x v="1"/>
    <x v="5"/>
    <n v="203.92"/>
    <n v="5"/>
    <n v="22.940999999999999"/>
    <s v="7- days"/>
    <n v="7"/>
    <x v="11"/>
  </r>
  <r>
    <s v="CA-2014-159478"/>
    <d v="2014-09-30T00:00:00"/>
    <d v="2014-10-06T00:00:00"/>
    <x v="1"/>
    <s v="MH-17785"/>
    <s v="Maya Herman"/>
    <x v="1"/>
    <s v="United States"/>
    <s v="New York City"/>
    <s v="New York"/>
    <x v="2"/>
    <s v="FUR-FU-10000221"/>
    <s v="Furniture"/>
    <x v="3"/>
    <x v="111"/>
    <n v="15.24"/>
    <n v="3"/>
    <n v="5.1816000000000004"/>
    <s v="6- days"/>
    <n v="6"/>
    <x v="4"/>
  </r>
  <r>
    <s v="CA-2014-106264"/>
    <d v="2014-12-26T00:00:00"/>
    <d v="2014-12-30T00:00:00"/>
    <x v="1"/>
    <s v="CK-12595"/>
    <s v="Clytie Kelty"/>
    <x v="0"/>
    <s v="United States"/>
    <s v="San Diego"/>
    <s v="California"/>
    <x v="1"/>
    <s v="FUR-FU-10001852"/>
    <s v="Furniture"/>
    <x v="3"/>
    <x v="166"/>
    <n v="3.48"/>
    <n v="2"/>
    <n v="1.1135999999999999"/>
    <s v="4- days"/>
    <n v="4"/>
    <x v="5"/>
  </r>
  <r>
    <s v="US-2014-159926"/>
    <d v="2014-11-18T00:00:00"/>
    <d v="2014-11-22T00:00:00"/>
    <x v="1"/>
    <s v="CS-11950"/>
    <s v="Carlos Soltero"/>
    <x v="0"/>
    <s v="United States"/>
    <s v="Philadelphia"/>
    <s v="Pennsylvania"/>
    <x v="2"/>
    <s v="FUR-FU-10001473"/>
    <s v="Furniture"/>
    <x v="3"/>
    <x v="246"/>
    <n v="60.311999999999998"/>
    <n v="3"/>
    <n v="5.2773000000000003"/>
    <s v="4- days"/>
    <n v="4"/>
    <x v="0"/>
  </r>
  <r>
    <s v="CA-2016-162747"/>
    <d v="2016-03-20T00:00:00"/>
    <d v="2016-03-25T00:00:00"/>
    <x v="0"/>
    <s v="AH-10030"/>
    <s v="Aaron Hawkins"/>
    <x v="1"/>
    <s v="United States"/>
    <s v="Gulfport"/>
    <s v="Mississippi"/>
    <x v="0"/>
    <s v="FUR-FU-10003691"/>
    <s v="Furniture"/>
    <x v="3"/>
    <x v="177"/>
    <n v="86.45"/>
    <n v="7"/>
    <n v="38.037999999999997"/>
    <s v="5- days"/>
    <n v="5"/>
    <x v="9"/>
  </r>
  <r>
    <s v="US-2014-133130"/>
    <d v="2014-09-27T00:00:00"/>
    <d v="2014-10-01T00:00:00"/>
    <x v="1"/>
    <s v="TH-21100"/>
    <s v="Thea Hendricks"/>
    <x v="0"/>
    <s v="United States"/>
    <s v="San Diego"/>
    <s v="California"/>
    <x v="1"/>
    <s v="FUR-CH-10002602"/>
    <s v="Furniture"/>
    <x v="1"/>
    <x v="64"/>
    <n v="603.91999999999996"/>
    <n v="5"/>
    <n v="45.293999999999997"/>
    <s v="4- days"/>
    <n v="4"/>
    <x v="4"/>
  </r>
  <r>
    <s v="CA-2017-169978"/>
    <d v="2017-12-24T00:00:00"/>
    <d v="2017-12-28T00:00:00"/>
    <x v="1"/>
    <s v="HG-15025"/>
    <s v="Hunter Glantz"/>
    <x v="0"/>
    <s v="United States"/>
    <s v="Oceanside"/>
    <s v="New York"/>
    <x v="2"/>
    <s v="FUR-CH-10002602"/>
    <s v="Furniture"/>
    <x v="1"/>
    <x v="64"/>
    <n v="271.76400000000001"/>
    <n v="2"/>
    <n v="48.313600000000001"/>
    <s v="4- days"/>
    <n v="4"/>
    <x v="5"/>
  </r>
  <r>
    <s v="CA-2017-161739"/>
    <d v="2017-11-10T00:00:00"/>
    <d v="2017-11-15T00:00:00"/>
    <x v="0"/>
    <s v="EB-13750"/>
    <s v="Edward Becker"/>
    <x v="1"/>
    <s v="United States"/>
    <s v="Round Rock"/>
    <s v="Texas"/>
    <x v="3"/>
    <s v="FUR-FU-10001468"/>
    <s v="Furniture"/>
    <x v="3"/>
    <x v="253"/>
    <n v="341.96"/>
    <n v="5"/>
    <n v="-427.45"/>
    <s v="5- days"/>
    <n v="5"/>
    <x v="0"/>
  </r>
  <r>
    <s v="CA-2014-134551"/>
    <d v="2014-12-20T00:00:00"/>
    <d v="2014-12-25T00:00:00"/>
    <x v="1"/>
    <s v="TS-21505"/>
    <s v="Tony Sayre"/>
    <x v="0"/>
    <s v="United States"/>
    <s v="Columbia"/>
    <s v="Tennessee"/>
    <x v="0"/>
    <s v="FUR-CH-10004287"/>
    <s v="Furniture"/>
    <x v="1"/>
    <x v="32"/>
    <n v="662.88"/>
    <n v="3"/>
    <n v="74.573999999999998"/>
    <s v="5- days"/>
    <n v="5"/>
    <x v="5"/>
  </r>
  <r>
    <s v="CA-2015-120810"/>
    <d v="2015-07-23T00:00:00"/>
    <d v="2015-07-27T00:00:00"/>
    <x v="1"/>
    <s v="TH-21550"/>
    <s v="Tracy Hopkins"/>
    <x v="2"/>
    <s v="United States"/>
    <s v="New York City"/>
    <s v="New York"/>
    <x v="2"/>
    <s v="FUR-FU-10002253"/>
    <s v="Furniture"/>
    <x v="3"/>
    <x v="123"/>
    <n v="128.82"/>
    <n v="3"/>
    <n v="50.239800000000002"/>
    <s v="4- days"/>
    <n v="4"/>
    <x v="3"/>
  </r>
  <r>
    <s v="CA-2017-122595"/>
    <d v="2017-12-14T00:00:00"/>
    <d v="2017-12-20T00:00:00"/>
    <x v="1"/>
    <s v="GM-14455"/>
    <s v="Gary Mitchum"/>
    <x v="2"/>
    <s v="United States"/>
    <s v="Chicago"/>
    <s v="Illinois"/>
    <x v="3"/>
    <s v="FUR-FU-10002963"/>
    <s v="Furniture"/>
    <x v="3"/>
    <x v="305"/>
    <n v="2.032"/>
    <n v="1"/>
    <n v="-1.3208"/>
    <s v="6- days"/>
    <n v="6"/>
    <x v="5"/>
  </r>
  <r>
    <s v="US-2017-109253"/>
    <d v="2017-08-21T00:00:00"/>
    <d v="2017-08-22T00:00:00"/>
    <x v="2"/>
    <s v="PR-18880"/>
    <s v="Patrick Ryan"/>
    <x v="0"/>
    <s v="United States"/>
    <s v="Oakland"/>
    <s v="California"/>
    <x v="1"/>
    <s v="FUR-FU-10000193"/>
    <s v="Furniture"/>
    <x v="3"/>
    <x v="306"/>
    <n v="129.91999999999999"/>
    <n v="4"/>
    <n v="10.393599999999999"/>
    <s v="1- days"/>
    <n v="1"/>
    <x v="10"/>
  </r>
  <r>
    <s v="US-2017-109253"/>
    <d v="2017-08-21T00:00:00"/>
    <d v="2017-08-22T00:00:00"/>
    <x v="2"/>
    <s v="PR-18880"/>
    <s v="Patrick Ryan"/>
    <x v="0"/>
    <s v="United States"/>
    <s v="Oakland"/>
    <s v="California"/>
    <x v="1"/>
    <s v="FUR-TA-10001539"/>
    <s v="Furniture"/>
    <x v="2"/>
    <x v="4"/>
    <n v="568.72799999999995"/>
    <n v="3"/>
    <n v="28.436399999999999"/>
    <s v="1- days"/>
    <n v="1"/>
    <x v="10"/>
  </r>
  <r>
    <s v="CA-2016-145982"/>
    <d v="2016-08-27T00:00:00"/>
    <d v="2016-09-01T00:00:00"/>
    <x v="0"/>
    <s v="TB-21055"/>
    <s v="Ted Butterfield"/>
    <x v="0"/>
    <s v="United States"/>
    <s v="Quincy"/>
    <s v="Massachusetts"/>
    <x v="2"/>
    <s v="FUR-TA-10001307"/>
    <s v="Furniture"/>
    <x v="2"/>
    <x v="211"/>
    <n v="244.61500000000001"/>
    <n v="1"/>
    <n v="20.966999999999999"/>
    <s v="5- days"/>
    <n v="5"/>
    <x v="10"/>
  </r>
  <r>
    <s v="US-2014-134733"/>
    <d v="2014-09-23T00:00:00"/>
    <d v="2014-09-28T00:00:00"/>
    <x v="1"/>
    <s v="BM-11650"/>
    <s v="Brian Moss"/>
    <x v="1"/>
    <s v="United States"/>
    <s v="San Diego"/>
    <s v="California"/>
    <x v="1"/>
    <s v="FUR-BO-10002916"/>
    <s v="Furniture"/>
    <x v="0"/>
    <x v="307"/>
    <n v="435.99900000000002"/>
    <n v="3"/>
    <n v="20.517600000000002"/>
    <s v="5- days"/>
    <n v="5"/>
    <x v="4"/>
  </r>
  <r>
    <s v="US-2014-150434"/>
    <d v="2014-07-19T00:00:00"/>
    <d v="2014-07-24T00:00:00"/>
    <x v="1"/>
    <s v="CA-12310"/>
    <s v="Christine Abelman"/>
    <x v="1"/>
    <s v="United States"/>
    <s v="Bristol"/>
    <s v="Connecticut"/>
    <x v="2"/>
    <s v="FUR-TA-10004152"/>
    <s v="Furniture"/>
    <x v="2"/>
    <x v="308"/>
    <n v="70.56"/>
    <n v="1"/>
    <n v="-4.032"/>
    <s v="5- days"/>
    <n v="5"/>
    <x v="3"/>
  </r>
  <r>
    <s v="US-2015-142020"/>
    <d v="2015-06-04T00:00:00"/>
    <d v="2015-06-08T00:00:00"/>
    <x v="0"/>
    <s v="TC-21535"/>
    <s v="Tracy Collins"/>
    <x v="2"/>
    <s v="United States"/>
    <s v="New York City"/>
    <s v="New York"/>
    <x v="2"/>
    <s v="FUR-FU-10000672"/>
    <s v="Furniture"/>
    <x v="3"/>
    <x v="309"/>
    <n v="35.28"/>
    <n v="3"/>
    <n v="11.995200000000001"/>
    <s v="4- days"/>
    <n v="4"/>
    <x v="2"/>
  </r>
  <r>
    <s v="CA-2016-130050"/>
    <d v="2016-07-16T00:00:00"/>
    <d v="2016-07-18T00:00:00"/>
    <x v="0"/>
    <s v="MC-17425"/>
    <s v="Mark Cousins"/>
    <x v="1"/>
    <s v="United States"/>
    <s v="Houston"/>
    <s v="Texas"/>
    <x v="3"/>
    <s v="FUR-FU-10001940"/>
    <s v="Furniture"/>
    <x v="3"/>
    <x v="47"/>
    <n v="9.5519999999999996"/>
    <n v="3"/>
    <n v="-3.8208000000000002"/>
    <s v="2- days"/>
    <n v="2"/>
    <x v="3"/>
  </r>
  <r>
    <s v="CA-2014-115161"/>
    <d v="2014-01-31T00:00:00"/>
    <d v="2014-02-02T00:00:00"/>
    <x v="2"/>
    <s v="LC-17050"/>
    <s v="Liz Carlisle"/>
    <x v="0"/>
    <s v="United States"/>
    <s v="Mission Viejo"/>
    <s v="California"/>
    <x v="1"/>
    <s v="FUR-BO-10003966"/>
    <s v="Furniture"/>
    <x v="0"/>
    <x v="210"/>
    <n v="290.666"/>
    <n v="2"/>
    <n v="3.4196"/>
    <s v="2- days"/>
    <n v="2"/>
    <x v="8"/>
  </r>
  <r>
    <s v="CA-2015-115511"/>
    <d v="2015-11-21T00:00:00"/>
    <d v="2015-11-25T00:00:00"/>
    <x v="1"/>
    <s v="NW-18400"/>
    <s v="Natalie Webber"/>
    <x v="0"/>
    <s v="United States"/>
    <s v="Las Vegas"/>
    <s v="Nevada"/>
    <x v="1"/>
    <s v="FUR-BO-10002598"/>
    <s v="Furniture"/>
    <x v="0"/>
    <x v="310"/>
    <n v="141.96"/>
    <n v="2"/>
    <n v="41.168399999999998"/>
    <s v="4- days"/>
    <n v="4"/>
    <x v="0"/>
  </r>
  <r>
    <s v="CA-2015-161718"/>
    <d v="2015-12-04T00:00:00"/>
    <d v="2015-12-10T00:00:00"/>
    <x v="1"/>
    <s v="SO-20335"/>
    <s v="Sean O'Donnell"/>
    <x v="0"/>
    <s v="United States"/>
    <s v="Hempstead"/>
    <s v="New York"/>
    <x v="2"/>
    <s v="FUR-FU-10002445"/>
    <s v="Furniture"/>
    <x v="3"/>
    <x v="292"/>
    <n v="28.44"/>
    <n v="3"/>
    <n v="11.375999999999999"/>
    <s v="6- days"/>
    <n v="6"/>
    <x v="5"/>
  </r>
  <r>
    <s v="CA-2015-161718"/>
    <d v="2015-12-04T00:00:00"/>
    <d v="2015-12-10T00:00:00"/>
    <x v="1"/>
    <s v="SO-20335"/>
    <s v="Sean O'Donnell"/>
    <x v="0"/>
    <s v="United States"/>
    <s v="Hempstead"/>
    <s v="New York"/>
    <x v="2"/>
    <s v="FUR-CH-10002372"/>
    <s v="Furniture"/>
    <x v="1"/>
    <x v="83"/>
    <n v="364.41"/>
    <n v="5"/>
    <n v="8.0980000000000008"/>
    <s v="6- days"/>
    <n v="6"/>
    <x v="5"/>
  </r>
  <r>
    <s v="CA-2015-161718"/>
    <d v="2015-12-04T00:00:00"/>
    <d v="2015-12-10T00:00:00"/>
    <x v="1"/>
    <s v="SO-20335"/>
    <s v="Sean O'Donnell"/>
    <x v="0"/>
    <s v="United States"/>
    <s v="Hempstead"/>
    <s v="New York"/>
    <x v="2"/>
    <s v="FUR-CH-10002965"/>
    <s v="Furniture"/>
    <x v="1"/>
    <x v="50"/>
    <n v="361.76400000000001"/>
    <n v="2"/>
    <n v="68.333200000000005"/>
    <s v="6- days"/>
    <n v="6"/>
    <x v="5"/>
  </r>
  <r>
    <s v="CA-2017-103156"/>
    <d v="2017-11-23T00:00:00"/>
    <d v="2017-11-24T00:00:00"/>
    <x v="2"/>
    <s v="TD-20995"/>
    <s v="Tamara Dahlen"/>
    <x v="0"/>
    <s v="United States"/>
    <s v="Philadelphia"/>
    <s v="Pennsylvania"/>
    <x v="2"/>
    <s v="FUR-FU-10000320"/>
    <s v="Furniture"/>
    <x v="3"/>
    <x v="311"/>
    <n v="24.047999999999998"/>
    <n v="9"/>
    <n v="7.2144000000000004"/>
    <s v="1- days"/>
    <n v="1"/>
    <x v="0"/>
  </r>
  <r>
    <s v="CA-2015-130659"/>
    <d v="2015-12-04T00:00:00"/>
    <d v="2015-12-09T00:00:00"/>
    <x v="0"/>
    <s v="MS-17365"/>
    <s v="Maribeth Schnelling"/>
    <x v="0"/>
    <s v="United States"/>
    <s v="New York City"/>
    <s v="New York"/>
    <x v="2"/>
    <s v="FUR-CH-10003535"/>
    <s v="Furniture"/>
    <x v="1"/>
    <x v="312"/>
    <n v="384.17399999999998"/>
    <n v="7"/>
    <n v="29.880199999999999"/>
    <s v="5- days"/>
    <n v="5"/>
    <x v="5"/>
  </r>
  <r>
    <s v="CA-2017-148404"/>
    <d v="2017-10-07T00:00:00"/>
    <d v="2017-10-11T00:00:00"/>
    <x v="1"/>
    <s v="Dp-13240"/>
    <s v="Dean percer"/>
    <x v="2"/>
    <s v="United States"/>
    <s v="Charlotte"/>
    <s v="North Carolina"/>
    <x v="0"/>
    <s v="FUR-TA-10001039"/>
    <s v="Furniture"/>
    <x v="2"/>
    <x v="165"/>
    <n v="154.76400000000001"/>
    <n v="3"/>
    <n v="-36.111600000000003"/>
    <s v="4- days"/>
    <n v="4"/>
    <x v="1"/>
  </r>
  <r>
    <s v="CA-2015-129700"/>
    <d v="2015-05-04T00:00:00"/>
    <d v="2015-05-05T00:00:00"/>
    <x v="2"/>
    <s v="LA-16780"/>
    <s v="Laura Armstrong"/>
    <x v="1"/>
    <s v="United States"/>
    <s v="Tinley Park"/>
    <s v="Illinois"/>
    <x v="3"/>
    <s v="FUR-FU-10001940"/>
    <s v="Furniture"/>
    <x v="3"/>
    <x v="47"/>
    <n v="22.288"/>
    <n v="7"/>
    <n v="-8.9152000000000005"/>
    <s v="1- days"/>
    <n v="1"/>
    <x v="7"/>
  </r>
  <r>
    <s v="CA-2017-168739"/>
    <d v="2017-05-29T00:00:00"/>
    <d v="2017-06-05T00:00:00"/>
    <x v="1"/>
    <s v="HZ-14950"/>
    <s v="Henia Zydlo"/>
    <x v="0"/>
    <s v="United States"/>
    <s v="Houston"/>
    <s v="Texas"/>
    <x v="3"/>
    <s v="FUR-FU-10003919"/>
    <s v="Furniture"/>
    <x v="3"/>
    <x v="313"/>
    <n v="65.424000000000007"/>
    <n v="4"/>
    <n v="-52.339199999999998"/>
    <s v="7- days"/>
    <n v="7"/>
    <x v="7"/>
  </r>
  <r>
    <s v="US-2014-150119"/>
    <d v="2014-04-23T00:00:00"/>
    <d v="2014-04-27T00:00:00"/>
    <x v="1"/>
    <s v="LB-16795"/>
    <s v="Laurel Beltran"/>
    <x v="2"/>
    <s v="United States"/>
    <s v="Columbus"/>
    <s v="Ohio"/>
    <x v="2"/>
    <s v="FUR-CH-10002965"/>
    <s v="Furniture"/>
    <x v="1"/>
    <x v="50"/>
    <n v="281.37200000000001"/>
    <n v="2"/>
    <n v="-12.0588"/>
    <s v="4- days"/>
    <n v="4"/>
    <x v="6"/>
  </r>
  <r>
    <s v="US-2014-150119"/>
    <d v="2014-04-23T00:00:00"/>
    <d v="2014-04-27T00:00:00"/>
    <x v="1"/>
    <s v="LB-16795"/>
    <s v="Laurel Beltran"/>
    <x v="2"/>
    <s v="United States"/>
    <s v="Columbus"/>
    <s v="Ohio"/>
    <x v="2"/>
    <s v="FUR-CH-10002965"/>
    <s v="Furniture"/>
    <x v="1"/>
    <x v="50"/>
    <n v="281.37200000000001"/>
    <n v="2"/>
    <n v="-12.0588"/>
    <s v="4- days"/>
    <n v="4"/>
    <x v="6"/>
  </r>
  <r>
    <s v="US-2014-150119"/>
    <d v="2014-04-23T00:00:00"/>
    <d v="2014-04-27T00:00:00"/>
    <x v="1"/>
    <s v="LB-16795"/>
    <s v="Laurel Beltran"/>
    <x v="2"/>
    <s v="United States"/>
    <s v="Columbus"/>
    <s v="Ohio"/>
    <x v="2"/>
    <s v="FUR-FU-10002191"/>
    <s v="Furniture"/>
    <x v="3"/>
    <x v="154"/>
    <n v="22.335999999999999"/>
    <n v="4"/>
    <n v="7.8175999999999997"/>
    <s v="4- days"/>
    <n v="4"/>
    <x v="6"/>
  </r>
  <r>
    <s v="CA-2015-150791"/>
    <d v="2015-09-06T00:00:00"/>
    <d v="2015-09-13T00:00:00"/>
    <x v="1"/>
    <s v="CC-12430"/>
    <s v="Chuck Clark"/>
    <x v="2"/>
    <s v="United States"/>
    <s v="New York City"/>
    <s v="New York"/>
    <x v="2"/>
    <s v="FUR-CH-10000665"/>
    <s v="Furniture"/>
    <x v="1"/>
    <x v="140"/>
    <n v="271.76400000000001"/>
    <n v="2"/>
    <n v="60.392000000000003"/>
    <s v="7- days"/>
    <n v="7"/>
    <x v="4"/>
  </r>
  <r>
    <s v="CA-2015-153381"/>
    <d v="2015-09-24T00:00:00"/>
    <d v="2015-09-28T00:00:00"/>
    <x v="1"/>
    <s v="DE-13255"/>
    <s v="Deanra Eno"/>
    <x v="2"/>
    <s v="United States"/>
    <s v="Dubuque"/>
    <s v="Iowa"/>
    <x v="3"/>
    <s v="FUR-CH-10000988"/>
    <s v="Furniture"/>
    <x v="1"/>
    <x v="221"/>
    <n v="1408.1"/>
    <n v="10"/>
    <n v="394.26799999999997"/>
    <s v="4- days"/>
    <n v="4"/>
    <x v="4"/>
  </r>
  <r>
    <s v="US-2017-111024"/>
    <d v="2017-07-03T00:00:00"/>
    <d v="2017-07-06T00:00:00"/>
    <x v="0"/>
    <s v="SZ-20035"/>
    <s v="Sam Zeldin"/>
    <x v="2"/>
    <s v="United States"/>
    <s v="Lancaster"/>
    <s v="Ohio"/>
    <x v="2"/>
    <s v="FUR-TA-10002041"/>
    <s v="Furniture"/>
    <x v="2"/>
    <x v="74"/>
    <n v="215.148"/>
    <n v="2"/>
    <n v="-103.98820000000001"/>
    <s v="3- days"/>
    <n v="3"/>
    <x v="3"/>
  </r>
  <r>
    <s v="CA-2017-148264"/>
    <d v="2017-12-08T00:00:00"/>
    <d v="2017-12-09T00:00:00"/>
    <x v="2"/>
    <s v="LF-17185"/>
    <s v="Luke Foster"/>
    <x v="0"/>
    <s v="United States"/>
    <s v="Inglewood"/>
    <s v="California"/>
    <x v="1"/>
    <s v="FUR-FU-10002703"/>
    <s v="Furniture"/>
    <x v="3"/>
    <x v="314"/>
    <n v="128.9"/>
    <n v="2"/>
    <n v="15.468"/>
    <s v="1- days"/>
    <n v="1"/>
    <x v="5"/>
  </r>
  <r>
    <s v="US-2015-100531"/>
    <d v="2015-09-27T00:00:00"/>
    <d v="2015-09-29T00:00:00"/>
    <x v="2"/>
    <s v="NM-18520"/>
    <s v="Neoma Murray"/>
    <x v="0"/>
    <s v="United States"/>
    <s v="Chicago"/>
    <s v="Illinois"/>
    <x v="3"/>
    <s v="FUR-FU-10003849"/>
    <s v="Furniture"/>
    <x v="3"/>
    <x v="108"/>
    <n v="24.288"/>
    <n v="3"/>
    <n v="-12.751200000000001"/>
    <s v="2- days"/>
    <n v="2"/>
    <x v="4"/>
  </r>
  <r>
    <s v="CA-2017-152583"/>
    <d v="2017-10-30T00:00:00"/>
    <d v="2017-10-30T00:00:00"/>
    <x v="3"/>
    <s v="RA-19945"/>
    <s v="Ryan Akin"/>
    <x v="0"/>
    <s v="United States"/>
    <s v="Dallas"/>
    <s v="Texas"/>
    <x v="3"/>
    <s v="FUR-FU-10003849"/>
    <s v="Furniture"/>
    <x v="3"/>
    <x v="108"/>
    <n v="16.192"/>
    <n v="2"/>
    <n v="-8.5007999999999999"/>
    <s v="0- days"/>
    <n v="0"/>
    <x v="1"/>
  </r>
  <r>
    <s v="CA-2017-152583"/>
    <d v="2017-10-30T00:00:00"/>
    <d v="2017-10-30T00:00:00"/>
    <x v="3"/>
    <s v="RA-19945"/>
    <s v="Ryan Akin"/>
    <x v="0"/>
    <s v="United States"/>
    <s v="Dallas"/>
    <s v="Texas"/>
    <x v="3"/>
    <s v="FUR-TA-10002041"/>
    <s v="Furniture"/>
    <x v="2"/>
    <x v="74"/>
    <n v="251.006"/>
    <n v="2"/>
    <n v="-68.130200000000002"/>
    <s v="0- days"/>
    <n v="0"/>
    <x v="1"/>
  </r>
  <r>
    <s v="CA-2017-136448"/>
    <d v="2017-09-16T00:00:00"/>
    <d v="2017-09-18T00:00:00"/>
    <x v="2"/>
    <s v="AS-10090"/>
    <s v="Adam Shillingsburg"/>
    <x v="0"/>
    <s v="United States"/>
    <s v="Philadelphia"/>
    <s v="Pennsylvania"/>
    <x v="2"/>
    <s v="FUR-FU-10003832"/>
    <s v="Furniture"/>
    <x v="3"/>
    <x v="282"/>
    <n v="22.512"/>
    <n v="3"/>
    <n v="2.2511999999999999"/>
    <s v="2- days"/>
    <n v="2"/>
    <x v="4"/>
  </r>
  <r>
    <s v="US-2015-147242"/>
    <d v="2015-09-10T00:00:00"/>
    <d v="2015-09-14T00:00:00"/>
    <x v="1"/>
    <s v="EH-13765"/>
    <s v="Edward Hooks"/>
    <x v="1"/>
    <s v="United States"/>
    <s v="Revere"/>
    <s v="Massachusetts"/>
    <x v="2"/>
    <s v="FUR-BO-10004695"/>
    <s v="Furniture"/>
    <x v="0"/>
    <x v="38"/>
    <n v="361.96"/>
    <n v="2"/>
    <n v="83.250799999999998"/>
    <s v="4- days"/>
    <n v="4"/>
    <x v="4"/>
  </r>
  <r>
    <s v="CA-2016-146143"/>
    <d v="2016-12-14T00:00:00"/>
    <d v="2016-12-19T00:00:00"/>
    <x v="1"/>
    <s v="MC-17845"/>
    <s v="Michael Chen"/>
    <x v="0"/>
    <s v="United States"/>
    <s v="Jackson"/>
    <s v="Mississippi"/>
    <x v="0"/>
    <s v="FUR-FU-10002045"/>
    <s v="Furniture"/>
    <x v="3"/>
    <x v="271"/>
    <n v="133.38"/>
    <n v="6"/>
    <n v="58.687199999999997"/>
    <s v="5- days"/>
    <n v="5"/>
    <x v="5"/>
  </r>
  <r>
    <s v="US-2016-150035"/>
    <d v="2016-12-01T00:00:00"/>
    <d v="2016-12-05T00:00:00"/>
    <x v="1"/>
    <s v="CL-11890"/>
    <s v="Carl Ludwig"/>
    <x v="0"/>
    <s v="United States"/>
    <s v="San Francisco"/>
    <s v="California"/>
    <x v="1"/>
    <s v="FUR-FU-10003724"/>
    <s v="Furniture"/>
    <x v="3"/>
    <x v="181"/>
    <n v="16.739999999999998"/>
    <n v="2"/>
    <n v="4.3524000000000003"/>
    <s v="4- days"/>
    <n v="4"/>
    <x v="5"/>
  </r>
  <r>
    <s v="CA-2017-111815"/>
    <d v="2017-03-03T00:00:00"/>
    <d v="2017-03-10T00:00:00"/>
    <x v="1"/>
    <s v="EP-13915"/>
    <s v="Emily Phan"/>
    <x v="0"/>
    <s v="United States"/>
    <s v="Dearborn Heights"/>
    <s v="Michigan"/>
    <x v="3"/>
    <s v="FUR-CH-10000785"/>
    <s v="Furniture"/>
    <x v="1"/>
    <x v="69"/>
    <n v="180.98"/>
    <n v="1"/>
    <n v="47.0548"/>
    <s v="7- days"/>
    <n v="7"/>
    <x v="9"/>
  </r>
  <r>
    <s v="CA-2016-131289"/>
    <d v="2016-12-08T00:00:00"/>
    <d v="2016-12-14T00:00:00"/>
    <x v="1"/>
    <s v="SP-20620"/>
    <s v="Stefania Perrino"/>
    <x v="1"/>
    <s v="United States"/>
    <s v="San Francisco"/>
    <s v="California"/>
    <x v="1"/>
    <s v="FUR-TA-10003954"/>
    <s v="Furniture"/>
    <x v="2"/>
    <x v="239"/>
    <n v="1421.664"/>
    <n v="6"/>
    <n v="-195.47880000000001"/>
    <s v="6- days"/>
    <n v="6"/>
    <x v="5"/>
  </r>
  <r>
    <s v="CA-2014-124023"/>
    <d v="2014-04-07T00:00:00"/>
    <d v="2014-04-10T00:00:00"/>
    <x v="2"/>
    <s v="PJ-19015"/>
    <s v="Pauline Johnson"/>
    <x v="0"/>
    <s v="United States"/>
    <s v="Mobile"/>
    <s v="Alabama"/>
    <x v="0"/>
    <s v="FUR-FU-10004415"/>
    <s v="Furniture"/>
    <x v="3"/>
    <x v="206"/>
    <n v="8.9600000000000009"/>
    <n v="2"/>
    <n v="2.7776000000000001"/>
    <s v="3- days"/>
    <n v="3"/>
    <x v="6"/>
  </r>
  <r>
    <s v="CA-2014-124688"/>
    <d v="2014-08-27T00:00:00"/>
    <d v="2014-08-29T00:00:00"/>
    <x v="2"/>
    <s v="CC-12610"/>
    <s v="Corey Catlett"/>
    <x v="1"/>
    <s v="United States"/>
    <s v="Springfield"/>
    <s v="Virginia"/>
    <x v="0"/>
    <s v="FUR-FU-10002456"/>
    <s v="Furniture"/>
    <x v="3"/>
    <x v="202"/>
    <n v="29.12"/>
    <n v="4"/>
    <n v="12.521599999999999"/>
    <s v="2- days"/>
    <n v="2"/>
    <x v="10"/>
  </r>
  <r>
    <s v="CA-2014-124688"/>
    <d v="2014-08-27T00:00:00"/>
    <d v="2014-08-29T00:00:00"/>
    <x v="2"/>
    <s v="CC-12610"/>
    <s v="Corey Catlett"/>
    <x v="1"/>
    <s v="United States"/>
    <s v="Springfield"/>
    <s v="Virginia"/>
    <x v="0"/>
    <s v="FUR-TA-10003569"/>
    <s v="Furniture"/>
    <x v="2"/>
    <x v="273"/>
    <n v="1202.94"/>
    <n v="3"/>
    <n v="300.73500000000001"/>
    <s v="2- days"/>
    <n v="2"/>
    <x v="10"/>
  </r>
  <r>
    <s v="CA-2015-157322"/>
    <d v="2015-07-02T00:00:00"/>
    <d v="2015-07-06T00:00:00"/>
    <x v="1"/>
    <s v="RH-19600"/>
    <s v="Rob Haberlin"/>
    <x v="0"/>
    <s v="United States"/>
    <s v="Carol Stream"/>
    <s v="Illinois"/>
    <x v="3"/>
    <s v="FUR-CH-10004086"/>
    <s v="Furniture"/>
    <x v="1"/>
    <x v="61"/>
    <n v="408.42200000000003"/>
    <n v="2"/>
    <n v="-5.8346"/>
    <s v="4- days"/>
    <n v="4"/>
    <x v="3"/>
  </r>
  <r>
    <s v="CA-2015-157322"/>
    <d v="2015-07-02T00:00:00"/>
    <d v="2015-07-06T00:00:00"/>
    <x v="1"/>
    <s v="RH-19600"/>
    <s v="Rob Haberlin"/>
    <x v="0"/>
    <s v="United States"/>
    <s v="Carol Stream"/>
    <s v="Illinois"/>
    <x v="3"/>
    <s v="FUR-CH-10003774"/>
    <s v="Furniture"/>
    <x v="1"/>
    <x v="234"/>
    <n v="382.11599999999999"/>
    <n v="6"/>
    <n v="-92.799599999999998"/>
    <s v="4- days"/>
    <n v="4"/>
    <x v="3"/>
  </r>
  <r>
    <s v="CA-2017-142034"/>
    <d v="2017-09-24T00:00:00"/>
    <d v="2017-09-28T00:00:00"/>
    <x v="1"/>
    <s v="KB-16240"/>
    <s v="Karen Bern"/>
    <x v="1"/>
    <s v="United States"/>
    <s v="Saint Cloud"/>
    <s v="Minnesota"/>
    <x v="3"/>
    <s v="FUR-CH-10000665"/>
    <s v="Furniture"/>
    <x v="1"/>
    <x v="140"/>
    <n v="603.91999999999996"/>
    <n v="4"/>
    <n v="181.17599999999999"/>
    <s v="4- days"/>
    <n v="4"/>
    <x v="4"/>
  </r>
  <r>
    <s v="CA-2016-107328"/>
    <d v="2016-08-08T00:00:00"/>
    <d v="2016-08-15T00:00:00"/>
    <x v="1"/>
    <s v="CA-12055"/>
    <s v="Cathy Armstrong"/>
    <x v="2"/>
    <s v="United States"/>
    <s v="Los Angeles"/>
    <s v="California"/>
    <x v="1"/>
    <s v="FUR-TA-10001932"/>
    <s v="Furniture"/>
    <x v="2"/>
    <x v="167"/>
    <n v="513.024"/>
    <n v="2"/>
    <n v="12.8256"/>
    <s v="7- days"/>
    <n v="7"/>
    <x v="10"/>
  </r>
  <r>
    <s v="CA-2014-166863"/>
    <d v="2014-06-20T00:00:00"/>
    <d v="2014-06-24T00:00:00"/>
    <x v="1"/>
    <s v="SC-20020"/>
    <s v="Sam Craven"/>
    <x v="0"/>
    <s v="United States"/>
    <s v="Plano"/>
    <s v="Texas"/>
    <x v="3"/>
    <s v="FUR-BO-10001608"/>
    <s v="Furniture"/>
    <x v="0"/>
    <x v="315"/>
    <n v="193.06559999999999"/>
    <n v="4"/>
    <n v="-19.874400000000001"/>
    <s v="4- days"/>
    <n v="4"/>
    <x v="2"/>
  </r>
  <r>
    <s v="CA-2017-140326"/>
    <d v="2017-09-04T00:00:00"/>
    <d v="2017-09-06T00:00:00"/>
    <x v="2"/>
    <s v="HW-14935"/>
    <s v="Helen Wasserman"/>
    <x v="1"/>
    <s v="United States"/>
    <s v="Chicago"/>
    <s v="Illinois"/>
    <x v="3"/>
    <s v="FUR-BO-10000112"/>
    <s v="Furniture"/>
    <x v="0"/>
    <x v="316"/>
    <n v="825.17399999999998"/>
    <n v="9"/>
    <n v="-117.88200000000001"/>
    <s v="2- days"/>
    <n v="2"/>
    <x v="4"/>
  </r>
  <r>
    <s v="CA-2015-124975"/>
    <d v="2015-06-22T00:00:00"/>
    <d v="2015-06-25T00:00:00"/>
    <x v="2"/>
    <s v="MG-17875"/>
    <s v="Michael Grace"/>
    <x v="2"/>
    <s v="United States"/>
    <s v="Aurora"/>
    <s v="Illinois"/>
    <x v="3"/>
    <s v="FUR-TA-10002645"/>
    <s v="Furniture"/>
    <x v="2"/>
    <x v="259"/>
    <n v="796.42499999999995"/>
    <n v="7"/>
    <n v="-525.64049999999997"/>
    <s v="3- days"/>
    <n v="3"/>
    <x v="2"/>
  </r>
  <r>
    <s v="CA-2016-157511"/>
    <d v="2016-09-18T00:00:00"/>
    <d v="2016-09-20T00:00:00"/>
    <x v="2"/>
    <s v="SV-20365"/>
    <s v="Seth Vernon"/>
    <x v="0"/>
    <s v="United States"/>
    <s v="Columbus"/>
    <s v="Ohio"/>
    <x v="2"/>
    <s v="FUR-FU-10002107"/>
    <s v="Furniture"/>
    <x v="3"/>
    <x v="262"/>
    <n v="5.3520000000000003"/>
    <n v="3"/>
    <n v="1.6055999999999999"/>
    <s v="2- days"/>
    <n v="2"/>
    <x v="4"/>
  </r>
  <r>
    <s v="CA-2016-157511"/>
    <d v="2016-09-18T00:00:00"/>
    <d v="2016-09-20T00:00:00"/>
    <x v="2"/>
    <s v="SV-20365"/>
    <s v="Seth Vernon"/>
    <x v="0"/>
    <s v="United States"/>
    <s v="Columbus"/>
    <s v="Ohio"/>
    <x v="2"/>
    <s v="FUR-CH-10002647"/>
    <s v="Furniture"/>
    <x v="1"/>
    <x v="99"/>
    <n v="99.372"/>
    <n v="2"/>
    <n v="-7.0979999999999999"/>
    <s v="2- days"/>
    <n v="2"/>
    <x v="4"/>
  </r>
  <r>
    <s v="CA-2017-155292"/>
    <d v="2017-10-30T00:00:00"/>
    <d v="2017-11-01T00:00:00"/>
    <x v="2"/>
    <s v="RD-19810"/>
    <s v="Ross DeVincentis"/>
    <x v="2"/>
    <s v="United States"/>
    <s v="Richmond"/>
    <s v="Kentucky"/>
    <x v="0"/>
    <s v="FUR-CH-10000553"/>
    <s v="Furniture"/>
    <x v="1"/>
    <x v="247"/>
    <n v="33.94"/>
    <n v="1"/>
    <n v="9.1638000000000002"/>
    <s v="2- days"/>
    <n v="2"/>
    <x v="1"/>
  </r>
  <r>
    <s v="CA-2016-152555"/>
    <d v="2016-03-29T00:00:00"/>
    <d v="2016-04-02T00:00:00"/>
    <x v="0"/>
    <s v="ME-17320"/>
    <s v="Maria Etezadi"/>
    <x v="2"/>
    <s v="United States"/>
    <s v="Chicago"/>
    <s v="Illinois"/>
    <x v="3"/>
    <s v="FUR-CH-10002965"/>
    <s v="Furniture"/>
    <x v="1"/>
    <x v="50"/>
    <n v="844.11599999999999"/>
    <n v="6"/>
    <n v="-36.176400000000001"/>
    <s v="4- days"/>
    <n v="4"/>
    <x v="9"/>
  </r>
  <r>
    <s v="CA-2016-137176"/>
    <d v="2016-09-09T00:00:00"/>
    <d v="2016-09-14T00:00:00"/>
    <x v="0"/>
    <s v="DB-12910"/>
    <s v="Daniel Byrd"/>
    <x v="2"/>
    <s v="United States"/>
    <s v="Dallas"/>
    <s v="Texas"/>
    <x v="3"/>
    <s v="FUR-FU-10003832"/>
    <s v="Furniture"/>
    <x v="3"/>
    <x v="282"/>
    <n v="15.007999999999999"/>
    <n v="4"/>
    <n v="-12.006399999999999"/>
    <s v="5- days"/>
    <n v="5"/>
    <x v="4"/>
  </r>
  <r>
    <s v="CA-2016-104157"/>
    <d v="2016-07-25T00:00:00"/>
    <d v="2016-07-29T00:00:00"/>
    <x v="1"/>
    <s v="MT-17815"/>
    <s v="Meg Tillman"/>
    <x v="0"/>
    <s v="United States"/>
    <s v="Jackson"/>
    <s v="Mississippi"/>
    <x v="0"/>
    <s v="FUR-TA-10004915"/>
    <s v="Furniture"/>
    <x v="2"/>
    <x v="71"/>
    <n v="2430.08"/>
    <n v="8"/>
    <n v="388.81279999999998"/>
    <s v="4- days"/>
    <n v="4"/>
    <x v="3"/>
  </r>
  <r>
    <s v="CA-2015-121650"/>
    <d v="2015-12-10T00:00:00"/>
    <d v="2015-12-16T00:00:00"/>
    <x v="1"/>
    <s v="KD-16495"/>
    <s v="Keith Dawkins"/>
    <x v="1"/>
    <s v="United States"/>
    <s v="Jackson"/>
    <s v="Michigan"/>
    <x v="3"/>
    <s v="FUR-TA-10003569"/>
    <s v="Furniture"/>
    <x v="2"/>
    <x v="273"/>
    <n v="801.96"/>
    <n v="2"/>
    <n v="200.49"/>
    <s v="6- days"/>
    <n v="6"/>
    <x v="5"/>
  </r>
  <r>
    <s v="CA-2015-121650"/>
    <d v="2015-12-10T00:00:00"/>
    <d v="2015-12-16T00:00:00"/>
    <x v="1"/>
    <s v="KD-16495"/>
    <s v="Keith Dawkins"/>
    <x v="1"/>
    <s v="United States"/>
    <s v="Jackson"/>
    <s v="Michigan"/>
    <x v="3"/>
    <s v="FUR-CH-10004289"/>
    <s v="Furniture"/>
    <x v="1"/>
    <x v="196"/>
    <n v="191.96"/>
    <n v="2"/>
    <n v="32.633200000000002"/>
    <s v="6- days"/>
    <n v="6"/>
    <x v="5"/>
  </r>
  <r>
    <s v="CA-2014-102869"/>
    <d v="2014-09-09T00:00:00"/>
    <d v="2014-09-14T00:00:00"/>
    <x v="0"/>
    <s v="LC-17140"/>
    <s v="Logan Currie"/>
    <x v="0"/>
    <s v="United States"/>
    <s v="Philadelphia"/>
    <s v="Pennsylvania"/>
    <x v="2"/>
    <s v="FUR-FU-10002456"/>
    <s v="Furniture"/>
    <x v="3"/>
    <x v="202"/>
    <n v="17.472000000000001"/>
    <n v="3"/>
    <n v="5.0232000000000001"/>
    <s v="5- days"/>
    <n v="5"/>
    <x v="4"/>
  </r>
  <r>
    <s v="CA-2014-159835"/>
    <d v="2014-11-17T00:00:00"/>
    <d v="2014-11-24T00:00:00"/>
    <x v="1"/>
    <s v="RB-19330"/>
    <s v="Randy Bradley"/>
    <x v="0"/>
    <s v="United States"/>
    <s v="Philadelphia"/>
    <s v="Pennsylvania"/>
    <x v="2"/>
    <s v="FUR-CH-10004997"/>
    <s v="Furniture"/>
    <x v="1"/>
    <x v="105"/>
    <n v="657.93"/>
    <n v="5"/>
    <n v="-93.99"/>
    <s v="7- days"/>
    <n v="7"/>
    <x v="0"/>
  </r>
  <r>
    <s v="CA-2017-112956"/>
    <d v="2017-08-21T00:00:00"/>
    <d v="2017-08-27T00:00:00"/>
    <x v="1"/>
    <s v="TH-21550"/>
    <s v="Tracy Hopkins"/>
    <x v="2"/>
    <s v="United States"/>
    <s v="Columbia"/>
    <s v="Maryland"/>
    <x v="2"/>
    <s v="FUR-FU-10003976"/>
    <s v="Furniture"/>
    <x v="3"/>
    <x v="195"/>
    <n v="25.16"/>
    <n v="2"/>
    <n v="8.5543999999999993"/>
    <s v="6- days"/>
    <n v="6"/>
    <x v="10"/>
  </r>
  <r>
    <s v="CA-2017-112956"/>
    <d v="2017-08-21T00:00:00"/>
    <d v="2017-08-27T00:00:00"/>
    <x v="1"/>
    <s v="TH-21550"/>
    <s v="Tracy Hopkins"/>
    <x v="2"/>
    <s v="United States"/>
    <s v="Columbia"/>
    <s v="Maryland"/>
    <x v="2"/>
    <s v="FUR-FU-10004960"/>
    <s v="Furniture"/>
    <x v="3"/>
    <x v="187"/>
    <n v="91.92"/>
    <n v="4"/>
    <n v="31.252800000000001"/>
    <s v="6- days"/>
    <n v="6"/>
    <x v="10"/>
  </r>
  <r>
    <s v="CA-2017-112529"/>
    <d v="2017-11-19T00:00:00"/>
    <d v="2017-11-21T00:00:00"/>
    <x v="2"/>
    <s v="SC-20770"/>
    <s v="Stewart Carmichael"/>
    <x v="1"/>
    <s v="United States"/>
    <s v="San Antonio"/>
    <s v="Texas"/>
    <x v="3"/>
    <s v="FUR-TA-10002622"/>
    <s v="Furniture"/>
    <x v="2"/>
    <x v="194"/>
    <n v="718.11599999999999"/>
    <n v="6"/>
    <n v="-71.811599999999999"/>
    <s v="2- days"/>
    <n v="2"/>
    <x v="0"/>
  </r>
  <r>
    <s v="CA-2014-159184"/>
    <d v="2014-09-14T00:00:00"/>
    <d v="2014-09-19T00:00:00"/>
    <x v="1"/>
    <s v="JC-15775"/>
    <s v="John Castell"/>
    <x v="0"/>
    <s v="United States"/>
    <s v="Macon"/>
    <s v="Georgia"/>
    <x v="0"/>
    <s v="FUR-FU-10002878"/>
    <s v="Furniture"/>
    <x v="3"/>
    <x v="220"/>
    <n v="142.4"/>
    <n v="5"/>
    <n v="52.688000000000002"/>
    <s v="5- days"/>
    <n v="5"/>
    <x v="4"/>
  </r>
  <r>
    <s v="CA-2017-113530"/>
    <d v="2017-05-19T00:00:00"/>
    <d v="2017-05-21T00:00:00"/>
    <x v="0"/>
    <s v="BC-11125"/>
    <s v="Becky Castell"/>
    <x v="2"/>
    <s v="United States"/>
    <s v="San Francisco"/>
    <s v="California"/>
    <x v="1"/>
    <s v="FUR-CH-10002647"/>
    <s v="Furniture"/>
    <x v="1"/>
    <x v="99"/>
    <n v="681.40800000000002"/>
    <n v="12"/>
    <n v="42.588000000000001"/>
    <s v="2- days"/>
    <n v="2"/>
    <x v="7"/>
  </r>
  <r>
    <s v="CA-2016-145177"/>
    <d v="2016-11-10T00:00:00"/>
    <d v="2016-11-14T00:00:00"/>
    <x v="1"/>
    <s v="PP-18955"/>
    <s v="Paul Prost"/>
    <x v="2"/>
    <s v="United States"/>
    <s v="Springfield"/>
    <s v="Ohio"/>
    <x v="2"/>
    <s v="FUR-FU-10000758"/>
    <s v="Furniture"/>
    <x v="3"/>
    <x v="207"/>
    <n v="148.28800000000001"/>
    <n v="7"/>
    <n v="29.657599999999999"/>
    <s v="4- days"/>
    <n v="4"/>
    <x v="0"/>
  </r>
  <r>
    <s v="CA-2015-128083"/>
    <d v="2015-03-12T00:00:00"/>
    <d v="2015-03-17T00:00:00"/>
    <x v="1"/>
    <s v="EB-13750"/>
    <s v="Edward Becker"/>
    <x v="1"/>
    <s v="United States"/>
    <s v="Plantation"/>
    <s v="Florida"/>
    <x v="0"/>
    <s v="FUR-FU-10003194"/>
    <s v="Furniture"/>
    <x v="3"/>
    <x v="19"/>
    <n v="30.88"/>
    <n v="4"/>
    <n v="3.86"/>
    <s v="5- days"/>
    <n v="5"/>
    <x v="9"/>
  </r>
  <r>
    <s v="CA-2015-128083"/>
    <d v="2015-03-12T00:00:00"/>
    <d v="2015-03-17T00:00:00"/>
    <x v="1"/>
    <s v="EB-13750"/>
    <s v="Edward Becker"/>
    <x v="1"/>
    <s v="United States"/>
    <s v="Plantation"/>
    <s v="Florida"/>
    <x v="0"/>
    <s v="FUR-FU-10001731"/>
    <s v="Furniture"/>
    <x v="3"/>
    <x v="317"/>
    <n v="6.4080000000000004"/>
    <n v="3"/>
    <n v="1.4418"/>
    <s v="5- days"/>
    <n v="5"/>
    <x v="9"/>
  </r>
  <r>
    <s v="CA-2017-154109"/>
    <d v="2017-11-06T00:00:00"/>
    <d v="2017-11-11T00:00:00"/>
    <x v="1"/>
    <s v="ML-17410"/>
    <s v="Maris LaWare"/>
    <x v="0"/>
    <s v="United States"/>
    <s v="Philadelphia"/>
    <s v="Pennsylvania"/>
    <x v="2"/>
    <s v="FUR-CH-10003774"/>
    <s v="Furniture"/>
    <x v="1"/>
    <x v="234"/>
    <n v="127.372"/>
    <n v="2"/>
    <n v="-30.933199999999999"/>
    <s v="5- days"/>
    <n v="5"/>
    <x v="0"/>
  </r>
  <r>
    <s v="CA-2015-156440"/>
    <d v="2015-12-05T00:00:00"/>
    <d v="2015-12-09T00:00:00"/>
    <x v="1"/>
    <s v="MH-17620"/>
    <s v="Matt Hagelstein"/>
    <x v="1"/>
    <s v="United States"/>
    <s v="San Diego"/>
    <s v="California"/>
    <x v="1"/>
    <s v="FUR-FU-10004090"/>
    <s v="Furniture"/>
    <x v="3"/>
    <x v="137"/>
    <n v="44.46"/>
    <n v="2"/>
    <n v="14.671799999999999"/>
    <s v="4- days"/>
    <n v="4"/>
    <x v="5"/>
  </r>
  <r>
    <s v="CA-2015-132626"/>
    <d v="2015-07-09T00:00:00"/>
    <d v="2015-07-14T00:00:00"/>
    <x v="1"/>
    <s v="BT-11680"/>
    <s v="Brian Thompson"/>
    <x v="0"/>
    <s v="United States"/>
    <s v="Clinton"/>
    <s v="Maryland"/>
    <x v="2"/>
    <s v="FUR-FU-10002918"/>
    <s v="Furniture"/>
    <x v="3"/>
    <x v="56"/>
    <n v="181.96"/>
    <n v="2"/>
    <n v="20.015599999999999"/>
    <s v="5- days"/>
    <n v="5"/>
    <x v="3"/>
  </r>
  <r>
    <s v="US-2015-131359"/>
    <d v="2015-10-30T00:00:00"/>
    <d v="2015-11-02T00:00:00"/>
    <x v="0"/>
    <s v="FA-14230"/>
    <s v="Frank Atkinson"/>
    <x v="1"/>
    <s v="United States"/>
    <s v="Denver"/>
    <s v="Colorado"/>
    <x v="1"/>
    <s v="FUR-FU-10003026"/>
    <s v="Furniture"/>
    <x v="3"/>
    <x v="318"/>
    <n v="15.488"/>
    <n v="4"/>
    <n v="3.6783999999999999"/>
    <s v="3- days"/>
    <n v="3"/>
    <x v="1"/>
  </r>
  <r>
    <s v="CA-2015-151680"/>
    <d v="2015-11-19T00:00:00"/>
    <d v="2015-11-21T00:00:00"/>
    <x v="0"/>
    <s v="TC-21475"/>
    <s v="Tony Chapman"/>
    <x v="2"/>
    <s v="United States"/>
    <s v="Seattle"/>
    <s v="Washington"/>
    <x v="1"/>
    <s v="FUR-FU-10000305"/>
    <s v="Furniture"/>
    <x v="3"/>
    <x v="291"/>
    <n v="141.96"/>
    <n v="2"/>
    <n v="22.7136"/>
    <s v="2- days"/>
    <n v="2"/>
    <x v="0"/>
  </r>
  <r>
    <s v="CA-2017-169411"/>
    <d v="2017-12-24T00:00:00"/>
    <d v="2017-12-29T00:00:00"/>
    <x v="1"/>
    <s v="AC-10615"/>
    <s v="Ann Chong"/>
    <x v="1"/>
    <s v="United States"/>
    <s v="Rochester"/>
    <s v="New York"/>
    <x v="2"/>
    <s v="FUR-FU-10001602"/>
    <s v="Furniture"/>
    <x v="3"/>
    <x v="153"/>
    <n v="37.93"/>
    <n v="1"/>
    <n v="6.8273999999999999"/>
    <s v="5- days"/>
    <n v="5"/>
    <x v="5"/>
  </r>
  <r>
    <s v="CA-2016-126543"/>
    <d v="2016-01-09T00:00:00"/>
    <d v="2016-01-13T00:00:00"/>
    <x v="0"/>
    <s v="MF-17665"/>
    <s v="Maureen Fritzler"/>
    <x v="1"/>
    <s v="United States"/>
    <s v="Toledo"/>
    <s v="Ohio"/>
    <x v="2"/>
    <s v="FUR-FU-10002445"/>
    <s v="Furniture"/>
    <x v="3"/>
    <x v="292"/>
    <n v="15.167999999999999"/>
    <n v="2"/>
    <n v="3.7919999999999998"/>
    <s v="4- days"/>
    <n v="4"/>
    <x v="8"/>
  </r>
  <r>
    <s v="CA-2014-120544"/>
    <d v="2014-11-23T00:00:00"/>
    <d v="2014-11-27T00:00:00"/>
    <x v="1"/>
    <s v="SS-20140"/>
    <s v="Saphhira Shifley"/>
    <x v="1"/>
    <s v="United States"/>
    <s v="Mesquite"/>
    <s v="Texas"/>
    <x v="3"/>
    <s v="FUR-FU-10001940"/>
    <s v="Furniture"/>
    <x v="3"/>
    <x v="47"/>
    <n v="6.3680000000000003"/>
    <n v="2"/>
    <n v="-2.5472000000000001"/>
    <s v="4- days"/>
    <n v="4"/>
    <x v="0"/>
  </r>
  <r>
    <s v="CA-2017-113670"/>
    <d v="2017-10-15T00:00:00"/>
    <d v="2017-10-17T00:00:00"/>
    <x v="2"/>
    <s v="RS-19765"/>
    <s v="Roland Schwarz"/>
    <x v="1"/>
    <s v="United States"/>
    <s v="Los Angeles"/>
    <s v="California"/>
    <x v="1"/>
    <s v="FUR-TA-10001705"/>
    <s v="Furniture"/>
    <x v="2"/>
    <x v="43"/>
    <n v="510.24"/>
    <n v="3"/>
    <n v="6.3780000000000001"/>
    <s v="2- days"/>
    <n v="2"/>
    <x v="1"/>
  </r>
  <r>
    <s v="CA-2017-166198"/>
    <d v="2017-04-21T00:00:00"/>
    <d v="2017-04-24T00:00:00"/>
    <x v="2"/>
    <s v="JW-15955"/>
    <s v="Joni Wasserman"/>
    <x v="0"/>
    <s v="United States"/>
    <s v="Seattle"/>
    <s v="Washington"/>
    <x v="1"/>
    <s v="FUR-FU-10004622"/>
    <s v="Furniture"/>
    <x v="3"/>
    <x v="161"/>
    <n v="162.6"/>
    <n v="3"/>
    <n v="34.146000000000001"/>
    <s v="3- days"/>
    <n v="3"/>
    <x v="6"/>
  </r>
  <r>
    <s v="CA-2014-135608"/>
    <d v="2014-12-08T00:00:00"/>
    <d v="2014-12-10T00:00:00"/>
    <x v="0"/>
    <s v="JK-15625"/>
    <s v="Jim Karlsson"/>
    <x v="0"/>
    <s v="United States"/>
    <s v="Olympia"/>
    <s v="Washington"/>
    <x v="1"/>
    <s v="FUR-CH-10002602"/>
    <s v="Furniture"/>
    <x v="1"/>
    <x v="64"/>
    <n v="603.91999999999996"/>
    <n v="5"/>
    <n v="45.293999999999997"/>
    <s v="2- days"/>
    <n v="2"/>
    <x v="5"/>
  </r>
  <r>
    <s v="CA-2016-151155"/>
    <d v="2016-12-20T00:00:00"/>
    <d v="2016-12-24T00:00:00"/>
    <x v="1"/>
    <s v="AB-10255"/>
    <s v="Alejandro Ballentine"/>
    <x v="2"/>
    <s v="United States"/>
    <s v="Jackson"/>
    <s v="Mississippi"/>
    <x v="0"/>
    <s v="FUR-FU-10001918"/>
    <s v="Furniture"/>
    <x v="3"/>
    <x v="60"/>
    <n v="18.920000000000002"/>
    <n v="4"/>
    <n v="7.3788"/>
    <s v="4- days"/>
    <n v="4"/>
    <x v="5"/>
  </r>
  <r>
    <s v="CA-2017-168193"/>
    <d v="2017-03-06T00:00:00"/>
    <d v="2017-03-11T00:00:00"/>
    <x v="0"/>
    <s v="RM-19750"/>
    <s v="Roland Murray"/>
    <x v="0"/>
    <s v="United States"/>
    <s v="New York City"/>
    <s v="New York"/>
    <x v="2"/>
    <s v="FUR-FU-10002554"/>
    <s v="Furniture"/>
    <x v="3"/>
    <x v="185"/>
    <n v="71.97"/>
    <n v="3"/>
    <n v="16.553100000000001"/>
    <s v="5- days"/>
    <n v="5"/>
    <x v="9"/>
  </r>
  <r>
    <s v="CA-2016-149979"/>
    <d v="2016-09-23T00:00:00"/>
    <d v="2016-09-28T00:00:00"/>
    <x v="0"/>
    <s v="RA-19915"/>
    <s v="Russell Applegate"/>
    <x v="0"/>
    <s v="United States"/>
    <s v="Columbus"/>
    <s v="Georgia"/>
    <x v="0"/>
    <s v="FUR-CH-10002084"/>
    <s v="Furniture"/>
    <x v="1"/>
    <x v="244"/>
    <n v="368.97"/>
    <n v="3"/>
    <n v="81.173400000000001"/>
    <s v="5- days"/>
    <n v="5"/>
    <x v="4"/>
  </r>
  <r>
    <s v="CA-2017-161956"/>
    <d v="2017-08-27T00:00:00"/>
    <d v="2017-08-29T00:00:00"/>
    <x v="0"/>
    <s v="DR-12880"/>
    <s v="Dan Reichenbach"/>
    <x v="1"/>
    <s v="United States"/>
    <s v="Inglewood"/>
    <s v="California"/>
    <x v="1"/>
    <s v="FUR-FU-10002937"/>
    <s v="Furniture"/>
    <x v="3"/>
    <x v="205"/>
    <n v="198.46"/>
    <n v="2"/>
    <n v="99.23"/>
    <s v="2- days"/>
    <n v="2"/>
    <x v="10"/>
  </r>
  <r>
    <s v="CA-2017-161956"/>
    <d v="2017-08-27T00:00:00"/>
    <d v="2017-08-29T00:00:00"/>
    <x v="0"/>
    <s v="DR-12880"/>
    <s v="Dan Reichenbach"/>
    <x v="1"/>
    <s v="United States"/>
    <s v="Inglewood"/>
    <s v="California"/>
    <x v="1"/>
    <s v="FUR-CH-10004886"/>
    <s v="Furniture"/>
    <x v="1"/>
    <x v="77"/>
    <n v="230.28"/>
    <n v="3"/>
    <n v="23.027999999999999"/>
    <s v="2- days"/>
    <n v="2"/>
    <x v="10"/>
  </r>
  <r>
    <s v="CA-2016-116799"/>
    <d v="2016-03-03T00:00:00"/>
    <d v="2016-03-06T00:00:00"/>
    <x v="2"/>
    <s v="JG-15310"/>
    <s v="Jason Gross"/>
    <x v="1"/>
    <s v="United States"/>
    <s v="Odessa"/>
    <s v="Texas"/>
    <x v="3"/>
    <s v="FUR-CH-10004983"/>
    <s v="Furniture"/>
    <x v="1"/>
    <x v="319"/>
    <n v="563.42999999999995"/>
    <n v="5"/>
    <n v="-56.343000000000004"/>
    <s v="3- days"/>
    <n v="3"/>
    <x v="9"/>
  </r>
  <r>
    <s v="CA-2015-167745"/>
    <d v="2015-09-18T00:00:00"/>
    <d v="2015-09-23T00:00:00"/>
    <x v="1"/>
    <s v="GB-14530"/>
    <s v="George Bell"/>
    <x v="1"/>
    <s v="United States"/>
    <s v="Los Angeles"/>
    <s v="California"/>
    <x v="1"/>
    <s v="FUR-FU-10001591"/>
    <s v="Furniture"/>
    <x v="3"/>
    <x v="215"/>
    <n v="24.4"/>
    <n v="2"/>
    <n v="10.247999999999999"/>
    <s v="5- days"/>
    <n v="5"/>
    <x v="4"/>
  </r>
  <r>
    <s v="CA-2016-156251"/>
    <d v="2016-08-13T00:00:00"/>
    <d v="2016-08-18T00:00:00"/>
    <x v="0"/>
    <s v="TS-21160"/>
    <s v="Theresa Swint"/>
    <x v="1"/>
    <s v="United States"/>
    <s v="West Allis"/>
    <s v="Wisconsin"/>
    <x v="3"/>
    <s v="FUR-BO-10001337"/>
    <s v="Furniture"/>
    <x v="0"/>
    <x v="90"/>
    <n v="241.96"/>
    <n v="2"/>
    <n v="24.196000000000002"/>
    <s v="5- days"/>
    <n v="5"/>
    <x v="10"/>
  </r>
  <r>
    <s v="CA-2016-163153"/>
    <d v="2016-03-21T00:00:00"/>
    <d v="2016-03-25T00:00:00"/>
    <x v="1"/>
    <s v="DM-12955"/>
    <s v="Dario Medina"/>
    <x v="1"/>
    <s v="United States"/>
    <s v="Houston"/>
    <s v="Texas"/>
    <x v="3"/>
    <s v="FUR-TA-10004767"/>
    <s v="Furniture"/>
    <x v="2"/>
    <x v="227"/>
    <n v="99.372"/>
    <n v="2"/>
    <n v="-1.4196"/>
    <s v="4- days"/>
    <n v="4"/>
    <x v="9"/>
  </r>
  <r>
    <s v="CA-2014-153913"/>
    <d v="2014-12-16T00:00:00"/>
    <d v="2014-12-20T00:00:00"/>
    <x v="0"/>
    <s v="KB-16585"/>
    <s v="Ken Black"/>
    <x v="1"/>
    <s v="United States"/>
    <s v="Hialeah"/>
    <s v="Florida"/>
    <x v="0"/>
    <s v="FUR-CH-10000988"/>
    <s v="Furniture"/>
    <x v="1"/>
    <x v="221"/>
    <n v="1013.832"/>
    <n v="9"/>
    <n v="101.3832"/>
    <s v="4- days"/>
    <n v="4"/>
    <x v="5"/>
  </r>
  <r>
    <s v="CA-2016-155530"/>
    <d v="2016-12-17T00:00:00"/>
    <d v="2016-12-21T00:00:00"/>
    <x v="1"/>
    <s v="CM-12160"/>
    <s v="Charles McCrossin"/>
    <x v="0"/>
    <s v="United States"/>
    <s v="San Francisco"/>
    <s v="California"/>
    <x v="1"/>
    <s v="FUR-TA-10004256"/>
    <s v="Furniture"/>
    <x v="2"/>
    <x v="103"/>
    <n v="2003.52"/>
    <n v="6"/>
    <n v="-325.572"/>
    <s v="4- days"/>
    <n v="4"/>
    <x v="5"/>
  </r>
  <r>
    <s v="CA-2015-107937"/>
    <d v="2015-05-03T00:00:00"/>
    <d v="2015-05-08T00:00:00"/>
    <x v="1"/>
    <s v="JB-16045"/>
    <s v="Julia Barnett"/>
    <x v="2"/>
    <s v="United States"/>
    <s v="Chula Vista"/>
    <s v="California"/>
    <x v="1"/>
    <s v="FUR-FU-10002298"/>
    <s v="Furniture"/>
    <x v="3"/>
    <x v="256"/>
    <n v="665.88"/>
    <n v="6"/>
    <n v="106.5408"/>
    <s v="5- days"/>
    <n v="5"/>
    <x v="7"/>
  </r>
  <r>
    <s v="US-2014-117163"/>
    <d v="2014-01-27T00:00:00"/>
    <d v="2014-02-02T00:00:00"/>
    <x v="1"/>
    <s v="EJ-13720"/>
    <s v="Ed Jacobs"/>
    <x v="0"/>
    <s v="United States"/>
    <s v="San Diego"/>
    <s v="California"/>
    <x v="1"/>
    <s v="FUR-TA-10003469"/>
    <s v="Furniture"/>
    <x v="2"/>
    <x v="320"/>
    <n v="333"/>
    <n v="3"/>
    <n v="-16.649999999999999"/>
    <s v="6- days"/>
    <n v="6"/>
    <x v="8"/>
  </r>
  <r>
    <s v="CA-2017-147760"/>
    <d v="2017-11-04T00:00:00"/>
    <d v="2017-11-05T00:00:00"/>
    <x v="2"/>
    <s v="KL-16555"/>
    <s v="Kelly Lampkin"/>
    <x v="1"/>
    <s v="United States"/>
    <s v="Greensboro"/>
    <s v="North Carolina"/>
    <x v="0"/>
    <s v="FUR-TA-10004575"/>
    <s v="Furniture"/>
    <x v="2"/>
    <x v="67"/>
    <n v="523.76400000000001"/>
    <n v="3"/>
    <n v="-192.04679999999999"/>
    <s v="1- days"/>
    <n v="1"/>
    <x v="0"/>
  </r>
  <r>
    <s v="CA-2016-156503"/>
    <d v="2016-10-14T00:00:00"/>
    <d v="2016-10-20T00:00:00"/>
    <x v="1"/>
    <s v="NC-18415"/>
    <s v="Nathan Cano"/>
    <x v="0"/>
    <s v="United States"/>
    <s v="Jacksonville"/>
    <s v="North Carolina"/>
    <x v="0"/>
    <s v="FUR-CH-10003606"/>
    <s v="Furniture"/>
    <x v="1"/>
    <x v="321"/>
    <n v="102.592"/>
    <n v="1"/>
    <n v="10.2592"/>
    <s v="6- days"/>
    <n v="6"/>
    <x v="1"/>
  </r>
  <r>
    <s v="CA-2015-113628"/>
    <d v="2015-11-12T00:00:00"/>
    <d v="2015-11-19T00:00:00"/>
    <x v="1"/>
    <s v="AH-10690"/>
    <s v="Anna HŠberlin"/>
    <x v="1"/>
    <s v="United States"/>
    <s v="Plantation"/>
    <s v="Florida"/>
    <x v="0"/>
    <s v="FUR-CH-10003298"/>
    <s v="Furniture"/>
    <x v="1"/>
    <x v="322"/>
    <n v="523.91999999999996"/>
    <n v="5"/>
    <n v="-72.039000000000001"/>
    <s v="7- days"/>
    <n v="7"/>
    <x v="0"/>
  </r>
  <r>
    <s v="CA-2015-113628"/>
    <d v="2015-11-12T00:00:00"/>
    <d v="2015-11-19T00:00:00"/>
    <x v="1"/>
    <s v="AH-10690"/>
    <s v="Anna HŠberlin"/>
    <x v="1"/>
    <s v="United States"/>
    <s v="Plantation"/>
    <s v="Florida"/>
    <x v="0"/>
    <s v="FUR-CH-10004477"/>
    <s v="Furniture"/>
    <x v="1"/>
    <x v="42"/>
    <n v="146.136"/>
    <n v="3"/>
    <n v="16.440300000000001"/>
    <s v="7- days"/>
    <n v="7"/>
    <x v="0"/>
  </r>
  <r>
    <s v="CA-2015-102582"/>
    <d v="2015-09-15T00:00:00"/>
    <d v="2015-09-19T00:00:00"/>
    <x v="1"/>
    <s v="NW-18400"/>
    <s v="Natalie Webber"/>
    <x v="0"/>
    <s v="United States"/>
    <s v="Mobile"/>
    <s v="Alabama"/>
    <x v="0"/>
    <s v="FUR-TA-10003569"/>
    <s v="Furniture"/>
    <x v="2"/>
    <x v="273"/>
    <n v="801.96"/>
    <n v="2"/>
    <n v="200.49"/>
    <s v="4- days"/>
    <n v="4"/>
    <x v="4"/>
  </r>
  <r>
    <s v="CA-2015-102582"/>
    <d v="2015-09-15T00:00:00"/>
    <d v="2015-09-19T00:00:00"/>
    <x v="1"/>
    <s v="NW-18400"/>
    <s v="Natalie Webber"/>
    <x v="0"/>
    <s v="United States"/>
    <s v="Mobile"/>
    <s v="Alabama"/>
    <x v="0"/>
    <s v="FUR-CH-10004853"/>
    <s v="Furniture"/>
    <x v="1"/>
    <x v="110"/>
    <n v="1056.8599999999999"/>
    <n v="7"/>
    <n v="306.48939999999999"/>
    <s v="4- days"/>
    <n v="4"/>
    <x v="4"/>
  </r>
  <r>
    <s v="CA-2017-141873"/>
    <d v="2017-10-09T00:00:00"/>
    <d v="2017-10-14T00:00:00"/>
    <x v="1"/>
    <s v="HG-14845"/>
    <s v="Harry Greene"/>
    <x v="0"/>
    <s v="United States"/>
    <s v="New York City"/>
    <s v="New York"/>
    <x v="2"/>
    <s v="FUR-BO-10003034"/>
    <s v="Furniture"/>
    <x v="0"/>
    <x v="236"/>
    <n v="314.35199999999998"/>
    <n v="3"/>
    <n v="-15.717599999999999"/>
    <s v="5- days"/>
    <n v="5"/>
    <x v="1"/>
  </r>
  <r>
    <s v="CA-2017-141733"/>
    <d v="2017-05-07T00:00:00"/>
    <d v="2017-05-11T00:00:00"/>
    <x v="1"/>
    <s v="RW-19540"/>
    <s v="Rick Wilson"/>
    <x v="1"/>
    <s v="United States"/>
    <s v="Detroit"/>
    <s v="Michigan"/>
    <x v="3"/>
    <s v="FUR-CH-10004086"/>
    <s v="Furniture"/>
    <x v="1"/>
    <x v="61"/>
    <n v="1458.65"/>
    <n v="5"/>
    <n v="423.00850000000003"/>
    <s v="4- days"/>
    <n v="4"/>
    <x v="7"/>
  </r>
  <r>
    <s v="CA-2017-141733"/>
    <d v="2017-05-07T00:00:00"/>
    <d v="2017-05-11T00:00:00"/>
    <x v="1"/>
    <s v="RW-19540"/>
    <s v="Rick Wilson"/>
    <x v="1"/>
    <s v="United States"/>
    <s v="Detroit"/>
    <s v="Michigan"/>
    <x v="3"/>
    <s v="FUR-CH-10002017"/>
    <s v="Furniture"/>
    <x v="1"/>
    <x v="274"/>
    <n v="26.64"/>
    <n v="1"/>
    <n v="7.4592000000000001"/>
    <s v="4- days"/>
    <n v="4"/>
    <x v="7"/>
  </r>
  <r>
    <s v="CA-2017-141733"/>
    <d v="2017-05-07T00:00:00"/>
    <d v="2017-05-11T00:00:00"/>
    <x v="1"/>
    <s v="RW-19540"/>
    <s v="Rick Wilson"/>
    <x v="1"/>
    <s v="United States"/>
    <s v="Detroit"/>
    <s v="Michigan"/>
    <x v="3"/>
    <s v="FUR-CH-10000595"/>
    <s v="Furniture"/>
    <x v="1"/>
    <x v="97"/>
    <n v="476.8"/>
    <n v="2"/>
    <n v="119.2"/>
    <s v="4- days"/>
    <n v="4"/>
    <x v="7"/>
  </r>
  <r>
    <s v="US-2015-111927"/>
    <d v="2015-11-14T00:00:00"/>
    <d v="2015-11-19T00:00:00"/>
    <x v="1"/>
    <s v="LS-17230"/>
    <s v="Lycoris Saunders"/>
    <x v="0"/>
    <s v="United States"/>
    <s v="Dover"/>
    <s v="Delaware"/>
    <x v="2"/>
    <s v="FUR-FU-10004017"/>
    <s v="Furniture"/>
    <x v="3"/>
    <x v="323"/>
    <n v="76.14"/>
    <n v="3"/>
    <n v="26.649000000000001"/>
    <s v="5- days"/>
    <n v="5"/>
    <x v="0"/>
  </r>
  <r>
    <s v="CA-2014-105984"/>
    <d v="2014-11-24T00:00:00"/>
    <d v="2014-11-24T00:00:00"/>
    <x v="3"/>
    <s v="MY-18295"/>
    <s v="Muhammed Yedwab"/>
    <x v="1"/>
    <s v="United States"/>
    <s v="Columbus"/>
    <s v="Ohio"/>
    <x v="2"/>
    <s v="FUR-CH-10000847"/>
    <s v="Furniture"/>
    <x v="1"/>
    <x v="199"/>
    <n v="611.05799999999999"/>
    <n v="3"/>
    <n v="-34.9176"/>
    <s v="0- days"/>
    <n v="0"/>
    <x v="0"/>
  </r>
  <r>
    <s v="CA-2014-126760"/>
    <d v="2014-07-26T00:00:00"/>
    <d v="2014-08-02T00:00:00"/>
    <x v="1"/>
    <s v="KM-16720"/>
    <s v="Kunst Miller"/>
    <x v="0"/>
    <s v="United States"/>
    <s v="North Las Vegas"/>
    <s v="Nevada"/>
    <x v="1"/>
    <s v="FUR-CH-10003312"/>
    <s v="Furniture"/>
    <x v="1"/>
    <x v="66"/>
    <n v="674.35199999999998"/>
    <n v="3"/>
    <n v="-109.5822"/>
    <s v="7- days"/>
    <n v="7"/>
    <x v="3"/>
  </r>
  <r>
    <s v="CA-2014-126760"/>
    <d v="2014-07-26T00:00:00"/>
    <d v="2014-08-02T00:00:00"/>
    <x v="1"/>
    <s v="KM-16720"/>
    <s v="Kunst Miller"/>
    <x v="0"/>
    <s v="United States"/>
    <s v="North Las Vegas"/>
    <s v="Nevada"/>
    <x v="1"/>
    <s v="FUR-FU-10004018"/>
    <s v="Furniture"/>
    <x v="3"/>
    <x v="188"/>
    <n v="134.01"/>
    <n v="9"/>
    <n v="36.182699999999997"/>
    <s v="7- days"/>
    <n v="7"/>
    <x v="3"/>
  </r>
  <r>
    <s v="US-2014-109162"/>
    <d v="2014-06-08T00:00:00"/>
    <d v="2014-06-12T00:00:00"/>
    <x v="1"/>
    <s v="KE-16420"/>
    <s v="Katrina Edelman"/>
    <x v="1"/>
    <s v="United States"/>
    <s v="Bristol"/>
    <s v="Tennessee"/>
    <x v="0"/>
    <s v="FUR-CH-10002647"/>
    <s v="Furniture"/>
    <x v="1"/>
    <x v="99"/>
    <n v="170.352"/>
    <n v="3"/>
    <n v="10.647"/>
    <s v="4- days"/>
    <n v="4"/>
    <x v="2"/>
  </r>
  <r>
    <s v="CA-2014-101931"/>
    <d v="2014-10-28T00:00:00"/>
    <d v="2014-10-31T00:00:00"/>
    <x v="2"/>
    <s v="TS-21370"/>
    <s v="Todd Sumrall"/>
    <x v="1"/>
    <s v="United States"/>
    <s v="Los Angeles"/>
    <s v="California"/>
    <x v="1"/>
    <s v="FUR-BO-10001337"/>
    <s v="Furniture"/>
    <x v="0"/>
    <x v="90"/>
    <n v="616.99800000000005"/>
    <n v="6"/>
    <n v="-36.293999999999997"/>
    <s v="3- days"/>
    <n v="3"/>
    <x v="1"/>
  </r>
  <r>
    <s v="CA-2015-127593"/>
    <d v="2015-09-21T00:00:00"/>
    <d v="2015-09-21T00:00:00"/>
    <x v="3"/>
    <s v="DH-13675"/>
    <s v="Duane Huffman"/>
    <x v="2"/>
    <s v="United States"/>
    <s v="Quincy"/>
    <s v="Massachusetts"/>
    <x v="2"/>
    <s v="FUR-FU-10004006"/>
    <s v="Furniture"/>
    <x v="3"/>
    <x v="23"/>
    <n v="85.3"/>
    <n v="2"/>
    <n v="14.500999999999999"/>
    <s v="0- days"/>
    <n v="0"/>
    <x v="4"/>
  </r>
  <r>
    <s v="US-2017-131849"/>
    <d v="2017-06-06T00:00:00"/>
    <d v="2017-06-10T00:00:00"/>
    <x v="1"/>
    <s v="GH-14410"/>
    <s v="Gary Hansen"/>
    <x v="2"/>
    <s v="United States"/>
    <s v="San Francisco"/>
    <s v="California"/>
    <x v="1"/>
    <s v="FUR-FU-10004164"/>
    <s v="Furniture"/>
    <x v="3"/>
    <x v="324"/>
    <n v="4.95"/>
    <n v="1"/>
    <n v="2.1779999999999999"/>
    <s v="4- days"/>
    <n v="4"/>
    <x v="2"/>
  </r>
  <r>
    <s v="CA-2017-154039"/>
    <d v="2017-02-17T00:00:00"/>
    <d v="2017-02-22T00:00:00"/>
    <x v="1"/>
    <s v="JK-16120"/>
    <s v="Julie Kriz"/>
    <x v="2"/>
    <s v="United States"/>
    <s v="Chicago"/>
    <s v="Illinois"/>
    <x v="3"/>
    <s v="FUR-TA-10001932"/>
    <s v="Furniture"/>
    <x v="2"/>
    <x v="167"/>
    <n v="480.96"/>
    <n v="3"/>
    <n v="-269.33760000000001"/>
    <s v="5- days"/>
    <n v="5"/>
    <x v="11"/>
  </r>
  <r>
    <s v="CA-2015-157133"/>
    <d v="2015-11-28T00:00:00"/>
    <d v="2015-12-03T00:00:00"/>
    <x v="1"/>
    <s v="LC-16885"/>
    <s v="Lena Creighton"/>
    <x v="0"/>
    <s v="United States"/>
    <s v="Champaign"/>
    <s v="Illinois"/>
    <x v="3"/>
    <s v="FUR-FU-10004904"/>
    <s v="Furniture"/>
    <x v="3"/>
    <x v="325"/>
    <n v="151.96"/>
    <n v="5"/>
    <n v="-182.352"/>
    <s v="5- days"/>
    <n v="5"/>
    <x v="0"/>
  </r>
  <r>
    <s v="CA-2015-132486"/>
    <d v="2015-10-23T00:00:00"/>
    <d v="2015-10-27T00:00:00"/>
    <x v="0"/>
    <s v="JF-15355"/>
    <s v="Jay Fein"/>
    <x v="0"/>
    <s v="United States"/>
    <s v="San Diego"/>
    <s v="California"/>
    <x v="1"/>
    <s v="FUR-CH-10004495"/>
    <s v="Furniture"/>
    <x v="1"/>
    <x v="304"/>
    <n v="240.78399999999999"/>
    <n v="1"/>
    <n v="27.088200000000001"/>
    <s v="4- days"/>
    <n v="4"/>
    <x v="1"/>
  </r>
  <r>
    <s v="CA-2015-132486"/>
    <d v="2015-10-23T00:00:00"/>
    <d v="2015-10-27T00:00:00"/>
    <x v="0"/>
    <s v="JF-15355"/>
    <s v="Jay Fein"/>
    <x v="0"/>
    <s v="United States"/>
    <s v="San Diego"/>
    <s v="California"/>
    <x v="1"/>
    <s v="FUR-CH-10004540"/>
    <s v="Furniture"/>
    <x v="1"/>
    <x v="173"/>
    <n v="191.96799999999999"/>
    <n v="7"/>
    <n v="16.7972"/>
    <s v="4- days"/>
    <n v="4"/>
    <x v="1"/>
  </r>
  <r>
    <s v="CA-2015-132486"/>
    <d v="2015-10-23T00:00:00"/>
    <d v="2015-10-27T00:00:00"/>
    <x v="0"/>
    <s v="JF-15355"/>
    <s v="Jay Fein"/>
    <x v="0"/>
    <s v="United States"/>
    <s v="San Diego"/>
    <s v="California"/>
    <x v="1"/>
    <s v="FUR-CH-10001854"/>
    <s v="Furniture"/>
    <x v="1"/>
    <x v="216"/>
    <n v="842.35199999999998"/>
    <n v="3"/>
    <n v="42.117600000000003"/>
    <s v="4- days"/>
    <n v="4"/>
    <x v="1"/>
  </r>
  <r>
    <s v="CA-2015-129896"/>
    <d v="2015-06-15T00:00:00"/>
    <d v="2015-06-20T00:00:00"/>
    <x v="1"/>
    <s v="PF-19120"/>
    <s v="Peter Fuller"/>
    <x v="0"/>
    <s v="United States"/>
    <s v="Gilbert"/>
    <s v="Arizona"/>
    <x v="1"/>
    <s v="FUR-FU-10004904"/>
    <s v="Furniture"/>
    <x v="3"/>
    <x v="325"/>
    <n v="364.70400000000001"/>
    <n v="6"/>
    <n v="-36.470399999999998"/>
    <s v="5- days"/>
    <n v="5"/>
    <x v="2"/>
  </r>
  <r>
    <s v="CA-2015-129896"/>
    <d v="2015-06-15T00:00:00"/>
    <d v="2015-06-20T00:00:00"/>
    <x v="1"/>
    <s v="PF-19120"/>
    <s v="Peter Fuller"/>
    <x v="0"/>
    <s v="United States"/>
    <s v="Gilbert"/>
    <s v="Arizona"/>
    <x v="1"/>
    <s v="FUR-FU-10002396"/>
    <s v="Furniture"/>
    <x v="3"/>
    <x v="326"/>
    <n v="40.256"/>
    <n v="4"/>
    <n v="11.070399999999999"/>
    <s v="5- days"/>
    <n v="5"/>
    <x v="2"/>
  </r>
  <r>
    <s v="US-2016-163881"/>
    <d v="2016-11-24T00:00:00"/>
    <d v="2016-11-30T00:00:00"/>
    <x v="1"/>
    <s v="SP-20860"/>
    <s v="Sung Pak"/>
    <x v="1"/>
    <s v="United States"/>
    <s v="Los Angeles"/>
    <s v="California"/>
    <x v="1"/>
    <s v="FUR-CH-10001394"/>
    <s v="Furniture"/>
    <x v="1"/>
    <x v="139"/>
    <n v="1684.752"/>
    <n v="6"/>
    <n v="210.59399999999999"/>
    <s v="6- days"/>
    <n v="6"/>
    <x v="0"/>
  </r>
  <r>
    <s v="CA-2015-167010"/>
    <d v="2015-04-05T00:00:00"/>
    <d v="2015-04-10T00:00:00"/>
    <x v="1"/>
    <s v="VT-21700"/>
    <s v="Valerie Takahito"/>
    <x v="2"/>
    <s v="United States"/>
    <s v="Philadelphia"/>
    <s v="Pennsylvania"/>
    <x v="2"/>
    <s v="FUR-FU-10001468"/>
    <s v="Furniture"/>
    <x v="3"/>
    <x v="253"/>
    <n v="547.13599999999997"/>
    <n v="4"/>
    <n v="-68.391999999999996"/>
    <s v="5- days"/>
    <n v="5"/>
    <x v="6"/>
  </r>
  <r>
    <s v="CA-2015-167010"/>
    <d v="2015-04-05T00:00:00"/>
    <d v="2015-04-10T00:00:00"/>
    <x v="1"/>
    <s v="VT-21700"/>
    <s v="Valerie Takahito"/>
    <x v="2"/>
    <s v="United States"/>
    <s v="Philadelphia"/>
    <s v="Pennsylvania"/>
    <x v="2"/>
    <s v="FUR-FU-10001037"/>
    <s v="Furniture"/>
    <x v="3"/>
    <x v="231"/>
    <n v="7.5839999999999996"/>
    <n v="1"/>
    <n v="2.37"/>
    <s v="5- days"/>
    <n v="5"/>
    <x v="6"/>
  </r>
  <r>
    <s v="CA-2015-167010"/>
    <d v="2015-04-05T00:00:00"/>
    <d v="2015-04-10T00:00:00"/>
    <x v="1"/>
    <s v="VT-21700"/>
    <s v="Valerie Takahito"/>
    <x v="2"/>
    <s v="United States"/>
    <s v="Philadelphia"/>
    <s v="Pennsylvania"/>
    <x v="2"/>
    <s v="FUR-BO-10004218"/>
    <s v="Furniture"/>
    <x v="0"/>
    <x v="327"/>
    <n v="352.45"/>
    <n v="5"/>
    <n v="-211.47"/>
    <s v="5- days"/>
    <n v="5"/>
    <x v="6"/>
  </r>
  <r>
    <s v="CA-2017-148068"/>
    <d v="2017-09-18T00:00:00"/>
    <d v="2017-09-25T00:00:00"/>
    <x v="1"/>
    <s v="MM-18280"/>
    <s v="Muhammed MacIntyre"/>
    <x v="1"/>
    <s v="United States"/>
    <s v="New York City"/>
    <s v="New York"/>
    <x v="2"/>
    <s v="FUR-FU-10002268"/>
    <s v="Furniture"/>
    <x v="3"/>
    <x v="172"/>
    <n v="9.82"/>
    <n v="2"/>
    <n v="3.2406000000000001"/>
    <s v="7- days"/>
    <n v="7"/>
    <x v="4"/>
  </r>
  <r>
    <s v="US-2017-142573"/>
    <d v="2017-07-18T00:00:00"/>
    <d v="2017-07-23T00:00:00"/>
    <x v="1"/>
    <s v="ML-17410"/>
    <s v="Maris LaWare"/>
    <x v="0"/>
    <s v="United States"/>
    <s v="Phoenix"/>
    <s v="Arizona"/>
    <x v="1"/>
    <s v="FUR-TA-10001932"/>
    <s v="Furniture"/>
    <x v="2"/>
    <x v="167"/>
    <n v="801.6"/>
    <n v="5"/>
    <n v="-448.89600000000002"/>
    <s v="5- days"/>
    <n v="5"/>
    <x v="3"/>
  </r>
  <r>
    <s v="US-2017-142573"/>
    <d v="2017-07-18T00:00:00"/>
    <d v="2017-07-23T00:00:00"/>
    <x v="1"/>
    <s v="ML-17410"/>
    <s v="Maris LaWare"/>
    <x v="0"/>
    <s v="United States"/>
    <s v="Phoenix"/>
    <s v="Arizona"/>
    <x v="1"/>
    <s v="FUR-CH-10004218"/>
    <s v="Furniture"/>
    <x v="1"/>
    <x v="10"/>
    <n v="161.56800000000001"/>
    <n v="2"/>
    <n v="10.098000000000001"/>
    <s v="5- days"/>
    <n v="5"/>
    <x v="3"/>
  </r>
  <r>
    <s v="US-2017-142573"/>
    <d v="2017-07-18T00:00:00"/>
    <d v="2017-07-23T00:00:00"/>
    <x v="1"/>
    <s v="ML-17410"/>
    <s v="Maris LaWare"/>
    <x v="0"/>
    <s v="United States"/>
    <s v="Phoenix"/>
    <s v="Arizona"/>
    <x v="1"/>
    <s v="FUR-CH-10000513"/>
    <s v="Furniture"/>
    <x v="1"/>
    <x v="16"/>
    <n v="311.976"/>
    <n v="3"/>
    <n v="-42.896700000000003"/>
    <s v="5- days"/>
    <n v="5"/>
    <x v="3"/>
  </r>
  <r>
    <s v="CA-2014-103940"/>
    <d v="2014-09-17T00:00:00"/>
    <d v="2014-09-21T00:00:00"/>
    <x v="1"/>
    <s v="BN-11515"/>
    <s v="Bradley Nguyen"/>
    <x v="0"/>
    <s v="United States"/>
    <s v="Seattle"/>
    <s v="Washington"/>
    <x v="1"/>
    <s v="FUR-FU-10004671"/>
    <s v="Furniture"/>
    <x v="3"/>
    <x v="272"/>
    <n v="35.340000000000003"/>
    <n v="2"/>
    <n v="13.4292"/>
    <s v="4- days"/>
    <n v="4"/>
    <x v="4"/>
  </r>
  <r>
    <s v="CA-2016-162082"/>
    <d v="2016-03-14T00:00:00"/>
    <d v="2016-03-17T00:00:00"/>
    <x v="2"/>
    <s v="JS-15880"/>
    <s v="John Stevenson"/>
    <x v="0"/>
    <s v="United States"/>
    <s v="Harlingen"/>
    <s v="Texas"/>
    <x v="3"/>
    <s v="FUR-BO-10004409"/>
    <s v="Furniture"/>
    <x v="0"/>
    <x v="134"/>
    <n v="241.33199999999999"/>
    <n v="5"/>
    <n v="-14.196"/>
    <s v="3- days"/>
    <n v="3"/>
    <x v="9"/>
  </r>
  <r>
    <s v="CA-2015-118955"/>
    <d v="2015-06-16T00:00:00"/>
    <d v="2015-06-20T00:00:00"/>
    <x v="1"/>
    <s v="LS-17230"/>
    <s v="Lycoris Saunders"/>
    <x v="0"/>
    <s v="United States"/>
    <s v="Grand Prairie"/>
    <s v="Texas"/>
    <x v="3"/>
    <s v="FUR-CH-10001708"/>
    <s v="Furniture"/>
    <x v="1"/>
    <x v="180"/>
    <n v="197.37200000000001"/>
    <n v="2"/>
    <n v="-25.3764"/>
    <s v="4- days"/>
    <n v="4"/>
    <x v="2"/>
  </r>
  <r>
    <s v="US-2016-143448"/>
    <d v="2016-12-10T00:00:00"/>
    <d v="2016-12-10T00:00:00"/>
    <x v="3"/>
    <s v="MH-17455"/>
    <s v="Mark Hamilton"/>
    <x v="0"/>
    <s v="United States"/>
    <s v="Greenwood"/>
    <s v="Indiana"/>
    <x v="3"/>
    <s v="FUR-CH-10003379"/>
    <s v="Furniture"/>
    <x v="1"/>
    <x v="96"/>
    <n v="1424.9"/>
    <n v="5"/>
    <n v="356.22500000000002"/>
    <s v="0- days"/>
    <n v="0"/>
    <x v="5"/>
  </r>
  <r>
    <s v="CA-2017-117863"/>
    <d v="2017-05-18T00:00:00"/>
    <d v="2017-05-23T00:00:00"/>
    <x v="1"/>
    <s v="TS-21340"/>
    <s v="Toby Swindell"/>
    <x v="0"/>
    <s v="United States"/>
    <s v="New York City"/>
    <s v="New York"/>
    <x v="2"/>
    <s v="FUR-FU-10002456"/>
    <s v="Furniture"/>
    <x v="3"/>
    <x v="202"/>
    <n v="14.56"/>
    <n v="2"/>
    <n v="6.2607999999999997"/>
    <s v="5- days"/>
    <n v="5"/>
    <x v="7"/>
  </r>
  <r>
    <s v="CA-2016-119963"/>
    <d v="2016-11-18T00:00:00"/>
    <d v="2016-11-22T00:00:00"/>
    <x v="1"/>
    <s v="SN-20710"/>
    <s v="Steve Nguyen"/>
    <x v="2"/>
    <s v="United States"/>
    <s v="Pasadena"/>
    <s v="Texas"/>
    <x v="3"/>
    <s v="FUR-CH-10003817"/>
    <s v="Furniture"/>
    <x v="1"/>
    <x v="33"/>
    <n v="255.108"/>
    <n v="6"/>
    <n v="-18.222000000000001"/>
    <s v="4- days"/>
    <n v="4"/>
    <x v="0"/>
  </r>
  <r>
    <s v="CA-2014-133228"/>
    <d v="2014-04-04T00:00:00"/>
    <d v="2014-04-09T00:00:00"/>
    <x v="1"/>
    <s v="MS-17710"/>
    <s v="Maurice Satty"/>
    <x v="0"/>
    <s v="United States"/>
    <s v="Detroit"/>
    <s v="Michigan"/>
    <x v="3"/>
    <s v="FUR-FU-10004020"/>
    <s v="Furniture"/>
    <x v="3"/>
    <x v="104"/>
    <n v="5.47"/>
    <n v="1"/>
    <n v="2.3521000000000001"/>
    <s v="5- days"/>
    <n v="5"/>
    <x v="6"/>
  </r>
  <r>
    <s v="CA-2016-114951"/>
    <d v="2016-06-26T00:00:00"/>
    <d v="2016-07-03T00:00:00"/>
    <x v="1"/>
    <s v="DN-13690"/>
    <s v="Duane Noonan"/>
    <x v="0"/>
    <s v="United States"/>
    <s v="San Francisco"/>
    <s v="California"/>
    <x v="1"/>
    <s v="FUR-FU-10002364"/>
    <s v="Furniture"/>
    <x v="3"/>
    <x v="242"/>
    <n v="22.14"/>
    <n v="3"/>
    <n v="6.4206000000000003"/>
    <s v="7- days"/>
    <n v="7"/>
    <x v="2"/>
  </r>
  <r>
    <s v="CA-2016-156573"/>
    <d v="2016-05-29T00:00:00"/>
    <d v="2016-06-02T00:00:00"/>
    <x v="1"/>
    <s v="RB-19360"/>
    <s v="Raymond Buch"/>
    <x v="0"/>
    <s v="United States"/>
    <s v="Nashville"/>
    <s v="Tennessee"/>
    <x v="0"/>
    <s v="FUR-FU-10001085"/>
    <s v="Furniture"/>
    <x v="3"/>
    <x v="328"/>
    <n v="44.76"/>
    <n v="3"/>
    <n v="14.547000000000001"/>
    <s v="4- days"/>
    <n v="4"/>
    <x v="7"/>
  </r>
  <r>
    <s v="CA-2017-134838"/>
    <d v="2017-02-19T00:00:00"/>
    <d v="2017-02-20T00:00:00"/>
    <x v="2"/>
    <s v="ED-13885"/>
    <s v="Emily Ducich"/>
    <x v="2"/>
    <s v="United States"/>
    <s v="Los Angeles"/>
    <s v="California"/>
    <x v="1"/>
    <s v="FUR-FU-10004018"/>
    <s v="Furniture"/>
    <x v="3"/>
    <x v="188"/>
    <n v="44.67"/>
    <n v="3"/>
    <n v="12.0609"/>
    <s v="1- days"/>
    <n v="1"/>
    <x v="11"/>
  </r>
  <r>
    <s v="CA-2016-167556"/>
    <d v="2016-03-29T00:00:00"/>
    <d v="2016-04-02T00:00:00"/>
    <x v="1"/>
    <s v="JM-15250"/>
    <s v="Janet Martin"/>
    <x v="0"/>
    <s v="United States"/>
    <s v="New York City"/>
    <s v="New York"/>
    <x v="2"/>
    <s v="FUR-FU-10004848"/>
    <s v="Furniture"/>
    <x v="3"/>
    <x v="7"/>
    <n v="414"/>
    <n v="8"/>
    <n v="124.2"/>
    <s v="4- days"/>
    <n v="4"/>
    <x v="9"/>
  </r>
  <r>
    <s v="US-2016-116400"/>
    <d v="2016-10-22T00:00:00"/>
    <d v="2016-10-24T00:00:00"/>
    <x v="2"/>
    <s v="EB-13930"/>
    <s v="Eric Barreto"/>
    <x v="0"/>
    <s v="United States"/>
    <s v="Richmond"/>
    <s v="Virginia"/>
    <x v="0"/>
    <s v="FUR-FU-10003731"/>
    <s v="Furniture"/>
    <x v="3"/>
    <x v="329"/>
    <n v="39.92"/>
    <n v="4"/>
    <n v="11.1776"/>
    <s v="2- days"/>
    <n v="2"/>
    <x v="1"/>
  </r>
  <r>
    <s v="CA-2014-114517"/>
    <d v="2014-12-23T00:00:00"/>
    <d v="2014-12-27T00:00:00"/>
    <x v="1"/>
    <s v="TH-21235"/>
    <s v="Tiffany House"/>
    <x v="1"/>
    <s v="United States"/>
    <s v="New York City"/>
    <s v="New York"/>
    <x v="2"/>
    <s v="FUR-TA-10001676"/>
    <s v="Furniture"/>
    <x v="2"/>
    <x v="193"/>
    <n v="53.316000000000003"/>
    <n v="2"/>
    <n v="-19.549199999999999"/>
    <s v="4- days"/>
    <n v="4"/>
    <x v="5"/>
  </r>
  <r>
    <s v="CA-2017-119564"/>
    <d v="2017-12-15T00:00:00"/>
    <d v="2017-12-20T00:00:00"/>
    <x v="1"/>
    <s v="PL-18925"/>
    <s v="Paul Lucas"/>
    <x v="2"/>
    <s v="United States"/>
    <s v="Seattle"/>
    <s v="Washington"/>
    <x v="1"/>
    <s v="FUR-FU-10003096"/>
    <s v="Furniture"/>
    <x v="3"/>
    <x v="114"/>
    <n v="22.77"/>
    <n v="3"/>
    <n v="9.7911000000000001"/>
    <s v="5- days"/>
    <n v="5"/>
    <x v="5"/>
  </r>
  <r>
    <s v="CA-2016-135265"/>
    <d v="2016-07-07T00:00:00"/>
    <d v="2016-07-09T00:00:00"/>
    <x v="0"/>
    <s v="CC-12370"/>
    <s v="Christopher Conant"/>
    <x v="0"/>
    <s v="United States"/>
    <s v="Los Angeles"/>
    <s v="California"/>
    <x v="1"/>
    <s v="FUR-CH-10003061"/>
    <s v="Furniture"/>
    <x v="1"/>
    <x v="12"/>
    <n v="287.96800000000002"/>
    <n v="4"/>
    <n v="-3.5996000000000001"/>
    <s v="2- days"/>
    <n v="2"/>
    <x v="3"/>
  </r>
  <r>
    <s v="CA-2016-108735"/>
    <d v="2016-04-17T00:00:00"/>
    <d v="2016-04-21T00:00:00"/>
    <x v="1"/>
    <s v="JM-15535"/>
    <s v="Jessica Myrick"/>
    <x v="0"/>
    <s v="United States"/>
    <s v="Lakewood"/>
    <s v="California"/>
    <x v="1"/>
    <s v="FUR-BO-10003441"/>
    <s v="Furniture"/>
    <x v="0"/>
    <x v="145"/>
    <n v="257.49900000000002"/>
    <n v="3"/>
    <n v="24.235199999999999"/>
    <s v="4- days"/>
    <n v="4"/>
    <x v="6"/>
  </r>
  <r>
    <s v="US-2016-159415"/>
    <d v="2016-04-17T00:00:00"/>
    <d v="2016-04-22T00:00:00"/>
    <x v="1"/>
    <s v="CS-12175"/>
    <s v="Charles Sheldon"/>
    <x v="1"/>
    <s v="United States"/>
    <s v="Columbia"/>
    <s v="Tennessee"/>
    <x v="0"/>
    <s v="FUR-FU-10003798"/>
    <s v="Furniture"/>
    <x v="3"/>
    <x v="330"/>
    <n v="79.12"/>
    <n v="5"/>
    <n v="13.846"/>
    <s v="5- days"/>
    <n v="5"/>
    <x v="6"/>
  </r>
  <r>
    <s v="CA-2014-122588"/>
    <d v="2014-11-25T00:00:00"/>
    <d v="2014-11-27T00:00:00"/>
    <x v="0"/>
    <s v="AR-10540"/>
    <s v="Andy Reiter"/>
    <x v="0"/>
    <s v="United States"/>
    <s v="Woonsocket"/>
    <s v="Rhode Island"/>
    <x v="2"/>
    <s v="FUR-FU-10001095"/>
    <s v="Furniture"/>
    <x v="3"/>
    <x v="151"/>
    <n v="52.96"/>
    <n v="2"/>
    <n v="20.1248"/>
    <s v="2- days"/>
    <n v="2"/>
    <x v="0"/>
  </r>
  <r>
    <s v="CA-2015-161998"/>
    <d v="2015-05-01T00:00:00"/>
    <d v="2015-05-05T00:00:00"/>
    <x v="1"/>
    <s v="DB-13120"/>
    <s v="David Bremer"/>
    <x v="1"/>
    <s v="United States"/>
    <s v="Tampa"/>
    <s v="Florida"/>
    <x v="0"/>
    <s v="FUR-FU-10001095"/>
    <s v="Furniture"/>
    <x v="3"/>
    <x v="151"/>
    <n v="63.552"/>
    <n v="3"/>
    <n v="14.299200000000001"/>
    <s v="4- days"/>
    <n v="4"/>
    <x v="7"/>
  </r>
  <r>
    <s v="CA-2015-105627"/>
    <d v="2015-03-08T00:00:00"/>
    <d v="2015-03-12T00:00:00"/>
    <x v="1"/>
    <s v="DK-12895"/>
    <s v="Dana Kaydos"/>
    <x v="0"/>
    <s v="United States"/>
    <s v="Kenosha"/>
    <s v="Wisconsin"/>
    <x v="3"/>
    <s v="FUR-BO-10002916"/>
    <s v="Furniture"/>
    <x v="0"/>
    <x v="307"/>
    <n v="512.94000000000005"/>
    <n v="3"/>
    <n v="97.458600000000004"/>
    <s v="4- days"/>
    <n v="4"/>
    <x v="9"/>
  </r>
  <r>
    <s v="CA-2015-105627"/>
    <d v="2015-03-08T00:00:00"/>
    <d v="2015-03-12T00:00:00"/>
    <x v="1"/>
    <s v="DK-12895"/>
    <s v="Dana Kaydos"/>
    <x v="0"/>
    <s v="United States"/>
    <s v="Kenosha"/>
    <s v="Wisconsin"/>
    <x v="3"/>
    <s v="FUR-CH-10002084"/>
    <s v="Furniture"/>
    <x v="1"/>
    <x v="244"/>
    <n v="860.93"/>
    <n v="7"/>
    <n v="189.40459999999999"/>
    <s v="4- days"/>
    <n v="4"/>
    <x v="9"/>
  </r>
  <r>
    <s v="CA-2015-105627"/>
    <d v="2015-03-08T00:00:00"/>
    <d v="2015-03-12T00:00:00"/>
    <x v="1"/>
    <s v="DK-12895"/>
    <s v="Dana Kaydos"/>
    <x v="0"/>
    <s v="United States"/>
    <s v="Kenosha"/>
    <s v="Wisconsin"/>
    <x v="3"/>
    <s v="FUR-FU-10000308"/>
    <s v="Furniture"/>
    <x v="3"/>
    <x v="250"/>
    <n v="373.08"/>
    <n v="6"/>
    <n v="82.077600000000004"/>
    <s v="4- days"/>
    <n v="4"/>
    <x v="9"/>
  </r>
  <r>
    <s v="US-2015-149629"/>
    <d v="2015-07-17T00:00:00"/>
    <d v="2015-07-20T00:00:00"/>
    <x v="0"/>
    <s v="MP-17965"/>
    <s v="Michael Paige"/>
    <x v="1"/>
    <s v="United States"/>
    <s v="Port Saint Lucie"/>
    <s v="Florida"/>
    <x v="0"/>
    <s v="FUR-BO-10004709"/>
    <s v="Furniture"/>
    <x v="0"/>
    <x v="53"/>
    <n v="231.92"/>
    <n v="5"/>
    <n v="5.798"/>
    <s v="3- days"/>
    <n v="3"/>
    <x v="3"/>
  </r>
  <r>
    <s v="CA-2014-116834"/>
    <d v="2014-10-11T00:00:00"/>
    <d v="2014-10-16T00:00:00"/>
    <x v="1"/>
    <s v="Dp-13240"/>
    <s v="Dean percer"/>
    <x v="2"/>
    <s v="United States"/>
    <s v="Seattle"/>
    <s v="Washington"/>
    <x v="1"/>
    <s v="FUR-FU-10001196"/>
    <s v="Furniture"/>
    <x v="3"/>
    <x v="217"/>
    <n v="63.47"/>
    <n v="11"/>
    <n v="19.041"/>
    <s v="5- days"/>
    <n v="5"/>
    <x v="1"/>
  </r>
  <r>
    <s v="CA-2016-145730"/>
    <d v="2016-03-03T00:00:00"/>
    <d v="2016-03-08T00:00:00"/>
    <x v="1"/>
    <s v="CC-12220"/>
    <s v="Chris Cortes"/>
    <x v="0"/>
    <s v="United States"/>
    <s v="San Antonio"/>
    <s v="Texas"/>
    <x v="3"/>
    <s v="FUR-TA-10004915"/>
    <s v="Furniture"/>
    <x v="2"/>
    <x v="71"/>
    <n v="637.89599999999996"/>
    <n v="3"/>
    <n v="-127.5792"/>
    <s v="5- days"/>
    <n v="5"/>
    <x v="9"/>
  </r>
  <r>
    <s v="CA-2017-144463"/>
    <d v="2017-01-01T00:00:00"/>
    <d v="2017-01-05T00:00:00"/>
    <x v="1"/>
    <s v="SC-20725"/>
    <s v="Steven Cartwright"/>
    <x v="0"/>
    <s v="United States"/>
    <s v="Los Angeles"/>
    <s v="California"/>
    <x v="1"/>
    <s v="FUR-FU-10001215"/>
    <s v="Furniture"/>
    <x v="3"/>
    <x v="331"/>
    <n v="474.43"/>
    <n v="11"/>
    <n v="199.26060000000001"/>
    <s v="4- days"/>
    <n v="4"/>
    <x v="8"/>
  </r>
  <r>
    <s v="CA-2014-154963"/>
    <d v="2014-06-22T00:00:00"/>
    <d v="2014-06-27T00:00:00"/>
    <x v="1"/>
    <s v="AA-10645"/>
    <s v="Anna Andreadi"/>
    <x v="0"/>
    <s v="United States"/>
    <s v="Chester"/>
    <s v="Pennsylvania"/>
    <x v="2"/>
    <s v="FUR-CH-10004698"/>
    <s v="Furniture"/>
    <x v="1"/>
    <x v="34"/>
    <n v="170.05799999999999"/>
    <n v="3"/>
    <n v="-4.8587999999999996"/>
    <s v="5- days"/>
    <n v="5"/>
    <x v="2"/>
  </r>
  <r>
    <s v="CA-2014-154963"/>
    <d v="2014-06-22T00:00:00"/>
    <d v="2014-06-27T00:00:00"/>
    <x v="1"/>
    <s v="AA-10645"/>
    <s v="Anna Andreadi"/>
    <x v="0"/>
    <s v="United States"/>
    <s v="Chester"/>
    <s v="Pennsylvania"/>
    <x v="2"/>
    <s v="FUR-CH-10000454"/>
    <s v="Furniture"/>
    <x v="1"/>
    <x v="1"/>
    <n v="853.93"/>
    <n v="5"/>
    <n v="0"/>
    <s v="5- days"/>
    <n v="5"/>
    <x v="2"/>
  </r>
  <r>
    <s v="CA-2017-130764"/>
    <d v="2017-10-27T00:00:00"/>
    <d v="2017-10-28T00:00:00"/>
    <x v="2"/>
    <s v="JO-15145"/>
    <s v="Jack O'Briant"/>
    <x v="1"/>
    <s v="United States"/>
    <s v="San Francisco"/>
    <s v="California"/>
    <x v="1"/>
    <s v="FUR-BO-10003034"/>
    <s v="Furniture"/>
    <x v="0"/>
    <x v="236"/>
    <n v="556.66499999999996"/>
    <n v="5"/>
    <n v="6.5490000000000004"/>
    <s v="1- days"/>
    <n v="1"/>
    <x v="1"/>
  </r>
  <r>
    <s v="CA-2017-124296"/>
    <d v="2017-12-24T00:00:00"/>
    <d v="2017-12-28T00:00:00"/>
    <x v="1"/>
    <s v="CS-12355"/>
    <s v="Christine Sundaresam"/>
    <x v="0"/>
    <s v="United States"/>
    <s v="Lafayette"/>
    <s v="Louisiana"/>
    <x v="0"/>
    <s v="FUR-CH-10002439"/>
    <s v="Furniture"/>
    <x v="1"/>
    <x v="260"/>
    <n v="232.88"/>
    <n v="4"/>
    <n v="60.5488"/>
    <s v="4- days"/>
    <n v="4"/>
    <x v="5"/>
  </r>
  <r>
    <s v="CA-2014-110786"/>
    <d v="2014-12-29T00:00:00"/>
    <d v="2015-01-02T00:00:00"/>
    <x v="1"/>
    <s v="AJ-10795"/>
    <s v="Anthony Johnson"/>
    <x v="1"/>
    <s v="United States"/>
    <s v="San Francisco"/>
    <s v="California"/>
    <x v="1"/>
    <s v="FUR-FU-10000550"/>
    <s v="Furniture"/>
    <x v="3"/>
    <x v="295"/>
    <n v="24.9"/>
    <n v="5"/>
    <n v="8.2170000000000005"/>
    <s v="4- days"/>
    <n v="4"/>
    <x v="5"/>
  </r>
  <r>
    <s v="CA-2014-110786"/>
    <d v="2014-12-29T00:00:00"/>
    <d v="2015-01-02T00:00:00"/>
    <x v="1"/>
    <s v="AJ-10795"/>
    <s v="Anthony Johnson"/>
    <x v="1"/>
    <s v="United States"/>
    <s v="San Francisco"/>
    <s v="California"/>
    <x v="1"/>
    <s v="FUR-FU-10000672"/>
    <s v="Furniture"/>
    <x v="3"/>
    <x v="309"/>
    <n v="70.56"/>
    <n v="6"/>
    <n v="23.990400000000001"/>
    <s v="4- days"/>
    <n v="4"/>
    <x v="5"/>
  </r>
  <r>
    <s v="CA-2015-137750"/>
    <d v="2015-06-25T00:00:00"/>
    <d v="2015-06-30T00:00:00"/>
    <x v="1"/>
    <s v="JF-15565"/>
    <s v="Jill Fjeld"/>
    <x v="0"/>
    <s v="United States"/>
    <s v="San Francisco"/>
    <s v="California"/>
    <x v="1"/>
    <s v="FUR-FU-10001979"/>
    <s v="Furniture"/>
    <x v="3"/>
    <x v="107"/>
    <n v="204.85"/>
    <n v="5"/>
    <n v="57.357999999999997"/>
    <s v="5- days"/>
    <n v="5"/>
    <x v="2"/>
  </r>
  <r>
    <s v="CA-2017-136350"/>
    <d v="2017-06-24T00:00:00"/>
    <d v="2017-06-26T00:00:00"/>
    <x v="0"/>
    <s v="GA-14515"/>
    <s v="George Ashbrook"/>
    <x v="0"/>
    <s v="United States"/>
    <s v="New York City"/>
    <s v="New York"/>
    <x v="2"/>
    <s v="FUR-FU-10003601"/>
    <s v="Furniture"/>
    <x v="3"/>
    <x v="148"/>
    <n v="276.69"/>
    <n v="3"/>
    <n v="49.804200000000002"/>
    <s v="2- days"/>
    <n v="2"/>
    <x v="2"/>
  </r>
  <r>
    <s v="CA-2017-136350"/>
    <d v="2017-06-24T00:00:00"/>
    <d v="2017-06-26T00:00:00"/>
    <x v="0"/>
    <s v="GA-14515"/>
    <s v="George Ashbrook"/>
    <x v="0"/>
    <s v="United States"/>
    <s v="New York City"/>
    <s v="New York"/>
    <x v="2"/>
    <s v="FUR-CH-10001891"/>
    <s v="Furniture"/>
    <x v="1"/>
    <x v="55"/>
    <n v="172.76400000000001"/>
    <n v="2"/>
    <n v="32.633200000000002"/>
    <s v="2- days"/>
    <n v="2"/>
    <x v="2"/>
  </r>
  <r>
    <s v="CA-2014-122931"/>
    <d v="2014-09-29T00:00:00"/>
    <d v="2014-10-03T00:00:00"/>
    <x v="1"/>
    <s v="SM-20950"/>
    <s v="Suzanne McNair"/>
    <x v="1"/>
    <s v="United States"/>
    <s v="Philadelphia"/>
    <s v="Pennsylvania"/>
    <x v="2"/>
    <s v="FUR-TA-10004175"/>
    <s v="Furniture"/>
    <x v="2"/>
    <x v="226"/>
    <n v="409.27199999999999"/>
    <n v="2"/>
    <n v="-81.854399999999998"/>
    <s v="4- days"/>
    <n v="4"/>
    <x v="4"/>
  </r>
  <r>
    <s v="CA-2014-122931"/>
    <d v="2014-09-29T00:00:00"/>
    <d v="2014-10-03T00:00:00"/>
    <x v="1"/>
    <s v="SM-20950"/>
    <s v="Suzanne McNair"/>
    <x v="1"/>
    <s v="United States"/>
    <s v="Philadelphia"/>
    <s v="Pennsylvania"/>
    <x v="2"/>
    <s v="FUR-TA-10004147"/>
    <s v="Furniture"/>
    <x v="2"/>
    <x v="163"/>
    <n v="67.176000000000002"/>
    <n v="1"/>
    <n v="-20.152799999999999"/>
    <s v="4- days"/>
    <n v="4"/>
    <x v="4"/>
  </r>
  <r>
    <s v="CA-2015-124058"/>
    <d v="2015-11-20T00:00:00"/>
    <d v="2015-11-24T00:00:00"/>
    <x v="1"/>
    <s v="LC-16885"/>
    <s v="Lena Creighton"/>
    <x v="0"/>
    <s v="United States"/>
    <s v="Oakland"/>
    <s v="California"/>
    <x v="1"/>
    <s v="FUR-CH-10000595"/>
    <s v="Furniture"/>
    <x v="1"/>
    <x v="97"/>
    <n v="572.16"/>
    <n v="3"/>
    <n v="35.76"/>
    <s v="4- days"/>
    <n v="4"/>
    <x v="0"/>
  </r>
  <r>
    <s v="CA-2016-145303"/>
    <d v="2016-08-28T00:00:00"/>
    <d v="2016-08-31T00:00:00"/>
    <x v="2"/>
    <s v="TP-21415"/>
    <s v="Tom Prescott"/>
    <x v="0"/>
    <s v="United States"/>
    <s v="Dallas"/>
    <s v="Texas"/>
    <x v="3"/>
    <s v="FUR-BO-10003159"/>
    <s v="Furniture"/>
    <x v="0"/>
    <x v="214"/>
    <n v="156.37280000000001"/>
    <n v="2"/>
    <n v="-52.890799999999999"/>
    <s v="3- days"/>
    <n v="3"/>
    <x v="10"/>
  </r>
  <r>
    <s v="CA-2017-108112"/>
    <d v="2017-11-15T00:00:00"/>
    <d v="2017-11-20T00:00:00"/>
    <x v="1"/>
    <s v="DK-12895"/>
    <s v="Dana Kaydos"/>
    <x v="0"/>
    <s v="United States"/>
    <s v="Miramar"/>
    <s v="Florida"/>
    <x v="0"/>
    <s v="FUR-FU-10003553"/>
    <s v="Furniture"/>
    <x v="3"/>
    <x v="117"/>
    <n v="220.06399999999999"/>
    <n v="4"/>
    <n v="55.015999999999998"/>
    <s v="5- days"/>
    <n v="5"/>
    <x v="0"/>
  </r>
  <r>
    <s v="CA-2017-108112"/>
    <d v="2017-11-15T00:00:00"/>
    <d v="2017-11-20T00:00:00"/>
    <x v="1"/>
    <s v="DK-12895"/>
    <s v="Dana Kaydos"/>
    <x v="0"/>
    <s v="United States"/>
    <s v="Miramar"/>
    <s v="Florida"/>
    <x v="0"/>
    <s v="FUR-FU-10001488"/>
    <s v="Furniture"/>
    <x v="3"/>
    <x v="204"/>
    <n v="339.13600000000002"/>
    <n v="4"/>
    <n v="0"/>
    <s v="5- days"/>
    <n v="5"/>
    <x v="0"/>
  </r>
  <r>
    <s v="US-2014-156559"/>
    <d v="2014-08-19T00:00:00"/>
    <d v="2014-08-26T00:00:00"/>
    <x v="1"/>
    <s v="LH-16900"/>
    <s v="Lena Hernandez"/>
    <x v="0"/>
    <s v="United States"/>
    <s v="Jonesboro"/>
    <s v="Arkansas"/>
    <x v="0"/>
    <s v="FUR-BO-10000711"/>
    <s v="Furniture"/>
    <x v="0"/>
    <x v="332"/>
    <n v="638.82000000000005"/>
    <n v="9"/>
    <n v="172.48140000000001"/>
    <s v="7- days"/>
    <n v="7"/>
    <x v="10"/>
  </r>
  <r>
    <s v="CA-2017-137456"/>
    <d v="2017-12-21T00:00:00"/>
    <d v="2017-12-21T00:00:00"/>
    <x v="3"/>
    <s v="RB-19465"/>
    <s v="Rick Bensley"/>
    <x v="2"/>
    <s v="United States"/>
    <s v="Fremont"/>
    <s v="Nebraska"/>
    <x v="3"/>
    <s v="FUR-FU-10001940"/>
    <s v="Furniture"/>
    <x v="3"/>
    <x v="47"/>
    <n v="15.92"/>
    <n v="2"/>
    <n v="7.0048000000000004"/>
    <s v="0- days"/>
    <n v="0"/>
    <x v="5"/>
  </r>
  <r>
    <s v="CA-2015-105599"/>
    <d v="2015-09-07T00:00:00"/>
    <d v="2015-09-07T00:00:00"/>
    <x v="3"/>
    <s v="MC-17275"/>
    <s v="Marc Crier"/>
    <x v="0"/>
    <s v="United States"/>
    <s v="New York City"/>
    <s v="New York"/>
    <x v="2"/>
    <s v="FUR-TA-10003837"/>
    <s v="Furniture"/>
    <x v="2"/>
    <x v="299"/>
    <n v="27.414000000000001"/>
    <n v="3"/>
    <n v="-14.1639"/>
    <s v="0- days"/>
    <n v="0"/>
    <x v="4"/>
  </r>
  <r>
    <s v="CA-2015-153717"/>
    <d v="2015-12-25T00:00:00"/>
    <d v="2016-01-01T00:00:00"/>
    <x v="1"/>
    <s v="DL-13495"/>
    <s v="Dionis Lloyd"/>
    <x v="1"/>
    <s v="United States"/>
    <s v="Detroit"/>
    <s v="Michigan"/>
    <x v="3"/>
    <s v="FUR-BO-10004360"/>
    <s v="Furniture"/>
    <x v="0"/>
    <x v="333"/>
    <n v="160.97999999999999"/>
    <n v="1"/>
    <n v="20.927399999999999"/>
    <s v="7- days"/>
    <n v="7"/>
    <x v="5"/>
  </r>
  <r>
    <s v="CA-2017-123239"/>
    <d v="2017-07-27T00:00:00"/>
    <d v="2017-07-31T00:00:00"/>
    <x v="0"/>
    <s v="MG-18145"/>
    <s v="Mike Gockenbach"/>
    <x v="0"/>
    <s v="United States"/>
    <s v="Jacksonville"/>
    <s v="Florida"/>
    <x v="0"/>
    <s v="FUR-FU-10001602"/>
    <s v="Furniture"/>
    <x v="3"/>
    <x v="153"/>
    <n v="91.031999999999996"/>
    <n v="3"/>
    <n v="-2.2757999999999998"/>
    <s v="4- days"/>
    <n v="4"/>
    <x v="3"/>
  </r>
  <r>
    <s v="CA-2017-127313"/>
    <d v="2017-12-01T00:00:00"/>
    <d v="2017-12-04T00:00:00"/>
    <x v="2"/>
    <s v="RA-19285"/>
    <s v="Ralph Arnett"/>
    <x v="0"/>
    <s v="United States"/>
    <s v="Philadelphia"/>
    <s v="Pennsylvania"/>
    <x v="2"/>
    <s v="FUR-FU-10003798"/>
    <s v="Furniture"/>
    <x v="3"/>
    <x v="330"/>
    <n v="79.12"/>
    <n v="5"/>
    <n v="13.846"/>
    <s v="3- days"/>
    <n v="3"/>
    <x v="5"/>
  </r>
  <r>
    <s v="CA-2017-112725"/>
    <d v="2017-01-30T00:00:00"/>
    <d v="2017-02-06T00:00:00"/>
    <x v="1"/>
    <s v="EH-14125"/>
    <s v="Eugene Hildebrand"/>
    <x v="2"/>
    <s v="United States"/>
    <s v="San Francisco"/>
    <s v="California"/>
    <x v="1"/>
    <s v="FUR-CH-10000863"/>
    <s v="Furniture"/>
    <x v="1"/>
    <x v="20"/>
    <n v="120.78400000000001"/>
    <n v="1"/>
    <n v="-13.588200000000001"/>
    <s v="7- days"/>
    <n v="7"/>
    <x v="8"/>
  </r>
  <r>
    <s v="CA-2015-136196"/>
    <d v="2015-11-28T00:00:00"/>
    <d v="2015-12-04T00:00:00"/>
    <x v="1"/>
    <s v="TP-21415"/>
    <s v="Tom Prescott"/>
    <x v="0"/>
    <s v="United States"/>
    <s v="Freeport"/>
    <s v="New York"/>
    <x v="2"/>
    <s v="FUR-FU-10004017"/>
    <s v="Furniture"/>
    <x v="3"/>
    <x v="45"/>
    <n v="322.58999999999997"/>
    <n v="3"/>
    <n v="64.518000000000001"/>
    <s v="6- days"/>
    <n v="6"/>
    <x v="0"/>
  </r>
  <r>
    <s v="CA-2014-157924"/>
    <d v="2014-10-11T00:00:00"/>
    <d v="2014-10-13T00:00:00"/>
    <x v="2"/>
    <s v="HA-14920"/>
    <s v="Helen Andreada"/>
    <x v="0"/>
    <s v="United States"/>
    <s v="Pasadena"/>
    <s v="California"/>
    <x v="1"/>
    <s v="FUR-CH-10000229"/>
    <s v="Furniture"/>
    <x v="1"/>
    <x v="334"/>
    <n v="433.56799999999998"/>
    <n v="2"/>
    <n v="-65.035200000000003"/>
    <s v="2- days"/>
    <n v="2"/>
    <x v="1"/>
  </r>
  <r>
    <s v="CA-2016-143749"/>
    <d v="2016-12-05T00:00:00"/>
    <d v="2016-12-07T00:00:00"/>
    <x v="2"/>
    <s v="AG-10300"/>
    <s v="Aleksandra Gannaway"/>
    <x v="1"/>
    <s v="United States"/>
    <s v="Franklin"/>
    <s v="Massachusetts"/>
    <x v="2"/>
    <s v="FUR-BO-10002853"/>
    <s v="Furniture"/>
    <x v="0"/>
    <x v="335"/>
    <n v="81.94"/>
    <n v="1"/>
    <n v="20.484999999999999"/>
    <s v="2- days"/>
    <n v="2"/>
    <x v="5"/>
  </r>
  <r>
    <s v="CA-2015-150875"/>
    <d v="2015-11-16T00:00:00"/>
    <d v="2015-11-20T00:00:00"/>
    <x v="1"/>
    <s v="HK-14890"/>
    <s v="Heather Kirkland"/>
    <x v="1"/>
    <s v="United States"/>
    <s v="Boise"/>
    <s v="Idaho"/>
    <x v="1"/>
    <s v="FUR-TA-10000577"/>
    <s v="Furniture"/>
    <x v="2"/>
    <x v="2"/>
    <n v="696.42"/>
    <n v="2"/>
    <n v="160.17660000000001"/>
    <s v="4- days"/>
    <n v="4"/>
    <x v="0"/>
  </r>
  <r>
    <s v="CA-2016-124233"/>
    <d v="2016-04-08T00:00:00"/>
    <d v="2016-04-14T00:00:00"/>
    <x v="1"/>
    <s v="CK-12595"/>
    <s v="Clytie Kelty"/>
    <x v="0"/>
    <s v="United States"/>
    <s v="Los Angeles"/>
    <s v="California"/>
    <x v="1"/>
    <s v="FUR-FU-10002597"/>
    <s v="Furniture"/>
    <x v="3"/>
    <x v="132"/>
    <n v="24.7"/>
    <n v="5"/>
    <n v="10.374000000000001"/>
    <s v="6- days"/>
    <n v="6"/>
    <x v="6"/>
  </r>
  <r>
    <s v="CA-2014-145387"/>
    <d v="2014-10-31T00:00:00"/>
    <d v="2014-11-02T00:00:00"/>
    <x v="0"/>
    <s v="AM-10705"/>
    <s v="Anne McFarland"/>
    <x v="0"/>
    <s v="United States"/>
    <s v="Cranston"/>
    <s v="Rhode Island"/>
    <x v="2"/>
    <s v="FUR-FU-10002364"/>
    <s v="Furniture"/>
    <x v="3"/>
    <x v="242"/>
    <n v="14.76"/>
    <n v="2"/>
    <n v="4.2804000000000002"/>
    <s v="2- days"/>
    <n v="2"/>
    <x v="1"/>
  </r>
  <r>
    <s v="CA-2014-145387"/>
    <d v="2014-10-31T00:00:00"/>
    <d v="2014-11-02T00:00:00"/>
    <x v="0"/>
    <s v="AM-10705"/>
    <s v="Anne McFarland"/>
    <x v="0"/>
    <s v="United States"/>
    <s v="Cranston"/>
    <s v="Rhode Island"/>
    <x v="2"/>
    <s v="FUR-FU-10000023"/>
    <s v="Furniture"/>
    <x v="3"/>
    <x v="70"/>
    <n v="17.670000000000002"/>
    <n v="3"/>
    <n v="7.7747999999999999"/>
    <s v="2- days"/>
    <n v="2"/>
    <x v="1"/>
  </r>
  <r>
    <s v="CA-2014-145387"/>
    <d v="2014-10-31T00:00:00"/>
    <d v="2014-11-02T00:00:00"/>
    <x v="0"/>
    <s v="AM-10705"/>
    <s v="Anne McFarland"/>
    <x v="0"/>
    <s v="United States"/>
    <s v="Cranston"/>
    <s v="Rhode Island"/>
    <x v="2"/>
    <s v="FUR-CH-10002320"/>
    <s v="Furniture"/>
    <x v="1"/>
    <x v="297"/>
    <n v="1604.9"/>
    <n v="5"/>
    <n v="481.47"/>
    <s v="2- days"/>
    <n v="2"/>
    <x v="1"/>
  </r>
  <r>
    <s v="CA-2014-145387"/>
    <d v="2014-10-31T00:00:00"/>
    <d v="2014-11-02T00:00:00"/>
    <x v="0"/>
    <s v="AM-10705"/>
    <s v="Anne McFarland"/>
    <x v="0"/>
    <s v="United States"/>
    <s v="Cranston"/>
    <s v="Rhode Island"/>
    <x v="2"/>
    <s v="FUR-TA-10003238"/>
    <s v="Furniture"/>
    <x v="2"/>
    <x v="243"/>
    <n v="385.68599999999998"/>
    <n v="1"/>
    <n v="-60.607799999999997"/>
    <s v="2- days"/>
    <n v="2"/>
    <x v="1"/>
  </r>
  <r>
    <s v="CA-2017-149881"/>
    <d v="2017-04-01T00:00:00"/>
    <d v="2017-04-03T00:00:00"/>
    <x v="2"/>
    <s v="NC-18535"/>
    <s v="Nick Crebassa"/>
    <x v="1"/>
    <s v="United States"/>
    <s v="San Francisco"/>
    <s v="California"/>
    <x v="1"/>
    <s v="FUR-BO-10003894"/>
    <s v="Furniture"/>
    <x v="0"/>
    <x v="336"/>
    <n v="482.66399999999999"/>
    <n v="8"/>
    <n v="85.176000000000002"/>
    <s v="2- days"/>
    <n v="2"/>
    <x v="6"/>
  </r>
  <r>
    <s v="CA-2017-134565"/>
    <d v="2017-06-11T00:00:00"/>
    <d v="2017-06-13T00:00:00"/>
    <x v="0"/>
    <s v="TB-21400"/>
    <s v="Tom Boeckenhauer"/>
    <x v="0"/>
    <s v="United States"/>
    <s v="Seattle"/>
    <s v="Washington"/>
    <x v="1"/>
    <s v="FUR-BO-10001519"/>
    <s v="Furniture"/>
    <x v="0"/>
    <x v="141"/>
    <n v="174.42"/>
    <n v="3"/>
    <n v="41.860799999999998"/>
    <s v="2- days"/>
    <n v="2"/>
    <x v="2"/>
  </r>
  <r>
    <s v="US-2014-102631"/>
    <d v="2014-12-13T00:00:00"/>
    <d v="2014-12-17T00:00:00"/>
    <x v="1"/>
    <s v="EB-13840"/>
    <s v="Ellis Ballard"/>
    <x v="1"/>
    <s v="United States"/>
    <s v="Chicago"/>
    <s v="Illinois"/>
    <x v="3"/>
    <s v="FUR-FU-10003930"/>
    <s v="Furniture"/>
    <x v="3"/>
    <x v="337"/>
    <n v="94.427999999999997"/>
    <n v="3"/>
    <n v="-42.492600000000003"/>
    <s v="4- days"/>
    <n v="4"/>
    <x v="5"/>
  </r>
  <r>
    <s v="CA-2015-154970"/>
    <d v="2015-01-05T00:00:00"/>
    <d v="2015-01-10T00:00:00"/>
    <x v="1"/>
    <s v="SR-20740"/>
    <s v="Steven Roelle"/>
    <x v="2"/>
    <s v="United States"/>
    <s v="Seattle"/>
    <s v="Washington"/>
    <x v="1"/>
    <s v="FUR-CH-10003396"/>
    <s v="Furniture"/>
    <x v="1"/>
    <x v="81"/>
    <n v="61.584000000000003"/>
    <n v="1"/>
    <n v="-6.9282000000000004"/>
    <s v="5- days"/>
    <n v="5"/>
    <x v="8"/>
  </r>
  <r>
    <s v="CA-2017-100223"/>
    <d v="2017-07-05T00:00:00"/>
    <d v="2017-07-10T00:00:00"/>
    <x v="1"/>
    <s v="LS-16945"/>
    <s v="Linda Southworth"/>
    <x v="1"/>
    <s v="United States"/>
    <s v="Dallas"/>
    <s v="Texas"/>
    <x v="3"/>
    <s v="FUR-FU-10003601"/>
    <s v="Furniture"/>
    <x v="3"/>
    <x v="148"/>
    <n v="332.02800000000002"/>
    <n v="9"/>
    <n v="-348.62939999999998"/>
    <s v="5- days"/>
    <n v="5"/>
    <x v="3"/>
  </r>
  <r>
    <s v="CA-2017-117702"/>
    <d v="2017-11-28T00:00:00"/>
    <d v="2017-12-04T00:00:00"/>
    <x v="1"/>
    <s v="LS-16975"/>
    <s v="Lindsay Shagiari"/>
    <x v="2"/>
    <s v="United States"/>
    <s v="Baltimore"/>
    <s v="Maryland"/>
    <x v="2"/>
    <s v="FUR-FU-10000576"/>
    <s v="Furniture"/>
    <x v="3"/>
    <x v="46"/>
    <n v="1049.2"/>
    <n v="5"/>
    <n v="272.79199999999997"/>
    <s v="6- days"/>
    <n v="6"/>
    <x v="0"/>
  </r>
  <r>
    <s v="CA-2017-117702"/>
    <d v="2017-11-28T00:00:00"/>
    <d v="2017-12-04T00:00:00"/>
    <x v="1"/>
    <s v="LS-16975"/>
    <s v="Lindsay Shagiari"/>
    <x v="2"/>
    <s v="United States"/>
    <s v="Baltimore"/>
    <s v="Maryland"/>
    <x v="2"/>
    <s v="FUR-FU-10004270"/>
    <s v="Furniture"/>
    <x v="3"/>
    <x v="200"/>
    <n v="20.9"/>
    <n v="5"/>
    <n v="7.524"/>
    <s v="6- days"/>
    <n v="6"/>
    <x v="0"/>
  </r>
  <r>
    <s v="CA-2016-157336"/>
    <d v="2016-12-01T00:00:00"/>
    <d v="2016-12-05T00:00:00"/>
    <x v="0"/>
    <s v="SJ-20500"/>
    <s v="Shirley Jackson"/>
    <x v="0"/>
    <s v="United States"/>
    <s v="Fairfield"/>
    <s v="Connecticut"/>
    <x v="2"/>
    <s v="FUR-CH-10004997"/>
    <s v="Furniture"/>
    <x v="1"/>
    <x v="105"/>
    <n v="751.92"/>
    <n v="4"/>
    <n v="150.38399999999999"/>
    <s v="4- days"/>
    <n v="4"/>
    <x v="5"/>
  </r>
  <r>
    <s v="CA-2014-168130"/>
    <d v="2014-09-19T00:00:00"/>
    <d v="2014-09-19T00:00:00"/>
    <x v="3"/>
    <s v="BS-11365"/>
    <s v="Bill Shonely"/>
    <x v="1"/>
    <s v="United States"/>
    <s v="New York City"/>
    <s v="New York"/>
    <x v="2"/>
    <s v="FUR-CH-10000988"/>
    <s v="Furniture"/>
    <x v="1"/>
    <x v="221"/>
    <n v="887.10299999999995"/>
    <n v="7"/>
    <n v="177.42060000000001"/>
    <s v="0- days"/>
    <n v="0"/>
    <x v="4"/>
  </r>
  <r>
    <s v="CA-2017-163160"/>
    <d v="2017-10-13T00:00:00"/>
    <d v="2017-10-16T00:00:00"/>
    <x v="2"/>
    <s v="TS-21610"/>
    <s v="Troy Staebel"/>
    <x v="0"/>
    <s v="United States"/>
    <s v="Freeport"/>
    <s v="Illinois"/>
    <x v="3"/>
    <s v="FUR-FU-10001424"/>
    <s v="Furniture"/>
    <x v="3"/>
    <x v="144"/>
    <n v="10.476000000000001"/>
    <n v="3"/>
    <n v="-6.8094000000000001"/>
    <s v="3- days"/>
    <n v="3"/>
    <x v="1"/>
  </r>
  <r>
    <s v="CA-2016-124793"/>
    <d v="2016-03-14T00:00:00"/>
    <d v="2016-03-16T00:00:00"/>
    <x v="2"/>
    <s v="MM-18280"/>
    <s v="Muhammed MacIntyre"/>
    <x v="1"/>
    <s v="United States"/>
    <s v="Seattle"/>
    <s v="Washington"/>
    <x v="1"/>
    <s v="FUR-CH-10002880"/>
    <s v="Furniture"/>
    <x v="1"/>
    <x v="162"/>
    <n v="196.78399999999999"/>
    <n v="2"/>
    <n v="-22.138200000000001"/>
    <s v="2- days"/>
    <n v="2"/>
    <x v="9"/>
  </r>
  <r>
    <s v="US-2016-131611"/>
    <d v="2016-11-05T00:00:00"/>
    <d v="2016-11-09T00:00:00"/>
    <x v="1"/>
    <s v="EP-13915"/>
    <s v="Emily Phan"/>
    <x v="0"/>
    <s v="United States"/>
    <s v="Houston"/>
    <s v="Texas"/>
    <x v="3"/>
    <s v="FUR-TA-10002774"/>
    <s v="Furniture"/>
    <x v="2"/>
    <x v="121"/>
    <n v="863.12800000000004"/>
    <n v="8"/>
    <n v="-160.29519999999999"/>
    <s v="4- days"/>
    <n v="4"/>
    <x v="0"/>
  </r>
  <r>
    <s v="US-2016-131611"/>
    <d v="2016-11-05T00:00:00"/>
    <d v="2016-11-09T00:00:00"/>
    <x v="1"/>
    <s v="EP-13915"/>
    <s v="Emily Phan"/>
    <x v="0"/>
    <s v="United States"/>
    <s v="Houston"/>
    <s v="Texas"/>
    <x v="3"/>
    <s v="FUR-BO-10000780"/>
    <s v="Furniture"/>
    <x v="0"/>
    <x v="258"/>
    <n v="956.66480000000001"/>
    <n v="7"/>
    <n v="-225.0976"/>
    <s v="4- days"/>
    <n v="4"/>
    <x v="0"/>
  </r>
  <r>
    <s v="US-2017-124821"/>
    <d v="2017-06-25T00:00:00"/>
    <d v="2017-06-29T00:00:00"/>
    <x v="0"/>
    <s v="AM-10705"/>
    <s v="Anne McFarland"/>
    <x v="0"/>
    <s v="United States"/>
    <s v="Seattle"/>
    <s v="Washington"/>
    <x v="1"/>
    <s v="FUR-TA-10000688"/>
    <s v="Furniture"/>
    <x v="2"/>
    <x v="116"/>
    <n v="871.4"/>
    <n v="4"/>
    <n v="148.13800000000001"/>
    <s v="4- days"/>
    <n v="4"/>
    <x v="2"/>
  </r>
  <r>
    <s v="CA-2015-166975"/>
    <d v="2015-11-26T00:00:00"/>
    <d v="2015-11-30T00:00:00"/>
    <x v="1"/>
    <s v="SH-20635"/>
    <s v="Stefanie Holloman"/>
    <x v="1"/>
    <s v="United States"/>
    <s v="Jackson"/>
    <s v="Tennessee"/>
    <x v="0"/>
    <s v="FUR-FU-10003930"/>
    <s v="Furniture"/>
    <x v="3"/>
    <x v="337"/>
    <n v="692.47199999999998"/>
    <n v="11"/>
    <n v="190.4298"/>
    <s v="4- days"/>
    <n v="4"/>
    <x v="0"/>
  </r>
  <r>
    <s v="CA-2016-123806"/>
    <d v="2016-11-24T00:00:00"/>
    <d v="2016-11-27T00:00:00"/>
    <x v="0"/>
    <s v="LA-16780"/>
    <s v="Laura Armstrong"/>
    <x v="1"/>
    <s v="United States"/>
    <s v="Baltimore"/>
    <s v="Maryland"/>
    <x v="2"/>
    <s v="FUR-FU-10000965"/>
    <s v="Furniture"/>
    <x v="3"/>
    <x v="143"/>
    <n v="207.76"/>
    <n v="4"/>
    <n v="85.181600000000003"/>
    <s v="3- days"/>
    <n v="3"/>
    <x v="0"/>
  </r>
  <r>
    <s v="US-2016-107440"/>
    <d v="2016-04-16T00:00:00"/>
    <d v="2016-04-20T00:00:00"/>
    <x v="1"/>
    <s v="BS-11365"/>
    <s v="Bill Shonely"/>
    <x v="1"/>
    <s v="United States"/>
    <s v="Lakewood"/>
    <s v="New Jersey"/>
    <x v="2"/>
    <s v="FUR-FU-10000550"/>
    <s v="Furniture"/>
    <x v="3"/>
    <x v="295"/>
    <n v="9.9600000000000009"/>
    <n v="2"/>
    <n v="3.2867999999999999"/>
    <s v="4- days"/>
    <n v="4"/>
    <x v="6"/>
  </r>
  <r>
    <s v="CA-2014-166989"/>
    <d v="2014-11-14T00:00:00"/>
    <d v="2014-11-18T00:00:00"/>
    <x v="1"/>
    <s v="RM-19675"/>
    <s v="Robert Marley"/>
    <x v="2"/>
    <s v="United States"/>
    <s v="New York City"/>
    <s v="New York"/>
    <x v="2"/>
    <s v="FUR-CH-10001797"/>
    <s v="Furniture"/>
    <x v="1"/>
    <x v="293"/>
    <n v="69.263999999999996"/>
    <n v="2"/>
    <n v="14.622400000000001"/>
    <s v="4- days"/>
    <n v="4"/>
    <x v="0"/>
  </r>
  <r>
    <s v="CA-2015-105690"/>
    <d v="2015-11-21T00:00:00"/>
    <d v="2015-11-26T00:00:00"/>
    <x v="0"/>
    <s v="CA-11965"/>
    <s v="Carol Adams"/>
    <x v="1"/>
    <s v="United States"/>
    <s v="Port Arthur"/>
    <s v="Texas"/>
    <x v="3"/>
    <s v="FUR-BO-10003965"/>
    <s v="Furniture"/>
    <x v="0"/>
    <x v="208"/>
    <n v="246.1328"/>
    <n v="2"/>
    <n v="-76.011600000000001"/>
    <s v="5- days"/>
    <n v="5"/>
    <x v="0"/>
  </r>
  <r>
    <s v="CA-2017-102407"/>
    <d v="2017-12-09T00:00:00"/>
    <d v="2017-12-13T00:00:00"/>
    <x v="0"/>
    <s v="AT-10435"/>
    <s v="Alyssa Tate"/>
    <x v="2"/>
    <s v="United States"/>
    <s v="Los Angeles"/>
    <s v="California"/>
    <x v="1"/>
    <s v="FUR-TA-10003748"/>
    <s v="Furniture"/>
    <x v="2"/>
    <x v="40"/>
    <n v="896.32799999999997"/>
    <n v="9"/>
    <n v="22.408200000000001"/>
    <s v="4- days"/>
    <n v="4"/>
    <x v="5"/>
  </r>
  <r>
    <s v="CA-2017-101581"/>
    <d v="2017-10-22T00:00:00"/>
    <d v="2017-10-27T00:00:00"/>
    <x v="1"/>
    <s v="DW-13195"/>
    <s v="David Wiener"/>
    <x v="1"/>
    <s v="United States"/>
    <s v="Redmond"/>
    <s v="Oregon"/>
    <x v="1"/>
    <s v="FUR-TA-10002607"/>
    <s v="Furniture"/>
    <x v="2"/>
    <x v="48"/>
    <n v="177.22499999999999"/>
    <n v="5"/>
    <n v="-120.51300000000001"/>
    <s v="5- days"/>
    <n v="5"/>
    <x v="1"/>
  </r>
  <r>
    <s v="CA-2017-169124"/>
    <d v="2017-07-03T00:00:00"/>
    <d v="2017-07-10T00:00:00"/>
    <x v="1"/>
    <s v="MB-17305"/>
    <s v="Maria Bertelson"/>
    <x v="0"/>
    <s v="United States"/>
    <s v="Citrus Heights"/>
    <s v="California"/>
    <x v="1"/>
    <s v="FUR-FU-10001215"/>
    <s v="Furniture"/>
    <x v="3"/>
    <x v="331"/>
    <n v="129.38999999999999"/>
    <n v="3"/>
    <n v="54.343800000000002"/>
    <s v="7- days"/>
    <n v="7"/>
    <x v="3"/>
  </r>
  <r>
    <s v="CA-2017-129021"/>
    <d v="2017-08-23T00:00:00"/>
    <d v="2017-08-26T00:00:00"/>
    <x v="0"/>
    <s v="PO-18850"/>
    <s v="Patrick O'Brill"/>
    <x v="0"/>
    <s v="United States"/>
    <s v="Tallahassee"/>
    <s v="Florida"/>
    <x v="0"/>
    <s v="FUR-FU-10001852"/>
    <s v="Furniture"/>
    <x v="3"/>
    <x v="166"/>
    <n v="2.7839999999999998"/>
    <n v="2"/>
    <n v="0.41760000000000003"/>
    <s v="3- days"/>
    <n v="3"/>
    <x v="10"/>
  </r>
  <r>
    <s v="CA-2014-162278"/>
    <d v="2014-10-26T00:00:00"/>
    <d v="2014-10-30T00:00:00"/>
    <x v="0"/>
    <s v="AH-10585"/>
    <s v="Angele Hood"/>
    <x v="0"/>
    <s v="United States"/>
    <s v="Seattle"/>
    <s v="Washington"/>
    <x v="1"/>
    <s v="FUR-FU-10000448"/>
    <s v="Furniture"/>
    <x v="3"/>
    <x v="98"/>
    <n v="63.92"/>
    <n v="4"/>
    <n v="3.1960000000000002"/>
    <s v="4- days"/>
    <n v="4"/>
    <x v="1"/>
  </r>
  <r>
    <s v="CA-2014-125829"/>
    <d v="2014-11-04T00:00:00"/>
    <d v="2014-11-11T00:00:00"/>
    <x v="1"/>
    <s v="WB-21850"/>
    <s v="William Brown"/>
    <x v="0"/>
    <s v="United States"/>
    <s v="Los Angeles"/>
    <s v="California"/>
    <x v="1"/>
    <s v="FUR-TA-10002041"/>
    <s v="Furniture"/>
    <x v="2"/>
    <x v="74"/>
    <n v="573.72799999999995"/>
    <n v="4"/>
    <n v="-64.544399999999996"/>
    <s v="7- days"/>
    <n v="7"/>
    <x v="0"/>
  </r>
  <r>
    <s v="US-2017-136189"/>
    <d v="2017-12-07T00:00:00"/>
    <d v="2017-12-11T00:00:00"/>
    <x v="1"/>
    <s v="DC-13285"/>
    <s v="Debra Catini"/>
    <x v="0"/>
    <s v="United States"/>
    <s v="Richmond"/>
    <s v="Virginia"/>
    <x v="0"/>
    <s v="FUR-FU-10000175"/>
    <s v="Furniture"/>
    <x v="3"/>
    <x v="338"/>
    <n v="82.38"/>
    <n v="6"/>
    <n v="25.537800000000001"/>
    <s v="4- days"/>
    <n v="4"/>
    <x v="5"/>
  </r>
  <r>
    <s v="CA-2015-154795"/>
    <d v="2015-12-20T00:00:00"/>
    <d v="2015-12-24T00:00:00"/>
    <x v="1"/>
    <s v="GZ-14470"/>
    <s v="Gary Zandusky"/>
    <x v="0"/>
    <s v="United States"/>
    <s v="Bullhead City"/>
    <s v="Arizona"/>
    <x v="1"/>
    <s v="FUR-FU-10002088"/>
    <s v="Furniture"/>
    <x v="3"/>
    <x v="209"/>
    <n v="14.368"/>
    <n v="2"/>
    <n v="3.9512"/>
    <s v="4- days"/>
    <n v="4"/>
    <x v="5"/>
  </r>
  <r>
    <s v="CA-2016-120355"/>
    <d v="2016-09-18T00:00:00"/>
    <d v="2016-09-25T00:00:00"/>
    <x v="1"/>
    <s v="MM-17260"/>
    <s v="Magdelene Morse"/>
    <x v="0"/>
    <s v="United States"/>
    <s v="New Rochelle"/>
    <s v="New York"/>
    <x v="2"/>
    <s v="FUR-CH-10001394"/>
    <s v="Furniture"/>
    <x v="1"/>
    <x v="139"/>
    <n v="631.78200000000004"/>
    <n v="2"/>
    <n v="140.39599999999999"/>
    <s v="7- days"/>
    <n v="7"/>
    <x v="4"/>
  </r>
  <r>
    <s v="CA-2016-120355"/>
    <d v="2016-09-18T00:00:00"/>
    <d v="2016-09-25T00:00:00"/>
    <x v="1"/>
    <s v="MM-17260"/>
    <s v="Magdelene Morse"/>
    <x v="0"/>
    <s v="United States"/>
    <s v="New Rochelle"/>
    <s v="New York"/>
    <x v="2"/>
    <s v="FUR-FU-10004053"/>
    <s v="Furniture"/>
    <x v="3"/>
    <x v="339"/>
    <n v="60.72"/>
    <n v="3"/>
    <n v="26.1096"/>
    <s v="7- days"/>
    <n v="7"/>
    <x v="4"/>
  </r>
  <r>
    <s v="CA-2017-162565"/>
    <d v="2017-12-11T00:00:00"/>
    <d v="2017-12-11T00:00:00"/>
    <x v="3"/>
    <s v="RR-19315"/>
    <s v="Ralph Ritter"/>
    <x v="0"/>
    <s v="United States"/>
    <s v="Aurora"/>
    <s v="Illinois"/>
    <x v="3"/>
    <s v="FUR-FU-10004306"/>
    <s v="Furniture"/>
    <x v="3"/>
    <x v="130"/>
    <n v="77.72"/>
    <n v="1"/>
    <n v="-66.061999999999998"/>
    <s v="0- days"/>
    <n v="0"/>
    <x v="5"/>
  </r>
  <r>
    <s v="CA-2017-162565"/>
    <d v="2017-12-11T00:00:00"/>
    <d v="2017-12-11T00:00:00"/>
    <x v="3"/>
    <s v="RR-19315"/>
    <s v="Ralph Ritter"/>
    <x v="0"/>
    <s v="United States"/>
    <s v="Aurora"/>
    <s v="Illinois"/>
    <x v="3"/>
    <s v="FUR-CH-10003973"/>
    <s v="Furniture"/>
    <x v="1"/>
    <x v="171"/>
    <n v="520.46400000000006"/>
    <n v="2"/>
    <n v="-14.8704"/>
    <s v="0- days"/>
    <n v="0"/>
    <x v="5"/>
  </r>
  <r>
    <s v="CA-2014-166954"/>
    <d v="2014-04-25T00:00:00"/>
    <d v="2014-04-30T00:00:00"/>
    <x v="1"/>
    <s v="BT-11305"/>
    <s v="Beth Thompson"/>
    <x v="2"/>
    <s v="United States"/>
    <s v="San Gabriel"/>
    <s v="California"/>
    <x v="1"/>
    <s v="FUR-FU-10003708"/>
    <s v="Furniture"/>
    <x v="3"/>
    <x v="17"/>
    <n v="303.25"/>
    <n v="5"/>
    <n v="63.682499999999997"/>
    <s v="5- days"/>
    <n v="5"/>
    <x v="6"/>
  </r>
  <r>
    <s v="CA-2014-166954"/>
    <d v="2014-04-25T00:00:00"/>
    <d v="2014-04-30T00:00:00"/>
    <x v="1"/>
    <s v="BT-11305"/>
    <s v="Beth Thompson"/>
    <x v="2"/>
    <s v="United States"/>
    <s v="San Gabriel"/>
    <s v="California"/>
    <x v="1"/>
    <s v="FUR-CH-10003973"/>
    <s v="Furniture"/>
    <x v="1"/>
    <x v="171"/>
    <n v="1487.04"/>
    <n v="5"/>
    <n v="148.70400000000001"/>
    <s v="5- days"/>
    <n v="5"/>
    <x v="6"/>
  </r>
  <r>
    <s v="CA-2015-152891"/>
    <d v="2015-10-25T00:00:00"/>
    <d v="2015-10-30T00:00:00"/>
    <x v="1"/>
    <s v="TB-21625"/>
    <s v="Trudy Brown"/>
    <x v="0"/>
    <s v="United States"/>
    <s v="San Francisco"/>
    <s v="California"/>
    <x v="1"/>
    <s v="FUR-TA-10001857"/>
    <s v="Furniture"/>
    <x v="2"/>
    <x v="91"/>
    <n v="253.17599999999999"/>
    <n v="3"/>
    <n v="-31.646999999999998"/>
    <s v="5- days"/>
    <n v="5"/>
    <x v="1"/>
  </r>
  <r>
    <s v="US-2015-122784"/>
    <d v="2015-07-20T00:00:00"/>
    <d v="2015-07-27T00:00:00"/>
    <x v="1"/>
    <s v="RA-19915"/>
    <s v="Russell Applegate"/>
    <x v="0"/>
    <s v="United States"/>
    <s v="Highland Park"/>
    <s v="Illinois"/>
    <x v="3"/>
    <s v="FUR-BO-10004690"/>
    <s v="Furniture"/>
    <x v="0"/>
    <x v="340"/>
    <n v="384.94400000000002"/>
    <n v="4"/>
    <n v="-126.4816"/>
    <s v="7- days"/>
    <n v="7"/>
    <x v="3"/>
  </r>
  <r>
    <s v="US-2015-122784"/>
    <d v="2015-07-20T00:00:00"/>
    <d v="2015-07-27T00:00:00"/>
    <x v="1"/>
    <s v="RA-19915"/>
    <s v="Russell Applegate"/>
    <x v="0"/>
    <s v="United States"/>
    <s v="Highland Park"/>
    <s v="Illinois"/>
    <x v="3"/>
    <s v="FUR-BO-10002545"/>
    <s v="Furniture"/>
    <x v="0"/>
    <x v="9"/>
    <n v="913.43"/>
    <n v="5"/>
    <n v="-52.195999999999998"/>
    <s v="7- days"/>
    <n v="7"/>
    <x v="3"/>
  </r>
  <r>
    <s v="CA-2017-111556"/>
    <d v="2017-11-20T00:00:00"/>
    <d v="2017-11-22T00:00:00"/>
    <x v="2"/>
    <s v="CD-11920"/>
    <s v="Carlos Daly"/>
    <x v="0"/>
    <s v="United States"/>
    <s v="New York City"/>
    <s v="New York"/>
    <x v="2"/>
    <s v="FUR-BO-10003159"/>
    <s v="Furniture"/>
    <x v="0"/>
    <x v="214"/>
    <n v="183.96799999999999"/>
    <n v="2"/>
    <n v="-25.2956"/>
    <s v="2- days"/>
    <n v="2"/>
    <x v="0"/>
  </r>
  <r>
    <s v="US-2014-138758"/>
    <d v="2014-07-07T00:00:00"/>
    <d v="2014-07-11T00:00:00"/>
    <x v="1"/>
    <s v="JL-15835"/>
    <s v="John Lee"/>
    <x v="0"/>
    <s v="United States"/>
    <s v="Philadelphia"/>
    <s v="Pennsylvania"/>
    <x v="2"/>
    <s v="FUR-CH-10002880"/>
    <s v="Furniture"/>
    <x v="1"/>
    <x v="162"/>
    <n v="172.18600000000001"/>
    <n v="2"/>
    <n v="-46.736199999999997"/>
    <s v="4- days"/>
    <n v="4"/>
    <x v="3"/>
  </r>
  <r>
    <s v="US-2014-138758"/>
    <d v="2014-07-07T00:00:00"/>
    <d v="2014-07-11T00:00:00"/>
    <x v="1"/>
    <s v="JL-15835"/>
    <s v="John Lee"/>
    <x v="0"/>
    <s v="United States"/>
    <s v="Philadelphia"/>
    <s v="Pennsylvania"/>
    <x v="2"/>
    <s v="FUR-FU-10003039"/>
    <s v="Furniture"/>
    <x v="3"/>
    <x v="102"/>
    <n v="69.007999999999996"/>
    <n v="2"/>
    <n v="12.0764"/>
    <s v="4- days"/>
    <n v="4"/>
    <x v="3"/>
  </r>
  <r>
    <s v="CA-2016-131737"/>
    <d v="2016-03-17T00:00:00"/>
    <d v="2016-03-17T00:00:00"/>
    <x v="3"/>
    <s v="GZ-14470"/>
    <s v="Gary Zandusky"/>
    <x v="0"/>
    <s v="United States"/>
    <s v="Columbia"/>
    <s v="Maryland"/>
    <x v="2"/>
    <s v="FUR-FU-10004306"/>
    <s v="Furniture"/>
    <x v="3"/>
    <x v="130"/>
    <n v="971.5"/>
    <n v="5"/>
    <n v="252.59"/>
    <s v="0- days"/>
    <n v="0"/>
    <x v="9"/>
  </r>
  <r>
    <s v="CA-2014-160157"/>
    <d v="2014-12-20T00:00:00"/>
    <d v="2014-12-27T00:00:00"/>
    <x v="1"/>
    <s v="MH-17455"/>
    <s v="Mark Hamilton"/>
    <x v="0"/>
    <s v="United States"/>
    <s v="Hamilton"/>
    <s v="Ohio"/>
    <x v="2"/>
    <s v="FUR-FU-10003773"/>
    <s v="Furniture"/>
    <x v="3"/>
    <x v="30"/>
    <n v="190.84800000000001"/>
    <n v="3"/>
    <n v="-21.470400000000001"/>
    <s v="7- days"/>
    <n v="7"/>
    <x v="5"/>
  </r>
  <r>
    <s v="CA-2017-159464"/>
    <d v="2017-05-18T00:00:00"/>
    <d v="2017-05-19T00:00:00"/>
    <x v="2"/>
    <s v="TB-21355"/>
    <s v="Todd Boyes"/>
    <x v="1"/>
    <s v="United States"/>
    <s v="Sandy Springs"/>
    <s v="Georgia"/>
    <x v="0"/>
    <s v="FUR-BO-10003546"/>
    <s v="Furniture"/>
    <x v="0"/>
    <x v="341"/>
    <n v="302.94"/>
    <n v="3"/>
    <n v="75.734999999999999"/>
    <s v="1- days"/>
    <n v="1"/>
    <x v="7"/>
  </r>
  <r>
    <s v="CA-2017-119452"/>
    <d v="2017-03-21T00:00:00"/>
    <d v="2017-03-27T00:00:00"/>
    <x v="1"/>
    <s v="CL-12565"/>
    <s v="Clay Ludtke"/>
    <x v="0"/>
    <s v="United States"/>
    <s v="Tulsa"/>
    <s v="Oklahoma"/>
    <x v="3"/>
    <s v="FUR-CH-10004495"/>
    <s v="Furniture"/>
    <x v="1"/>
    <x v="304"/>
    <n v="1805.88"/>
    <n v="6"/>
    <n v="523.70519999999999"/>
    <s v="6- days"/>
    <n v="6"/>
    <x v="9"/>
  </r>
  <r>
    <s v="CA-2016-168893"/>
    <d v="2016-11-03T00:00:00"/>
    <d v="2016-11-08T00:00:00"/>
    <x v="0"/>
    <s v="AP-10915"/>
    <s v="Arthur Prichep"/>
    <x v="0"/>
    <s v="United States"/>
    <s v="Henderson"/>
    <s v="Kentucky"/>
    <x v="0"/>
    <s v="FUR-FU-10002885"/>
    <s v="Furniture"/>
    <x v="3"/>
    <x v="152"/>
    <n v="24.1"/>
    <n v="5"/>
    <n v="9.1579999999999995"/>
    <s v="5- days"/>
    <n v="5"/>
    <x v="0"/>
  </r>
  <r>
    <s v="CA-2016-168893"/>
    <d v="2016-11-03T00:00:00"/>
    <d v="2016-11-08T00:00:00"/>
    <x v="0"/>
    <s v="AP-10915"/>
    <s v="Arthur Prichep"/>
    <x v="0"/>
    <s v="United States"/>
    <s v="Henderson"/>
    <s v="Kentucky"/>
    <x v="0"/>
    <s v="FUR-TA-10003392"/>
    <s v="Furniture"/>
    <x v="2"/>
    <x v="342"/>
    <n v="842.94"/>
    <n v="3"/>
    <n v="160.15860000000001"/>
    <s v="5- days"/>
    <n v="5"/>
    <x v="0"/>
  </r>
  <r>
    <s v="CA-2015-121965"/>
    <d v="2015-06-19T00:00:00"/>
    <d v="2015-06-23T00:00:00"/>
    <x v="1"/>
    <s v="LH-17155"/>
    <s v="Logan Haushalter"/>
    <x v="0"/>
    <s v="United States"/>
    <s v="Los Angeles"/>
    <s v="California"/>
    <x v="1"/>
    <s v="FUR-FU-10000732"/>
    <s v="Furniture"/>
    <x v="3"/>
    <x v="113"/>
    <n v="12.56"/>
    <n v="2"/>
    <n v="4.0191999999999997"/>
    <s v="4- days"/>
    <n v="4"/>
    <x v="2"/>
  </r>
  <r>
    <s v="CA-2016-147137"/>
    <d v="2016-07-04T00:00:00"/>
    <d v="2016-07-06T00:00:00"/>
    <x v="2"/>
    <s v="AA-10645"/>
    <s v="Anna Andreadi"/>
    <x v="0"/>
    <s v="United States"/>
    <s v="San Francisco"/>
    <s v="California"/>
    <x v="1"/>
    <s v="FUR-FU-10000221"/>
    <s v="Furniture"/>
    <x v="3"/>
    <x v="111"/>
    <n v="25.4"/>
    <n v="5"/>
    <n v="8.6359999999999992"/>
    <s v="2- days"/>
    <n v="2"/>
    <x v="3"/>
  </r>
  <r>
    <s v="CA-2016-147137"/>
    <d v="2016-07-04T00:00:00"/>
    <d v="2016-07-06T00:00:00"/>
    <x v="2"/>
    <s v="AA-10645"/>
    <s v="Anna Andreadi"/>
    <x v="0"/>
    <s v="United States"/>
    <s v="San Francisco"/>
    <s v="California"/>
    <x v="1"/>
    <s v="FUR-BO-10001811"/>
    <s v="Furniture"/>
    <x v="0"/>
    <x v="157"/>
    <n v="1279.165"/>
    <n v="5"/>
    <n v="225.73500000000001"/>
    <s v="2- days"/>
    <n v="2"/>
    <x v="3"/>
  </r>
  <r>
    <s v="US-2015-146745"/>
    <d v="2015-09-03T00:00:00"/>
    <d v="2015-09-08T00:00:00"/>
    <x v="1"/>
    <s v="AS-10630"/>
    <s v="Ann Steele"/>
    <x v="2"/>
    <s v="United States"/>
    <s v="San Francisco"/>
    <s v="California"/>
    <x v="1"/>
    <s v="FUR-CH-10002372"/>
    <s v="Furniture"/>
    <x v="1"/>
    <x v="83"/>
    <n v="129.56800000000001"/>
    <n v="2"/>
    <n v="-12.956799999999999"/>
    <s v="5- days"/>
    <n v="5"/>
    <x v="4"/>
  </r>
  <r>
    <s v="US-2017-125717"/>
    <d v="2017-09-28T00:00:00"/>
    <d v="2017-10-01T00:00:00"/>
    <x v="2"/>
    <s v="DS-13030"/>
    <s v="Darrin Sayre"/>
    <x v="2"/>
    <s v="United States"/>
    <s v="Aurora"/>
    <s v="Colorado"/>
    <x v="1"/>
    <s v="FUR-FU-10001979"/>
    <s v="Furniture"/>
    <x v="3"/>
    <x v="107"/>
    <n v="32.776000000000003"/>
    <n v="1"/>
    <n v="3.2776000000000001"/>
    <s v="3- days"/>
    <n v="3"/>
    <x v="4"/>
  </r>
  <r>
    <s v="CA-2017-168641"/>
    <d v="2017-11-24T00:00:00"/>
    <d v="2017-12-01T00:00:00"/>
    <x v="1"/>
    <s v="KA-16525"/>
    <s v="Kelly Andreada"/>
    <x v="0"/>
    <s v="United States"/>
    <s v="New York City"/>
    <s v="New York"/>
    <x v="2"/>
    <s v="FUR-BO-10000780"/>
    <s v="Furniture"/>
    <x v="0"/>
    <x v="258"/>
    <n v="321.56799999999998"/>
    <n v="2"/>
    <n v="-16.078399999999998"/>
    <s v="7- days"/>
    <n v="7"/>
    <x v="0"/>
  </r>
  <r>
    <s v="CA-2017-156895"/>
    <d v="2017-05-08T00:00:00"/>
    <d v="2017-05-12T00:00:00"/>
    <x v="1"/>
    <s v="DJ-13510"/>
    <s v="Don Jones"/>
    <x v="1"/>
    <s v="United States"/>
    <s v="Philadelphia"/>
    <s v="Pennsylvania"/>
    <x v="2"/>
    <s v="FUR-CH-10003535"/>
    <s v="Furniture"/>
    <x v="1"/>
    <x v="312"/>
    <n v="128.05799999999999"/>
    <n v="3"/>
    <n v="-23.7822"/>
    <s v="4- days"/>
    <n v="4"/>
    <x v="7"/>
  </r>
  <r>
    <s v="CA-2017-121300"/>
    <d v="2017-09-29T00:00:00"/>
    <d v="2017-09-29T00:00:00"/>
    <x v="3"/>
    <s v="MG-17680"/>
    <s v="Maureen Gastineau"/>
    <x v="2"/>
    <s v="United States"/>
    <s v="Mentor"/>
    <s v="Ohio"/>
    <x v="2"/>
    <s v="FUR-CH-10003774"/>
    <s v="Furniture"/>
    <x v="1"/>
    <x v="234"/>
    <n v="63.686"/>
    <n v="1"/>
    <n v="-15.4666"/>
    <s v="0- days"/>
    <n v="0"/>
    <x v="4"/>
  </r>
  <r>
    <s v="CA-2017-121300"/>
    <d v="2017-09-29T00:00:00"/>
    <d v="2017-09-29T00:00:00"/>
    <x v="3"/>
    <s v="MG-17680"/>
    <s v="Maureen Gastineau"/>
    <x v="2"/>
    <s v="United States"/>
    <s v="Mentor"/>
    <s v="Ohio"/>
    <x v="2"/>
    <s v="FUR-TA-10004442"/>
    <s v="Furniture"/>
    <x v="2"/>
    <x v="343"/>
    <n v="344.22"/>
    <n v="2"/>
    <n v="-189.321"/>
    <s v="0- days"/>
    <n v="0"/>
    <x v="4"/>
  </r>
  <r>
    <s v="CA-2017-121300"/>
    <d v="2017-09-29T00:00:00"/>
    <d v="2017-09-29T00:00:00"/>
    <x v="3"/>
    <s v="MG-17680"/>
    <s v="Maureen Gastineau"/>
    <x v="2"/>
    <s v="United States"/>
    <s v="Mentor"/>
    <s v="Ohio"/>
    <x v="2"/>
    <s v="FUR-FU-10004586"/>
    <s v="Furniture"/>
    <x v="3"/>
    <x v="303"/>
    <n v="21.248000000000001"/>
    <n v="4"/>
    <n v="7.4367999999999999"/>
    <s v="0- days"/>
    <n v="0"/>
    <x v="4"/>
  </r>
  <r>
    <s v="CA-2017-130211"/>
    <d v="2017-10-22T00:00:00"/>
    <d v="2017-10-22T00:00:00"/>
    <x v="3"/>
    <s v="BD-11620"/>
    <s v="Brian DeCherney"/>
    <x v="0"/>
    <s v="United States"/>
    <s v="Lawton"/>
    <s v="Oklahoma"/>
    <x v="3"/>
    <s v="FUR-TA-10003748"/>
    <s v="Furniture"/>
    <x v="2"/>
    <x v="40"/>
    <n v="248.98"/>
    <n v="2"/>
    <n v="54.775599999999997"/>
    <s v="0- days"/>
    <n v="0"/>
    <x v="1"/>
  </r>
  <r>
    <s v="CA-2017-105921"/>
    <d v="2017-08-14T00:00:00"/>
    <d v="2017-08-21T00:00:00"/>
    <x v="1"/>
    <s v="JM-15250"/>
    <s v="Janet Martin"/>
    <x v="0"/>
    <s v="United States"/>
    <s v="Los Angeles"/>
    <s v="California"/>
    <x v="1"/>
    <s v="FUR-TA-10001095"/>
    <s v="Furniture"/>
    <x v="2"/>
    <x v="129"/>
    <n v="418.29599999999999"/>
    <n v="3"/>
    <n v="5.2286999999999999"/>
    <s v="7- days"/>
    <n v="7"/>
    <x v="10"/>
  </r>
  <r>
    <s v="CA-2014-150798"/>
    <d v="2014-12-01T00:00:00"/>
    <d v="2014-12-03T00:00:00"/>
    <x v="0"/>
    <s v="JK-15730"/>
    <s v="Joe Kamberova"/>
    <x v="0"/>
    <s v="United States"/>
    <s v="Columbus"/>
    <s v="Ohio"/>
    <x v="2"/>
    <s v="FUR-FU-10000221"/>
    <s v="Furniture"/>
    <x v="3"/>
    <x v="111"/>
    <n v="8.1280000000000001"/>
    <n v="2"/>
    <n v="1.4224000000000001"/>
    <s v="2- days"/>
    <n v="2"/>
    <x v="5"/>
  </r>
  <r>
    <s v="CA-2014-150798"/>
    <d v="2014-12-01T00:00:00"/>
    <d v="2014-12-03T00:00:00"/>
    <x v="0"/>
    <s v="JK-15730"/>
    <s v="Joe Kamberova"/>
    <x v="0"/>
    <s v="United States"/>
    <s v="Columbus"/>
    <s v="Ohio"/>
    <x v="2"/>
    <s v="FUR-CH-10000015"/>
    <s v="Furniture"/>
    <x v="1"/>
    <x v="79"/>
    <n v="909.72"/>
    <n v="6"/>
    <n v="-51.984000000000002"/>
    <s v="2- days"/>
    <n v="2"/>
    <x v="5"/>
  </r>
  <r>
    <s v="CA-2017-112753"/>
    <d v="2017-06-18T00:00:00"/>
    <d v="2017-06-23T00:00:00"/>
    <x v="1"/>
    <s v="CC-12670"/>
    <s v="Craig Carreira"/>
    <x v="0"/>
    <s v="United States"/>
    <s v="Los Angeles"/>
    <s v="California"/>
    <x v="1"/>
    <s v="FUR-BO-10004015"/>
    <s v="Furniture"/>
    <x v="0"/>
    <x v="118"/>
    <n v="917.92349999999999"/>
    <n v="9"/>
    <n v="75.593699999999998"/>
    <s v="5- days"/>
    <n v="5"/>
    <x v="2"/>
  </r>
  <r>
    <s v="US-2014-138247"/>
    <d v="2014-12-24T00:00:00"/>
    <d v="2014-12-29T00:00:00"/>
    <x v="1"/>
    <s v="BF-11170"/>
    <s v="Ben Ferrer"/>
    <x v="2"/>
    <s v="United States"/>
    <s v="Los Angeles"/>
    <s v="California"/>
    <x v="1"/>
    <s v="FUR-FU-10002554"/>
    <s v="Furniture"/>
    <x v="3"/>
    <x v="185"/>
    <n v="23.99"/>
    <n v="1"/>
    <n v="5.5176999999999996"/>
    <s v="5- days"/>
    <n v="5"/>
    <x v="5"/>
  </r>
  <r>
    <s v="CA-2017-167003"/>
    <d v="2017-05-23T00:00:00"/>
    <d v="2017-05-29T00:00:00"/>
    <x v="1"/>
    <s v="VS-21820"/>
    <s v="Vivek Sundaresam"/>
    <x v="0"/>
    <s v="United States"/>
    <s v="Los Angeles"/>
    <s v="California"/>
    <x v="1"/>
    <s v="FUR-TA-10001520"/>
    <s v="Furniture"/>
    <x v="2"/>
    <x v="146"/>
    <n v="171.28800000000001"/>
    <n v="3"/>
    <n v="-6.4233000000000002"/>
    <s v="6- days"/>
    <n v="6"/>
    <x v="7"/>
  </r>
  <r>
    <s v="CA-2016-119935"/>
    <d v="2016-11-10T00:00:00"/>
    <d v="2016-11-14T00:00:00"/>
    <x v="1"/>
    <s v="KM-16225"/>
    <s v="Kalyca Meade"/>
    <x v="1"/>
    <s v="United States"/>
    <s v="Springfield"/>
    <s v="Missouri"/>
    <x v="3"/>
    <s v="FUR-FU-10001085"/>
    <s v="Furniture"/>
    <x v="3"/>
    <x v="328"/>
    <n v="37.299999999999997"/>
    <n v="2"/>
    <n v="17.158000000000001"/>
    <s v="4- days"/>
    <n v="4"/>
    <x v="0"/>
  </r>
  <r>
    <s v="CA-2016-120873"/>
    <d v="2016-10-27T00:00:00"/>
    <d v="2016-11-01T00:00:00"/>
    <x v="0"/>
    <s v="BW-11200"/>
    <s v="Ben Wallace"/>
    <x v="0"/>
    <s v="United States"/>
    <s v="Hampton"/>
    <s v="Virginia"/>
    <x v="0"/>
    <s v="FUR-CH-10000847"/>
    <s v="Furniture"/>
    <x v="1"/>
    <x v="199"/>
    <n v="290.98"/>
    <n v="1"/>
    <n v="75.654799999999994"/>
    <s v="5- days"/>
    <n v="5"/>
    <x v="1"/>
  </r>
  <r>
    <s v="CA-2014-109491"/>
    <d v="2014-02-20T00:00:00"/>
    <d v="2014-02-26T00:00:00"/>
    <x v="1"/>
    <s v="LC-16930"/>
    <s v="Linda Cazamias"/>
    <x v="1"/>
    <s v="United States"/>
    <s v="Richmond"/>
    <s v="Indiana"/>
    <x v="3"/>
    <s v="FUR-FU-10000221"/>
    <s v="Furniture"/>
    <x v="3"/>
    <x v="111"/>
    <n v="20.32"/>
    <n v="4"/>
    <n v="6.9088000000000003"/>
    <s v="6- days"/>
    <n v="6"/>
    <x v="11"/>
  </r>
  <r>
    <s v="CA-2014-107454"/>
    <d v="2014-11-02T00:00:00"/>
    <d v="2014-11-06T00:00:00"/>
    <x v="1"/>
    <s v="RD-19720"/>
    <s v="Roger Demir"/>
    <x v="0"/>
    <s v="United States"/>
    <s v="New York City"/>
    <s v="New York"/>
    <x v="2"/>
    <s v="FUR-FU-10004018"/>
    <s v="Furniture"/>
    <x v="3"/>
    <x v="188"/>
    <n v="89.34"/>
    <n v="6"/>
    <n v="24.1218"/>
    <s v="4- days"/>
    <n v="4"/>
    <x v="0"/>
  </r>
  <r>
    <s v="US-2017-105046"/>
    <d v="2017-07-17T00:00:00"/>
    <d v="2017-07-23T00:00:00"/>
    <x v="1"/>
    <s v="BE-11335"/>
    <s v="Bill Eplett"/>
    <x v="2"/>
    <s v="United States"/>
    <s v="Rome"/>
    <s v="New York"/>
    <x v="2"/>
    <s v="FUR-FU-10004848"/>
    <s v="Furniture"/>
    <x v="3"/>
    <x v="257"/>
    <n v="39.08"/>
    <n v="4"/>
    <n v="14.4596"/>
    <s v="6- days"/>
    <n v="6"/>
    <x v="3"/>
  </r>
  <r>
    <s v="CA-2016-118759"/>
    <d v="2016-11-14T00:00:00"/>
    <d v="2016-11-17T00:00:00"/>
    <x v="2"/>
    <s v="MB-17305"/>
    <s v="Maria Bertelson"/>
    <x v="0"/>
    <s v="United States"/>
    <s v="New York City"/>
    <s v="New York"/>
    <x v="2"/>
    <s v="FUR-CH-10002335"/>
    <s v="Furniture"/>
    <x v="1"/>
    <x v="133"/>
    <n v="408.00599999999997"/>
    <n v="2"/>
    <n v="72.534400000000005"/>
    <s v="3- days"/>
    <n v="3"/>
    <x v="0"/>
  </r>
  <r>
    <s v="CA-2014-140403"/>
    <d v="2014-10-10T00:00:00"/>
    <d v="2014-10-10T00:00:00"/>
    <x v="3"/>
    <s v="TN-21040"/>
    <s v="Tanja Norvell"/>
    <x v="2"/>
    <s v="United States"/>
    <s v="Manteca"/>
    <s v="California"/>
    <x v="1"/>
    <s v="FUR-CH-10002774"/>
    <s v="Furniture"/>
    <x v="1"/>
    <x v="5"/>
    <n v="122.352"/>
    <n v="3"/>
    <n v="13.7646"/>
    <s v="0- days"/>
    <n v="0"/>
    <x v="1"/>
  </r>
  <r>
    <s v="CA-2017-138464"/>
    <d v="2017-07-08T00:00:00"/>
    <d v="2017-07-12T00:00:00"/>
    <x v="1"/>
    <s v="VF-21715"/>
    <s v="Vicky Freymann"/>
    <x v="2"/>
    <s v="United States"/>
    <s v="Seattle"/>
    <s v="Washington"/>
    <x v="1"/>
    <s v="FUR-FU-10003142"/>
    <s v="Furniture"/>
    <x v="3"/>
    <x v="238"/>
    <n v="15.84"/>
    <n v="3"/>
    <n v="4.9104000000000001"/>
    <s v="4- days"/>
    <n v="4"/>
    <x v="3"/>
  </r>
  <r>
    <s v="CA-2015-104129"/>
    <d v="2015-02-27T00:00:00"/>
    <d v="2015-03-02T00:00:00"/>
    <x v="1"/>
    <s v="ES-14080"/>
    <s v="Erin Smith"/>
    <x v="1"/>
    <s v="United States"/>
    <s v="Providence"/>
    <s v="Rhode Island"/>
    <x v="2"/>
    <s v="FUR-TA-10004152"/>
    <s v="Furniture"/>
    <x v="2"/>
    <x v="308"/>
    <n v="493.92"/>
    <n v="7"/>
    <n v="-28.224"/>
    <s v="3- days"/>
    <n v="3"/>
    <x v="11"/>
  </r>
  <r>
    <s v="CA-2015-126557"/>
    <d v="2015-07-12T00:00:00"/>
    <d v="2015-07-17T00:00:00"/>
    <x v="0"/>
    <s v="RL-19615"/>
    <s v="Rob Lucas"/>
    <x v="0"/>
    <s v="United States"/>
    <s v="Chicago"/>
    <s v="Illinois"/>
    <x v="3"/>
    <s v="FUR-CH-10004477"/>
    <s v="Furniture"/>
    <x v="1"/>
    <x v="42"/>
    <n v="383.60700000000003"/>
    <n v="9"/>
    <n v="-5.4801000000000002"/>
    <s v="5- days"/>
    <n v="5"/>
    <x v="3"/>
  </r>
  <r>
    <s v="CA-2015-126557"/>
    <d v="2015-07-12T00:00:00"/>
    <d v="2015-07-17T00:00:00"/>
    <x v="0"/>
    <s v="RL-19615"/>
    <s v="Rob Lucas"/>
    <x v="0"/>
    <s v="United States"/>
    <s v="Chicago"/>
    <s v="Illinois"/>
    <x v="3"/>
    <s v="FUR-FU-10001861"/>
    <s v="Furniture"/>
    <x v="3"/>
    <x v="57"/>
    <n v="7.76"/>
    <n v="1"/>
    <n v="-2.1339999999999999"/>
    <s v="5- days"/>
    <n v="5"/>
    <x v="3"/>
  </r>
  <r>
    <s v="US-2014-165862"/>
    <d v="2014-07-13T00:00:00"/>
    <d v="2014-07-17T00:00:00"/>
    <x v="1"/>
    <s v="GK-14620"/>
    <s v="Grace Kelly"/>
    <x v="1"/>
    <s v="United States"/>
    <s v="Los Angeles"/>
    <s v="California"/>
    <x v="1"/>
    <s v="FUR-TA-10002855"/>
    <s v="Furniture"/>
    <x v="2"/>
    <x v="235"/>
    <n v="351.21600000000001"/>
    <n v="3"/>
    <n v="4.3902000000000001"/>
    <s v="4- days"/>
    <n v="4"/>
    <x v="3"/>
  </r>
  <r>
    <s v="US-2014-106334"/>
    <d v="2014-12-27T00:00:00"/>
    <d v="2015-01-02T00:00:00"/>
    <x v="1"/>
    <s v="JF-15490"/>
    <s v="Jeremy Farry"/>
    <x v="0"/>
    <s v="United States"/>
    <s v="San Francisco"/>
    <s v="California"/>
    <x v="1"/>
    <s v="FUR-CH-10004886"/>
    <s v="Furniture"/>
    <x v="1"/>
    <x v="77"/>
    <n v="230.28"/>
    <n v="3"/>
    <n v="23.027999999999999"/>
    <s v="6- days"/>
    <n v="6"/>
    <x v="5"/>
  </r>
  <r>
    <s v="CA-2014-110219"/>
    <d v="2014-05-05T00:00:00"/>
    <d v="2014-05-08T00:00:00"/>
    <x v="2"/>
    <s v="EB-13870"/>
    <s v="Emily Burns"/>
    <x v="0"/>
    <s v="United States"/>
    <s v="San Antonio"/>
    <s v="Texas"/>
    <x v="3"/>
    <s v="FUR-CH-10001146"/>
    <s v="Furniture"/>
    <x v="1"/>
    <x v="15"/>
    <n v="127.869"/>
    <n v="3"/>
    <n v="-9.1334999999999997"/>
    <s v="3- days"/>
    <n v="3"/>
    <x v="7"/>
  </r>
  <r>
    <s v="CA-2015-118871"/>
    <d v="2015-12-04T00:00:00"/>
    <d v="2015-12-09T00:00:00"/>
    <x v="0"/>
    <s v="HM-14860"/>
    <s v="Harry Marie"/>
    <x v="1"/>
    <s v="United States"/>
    <s v="Los Angeles"/>
    <s v="California"/>
    <x v="1"/>
    <s v="FUR-FU-10002111"/>
    <s v="Furniture"/>
    <x v="3"/>
    <x v="344"/>
    <n v="36.4"/>
    <n v="5"/>
    <n v="13.832000000000001"/>
    <s v="5- days"/>
    <n v="5"/>
    <x v="5"/>
  </r>
  <r>
    <s v="CA-2017-129490"/>
    <d v="2017-09-26T00:00:00"/>
    <d v="2017-09-30T00:00:00"/>
    <x v="1"/>
    <s v="SJ-20125"/>
    <s v="Sanjit Jacobs"/>
    <x v="2"/>
    <s v="United States"/>
    <s v="Miramar"/>
    <s v="Florida"/>
    <x v="0"/>
    <s v="FUR-CH-10003298"/>
    <s v="Furniture"/>
    <x v="1"/>
    <x v="322"/>
    <n v="419.13600000000002"/>
    <n v="4"/>
    <n v="-57.6312"/>
    <s v="4- days"/>
    <n v="4"/>
    <x v="4"/>
  </r>
  <r>
    <s v="CA-2014-169460"/>
    <d v="2014-04-19T00:00:00"/>
    <d v="2014-04-21T00:00:00"/>
    <x v="0"/>
    <s v="NF-18595"/>
    <s v="Nicole Fjeld"/>
    <x v="2"/>
    <s v="United States"/>
    <s v="San Jose"/>
    <s v="California"/>
    <x v="1"/>
    <s v="FUR-FU-10004017"/>
    <s v="Furniture"/>
    <x v="3"/>
    <x v="323"/>
    <n v="76.14"/>
    <n v="3"/>
    <n v="26.649000000000001"/>
    <s v="2- days"/>
    <n v="2"/>
    <x v="6"/>
  </r>
  <r>
    <s v="CA-2016-139395"/>
    <d v="2016-12-12T00:00:00"/>
    <d v="2016-12-18T00:00:00"/>
    <x v="1"/>
    <s v="MG-17650"/>
    <s v="Matthew Grinstein"/>
    <x v="2"/>
    <s v="United States"/>
    <s v="Jackson"/>
    <s v="Michigan"/>
    <x v="3"/>
    <s v="FUR-FU-10003724"/>
    <s v="Furniture"/>
    <x v="3"/>
    <x v="181"/>
    <n v="33.479999999999997"/>
    <n v="4"/>
    <n v="8.7048000000000005"/>
    <s v="6- days"/>
    <n v="6"/>
    <x v="5"/>
  </r>
  <r>
    <s v="CA-2016-120250"/>
    <d v="2016-09-19T00:00:00"/>
    <d v="2016-09-22T00:00:00"/>
    <x v="2"/>
    <s v="AP-10720"/>
    <s v="Anne Pryor"/>
    <x v="2"/>
    <s v="United States"/>
    <s v="Philadelphia"/>
    <s v="Pennsylvania"/>
    <x v="2"/>
    <s v="FUR-FU-10003424"/>
    <s v="Furniture"/>
    <x v="3"/>
    <x v="345"/>
    <n v="25.632000000000001"/>
    <n v="3"/>
    <n v="3.8448000000000002"/>
    <s v="3- days"/>
    <n v="3"/>
    <x v="4"/>
  </r>
  <r>
    <s v="US-2017-163790"/>
    <d v="2017-11-02T00:00:00"/>
    <d v="2017-11-04T00:00:00"/>
    <x v="0"/>
    <s v="NL-18310"/>
    <s v="Nancy Lomonaco"/>
    <x v="2"/>
    <s v="United States"/>
    <s v="Danville"/>
    <s v="California"/>
    <x v="1"/>
    <s v="FUR-FU-10002508"/>
    <s v="Furniture"/>
    <x v="3"/>
    <x v="346"/>
    <n v="25.02"/>
    <n v="3"/>
    <n v="10.5084"/>
    <s v="2- days"/>
    <n v="2"/>
    <x v="0"/>
  </r>
  <r>
    <s v="CA-2016-129868"/>
    <d v="2016-12-26T00:00:00"/>
    <d v="2016-12-31T00:00:00"/>
    <x v="1"/>
    <s v="MC-18130"/>
    <s v="Mike Caudle"/>
    <x v="1"/>
    <s v="United States"/>
    <s v="Los Angeles"/>
    <s v="California"/>
    <x v="1"/>
    <s v="FUR-CH-10003535"/>
    <s v="Furniture"/>
    <x v="1"/>
    <x v="312"/>
    <n v="146.352"/>
    <n v="3"/>
    <n v="-5.4882"/>
    <s v="5- days"/>
    <n v="5"/>
    <x v="5"/>
  </r>
  <r>
    <s v="CA-2016-129868"/>
    <d v="2016-12-26T00:00:00"/>
    <d v="2016-12-31T00:00:00"/>
    <x v="1"/>
    <s v="MC-18130"/>
    <s v="Mike Caudle"/>
    <x v="1"/>
    <s v="United States"/>
    <s v="Los Angeles"/>
    <s v="California"/>
    <x v="1"/>
    <s v="FUR-TA-10003473"/>
    <s v="Furniture"/>
    <x v="2"/>
    <x v="44"/>
    <n v="902.71199999999999"/>
    <n v="3"/>
    <n v="33.851700000000001"/>
    <s v="5- days"/>
    <n v="5"/>
    <x v="5"/>
  </r>
  <r>
    <s v="CA-2015-146948"/>
    <d v="2015-07-16T00:00:00"/>
    <d v="2015-07-20T00:00:00"/>
    <x v="1"/>
    <s v="MG-17890"/>
    <s v="Michael Granlund"/>
    <x v="2"/>
    <s v="United States"/>
    <s v="Baltimore"/>
    <s v="Maryland"/>
    <x v="2"/>
    <s v="FUR-CH-10004853"/>
    <s v="Furniture"/>
    <x v="1"/>
    <x v="110"/>
    <n v="150.97999999999999"/>
    <n v="1"/>
    <n v="43.784199999999998"/>
    <s v="4- days"/>
    <n v="4"/>
    <x v="3"/>
  </r>
  <r>
    <s v="US-2017-141852"/>
    <d v="2017-11-09T00:00:00"/>
    <d v="2017-11-14T00:00:00"/>
    <x v="1"/>
    <s v="JE-15745"/>
    <s v="Joel Eaton"/>
    <x v="0"/>
    <s v="United States"/>
    <s v="Oceanside"/>
    <s v="California"/>
    <x v="1"/>
    <s v="FUR-FU-10000023"/>
    <s v="Furniture"/>
    <x v="3"/>
    <x v="70"/>
    <n v="47.12"/>
    <n v="8"/>
    <n v="20.732800000000001"/>
    <s v="5- days"/>
    <n v="5"/>
    <x v="0"/>
  </r>
  <r>
    <s v="CA-2015-117800"/>
    <d v="2015-09-21T00:00:00"/>
    <d v="2015-09-26T00:00:00"/>
    <x v="1"/>
    <s v="TH-21550"/>
    <s v="Tracy Hopkins"/>
    <x v="2"/>
    <s v="United States"/>
    <s v="Everett"/>
    <s v="Massachusetts"/>
    <x v="2"/>
    <s v="FUR-CH-10000785"/>
    <s v="Furniture"/>
    <x v="1"/>
    <x v="69"/>
    <n v="542.94000000000005"/>
    <n v="3"/>
    <n v="141.1644"/>
    <s v="5- days"/>
    <n v="5"/>
    <x v="4"/>
  </r>
  <r>
    <s v="CA-2017-147228"/>
    <d v="2017-09-09T00:00:00"/>
    <d v="2017-09-14T00:00:00"/>
    <x v="1"/>
    <s v="SO-20335"/>
    <s v="Sean O'Donnell"/>
    <x v="0"/>
    <s v="United States"/>
    <s v="Columbia"/>
    <s v="Tennessee"/>
    <x v="0"/>
    <s v="FUR-FU-10000023"/>
    <s v="Furniture"/>
    <x v="3"/>
    <x v="70"/>
    <n v="14.135999999999999"/>
    <n v="3"/>
    <n v="4.2408000000000001"/>
    <s v="5- days"/>
    <n v="5"/>
    <x v="4"/>
  </r>
  <r>
    <s v="US-2015-126235"/>
    <d v="2015-10-15T00:00:00"/>
    <d v="2015-10-15T00:00:00"/>
    <x v="3"/>
    <s v="GA-14725"/>
    <s v="Guy Armstrong"/>
    <x v="0"/>
    <s v="United States"/>
    <s v="Mount Pleasant"/>
    <s v="Michigan"/>
    <x v="3"/>
    <s v="FUR-FU-10000719"/>
    <s v="Furniture"/>
    <x v="3"/>
    <x v="347"/>
    <n v="17.14"/>
    <n v="2"/>
    <n v="6.1703999999999999"/>
    <s v="0- days"/>
    <n v="0"/>
    <x v="1"/>
  </r>
  <r>
    <s v="CA-2017-168396"/>
    <d v="2017-08-03T00:00:00"/>
    <d v="2017-08-08T00:00:00"/>
    <x v="0"/>
    <s v="BD-11725"/>
    <s v="Bruce Degenhardt"/>
    <x v="0"/>
    <s v="United States"/>
    <s v="San Francisco"/>
    <s v="California"/>
    <x v="1"/>
    <s v="FUR-FU-10000723"/>
    <s v="Furniture"/>
    <x v="3"/>
    <x v="100"/>
    <n v="123.96"/>
    <n v="3"/>
    <n v="11.1564"/>
    <s v="5- days"/>
    <n v="5"/>
    <x v="10"/>
  </r>
  <r>
    <s v="CA-2015-130456"/>
    <d v="2015-08-21T00:00:00"/>
    <d v="2015-08-26T00:00:00"/>
    <x v="1"/>
    <s v="DS-13180"/>
    <s v="David Smith"/>
    <x v="1"/>
    <s v="United States"/>
    <s v="San Francisco"/>
    <s v="California"/>
    <x v="1"/>
    <s v="FUR-BO-10003893"/>
    <s v="Furniture"/>
    <x v="0"/>
    <x v="348"/>
    <n v="586.39800000000002"/>
    <n v="6"/>
    <n v="34.494"/>
    <s v="5- days"/>
    <n v="5"/>
    <x v="10"/>
  </r>
  <r>
    <s v="CA-2017-130141"/>
    <d v="2017-10-22T00:00:00"/>
    <d v="2017-10-24T00:00:00"/>
    <x v="0"/>
    <s v="HA-14905"/>
    <s v="Helen Abelman"/>
    <x v="0"/>
    <s v="United States"/>
    <s v="Fort Collins"/>
    <s v="Colorado"/>
    <x v="1"/>
    <s v="FUR-CH-10000749"/>
    <s v="Furniture"/>
    <x v="1"/>
    <x v="349"/>
    <n v="579.13599999999997"/>
    <n v="4"/>
    <n v="-28.956800000000001"/>
    <s v="2- days"/>
    <n v="2"/>
    <x v="1"/>
  </r>
  <r>
    <s v="CA-2016-143910"/>
    <d v="2016-08-12T00:00:00"/>
    <d v="2016-08-16T00:00:00"/>
    <x v="1"/>
    <s v="BC-11125"/>
    <s v="Becky Castell"/>
    <x v="2"/>
    <s v="United States"/>
    <s v="New York City"/>
    <s v="New York"/>
    <x v="2"/>
    <s v="FUR-CH-10000225"/>
    <s v="Furniture"/>
    <x v="1"/>
    <x v="85"/>
    <n v="145.76400000000001"/>
    <n v="2"/>
    <n v="-8.0980000000000008"/>
    <s v="4- days"/>
    <n v="4"/>
    <x v="10"/>
  </r>
  <r>
    <s v="CA-2016-139556"/>
    <d v="2016-04-26T00:00:00"/>
    <d v="2016-05-01T00:00:00"/>
    <x v="1"/>
    <s v="DB-13360"/>
    <s v="Dennis Bolton"/>
    <x v="2"/>
    <s v="United States"/>
    <s v="New York City"/>
    <s v="New York"/>
    <x v="2"/>
    <s v="FUR-CH-10004983"/>
    <s v="Furniture"/>
    <x v="1"/>
    <x v="319"/>
    <n v="434.64600000000002"/>
    <n v="3"/>
    <n v="62.782200000000003"/>
    <s v="5- days"/>
    <n v="5"/>
    <x v="6"/>
  </r>
  <r>
    <s v="CA-2015-112130"/>
    <d v="2015-05-03T00:00:00"/>
    <d v="2015-05-07T00:00:00"/>
    <x v="1"/>
    <s v="SV-20785"/>
    <s v="Stewart Visinsky"/>
    <x v="0"/>
    <s v="United States"/>
    <s v="Philadelphia"/>
    <s v="Pennsylvania"/>
    <x v="2"/>
    <s v="FUR-CH-10002965"/>
    <s v="Furniture"/>
    <x v="1"/>
    <x v="50"/>
    <n v="844.11599999999999"/>
    <n v="6"/>
    <n v="-36.176400000000001"/>
    <s v="4- days"/>
    <n v="4"/>
    <x v="7"/>
  </r>
  <r>
    <s v="CA-2016-116547"/>
    <d v="2016-01-10T00:00:00"/>
    <d v="2016-01-17T00:00:00"/>
    <x v="1"/>
    <s v="KB-16585"/>
    <s v="Ken Black"/>
    <x v="1"/>
    <s v="United States"/>
    <s v="Seattle"/>
    <s v="Washington"/>
    <x v="1"/>
    <s v="FUR-FU-10000076"/>
    <s v="Furniture"/>
    <x v="3"/>
    <x v="175"/>
    <n v="79.92"/>
    <n v="4"/>
    <n v="34.365600000000001"/>
    <s v="7- days"/>
    <n v="7"/>
    <x v="8"/>
  </r>
  <r>
    <s v="US-2017-133200"/>
    <d v="2017-05-06T00:00:00"/>
    <d v="2017-05-11T00:00:00"/>
    <x v="1"/>
    <s v="DB-13555"/>
    <s v="Dorothy Badders"/>
    <x v="1"/>
    <s v="United States"/>
    <s v="Fort Worth"/>
    <s v="Texas"/>
    <x v="3"/>
    <s v="FUR-BO-10001601"/>
    <s v="Furniture"/>
    <x v="0"/>
    <x v="89"/>
    <n v="623.46479999999997"/>
    <n v="7"/>
    <n v="-119.1918"/>
    <s v="5- days"/>
    <n v="5"/>
    <x v="7"/>
  </r>
  <r>
    <s v="CA-2016-133550"/>
    <d v="2016-07-31T00:00:00"/>
    <d v="2016-08-06T00:00:00"/>
    <x v="1"/>
    <s v="KL-16645"/>
    <s v="Ken Lonsdale"/>
    <x v="0"/>
    <s v="United States"/>
    <s v="Detroit"/>
    <s v="Michigan"/>
    <x v="3"/>
    <s v="FUR-FU-10002918"/>
    <s v="Furniture"/>
    <x v="3"/>
    <x v="56"/>
    <n v="272.94"/>
    <n v="3"/>
    <n v="30.023399999999999"/>
    <s v="6- days"/>
    <n v="6"/>
    <x v="3"/>
  </r>
  <r>
    <s v="CA-2017-139416"/>
    <d v="2017-03-27T00:00:00"/>
    <d v="2017-03-29T00:00:00"/>
    <x v="0"/>
    <s v="AG-10270"/>
    <s v="Alejandro Grove"/>
    <x v="0"/>
    <s v="United States"/>
    <s v="Philadelphia"/>
    <s v="Pennsylvania"/>
    <x v="2"/>
    <s v="FUR-FU-10003832"/>
    <s v="Furniture"/>
    <x v="3"/>
    <x v="282"/>
    <n v="15.007999999999999"/>
    <n v="2"/>
    <n v="1.5007999999999999"/>
    <s v="2- days"/>
    <n v="2"/>
    <x v="9"/>
  </r>
  <r>
    <s v="CA-2016-159912"/>
    <d v="2016-08-29T00:00:00"/>
    <d v="2016-09-03T00:00:00"/>
    <x v="1"/>
    <s v="GB-14530"/>
    <s v="George Bell"/>
    <x v="1"/>
    <s v="United States"/>
    <s v="Philadelphia"/>
    <s v="Pennsylvania"/>
    <x v="2"/>
    <s v="FUR-TA-10004152"/>
    <s v="Furniture"/>
    <x v="2"/>
    <x v="308"/>
    <n v="241.92"/>
    <n v="4"/>
    <n v="-56.448"/>
    <s v="5- days"/>
    <n v="5"/>
    <x v="10"/>
  </r>
  <r>
    <s v="CA-2016-159912"/>
    <d v="2016-08-29T00:00:00"/>
    <d v="2016-09-03T00:00:00"/>
    <x v="1"/>
    <s v="GB-14530"/>
    <s v="George Bell"/>
    <x v="1"/>
    <s v="United States"/>
    <s v="Philadelphia"/>
    <s v="Pennsylvania"/>
    <x v="2"/>
    <s v="FUR-BO-10002853"/>
    <s v="Furniture"/>
    <x v="0"/>
    <x v="335"/>
    <n v="163.88"/>
    <n v="4"/>
    <n v="-81.94"/>
    <s v="5- days"/>
    <n v="5"/>
    <x v="10"/>
  </r>
  <r>
    <s v="CA-2014-138681"/>
    <d v="2014-12-20T00:00:00"/>
    <d v="2014-12-22T00:00:00"/>
    <x v="2"/>
    <s v="CT-11995"/>
    <s v="Carol Triggs"/>
    <x v="0"/>
    <s v="United States"/>
    <s v="Tucson"/>
    <s v="Arizona"/>
    <x v="1"/>
    <s v="FUR-FU-10001876"/>
    <s v="Furniture"/>
    <x v="3"/>
    <x v="279"/>
    <n v="51.968000000000004"/>
    <n v="2"/>
    <n v="10.393599999999999"/>
    <s v="2- days"/>
    <n v="2"/>
    <x v="5"/>
  </r>
  <r>
    <s v="CA-2014-138681"/>
    <d v="2014-12-20T00:00:00"/>
    <d v="2014-12-22T00:00:00"/>
    <x v="2"/>
    <s v="CT-11995"/>
    <s v="Carol Triggs"/>
    <x v="0"/>
    <s v="United States"/>
    <s v="Tucson"/>
    <s v="Arizona"/>
    <x v="1"/>
    <s v="FUR-CH-10004860"/>
    <s v="Furniture"/>
    <x v="1"/>
    <x v="41"/>
    <n v="242.352"/>
    <n v="3"/>
    <n v="-42.4116"/>
    <s v="2- days"/>
    <n v="2"/>
    <x v="5"/>
  </r>
  <r>
    <s v="US-2015-138121"/>
    <d v="2015-12-17T00:00:00"/>
    <d v="2015-12-17T00:00:00"/>
    <x v="3"/>
    <s v="JL-15835"/>
    <s v="John Lee"/>
    <x v="0"/>
    <s v="United States"/>
    <s v="Detroit"/>
    <s v="Michigan"/>
    <x v="3"/>
    <s v="FUR-CH-10003846"/>
    <s v="Furniture"/>
    <x v="1"/>
    <x v="186"/>
    <n v="302.94"/>
    <n v="3"/>
    <n v="48.470399999999998"/>
    <s v="0- days"/>
    <n v="0"/>
    <x v="5"/>
  </r>
  <r>
    <s v="US-2015-138121"/>
    <d v="2015-12-17T00:00:00"/>
    <d v="2015-12-17T00:00:00"/>
    <x v="3"/>
    <s v="JL-15835"/>
    <s v="John Lee"/>
    <x v="0"/>
    <s v="United States"/>
    <s v="Detroit"/>
    <s v="Michigan"/>
    <x v="3"/>
    <s v="FUR-CH-10004875"/>
    <s v="Furniture"/>
    <x v="1"/>
    <x v="290"/>
    <n v="142.36000000000001"/>
    <n v="2"/>
    <n v="38.437199999999997"/>
    <s v="0- days"/>
    <n v="0"/>
    <x v="5"/>
  </r>
  <r>
    <s v="US-2015-138121"/>
    <d v="2015-12-17T00:00:00"/>
    <d v="2015-12-17T00:00:00"/>
    <x v="3"/>
    <s v="JL-15835"/>
    <s v="John Lee"/>
    <x v="0"/>
    <s v="United States"/>
    <s v="Detroit"/>
    <s v="Michigan"/>
    <x v="3"/>
    <s v="FUR-CH-10003817"/>
    <s v="Furniture"/>
    <x v="1"/>
    <x v="33"/>
    <n v="546.66"/>
    <n v="9"/>
    <n v="136.66499999999999"/>
    <s v="0- days"/>
    <n v="0"/>
    <x v="5"/>
  </r>
  <r>
    <s v="US-2015-138121"/>
    <d v="2015-12-17T00:00:00"/>
    <d v="2015-12-17T00:00:00"/>
    <x v="3"/>
    <s v="JL-15835"/>
    <s v="John Lee"/>
    <x v="0"/>
    <s v="United States"/>
    <s v="Detroit"/>
    <s v="Michigan"/>
    <x v="3"/>
    <s v="FUR-FU-10002116"/>
    <s v="Furniture"/>
    <x v="3"/>
    <x v="286"/>
    <n v="212.13"/>
    <n v="3"/>
    <n v="14.8491"/>
    <s v="0- days"/>
    <n v="0"/>
    <x v="5"/>
  </r>
  <r>
    <s v="CA-2017-140298"/>
    <d v="2017-05-11T00:00:00"/>
    <d v="2017-05-17T00:00:00"/>
    <x v="1"/>
    <s v="JK-16120"/>
    <s v="Julie Kriz"/>
    <x v="2"/>
    <s v="United States"/>
    <s v="Austin"/>
    <s v="Texas"/>
    <x v="3"/>
    <s v="FUR-FU-10001967"/>
    <s v="Furniture"/>
    <x v="3"/>
    <x v="65"/>
    <n v="7.9960000000000004"/>
    <n v="1"/>
    <n v="-6.9965000000000002"/>
    <s v="6- days"/>
    <n v="6"/>
    <x v="7"/>
  </r>
  <r>
    <s v="CA-2016-158435"/>
    <d v="2016-05-17T00:00:00"/>
    <d v="2016-05-18T00:00:00"/>
    <x v="2"/>
    <s v="AG-10900"/>
    <s v="Arthur Gainer"/>
    <x v="0"/>
    <s v="United States"/>
    <s v="Waterbury"/>
    <s v="Connecticut"/>
    <x v="2"/>
    <s v="FUR-FU-10003975"/>
    <s v="Furniture"/>
    <x v="3"/>
    <x v="156"/>
    <n v="173.24"/>
    <n v="4"/>
    <n v="17.324000000000002"/>
    <s v="1- days"/>
    <n v="1"/>
    <x v="7"/>
  </r>
  <r>
    <s v="CA-2014-108273"/>
    <d v="2014-12-16T00:00:00"/>
    <d v="2014-12-21T00:00:00"/>
    <x v="1"/>
    <s v="EJ-13720"/>
    <s v="Ed Jacobs"/>
    <x v="0"/>
    <s v="United States"/>
    <s v="Huntsville"/>
    <s v="Texas"/>
    <x v="3"/>
    <s v="FUR-FU-10002116"/>
    <s v="Furniture"/>
    <x v="3"/>
    <x v="286"/>
    <n v="56.567999999999998"/>
    <n v="2"/>
    <n v="-74.952600000000004"/>
    <s v="5- days"/>
    <n v="5"/>
    <x v="5"/>
  </r>
  <r>
    <s v="CA-2017-143126"/>
    <d v="2017-12-03T00:00:00"/>
    <d v="2017-12-07T00:00:00"/>
    <x v="0"/>
    <s v="CM-12655"/>
    <s v="Corinna Mitchell"/>
    <x v="2"/>
    <s v="United States"/>
    <s v="Seattle"/>
    <s v="Washington"/>
    <x v="1"/>
    <s v="FUR-TA-10002958"/>
    <s v="Furniture"/>
    <x v="2"/>
    <x v="192"/>
    <n v="521.96"/>
    <n v="2"/>
    <n v="88.733199999999997"/>
    <s v="4- days"/>
    <n v="4"/>
    <x v="5"/>
  </r>
  <r>
    <s v="CA-2014-106229"/>
    <d v="2014-06-07T00:00:00"/>
    <d v="2014-06-11T00:00:00"/>
    <x v="0"/>
    <s v="NR-18550"/>
    <s v="Nick Radford"/>
    <x v="0"/>
    <s v="United States"/>
    <s v="Aurora"/>
    <s v="Illinois"/>
    <x v="3"/>
    <s v="FUR-TA-10002041"/>
    <s v="Furniture"/>
    <x v="2"/>
    <x v="74"/>
    <n v="268.935"/>
    <n v="3"/>
    <n v="-209.76929999999999"/>
    <s v="4- days"/>
    <n v="4"/>
    <x v="2"/>
  </r>
  <r>
    <s v="CA-2014-119151"/>
    <d v="2014-11-25T00:00:00"/>
    <d v="2014-11-29T00:00:00"/>
    <x v="0"/>
    <s v="MP-18175"/>
    <s v="Mike Pelletier"/>
    <x v="2"/>
    <s v="United States"/>
    <s v="New York City"/>
    <s v="New York"/>
    <x v="2"/>
    <s v="FUR-BO-10003159"/>
    <s v="Furniture"/>
    <x v="0"/>
    <x v="214"/>
    <n v="275.952"/>
    <n v="3"/>
    <n v="-37.943399999999997"/>
    <s v="4- days"/>
    <n v="4"/>
    <x v="0"/>
  </r>
  <r>
    <s v="US-2015-103996"/>
    <d v="2015-03-29T00:00:00"/>
    <d v="2015-03-31T00:00:00"/>
    <x v="0"/>
    <s v="RB-19435"/>
    <s v="Richard Bierner"/>
    <x v="0"/>
    <s v="United States"/>
    <s v="San Diego"/>
    <s v="California"/>
    <x v="1"/>
    <s v="FUR-FU-10004586"/>
    <s v="Furniture"/>
    <x v="3"/>
    <x v="303"/>
    <n v="19.920000000000002"/>
    <n v="3"/>
    <n v="9.5616000000000003"/>
    <s v="2- days"/>
    <n v="2"/>
    <x v="9"/>
  </r>
  <r>
    <s v="CA-2016-120530"/>
    <d v="2016-04-07T00:00:00"/>
    <d v="2016-04-12T00:00:00"/>
    <x v="1"/>
    <s v="Dl-13600"/>
    <s v="Dorris liebe"/>
    <x v="1"/>
    <s v="United States"/>
    <s v="New York City"/>
    <s v="New York"/>
    <x v="2"/>
    <s v="FUR-CH-10000454"/>
    <s v="Furniture"/>
    <x v="1"/>
    <x v="1"/>
    <n v="658.74599999999998"/>
    <n v="3"/>
    <n v="146.38800000000001"/>
    <s v="5- days"/>
    <n v="5"/>
    <x v="6"/>
  </r>
  <r>
    <s v="CA-2015-105725"/>
    <d v="2015-02-18T00:00:00"/>
    <d v="2015-02-24T00:00:00"/>
    <x v="1"/>
    <s v="GT-14755"/>
    <s v="Guy Thornton"/>
    <x v="0"/>
    <s v="United States"/>
    <s v="Long Beach"/>
    <s v="California"/>
    <x v="1"/>
    <s v="FUR-TA-10001676"/>
    <s v="Furniture"/>
    <x v="2"/>
    <x v="193"/>
    <n v="35.543999999999997"/>
    <n v="1"/>
    <n v="-0.88859999999999995"/>
    <s v="6- days"/>
    <n v="6"/>
    <x v="11"/>
  </r>
  <r>
    <s v="CA-2016-120005"/>
    <d v="2016-03-03T00:00:00"/>
    <d v="2016-03-03T00:00:00"/>
    <x v="3"/>
    <s v="TS-21160"/>
    <s v="Theresa Swint"/>
    <x v="1"/>
    <s v="United States"/>
    <s v="San Francisco"/>
    <s v="California"/>
    <x v="1"/>
    <s v="FUR-FU-10000672"/>
    <s v="Furniture"/>
    <x v="3"/>
    <x v="309"/>
    <n v="35.28"/>
    <n v="3"/>
    <n v="11.995200000000001"/>
    <s v="0- days"/>
    <n v="0"/>
    <x v="9"/>
  </r>
  <r>
    <s v="CA-2017-103499"/>
    <d v="2017-11-20T00:00:00"/>
    <d v="2017-11-24T00:00:00"/>
    <x v="1"/>
    <s v="ES-14020"/>
    <s v="Erica Smith"/>
    <x v="0"/>
    <s v="United States"/>
    <s v="Jackson"/>
    <s v="Tennessee"/>
    <x v="0"/>
    <s v="FUR-CH-10001482"/>
    <s v="Furniture"/>
    <x v="1"/>
    <x v="112"/>
    <n v="209.56800000000001"/>
    <n v="2"/>
    <n v="-23.5764"/>
    <s v="4- days"/>
    <n v="4"/>
    <x v="0"/>
  </r>
  <r>
    <s v="CA-2017-119746"/>
    <d v="2017-11-23T00:00:00"/>
    <d v="2017-11-27T00:00:00"/>
    <x v="1"/>
    <s v="CM-12385"/>
    <s v="Christopher Martinez"/>
    <x v="0"/>
    <s v="United States"/>
    <s v="Chicago"/>
    <s v="Illinois"/>
    <x v="3"/>
    <s v="FUR-FU-10004909"/>
    <s v="Furniture"/>
    <x v="3"/>
    <x v="267"/>
    <n v="6.4640000000000004"/>
    <n v="1"/>
    <n v="-4.04"/>
    <s v="4- days"/>
    <n v="4"/>
    <x v="0"/>
  </r>
  <r>
    <s v="CA-2014-150301"/>
    <d v="2014-07-08T00:00:00"/>
    <d v="2014-07-10T00:00:00"/>
    <x v="2"/>
    <s v="MH-18025"/>
    <s v="Michelle Huthwaite"/>
    <x v="0"/>
    <s v="United States"/>
    <s v="Buffalo"/>
    <s v="New York"/>
    <x v="2"/>
    <s v="FUR-CH-10002647"/>
    <s v="Furniture"/>
    <x v="1"/>
    <x v="99"/>
    <n v="63.881999999999998"/>
    <n v="1"/>
    <n v="10.647"/>
    <s v="2- days"/>
    <n v="2"/>
    <x v="3"/>
  </r>
  <r>
    <s v="CA-2014-159310"/>
    <d v="2014-11-07T00:00:00"/>
    <d v="2014-11-12T00:00:00"/>
    <x v="1"/>
    <s v="SC-20725"/>
    <s v="Steven Cartwright"/>
    <x v="0"/>
    <s v="United States"/>
    <s v="Houston"/>
    <s v="Texas"/>
    <x v="3"/>
    <s v="FUR-CH-10002758"/>
    <s v="Furniture"/>
    <x v="1"/>
    <x v="280"/>
    <n v="683.14400000000001"/>
    <n v="4"/>
    <n v="0"/>
    <s v="5- days"/>
    <n v="5"/>
    <x v="0"/>
  </r>
  <r>
    <s v="CA-2015-104346"/>
    <d v="2015-12-11T00:00:00"/>
    <d v="2015-12-16T00:00:00"/>
    <x v="1"/>
    <s v="IM-15070"/>
    <s v="Irene Maddox"/>
    <x v="0"/>
    <s v="United States"/>
    <s v="Colorado Springs"/>
    <s v="Colorado"/>
    <x v="1"/>
    <s v="FUR-BO-10003450"/>
    <s v="Furniture"/>
    <x v="0"/>
    <x v="265"/>
    <n v="69.575999999999993"/>
    <n v="4"/>
    <n v="-143.79040000000001"/>
    <s v="5- days"/>
    <n v="5"/>
    <x v="5"/>
  </r>
  <r>
    <s v="CA-2015-104346"/>
    <d v="2015-12-11T00:00:00"/>
    <d v="2015-12-16T00:00:00"/>
    <x v="1"/>
    <s v="IM-15070"/>
    <s v="Irene Maddox"/>
    <x v="0"/>
    <s v="United States"/>
    <s v="Colorado Springs"/>
    <s v="Colorado"/>
    <x v="1"/>
    <s v="FUR-FU-10002456"/>
    <s v="Furniture"/>
    <x v="3"/>
    <x v="202"/>
    <n v="52.415999999999997"/>
    <n v="9"/>
    <n v="15.069599999999999"/>
    <s v="5- days"/>
    <n v="5"/>
    <x v="5"/>
  </r>
  <r>
    <s v="CA-2015-104346"/>
    <d v="2015-12-11T00:00:00"/>
    <d v="2015-12-16T00:00:00"/>
    <x v="1"/>
    <s v="IM-15070"/>
    <s v="Irene Maddox"/>
    <x v="0"/>
    <s v="United States"/>
    <s v="Colorado Springs"/>
    <s v="Colorado"/>
    <x v="1"/>
    <s v="FUR-FU-10001473"/>
    <s v="Furniture"/>
    <x v="3"/>
    <x v="198"/>
    <n v="54.92"/>
    <n v="5"/>
    <n v="10.984"/>
    <s v="5- days"/>
    <n v="5"/>
    <x v="5"/>
  </r>
  <r>
    <s v="CA-2015-104346"/>
    <d v="2015-12-11T00:00:00"/>
    <d v="2015-12-16T00:00:00"/>
    <x v="1"/>
    <s v="IM-15070"/>
    <s v="Irene Maddox"/>
    <x v="0"/>
    <s v="United States"/>
    <s v="Colorado Springs"/>
    <s v="Colorado"/>
    <x v="1"/>
    <s v="FUR-TA-10000849"/>
    <s v="Furniture"/>
    <x v="2"/>
    <x v="261"/>
    <n v="364.95"/>
    <n v="5"/>
    <n v="-248.166"/>
    <s v="5- days"/>
    <n v="5"/>
    <x v="5"/>
  </r>
  <r>
    <s v="CA-2015-144722"/>
    <d v="2015-03-16T00:00:00"/>
    <d v="2015-03-23T00:00:00"/>
    <x v="1"/>
    <s v="MF-18250"/>
    <s v="Monica Federle"/>
    <x v="1"/>
    <s v="United States"/>
    <s v="Los Angeles"/>
    <s v="California"/>
    <x v="1"/>
    <s v="FUR-FU-10001215"/>
    <s v="Furniture"/>
    <x v="3"/>
    <x v="331"/>
    <n v="43.13"/>
    <n v="1"/>
    <n v="18.114599999999999"/>
    <s v="7- days"/>
    <n v="7"/>
    <x v="9"/>
  </r>
  <r>
    <s v="US-2016-148901"/>
    <d v="2016-05-14T00:00:00"/>
    <d v="2016-05-19T00:00:00"/>
    <x v="1"/>
    <s v="MK-17905"/>
    <s v="Michael Kennedy"/>
    <x v="1"/>
    <s v="United States"/>
    <s v="Jacksonville"/>
    <s v="Florida"/>
    <x v="0"/>
    <s v="FUR-FU-10002396"/>
    <s v="Furniture"/>
    <x v="3"/>
    <x v="326"/>
    <n v="30.192"/>
    <n v="3"/>
    <n v="8.3027999999999995"/>
    <s v="5- days"/>
    <n v="5"/>
    <x v="7"/>
  </r>
  <r>
    <s v="CA-2017-136364"/>
    <d v="2017-07-13T00:00:00"/>
    <d v="2017-07-17T00:00:00"/>
    <x v="0"/>
    <s v="MH-17455"/>
    <s v="Mark Hamilton"/>
    <x v="0"/>
    <s v="United States"/>
    <s v="Philadelphia"/>
    <s v="Pennsylvania"/>
    <x v="2"/>
    <s v="FUR-FU-10002501"/>
    <s v="Furniture"/>
    <x v="3"/>
    <x v="254"/>
    <n v="91.007999999999996"/>
    <n v="9"/>
    <n v="19.339200000000002"/>
    <s v="4- days"/>
    <n v="4"/>
    <x v="3"/>
  </r>
  <r>
    <s v="CA-2016-121370"/>
    <d v="2016-11-14T00:00:00"/>
    <d v="2016-11-19T00:00:00"/>
    <x v="0"/>
    <s v="EB-14110"/>
    <s v="Eugene Barchas"/>
    <x v="0"/>
    <s v="United States"/>
    <s v="Philadelphia"/>
    <s v="Pennsylvania"/>
    <x v="2"/>
    <s v="FUR-CH-10000785"/>
    <s v="Furniture"/>
    <x v="1"/>
    <x v="69"/>
    <n v="380.05799999999999"/>
    <n v="3"/>
    <n v="-21.717600000000001"/>
    <s v="5- days"/>
    <n v="5"/>
    <x v="0"/>
  </r>
  <r>
    <s v="CA-2016-121370"/>
    <d v="2016-11-14T00:00:00"/>
    <d v="2016-11-19T00:00:00"/>
    <x v="0"/>
    <s v="EB-14110"/>
    <s v="Eugene Barchas"/>
    <x v="0"/>
    <s v="United States"/>
    <s v="Philadelphia"/>
    <s v="Pennsylvania"/>
    <x v="2"/>
    <s v="FUR-FU-10002813"/>
    <s v="Furniture"/>
    <x v="3"/>
    <x v="350"/>
    <n v="48.576000000000001"/>
    <n v="3"/>
    <n v="9.7151999999999994"/>
    <s v="5- days"/>
    <n v="5"/>
    <x v="0"/>
  </r>
  <r>
    <s v="CA-2016-140018"/>
    <d v="2016-11-21T00:00:00"/>
    <d v="2016-11-26T00:00:00"/>
    <x v="1"/>
    <s v="CK-12205"/>
    <s v="Chloris Kastensmidt"/>
    <x v="0"/>
    <s v="United States"/>
    <s v="Columbus"/>
    <s v="Ohio"/>
    <x v="2"/>
    <s v="FUR-CH-10003817"/>
    <s v="Furniture"/>
    <x v="1"/>
    <x v="33"/>
    <n v="127.554"/>
    <n v="3"/>
    <n v="-9.1110000000000007"/>
    <s v="5- days"/>
    <n v="5"/>
    <x v="0"/>
  </r>
  <r>
    <s v="CA-2016-140018"/>
    <d v="2016-11-21T00:00:00"/>
    <d v="2016-11-26T00:00:00"/>
    <x v="1"/>
    <s v="CK-12205"/>
    <s v="Chloris Kastensmidt"/>
    <x v="0"/>
    <s v="United States"/>
    <s v="Columbus"/>
    <s v="Ohio"/>
    <x v="2"/>
    <s v="FUR-FU-10001876"/>
    <s v="Furniture"/>
    <x v="3"/>
    <x v="279"/>
    <n v="77.951999999999998"/>
    <n v="3"/>
    <n v="15.590400000000001"/>
    <s v="5- days"/>
    <n v="5"/>
    <x v="0"/>
  </r>
  <r>
    <s v="CA-2017-154123"/>
    <d v="2017-11-20T00:00:00"/>
    <d v="2017-11-25T00:00:00"/>
    <x v="1"/>
    <s v="SC-20050"/>
    <s v="Sample Company A"/>
    <x v="2"/>
    <s v="United States"/>
    <s v="Henderson"/>
    <s v="Kentucky"/>
    <x v="0"/>
    <s v="FUR-FU-10000629"/>
    <s v="Furniture"/>
    <x v="3"/>
    <x v="22"/>
    <n v="27.58"/>
    <n v="2"/>
    <n v="11.583600000000001"/>
    <s v="5- days"/>
    <n v="5"/>
    <x v="0"/>
  </r>
  <r>
    <s v="CA-2014-107818"/>
    <d v="2014-09-08T00:00:00"/>
    <d v="2014-09-14T00:00:00"/>
    <x v="1"/>
    <s v="MC-17275"/>
    <s v="Marc Crier"/>
    <x v="0"/>
    <s v="United States"/>
    <s v="Pasco"/>
    <s v="Washington"/>
    <x v="1"/>
    <s v="FUR-CH-10000454"/>
    <s v="Furniture"/>
    <x v="1"/>
    <x v="1"/>
    <n v="975.92"/>
    <n v="5"/>
    <n v="121.99"/>
    <s v="6- days"/>
    <n v="6"/>
    <x v="4"/>
  </r>
  <r>
    <s v="CA-2014-113320"/>
    <d v="2014-12-12T00:00:00"/>
    <d v="2014-12-15T00:00:00"/>
    <x v="0"/>
    <s v="LH-17155"/>
    <s v="Logan Haushalter"/>
    <x v="0"/>
    <s v="United States"/>
    <s v="Oakland"/>
    <s v="California"/>
    <x v="1"/>
    <s v="FUR-FU-10004270"/>
    <s v="Furniture"/>
    <x v="3"/>
    <x v="200"/>
    <n v="12.54"/>
    <n v="3"/>
    <n v="4.5144000000000002"/>
    <s v="3- days"/>
    <n v="3"/>
    <x v="5"/>
  </r>
  <r>
    <s v="CA-2014-113320"/>
    <d v="2014-12-12T00:00:00"/>
    <d v="2014-12-15T00:00:00"/>
    <x v="0"/>
    <s v="LH-17155"/>
    <s v="Logan Haushalter"/>
    <x v="0"/>
    <s v="United States"/>
    <s v="Oakland"/>
    <s v="California"/>
    <x v="1"/>
    <s v="FUR-FU-10001706"/>
    <s v="Furniture"/>
    <x v="3"/>
    <x v="11"/>
    <n v="9.24"/>
    <n v="3"/>
    <n v="4.4352"/>
    <s v="3- days"/>
    <n v="3"/>
    <x v="5"/>
  </r>
  <r>
    <s v="CA-2015-137526"/>
    <d v="2015-01-13T00:00:00"/>
    <d v="2015-01-17T00:00:00"/>
    <x v="1"/>
    <s v="PB-19150"/>
    <s v="Philip Brown"/>
    <x v="0"/>
    <s v="United States"/>
    <s v="Los Angeles"/>
    <s v="California"/>
    <x v="1"/>
    <s v="FUR-FU-10001861"/>
    <s v="Furniture"/>
    <x v="3"/>
    <x v="57"/>
    <n v="77.599999999999994"/>
    <n v="4"/>
    <n v="38.024000000000001"/>
    <s v="4- days"/>
    <n v="4"/>
    <x v="8"/>
  </r>
  <r>
    <s v="CA-2015-137526"/>
    <d v="2015-01-13T00:00:00"/>
    <d v="2015-01-17T00:00:00"/>
    <x v="1"/>
    <s v="PB-19150"/>
    <s v="Philip Brown"/>
    <x v="0"/>
    <s v="United States"/>
    <s v="Los Angeles"/>
    <s v="California"/>
    <x v="1"/>
    <s v="FUR-FU-10004845"/>
    <s v="Furniture"/>
    <x v="3"/>
    <x v="351"/>
    <n v="464.85"/>
    <n v="9"/>
    <n v="92.97"/>
    <s v="4- days"/>
    <n v="4"/>
    <x v="8"/>
  </r>
  <r>
    <s v="CA-2017-122490"/>
    <d v="2017-11-13T00:00:00"/>
    <d v="2017-11-18T00:00:00"/>
    <x v="1"/>
    <s v="TT-21070"/>
    <s v="Ted Trevino"/>
    <x v="0"/>
    <s v="United States"/>
    <s v="Seattle"/>
    <s v="Washington"/>
    <x v="1"/>
    <s v="FUR-CH-10001215"/>
    <s v="Furniture"/>
    <x v="1"/>
    <x v="94"/>
    <n v="2404.7040000000002"/>
    <n v="6"/>
    <n v="150.29400000000001"/>
    <s v="5- days"/>
    <n v="5"/>
    <x v="0"/>
  </r>
  <r>
    <s v="CA-2017-143567"/>
    <d v="2017-11-02T00:00:00"/>
    <d v="2017-11-05T00:00:00"/>
    <x v="0"/>
    <s v="TB-21175"/>
    <s v="Thomas Boland"/>
    <x v="1"/>
    <s v="United States"/>
    <s v="Henderson"/>
    <s v="Kentucky"/>
    <x v="0"/>
    <s v="FUR-CH-10000454"/>
    <s v="Furniture"/>
    <x v="1"/>
    <x v="1"/>
    <n v="975.92"/>
    <n v="4"/>
    <n v="292.77600000000001"/>
    <s v="3- days"/>
    <n v="3"/>
    <x v="0"/>
  </r>
  <r>
    <s v="CA-2016-163167"/>
    <d v="2016-11-28T00:00:00"/>
    <d v="2016-12-01T00:00:00"/>
    <x v="0"/>
    <s v="RF-19345"/>
    <s v="Randy Ferguson"/>
    <x v="1"/>
    <s v="United States"/>
    <s v="Marietta"/>
    <s v="Georgia"/>
    <x v="0"/>
    <s v="FUR-CH-10004477"/>
    <s v="Furniture"/>
    <x v="1"/>
    <x v="42"/>
    <n v="182.67"/>
    <n v="3"/>
    <n v="52.974299999999999"/>
    <s v="3- days"/>
    <n v="3"/>
    <x v="0"/>
  </r>
  <r>
    <s v="US-2014-122021"/>
    <d v="2014-10-15T00:00:00"/>
    <d v="2014-10-17T00:00:00"/>
    <x v="2"/>
    <s v="AC-10660"/>
    <s v="Anna Chung"/>
    <x v="0"/>
    <s v="United States"/>
    <s v="Parma"/>
    <s v="Ohio"/>
    <x v="2"/>
    <s v="FUR-CH-10003761"/>
    <s v="Furniture"/>
    <x v="1"/>
    <x v="278"/>
    <n v="183.37200000000001"/>
    <n v="2"/>
    <n v="-7.8587999999999996"/>
    <s v="2- days"/>
    <n v="2"/>
    <x v="1"/>
  </r>
  <r>
    <s v="US-2014-161613"/>
    <d v="2014-12-01T00:00:00"/>
    <d v="2014-12-03T00:00:00"/>
    <x v="0"/>
    <s v="MC-17605"/>
    <s v="Matt Connell"/>
    <x v="1"/>
    <s v="United States"/>
    <s v="Houston"/>
    <s v="Texas"/>
    <x v="3"/>
    <s v="FUR-CH-10003746"/>
    <s v="Furniture"/>
    <x v="1"/>
    <x v="131"/>
    <n v="674.05799999999999"/>
    <n v="3"/>
    <n v="-19.258800000000001"/>
    <s v="2- days"/>
    <n v="2"/>
    <x v="5"/>
  </r>
  <r>
    <s v="CA-2017-163125"/>
    <d v="2017-10-09T00:00:00"/>
    <d v="2017-10-11T00:00:00"/>
    <x v="0"/>
    <s v="MB-17305"/>
    <s v="Maria Bertelson"/>
    <x v="0"/>
    <s v="United States"/>
    <s v="League City"/>
    <s v="Texas"/>
    <x v="3"/>
    <s v="FUR-CH-10001802"/>
    <s v="Furniture"/>
    <x v="1"/>
    <x v="352"/>
    <n v="254.05799999999999"/>
    <n v="3"/>
    <n v="-32.6646"/>
    <s v="2- days"/>
    <n v="2"/>
    <x v="1"/>
  </r>
  <r>
    <s v="CA-2016-160304"/>
    <d v="2016-01-02T00:00:00"/>
    <d v="2016-01-07T00:00:00"/>
    <x v="1"/>
    <s v="BM-11575"/>
    <s v="Brendan Murry"/>
    <x v="1"/>
    <s v="United States"/>
    <s v="Gaithersburg"/>
    <s v="Maryland"/>
    <x v="2"/>
    <s v="FUR-BO-10004709"/>
    <s v="Furniture"/>
    <x v="0"/>
    <x v="53"/>
    <n v="173.94"/>
    <n v="3"/>
    <n v="38.266800000000003"/>
    <s v="5- days"/>
    <n v="5"/>
    <x v="8"/>
  </r>
  <r>
    <s v="CA-2017-117653"/>
    <d v="2017-10-19T00:00:00"/>
    <d v="2017-10-23T00:00:00"/>
    <x v="1"/>
    <s v="MO-17500"/>
    <s v="Mary O'Rourke"/>
    <x v="0"/>
    <s v="United States"/>
    <s v="Chicago"/>
    <s v="Illinois"/>
    <x v="3"/>
    <s v="FUR-TA-10003008"/>
    <s v="Furniture"/>
    <x v="2"/>
    <x v="190"/>
    <n v="91.275000000000006"/>
    <n v="1"/>
    <n v="-67.543499999999995"/>
    <s v="4- days"/>
    <n v="4"/>
    <x v="1"/>
  </r>
  <r>
    <s v="CA-2017-143245"/>
    <d v="2017-12-01T00:00:00"/>
    <d v="2017-12-06T00:00:00"/>
    <x v="1"/>
    <s v="AD-10180"/>
    <s v="Alan Dominguez"/>
    <x v="2"/>
    <s v="United States"/>
    <s v="Fairfield"/>
    <s v="Connecticut"/>
    <x v="2"/>
    <s v="FUR-CH-10000155"/>
    <s v="Furniture"/>
    <x v="1"/>
    <x v="229"/>
    <n v="897.15"/>
    <n v="3"/>
    <n v="251.202"/>
    <s v="5- days"/>
    <n v="5"/>
    <x v="5"/>
  </r>
  <r>
    <s v="CA-2014-157147"/>
    <d v="2014-01-13T00:00:00"/>
    <d v="2014-01-18T00:00:00"/>
    <x v="1"/>
    <s v="BD-11605"/>
    <s v="Brian Dahlen"/>
    <x v="0"/>
    <s v="United States"/>
    <s v="San Francisco"/>
    <s v="California"/>
    <x v="1"/>
    <s v="FUR-BO-10003034"/>
    <s v="Furniture"/>
    <x v="0"/>
    <x v="236"/>
    <n v="333.99900000000002"/>
    <n v="3"/>
    <n v="3.9293999999999998"/>
    <s v="5- days"/>
    <n v="5"/>
    <x v="8"/>
  </r>
  <r>
    <s v="CA-2015-156482"/>
    <d v="2015-02-06T00:00:00"/>
    <d v="2015-02-13T00:00:00"/>
    <x v="1"/>
    <s v="IL-15100"/>
    <s v="Ivan Liston"/>
    <x v="0"/>
    <s v="United States"/>
    <s v="Wilmington"/>
    <s v="Delaware"/>
    <x v="2"/>
    <s v="FUR-CH-10001708"/>
    <s v="Furniture"/>
    <x v="1"/>
    <x v="180"/>
    <n v="1268.82"/>
    <n v="9"/>
    <n v="266.4522"/>
    <s v="7- days"/>
    <n v="7"/>
    <x v="11"/>
  </r>
  <r>
    <s v="CA-2015-156482"/>
    <d v="2015-02-06T00:00:00"/>
    <d v="2015-02-13T00:00:00"/>
    <x v="1"/>
    <s v="IL-15100"/>
    <s v="Ivan Liston"/>
    <x v="0"/>
    <s v="United States"/>
    <s v="Wilmington"/>
    <s v="Delaware"/>
    <x v="2"/>
    <s v="FUR-BO-10002598"/>
    <s v="Furniture"/>
    <x v="0"/>
    <x v="310"/>
    <n v="283.92"/>
    <n v="4"/>
    <n v="82.336799999999997"/>
    <s v="7- days"/>
    <n v="7"/>
    <x v="11"/>
  </r>
  <r>
    <s v="CA-2017-107125"/>
    <d v="2017-11-27T00:00:00"/>
    <d v="2017-12-02T00:00:00"/>
    <x v="1"/>
    <s v="BD-11320"/>
    <s v="Bill Donatelli"/>
    <x v="0"/>
    <s v="United States"/>
    <s v="Los Angeles"/>
    <s v="California"/>
    <x v="1"/>
    <s v="FUR-FU-10000732"/>
    <s v="Furniture"/>
    <x v="3"/>
    <x v="113"/>
    <n v="18.84"/>
    <n v="3"/>
    <n v="6.0288000000000004"/>
    <s v="5- days"/>
    <n v="5"/>
    <x v="0"/>
  </r>
  <r>
    <s v="CA-2014-160262"/>
    <d v="2014-06-09T00:00:00"/>
    <d v="2014-06-13T00:00:00"/>
    <x v="0"/>
    <s v="TS-21205"/>
    <s v="Thomas Seio"/>
    <x v="1"/>
    <s v="United States"/>
    <s v="North Las Vegas"/>
    <s v="Nevada"/>
    <x v="1"/>
    <s v="FUR-FU-10002685"/>
    <s v="Furniture"/>
    <x v="3"/>
    <x v="288"/>
    <n v="37.4"/>
    <n v="2"/>
    <n v="14.212"/>
    <s v="4- days"/>
    <n v="4"/>
    <x v="2"/>
  </r>
  <r>
    <s v="CA-2014-156587"/>
    <d v="2014-03-07T00:00:00"/>
    <d v="2014-03-08T00:00:00"/>
    <x v="2"/>
    <s v="AB-10015"/>
    <s v="Aaron Bergman"/>
    <x v="0"/>
    <s v="United States"/>
    <s v="Seattle"/>
    <s v="Washington"/>
    <x v="1"/>
    <s v="FUR-CH-10004477"/>
    <s v="Furniture"/>
    <x v="1"/>
    <x v="42"/>
    <n v="48.712000000000003"/>
    <n v="1"/>
    <n v="5.4801000000000002"/>
    <s v="1- days"/>
    <n v="1"/>
    <x v="9"/>
  </r>
  <r>
    <s v="CA-2015-122406"/>
    <d v="2015-08-02T00:00:00"/>
    <d v="2015-08-05T00:00:00"/>
    <x v="0"/>
    <s v="BE-11455"/>
    <s v="Brad Eason"/>
    <x v="2"/>
    <s v="United States"/>
    <s v="Providence"/>
    <s v="Rhode Island"/>
    <x v="2"/>
    <s v="FUR-CH-10001973"/>
    <s v="Furniture"/>
    <x v="1"/>
    <x v="183"/>
    <n v="110.98"/>
    <n v="1"/>
    <n v="15.5372"/>
    <s v="3- days"/>
    <n v="3"/>
    <x v="10"/>
  </r>
  <r>
    <s v="US-2016-153815"/>
    <d v="2016-11-06T00:00:00"/>
    <d v="2016-11-09T00:00:00"/>
    <x v="2"/>
    <s v="KL-16555"/>
    <s v="Kelly Lampkin"/>
    <x v="1"/>
    <s v="United States"/>
    <s v="Jacksonville"/>
    <s v="Florida"/>
    <x v="0"/>
    <s v="FUR-CH-10000513"/>
    <s v="Furniture"/>
    <x v="1"/>
    <x v="16"/>
    <n v="207.98400000000001"/>
    <n v="2"/>
    <n v="-28.597799999999999"/>
    <s v="3- days"/>
    <n v="3"/>
    <x v="0"/>
  </r>
  <r>
    <s v="US-2016-153815"/>
    <d v="2016-11-06T00:00:00"/>
    <d v="2016-11-09T00:00:00"/>
    <x v="2"/>
    <s v="KL-16555"/>
    <s v="Kelly Lampkin"/>
    <x v="1"/>
    <s v="United States"/>
    <s v="Jacksonville"/>
    <s v="Florida"/>
    <x v="0"/>
    <s v="FUR-FU-10004090"/>
    <s v="Furniture"/>
    <x v="3"/>
    <x v="137"/>
    <n v="35.567999999999998"/>
    <n v="2"/>
    <n v="5.7797999999999998"/>
    <s v="3- days"/>
    <n v="3"/>
    <x v="0"/>
  </r>
  <r>
    <s v="CA-2016-149279"/>
    <d v="2016-04-24T00:00:00"/>
    <d v="2016-04-28T00:00:00"/>
    <x v="1"/>
    <s v="CL-12700"/>
    <s v="Craig Leslie"/>
    <x v="2"/>
    <s v="United States"/>
    <s v="Colorado Springs"/>
    <s v="Colorado"/>
    <x v="1"/>
    <s v="FUR-CH-10004287"/>
    <s v="Furniture"/>
    <x v="1"/>
    <x v="32"/>
    <n v="1325.76"/>
    <n v="6"/>
    <n v="149.148"/>
    <s v="4- days"/>
    <n v="4"/>
    <x v="6"/>
  </r>
  <r>
    <s v="CA-2015-153038"/>
    <d v="2015-12-18T00:00:00"/>
    <d v="2015-12-25T00:00:00"/>
    <x v="1"/>
    <s v="RB-19645"/>
    <s v="Robert Barroso"/>
    <x v="1"/>
    <s v="United States"/>
    <s v="Memphis"/>
    <s v="Tennessee"/>
    <x v="0"/>
    <s v="FUR-FU-10000221"/>
    <s v="Furniture"/>
    <x v="3"/>
    <x v="111"/>
    <n v="20.32"/>
    <n v="5"/>
    <n v="3.556"/>
    <s v="7- days"/>
    <n v="7"/>
    <x v="5"/>
  </r>
  <r>
    <s v="US-2017-139647"/>
    <d v="2017-05-11T00:00:00"/>
    <d v="2017-05-13T00:00:00"/>
    <x v="2"/>
    <s v="TS-21370"/>
    <s v="Todd Sumrall"/>
    <x v="1"/>
    <s v="United States"/>
    <s v="Phoenix"/>
    <s v="Arizona"/>
    <x v="1"/>
    <s v="FUR-BO-10004467"/>
    <s v="Furniture"/>
    <x v="0"/>
    <x v="179"/>
    <n v="209.97900000000001"/>
    <n v="7"/>
    <n v="-356.96429999999998"/>
    <s v="2- days"/>
    <n v="2"/>
    <x v="7"/>
  </r>
  <r>
    <s v="CA-2014-153850"/>
    <d v="2014-11-24T00:00:00"/>
    <d v="2014-11-29T00:00:00"/>
    <x v="1"/>
    <s v="TH-21100"/>
    <s v="Thea Hendricks"/>
    <x v="0"/>
    <s v="United States"/>
    <s v="Toledo"/>
    <s v="Ohio"/>
    <x v="2"/>
    <s v="FUR-FU-10002960"/>
    <s v="Furniture"/>
    <x v="3"/>
    <x v="37"/>
    <n v="35.167999999999999"/>
    <n v="7"/>
    <n v="9.6712000000000007"/>
    <s v="5- days"/>
    <n v="5"/>
    <x v="0"/>
  </r>
  <r>
    <s v="CA-2014-127558"/>
    <d v="2014-11-15T00:00:00"/>
    <d v="2014-11-18T00:00:00"/>
    <x v="2"/>
    <s v="SS-20410"/>
    <s v="Shahid Shariari"/>
    <x v="0"/>
    <s v="United States"/>
    <s v="Los Angeles"/>
    <s v="California"/>
    <x v="1"/>
    <s v="FUR-FU-10002505"/>
    <s v="Furniture"/>
    <x v="3"/>
    <x v="49"/>
    <n v="10.11"/>
    <n v="3"/>
    <n v="3.2351999999999999"/>
    <s v="3- days"/>
    <n v="3"/>
    <x v="0"/>
  </r>
  <r>
    <s v="CA-2016-133795"/>
    <d v="2016-12-18T00:00:00"/>
    <d v="2016-12-24T00:00:00"/>
    <x v="1"/>
    <s v="JE-15475"/>
    <s v="Jeremy Ellison"/>
    <x v="0"/>
    <s v="United States"/>
    <s v="San Diego"/>
    <s v="California"/>
    <x v="1"/>
    <s v="FUR-FU-10003731"/>
    <s v="Furniture"/>
    <x v="3"/>
    <x v="329"/>
    <n v="39.92"/>
    <n v="4"/>
    <n v="11.1776"/>
    <s v="6- days"/>
    <n v="6"/>
    <x v="5"/>
  </r>
  <r>
    <s v="US-2017-130953"/>
    <d v="2017-07-29T00:00:00"/>
    <d v="2017-08-03T00:00:00"/>
    <x v="1"/>
    <s v="RF-19735"/>
    <s v="Roland Fjeld"/>
    <x v="0"/>
    <s v="United States"/>
    <s v="Oklahoma City"/>
    <s v="Oklahoma"/>
    <x v="3"/>
    <s v="FUR-CH-10004626"/>
    <s v="Furniture"/>
    <x v="1"/>
    <x v="353"/>
    <n v="302.67"/>
    <n v="3"/>
    <n v="72.640799999999999"/>
    <s v="5- days"/>
    <n v="5"/>
    <x v="3"/>
  </r>
  <r>
    <s v="CA-2016-155166"/>
    <d v="2016-12-26T00:00:00"/>
    <d v="2017-01-02T00:00:00"/>
    <x v="1"/>
    <s v="BB-11545"/>
    <s v="Brenda Bowman"/>
    <x v="1"/>
    <s v="United States"/>
    <s v="Vineland"/>
    <s v="New Jersey"/>
    <x v="2"/>
    <s v="FUR-CH-10003968"/>
    <s v="Furniture"/>
    <x v="1"/>
    <x v="13"/>
    <n v="212.94"/>
    <n v="3"/>
    <n v="25.552800000000001"/>
    <s v="7- days"/>
    <n v="7"/>
    <x v="5"/>
  </r>
  <r>
    <s v="CA-2015-103954"/>
    <d v="2015-08-09T00:00:00"/>
    <d v="2015-08-13T00:00:00"/>
    <x v="0"/>
    <s v="HR-14770"/>
    <s v="Hallie Redmond"/>
    <x v="2"/>
    <s v="United States"/>
    <s v="Milwaukee"/>
    <s v="Wisconsin"/>
    <x v="3"/>
    <s v="FUR-BO-10004690"/>
    <s v="Furniture"/>
    <x v="0"/>
    <x v="340"/>
    <n v="687.4"/>
    <n v="5"/>
    <n v="48.118000000000002"/>
    <s v="4- days"/>
    <n v="4"/>
    <x v="10"/>
  </r>
  <r>
    <s v="CA-2014-169803"/>
    <d v="2014-04-06T00:00:00"/>
    <d v="2014-04-12T00:00:00"/>
    <x v="1"/>
    <s v="SC-20260"/>
    <s v="Scott Cohen"/>
    <x v="1"/>
    <s v="United States"/>
    <s v="Seattle"/>
    <s v="Washington"/>
    <x v="1"/>
    <s v="FUR-TA-10000688"/>
    <s v="Furniture"/>
    <x v="2"/>
    <x v="116"/>
    <n v="653.54999999999995"/>
    <n v="3"/>
    <n v="111.1035"/>
    <s v="6- days"/>
    <n v="6"/>
    <x v="6"/>
  </r>
  <r>
    <s v="CA-2015-136469"/>
    <d v="2015-07-11T00:00:00"/>
    <d v="2015-07-12T00:00:00"/>
    <x v="2"/>
    <s v="TS-21370"/>
    <s v="Todd Sumrall"/>
    <x v="1"/>
    <s v="United States"/>
    <s v="Wilmington"/>
    <s v="Delaware"/>
    <x v="2"/>
    <s v="FUR-TA-10001520"/>
    <s v="Furniture"/>
    <x v="2"/>
    <x v="146"/>
    <n v="199.83600000000001"/>
    <n v="4"/>
    <n v="-37.112400000000001"/>
    <s v="1- days"/>
    <n v="1"/>
    <x v="3"/>
  </r>
  <r>
    <s v="CA-2016-158694"/>
    <d v="2016-11-10T00:00:00"/>
    <d v="2016-11-13T00:00:00"/>
    <x v="0"/>
    <s v="AI-10855"/>
    <s v="Arianne Irving"/>
    <x v="0"/>
    <s v="United States"/>
    <s v="Los Angeles"/>
    <s v="California"/>
    <x v="1"/>
    <s v="FUR-FU-10000965"/>
    <s v="Furniture"/>
    <x v="3"/>
    <x v="143"/>
    <n v="467.46"/>
    <n v="9"/>
    <n v="191.65860000000001"/>
    <s v="3- days"/>
    <n v="3"/>
    <x v="0"/>
  </r>
  <r>
    <s v="CA-2015-141243"/>
    <d v="2015-01-03T00:00:00"/>
    <d v="2015-01-08T00:00:00"/>
    <x v="0"/>
    <s v="AH-10465"/>
    <s v="Amy Hunt"/>
    <x v="0"/>
    <s v="United States"/>
    <s v="Dallas"/>
    <s v="Texas"/>
    <x v="3"/>
    <s v="FUR-BO-10003272"/>
    <s v="Furniture"/>
    <x v="0"/>
    <x v="122"/>
    <n v="1352.3976"/>
    <n v="9"/>
    <n v="-437.54039999999998"/>
    <s v="5- days"/>
    <n v="5"/>
    <x v="8"/>
  </r>
  <r>
    <s v="CA-2015-136798"/>
    <d v="2015-05-08T00:00:00"/>
    <d v="2015-05-12T00:00:00"/>
    <x v="1"/>
    <s v="DL-12925"/>
    <s v="Daniel Lacy"/>
    <x v="0"/>
    <s v="United States"/>
    <s v="Minneapolis"/>
    <s v="Minnesota"/>
    <x v="3"/>
    <s v="FUR-FU-10000723"/>
    <s v="Furniture"/>
    <x v="3"/>
    <x v="100"/>
    <n v="123.96"/>
    <n v="3"/>
    <n v="11.1564"/>
    <s v="4- days"/>
    <n v="4"/>
    <x v="7"/>
  </r>
  <r>
    <s v="CA-2017-142090"/>
    <d v="2017-11-30T00:00:00"/>
    <d v="2017-12-07T00:00:00"/>
    <x v="1"/>
    <s v="SC-20380"/>
    <s v="Shahid Collister"/>
    <x v="0"/>
    <s v="United States"/>
    <s v="Burlington"/>
    <s v="North Carolina"/>
    <x v="0"/>
    <s v="FUR-TA-10001889"/>
    <s v="Furniture"/>
    <x v="2"/>
    <x v="87"/>
    <n v="1781.682"/>
    <n v="7"/>
    <n v="-653.28340000000003"/>
    <s v="7- days"/>
    <n v="7"/>
    <x v="0"/>
  </r>
  <r>
    <s v="CA-2014-124478"/>
    <d v="2014-08-08T00:00:00"/>
    <d v="2014-08-12T00:00:00"/>
    <x v="1"/>
    <s v="MA-17560"/>
    <s v="Matt Abelman"/>
    <x v="2"/>
    <s v="United States"/>
    <s v="Trenton"/>
    <s v="Michigan"/>
    <x v="3"/>
    <s v="FUR-FU-10002088"/>
    <s v="Furniture"/>
    <x v="3"/>
    <x v="209"/>
    <n v="53.88"/>
    <n v="6"/>
    <n v="22.6296"/>
    <s v="4- days"/>
    <n v="4"/>
    <x v="10"/>
  </r>
  <r>
    <s v="CA-2014-134572"/>
    <d v="2014-04-20T00:00:00"/>
    <d v="2014-04-22T00:00:00"/>
    <x v="0"/>
    <s v="SV-20365"/>
    <s v="Seth Vernon"/>
    <x v="0"/>
    <s v="United States"/>
    <s v="Houston"/>
    <s v="Texas"/>
    <x v="3"/>
    <s v="FUR-TA-10001705"/>
    <s v="Furniture"/>
    <x v="2"/>
    <x v="43"/>
    <n v="744.1"/>
    <n v="5"/>
    <n v="-95.67"/>
    <s v="2- days"/>
    <n v="2"/>
    <x v="6"/>
  </r>
  <r>
    <s v="CA-2014-134572"/>
    <d v="2014-04-20T00:00:00"/>
    <d v="2014-04-22T00:00:00"/>
    <x v="0"/>
    <s v="SV-20365"/>
    <s v="Seth Vernon"/>
    <x v="0"/>
    <s v="United States"/>
    <s v="Houston"/>
    <s v="Texas"/>
    <x v="3"/>
    <s v="FUR-TA-10004442"/>
    <s v="Furniture"/>
    <x v="2"/>
    <x v="343"/>
    <n v="401.59"/>
    <n v="2"/>
    <n v="-131.95099999999999"/>
    <s v="2- days"/>
    <n v="2"/>
    <x v="6"/>
  </r>
  <r>
    <s v="US-2017-133312"/>
    <d v="2017-11-25T00:00:00"/>
    <d v="2017-11-29T00:00:00"/>
    <x v="1"/>
    <s v="BD-11500"/>
    <s v="Bradley Drucker"/>
    <x v="0"/>
    <s v="United States"/>
    <s v="San Francisco"/>
    <s v="California"/>
    <x v="1"/>
    <s v="FUR-BO-10002213"/>
    <s v="Furniture"/>
    <x v="0"/>
    <x v="263"/>
    <n v="359.49900000000002"/>
    <n v="3"/>
    <n v="-29.605799999999999"/>
    <s v="4- days"/>
    <n v="4"/>
    <x v="0"/>
  </r>
  <r>
    <s v="US-2014-140452"/>
    <d v="2014-12-06T00:00:00"/>
    <d v="2014-12-10T00:00:00"/>
    <x v="1"/>
    <s v="BK-11260"/>
    <s v="Berenike Kampe"/>
    <x v="0"/>
    <s v="United States"/>
    <s v="Chicago"/>
    <s v="Illinois"/>
    <x v="3"/>
    <s v="FUR-TA-10004086"/>
    <s v="Furniture"/>
    <x v="2"/>
    <x v="165"/>
    <n v="214.95"/>
    <n v="5"/>
    <n v="-120.372"/>
    <s v="4- days"/>
    <n v="4"/>
    <x v="5"/>
  </r>
  <r>
    <s v="US-2014-140452"/>
    <d v="2014-12-06T00:00:00"/>
    <d v="2014-12-10T00:00:00"/>
    <x v="1"/>
    <s v="BK-11260"/>
    <s v="Berenike Kampe"/>
    <x v="0"/>
    <s v="United States"/>
    <s v="Chicago"/>
    <s v="Illinois"/>
    <x v="3"/>
    <s v="FUR-FU-10002088"/>
    <s v="Furniture"/>
    <x v="3"/>
    <x v="209"/>
    <n v="10.776"/>
    <n v="3"/>
    <n v="-4.8491999999999997"/>
    <s v="4- days"/>
    <n v="4"/>
    <x v="5"/>
  </r>
  <r>
    <s v="CA-2014-116568"/>
    <d v="2014-12-14T00:00:00"/>
    <d v="2014-12-20T00:00:00"/>
    <x v="1"/>
    <s v="BM-11785"/>
    <s v="Bryan Mills"/>
    <x v="0"/>
    <s v="United States"/>
    <s v="Deltona"/>
    <s v="Florida"/>
    <x v="0"/>
    <s v="FUR-CH-10002439"/>
    <s v="Furniture"/>
    <x v="1"/>
    <x v="260"/>
    <n v="186.304"/>
    <n v="4"/>
    <n v="13.972799999999999"/>
    <s v="6- days"/>
    <n v="6"/>
    <x v="5"/>
  </r>
  <r>
    <s v="CA-2015-153073"/>
    <d v="2015-11-13T00:00:00"/>
    <d v="2015-11-13T00:00:00"/>
    <x v="3"/>
    <s v="HA-14905"/>
    <s v="Helen Abelman"/>
    <x v="0"/>
    <s v="United States"/>
    <s v="Chicago"/>
    <s v="Illinois"/>
    <x v="3"/>
    <s v="FUR-FU-10001025"/>
    <s v="Furniture"/>
    <x v="3"/>
    <x v="354"/>
    <n v="17.495999999999999"/>
    <n v="9"/>
    <n v="-7.4358000000000004"/>
    <s v="0- days"/>
    <n v="0"/>
    <x v="0"/>
  </r>
  <r>
    <s v="CA-2014-160766"/>
    <d v="2014-09-14T00:00:00"/>
    <d v="2014-09-14T00:00:00"/>
    <x v="3"/>
    <s v="DM-13015"/>
    <s v="Darrin Martin"/>
    <x v="0"/>
    <s v="United States"/>
    <s v="New York City"/>
    <s v="New York"/>
    <x v="2"/>
    <s v="FUR-TA-10001039"/>
    <s v="Furniture"/>
    <x v="2"/>
    <x v="165"/>
    <n v="464.29199999999997"/>
    <n v="9"/>
    <n v="-108.3348"/>
    <s v="0- days"/>
    <n v="0"/>
    <x v="4"/>
  </r>
  <r>
    <s v="CA-2017-146626"/>
    <d v="2017-12-29T00:00:00"/>
    <d v="2018-01-05T00:00:00"/>
    <x v="1"/>
    <s v="BP-11185"/>
    <s v="Ben Peterman"/>
    <x v="1"/>
    <s v="United States"/>
    <s v="Anaheim"/>
    <s v="California"/>
    <x v="1"/>
    <s v="FUR-FU-10002501"/>
    <s v="Furniture"/>
    <x v="3"/>
    <x v="254"/>
    <n v="101.12"/>
    <n v="8"/>
    <n v="37.414400000000001"/>
    <s v="7- days"/>
    <n v="7"/>
    <x v="5"/>
  </r>
  <r>
    <s v="CA-2016-128972"/>
    <d v="2016-11-13T00:00:00"/>
    <d v="2016-11-17T00:00:00"/>
    <x v="1"/>
    <s v="TS-21430"/>
    <s v="Tom Stivers"/>
    <x v="1"/>
    <s v="United States"/>
    <s v="Oklahoma City"/>
    <s v="Oklahoma"/>
    <x v="3"/>
    <s v="FUR-FU-10003096"/>
    <s v="Furniture"/>
    <x v="3"/>
    <x v="114"/>
    <n v="30.36"/>
    <n v="4"/>
    <n v="13.0548"/>
    <s v="4- days"/>
    <n v="4"/>
    <x v="0"/>
  </r>
  <r>
    <s v="CA-2016-111213"/>
    <d v="2016-04-01T00:00:00"/>
    <d v="2016-04-05T00:00:00"/>
    <x v="1"/>
    <s v="FP-14320"/>
    <s v="Frank Preis"/>
    <x v="0"/>
    <s v="United States"/>
    <s v="New York City"/>
    <s v="New York"/>
    <x v="2"/>
    <s v="FUR-CH-10000454"/>
    <s v="Furniture"/>
    <x v="1"/>
    <x v="1"/>
    <n v="1317.492"/>
    <n v="6"/>
    <n v="292.77600000000001"/>
    <s v="4- days"/>
    <n v="4"/>
    <x v="6"/>
  </r>
  <r>
    <s v="CA-2017-161333"/>
    <d v="2017-02-02T00:00:00"/>
    <d v="2017-02-07T00:00:00"/>
    <x v="1"/>
    <s v="JL-15835"/>
    <s v="John Lee"/>
    <x v="0"/>
    <s v="United States"/>
    <s v="Los Angeles"/>
    <s v="California"/>
    <x v="1"/>
    <s v="FUR-FU-10003039"/>
    <s v="Furniture"/>
    <x v="3"/>
    <x v="102"/>
    <n v="86.26"/>
    <n v="2"/>
    <n v="29.328399999999998"/>
    <s v="5- days"/>
    <n v="5"/>
    <x v="11"/>
  </r>
  <r>
    <s v="CA-2017-128734"/>
    <d v="2017-12-24T00:00:00"/>
    <d v="2017-12-31T00:00:00"/>
    <x v="1"/>
    <s v="JL-15175"/>
    <s v="James Lanier"/>
    <x v="2"/>
    <s v="United States"/>
    <s v="Chandler"/>
    <s v="Arizona"/>
    <x v="1"/>
    <s v="FUR-FU-10001731"/>
    <s v="Furniture"/>
    <x v="3"/>
    <x v="317"/>
    <n v="8.5440000000000005"/>
    <n v="4"/>
    <n v="1.9224000000000001"/>
    <s v="7- days"/>
    <n v="7"/>
    <x v="5"/>
  </r>
  <r>
    <s v="CA-2017-128734"/>
    <d v="2017-12-24T00:00:00"/>
    <d v="2017-12-31T00:00:00"/>
    <x v="1"/>
    <s v="JL-15175"/>
    <s v="James Lanier"/>
    <x v="2"/>
    <s v="United States"/>
    <s v="Chandler"/>
    <s v="Arizona"/>
    <x v="1"/>
    <s v="FUR-CH-10001394"/>
    <s v="Furniture"/>
    <x v="1"/>
    <x v="139"/>
    <n v="842.37599999999998"/>
    <n v="3"/>
    <n v="105.297"/>
    <s v="7- days"/>
    <n v="7"/>
    <x v="5"/>
  </r>
  <r>
    <s v="US-2015-124219"/>
    <d v="2015-08-07T00:00:00"/>
    <d v="2015-08-08T00:00:00"/>
    <x v="2"/>
    <s v="KW-16570"/>
    <s v="Kelly Williams"/>
    <x v="0"/>
    <s v="United States"/>
    <s v="Kirkwood"/>
    <s v="Missouri"/>
    <x v="3"/>
    <s v="FUR-FU-10000305"/>
    <s v="Furniture"/>
    <x v="3"/>
    <x v="291"/>
    <n v="212.94"/>
    <n v="3"/>
    <n v="34.070399999999999"/>
    <s v="1- days"/>
    <n v="1"/>
    <x v="10"/>
  </r>
  <r>
    <s v="CA-2017-163006"/>
    <d v="2017-06-30T00:00:00"/>
    <d v="2017-07-04T00:00:00"/>
    <x v="0"/>
    <s v="GH-14410"/>
    <s v="Gary Hansen"/>
    <x v="2"/>
    <s v="United States"/>
    <s v="Chicago"/>
    <s v="Illinois"/>
    <x v="3"/>
    <s v="FUR-CH-10000229"/>
    <s v="Furniture"/>
    <x v="1"/>
    <x v="334"/>
    <n v="569.05799999999999"/>
    <n v="3"/>
    <n v="-178.8468"/>
    <s v="4- days"/>
    <n v="4"/>
    <x v="2"/>
  </r>
  <r>
    <s v="CA-2017-163006"/>
    <d v="2017-06-30T00:00:00"/>
    <d v="2017-07-04T00:00:00"/>
    <x v="0"/>
    <s v="GH-14410"/>
    <s v="Gary Hansen"/>
    <x v="2"/>
    <s v="United States"/>
    <s v="Chicago"/>
    <s v="Illinois"/>
    <x v="3"/>
    <s v="FUR-FU-10003799"/>
    <s v="Furniture"/>
    <x v="3"/>
    <x v="21"/>
    <n v="14.224"/>
    <n v="2"/>
    <n v="-10.3124"/>
    <s v="4- days"/>
    <n v="4"/>
    <x v="2"/>
  </r>
  <r>
    <s v="CA-2014-111192"/>
    <d v="2014-07-30T00:00:00"/>
    <d v="2014-08-05T00:00:00"/>
    <x v="1"/>
    <s v="TS-21430"/>
    <s v="Tom Stivers"/>
    <x v="1"/>
    <s v="United States"/>
    <s v="Seattle"/>
    <s v="Washington"/>
    <x v="1"/>
    <s v="FUR-BO-10002916"/>
    <s v="Furniture"/>
    <x v="0"/>
    <x v="307"/>
    <n v="1367.84"/>
    <n v="8"/>
    <n v="259.88959999999997"/>
    <s v="6- days"/>
    <n v="6"/>
    <x v="3"/>
  </r>
  <r>
    <s v="CA-2016-115378"/>
    <d v="2016-11-18T00:00:00"/>
    <d v="2016-11-23T00:00:00"/>
    <x v="0"/>
    <s v="AJ-10945"/>
    <s v="Ashley Jarboe"/>
    <x v="0"/>
    <s v="United States"/>
    <s v="Taylor"/>
    <s v="Michigan"/>
    <x v="3"/>
    <s v="FUR-CH-10000863"/>
    <s v="Furniture"/>
    <x v="1"/>
    <x v="20"/>
    <n v="301.95999999999998"/>
    <n v="2"/>
    <n v="33.215600000000002"/>
    <s v="5- days"/>
    <n v="5"/>
    <x v="0"/>
  </r>
  <r>
    <s v="CA-2015-161627"/>
    <d v="2015-07-06T00:00:00"/>
    <d v="2015-07-11T00:00:00"/>
    <x v="1"/>
    <s v="SJ-20215"/>
    <s v="Sarah Jordon"/>
    <x v="0"/>
    <s v="United States"/>
    <s v="Pasadena"/>
    <s v="California"/>
    <x v="1"/>
    <s v="FUR-CH-10003968"/>
    <s v="Furniture"/>
    <x v="1"/>
    <x v="13"/>
    <n v="170.352"/>
    <n v="3"/>
    <n v="-17.0352"/>
    <s v="5- days"/>
    <n v="5"/>
    <x v="3"/>
  </r>
  <r>
    <s v="CA-2014-121006"/>
    <d v="2014-11-10T00:00:00"/>
    <d v="2014-11-16T00:00:00"/>
    <x v="1"/>
    <s v="SC-20020"/>
    <s v="Sam Craven"/>
    <x v="0"/>
    <s v="United States"/>
    <s v="Midland"/>
    <s v="Michigan"/>
    <x v="3"/>
    <s v="FUR-CH-10004997"/>
    <s v="Furniture"/>
    <x v="1"/>
    <x v="105"/>
    <n v="563.94000000000005"/>
    <n v="3"/>
    <n v="112.788"/>
    <s v="6- days"/>
    <n v="6"/>
    <x v="0"/>
  </r>
  <r>
    <s v="CA-2016-122903"/>
    <d v="2016-05-27T00:00:00"/>
    <d v="2016-05-29T00:00:00"/>
    <x v="0"/>
    <s v="LA-16780"/>
    <s v="Laura Armstrong"/>
    <x v="1"/>
    <s v="United States"/>
    <s v="Detroit"/>
    <s v="Michigan"/>
    <x v="3"/>
    <s v="FUR-CH-10002024"/>
    <s v="Furniture"/>
    <x v="1"/>
    <x v="101"/>
    <n v="3504.9"/>
    <n v="5"/>
    <n v="700.98"/>
    <s v="2- days"/>
    <n v="2"/>
    <x v="7"/>
  </r>
  <r>
    <s v="CA-2017-106432"/>
    <d v="2017-10-19T00:00:00"/>
    <d v="2017-10-24T00:00:00"/>
    <x v="1"/>
    <s v="CA-12265"/>
    <s v="Christina Anderson"/>
    <x v="0"/>
    <s v="United States"/>
    <s v="Waco"/>
    <s v="Texas"/>
    <x v="3"/>
    <s v="FUR-BO-10004360"/>
    <s v="Furniture"/>
    <x v="0"/>
    <x v="333"/>
    <n v="328.39920000000001"/>
    <n v="3"/>
    <n v="-91.758600000000001"/>
    <s v="5- days"/>
    <n v="5"/>
    <x v="1"/>
  </r>
  <r>
    <s v="US-2015-120502"/>
    <d v="2015-04-13T00:00:00"/>
    <d v="2015-04-19T00:00:00"/>
    <x v="1"/>
    <s v="BT-11395"/>
    <s v="Bill Tyler"/>
    <x v="1"/>
    <s v="United States"/>
    <s v="Los Angeles"/>
    <s v="California"/>
    <x v="1"/>
    <s v="FUR-FU-10004973"/>
    <s v="Furniture"/>
    <x v="3"/>
    <x v="223"/>
    <n v="37.68"/>
    <n v="2"/>
    <n v="15.8256"/>
    <s v="6- days"/>
    <n v="6"/>
    <x v="6"/>
  </r>
  <r>
    <s v="CA-2015-115567"/>
    <d v="2015-09-13T00:00:00"/>
    <d v="2015-09-18T00:00:00"/>
    <x v="1"/>
    <s v="ZC-21910"/>
    <s v="Zuschuss Carroll"/>
    <x v="0"/>
    <s v="United States"/>
    <s v="Columbus"/>
    <s v="Indiana"/>
    <x v="3"/>
    <s v="FUR-CH-10000015"/>
    <s v="Furniture"/>
    <x v="1"/>
    <x v="79"/>
    <n v="1516.2"/>
    <n v="7"/>
    <n v="394.21199999999999"/>
    <s v="5- days"/>
    <n v="5"/>
    <x v="4"/>
  </r>
  <r>
    <s v="CA-2014-101560"/>
    <d v="2014-11-28T00:00:00"/>
    <d v="2014-12-01T00:00:00"/>
    <x v="0"/>
    <s v="CS-12250"/>
    <s v="Chris Selesnick"/>
    <x v="1"/>
    <s v="United States"/>
    <s v="Columbia"/>
    <s v="South Carolina"/>
    <x v="0"/>
    <s v="FUR-FU-10003773"/>
    <s v="Furniture"/>
    <x v="3"/>
    <x v="30"/>
    <n v="397.6"/>
    <n v="5"/>
    <n v="43.735999999999997"/>
    <s v="3- days"/>
    <n v="3"/>
    <x v="0"/>
  </r>
  <r>
    <s v="CA-2015-142454"/>
    <d v="2015-08-15T00:00:00"/>
    <d v="2015-08-19T00:00:00"/>
    <x v="1"/>
    <s v="RE-19450"/>
    <s v="Richard Eichhorn"/>
    <x v="0"/>
    <s v="United States"/>
    <s v="Oakland"/>
    <s v="California"/>
    <x v="1"/>
    <s v="FUR-FU-10004018"/>
    <s v="Furniture"/>
    <x v="3"/>
    <x v="188"/>
    <n v="104.23"/>
    <n v="7"/>
    <n v="28.142099999999999"/>
    <s v="4- days"/>
    <n v="4"/>
    <x v="10"/>
  </r>
  <r>
    <s v="CA-2017-145653"/>
    <d v="2017-09-01T00:00:00"/>
    <d v="2017-09-01T00:00:00"/>
    <x v="3"/>
    <s v="CA-12775"/>
    <s v="Cynthia Arntzen"/>
    <x v="0"/>
    <s v="United States"/>
    <s v="Detroit"/>
    <s v="Michigan"/>
    <x v="3"/>
    <s v="FUR-CH-10004875"/>
    <s v="Furniture"/>
    <x v="1"/>
    <x v="290"/>
    <n v="498.26"/>
    <n v="7"/>
    <n v="134.53020000000001"/>
    <s v="0- days"/>
    <n v="0"/>
    <x v="4"/>
  </r>
  <r>
    <s v="CA-2014-140487"/>
    <d v="2014-06-14T00:00:00"/>
    <d v="2014-06-20T00:00:00"/>
    <x v="1"/>
    <s v="SR-20425"/>
    <s v="Sharelle Roach"/>
    <x v="2"/>
    <s v="United States"/>
    <s v="Detroit"/>
    <s v="Michigan"/>
    <x v="3"/>
    <s v="FUR-BO-10000711"/>
    <s v="Furniture"/>
    <x v="0"/>
    <x v="332"/>
    <n v="212.94"/>
    <n v="3"/>
    <n v="57.4938"/>
    <s v="6- days"/>
    <n v="6"/>
    <x v="2"/>
  </r>
  <r>
    <s v="CA-2016-119865"/>
    <d v="2016-06-21T00:00:00"/>
    <d v="2016-06-26T00:00:00"/>
    <x v="1"/>
    <s v="AS-10090"/>
    <s v="Adam Shillingsburg"/>
    <x v="0"/>
    <s v="United States"/>
    <s v="New York City"/>
    <s v="New York"/>
    <x v="2"/>
    <s v="FUR-BO-10003272"/>
    <s v="Furniture"/>
    <x v="0"/>
    <x v="122"/>
    <n v="353.56799999999998"/>
    <n v="2"/>
    <n v="-44.195999999999998"/>
    <s v="5- days"/>
    <n v="5"/>
    <x v="2"/>
  </r>
  <r>
    <s v="CA-2017-124436"/>
    <d v="2017-03-19T00:00:00"/>
    <d v="2017-03-22T00:00:00"/>
    <x v="0"/>
    <s v="SA-20830"/>
    <s v="Sue Ann Reed"/>
    <x v="0"/>
    <s v="United States"/>
    <s v="Fresno"/>
    <s v="California"/>
    <x v="1"/>
    <s v="FUR-TA-10001095"/>
    <s v="Furniture"/>
    <x v="2"/>
    <x v="129"/>
    <n v="697.16"/>
    <n v="5"/>
    <n v="8.7144999999999992"/>
    <s v="3- days"/>
    <n v="3"/>
    <x v="9"/>
  </r>
  <r>
    <s v="CA-2017-124436"/>
    <d v="2017-03-19T00:00:00"/>
    <d v="2017-03-22T00:00:00"/>
    <x v="0"/>
    <s v="SA-20830"/>
    <s v="Sue Ann Reed"/>
    <x v="0"/>
    <s v="United States"/>
    <s v="Fresno"/>
    <s v="California"/>
    <x v="1"/>
    <s v="FUR-FU-10001185"/>
    <s v="Furniture"/>
    <x v="3"/>
    <x v="281"/>
    <n v="30.93"/>
    <n v="1"/>
    <n v="12.6813"/>
    <s v="3- days"/>
    <n v="3"/>
    <x v="9"/>
  </r>
  <r>
    <s v="CA-2014-115084"/>
    <d v="2014-10-18T00:00:00"/>
    <d v="2014-10-22T00:00:00"/>
    <x v="1"/>
    <s v="LS-17200"/>
    <s v="Luke Schmidt"/>
    <x v="1"/>
    <s v="United States"/>
    <s v="Texarkana"/>
    <s v="Arkansas"/>
    <x v="0"/>
    <s v="FUR-CH-10004626"/>
    <s v="Furniture"/>
    <x v="1"/>
    <x v="353"/>
    <n v="605.34"/>
    <n v="6"/>
    <n v="145.2816"/>
    <s v="4- days"/>
    <n v="4"/>
    <x v="1"/>
  </r>
  <r>
    <s v="CA-2017-131037"/>
    <d v="2017-08-22T00:00:00"/>
    <d v="2017-08-23T00:00:00"/>
    <x v="2"/>
    <s v="TM-21490"/>
    <s v="Tony Molinari"/>
    <x v="0"/>
    <s v="United States"/>
    <s v="San Francisco"/>
    <s v="California"/>
    <x v="1"/>
    <s v="FUR-TA-10001768"/>
    <s v="Furniture"/>
    <x v="2"/>
    <x v="25"/>
    <n v="210.00800000000001"/>
    <n v="1"/>
    <n v="2.6251000000000002"/>
    <s v="1- days"/>
    <n v="1"/>
    <x v="10"/>
  </r>
  <r>
    <s v="CA-2014-166744"/>
    <d v="2014-09-20T00:00:00"/>
    <d v="2014-09-24T00:00:00"/>
    <x v="1"/>
    <s v="DN-13690"/>
    <s v="Duane Noonan"/>
    <x v="0"/>
    <s v="United States"/>
    <s v="Columbia"/>
    <s v="Maryland"/>
    <x v="2"/>
    <s v="FUR-FU-10004952"/>
    <s v="Furniture"/>
    <x v="3"/>
    <x v="169"/>
    <n v="164.22"/>
    <n v="3"/>
    <n v="50.908200000000001"/>
    <s v="4- days"/>
    <n v="4"/>
    <x v="4"/>
  </r>
  <r>
    <s v="CA-2014-166744"/>
    <d v="2014-09-20T00:00:00"/>
    <d v="2014-09-24T00:00:00"/>
    <x v="1"/>
    <s v="DN-13690"/>
    <s v="Duane Noonan"/>
    <x v="0"/>
    <s v="United States"/>
    <s v="Columbia"/>
    <s v="Maryland"/>
    <x v="2"/>
    <s v="FUR-BO-10001337"/>
    <s v="Furniture"/>
    <x v="0"/>
    <x v="90"/>
    <n v="362.94"/>
    <n v="3"/>
    <n v="36.293999999999997"/>
    <s v="4- days"/>
    <n v="4"/>
    <x v="4"/>
  </r>
  <r>
    <s v="CA-2016-156265"/>
    <d v="2016-08-02T00:00:00"/>
    <d v="2016-08-04T00:00:00"/>
    <x v="0"/>
    <s v="BF-11020"/>
    <s v="Barry Franzšsisch"/>
    <x v="1"/>
    <s v="United States"/>
    <s v="Los Angeles"/>
    <s v="California"/>
    <x v="1"/>
    <s v="FUR-TA-10001691"/>
    <s v="Furniture"/>
    <x v="2"/>
    <x v="355"/>
    <n v="136.464"/>
    <n v="2"/>
    <n v="15.3522"/>
    <s v="2- days"/>
    <n v="2"/>
    <x v="10"/>
  </r>
  <r>
    <s v="CA-2015-125185"/>
    <d v="2015-03-05T00:00:00"/>
    <d v="2015-03-07T00:00:00"/>
    <x v="0"/>
    <s v="AH-10195"/>
    <s v="Alan Haines"/>
    <x v="1"/>
    <s v="United States"/>
    <s v="Bethlehem"/>
    <s v="Pennsylvania"/>
    <x v="2"/>
    <s v="FUR-CH-10002647"/>
    <s v="Furniture"/>
    <x v="1"/>
    <x v="99"/>
    <n v="99.372"/>
    <n v="2"/>
    <n v="-7.0979999999999999"/>
    <s v="2- days"/>
    <n v="2"/>
    <x v="9"/>
  </r>
  <r>
    <s v="CA-2015-125185"/>
    <d v="2015-03-05T00:00:00"/>
    <d v="2015-03-07T00:00:00"/>
    <x v="0"/>
    <s v="AH-10195"/>
    <s v="Alan Haines"/>
    <x v="1"/>
    <s v="United States"/>
    <s v="Bethlehem"/>
    <s v="Pennsylvania"/>
    <x v="2"/>
    <s v="FUR-FU-10003247"/>
    <s v="Furniture"/>
    <x v="3"/>
    <x v="298"/>
    <n v="33.567999999999998"/>
    <n v="2"/>
    <n v="-5.4547999999999996"/>
    <s v="2- days"/>
    <n v="2"/>
    <x v="9"/>
  </r>
  <r>
    <s v="CA-2014-105165"/>
    <d v="2014-09-07T00:00:00"/>
    <d v="2014-09-10T00:00:00"/>
    <x v="2"/>
    <s v="SZ-20035"/>
    <s v="Sam Zeldin"/>
    <x v="2"/>
    <s v="United States"/>
    <s v="Houston"/>
    <s v="Texas"/>
    <x v="3"/>
    <s v="FUR-TA-10004154"/>
    <s v="Furniture"/>
    <x v="2"/>
    <x v="149"/>
    <n v="200.79499999999999"/>
    <n v="1"/>
    <n v="-22.948"/>
    <s v="3- days"/>
    <n v="3"/>
    <x v="4"/>
  </r>
  <r>
    <s v="CA-2017-144484"/>
    <d v="2017-09-11T00:00:00"/>
    <d v="2017-09-11T00:00:00"/>
    <x v="3"/>
    <s v="CB-12025"/>
    <s v="Cassandra Brandow"/>
    <x v="0"/>
    <s v="United States"/>
    <s v="San Francisco"/>
    <s v="California"/>
    <x v="1"/>
    <s v="FUR-FU-10000260"/>
    <s v="Furniture"/>
    <x v="3"/>
    <x v="18"/>
    <n v="32.36"/>
    <n v="4"/>
    <n v="11.6496"/>
    <s v="0- days"/>
    <n v="0"/>
    <x v="4"/>
  </r>
  <r>
    <s v="CA-2017-125913"/>
    <d v="2017-01-16T00:00:00"/>
    <d v="2017-01-16T00:00:00"/>
    <x v="3"/>
    <s v="JO-15145"/>
    <s v="Jack O'Briant"/>
    <x v="1"/>
    <s v="United States"/>
    <s v="Los Angeles"/>
    <s v="California"/>
    <x v="1"/>
    <s v="FUR-FU-10001487"/>
    <s v="Furniture"/>
    <x v="3"/>
    <x v="3"/>
    <n v="27.92"/>
    <n v="4"/>
    <n v="8.0968"/>
    <s v="0- days"/>
    <n v="0"/>
    <x v="8"/>
  </r>
  <r>
    <s v="CA-2017-125913"/>
    <d v="2017-01-16T00:00:00"/>
    <d v="2017-01-16T00:00:00"/>
    <x v="3"/>
    <s v="JO-15145"/>
    <s v="Jack O'Briant"/>
    <x v="1"/>
    <s v="United States"/>
    <s v="Los Angeles"/>
    <s v="California"/>
    <x v="1"/>
    <s v="FUR-TA-10001520"/>
    <s v="Furniture"/>
    <x v="2"/>
    <x v="146"/>
    <n v="399.67200000000003"/>
    <n v="7"/>
    <n v="-14.9877"/>
    <s v="0- days"/>
    <n v="0"/>
    <x v="8"/>
  </r>
  <r>
    <s v="CA-2015-162887"/>
    <d v="2015-11-07T00:00:00"/>
    <d v="2015-11-09T00:00:00"/>
    <x v="0"/>
    <s v="SV-20785"/>
    <s v="Stewart Visinsky"/>
    <x v="0"/>
    <s v="United States"/>
    <s v="Burlington"/>
    <s v="Vermont"/>
    <x v="2"/>
    <s v="FUR-CH-10000595"/>
    <s v="Furniture"/>
    <x v="1"/>
    <x v="97"/>
    <n v="715.2"/>
    <n v="3"/>
    <n v="178.8"/>
    <s v="2- days"/>
    <n v="2"/>
    <x v="0"/>
  </r>
  <r>
    <s v="CA-2014-113859"/>
    <d v="2014-09-13T00:00:00"/>
    <d v="2014-09-17T00:00:00"/>
    <x v="1"/>
    <s v="BC-11125"/>
    <s v="Becky Castell"/>
    <x v="2"/>
    <s v="United States"/>
    <s v="Odessa"/>
    <s v="Texas"/>
    <x v="3"/>
    <s v="FUR-CH-10004698"/>
    <s v="Furniture"/>
    <x v="1"/>
    <x v="34"/>
    <n v="340.11599999999999"/>
    <n v="6"/>
    <n v="-9.7175999999999991"/>
    <s v="4- days"/>
    <n v="4"/>
    <x v="4"/>
  </r>
  <r>
    <s v="CA-2015-105158"/>
    <d v="2015-09-05T00:00:00"/>
    <d v="2015-09-10T00:00:00"/>
    <x v="1"/>
    <s v="SP-20860"/>
    <s v="Sung Pak"/>
    <x v="1"/>
    <s v="United States"/>
    <s v="Rochester"/>
    <s v="Minnesota"/>
    <x v="3"/>
    <s v="FUR-FU-10001706"/>
    <s v="Furniture"/>
    <x v="3"/>
    <x v="11"/>
    <n v="6.16"/>
    <n v="2"/>
    <n v="2.9567999999999999"/>
    <s v="5- days"/>
    <n v="5"/>
    <x v="4"/>
  </r>
  <r>
    <s v="CA-2017-105991"/>
    <d v="2017-05-05T00:00:00"/>
    <d v="2017-05-06T00:00:00"/>
    <x v="2"/>
    <s v="LH-17020"/>
    <s v="Lisa Hazard"/>
    <x v="0"/>
    <s v="United States"/>
    <s v="Louisville"/>
    <s v="Colorado"/>
    <x v="1"/>
    <s v="FUR-BO-10004467"/>
    <s v="Furniture"/>
    <x v="0"/>
    <x v="179"/>
    <n v="89.991"/>
    <n v="3"/>
    <n v="-152.9847"/>
    <s v="1- days"/>
    <n v="1"/>
    <x v="7"/>
  </r>
  <r>
    <s v="CA-2014-146283"/>
    <d v="2014-09-08T00:00:00"/>
    <d v="2014-09-15T00:00:00"/>
    <x v="1"/>
    <s v="KT-16465"/>
    <s v="Kean Takahito"/>
    <x v="0"/>
    <s v="United States"/>
    <s v="Houston"/>
    <s v="Texas"/>
    <x v="3"/>
    <s v="FUR-CH-10004287"/>
    <s v="Furniture"/>
    <x v="1"/>
    <x v="32"/>
    <n v="966.7"/>
    <n v="5"/>
    <n v="-13.81"/>
    <s v="7- days"/>
    <n v="7"/>
    <x v="4"/>
  </r>
  <r>
    <s v="CA-2015-111073"/>
    <d v="2015-12-26T00:00:00"/>
    <d v="2015-12-30T00:00:00"/>
    <x v="1"/>
    <s v="MC-18100"/>
    <s v="Mick Crebagga"/>
    <x v="0"/>
    <s v="United States"/>
    <s v="Medina"/>
    <s v="Ohio"/>
    <x v="2"/>
    <s v="FUR-TA-10004086"/>
    <s v="Furniture"/>
    <x v="2"/>
    <x v="165"/>
    <n v="51.588000000000001"/>
    <n v="1"/>
    <n v="-15.4764"/>
    <s v="4- days"/>
    <n v="4"/>
    <x v="5"/>
  </r>
  <r>
    <s v="CA-2017-108791"/>
    <d v="2017-07-27T00:00:00"/>
    <d v="2017-07-31T00:00:00"/>
    <x v="1"/>
    <s v="TM-21490"/>
    <s v="Tony Molinari"/>
    <x v="0"/>
    <s v="United States"/>
    <s v="Yonkers"/>
    <s v="New York"/>
    <x v="2"/>
    <s v="FUR-FU-10004018"/>
    <s v="Furniture"/>
    <x v="3"/>
    <x v="188"/>
    <n v="14.89"/>
    <n v="1"/>
    <n v="4.0202999999999998"/>
    <s v="4- days"/>
    <n v="4"/>
    <x v="3"/>
  </r>
  <r>
    <s v="CA-2016-113831"/>
    <d v="2016-05-30T00:00:00"/>
    <d v="2016-06-03T00:00:00"/>
    <x v="1"/>
    <s v="AH-10690"/>
    <s v="Anna HŠberlin"/>
    <x v="1"/>
    <s v="United States"/>
    <s v="Springfield"/>
    <s v="Virginia"/>
    <x v="0"/>
    <s v="FUR-TA-10002645"/>
    <s v="Furniture"/>
    <x v="2"/>
    <x v="259"/>
    <n v="2275.5"/>
    <n v="10"/>
    <n v="386.83499999999998"/>
    <s v="4- days"/>
    <n v="4"/>
    <x v="7"/>
  </r>
  <r>
    <s v="US-2014-139500"/>
    <d v="2014-11-16T00:00:00"/>
    <d v="2014-11-20T00:00:00"/>
    <x v="1"/>
    <s v="AB-10165"/>
    <s v="Alan Barnes"/>
    <x v="0"/>
    <s v="United States"/>
    <s v="Decatur"/>
    <s v="Illinois"/>
    <x v="3"/>
    <s v="FUR-CH-10002017"/>
    <s v="Furniture"/>
    <x v="1"/>
    <x v="274"/>
    <n v="37.295999999999999"/>
    <n v="2"/>
    <n v="-1.0656000000000001"/>
    <s v="4- days"/>
    <n v="4"/>
    <x v="0"/>
  </r>
  <r>
    <s v="US-2014-166310"/>
    <d v="2014-09-21T00:00:00"/>
    <d v="2014-09-23T00:00:00"/>
    <x v="2"/>
    <s v="JS-15940"/>
    <s v="Joni Sundaresam"/>
    <x v="2"/>
    <s v="United States"/>
    <s v="Garland"/>
    <s v="Texas"/>
    <x v="3"/>
    <s v="FUR-FU-10001546"/>
    <s v="Furniture"/>
    <x v="3"/>
    <x v="284"/>
    <n v="8.5440000000000005"/>
    <n v="2"/>
    <n v="-7.476"/>
    <s v="2- days"/>
    <n v="2"/>
    <x v="4"/>
  </r>
  <r>
    <s v="US-2016-168410"/>
    <d v="2016-02-21T00:00:00"/>
    <d v="2016-02-26T00:00:00"/>
    <x v="1"/>
    <s v="BV-11245"/>
    <s v="Benjamin Venier"/>
    <x v="1"/>
    <s v="United States"/>
    <s v="Oceanside"/>
    <s v="New York"/>
    <x v="2"/>
    <s v="FUR-FU-10000629"/>
    <s v="Furniture"/>
    <x v="3"/>
    <x v="22"/>
    <n v="68.95"/>
    <n v="5"/>
    <n v="28.959"/>
    <s v="5- days"/>
    <n v="5"/>
    <x v="11"/>
  </r>
  <r>
    <s v="CA-2017-131254"/>
    <d v="2017-11-19T00:00:00"/>
    <d v="2017-11-21T00:00:00"/>
    <x v="2"/>
    <s v="NC-18415"/>
    <s v="Nathan Cano"/>
    <x v="0"/>
    <s v="United States"/>
    <s v="Houston"/>
    <s v="Texas"/>
    <x v="3"/>
    <s v="FUR-CH-10003774"/>
    <s v="Furniture"/>
    <x v="1"/>
    <x v="234"/>
    <n v="191.05799999999999"/>
    <n v="3"/>
    <n v="-46.399799999999999"/>
    <s v="2- days"/>
    <n v="2"/>
    <x v="0"/>
  </r>
  <r>
    <s v="CA-2017-137876"/>
    <d v="2017-04-30T00:00:00"/>
    <d v="2017-05-05T00:00:00"/>
    <x v="1"/>
    <s v="DJ-13510"/>
    <s v="Don Jones"/>
    <x v="1"/>
    <s v="United States"/>
    <s v="San Francisco"/>
    <s v="California"/>
    <x v="1"/>
    <s v="FUR-FU-10000222"/>
    <s v="Furniture"/>
    <x v="3"/>
    <x v="125"/>
    <n v="64.959999999999994"/>
    <n v="2"/>
    <n v="21.436800000000002"/>
    <s v="5- days"/>
    <n v="5"/>
    <x v="6"/>
  </r>
  <r>
    <s v="CA-2016-154060"/>
    <d v="2016-05-02T00:00:00"/>
    <d v="2016-05-08T00:00:00"/>
    <x v="1"/>
    <s v="DL-12865"/>
    <s v="Dan Lawera"/>
    <x v="0"/>
    <s v="United States"/>
    <s v="Greensboro"/>
    <s v="North Carolina"/>
    <x v="0"/>
    <s v="FUR-CH-10002304"/>
    <s v="Furniture"/>
    <x v="1"/>
    <x v="158"/>
    <n v="187.05600000000001"/>
    <n v="9"/>
    <n v="11.691000000000001"/>
    <s v="6- days"/>
    <n v="6"/>
    <x v="7"/>
  </r>
  <r>
    <s v="US-2017-162558"/>
    <d v="2017-10-02T00:00:00"/>
    <d v="2017-10-05T00:00:00"/>
    <x v="2"/>
    <s v="Dp-13240"/>
    <s v="Dean percer"/>
    <x v="2"/>
    <s v="United States"/>
    <s v="Knoxville"/>
    <s v="Tennessee"/>
    <x v="0"/>
    <s v="FUR-FU-10002364"/>
    <s v="Furniture"/>
    <x v="3"/>
    <x v="242"/>
    <n v="11.808"/>
    <n v="2"/>
    <n v="1.3284"/>
    <s v="3- days"/>
    <n v="3"/>
    <x v="1"/>
  </r>
  <r>
    <s v="US-2017-162558"/>
    <d v="2017-10-02T00:00:00"/>
    <d v="2017-10-05T00:00:00"/>
    <x v="2"/>
    <s v="Dp-13240"/>
    <s v="Dean percer"/>
    <x v="2"/>
    <s v="United States"/>
    <s v="Knoxville"/>
    <s v="Tennessee"/>
    <x v="0"/>
    <s v="FUR-FU-10004864"/>
    <s v="Furniture"/>
    <x v="3"/>
    <x v="356"/>
    <n v="9.6560000000000006"/>
    <n v="1"/>
    <n v="1.5690999999999999"/>
    <s v="3- days"/>
    <n v="3"/>
    <x v="1"/>
  </r>
  <r>
    <s v="US-2017-162558"/>
    <d v="2017-10-02T00:00:00"/>
    <d v="2017-10-05T00:00:00"/>
    <x v="2"/>
    <s v="Dp-13240"/>
    <s v="Dean percer"/>
    <x v="2"/>
    <s v="United States"/>
    <s v="Knoxville"/>
    <s v="Tennessee"/>
    <x v="0"/>
    <s v="FUR-TA-10000198"/>
    <s v="Furniture"/>
    <x v="2"/>
    <x v="124"/>
    <n v="2314.116"/>
    <n v="7"/>
    <n v="-1002.7836"/>
    <s v="3- days"/>
    <n v="3"/>
    <x v="1"/>
  </r>
  <r>
    <s v="US-2017-162558"/>
    <d v="2017-10-02T00:00:00"/>
    <d v="2017-10-05T00:00:00"/>
    <x v="2"/>
    <s v="Dp-13240"/>
    <s v="Dean percer"/>
    <x v="2"/>
    <s v="United States"/>
    <s v="Knoxville"/>
    <s v="Tennessee"/>
    <x v="0"/>
    <s v="FUR-FU-10003691"/>
    <s v="Furniture"/>
    <x v="3"/>
    <x v="177"/>
    <n v="19.760000000000002"/>
    <n v="2"/>
    <n v="5.9279999999999999"/>
    <s v="3- days"/>
    <n v="3"/>
    <x v="1"/>
  </r>
  <r>
    <s v="CA-2015-119508"/>
    <d v="2015-12-04T00:00:00"/>
    <d v="2015-12-09T00:00:00"/>
    <x v="1"/>
    <s v="TZ-21580"/>
    <s v="Tracy Zic"/>
    <x v="0"/>
    <s v="United States"/>
    <s v="Lakewood"/>
    <s v="California"/>
    <x v="1"/>
    <s v="FUR-FU-10004270"/>
    <s v="Furniture"/>
    <x v="3"/>
    <x v="200"/>
    <n v="25.08"/>
    <n v="6"/>
    <n v="9.0288000000000004"/>
    <s v="5- days"/>
    <n v="5"/>
    <x v="5"/>
  </r>
  <r>
    <s v="CA-2016-123120"/>
    <d v="2016-09-04T00:00:00"/>
    <d v="2016-09-08T00:00:00"/>
    <x v="1"/>
    <s v="CV-12295"/>
    <s v="Christina VanderZanden"/>
    <x v="0"/>
    <s v="United States"/>
    <s v="New York City"/>
    <s v="New York"/>
    <x v="2"/>
    <s v="FUR-FU-10004748"/>
    <s v="Furniture"/>
    <x v="3"/>
    <x v="245"/>
    <n v="63.94"/>
    <n v="1"/>
    <n v="24.936599999999999"/>
    <s v="4- days"/>
    <n v="4"/>
    <x v="4"/>
  </r>
  <r>
    <s v="CA-2014-103331"/>
    <d v="2014-08-26T00:00:00"/>
    <d v="2014-09-01T00:00:00"/>
    <x v="1"/>
    <s v="KB-16315"/>
    <s v="Karl Braun"/>
    <x v="0"/>
    <s v="United States"/>
    <s v="Newark"/>
    <s v="Delaware"/>
    <x v="2"/>
    <s v="FUR-FU-10001731"/>
    <s v="Furniture"/>
    <x v="3"/>
    <x v="317"/>
    <n v="10.68"/>
    <n v="4"/>
    <n v="4.0583999999999998"/>
    <s v="6- days"/>
    <n v="6"/>
    <x v="10"/>
  </r>
  <r>
    <s v="CA-2014-113768"/>
    <d v="2014-05-13T00:00:00"/>
    <d v="2014-05-19T00:00:00"/>
    <x v="1"/>
    <s v="AH-10030"/>
    <s v="Aaron Hawkins"/>
    <x v="1"/>
    <s v="United States"/>
    <s v="Los Angeles"/>
    <s v="California"/>
    <x v="1"/>
    <s v="FUR-CH-10002439"/>
    <s v="Furniture"/>
    <x v="1"/>
    <x v="260"/>
    <n v="279.45600000000002"/>
    <n v="6"/>
    <n v="20.959199999999999"/>
    <s v="6- days"/>
    <n v="6"/>
    <x v="7"/>
  </r>
  <r>
    <s v="US-2017-126060"/>
    <d v="2017-04-14T00:00:00"/>
    <d v="2017-04-18T00:00:00"/>
    <x v="1"/>
    <s v="DW-13585"/>
    <s v="Dorothy Wardle"/>
    <x v="1"/>
    <s v="United States"/>
    <s v="Fayetteville"/>
    <s v="North Carolina"/>
    <x v="0"/>
    <s v="FUR-BO-10003433"/>
    <s v="Furniture"/>
    <x v="0"/>
    <x v="184"/>
    <n v="198.27199999999999"/>
    <n v="8"/>
    <n v="-32.219200000000001"/>
    <s v="4- days"/>
    <n v="4"/>
    <x v="6"/>
  </r>
  <r>
    <s v="CA-2016-122017"/>
    <d v="2016-12-29T00:00:00"/>
    <d v="2017-01-02T00:00:00"/>
    <x v="1"/>
    <s v="CD-11920"/>
    <s v="Carlos Daly"/>
    <x v="0"/>
    <s v="United States"/>
    <s v="Wichita"/>
    <s v="Kansas"/>
    <x v="3"/>
    <s v="FUR-FU-10000672"/>
    <s v="Furniture"/>
    <x v="3"/>
    <x v="309"/>
    <n v="70.56"/>
    <n v="6"/>
    <n v="23.990400000000001"/>
    <s v="4- days"/>
    <n v="4"/>
    <x v="5"/>
  </r>
  <r>
    <s v="US-2017-136721"/>
    <d v="2017-04-08T00:00:00"/>
    <d v="2017-04-12T00:00:00"/>
    <x v="1"/>
    <s v="NH-18610"/>
    <s v="Nicole Hansen"/>
    <x v="1"/>
    <s v="United States"/>
    <s v="Oak Park"/>
    <s v="Michigan"/>
    <x v="3"/>
    <s v="FUR-FU-10004665"/>
    <s v="Furniture"/>
    <x v="3"/>
    <x v="266"/>
    <n v="273.95999999999998"/>
    <n v="2"/>
    <n v="71.229600000000005"/>
    <s v="4- days"/>
    <n v="4"/>
    <x v="6"/>
  </r>
  <r>
    <s v="US-2017-136721"/>
    <d v="2017-04-08T00:00:00"/>
    <d v="2017-04-12T00:00:00"/>
    <x v="1"/>
    <s v="NH-18610"/>
    <s v="Nicole Hansen"/>
    <x v="1"/>
    <s v="United States"/>
    <s v="Oak Park"/>
    <s v="Michigan"/>
    <x v="3"/>
    <s v="FUR-FU-10004188"/>
    <s v="Furniture"/>
    <x v="3"/>
    <x v="150"/>
    <n v="306.89999999999998"/>
    <n v="3"/>
    <n v="79.793999999999997"/>
    <s v="4- days"/>
    <n v="4"/>
    <x v="6"/>
  </r>
  <r>
    <s v="CA-2015-118738"/>
    <d v="2015-10-24T00:00:00"/>
    <d v="2015-10-30T00:00:00"/>
    <x v="1"/>
    <s v="AG-10495"/>
    <s v="Andrew Gjertsen"/>
    <x v="1"/>
    <s v="United States"/>
    <s v="Houston"/>
    <s v="Texas"/>
    <x v="3"/>
    <s v="FUR-TA-10002607"/>
    <s v="Furniture"/>
    <x v="2"/>
    <x v="48"/>
    <n v="347.36099999999999"/>
    <n v="7"/>
    <n v="-69.472200000000001"/>
    <s v="6- days"/>
    <n v="6"/>
    <x v="1"/>
  </r>
  <r>
    <s v="US-2014-123183"/>
    <d v="2014-11-19T00:00:00"/>
    <d v="2014-11-25T00:00:00"/>
    <x v="1"/>
    <s v="GR-14560"/>
    <s v="Georgia Rosenberg"/>
    <x v="1"/>
    <s v="United States"/>
    <s v="Wilmington"/>
    <s v="Delaware"/>
    <x v="2"/>
    <s v="FUR-BO-10000362"/>
    <s v="Furniture"/>
    <x v="0"/>
    <x v="203"/>
    <n v="1025.8800000000001"/>
    <n v="6"/>
    <n v="235.95240000000001"/>
    <s v="6- days"/>
    <n v="6"/>
    <x v="0"/>
  </r>
  <r>
    <s v="US-2016-147340"/>
    <d v="2016-09-24T00:00:00"/>
    <d v="2016-09-24T00:00:00"/>
    <x v="3"/>
    <s v="EB-13750"/>
    <s v="Edward Becker"/>
    <x v="1"/>
    <s v="United States"/>
    <s v="San Francisco"/>
    <s v="California"/>
    <x v="1"/>
    <s v="FUR-FU-10002501"/>
    <s v="Furniture"/>
    <x v="3"/>
    <x v="254"/>
    <n v="63.2"/>
    <n v="5"/>
    <n v="23.384"/>
    <s v="0- days"/>
    <n v="0"/>
    <x v="4"/>
  </r>
  <r>
    <s v="CA-2016-117681"/>
    <d v="2016-04-09T00:00:00"/>
    <d v="2016-04-14T00:00:00"/>
    <x v="1"/>
    <s v="HF-14995"/>
    <s v="Herbert Flentye"/>
    <x v="0"/>
    <s v="United States"/>
    <s v="Los Angeles"/>
    <s v="California"/>
    <x v="1"/>
    <s v="FUR-BO-10001798"/>
    <s v="Furniture"/>
    <x v="0"/>
    <x v="0"/>
    <n v="556.66499999999996"/>
    <n v="5"/>
    <n v="6.5490000000000004"/>
    <s v="5- days"/>
    <n v="5"/>
    <x v="6"/>
  </r>
  <r>
    <s v="CA-2016-153598"/>
    <d v="2016-12-03T00:00:00"/>
    <d v="2016-12-06T00:00:00"/>
    <x v="2"/>
    <s v="NM-18520"/>
    <s v="Neoma Murray"/>
    <x v="0"/>
    <s v="United States"/>
    <s v="Los Angeles"/>
    <s v="California"/>
    <x v="1"/>
    <s v="FUR-FU-10001085"/>
    <s v="Furniture"/>
    <x v="3"/>
    <x v="328"/>
    <n v="111.9"/>
    <n v="6"/>
    <n v="51.473999999999997"/>
    <s v="3- days"/>
    <n v="3"/>
    <x v="5"/>
  </r>
  <r>
    <s v="US-2016-108497"/>
    <d v="2016-06-14T00:00:00"/>
    <d v="2016-06-14T00:00:00"/>
    <x v="3"/>
    <s v="MH-17290"/>
    <s v="Marc Harrigan"/>
    <x v="2"/>
    <s v="United States"/>
    <s v="Los Angeles"/>
    <s v="California"/>
    <x v="1"/>
    <s v="FUR-BO-10004218"/>
    <s v="Furniture"/>
    <x v="0"/>
    <x v="327"/>
    <n v="599.16499999999996"/>
    <n v="5"/>
    <n v="35.244999999999997"/>
    <s v="0- days"/>
    <n v="0"/>
    <x v="2"/>
  </r>
  <r>
    <s v="CA-2014-136861"/>
    <d v="2014-09-05T00:00:00"/>
    <d v="2014-09-07T00:00:00"/>
    <x v="2"/>
    <s v="PR-18880"/>
    <s v="Patrick Ryan"/>
    <x v="0"/>
    <s v="United States"/>
    <s v="Saint Petersburg"/>
    <s v="Florida"/>
    <x v="0"/>
    <s v="FUR-FU-10001967"/>
    <s v="Furniture"/>
    <x v="3"/>
    <x v="65"/>
    <n v="31.984000000000002"/>
    <n v="2"/>
    <n v="1.9990000000000001"/>
    <s v="2- days"/>
    <n v="2"/>
    <x v="4"/>
  </r>
  <r>
    <s v="CA-2014-103317"/>
    <d v="2014-07-05T00:00:00"/>
    <d v="2014-07-08T00:00:00"/>
    <x v="2"/>
    <s v="DM-13525"/>
    <s v="Don Miller"/>
    <x v="1"/>
    <s v="United States"/>
    <s v="Palm Coast"/>
    <s v="Florida"/>
    <x v="0"/>
    <s v="FUR-FU-10001591"/>
    <s v="Furniture"/>
    <x v="3"/>
    <x v="215"/>
    <n v="19.52"/>
    <n v="2"/>
    <n v="5.3680000000000003"/>
    <s v="3- days"/>
    <n v="3"/>
    <x v="3"/>
  </r>
  <r>
    <s v="CA-2014-103317"/>
    <d v="2014-07-05T00:00:00"/>
    <d v="2014-07-08T00:00:00"/>
    <x v="2"/>
    <s v="DM-13525"/>
    <s v="Don Miller"/>
    <x v="1"/>
    <s v="United States"/>
    <s v="Palm Coast"/>
    <s v="Florida"/>
    <x v="0"/>
    <s v="FUR-FU-10003192"/>
    <s v="Furniture"/>
    <x v="3"/>
    <x v="357"/>
    <n v="213.21600000000001"/>
    <n v="3"/>
    <n v="15.991199999999999"/>
    <s v="3- days"/>
    <n v="3"/>
    <x v="3"/>
  </r>
  <r>
    <s v="US-2014-119081"/>
    <d v="2014-09-12T00:00:00"/>
    <d v="2014-09-19T00:00:00"/>
    <x v="1"/>
    <s v="TA-21385"/>
    <s v="Tom Ashbrook"/>
    <x v="2"/>
    <s v="United States"/>
    <s v="Olathe"/>
    <s v="Kansas"/>
    <x v="3"/>
    <s v="FUR-FU-10003464"/>
    <s v="Furniture"/>
    <x v="3"/>
    <x v="302"/>
    <n v="40.56"/>
    <n v="2"/>
    <n v="12.979200000000001"/>
    <s v="7- days"/>
    <n v="7"/>
    <x v="4"/>
  </r>
  <r>
    <s v="CA-2017-130631"/>
    <d v="2017-12-29T00:00:00"/>
    <d v="2018-01-02T00:00:00"/>
    <x v="1"/>
    <s v="BS-11755"/>
    <s v="Bruce Stewart"/>
    <x v="0"/>
    <s v="United States"/>
    <s v="Edmonds"/>
    <s v="Washington"/>
    <x v="1"/>
    <s v="FUR-FU-10004093"/>
    <s v="Furniture"/>
    <x v="3"/>
    <x v="230"/>
    <n v="68.459999999999994"/>
    <n v="2"/>
    <n v="20.538"/>
    <s v="4- days"/>
    <n v="4"/>
    <x v="5"/>
  </r>
  <r>
    <s v="CA-2017-116680"/>
    <d v="2017-09-04T00:00:00"/>
    <d v="2017-09-06T00:00:00"/>
    <x v="0"/>
    <s v="PK-19075"/>
    <s v="Pete Kriz"/>
    <x v="0"/>
    <s v="United States"/>
    <s v="San Francisco"/>
    <s v="California"/>
    <x v="1"/>
    <s v="FUR-TA-10001771"/>
    <s v="Furniture"/>
    <x v="2"/>
    <x v="358"/>
    <n v="1478.2719999999999"/>
    <n v="8"/>
    <n v="92.391999999999996"/>
    <s v="2- days"/>
    <n v="2"/>
    <x v="4"/>
  </r>
  <r>
    <s v="CA-2017-101574"/>
    <d v="2017-09-28T00:00:00"/>
    <d v="2017-10-04T00:00:00"/>
    <x v="1"/>
    <s v="BD-11725"/>
    <s v="Bruce Degenhardt"/>
    <x v="0"/>
    <s v="United States"/>
    <s v="Los Angeles"/>
    <s v="California"/>
    <x v="1"/>
    <s v="FUR-FU-10001706"/>
    <s v="Furniture"/>
    <x v="3"/>
    <x v="11"/>
    <n v="9.24"/>
    <n v="3"/>
    <n v="4.4352"/>
    <s v="6- days"/>
    <n v="6"/>
    <x v="4"/>
  </r>
  <r>
    <s v="CA-2014-146591"/>
    <d v="2014-01-19T00:00:00"/>
    <d v="2014-01-20T00:00:00"/>
    <x v="2"/>
    <s v="TS-21340"/>
    <s v="Toby Swindell"/>
    <x v="0"/>
    <s v="United States"/>
    <s v="Scottsdale"/>
    <s v="Arizona"/>
    <x v="1"/>
    <s v="FUR-BO-10001972"/>
    <s v="Furniture"/>
    <x v="0"/>
    <x v="75"/>
    <n v="181.47"/>
    <n v="5"/>
    <n v="-320.59699999999998"/>
    <s v="1- days"/>
    <n v="1"/>
    <x v="8"/>
  </r>
  <r>
    <s v="CA-2016-122448"/>
    <d v="2016-06-09T00:00:00"/>
    <d v="2016-06-14T00:00:00"/>
    <x v="1"/>
    <s v="DB-13210"/>
    <s v="Dean Braden"/>
    <x v="0"/>
    <s v="United States"/>
    <s v="San Francisco"/>
    <s v="California"/>
    <x v="1"/>
    <s v="FUR-CH-10002774"/>
    <s v="Furniture"/>
    <x v="1"/>
    <x v="5"/>
    <n v="122.352"/>
    <n v="3"/>
    <n v="13.7646"/>
    <s v="5- days"/>
    <n v="5"/>
    <x v="2"/>
  </r>
  <r>
    <s v="CA-2014-132451"/>
    <d v="2014-09-26T00:00:00"/>
    <d v="2014-09-27T00:00:00"/>
    <x v="2"/>
    <s v="KF-16285"/>
    <s v="Karen Ferguson"/>
    <x v="2"/>
    <s v="United States"/>
    <s v="San Diego"/>
    <s v="California"/>
    <x v="1"/>
    <s v="FUR-CH-10000454"/>
    <s v="Furniture"/>
    <x v="1"/>
    <x v="1"/>
    <n v="585.55200000000002"/>
    <n v="3"/>
    <n v="73.194000000000003"/>
    <s v="1- days"/>
    <n v="1"/>
    <x v="4"/>
  </r>
  <r>
    <s v="CA-2017-116946"/>
    <d v="2017-12-19T00:00:00"/>
    <d v="2017-12-23T00:00:00"/>
    <x v="1"/>
    <s v="TS-21505"/>
    <s v="Tony Sayre"/>
    <x v="0"/>
    <s v="United States"/>
    <s v="Parker"/>
    <s v="Colorado"/>
    <x v="1"/>
    <s v="FUR-FU-10000320"/>
    <s v="Furniture"/>
    <x v="3"/>
    <x v="311"/>
    <n v="13.36"/>
    <n v="5"/>
    <n v="4.008"/>
    <s v="4- days"/>
    <n v="4"/>
    <x v="5"/>
  </r>
  <r>
    <s v="CA-2017-116946"/>
    <d v="2017-12-19T00:00:00"/>
    <d v="2017-12-23T00:00:00"/>
    <x v="1"/>
    <s v="TS-21505"/>
    <s v="Tony Sayre"/>
    <x v="0"/>
    <s v="United States"/>
    <s v="Parker"/>
    <s v="Colorado"/>
    <x v="1"/>
    <s v="FUR-BO-10000468"/>
    <s v="Furniture"/>
    <x v="0"/>
    <x v="233"/>
    <n v="102.018"/>
    <n v="7"/>
    <n v="-183.63239999999999"/>
    <s v="4- days"/>
    <n v="4"/>
    <x v="5"/>
  </r>
  <r>
    <s v="CA-2017-148999"/>
    <d v="2017-01-30T00:00:00"/>
    <d v="2017-02-04T00:00:00"/>
    <x v="1"/>
    <s v="EB-13870"/>
    <s v="Emily Burns"/>
    <x v="0"/>
    <s v="United States"/>
    <s v="Miami"/>
    <s v="Florida"/>
    <x v="0"/>
    <s v="FUR-CH-10002044"/>
    <s v="Furniture"/>
    <x v="1"/>
    <x v="359"/>
    <n v="419.13600000000002"/>
    <n v="4"/>
    <n v="-68.1096"/>
    <s v="5- days"/>
    <n v="5"/>
    <x v="8"/>
  </r>
  <r>
    <s v="CA-2017-134495"/>
    <d v="2017-04-01T00:00:00"/>
    <d v="2017-04-04T00:00:00"/>
    <x v="0"/>
    <s v="BF-11020"/>
    <s v="Barry Franzšsisch"/>
    <x v="1"/>
    <s v="United States"/>
    <s v="Jacksonville"/>
    <s v="Florida"/>
    <x v="0"/>
    <s v="FUR-CH-10003774"/>
    <s v="Furniture"/>
    <x v="1"/>
    <x v="234"/>
    <n v="218.352"/>
    <n v="3"/>
    <n v="-19.105799999999999"/>
    <s v="3- days"/>
    <n v="3"/>
    <x v="6"/>
  </r>
  <r>
    <s v="CA-2014-105249"/>
    <d v="2014-11-28T00:00:00"/>
    <d v="2014-11-28T00:00:00"/>
    <x v="3"/>
    <s v="DH-13675"/>
    <s v="Duane Huffman"/>
    <x v="2"/>
    <s v="United States"/>
    <s v="San Francisco"/>
    <s v="California"/>
    <x v="1"/>
    <s v="FUR-BO-10000330"/>
    <s v="Furniture"/>
    <x v="0"/>
    <x v="213"/>
    <n v="411.33199999999999"/>
    <n v="4"/>
    <n v="-4.8391999999999999"/>
    <s v="0- days"/>
    <n v="0"/>
    <x v="0"/>
  </r>
  <r>
    <s v="CA-2017-164378"/>
    <d v="2017-07-15T00:00:00"/>
    <d v="2017-07-18T00:00:00"/>
    <x v="0"/>
    <s v="MM-18055"/>
    <s v="Michelle Moray"/>
    <x v="0"/>
    <s v="United States"/>
    <s v="New York City"/>
    <s v="New York"/>
    <x v="2"/>
    <s v="FUR-CH-10002084"/>
    <s v="Furniture"/>
    <x v="1"/>
    <x v="244"/>
    <n v="664.14599999999996"/>
    <n v="6"/>
    <n v="88.552800000000005"/>
    <s v="3- days"/>
    <n v="3"/>
    <x v="3"/>
  </r>
  <r>
    <s v="CA-2017-127782"/>
    <d v="2017-11-02T00:00:00"/>
    <d v="2017-11-06T00:00:00"/>
    <x v="1"/>
    <s v="TH-21115"/>
    <s v="Thea Hudgings"/>
    <x v="1"/>
    <s v="United States"/>
    <s v="Philadelphia"/>
    <s v="Pennsylvania"/>
    <x v="2"/>
    <s v="FUR-FU-10001847"/>
    <s v="Furniture"/>
    <x v="3"/>
    <x v="270"/>
    <n v="3.3119999999999998"/>
    <n v="1"/>
    <n v="0.66239999999999999"/>
    <s v="4- days"/>
    <n v="4"/>
    <x v="0"/>
  </r>
  <r>
    <s v="CA-2015-168529"/>
    <d v="2015-10-08T00:00:00"/>
    <d v="2015-10-12T00:00:00"/>
    <x v="1"/>
    <s v="MB-17305"/>
    <s v="Maria Bertelson"/>
    <x v="0"/>
    <s v="United States"/>
    <s v="San Francisco"/>
    <s v="California"/>
    <x v="1"/>
    <s v="FUR-FU-10001588"/>
    <s v="Furniture"/>
    <x v="3"/>
    <x v="63"/>
    <n v="145.9"/>
    <n v="5"/>
    <n v="62.737000000000002"/>
    <s v="4- days"/>
    <n v="4"/>
    <x v="1"/>
  </r>
  <r>
    <s v="CA-2017-117667"/>
    <d v="2017-12-04T00:00:00"/>
    <d v="2017-12-09T00:00:00"/>
    <x v="1"/>
    <s v="MS-17980"/>
    <s v="Michael Stewart"/>
    <x v="1"/>
    <s v="United States"/>
    <s v="Philadelphia"/>
    <s v="Pennsylvania"/>
    <x v="2"/>
    <s v="FUR-CH-10004540"/>
    <s v="Furniture"/>
    <x v="1"/>
    <x v="173"/>
    <n v="239.96"/>
    <n v="10"/>
    <n v="-10.284000000000001"/>
    <s v="5- days"/>
    <n v="5"/>
    <x v="5"/>
  </r>
  <r>
    <s v="CA-2017-117667"/>
    <d v="2017-12-04T00:00:00"/>
    <d v="2017-12-09T00:00:00"/>
    <x v="1"/>
    <s v="MS-17980"/>
    <s v="Michael Stewart"/>
    <x v="1"/>
    <s v="United States"/>
    <s v="Philadelphia"/>
    <s v="Pennsylvania"/>
    <x v="2"/>
    <s v="FUR-FU-10004093"/>
    <s v="Furniture"/>
    <x v="3"/>
    <x v="230"/>
    <n v="54.768000000000001"/>
    <n v="2"/>
    <n v="6.8460000000000001"/>
    <s v="5- days"/>
    <n v="5"/>
    <x v="5"/>
  </r>
  <r>
    <s v="US-2017-150595"/>
    <d v="2017-05-22T00:00:00"/>
    <d v="2017-05-26T00:00:00"/>
    <x v="1"/>
    <s v="LE-16810"/>
    <s v="Laurel Elliston"/>
    <x v="0"/>
    <s v="United States"/>
    <s v="Chicago"/>
    <s v="Illinois"/>
    <x v="3"/>
    <s v="FUR-CH-10000513"/>
    <s v="Furniture"/>
    <x v="1"/>
    <x v="16"/>
    <n v="181.98599999999999"/>
    <n v="2"/>
    <n v="-54.595799999999997"/>
    <s v="4- days"/>
    <n v="4"/>
    <x v="7"/>
  </r>
  <r>
    <s v="CA-2016-134936"/>
    <d v="2016-12-19T00:00:00"/>
    <d v="2016-12-25T00:00:00"/>
    <x v="1"/>
    <s v="ES-14080"/>
    <s v="Erin Smith"/>
    <x v="1"/>
    <s v="United States"/>
    <s v="Tucson"/>
    <s v="Arizona"/>
    <x v="1"/>
    <s v="FUR-TA-10001086"/>
    <s v="Furniture"/>
    <x v="2"/>
    <x v="360"/>
    <n v="455.97"/>
    <n v="6"/>
    <n v="-218.8656"/>
    <s v="6- days"/>
    <n v="6"/>
    <x v="5"/>
  </r>
  <r>
    <s v="CA-2017-151008"/>
    <d v="2017-09-07T00:00:00"/>
    <d v="2017-09-08T00:00:00"/>
    <x v="2"/>
    <s v="JM-16195"/>
    <s v="Justin MacKendrick"/>
    <x v="0"/>
    <s v="United States"/>
    <s v="Draper"/>
    <s v="Utah"/>
    <x v="1"/>
    <s v="FUR-FU-10002396"/>
    <s v="Furniture"/>
    <x v="3"/>
    <x v="326"/>
    <n v="25.16"/>
    <n v="2"/>
    <n v="10.5672"/>
    <s v="1- days"/>
    <n v="1"/>
    <x v="4"/>
  </r>
  <r>
    <s v="US-2014-159618"/>
    <d v="2014-11-12T00:00:00"/>
    <d v="2014-11-16T00:00:00"/>
    <x v="1"/>
    <s v="DB-12970"/>
    <s v="Darren Budd"/>
    <x v="1"/>
    <s v="United States"/>
    <s v="Houston"/>
    <s v="Texas"/>
    <x v="3"/>
    <s v="FUR-BO-10004467"/>
    <s v="Furniture"/>
    <x v="0"/>
    <x v="179"/>
    <n v="67.993200000000002"/>
    <n v="1"/>
    <n v="-12.998699999999999"/>
    <s v="4- days"/>
    <n v="4"/>
    <x v="0"/>
  </r>
  <r>
    <s v="CA-2017-116113"/>
    <d v="2017-10-02T00:00:00"/>
    <d v="2017-10-06T00:00:00"/>
    <x v="0"/>
    <s v="JW-15220"/>
    <s v="Jane Waco"/>
    <x v="1"/>
    <s v="United States"/>
    <s v="Montgomery"/>
    <s v="Alabama"/>
    <x v="0"/>
    <s v="FUR-FU-10002963"/>
    <s v="Furniture"/>
    <x v="3"/>
    <x v="305"/>
    <n v="10.16"/>
    <n v="2"/>
    <n v="3.4544000000000001"/>
    <s v="4- days"/>
    <n v="4"/>
    <x v="1"/>
  </r>
  <r>
    <s v="CA-2015-125066"/>
    <d v="2015-12-14T00:00:00"/>
    <d v="2015-12-18T00:00:00"/>
    <x v="1"/>
    <s v="KD-16495"/>
    <s v="Keith Dawkins"/>
    <x v="1"/>
    <s v="United States"/>
    <s v="Jackson"/>
    <s v="Mississippi"/>
    <x v="0"/>
    <s v="FUR-FU-10003829"/>
    <s v="Furniture"/>
    <x v="3"/>
    <x v="275"/>
    <n v="6.16"/>
    <n v="2"/>
    <n v="1.9712000000000001"/>
    <s v="4- days"/>
    <n v="4"/>
    <x v="5"/>
  </r>
  <r>
    <s v="CA-2017-157966"/>
    <d v="2017-03-13T00:00:00"/>
    <d v="2017-03-13T00:00:00"/>
    <x v="3"/>
    <s v="SU-20665"/>
    <s v="Stephanie Ulpright"/>
    <x v="2"/>
    <s v="United States"/>
    <s v="Chicago"/>
    <s v="Illinois"/>
    <x v="3"/>
    <s v="FUR-CH-10003606"/>
    <s v="Furniture"/>
    <x v="1"/>
    <x v="321"/>
    <n v="89.768000000000001"/>
    <n v="1"/>
    <n v="-2.5648"/>
    <s v="0- days"/>
    <n v="0"/>
    <x v="9"/>
  </r>
  <r>
    <s v="CA-2016-136686"/>
    <d v="2016-12-12T00:00:00"/>
    <d v="2016-12-16T00:00:00"/>
    <x v="1"/>
    <s v="RF-19840"/>
    <s v="Roy Franzšsisch"/>
    <x v="0"/>
    <s v="United States"/>
    <s v="Pasadena"/>
    <s v="California"/>
    <x v="1"/>
    <s v="FUR-FU-10004864"/>
    <s v="Furniture"/>
    <x v="3"/>
    <x v="92"/>
    <n v="383.64"/>
    <n v="6"/>
    <n v="122.76479999999999"/>
    <s v="4- days"/>
    <n v="4"/>
    <x v="5"/>
  </r>
  <r>
    <s v="CA-2017-137498"/>
    <d v="2017-09-09T00:00:00"/>
    <d v="2017-09-14T00:00:00"/>
    <x v="0"/>
    <s v="LC-17050"/>
    <s v="Liz Carlisle"/>
    <x v="0"/>
    <s v="United States"/>
    <s v="Los Angeles"/>
    <s v="California"/>
    <x v="1"/>
    <s v="FUR-CH-10003833"/>
    <s v="Furniture"/>
    <x v="1"/>
    <x v="237"/>
    <n v="243.92"/>
    <n v="5"/>
    <n v="-15.244999999999999"/>
    <s v="5- days"/>
    <n v="5"/>
    <x v="4"/>
  </r>
  <r>
    <s v="CA-2017-163818"/>
    <d v="2017-10-04T00:00:00"/>
    <d v="2017-10-08T00:00:00"/>
    <x v="1"/>
    <s v="PS-18970"/>
    <s v="Paul Stevenson"/>
    <x v="2"/>
    <s v="United States"/>
    <s v="Clinton"/>
    <s v="Maryland"/>
    <x v="2"/>
    <s v="FUR-FU-10000076"/>
    <s v="Furniture"/>
    <x v="3"/>
    <x v="175"/>
    <n v="19.98"/>
    <n v="1"/>
    <n v="8.5914000000000001"/>
    <s v="4- days"/>
    <n v="4"/>
    <x v="1"/>
  </r>
  <r>
    <s v="CA-2014-116673"/>
    <d v="2014-12-15T00:00:00"/>
    <d v="2014-12-19T00:00:00"/>
    <x v="0"/>
    <s v="JO-15280"/>
    <s v="Jas O'Carroll"/>
    <x v="0"/>
    <s v="United States"/>
    <s v="San Diego"/>
    <s v="California"/>
    <x v="1"/>
    <s v="FUR-FU-10003829"/>
    <s v="Furniture"/>
    <x v="3"/>
    <x v="275"/>
    <n v="6.16"/>
    <n v="2"/>
    <n v="1.9712000000000001"/>
    <s v="4- days"/>
    <n v="4"/>
    <x v="5"/>
  </r>
  <r>
    <s v="CA-2014-164742"/>
    <d v="2014-10-13T00:00:00"/>
    <d v="2014-10-18T00:00:00"/>
    <x v="0"/>
    <s v="ML-17395"/>
    <s v="Marina Lichtenstein"/>
    <x v="1"/>
    <s v="United States"/>
    <s v="Lakewood"/>
    <s v="New Jersey"/>
    <x v="2"/>
    <s v="FUR-CH-10002880"/>
    <s v="Furniture"/>
    <x v="1"/>
    <x v="162"/>
    <n v="245.98"/>
    <n v="2"/>
    <n v="27.0578"/>
    <s v="5- days"/>
    <n v="5"/>
    <x v="1"/>
  </r>
  <r>
    <s v="CA-2016-134516"/>
    <d v="2016-09-20T00:00:00"/>
    <d v="2016-09-25T00:00:00"/>
    <x v="1"/>
    <s v="FM-14215"/>
    <s v="Filia McAdams"/>
    <x v="1"/>
    <s v="United States"/>
    <s v="Greensboro"/>
    <s v="North Carolina"/>
    <x v="0"/>
    <s v="FUR-FU-10001546"/>
    <s v="Furniture"/>
    <x v="3"/>
    <x v="284"/>
    <n v="17.088000000000001"/>
    <n v="2"/>
    <n v="1.0680000000000001"/>
    <s v="5- days"/>
    <n v="5"/>
    <x v="4"/>
  </r>
  <r>
    <s v="CA-2016-134516"/>
    <d v="2016-09-20T00:00:00"/>
    <d v="2016-09-25T00:00:00"/>
    <x v="1"/>
    <s v="FM-14215"/>
    <s v="Filia McAdams"/>
    <x v="1"/>
    <s v="United States"/>
    <s v="Greensboro"/>
    <s v="North Carolina"/>
    <x v="0"/>
    <s v="FUR-CH-10002880"/>
    <s v="Furniture"/>
    <x v="1"/>
    <x v="162"/>
    <n v="98.391999999999996"/>
    <n v="1"/>
    <n v="-11.069100000000001"/>
    <s v="5- days"/>
    <n v="5"/>
    <x v="4"/>
  </r>
  <r>
    <s v="CA-2017-125745"/>
    <d v="2017-06-30T00:00:00"/>
    <d v="2017-07-04T00:00:00"/>
    <x v="1"/>
    <s v="DV-13045"/>
    <s v="Darrin Van Huff"/>
    <x v="1"/>
    <s v="United States"/>
    <s v="Memphis"/>
    <s v="Tennessee"/>
    <x v="0"/>
    <s v="FUR-FU-10001591"/>
    <s v="Furniture"/>
    <x v="3"/>
    <x v="215"/>
    <n v="19.52"/>
    <n v="2"/>
    <n v="5.3680000000000003"/>
    <s v="4- days"/>
    <n v="4"/>
    <x v="2"/>
  </r>
  <r>
    <s v="US-2016-124163"/>
    <d v="2016-09-25T00:00:00"/>
    <d v="2016-09-30T00:00:00"/>
    <x v="1"/>
    <s v="SC-20695"/>
    <s v="Steve Chapman"/>
    <x v="1"/>
    <s v="United States"/>
    <s v="La Crosse"/>
    <s v="Wisconsin"/>
    <x v="3"/>
    <s v="FUR-CH-10004218"/>
    <s v="Furniture"/>
    <x v="1"/>
    <x v="10"/>
    <n v="201.96"/>
    <n v="2"/>
    <n v="50.49"/>
    <s v="5- days"/>
    <n v="5"/>
    <x v="4"/>
  </r>
  <r>
    <s v="US-2016-124163"/>
    <d v="2016-09-25T00:00:00"/>
    <d v="2016-09-30T00:00:00"/>
    <x v="1"/>
    <s v="SC-20695"/>
    <s v="Steve Chapman"/>
    <x v="1"/>
    <s v="United States"/>
    <s v="La Crosse"/>
    <s v="Wisconsin"/>
    <x v="3"/>
    <s v="FUR-FU-10000755"/>
    <s v="Furniture"/>
    <x v="3"/>
    <x v="294"/>
    <n v="68.64"/>
    <n v="11"/>
    <n v="17.16"/>
    <s v="5- days"/>
    <n v="5"/>
    <x v="4"/>
  </r>
  <r>
    <s v="CA-2014-126683"/>
    <d v="2014-09-29T00:00:00"/>
    <d v="2014-10-01T00:00:00"/>
    <x v="0"/>
    <s v="PP-18955"/>
    <s v="Paul Prost"/>
    <x v="2"/>
    <s v="United States"/>
    <s v="Seattle"/>
    <s v="Washington"/>
    <x v="1"/>
    <s v="FUR-FU-10001706"/>
    <s v="Furniture"/>
    <x v="3"/>
    <x v="11"/>
    <n v="6.16"/>
    <n v="2"/>
    <n v="2.9567999999999999"/>
    <s v="2- days"/>
    <n v="2"/>
    <x v="4"/>
  </r>
  <r>
    <s v="CA-2014-126683"/>
    <d v="2014-09-29T00:00:00"/>
    <d v="2014-10-01T00:00:00"/>
    <x v="0"/>
    <s v="PP-18955"/>
    <s v="Paul Prost"/>
    <x v="2"/>
    <s v="United States"/>
    <s v="Seattle"/>
    <s v="Washington"/>
    <x v="1"/>
    <s v="FUR-TA-10002958"/>
    <s v="Furniture"/>
    <x v="2"/>
    <x v="192"/>
    <n v="2348.8200000000002"/>
    <n v="9"/>
    <n v="399.29939999999999"/>
    <s v="2- days"/>
    <n v="2"/>
    <x v="4"/>
  </r>
  <r>
    <s v="CA-2017-148810"/>
    <d v="2017-06-26T00:00:00"/>
    <d v="2017-07-01T00:00:00"/>
    <x v="1"/>
    <s v="DR-12880"/>
    <s v="Dan Reichenbach"/>
    <x v="1"/>
    <s v="United States"/>
    <s v="Miami"/>
    <s v="Florida"/>
    <x v="0"/>
    <s v="FUR-CH-10001545"/>
    <s v="Furniture"/>
    <x v="1"/>
    <x v="361"/>
    <n v="273.55200000000002"/>
    <n v="3"/>
    <n v="-13.6776"/>
    <s v="5- days"/>
    <n v="5"/>
    <x v="2"/>
  </r>
  <r>
    <s v="US-2016-146066"/>
    <d v="2016-08-21T00:00:00"/>
    <d v="2016-08-23T00:00:00"/>
    <x v="0"/>
    <s v="RB-19465"/>
    <s v="Rick Bensley"/>
    <x v="2"/>
    <s v="United States"/>
    <s v="Philadelphia"/>
    <s v="Pennsylvania"/>
    <x v="2"/>
    <s v="FUR-TA-10002530"/>
    <s v="Furniture"/>
    <x v="2"/>
    <x v="197"/>
    <n v="815.29200000000003"/>
    <n v="9"/>
    <n v="-339.70499999999998"/>
    <s v="2- days"/>
    <n v="2"/>
    <x v="10"/>
  </r>
  <r>
    <s v="CA-2014-127614"/>
    <d v="2014-02-11T00:00:00"/>
    <d v="2014-02-15T00:00:00"/>
    <x v="1"/>
    <s v="NF-18385"/>
    <s v="Natalie Fritzler"/>
    <x v="0"/>
    <s v="United States"/>
    <s v="Chesapeake"/>
    <s v="Virginia"/>
    <x v="0"/>
    <s v="FUR-TA-10003715"/>
    <s v="Furniture"/>
    <x v="2"/>
    <x v="201"/>
    <n v="1256.22"/>
    <n v="6"/>
    <n v="75.373199999999997"/>
    <s v="4- days"/>
    <n v="4"/>
    <x v="11"/>
  </r>
  <r>
    <s v="CA-2017-113208"/>
    <d v="2017-03-26T00:00:00"/>
    <d v="2017-04-02T00:00:00"/>
    <x v="1"/>
    <s v="ML-18040"/>
    <s v="Michelle Lonsdale"/>
    <x v="1"/>
    <s v="United States"/>
    <s v="Dearborn"/>
    <s v="Michigan"/>
    <x v="3"/>
    <s v="FUR-FU-10004245"/>
    <s v="Furniture"/>
    <x v="3"/>
    <x v="362"/>
    <n v="60.84"/>
    <n v="3"/>
    <n v="23.119199999999999"/>
    <s v="7- days"/>
    <n v="7"/>
    <x v="9"/>
  </r>
  <r>
    <s v="CA-2014-154893"/>
    <d v="2014-12-21T00:00:00"/>
    <d v="2014-12-27T00:00:00"/>
    <x v="1"/>
    <s v="GM-14440"/>
    <s v="Gary McGarr"/>
    <x v="0"/>
    <s v="United States"/>
    <s v="San Diego"/>
    <s v="California"/>
    <x v="1"/>
    <s v="FUR-CH-10004287"/>
    <s v="Furniture"/>
    <x v="1"/>
    <x v="32"/>
    <n v="1325.76"/>
    <n v="6"/>
    <n v="149.148"/>
    <s v="6- days"/>
    <n v="6"/>
    <x v="5"/>
  </r>
  <r>
    <s v="CA-2014-154893"/>
    <d v="2014-12-21T00:00:00"/>
    <d v="2014-12-27T00:00:00"/>
    <x v="1"/>
    <s v="GM-14440"/>
    <s v="Gary McGarr"/>
    <x v="0"/>
    <s v="United States"/>
    <s v="San Diego"/>
    <s v="California"/>
    <x v="1"/>
    <s v="FUR-CH-10000595"/>
    <s v="Furniture"/>
    <x v="1"/>
    <x v="97"/>
    <n v="572.16"/>
    <n v="3"/>
    <n v="35.76"/>
    <s v="6- days"/>
    <n v="6"/>
    <x v="5"/>
  </r>
  <r>
    <s v="CA-2016-127985"/>
    <d v="2016-04-01T00:00:00"/>
    <d v="2016-04-05T00:00:00"/>
    <x v="0"/>
    <s v="DB-12910"/>
    <s v="Daniel Byrd"/>
    <x v="2"/>
    <s v="United States"/>
    <s v="Columbus"/>
    <s v="Georgia"/>
    <x v="0"/>
    <s v="FUR-FU-10003274"/>
    <s v="Furniture"/>
    <x v="3"/>
    <x v="51"/>
    <n v="7.04"/>
    <n v="4"/>
    <n v="3.0975999999999999"/>
    <s v="4- days"/>
    <n v="4"/>
    <x v="6"/>
  </r>
  <r>
    <s v="CA-2017-127117"/>
    <d v="2017-04-14T00:00:00"/>
    <d v="2017-04-19T00:00:00"/>
    <x v="1"/>
    <s v="HM-14860"/>
    <s v="Harry Marie"/>
    <x v="1"/>
    <s v="United States"/>
    <s v="Morristown"/>
    <s v="New Jersey"/>
    <x v="2"/>
    <s v="FUR-FU-10004018"/>
    <s v="Furniture"/>
    <x v="3"/>
    <x v="188"/>
    <n v="74.45"/>
    <n v="5"/>
    <n v="20.101500000000001"/>
    <s v="5- days"/>
    <n v="5"/>
    <x v="6"/>
  </r>
  <r>
    <s v="CA-2015-104241"/>
    <d v="2015-01-04T00:00:00"/>
    <d v="2015-01-09T00:00:00"/>
    <x v="1"/>
    <s v="AG-10495"/>
    <s v="Andrew Gjertsen"/>
    <x v="1"/>
    <s v="United States"/>
    <s v="Alexandria"/>
    <s v="Virginia"/>
    <x v="0"/>
    <s v="FUR-FU-10001473"/>
    <s v="Furniture"/>
    <x v="3"/>
    <x v="198"/>
    <n v="192.22"/>
    <n v="14"/>
    <n v="69.199200000000005"/>
    <s v="5- days"/>
    <n v="5"/>
    <x v="8"/>
  </r>
  <r>
    <s v="CA-2017-142342"/>
    <d v="2017-07-17T00:00:00"/>
    <d v="2017-07-19T00:00:00"/>
    <x v="0"/>
    <s v="AJ-10795"/>
    <s v="Anthony Johnson"/>
    <x v="1"/>
    <s v="United States"/>
    <s v="Apple Valley"/>
    <s v="California"/>
    <x v="1"/>
    <s v="FUR-BO-10002613"/>
    <s v="Furniture"/>
    <x v="0"/>
    <x v="35"/>
    <n v="1194.165"/>
    <n v="5"/>
    <n v="210.73500000000001"/>
    <s v="2- days"/>
    <n v="2"/>
    <x v="3"/>
  </r>
  <r>
    <s v="CA-2016-145261"/>
    <d v="2016-12-18T00:00:00"/>
    <d v="2016-12-21T00:00:00"/>
    <x v="2"/>
    <s v="AH-10120"/>
    <s v="Adrian Hane"/>
    <x v="2"/>
    <s v="United States"/>
    <s v="Salem"/>
    <s v="Oregon"/>
    <x v="1"/>
    <s v="FUR-TA-10002530"/>
    <s v="Furniture"/>
    <x v="2"/>
    <x v="197"/>
    <n v="377.45"/>
    <n v="5"/>
    <n v="-264.21499999999997"/>
    <s v="3- days"/>
    <n v="3"/>
    <x v="5"/>
  </r>
  <r>
    <s v="CA-2016-108875"/>
    <d v="2016-09-24T00:00:00"/>
    <d v="2016-10-01T00:00:00"/>
    <x v="1"/>
    <s v="CL-12700"/>
    <s v="Craig Leslie"/>
    <x v="2"/>
    <s v="United States"/>
    <s v="Aurora"/>
    <s v="Colorado"/>
    <x v="1"/>
    <s v="FUR-FU-10002671"/>
    <s v="Furniture"/>
    <x v="3"/>
    <x v="59"/>
    <n v="21.44"/>
    <n v="2"/>
    <n v="7.5039999999999996"/>
    <s v="7- days"/>
    <n v="7"/>
    <x v="4"/>
  </r>
  <r>
    <s v="CA-2015-141012"/>
    <d v="2015-06-09T00:00:00"/>
    <d v="2015-06-11T00:00:00"/>
    <x v="0"/>
    <s v="TG-21640"/>
    <s v="Trudy Glocke"/>
    <x v="0"/>
    <s v="United States"/>
    <s v="Pocatello"/>
    <s v="Idaho"/>
    <x v="1"/>
    <s v="FUR-FU-10003192"/>
    <s v="Furniture"/>
    <x v="3"/>
    <x v="357"/>
    <n v="355.36"/>
    <n v="4"/>
    <n v="92.393600000000006"/>
    <s v="2- days"/>
    <n v="2"/>
    <x v="2"/>
  </r>
  <r>
    <s v="CA-2014-126802"/>
    <d v="2014-12-29T00:00:00"/>
    <d v="2015-01-05T00:00:00"/>
    <x v="1"/>
    <s v="ZC-21910"/>
    <s v="Zuschuss Carroll"/>
    <x v="0"/>
    <s v="United States"/>
    <s v="Chicago"/>
    <s v="Illinois"/>
    <x v="3"/>
    <s v="FUR-FU-10000193"/>
    <s v="Furniture"/>
    <x v="3"/>
    <x v="306"/>
    <n v="38.975999999999999"/>
    <n v="3"/>
    <n v="-50.668799999999997"/>
    <s v="7- days"/>
    <n v="7"/>
    <x v="5"/>
  </r>
  <r>
    <s v="CA-2014-131541"/>
    <d v="2014-07-28T00:00:00"/>
    <d v="2014-07-28T00:00:00"/>
    <x v="3"/>
    <s v="CK-12205"/>
    <s v="Chloris Kastensmidt"/>
    <x v="0"/>
    <s v="United States"/>
    <s v="Apopka"/>
    <s v="Florida"/>
    <x v="0"/>
    <s v="FUR-FU-10003623"/>
    <s v="Furniture"/>
    <x v="3"/>
    <x v="241"/>
    <n v="129.88800000000001"/>
    <n v="6"/>
    <n v="12.988799999999999"/>
    <s v="0- days"/>
    <n v="0"/>
    <x v="3"/>
  </r>
  <r>
    <s v="CA-2015-119550"/>
    <d v="2015-12-26T00:00:00"/>
    <d v="2015-12-31T00:00:00"/>
    <x v="1"/>
    <s v="RB-19705"/>
    <s v="Roger Barcio"/>
    <x v="2"/>
    <s v="United States"/>
    <s v="Houston"/>
    <s v="Texas"/>
    <x v="3"/>
    <s v="FUR-CH-10002044"/>
    <s v="Furniture"/>
    <x v="1"/>
    <x v="359"/>
    <n v="275.05799999999999"/>
    <n v="3"/>
    <n v="-90.376199999999997"/>
    <s v="5- days"/>
    <n v="5"/>
    <x v="5"/>
  </r>
  <r>
    <s v="US-2015-138093"/>
    <d v="2015-12-10T00:00:00"/>
    <d v="2015-12-16T00:00:00"/>
    <x v="1"/>
    <s v="KM-16225"/>
    <s v="Kalyca Meade"/>
    <x v="1"/>
    <s v="United States"/>
    <s v="Baltimore"/>
    <s v="Maryland"/>
    <x v="2"/>
    <s v="FUR-CH-10000785"/>
    <s v="Furniture"/>
    <x v="1"/>
    <x v="69"/>
    <n v="542.94000000000005"/>
    <n v="3"/>
    <n v="141.1644"/>
    <s v="6- days"/>
    <n v="6"/>
    <x v="5"/>
  </r>
  <r>
    <s v="CA-2016-126165"/>
    <d v="2016-05-05T00:00:00"/>
    <d v="2016-05-07T00:00:00"/>
    <x v="0"/>
    <s v="AH-10465"/>
    <s v="Amy Hunt"/>
    <x v="0"/>
    <s v="United States"/>
    <s v="San Francisco"/>
    <s v="California"/>
    <x v="1"/>
    <s v="FUR-TA-10001676"/>
    <s v="Furniture"/>
    <x v="2"/>
    <x v="193"/>
    <n v="71.087999999999994"/>
    <n v="2"/>
    <n v="-1.7771999999999999"/>
    <s v="2- days"/>
    <n v="2"/>
    <x v="7"/>
  </r>
  <r>
    <s v="US-2014-123519"/>
    <d v="2014-12-14T00:00:00"/>
    <d v="2014-12-21T00:00:00"/>
    <x v="1"/>
    <s v="SS-20875"/>
    <s v="Sung Shariari"/>
    <x v="0"/>
    <s v="United States"/>
    <s v="Marion"/>
    <s v="Ohio"/>
    <x v="2"/>
    <s v="FUR-TA-10002645"/>
    <s v="Furniture"/>
    <x v="2"/>
    <x v="259"/>
    <n v="136.53"/>
    <n v="1"/>
    <n v="-52.336500000000001"/>
    <s v="7- days"/>
    <n v="7"/>
    <x v="5"/>
  </r>
  <r>
    <s v="US-2015-160857"/>
    <d v="2015-05-08T00:00:00"/>
    <d v="2015-05-15T00:00:00"/>
    <x v="1"/>
    <s v="NW-18400"/>
    <s v="Natalie Webber"/>
    <x v="0"/>
    <s v="United States"/>
    <s v="New York City"/>
    <s v="New York"/>
    <x v="2"/>
    <s v="FUR-FU-10001095"/>
    <s v="Furniture"/>
    <x v="3"/>
    <x v="151"/>
    <n v="79.44"/>
    <n v="3"/>
    <n v="30.187200000000001"/>
    <s v="7- days"/>
    <n v="7"/>
    <x v="7"/>
  </r>
  <r>
    <s v="US-2015-160857"/>
    <d v="2015-05-08T00:00:00"/>
    <d v="2015-05-15T00:00:00"/>
    <x v="1"/>
    <s v="NW-18400"/>
    <s v="Natalie Webber"/>
    <x v="0"/>
    <s v="United States"/>
    <s v="New York City"/>
    <s v="New York"/>
    <x v="2"/>
    <s v="FUR-CH-10002647"/>
    <s v="Furniture"/>
    <x v="1"/>
    <x v="99"/>
    <n v="127.764"/>
    <n v="2"/>
    <n v="21.294"/>
    <s v="7- days"/>
    <n v="7"/>
    <x v="7"/>
  </r>
  <r>
    <s v="CA-2017-117324"/>
    <d v="2017-12-08T00:00:00"/>
    <d v="2017-12-13T00:00:00"/>
    <x v="1"/>
    <s v="JP-15520"/>
    <s v="Jeremy Pistek"/>
    <x v="0"/>
    <s v="United States"/>
    <s v="Madison"/>
    <s v="Wisconsin"/>
    <x v="3"/>
    <s v="FUR-BO-10003159"/>
    <s v="Furniture"/>
    <x v="0"/>
    <x v="214"/>
    <n v="459.92"/>
    <n v="4"/>
    <n v="41.392800000000001"/>
    <s v="5- days"/>
    <n v="5"/>
    <x v="5"/>
  </r>
  <r>
    <s v="CA-2017-143574"/>
    <d v="2017-06-29T00:00:00"/>
    <d v="2017-07-02T00:00:00"/>
    <x v="2"/>
    <s v="DR-12880"/>
    <s v="Dan Reichenbach"/>
    <x v="1"/>
    <s v="United States"/>
    <s v="Milford"/>
    <s v="Connecticut"/>
    <x v="2"/>
    <s v="FUR-BO-10002598"/>
    <s v="Furniture"/>
    <x v="0"/>
    <x v="310"/>
    <n v="638.82000000000005"/>
    <n v="9"/>
    <n v="185.2578"/>
    <s v="3- days"/>
    <n v="3"/>
    <x v="2"/>
  </r>
  <r>
    <s v="CA-2017-143574"/>
    <d v="2017-06-29T00:00:00"/>
    <d v="2017-07-02T00:00:00"/>
    <x v="2"/>
    <s v="DR-12880"/>
    <s v="Dan Reichenbach"/>
    <x v="1"/>
    <s v="United States"/>
    <s v="Milford"/>
    <s v="Connecticut"/>
    <x v="2"/>
    <s v="FUR-FU-10003976"/>
    <s v="Furniture"/>
    <x v="3"/>
    <x v="195"/>
    <n v="25.16"/>
    <n v="2"/>
    <n v="8.5543999999999993"/>
    <s v="3- days"/>
    <n v="3"/>
    <x v="2"/>
  </r>
  <r>
    <s v="CA-2014-148614"/>
    <d v="2014-01-20T00:00:00"/>
    <d v="2014-01-25T00:00:00"/>
    <x v="1"/>
    <s v="MV-17485"/>
    <s v="Mark Van Huff"/>
    <x v="0"/>
    <s v="United States"/>
    <s v="Los Angeles"/>
    <s v="California"/>
    <x v="1"/>
    <s v="FUR-FU-10003194"/>
    <s v="Furniture"/>
    <x v="3"/>
    <x v="19"/>
    <n v="19.3"/>
    <n v="2"/>
    <n v="5.79"/>
    <s v="5- days"/>
    <n v="5"/>
    <x v="8"/>
  </r>
  <r>
    <s v="US-2017-147886"/>
    <d v="2017-03-28T00:00:00"/>
    <d v="2017-03-31T00:00:00"/>
    <x v="2"/>
    <s v="DH-13075"/>
    <s v="Dave Hallsten"/>
    <x v="1"/>
    <s v="United States"/>
    <s v="Fairfield"/>
    <s v="California"/>
    <x v="1"/>
    <s v="FUR-FU-10001095"/>
    <s v="Furniture"/>
    <x v="3"/>
    <x v="151"/>
    <n v="26.48"/>
    <n v="1"/>
    <n v="10.0624"/>
    <s v="3- days"/>
    <n v="3"/>
    <x v="9"/>
  </r>
  <r>
    <s v="US-2017-147886"/>
    <d v="2017-03-28T00:00:00"/>
    <d v="2017-03-31T00:00:00"/>
    <x v="2"/>
    <s v="DH-13075"/>
    <s v="Dave Hallsten"/>
    <x v="1"/>
    <s v="United States"/>
    <s v="Fairfield"/>
    <s v="California"/>
    <x v="1"/>
    <s v="FUR-FU-10003829"/>
    <s v="Furniture"/>
    <x v="3"/>
    <x v="275"/>
    <n v="21.56"/>
    <n v="7"/>
    <n v="6.8992000000000004"/>
    <s v="3- days"/>
    <n v="3"/>
    <x v="9"/>
  </r>
  <r>
    <s v="CA-2014-145800"/>
    <d v="2014-05-30T00:00:00"/>
    <d v="2014-06-05T00:00:00"/>
    <x v="1"/>
    <s v="SS-20410"/>
    <s v="Shahid Shariari"/>
    <x v="0"/>
    <s v="United States"/>
    <s v="Buffalo Grove"/>
    <s v="Illinois"/>
    <x v="3"/>
    <s v="FUR-TA-10001539"/>
    <s v="Furniture"/>
    <x v="2"/>
    <x v="4"/>
    <n v="355.45499999999998"/>
    <n v="3"/>
    <n v="-184.8366"/>
    <s v="6- days"/>
    <n v="6"/>
    <x v="7"/>
  </r>
  <r>
    <s v="CA-2016-118514"/>
    <d v="2016-02-03T00:00:00"/>
    <d v="2016-02-10T00:00:00"/>
    <x v="1"/>
    <s v="LC-17050"/>
    <s v="Liz Carlisle"/>
    <x v="0"/>
    <s v="United States"/>
    <s v="Richmond"/>
    <s v="Kentucky"/>
    <x v="0"/>
    <s v="FUR-CH-10000015"/>
    <s v="Furniture"/>
    <x v="1"/>
    <x v="79"/>
    <n v="866.4"/>
    <n v="4"/>
    <n v="225.26400000000001"/>
    <s v="7- days"/>
    <n v="7"/>
    <x v="11"/>
  </r>
  <r>
    <s v="CA-2015-119634"/>
    <d v="2015-08-11T00:00:00"/>
    <d v="2015-08-16T00:00:00"/>
    <x v="1"/>
    <s v="BW-11065"/>
    <s v="Barry Weirich"/>
    <x v="0"/>
    <s v="United States"/>
    <s v="Raleigh"/>
    <s v="North Carolina"/>
    <x v="0"/>
    <s v="FUR-FU-10004270"/>
    <s v="Furniture"/>
    <x v="3"/>
    <x v="276"/>
    <n v="46.152000000000001"/>
    <n v="3"/>
    <n v="12.1149"/>
    <s v="5- days"/>
    <n v="5"/>
    <x v="10"/>
  </r>
  <r>
    <s v="CA-2017-158169"/>
    <d v="2017-08-12T00:00:00"/>
    <d v="2017-08-15T00:00:00"/>
    <x v="2"/>
    <s v="JM-16195"/>
    <s v="Justin MacKendrick"/>
    <x v="0"/>
    <s v="United States"/>
    <s v="Lake Forest"/>
    <s v="California"/>
    <x v="1"/>
    <s v="FUR-FU-10001473"/>
    <s v="Furniture"/>
    <x v="3"/>
    <x v="198"/>
    <n v="54.92"/>
    <n v="4"/>
    <n v="19.7712"/>
    <s v="3- days"/>
    <n v="3"/>
    <x v="10"/>
  </r>
  <r>
    <s v="CA-2015-162047"/>
    <d v="2015-11-03T00:00:00"/>
    <d v="2015-11-05T00:00:00"/>
    <x v="2"/>
    <s v="FH-14365"/>
    <s v="Fred Hopkins"/>
    <x v="1"/>
    <s v="United States"/>
    <s v="Long Beach"/>
    <s v="New York"/>
    <x v="2"/>
    <s v="FUR-CH-10004983"/>
    <s v="Furniture"/>
    <x v="1"/>
    <x v="319"/>
    <n v="1448.82"/>
    <n v="10"/>
    <n v="209.274"/>
    <s v="2- days"/>
    <n v="2"/>
    <x v="0"/>
  </r>
  <r>
    <s v="CA-2015-103835"/>
    <d v="2015-09-24T00:00:00"/>
    <d v="2015-09-28T00:00:00"/>
    <x v="1"/>
    <s v="SC-20440"/>
    <s v="Shaun Chance"/>
    <x v="1"/>
    <s v="United States"/>
    <s v="Los Angeles"/>
    <s v="California"/>
    <x v="1"/>
    <s v="FUR-FU-10000010"/>
    <s v="Furniture"/>
    <x v="3"/>
    <x v="109"/>
    <n v="14.91"/>
    <n v="3"/>
    <n v="4.6220999999999997"/>
    <s v="4- days"/>
    <n v="4"/>
    <x v="4"/>
  </r>
  <r>
    <s v="CA-2016-142398"/>
    <d v="2016-04-12T00:00:00"/>
    <d v="2016-04-16T00:00:00"/>
    <x v="1"/>
    <s v="BP-11290"/>
    <s v="Beth Paige"/>
    <x v="0"/>
    <s v="United States"/>
    <s v="Los Angeles"/>
    <s v="California"/>
    <x v="1"/>
    <s v="FUR-CH-10001545"/>
    <s v="Furniture"/>
    <x v="1"/>
    <x v="361"/>
    <n v="638.28800000000001"/>
    <n v="7"/>
    <n v="-31.914400000000001"/>
    <s v="4- days"/>
    <n v="4"/>
    <x v="6"/>
  </r>
  <r>
    <s v="CA-2014-105270"/>
    <d v="2014-11-11T00:00:00"/>
    <d v="2014-11-18T00:00:00"/>
    <x v="1"/>
    <s v="AP-10915"/>
    <s v="Arthur Prichep"/>
    <x v="0"/>
    <s v="United States"/>
    <s v="Los Angeles"/>
    <s v="California"/>
    <x v="1"/>
    <s v="FUR-CH-10000988"/>
    <s v="Furniture"/>
    <x v="1"/>
    <x v="221"/>
    <n v="112.648"/>
    <n v="1"/>
    <n v="11.264799999999999"/>
    <s v="7- days"/>
    <n v="7"/>
    <x v="0"/>
  </r>
  <r>
    <s v="CA-2017-141117"/>
    <d v="2017-10-02T00:00:00"/>
    <d v="2017-10-08T00:00:00"/>
    <x v="1"/>
    <s v="JK-16090"/>
    <s v="Juliana Krohn"/>
    <x v="0"/>
    <s v="United States"/>
    <s v="Springfield"/>
    <s v="Oregon"/>
    <x v="1"/>
    <s v="FUR-BO-10001972"/>
    <s v="Furniture"/>
    <x v="0"/>
    <x v="75"/>
    <n v="217.76400000000001"/>
    <n v="6"/>
    <n v="-384.71640000000002"/>
    <s v="6- days"/>
    <n v="6"/>
    <x v="1"/>
  </r>
  <r>
    <s v="CA-2017-115070"/>
    <d v="2017-04-10T00:00:00"/>
    <d v="2017-04-14T00:00:00"/>
    <x v="0"/>
    <s v="MG-18205"/>
    <s v="Mitch Gastineau"/>
    <x v="1"/>
    <s v="United States"/>
    <s v="Jacksonville"/>
    <s v="Florida"/>
    <x v="0"/>
    <s v="FUR-FU-10003829"/>
    <s v="Furniture"/>
    <x v="3"/>
    <x v="275"/>
    <n v="12.32"/>
    <n v="5"/>
    <n v="1.8480000000000001"/>
    <s v="4- days"/>
    <n v="4"/>
    <x v="6"/>
  </r>
  <r>
    <s v="CA-2017-140186"/>
    <d v="2017-09-29T00:00:00"/>
    <d v="2017-10-02T00:00:00"/>
    <x v="2"/>
    <s v="PG-18820"/>
    <s v="Patrick Gardner"/>
    <x v="0"/>
    <s v="United States"/>
    <s v="Bakersfield"/>
    <s v="California"/>
    <x v="1"/>
    <s v="FUR-CH-10002961"/>
    <s v="Furniture"/>
    <x v="1"/>
    <x v="189"/>
    <n v="72.784000000000006"/>
    <n v="1"/>
    <n v="0"/>
    <s v="3- days"/>
    <n v="3"/>
    <x v="4"/>
  </r>
  <r>
    <s v="CA-2017-140186"/>
    <d v="2017-09-29T00:00:00"/>
    <d v="2017-10-02T00:00:00"/>
    <x v="2"/>
    <s v="PG-18820"/>
    <s v="Patrick Gardner"/>
    <x v="0"/>
    <s v="United States"/>
    <s v="Bakersfield"/>
    <s v="California"/>
    <x v="1"/>
    <s v="FUR-FU-10004848"/>
    <s v="Furniture"/>
    <x v="3"/>
    <x v="7"/>
    <n v="51.75"/>
    <n v="1"/>
    <n v="15.525"/>
    <s v="3- days"/>
    <n v="3"/>
    <x v="4"/>
  </r>
  <r>
    <s v="CA-2014-124856"/>
    <d v="2014-09-29T00:00:00"/>
    <d v="2014-10-03T00:00:00"/>
    <x v="0"/>
    <s v="LD-17005"/>
    <s v="Lisa DeCherney"/>
    <x v="0"/>
    <s v="United States"/>
    <s v="New York City"/>
    <s v="New York"/>
    <x v="2"/>
    <s v="FUR-FU-10000521"/>
    <s v="Furniture"/>
    <x v="3"/>
    <x v="31"/>
    <n v="117.36"/>
    <n v="4"/>
    <n v="36.381599999999999"/>
    <s v="4- days"/>
    <n v="4"/>
    <x v="4"/>
  </r>
  <r>
    <s v="CA-2014-166716"/>
    <d v="2014-08-20T00:00:00"/>
    <d v="2014-08-25T00:00:00"/>
    <x v="0"/>
    <s v="CR-12730"/>
    <s v="Craig Reiter"/>
    <x v="0"/>
    <s v="United States"/>
    <s v="Chicago"/>
    <s v="Illinois"/>
    <x v="3"/>
    <s v="FUR-CH-10004495"/>
    <s v="Furniture"/>
    <x v="1"/>
    <x v="304"/>
    <n v="421.37200000000001"/>
    <n v="2"/>
    <n v="-6.0195999999999996"/>
    <s v="5- days"/>
    <n v="5"/>
    <x v="10"/>
  </r>
  <r>
    <s v="CA-2017-113873"/>
    <d v="2017-11-13T00:00:00"/>
    <d v="2017-11-19T00:00:00"/>
    <x v="1"/>
    <s v="KE-16420"/>
    <s v="Katrina Edelman"/>
    <x v="1"/>
    <s v="United States"/>
    <s v="Dallas"/>
    <s v="Texas"/>
    <x v="3"/>
    <s v="FUR-BO-10003441"/>
    <s v="Furniture"/>
    <x v="0"/>
    <x v="145"/>
    <n v="205.9992"/>
    <n v="3"/>
    <n v="-27.264600000000002"/>
    <s v="6- days"/>
    <n v="6"/>
    <x v="0"/>
  </r>
  <r>
    <s v="CA-2016-125017"/>
    <d v="2016-02-06T00:00:00"/>
    <d v="2016-02-11T00:00:00"/>
    <x v="1"/>
    <s v="KB-16240"/>
    <s v="Karen Bern"/>
    <x v="1"/>
    <s v="United States"/>
    <s v="Chattanooga"/>
    <s v="Tennessee"/>
    <x v="0"/>
    <s v="FUR-FU-10000723"/>
    <s v="Furniture"/>
    <x v="3"/>
    <x v="100"/>
    <n v="132.22399999999999"/>
    <n v="4"/>
    <n v="-18.180800000000001"/>
    <s v="5- days"/>
    <n v="5"/>
    <x v="11"/>
  </r>
  <r>
    <s v="US-2015-163279"/>
    <d v="2015-03-22T00:00:00"/>
    <d v="2015-03-26T00:00:00"/>
    <x v="1"/>
    <s v="JD-16150"/>
    <s v="Justin Deggeller"/>
    <x v="1"/>
    <s v="United States"/>
    <s v="San Diego"/>
    <s v="California"/>
    <x v="1"/>
    <s v="FUR-FU-10000747"/>
    <s v="Furniture"/>
    <x v="3"/>
    <x v="363"/>
    <n v="91.96"/>
    <n v="2"/>
    <n v="15.6332"/>
    <s v="4- days"/>
    <n v="4"/>
    <x v="9"/>
  </r>
  <r>
    <s v="CA-2017-117632"/>
    <d v="2017-05-12T00:00:00"/>
    <d v="2017-05-18T00:00:00"/>
    <x v="1"/>
    <s v="CS-12175"/>
    <s v="Charles Sheldon"/>
    <x v="1"/>
    <s v="United States"/>
    <s v="San Francisco"/>
    <s v="California"/>
    <x v="1"/>
    <s v="FUR-TA-10001520"/>
    <s v="Furniture"/>
    <x v="2"/>
    <x v="146"/>
    <n v="285.48"/>
    <n v="5"/>
    <n v="-10.705500000000001"/>
    <s v="6- days"/>
    <n v="6"/>
    <x v="7"/>
  </r>
  <r>
    <s v="CA-2017-161067"/>
    <d v="2017-09-03T00:00:00"/>
    <d v="2017-09-06T00:00:00"/>
    <x v="0"/>
    <s v="KB-16405"/>
    <s v="Katrina Bavinger"/>
    <x v="2"/>
    <s v="United States"/>
    <s v="New York City"/>
    <s v="New York"/>
    <x v="2"/>
    <s v="FUR-CH-10004626"/>
    <s v="Furniture"/>
    <x v="1"/>
    <x v="353"/>
    <n v="90.801000000000002"/>
    <n v="1"/>
    <n v="14.124599999999999"/>
    <s v="3- days"/>
    <n v="3"/>
    <x v="4"/>
  </r>
  <r>
    <s v="CA-2017-161067"/>
    <d v="2017-09-03T00:00:00"/>
    <d v="2017-09-06T00:00:00"/>
    <x v="0"/>
    <s v="KB-16405"/>
    <s v="Katrina Bavinger"/>
    <x v="2"/>
    <s v="United States"/>
    <s v="New York City"/>
    <s v="New York"/>
    <x v="2"/>
    <s v="FUR-CH-10004860"/>
    <s v="Furniture"/>
    <x v="1"/>
    <x v="41"/>
    <n v="181.76400000000001"/>
    <n v="2"/>
    <n v="-8.0784000000000002"/>
    <s v="3- days"/>
    <n v="3"/>
    <x v="4"/>
  </r>
  <r>
    <s v="CA-2016-122063"/>
    <d v="2016-12-03T00:00:00"/>
    <d v="2016-12-07T00:00:00"/>
    <x v="1"/>
    <s v="MM-17920"/>
    <s v="Michael Moore"/>
    <x v="0"/>
    <s v="United States"/>
    <s v="Richmond"/>
    <s v="Indiana"/>
    <x v="3"/>
    <s v="FUR-TA-10004575"/>
    <s v="Furniture"/>
    <x v="2"/>
    <x v="67"/>
    <n v="581.96"/>
    <n v="2"/>
    <n v="104.75279999999999"/>
    <s v="4- days"/>
    <n v="4"/>
    <x v="5"/>
  </r>
  <r>
    <s v="CA-2016-122063"/>
    <d v="2016-12-03T00:00:00"/>
    <d v="2016-12-07T00:00:00"/>
    <x v="1"/>
    <s v="MM-17920"/>
    <s v="Michael Moore"/>
    <x v="0"/>
    <s v="United States"/>
    <s v="Richmond"/>
    <s v="Indiana"/>
    <x v="3"/>
    <s v="FUR-CH-10004754"/>
    <s v="Furniture"/>
    <x v="1"/>
    <x v="219"/>
    <n v="29.98"/>
    <n v="1"/>
    <n v="8.0945999999999998"/>
    <s v="4- days"/>
    <n v="4"/>
    <x v="5"/>
  </r>
  <r>
    <s v="CA-2016-142895"/>
    <d v="2016-07-21T00:00:00"/>
    <d v="2016-07-26T00:00:00"/>
    <x v="1"/>
    <s v="BP-11290"/>
    <s v="Beth Paige"/>
    <x v="0"/>
    <s v="United States"/>
    <s v="Concord"/>
    <s v="North Carolina"/>
    <x v="0"/>
    <s v="FUR-CH-10002961"/>
    <s v="Furniture"/>
    <x v="1"/>
    <x v="189"/>
    <n v="363.92"/>
    <n v="5"/>
    <n v="0"/>
    <s v="5- days"/>
    <n v="5"/>
    <x v="3"/>
  </r>
  <r>
    <s v="CA-2015-134992"/>
    <d v="2015-09-22T00:00:00"/>
    <d v="2015-09-26T00:00:00"/>
    <x v="0"/>
    <s v="MG-17875"/>
    <s v="Michael Grace"/>
    <x v="2"/>
    <s v="United States"/>
    <s v="Arlington"/>
    <s v="Virginia"/>
    <x v="0"/>
    <s v="FUR-FU-10002554"/>
    <s v="Furniture"/>
    <x v="3"/>
    <x v="185"/>
    <n v="47.98"/>
    <n v="2"/>
    <n v="11.035399999999999"/>
    <s v="4- days"/>
    <n v="4"/>
    <x v="4"/>
  </r>
  <r>
    <s v="CA-2015-126725"/>
    <d v="2015-11-17T00:00:00"/>
    <d v="2015-11-21T00:00:00"/>
    <x v="1"/>
    <s v="BS-11665"/>
    <s v="Brian Stugart"/>
    <x v="0"/>
    <s v="United States"/>
    <s v="San Diego"/>
    <s v="California"/>
    <x v="1"/>
    <s v="FUR-FU-10002813"/>
    <s v="Furniture"/>
    <x v="3"/>
    <x v="350"/>
    <n v="80.959999999999994"/>
    <n v="4"/>
    <n v="29.145600000000002"/>
    <s v="4- days"/>
    <n v="4"/>
    <x v="0"/>
  </r>
  <r>
    <s v="CA-2015-126725"/>
    <d v="2015-11-17T00:00:00"/>
    <d v="2015-11-21T00:00:00"/>
    <x v="1"/>
    <s v="BS-11665"/>
    <s v="Brian Stugart"/>
    <x v="0"/>
    <s v="United States"/>
    <s v="San Diego"/>
    <s v="California"/>
    <x v="1"/>
    <s v="FUR-CH-10001708"/>
    <s v="Furniture"/>
    <x v="1"/>
    <x v="180"/>
    <n v="225.56800000000001"/>
    <n v="2"/>
    <n v="2.8195999999999999"/>
    <s v="4- days"/>
    <n v="4"/>
    <x v="0"/>
  </r>
  <r>
    <s v="CA-2015-126725"/>
    <d v="2015-11-17T00:00:00"/>
    <d v="2015-11-21T00:00:00"/>
    <x v="1"/>
    <s v="BS-11665"/>
    <s v="Brian Stugart"/>
    <x v="0"/>
    <s v="United States"/>
    <s v="San Diego"/>
    <s v="California"/>
    <x v="1"/>
    <s v="FUR-FU-10001591"/>
    <s v="Furniture"/>
    <x v="3"/>
    <x v="215"/>
    <n v="36.6"/>
    <n v="3"/>
    <n v="15.372"/>
    <s v="4- days"/>
    <n v="4"/>
    <x v="0"/>
  </r>
  <r>
    <s v="CA-2015-121783"/>
    <d v="2015-11-10T00:00:00"/>
    <d v="2015-11-14T00:00:00"/>
    <x v="1"/>
    <s v="PO-19180"/>
    <s v="Philisse Overcash"/>
    <x v="2"/>
    <s v="United States"/>
    <s v="Roseville"/>
    <s v="Minnesota"/>
    <x v="3"/>
    <s v="FUR-FU-10004351"/>
    <s v="Furniture"/>
    <x v="3"/>
    <x v="47"/>
    <n v="29.22"/>
    <n v="3"/>
    <n v="12.8568"/>
    <s v="4- days"/>
    <n v="4"/>
    <x v="0"/>
  </r>
  <r>
    <s v="CA-2015-112214"/>
    <d v="2015-08-05T00:00:00"/>
    <d v="2015-08-11T00:00:00"/>
    <x v="1"/>
    <s v="AH-10690"/>
    <s v="Anna HŠberlin"/>
    <x v="1"/>
    <s v="United States"/>
    <s v="Dallas"/>
    <s v="Texas"/>
    <x v="3"/>
    <s v="FUR-FU-10002364"/>
    <s v="Furniture"/>
    <x v="3"/>
    <x v="242"/>
    <n v="14.76"/>
    <n v="5"/>
    <n v="-11.439"/>
    <s v="6- days"/>
    <n v="6"/>
    <x v="10"/>
  </r>
  <r>
    <s v="US-2017-153255"/>
    <d v="2017-09-03T00:00:00"/>
    <d v="2017-09-07T00:00:00"/>
    <x v="0"/>
    <s v="JK-15730"/>
    <s v="Joe Kamberova"/>
    <x v="0"/>
    <s v="United States"/>
    <s v="Concord"/>
    <s v="California"/>
    <x v="1"/>
    <s v="FUR-BO-10004218"/>
    <s v="Furniture"/>
    <x v="0"/>
    <x v="327"/>
    <n v="239.666"/>
    <n v="2"/>
    <n v="14.098000000000001"/>
    <s v="4- days"/>
    <n v="4"/>
    <x v="4"/>
  </r>
  <r>
    <s v="CA-2015-108119"/>
    <d v="2015-11-01T00:00:00"/>
    <d v="2015-11-08T00:00:00"/>
    <x v="1"/>
    <s v="MS-17530"/>
    <s v="MaryBeth Skach"/>
    <x v="0"/>
    <s v="United States"/>
    <s v="Conway"/>
    <s v="Arkansas"/>
    <x v="0"/>
    <s v="FUR-TA-10002530"/>
    <s v="Furniture"/>
    <x v="2"/>
    <x v="197"/>
    <n v="301.95999999999998"/>
    <n v="2"/>
    <n v="45.293999999999997"/>
    <s v="7- days"/>
    <n v="7"/>
    <x v="0"/>
  </r>
  <r>
    <s v="US-2014-117968"/>
    <d v="2014-08-05T00:00:00"/>
    <d v="2014-08-07T00:00:00"/>
    <x v="0"/>
    <s v="RS-19420"/>
    <s v="Ricardo Sperren"/>
    <x v="1"/>
    <s v="United States"/>
    <s v="Meriden"/>
    <s v="Connecticut"/>
    <x v="2"/>
    <s v="FUR-CH-10002335"/>
    <s v="Furniture"/>
    <x v="1"/>
    <x v="133"/>
    <n v="1133.3499999999999"/>
    <n v="5"/>
    <n v="294.67099999999999"/>
    <s v="2- days"/>
    <n v="2"/>
    <x v="10"/>
  </r>
  <r>
    <s v="CA-2016-152247"/>
    <d v="2016-11-07T00:00:00"/>
    <d v="2016-11-12T00:00:00"/>
    <x v="1"/>
    <s v="MA-17995"/>
    <s v="Michelle Arnett"/>
    <x v="2"/>
    <s v="United States"/>
    <s v="Cheyenne"/>
    <s v="Wyoming"/>
    <x v="1"/>
    <s v="FUR-CH-10001215"/>
    <s v="Furniture"/>
    <x v="1"/>
    <x v="94"/>
    <n v="1603.136"/>
    <n v="4"/>
    <n v="100.196"/>
    <s v="5- days"/>
    <n v="5"/>
    <x v="0"/>
  </r>
  <r>
    <s v="CA-2016-128223"/>
    <d v="2016-06-14T00:00:00"/>
    <d v="2016-06-14T00:00:00"/>
    <x v="3"/>
    <s v="EB-13705"/>
    <s v="Ed Braxton"/>
    <x v="1"/>
    <s v="United States"/>
    <s v="Anaheim"/>
    <s v="California"/>
    <x v="1"/>
    <s v="FUR-TA-10001771"/>
    <s v="Furniture"/>
    <x v="2"/>
    <x v="358"/>
    <n v="1293.4880000000001"/>
    <n v="7"/>
    <n v="80.843000000000004"/>
    <s v="0- days"/>
    <n v="0"/>
    <x v="2"/>
  </r>
  <r>
    <s v="CA-2016-154235"/>
    <d v="2016-09-24T00:00:00"/>
    <d v="2016-09-28T00:00:00"/>
    <x v="1"/>
    <s v="RD-19900"/>
    <s v="Ruben Dartt"/>
    <x v="0"/>
    <s v="United States"/>
    <s v="Bloomington"/>
    <s v="Indiana"/>
    <x v="3"/>
    <s v="FUR-FU-10004006"/>
    <s v="Furniture"/>
    <x v="3"/>
    <x v="23"/>
    <n v="127.95"/>
    <n v="3"/>
    <n v="21.7515"/>
    <s v="4- days"/>
    <n v="4"/>
    <x v="4"/>
  </r>
  <r>
    <s v="CA-2016-133935"/>
    <d v="2016-09-18T00:00:00"/>
    <d v="2016-09-22T00:00:00"/>
    <x v="1"/>
    <s v="JW-15220"/>
    <s v="Jane Waco"/>
    <x v="1"/>
    <s v="United States"/>
    <s v="San Diego"/>
    <s v="California"/>
    <x v="1"/>
    <s v="FUR-CH-10001215"/>
    <s v="Furniture"/>
    <x v="1"/>
    <x v="94"/>
    <n v="801.56799999999998"/>
    <n v="2"/>
    <n v="50.097999999999999"/>
    <s v="4- days"/>
    <n v="4"/>
    <x v="4"/>
  </r>
  <r>
    <s v="CA-2016-133935"/>
    <d v="2016-09-18T00:00:00"/>
    <d v="2016-09-22T00:00:00"/>
    <x v="1"/>
    <s v="JW-15220"/>
    <s v="Jane Waco"/>
    <x v="1"/>
    <s v="United States"/>
    <s v="San Diego"/>
    <s v="California"/>
    <x v="1"/>
    <s v="FUR-CH-10002880"/>
    <s v="Furniture"/>
    <x v="1"/>
    <x v="162"/>
    <n v="885.52800000000002"/>
    <n v="9"/>
    <n v="-99.621899999999997"/>
    <s v="4- days"/>
    <n v="4"/>
    <x v="4"/>
  </r>
  <r>
    <s v="CA-2016-136301"/>
    <d v="2016-03-13T00:00:00"/>
    <d v="2016-03-15T00:00:00"/>
    <x v="0"/>
    <s v="EH-13765"/>
    <s v="Edward Hooks"/>
    <x v="1"/>
    <s v="United States"/>
    <s v="San Francisco"/>
    <s v="California"/>
    <x v="1"/>
    <s v="FUR-FU-10004712"/>
    <s v="Furniture"/>
    <x v="3"/>
    <x v="78"/>
    <n v="28.28"/>
    <n v="2"/>
    <n v="7.3528000000000002"/>
    <s v="2- days"/>
    <n v="2"/>
    <x v="9"/>
  </r>
  <r>
    <s v="CA-2016-167682"/>
    <d v="2016-04-03T00:00:00"/>
    <d v="2016-04-09T00:00:00"/>
    <x v="1"/>
    <s v="ZD-21925"/>
    <s v="Zuschuss Donatelli"/>
    <x v="0"/>
    <s v="United States"/>
    <s v="Richmond"/>
    <s v="Indiana"/>
    <x v="3"/>
    <s v="FUR-FU-10003799"/>
    <s v="Furniture"/>
    <x v="3"/>
    <x v="21"/>
    <n v="71.12"/>
    <n v="4"/>
    <n v="22.0472"/>
    <s v="6- days"/>
    <n v="6"/>
    <x v="6"/>
  </r>
  <r>
    <s v="CA-2016-159639"/>
    <d v="2016-11-27T00:00:00"/>
    <d v="2016-12-02T00:00:00"/>
    <x v="1"/>
    <s v="PC-18745"/>
    <s v="Pamela Coakley"/>
    <x v="1"/>
    <s v="United States"/>
    <s v="Westfield"/>
    <s v="New Jersey"/>
    <x v="2"/>
    <s v="FUR-FU-10001889"/>
    <s v="Furniture"/>
    <x v="3"/>
    <x v="228"/>
    <n v="31.56"/>
    <n v="3"/>
    <n v="10.4148"/>
    <s v="5- days"/>
    <n v="5"/>
    <x v="0"/>
  </r>
  <r>
    <s v="US-2016-113985"/>
    <d v="2016-12-02T00:00:00"/>
    <d v="2016-12-07T00:00:00"/>
    <x v="1"/>
    <s v="KD-16495"/>
    <s v="Keith Dawkins"/>
    <x v="1"/>
    <s v="United States"/>
    <s v="San Jose"/>
    <s v="California"/>
    <x v="1"/>
    <s v="FUR-FU-10003026"/>
    <s v="Furniture"/>
    <x v="3"/>
    <x v="318"/>
    <n v="14.52"/>
    <n v="3"/>
    <n v="5.6627999999999998"/>
    <s v="5- days"/>
    <n v="5"/>
    <x v="5"/>
  </r>
  <r>
    <s v="US-2015-126977"/>
    <d v="2015-09-17T00:00:00"/>
    <d v="2015-09-23T00:00:00"/>
    <x v="1"/>
    <s v="PF-19120"/>
    <s v="Peter Fuller"/>
    <x v="0"/>
    <s v="United States"/>
    <s v="New York City"/>
    <s v="New York"/>
    <x v="2"/>
    <s v="FUR-CH-10001973"/>
    <s v="Furniture"/>
    <x v="1"/>
    <x v="183"/>
    <n v="199.76400000000001"/>
    <n v="2"/>
    <n v="8.8783999999999992"/>
    <s v="6- days"/>
    <n v="6"/>
    <x v="4"/>
  </r>
  <r>
    <s v="US-2015-126977"/>
    <d v="2015-09-17T00:00:00"/>
    <d v="2015-09-23T00:00:00"/>
    <x v="1"/>
    <s v="PF-19120"/>
    <s v="Peter Fuller"/>
    <x v="0"/>
    <s v="United States"/>
    <s v="New York City"/>
    <s v="New York"/>
    <x v="2"/>
    <s v="FUR-BO-10004834"/>
    <s v="Furniture"/>
    <x v="0"/>
    <x v="6"/>
    <n v="4228.7039999999997"/>
    <n v="6"/>
    <n v="158.57640000000001"/>
    <s v="6- days"/>
    <n v="6"/>
    <x v="4"/>
  </r>
  <r>
    <s v="US-2015-126977"/>
    <d v="2015-09-17T00:00:00"/>
    <d v="2015-09-23T00:00:00"/>
    <x v="1"/>
    <s v="PF-19120"/>
    <s v="Peter Fuller"/>
    <x v="0"/>
    <s v="United States"/>
    <s v="New York City"/>
    <s v="New York"/>
    <x v="2"/>
    <s v="FUR-BO-10002213"/>
    <s v="Furniture"/>
    <x v="0"/>
    <x v="240"/>
    <n v="2003.92"/>
    <n v="5"/>
    <n v="-25.048999999999999"/>
    <s v="6- days"/>
    <n v="6"/>
    <x v="4"/>
  </r>
  <r>
    <s v="CA-2016-130288"/>
    <d v="2016-11-26T00:00:00"/>
    <d v="2016-11-30T00:00:00"/>
    <x v="0"/>
    <s v="DK-13225"/>
    <s v="Dean Katz"/>
    <x v="1"/>
    <s v="United States"/>
    <s v="New York City"/>
    <s v="New York"/>
    <x v="2"/>
    <s v="FUR-TA-10002958"/>
    <s v="Furniture"/>
    <x v="2"/>
    <x v="192"/>
    <n v="313.17599999999999"/>
    <n v="2"/>
    <n v="-120.0508"/>
    <s v="4- days"/>
    <n v="4"/>
    <x v="0"/>
  </r>
  <r>
    <s v="US-2014-118997"/>
    <d v="2014-04-08T00:00:00"/>
    <d v="2014-04-12T00:00:00"/>
    <x v="1"/>
    <s v="RA-19885"/>
    <s v="Ruben Ausman"/>
    <x v="1"/>
    <s v="United States"/>
    <s v="Decatur"/>
    <s v="Alabama"/>
    <x v="0"/>
    <s v="FUR-TA-10001086"/>
    <s v="Furniture"/>
    <x v="2"/>
    <x v="360"/>
    <n v="1215.92"/>
    <n v="8"/>
    <n v="316.13920000000002"/>
    <s v="4- days"/>
    <n v="4"/>
    <x v="6"/>
  </r>
  <r>
    <s v="CA-2014-114314"/>
    <d v="2014-10-11T00:00:00"/>
    <d v="2014-10-15T00:00:00"/>
    <x v="1"/>
    <s v="DB-13555"/>
    <s v="Dorothy Badders"/>
    <x v="1"/>
    <s v="United States"/>
    <s v="Fayetteville"/>
    <s v="Arkansas"/>
    <x v="0"/>
    <s v="FUR-FU-10002107"/>
    <s v="Furniture"/>
    <x v="3"/>
    <x v="262"/>
    <n v="8.92"/>
    <n v="4"/>
    <n v="3.9247999999999998"/>
    <s v="4- days"/>
    <n v="4"/>
    <x v="1"/>
  </r>
  <r>
    <s v="US-2017-169551"/>
    <d v="2017-07-07T00:00:00"/>
    <d v="2017-07-09T00:00:00"/>
    <x v="2"/>
    <s v="RL-19615"/>
    <s v="Rob Lucas"/>
    <x v="0"/>
    <s v="United States"/>
    <s v="Philadelphia"/>
    <s v="Pennsylvania"/>
    <x v="2"/>
    <s v="FUR-BO-10001519"/>
    <s v="Furniture"/>
    <x v="0"/>
    <x v="141"/>
    <n v="87.21"/>
    <n v="3"/>
    <n v="-45.349200000000003"/>
    <s v="2- days"/>
    <n v="2"/>
    <x v="3"/>
  </r>
  <r>
    <s v="CA-2016-103107"/>
    <d v="2016-07-04T00:00:00"/>
    <d v="2016-07-04T00:00:00"/>
    <x v="3"/>
    <s v="RB-19465"/>
    <s v="Rick Bensley"/>
    <x v="2"/>
    <s v="United States"/>
    <s v="Seattle"/>
    <s v="Washington"/>
    <x v="1"/>
    <s v="FUR-FU-10000221"/>
    <s v="Furniture"/>
    <x v="3"/>
    <x v="111"/>
    <n v="25.4"/>
    <n v="5"/>
    <n v="8.6359999999999992"/>
    <s v="0- days"/>
    <n v="0"/>
    <x v="3"/>
  </r>
  <r>
    <s v="CA-2014-104178"/>
    <d v="2014-08-25T00:00:00"/>
    <d v="2014-08-29T00:00:00"/>
    <x v="1"/>
    <s v="JM-15265"/>
    <s v="Janet Molinari"/>
    <x v="1"/>
    <s v="United States"/>
    <s v="Los Angeles"/>
    <s v="California"/>
    <x v="1"/>
    <s v="FUR-FU-10000771"/>
    <s v="Furniture"/>
    <x v="3"/>
    <x v="285"/>
    <n v="6.28"/>
    <n v="1"/>
    <n v="2.6375999999999999"/>
    <s v="4- days"/>
    <n v="4"/>
    <x v="10"/>
  </r>
  <r>
    <s v="CA-2014-155796"/>
    <d v="2014-11-11T00:00:00"/>
    <d v="2014-11-15T00:00:00"/>
    <x v="0"/>
    <s v="TS-21430"/>
    <s v="Tom Stivers"/>
    <x v="1"/>
    <s v="United States"/>
    <s v="Reading"/>
    <s v="Pennsylvania"/>
    <x v="2"/>
    <s v="FUR-FU-10000409"/>
    <s v="Furniture"/>
    <x v="3"/>
    <x v="283"/>
    <n v="23.968"/>
    <n v="2"/>
    <n v="7.7896000000000001"/>
    <s v="4- days"/>
    <n v="4"/>
    <x v="0"/>
  </r>
  <r>
    <s v="CA-2014-155796"/>
    <d v="2014-11-11T00:00:00"/>
    <d v="2014-11-15T00:00:00"/>
    <x v="0"/>
    <s v="TS-21430"/>
    <s v="Tom Stivers"/>
    <x v="1"/>
    <s v="United States"/>
    <s v="Reading"/>
    <s v="Pennsylvania"/>
    <x v="2"/>
    <s v="FUR-BO-10002545"/>
    <s v="Furniture"/>
    <x v="0"/>
    <x v="9"/>
    <n v="521.96"/>
    <n v="4"/>
    <n v="-250.54079999999999"/>
    <s v="4- days"/>
    <n v="4"/>
    <x v="0"/>
  </r>
  <r>
    <s v="CA-2016-127138"/>
    <d v="2016-03-12T00:00:00"/>
    <d v="2016-03-15T00:00:00"/>
    <x v="0"/>
    <s v="DK-13225"/>
    <s v="Dean Katz"/>
    <x v="1"/>
    <s v="United States"/>
    <s v="San Francisco"/>
    <s v="California"/>
    <x v="1"/>
    <s v="FUR-CH-10003746"/>
    <s v="Furniture"/>
    <x v="1"/>
    <x v="131"/>
    <n v="770.35199999999998"/>
    <n v="3"/>
    <n v="77.035200000000003"/>
    <s v="3- days"/>
    <n v="3"/>
    <x v="9"/>
  </r>
  <r>
    <s v="CA-2017-150602"/>
    <d v="2017-02-09T00:00:00"/>
    <d v="2017-02-14T00:00:00"/>
    <x v="0"/>
    <s v="ML-17395"/>
    <s v="Marina Lichtenstein"/>
    <x v="1"/>
    <s v="United States"/>
    <s v="Los Angeles"/>
    <s v="California"/>
    <x v="1"/>
    <s v="FUR-FU-10003142"/>
    <s v="Furniture"/>
    <x v="3"/>
    <x v="238"/>
    <n v="21.12"/>
    <n v="4"/>
    <n v="6.5472000000000001"/>
    <s v="5- days"/>
    <n v="5"/>
    <x v="11"/>
  </r>
  <r>
    <s v="CA-2014-141726"/>
    <d v="2014-07-20T00:00:00"/>
    <d v="2014-07-22T00:00:00"/>
    <x v="2"/>
    <s v="CC-12145"/>
    <s v="Charles Crestani"/>
    <x v="0"/>
    <s v="United States"/>
    <s v="San Diego"/>
    <s v="California"/>
    <x v="1"/>
    <s v="FUR-FU-10003577"/>
    <s v="Furniture"/>
    <x v="3"/>
    <x v="128"/>
    <n v="43.02"/>
    <n v="3"/>
    <n v="15.4872"/>
    <s v="2- days"/>
    <n v="2"/>
    <x v="3"/>
  </r>
  <r>
    <s v="CA-2017-115105"/>
    <d v="2017-02-06T00:00:00"/>
    <d v="2017-02-11T00:00:00"/>
    <x v="1"/>
    <s v="BD-11770"/>
    <s v="Bryan Davis"/>
    <x v="0"/>
    <s v="United States"/>
    <s v="New York City"/>
    <s v="New York"/>
    <x v="2"/>
    <s v="FUR-BO-10001811"/>
    <s v="Furniture"/>
    <x v="0"/>
    <x v="157"/>
    <n v="240.78399999999999"/>
    <n v="1"/>
    <n v="30.097999999999999"/>
    <s v="5- days"/>
    <n v="5"/>
    <x v="11"/>
  </r>
  <r>
    <s v="CA-2014-117765"/>
    <d v="2014-09-07T00:00:00"/>
    <d v="2014-09-13T00:00:00"/>
    <x v="1"/>
    <s v="RB-19465"/>
    <s v="Rick Bensley"/>
    <x v="2"/>
    <s v="United States"/>
    <s v="Tulsa"/>
    <s v="Oklahoma"/>
    <x v="3"/>
    <s v="FUR-TA-10001039"/>
    <s v="Furniture"/>
    <x v="2"/>
    <x v="165"/>
    <n v="429.9"/>
    <n v="5"/>
    <n v="111.774"/>
    <s v="6- days"/>
    <n v="6"/>
    <x v="4"/>
  </r>
  <r>
    <s v="CA-2014-117765"/>
    <d v="2014-09-07T00:00:00"/>
    <d v="2014-09-13T00:00:00"/>
    <x v="1"/>
    <s v="RB-19465"/>
    <s v="Rick Bensley"/>
    <x v="2"/>
    <s v="United States"/>
    <s v="Tulsa"/>
    <s v="Oklahoma"/>
    <x v="3"/>
    <s v="FUR-CH-10004698"/>
    <s v="Furniture"/>
    <x v="1"/>
    <x v="34"/>
    <n v="161.96"/>
    <n v="2"/>
    <n v="45.348799999999997"/>
    <s v="6- days"/>
    <n v="6"/>
    <x v="4"/>
  </r>
  <r>
    <s v="CA-2016-163776"/>
    <d v="2016-07-19T00:00:00"/>
    <d v="2016-07-25T00:00:00"/>
    <x v="1"/>
    <s v="JS-16030"/>
    <s v="Joy Smith"/>
    <x v="0"/>
    <s v="United States"/>
    <s v="Hattiesburg"/>
    <s v="Mississippi"/>
    <x v="0"/>
    <s v="FUR-FU-10001185"/>
    <s v="Furniture"/>
    <x v="3"/>
    <x v="281"/>
    <n v="185.58"/>
    <n v="6"/>
    <n v="76.087800000000001"/>
    <s v="6- days"/>
    <n v="6"/>
    <x v="3"/>
  </r>
  <r>
    <s v="CA-2016-163776"/>
    <d v="2016-07-19T00:00:00"/>
    <d v="2016-07-25T00:00:00"/>
    <x v="1"/>
    <s v="JS-16030"/>
    <s v="Joy Smith"/>
    <x v="0"/>
    <s v="United States"/>
    <s v="Hattiesburg"/>
    <s v="Mississippi"/>
    <x v="0"/>
    <s v="FUR-BO-10003546"/>
    <s v="Furniture"/>
    <x v="0"/>
    <x v="341"/>
    <n v="504.9"/>
    <n v="5"/>
    <n v="126.22499999999999"/>
    <s v="6- days"/>
    <n v="6"/>
    <x v="3"/>
  </r>
  <r>
    <s v="US-2017-163300"/>
    <d v="2017-09-15T00:00:00"/>
    <d v="2017-09-21T00:00:00"/>
    <x v="1"/>
    <s v="ES-14020"/>
    <s v="Erica Smith"/>
    <x v="0"/>
    <s v="United States"/>
    <s v="Los Angeles"/>
    <s v="California"/>
    <x v="1"/>
    <s v="FUR-CH-10003396"/>
    <s v="Furniture"/>
    <x v="1"/>
    <x v="81"/>
    <n v="184.75200000000001"/>
    <n v="3"/>
    <n v="-20.784600000000001"/>
    <s v="6- days"/>
    <n v="6"/>
    <x v="4"/>
  </r>
  <r>
    <s v="CA-2016-162187"/>
    <d v="2016-12-11T00:00:00"/>
    <d v="2016-12-11T00:00:00"/>
    <x v="3"/>
    <s v="NS-18640"/>
    <s v="Noel Staavos"/>
    <x v="1"/>
    <s v="United States"/>
    <s v="Columbus"/>
    <s v="Ohio"/>
    <x v="2"/>
    <s v="FUR-CH-10003298"/>
    <s v="Furniture"/>
    <x v="1"/>
    <x v="322"/>
    <n v="458.43"/>
    <n v="5"/>
    <n v="-137.529"/>
    <s v="0- days"/>
    <n v="0"/>
    <x v="5"/>
  </r>
  <r>
    <s v="CA-2016-162187"/>
    <d v="2016-12-11T00:00:00"/>
    <d v="2016-12-11T00:00:00"/>
    <x v="3"/>
    <s v="NS-18640"/>
    <s v="Noel Staavos"/>
    <x v="1"/>
    <s v="United States"/>
    <s v="Columbus"/>
    <s v="Ohio"/>
    <x v="2"/>
    <s v="FUR-TA-10003008"/>
    <s v="Furniture"/>
    <x v="2"/>
    <x v="190"/>
    <n v="328.59"/>
    <n v="3"/>
    <n v="-147.8655"/>
    <s v="0- days"/>
    <n v="0"/>
    <x v="5"/>
  </r>
  <r>
    <s v="US-2014-112991"/>
    <d v="2014-12-10T00:00:00"/>
    <d v="2014-12-14T00:00:00"/>
    <x v="1"/>
    <s v="SH-19975"/>
    <s v="Sally Hughsby"/>
    <x v="1"/>
    <s v="United States"/>
    <s v="Caldwell"/>
    <s v="Idaho"/>
    <x v="1"/>
    <s v="FUR-CH-10001708"/>
    <s v="Furniture"/>
    <x v="1"/>
    <x v="180"/>
    <n v="338.35199999999998"/>
    <n v="3"/>
    <n v="4.2294"/>
    <s v="4- days"/>
    <n v="4"/>
    <x v="5"/>
  </r>
  <r>
    <s v="CA-2014-124079"/>
    <d v="2014-12-13T00:00:00"/>
    <d v="2014-12-17T00:00:00"/>
    <x v="1"/>
    <s v="RF-19345"/>
    <s v="Randy Ferguson"/>
    <x v="1"/>
    <s v="United States"/>
    <s v="Phoenix"/>
    <s v="Arizona"/>
    <x v="1"/>
    <s v="FUR-FU-10002553"/>
    <s v="Furniture"/>
    <x v="3"/>
    <x v="218"/>
    <n v="87.96"/>
    <n v="3"/>
    <n v="7.6965000000000003"/>
    <s v="4- days"/>
    <n v="4"/>
    <x v="5"/>
  </r>
  <r>
    <s v="CA-2017-107244"/>
    <d v="2017-09-07T00:00:00"/>
    <d v="2017-09-11T00:00:00"/>
    <x v="1"/>
    <s v="AG-10390"/>
    <s v="Allen Goldenen"/>
    <x v="0"/>
    <s v="United States"/>
    <s v="Los Angeles"/>
    <s v="California"/>
    <x v="1"/>
    <s v="FUR-FU-10002597"/>
    <s v="Furniture"/>
    <x v="3"/>
    <x v="132"/>
    <n v="19.760000000000002"/>
    <n v="4"/>
    <n v="8.2992000000000008"/>
    <s v="4- days"/>
    <n v="4"/>
    <x v="4"/>
  </r>
  <r>
    <s v="CA-2015-100657"/>
    <d v="2015-11-02T00:00:00"/>
    <d v="2015-11-07T00:00:00"/>
    <x v="1"/>
    <s v="SW-20245"/>
    <s v="Scot Wooten"/>
    <x v="0"/>
    <s v="United States"/>
    <s v="Troy"/>
    <s v="New York"/>
    <x v="2"/>
    <s v="FUR-CH-10003535"/>
    <s v="Furniture"/>
    <x v="1"/>
    <x v="312"/>
    <n v="109.764"/>
    <n v="2"/>
    <n v="8.5372000000000003"/>
    <s v="5- days"/>
    <n v="5"/>
    <x v="0"/>
  </r>
  <r>
    <s v="CA-2017-129028"/>
    <d v="2017-04-01T00:00:00"/>
    <d v="2017-04-03T00:00:00"/>
    <x v="2"/>
    <s v="GB-14530"/>
    <s v="George Bell"/>
    <x v="1"/>
    <s v="United States"/>
    <s v="Florence"/>
    <s v="South Carolina"/>
    <x v="0"/>
    <s v="FUR-FU-10004006"/>
    <s v="Furniture"/>
    <x v="3"/>
    <x v="23"/>
    <n v="127.95"/>
    <n v="3"/>
    <n v="21.7515"/>
    <s v="2- days"/>
    <n v="2"/>
    <x v="6"/>
  </r>
  <r>
    <s v="CA-2014-102652"/>
    <d v="2014-04-06T00:00:00"/>
    <d v="2014-04-12T00:00:00"/>
    <x v="1"/>
    <s v="AY-10555"/>
    <s v="Andy Yotov"/>
    <x v="1"/>
    <s v="United States"/>
    <s v="Los Angeles"/>
    <s v="California"/>
    <x v="1"/>
    <s v="FUR-FU-10000747"/>
    <s v="Furniture"/>
    <x v="3"/>
    <x v="363"/>
    <n v="91.96"/>
    <n v="2"/>
    <n v="15.6332"/>
    <s v="6- days"/>
    <n v="6"/>
    <x v="6"/>
  </r>
  <r>
    <s v="CA-2014-102652"/>
    <d v="2014-04-06T00:00:00"/>
    <d v="2014-04-12T00:00:00"/>
    <x v="1"/>
    <s v="AY-10555"/>
    <s v="Andy Yotov"/>
    <x v="1"/>
    <s v="United States"/>
    <s v="Los Angeles"/>
    <s v="California"/>
    <x v="1"/>
    <s v="FUR-FU-10001918"/>
    <s v="Furniture"/>
    <x v="3"/>
    <x v="60"/>
    <n v="33.11"/>
    <n v="7"/>
    <n v="12.9129"/>
    <s v="6- days"/>
    <n v="6"/>
    <x v="6"/>
  </r>
  <r>
    <s v="US-2017-152492"/>
    <d v="2017-07-06T00:00:00"/>
    <d v="2017-07-06T00:00:00"/>
    <x v="3"/>
    <s v="AH-10585"/>
    <s v="Angele Hood"/>
    <x v="0"/>
    <s v="United States"/>
    <s v="Miami"/>
    <s v="Florida"/>
    <x v="0"/>
    <s v="FUR-CH-10000155"/>
    <s v="Furniture"/>
    <x v="1"/>
    <x v="229"/>
    <n v="239.24"/>
    <n v="1"/>
    <n v="23.923999999999999"/>
    <s v="0- days"/>
    <n v="0"/>
    <x v="3"/>
  </r>
  <r>
    <s v="CA-2016-101168"/>
    <d v="2016-12-25T00:00:00"/>
    <d v="2017-01-01T00:00:00"/>
    <x v="1"/>
    <s v="SS-20140"/>
    <s v="Saphhira Shifley"/>
    <x v="1"/>
    <s v="United States"/>
    <s v="Nashua"/>
    <s v="New Hampshire"/>
    <x v="2"/>
    <s v="FUR-FU-10003142"/>
    <s v="Furniture"/>
    <x v="3"/>
    <x v="238"/>
    <n v="21.12"/>
    <n v="4"/>
    <n v="6.5472000000000001"/>
    <s v="7- days"/>
    <n v="7"/>
    <x v="5"/>
  </r>
  <r>
    <s v="CA-2015-130253"/>
    <d v="2015-12-14T00:00:00"/>
    <d v="2015-12-18T00:00:00"/>
    <x v="1"/>
    <s v="PP-18955"/>
    <s v="Paul Prost"/>
    <x v="2"/>
    <s v="United States"/>
    <s v="Los Angeles"/>
    <s v="California"/>
    <x v="1"/>
    <s v="FUR-FU-10002963"/>
    <s v="Furniture"/>
    <x v="3"/>
    <x v="305"/>
    <n v="15.24"/>
    <n v="3"/>
    <n v="5.1816000000000004"/>
    <s v="4- days"/>
    <n v="4"/>
    <x v="5"/>
  </r>
  <r>
    <s v="CA-2016-131205"/>
    <d v="2016-09-04T00:00:00"/>
    <d v="2016-09-08T00:00:00"/>
    <x v="1"/>
    <s v="AA-10645"/>
    <s v="Anna Andreadi"/>
    <x v="0"/>
    <s v="United States"/>
    <s v="Georgetown"/>
    <s v="Kentucky"/>
    <x v="0"/>
    <s v="FUR-FU-10003347"/>
    <s v="Furniture"/>
    <x v="3"/>
    <x v="80"/>
    <n v="42.6"/>
    <n v="3"/>
    <n v="16.614000000000001"/>
    <s v="4- days"/>
    <n v="4"/>
    <x v="4"/>
  </r>
  <r>
    <s v="CA-2016-117912"/>
    <d v="2016-02-04T00:00:00"/>
    <d v="2016-02-08T00:00:00"/>
    <x v="1"/>
    <s v="TB-21520"/>
    <s v="Tracy Blumstein"/>
    <x v="0"/>
    <s v="United States"/>
    <s v="Sierra Vista"/>
    <s v="Arizona"/>
    <x v="1"/>
    <s v="FUR-FU-10002088"/>
    <s v="Furniture"/>
    <x v="3"/>
    <x v="209"/>
    <n v="14.368"/>
    <n v="2"/>
    <n v="3.9512"/>
    <s v="4- days"/>
    <n v="4"/>
    <x v="11"/>
  </r>
  <r>
    <s v="CA-2017-145702"/>
    <d v="2017-05-19T00:00:00"/>
    <d v="2017-05-24T00:00:00"/>
    <x v="0"/>
    <s v="AH-10075"/>
    <s v="Adam Hart"/>
    <x v="1"/>
    <s v="United States"/>
    <s v="Knoxville"/>
    <s v="Tennessee"/>
    <x v="0"/>
    <s v="FUR-CH-10001482"/>
    <s v="Furniture"/>
    <x v="1"/>
    <x v="112"/>
    <n v="314.35199999999998"/>
    <n v="3"/>
    <n v="-35.364600000000003"/>
    <s v="5- days"/>
    <n v="5"/>
    <x v="7"/>
  </r>
  <r>
    <s v="CA-2015-113215"/>
    <d v="2015-09-03T00:00:00"/>
    <d v="2015-09-08T00:00:00"/>
    <x v="1"/>
    <s v="CP-12085"/>
    <s v="Cathy Prescott"/>
    <x v="1"/>
    <s v="United States"/>
    <s v="Tucson"/>
    <s v="Arizona"/>
    <x v="1"/>
    <s v="FUR-FU-10002937"/>
    <s v="Furniture"/>
    <x v="3"/>
    <x v="205"/>
    <n v="238.15199999999999"/>
    <n v="3"/>
    <n v="89.307000000000002"/>
    <s v="5- days"/>
    <n v="5"/>
    <x v="4"/>
  </r>
  <r>
    <s v="CA-2016-154662"/>
    <d v="2016-06-09T00:00:00"/>
    <d v="2016-06-16T00:00:00"/>
    <x v="1"/>
    <s v="BF-11215"/>
    <s v="Benjamin Farhat"/>
    <x v="2"/>
    <s v="United States"/>
    <s v="Minneapolis"/>
    <s v="Minnesota"/>
    <x v="3"/>
    <s v="FUR-TA-10001771"/>
    <s v="Furniture"/>
    <x v="2"/>
    <x v="358"/>
    <n v="692.94"/>
    <n v="3"/>
    <n v="173.23500000000001"/>
    <s v="7- days"/>
    <n v="7"/>
    <x v="2"/>
  </r>
  <r>
    <s v="CA-2016-124016"/>
    <d v="2016-09-23T00:00:00"/>
    <d v="2016-09-26T00:00:00"/>
    <x v="0"/>
    <s v="JS-15940"/>
    <s v="Joni Sundaresam"/>
    <x v="2"/>
    <s v="United States"/>
    <s v="Lancaster"/>
    <s v="Ohio"/>
    <x v="2"/>
    <s v="FUR-FU-10004963"/>
    <s v="Furniture"/>
    <x v="3"/>
    <x v="289"/>
    <n v="28"/>
    <n v="4"/>
    <n v="7.7"/>
    <s v="3- days"/>
    <n v="3"/>
    <x v="4"/>
  </r>
  <r>
    <s v="CA-2017-166695"/>
    <d v="2017-05-20T00:00:00"/>
    <d v="2017-05-24T00:00:00"/>
    <x v="1"/>
    <s v="CC-12430"/>
    <s v="Chuck Clark"/>
    <x v="2"/>
    <s v="United States"/>
    <s v="Lakewood"/>
    <s v="California"/>
    <x v="1"/>
    <s v="FUR-CH-10000225"/>
    <s v="Furniture"/>
    <x v="1"/>
    <x v="85"/>
    <n v="518.27200000000005"/>
    <n v="8"/>
    <n v="-97.176000000000002"/>
    <s v="4- days"/>
    <n v="4"/>
    <x v="7"/>
  </r>
  <r>
    <s v="CA-2017-166695"/>
    <d v="2017-05-20T00:00:00"/>
    <d v="2017-05-24T00:00:00"/>
    <x v="1"/>
    <s v="CC-12430"/>
    <s v="Chuck Clark"/>
    <x v="2"/>
    <s v="United States"/>
    <s v="Lakewood"/>
    <s v="California"/>
    <x v="1"/>
    <s v="FUR-FU-10002191"/>
    <s v="Furniture"/>
    <x v="3"/>
    <x v="154"/>
    <n v="6.98"/>
    <n v="1"/>
    <n v="3.3504"/>
    <s v="4- days"/>
    <n v="4"/>
    <x v="7"/>
  </r>
  <r>
    <s v="CA-2016-151561"/>
    <d v="2016-09-01T00:00:00"/>
    <d v="2016-09-07T00:00:00"/>
    <x v="1"/>
    <s v="PG-18820"/>
    <s v="Patrick Gardner"/>
    <x v="0"/>
    <s v="United States"/>
    <s v="New York City"/>
    <s v="New York"/>
    <x v="2"/>
    <s v="FUR-FU-10004864"/>
    <s v="Furniture"/>
    <x v="3"/>
    <x v="92"/>
    <n v="191.82"/>
    <n v="3"/>
    <n v="61.382399999999997"/>
    <s v="6- days"/>
    <n v="6"/>
    <x v="4"/>
  </r>
  <r>
    <s v="US-2014-165589"/>
    <d v="2014-02-18T00:00:00"/>
    <d v="2014-02-18T00:00:00"/>
    <x v="3"/>
    <s v="TB-21595"/>
    <s v="Troy Blackwell"/>
    <x v="0"/>
    <s v="United States"/>
    <s v="Lubbock"/>
    <s v="Texas"/>
    <x v="3"/>
    <s v="FUR-FU-10002396"/>
    <s v="Furniture"/>
    <x v="3"/>
    <x v="326"/>
    <n v="25.16"/>
    <n v="5"/>
    <n v="-11.321999999999999"/>
    <s v="0- days"/>
    <n v="0"/>
    <x v="11"/>
  </r>
  <r>
    <s v="CA-2015-114048"/>
    <d v="2015-12-14T00:00:00"/>
    <d v="2015-12-18T00:00:00"/>
    <x v="1"/>
    <s v="EH-13945"/>
    <s v="Eric Hoffmann"/>
    <x v="0"/>
    <s v="United States"/>
    <s v="Costa Mesa"/>
    <s v="California"/>
    <x v="1"/>
    <s v="FUR-FU-10004351"/>
    <s v="Furniture"/>
    <x v="3"/>
    <x v="47"/>
    <n v="29.22"/>
    <n v="3"/>
    <n v="12.8568"/>
    <s v="4- days"/>
    <n v="4"/>
    <x v="5"/>
  </r>
  <r>
    <s v="CA-2017-100111"/>
    <d v="2017-09-20T00:00:00"/>
    <d v="2017-09-26T00:00:00"/>
    <x v="1"/>
    <s v="SV-20365"/>
    <s v="Seth Vernon"/>
    <x v="0"/>
    <s v="United States"/>
    <s v="New York City"/>
    <s v="New York"/>
    <x v="2"/>
    <s v="FUR-CH-10003846"/>
    <s v="Furniture"/>
    <x v="1"/>
    <x v="186"/>
    <n v="272.64600000000002"/>
    <n v="3"/>
    <n v="18.176400000000001"/>
    <s v="6- days"/>
    <n v="6"/>
    <x v="4"/>
  </r>
  <r>
    <s v="CA-2017-100111"/>
    <d v="2017-09-20T00:00:00"/>
    <d v="2017-09-26T00:00:00"/>
    <x v="1"/>
    <s v="SV-20365"/>
    <s v="Seth Vernon"/>
    <x v="0"/>
    <s v="United States"/>
    <s v="New York City"/>
    <s v="New York"/>
    <x v="2"/>
    <s v="FUR-CH-10003061"/>
    <s v="Furniture"/>
    <x v="1"/>
    <x v="12"/>
    <n v="80.991"/>
    <n v="1"/>
    <n v="8.0991"/>
    <s v="6- days"/>
    <n v="6"/>
    <x v="4"/>
  </r>
  <r>
    <s v="CA-2017-100111"/>
    <d v="2017-09-20T00:00:00"/>
    <d v="2017-09-26T00:00:00"/>
    <x v="1"/>
    <s v="SV-20365"/>
    <s v="Seth Vernon"/>
    <x v="0"/>
    <s v="United States"/>
    <s v="New York City"/>
    <s v="New York"/>
    <x v="2"/>
    <s v="FUR-CH-10004086"/>
    <s v="Furniture"/>
    <x v="1"/>
    <x v="61"/>
    <n v="2888.127"/>
    <n v="11"/>
    <n v="609.71569999999997"/>
    <s v="6- days"/>
    <n v="6"/>
    <x v="4"/>
  </r>
  <r>
    <s v="CA-2017-100111"/>
    <d v="2017-09-20T00:00:00"/>
    <d v="2017-09-26T00:00:00"/>
    <x v="1"/>
    <s v="SV-20365"/>
    <s v="Seth Vernon"/>
    <x v="0"/>
    <s v="United States"/>
    <s v="New York City"/>
    <s v="New York"/>
    <x v="2"/>
    <s v="FUR-CH-10001215"/>
    <s v="Furniture"/>
    <x v="1"/>
    <x v="94"/>
    <n v="2254.41"/>
    <n v="5"/>
    <n v="375.73500000000001"/>
    <s v="6- days"/>
    <n v="6"/>
    <x v="4"/>
  </r>
  <r>
    <s v="US-2017-132381"/>
    <d v="2017-08-22T00:00:00"/>
    <d v="2017-08-24T00:00:00"/>
    <x v="2"/>
    <s v="Dp-13240"/>
    <s v="Dean percer"/>
    <x v="2"/>
    <s v="United States"/>
    <s v="Philadelphia"/>
    <s v="Pennsylvania"/>
    <x v="2"/>
    <s v="FUR-TA-10002356"/>
    <s v="Furniture"/>
    <x v="2"/>
    <x v="147"/>
    <n v="314.53199999999998"/>
    <n v="2"/>
    <n v="-83.875200000000007"/>
    <s v="2- days"/>
    <n v="2"/>
    <x v="10"/>
  </r>
  <r>
    <s v="CA-2016-124590"/>
    <d v="2016-11-12T00:00:00"/>
    <d v="2016-11-16T00:00:00"/>
    <x v="1"/>
    <s v="SP-20920"/>
    <s v="Susan Pistek"/>
    <x v="0"/>
    <s v="United States"/>
    <s v="Parma"/>
    <s v="Ohio"/>
    <x v="2"/>
    <s v="FUR-CH-10004495"/>
    <s v="Furniture"/>
    <x v="1"/>
    <x v="304"/>
    <n v="1474.8019999999999"/>
    <n v="7"/>
    <n v="-21.0686"/>
    <s v="4- days"/>
    <n v="4"/>
    <x v="0"/>
  </r>
  <r>
    <s v="CA-2016-124590"/>
    <d v="2016-11-12T00:00:00"/>
    <d v="2016-11-16T00:00:00"/>
    <x v="1"/>
    <s v="SP-20920"/>
    <s v="Susan Pistek"/>
    <x v="0"/>
    <s v="United States"/>
    <s v="Parma"/>
    <s v="Ohio"/>
    <x v="2"/>
    <s v="FUR-CH-10000454"/>
    <s v="Furniture"/>
    <x v="1"/>
    <x v="1"/>
    <n v="1537.0740000000001"/>
    <n v="9"/>
    <n v="0"/>
    <s v="4- days"/>
    <n v="4"/>
    <x v="0"/>
  </r>
  <r>
    <s v="CA-2016-124590"/>
    <d v="2016-11-12T00:00:00"/>
    <d v="2016-11-16T00:00:00"/>
    <x v="1"/>
    <s v="SP-20920"/>
    <s v="Susan Pistek"/>
    <x v="0"/>
    <s v="United States"/>
    <s v="Parma"/>
    <s v="Ohio"/>
    <x v="2"/>
    <s v="FUR-CH-10003746"/>
    <s v="Furniture"/>
    <x v="1"/>
    <x v="131"/>
    <n v="449.37200000000001"/>
    <n v="2"/>
    <n v="-12.8392"/>
    <s v="4- days"/>
    <n v="4"/>
    <x v="0"/>
  </r>
  <r>
    <s v="CA-2017-143378"/>
    <d v="2017-09-19T00:00:00"/>
    <d v="2017-09-25T00:00:00"/>
    <x v="1"/>
    <s v="JR-16210"/>
    <s v="Justin Ritter"/>
    <x v="1"/>
    <s v="United States"/>
    <s v="Springfield"/>
    <s v="Oregon"/>
    <x v="1"/>
    <s v="FUR-FU-10004864"/>
    <s v="Furniture"/>
    <x v="3"/>
    <x v="92"/>
    <n v="409.21600000000001"/>
    <n v="8"/>
    <n v="61.382399999999997"/>
    <s v="6- days"/>
    <n v="6"/>
    <x v="4"/>
  </r>
  <r>
    <s v="CA-2017-143378"/>
    <d v="2017-09-19T00:00:00"/>
    <d v="2017-09-25T00:00:00"/>
    <x v="1"/>
    <s v="JR-16210"/>
    <s v="Justin Ritter"/>
    <x v="1"/>
    <s v="United States"/>
    <s v="Springfield"/>
    <s v="Oregon"/>
    <x v="1"/>
    <s v="FUR-BO-10001972"/>
    <s v="Furniture"/>
    <x v="0"/>
    <x v="75"/>
    <n v="72.587999999999994"/>
    <n v="2"/>
    <n v="-128.2388"/>
    <s v="6- days"/>
    <n v="6"/>
    <x v="4"/>
  </r>
  <r>
    <s v="CA-2016-124100"/>
    <d v="2016-03-31T00:00:00"/>
    <d v="2016-04-06T00:00:00"/>
    <x v="1"/>
    <s v="EH-13990"/>
    <s v="Erica Hackney"/>
    <x v="0"/>
    <s v="United States"/>
    <s v="New York City"/>
    <s v="New York"/>
    <x v="2"/>
    <s v="FUR-CH-10003817"/>
    <s v="Furniture"/>
    <x v="1"/>
    <x v="33"/>
    <n v="327.99599999999998"/>
    <n v="6"/>
    <n v="54.665999999999997"/>
    <s v="6- days"/>
    <n v="6"/>
    <x v="9"/>
  </r>
  <r>
    <s v="CA-2014-163447"/>
    <d v="2014-12-27T00:00:00"/>
    <d v="2014-12-31T00:00:00"/>
    <x v="1"/>
    <s v="TB-21190"/>
    <s v="Thomas Brumley"/>
    <x v="2"/>
    <s v="United States"/>
    <s v="New York City"/>
    <s v="New York"/>
    <x v="2"/>
    <s v="FUR-CH-10004477"/>
    <s v="Furniture"/>
    <x v="1"/>
    <x v="42"/>
    <n v="767.21400000000006"/>
    <n v="14"/>
    <n v="161.9674"/>
    <s v="4- days"/>
    <n v="4"/>
    <x v="5"/>
  </r>
  <r>
    <s v="CA-2016-148096"/>
    <d v="2016-08-16T00:00:00"/>
    <d v="2016-08-19T00:00:00"/>
    <x v="2"/>
    <s v="AO-10810"/>
    <s v="Anthony O'Donnell"/>
    <x v="1"/>
    <s v="United States"/>
    <s v="Los Angeles"/>
    <s v="California"/>
    <x v="1"/>
    <s v="FUR-TA-10004152"/>
    <s v="Furniture"/>
    <x v="2"/>
    <x v="308"/>
    <n v="161.28"/>
    <n v="2"/>
    <n v="12.096"/>
    <s v="3- days"/>
    <n v="3"/>
    <x v="10"/>
  </r>
  <r>
    <s v="CA-2014-131247"/>
    <d v="2014-03-30T00:00:00"/>
    <d v="2014-04-04T00:00:00"/>
    <x v="1"/>
    <s v="GA-14725"/>
    <s v="Guy Armstrong"/>
    <x v="0"/>
    <s v="United States"/>
    <s v="San Francisco"/>
    <s v="California"/>
    <x v="1"/>
    <s v="FUR-BO-10001337"/>
    <s v="Furniture"/>
    <x v="0"/>
    <x v="90"/>
    <n v="205.666"/>
    <n v="2"/>
    <n v="-12.098000000000001"/>
    <s v="5- days"/>
    <n v="5"/>
    <x v="9"/>
  </r>
  <r>
    <s v="CA-2017-101322"/>
    <d v="2017-12-28T00:00:00"/>
    <d v="2017-12-31T00:00:00"/>
    <x v="2"/>
    <s v="JG-15310"/>
    <s v="Jason Gross"/>
    <x v="1"/>
    <s v="United States"/>
    <s v="Long Beach"/>
    <s v="California"/>
    <x v="1"/>
    <s v="FUR-CH-10003968"/>
    <s v="Furniture"/>
    <x v="1"/>
    <x v="13"/>
    <n v="340.70400000000001"/>
    <n v="6"/>
    <n v="-34.070399999999999"/>
    <s v="3- days"/>
    <n v="3"/>
    <x v="5"/>
  </r>
  <r>
    <s v="US-2016-106600"/>
    <d v="2016-04-08T00:00:00"/>
    <d v="2016-04-11T00:00:00"/>
    <x v="2"/>
    <s v="RM-19375"/>
    <s v="Raymond Messe"/>
    <x v="0"/>
    <s v="United States"/>
    <s v="Columbus"/>
    <s v="Georgia"/>
    <x v="0"/>
    <s v="FUR-BO-10001608"/>
    <s v="Furniture"/>
    <x v="0"/>
    <x v="315"/>
    <n v="354.9"/>
    <n v="5"/>
    <n v="88.724999999999994"/>
    <s v="3- days"/>
    <n v="3"/>
    <x v="6"/>
  </r>
  <r>
    <s v="CA-2014-111871"/>
    <d v="2014-03-18T00:00:00"/>
    <d v="2014-03-21T00:00:00"/>
    <x v="0"/>
    <s v="EK-13795"/>
    <s v="Eileen Kiefer"/>
    <x v="2"/>
    <s v="United States"/>
    <s v="San Francisco"/>
    <s v="California"/>
    <x v="1"/>
    <s v="FUR-BO-10004218"/>
    <s v="Furniture"/>
    <x v="0"/>
    <x v="327"/>
    <n v="1198.33"/>
    <n v="10"/>
    <n v="70.489999999999995"/>
    <s v="3- days"/>
    <n v="3"/>
    <x v="9"/>
  </r>
  <r>
    <s v="CA-2017-151484"/>
    <d v="2017-04-20T00:00:00"/>
    <d v="2017-04-23T00:00:00"/>
    <x v="2"/>
    <s v="CV-12805"/>
    <s v="Cynthia Voltz"/>
    <x v="1"/>
    <s v="United States"/>
    <s v="Philadelphia"/>
    <s v="Pennsylvania"/>
    <x v="2"/>
    <s v="FUR-FU-10001876"/>
    <s v="Furniture"/>
    <x v="3"/>
    <x v="279"/>
    <n v="51.968000000000004"/>
    <n v="2"/>
    <n v="10.393599999999999"/>
    <s v="3- days"/>
    <n v="3"/>
    <x v="6"/>
  </r>
  <r>
    <s v="CA-2017-151484"/>
    <d v="2017-04-20T00:00:00"/>
    <d v="2017-04-23T00:00:00"/>
    <x v="2"/>
    <s v="CV-12805"/>
    <s v="Cynthia Voltz"/>
    <x v="1"/>
    <s v="United States"/>
    <s v="Philadelphia"/>
    <s v="Pennsylvania"/>
    <x v="2"/>
    <s v="FUR-FU-10004671"/>
    <s v="Furniture"/>
    <x v="3"/>
    <x v="272"/>
    <n v="42.408000000000001"/>
    <n v="3"/>
    <n v="9.5418000000000003"/>
    <s v="3- days"/>
    <n v="3"/>
    <x v="6"/>
  </r>
  <r>
    <s v="CA-2014-103989"/>
    <d v="2014-03-19T00:00:00"/>
    <d v="2014-03-21T00:00:00"/>
    <x v="2"/>
    <s v="MC-17605"/>
    <s v="Matt Connell"/>
    <x v="1"/>
    <s v="United States"/>
    <s v="Lakeland"/>
    <s v="Florida"/>
    <x v="0"/>
    <s v="FUR-FU-10003981"/>
    <s v="Furniture"/>
    <x v="3"/>
    <x v="70"/>
    <n v="4.992"/>
    <n v="3"/>
    <n v="1.3728"/>
    <s v="2- days"/>
    <n v="2"/>
    <x v="9"/>
  </r>
  <r>
    <s v="CA-2014-103989"/>
    <d v="2014-03-19T00:00:00"/>
    <d v="2014-03-21T00:00:00"/>
    <x v="2"/>
    <s v="MC-17605"/>
    <s v="Matt Connell"/>
    <x v="1"/>
    <s v="United States"/>
    <s v="Lakeland"/>
    <s v="Florida"/>
    <x v="0"/>
    <s v="FUR-FU-10002508"/>
    <s v="Furniture"/>
    <x v="3"/>
    <x v="346"/>
    <n v="20.015999999999998"/>
    <n v="3"/>
    <n v="5.5044000000000004"/>
    <s v="2- days"/>
    <n v="2"/>
    <x v="9"/>
  </r>
  <r>
    <s v="CA-2015-158421"/>
    <d v="2015-09-21T00:00:00"/>
    <d v="2015-09-26T00:00:00"/>
    <x v="1"/>
    <s v="GB-14575"/>
    <s v="Giulietta Baptist"/>
    <x v="0"/>
    <s v="United States"/>
    <s v="Columbia"/>
    <s v="South Carolina"/>
    <x v="0"/>
    <s v="FUR-CH-10000309"/>
    <s v="Furniture"/>
    <x v="1"/>
    <x v="155"/>
    <n v="1690.04"/>
    <n v="4"/>
    <n v="422.51"/>
    <s v="5- days"/>
    <n v="5"/>
    <x v="4"/>
  </r>
  <r>
    <s v="CA-2016-143609"/>
    <d v="2016-12-11T00:00:00"/>
    <d v="2016-12-13T00:00:00"/>
    <x v="2"/>
    <s v="DB-13270"/>
    <s v="Deborah Brumfield"/>
    <x v="2"/>
    <s v="United States"/>
    <s v="Portland"/>
    <s v="Oregon"/>
    <x v="1"/>
    <s v="FUR-CH-10004218"/>
    <s v="Furniture"/>
    <x v="1"/>
    <x v="10"/>
    <n v="403.92"/>
    <n v="5"/>
    <n v="25.245000000000001"/>
    <s v="2- days"/>
    <n v="2"/>
    <x v="5"/>
  </r>
  <r>
    <s v="CA-2016-157259"/>
    <d v="2016-12-24T00:00:00"/>
    <d v="2016-12-28T00:00:00"/>
    <x v="1"/>
    <s v="JM-15535"/>
    <s v="Jessica Myrick"/>
    <x v="0"/>
    <s v="United States"/>
    <s v="New York City"/>
    <s v="New York"/>
    <x v="2"/>
    <s v="FUR-FU-10003192"/>
    <s v="Furniture"/>
    <x v="3"/>
    <x v="357"/>
    <n v="799.56"/>
    <n v="9"/>
    <n v="207.88560000000001"/>
    <s v="4- days"/>
    <n v="4"/>
    <x v="5"/>
  </r>
  <r>
    <s v="CA-2016-118332"/>
    <d v="2016-12-16T00:00:00"/>
    <d v="2016-12-23T00:00:00"/>
    <x v="1"/>
    <s v="PK-19075"/>
    <s v="Pete Kriz"/>
    <x v="0"/>
    <s v="United States"/>
    <s v="Apple Valley"/>
    <s v="California"/>
    <x v="1"/>
    <s v="FUR-CH-10001708"/>
    <s v="Furniture"/>
    <x v="1"/>
    <x v="180"/>
    <n v="563.91999999999996"/>
    <n v="5"/>
    <n v="7.0490000000000004"/>
    <s v="7- days"/>
    <n v="7"/>
    <x v="5"/>
  </r>
  <r>
    <s v="CA-2017-145660"/>
    <d v="2017-12-01T00:00:00"/>
    <d v="2017-12-03T00:00:00"/>
    <x v="2"/>
    <s v="MG-17650"/>
    <s v="Matthew Grinstein"/>
    <x v="2"/>
    <s v="United States"/>
    <s v="Marion"/>
    <s v="Ohio"/>
    <x v="2"/>
    <s v="FUR-FU-10002885"/>
    <s v="Furniture"/>
    <x v="3"/>
    <x v="152"/>
    <n v="7.7119999999999997"/>
    <n v="2"/>
    <n v="1.7352000000000001"/>
    <s v="2- days"/>
    <n v="2"/>
    <x v="5"/>
  </r>
  <r>
    <s v="CA-2016-133697"/>
    <d v="2016-10-20T00:00:00"/>
    <d v="2016-10-24T00:00:00"/>
    <x v="0"/>
    <s v="CM-12445"/>
    <s v="Chuck Magee"/>
    <x v="0"/>
    <s v="United States"/>
    <s v="Houston"/>
    <s v="Texas"/>
    <x v="3"/>
    <s v="FUR-CH-10002372"/>
    <s v="Furniture"/>
    <x v="1"/>
    <x v="83"/>
    <n v="56.686"/>
    <n v="1"/>
    <n v="-14.5764"/>
    <s v="4- days"/>
    <n v="4"/>
    <x v="1"/>
  </r>
  <r>
    <s v="CA-2017-119809"/>
    <d v="2017-08-18T00:00:00"/>
    <d v="2017-08-25T00:00:00"/>
    <x v="1"/>
    <s v="YS-21880"/>
    <s v="Yana Sorensen"/>
    <x v="1"/>
    <s v="United States"/>
    <s v="Seattle"/>
    <s v="Washington"/>
    <x v="1"/>
    <s v="FUR-FU-10001475"/>
    <s v="Furniture"/>
    <x v="3"/>
    <x v="106"/>
    <n v="65.94"/>
    <n v="3"/>
    <n v="22.419599999999999"/>
    <s v="7- days"/>
    <n v="7"/>
    <x v="10"/>
  </r>
  <r>
    <s v="CA-2015-161711"/>
    <d v="2015-11-28T00:00:00"/>
    <d v="2015-12-03T00:00:00"/>
    <x v="1"/>
    <s v="MC-17425"/>
    <s v="Mark Cousins"/>
    <x v="1"/>
    <s v="United States"/>
    <s v="New York City"/>
    <s v="New York"/>
    <x v="2"/>
    <s v="FUR-FU-10000087"/>
    <s v="Furniture"/>
    <x v="3"/>
    <x v="39"/>
    <n v="68.16"/>
    <n v="3"/>
    <n v="27.945599999999999"/>
    <s v="5- days"/>
    <n v="5"/>
    <x v="0"/>
  </r>
  <r>
    <s v="CA-2017-140627"/>
    <d v="2017-12-23T00:00:00"/>
    <d v="2017-12-27T00:00:00"/>
    <x v="1"/>
    <s v="DK-12985"/>
    <s v="Darren Koutras"/>
    <x v="0"/>
    <s v="United States"/>
    <s v="Hendersonville"/>
    <s v="Tennessee"/>
    <x v="0"/>
    <s v="FUR-FU-10000087"/>
    <s v="Furniture"/>
    <x v="3"/>
    <x v="39"/>
    <n v="72.703999999999994"/>
    <n v="4"/>
    <n v="19.084800000000001"/>
    <s v="4- days"/>
    <n v="4"/>
    <x v="5"/>
  </r>
  <r>
    <s v="CA-2015-133445"/>
    <d v="2015-10-05T00:00:00"/>
    <d v="2015-10-09T00:00:00"/>
    <x v="1"/>
    <s v="JF-15490"/>
    <s v="Jeremy Farry"/>
    <x v="0"/>
    <s v="United States"/>
    <s v="Portland"/>
    <s v="Oregon"/>
    <x v="1"/>
    <s v="FUR-BO-10003660"/>
    <s v="Furniture"/>
    <x v="0"/>
    <x v="301"/>
    <n v="66.293999999999997"/>
    <n v="1"/>
    <n v="-103.86060000000001"/>
    <s v="4- days"/>
    <n v="4"/>
    <x v="1"/>
  </r>
  <r>
    <s v="CA-2015-133445"/>
    <d v="2015-10-05T00:00:00"/>
    <d v="2015-10-09T00:00:00"/>
    <x v="1"/>
    <s v="JF-15490"/>
    <s v="Jeremy Farry"/>
    <x v="0"/>
    <s v="United States"/>
    <s v="Portland"/>
    <s v="Oregon"/>
    <x v="1"/>
    <s v="FUR-CH-10000422"/>
    <s v="Furniture"/>
    <x v="1"/>
    <x v="287"/>
    <n v="291.16800000000001"/>
    <n v="4"/>
    <n v="-14.558400000000001"/>
    <s v="4- days"/>
    <n v="4"/>
    <x v="1"/>
  </r>
  <r>
    <s v="US-2017-142188"/>
    <d v="2017-09-11T00:00:00"/>
    <d v="2017-09-11T00:00:00"/>
    <x v="3"/>
    <s v="JF-15415"/>
    <s v="Jennifer Ferguson"/>
    <x v="0"/>
    <s v="United States"/>
    <s v="Seattle"/>
    <s v="Washington"/>
    <x v="1"/>
    <s v="FUR-CH-10003199"/>
    <s v="Furniture"/>
    <x v="1"/>
    <x v="136"/>
    <n v="177.56800000000001"/>
    <n v="2"/>
    <n v="8.8783999999999992"/>
    <s v="0- days"/>
    <n v="0"/>
    <x v="4"/>
  </r>
  <r>
    <s v="CA-2015-134075"/>
    <d v="2015-12-12T00:00:00"/>
    <d v="2015-12-16T00:00:00"/>
    <x v="1"/>
    <s v="HA-14905"/>
    <s v="Helen Abelman"/>
    <x v="0"/>
    <s v="United States"/>
    <s v="San Jose"/>
    <s v="California"/>
    <x v="1"/>
    <s v="FUR-FU-10004597"/>
    <s v="Furniture"/>
    <x v="3"/>
    <x v="249"/>
    <n v="166.5"/>
    <n v="3"/>
    <n v="21.645"/>
    <s v="4- days"/>
    <n v="4"/>
    <x v="5"/>
  </r>
  <r>
    <s v="CA-2017-141572"/>
    <d v="2017-05-28T00:00:00"/>
    <d v="2017-05-31T00:00:00"/>
    <x v="0"/>
    <s v="LO-17170"/>
    <s v="Lori Olson"/>
    <x v="1"/>
    <s v="United States"/>
    <s v="Concord"/>
    <s v="New Hampshire"/>
    <x v="2"/>
    <s v="FUR-FU-10001185"/>
    <s v="Furniture"/>
    <x v="3"/>
    <x v="281"/>
    <n v="247.44"/>
    <n v="8"/>
    <n v="101.4504"/>
    <s v="3- days"/>
    <n v="3"/>
    <x v="7"/>
  </r>
  <r>
    <s v="CA-2015-112305"/>
    <d v="2015-11-20T00:00:00"/>
    <d v="2015-11-25T00:00:00"/>
    <x v="1"/>
    <s v="KB-16405"/>
    <s v="Katrina Bavinger"/>
    <x v="2"/>
    <s v="United States"/>
    <s v="Seattle"/>
    <s v="Washington"/>
    <x v="1"/>
    <s v="FUR-FU-10002364"/>
    <s v="Furniture"/>
    <x v="3"/>
    <x v="242"/>
    <n v="22.14"/>
    <n v="3"/>
    <n v="6.4206000000000003"/>
    <s v="5- days"/>
    <n v="5"/>
    <x v="0"/>
  </r>
  <r>
    <s v="CA-2017-121580"/>
    <d v="2017-05-29T00:00:00"/>
    <d v="2017-06-04T00:00:00"/>
    <x v="1"/>
    <s v="ML-17410"/>
    <s v="Maris LaWare"/>
    <x v="0"/>
    <s v="United States"/>
    <s v="Columbus"/>
    <s v="Indiana"/>
    <x v="3"/>
    <s v="FUR-FU-10003981"/>
    <s v="Furniture"/>
    <x v="3"/>
    <x v="70"/>
    <n v="6.24"/>
    <n v="3"/>
    <n v="2.6208"/>
    <s v="6- days"/>
    <n v="6"/>
    <x v="7"/>
  </r>
  <r>
    <s v="CA-2015-151624"/>
    <d v="2015-09-08T00:00:00"/>
    <d v="2015-09-14T00:00:00"/>
    <x v="1"/>
    <s v="VW-21775"/>
    <s v="Victoria Wilson"/>
    <x v="1"/>
    <s v="United States"/>
    <s v="Montgomery"/>
    <s v="Alabama"/>
    <x v="0"/>
    <s v="FUR-FU-10001731"/>
    <s v="Furniture"/>
    <x v="3"/>
    <x v="317"/>
    <n v="21.36"/>
    <n v="8"/>
    <n v="8.1167999999999996"/>
    <s v="6- days"/>
    <n v="6"/>
    <x v="4"/>
  </r>
  <r>
    <s v="CA-2017-102379"/>
    <d v="2017-12-02T00:00:00"/>
    <d v="2017-12-06T00:00:00"/>
    <x v="1"/>
    <s v="BB-11545"/>
    <s v="Brenda Bowman"/>
    <x v="1"/>
    <s v="United States"/>
    <s v="Oakland"/>
    <s v="California"/>
    <x v="1"/>
    <s v="FUR-CH-10004983"/>
    <s v="Furniture"/>
    <x v="1"/>
    <x v="319"/>
    <n v="1159.056"/>
    <n v="9"/>
    <n v="43.464599999999997"/>
    <s v="4- days"/>
    <n v="4"/>
    <x v="5"/>
  </r>
  <r>
    <s v="US-2016-139087"/>
    <d v="2016-07-17T00:00:00"/>
    <d v="2016-07-22T00:00:00"/>
    <x v="0"/>
    <s v="DK-13375"/>
    <s v="Dennis Kane"/>
    <x v="0"/>
    <s v="United States"/>
    <s v="Seattle"/>
    <s v="Washington"/>
    <x v="1"/>
    <s v="FUR-FU-10001847"/>
    <s v="Furniture"/>
    <x v="3"/>
    <x v="270"/>
    <n v="12.42"/>
    <n v="3"/>
    <n v="4.4711999999999996"/>
    <s v="5- days"/>
    <n v="5"/>
    <x v="3"/>
  </r>
  <r>
    <s v="US-2016-139087"/>
    <d v="2016-07-17T00:00:00"/>
    <d v="2016-07-22T00:00:00"/>
    <x v="0"/>
    <s v="DK-13375"/>
    <s v="Dennis Kane"/>
    <x v="0"/>
    <s v="United States"/>
    <s v="Seattle"/>
    <s v="Washington"/>
    <x v="1"/>
    <s v="FUR-FU-10004164"/>
    <s v="Furniture"/>
    <x v="3"/>
    <x v="324"/>
    <n v="24.75"/>
    <n v="5"/>
    <n v="10.89"/>
    <s v="5- days"/>
    <n v="5"/>
    <x v="3"/>
  </r>
  <r>
    <s v="CA-2015-116484"/>
    <d v="2015-11-20T00:00:00"/>
    <d v="2015-11-26T00:00:00"/>
    <x v="1"/>
    <s v="JK-15205"/>
    <s v="Jamie Kunitz"/>
    <x v="0"/>
    <s v="United States"/>
    <s v="Marion"/>
    <s v="Ohio"/>
    <x v="2"/>
    <s v="FUR-FU-10002874"/>
    <s v="Furniture"/>
    <x v="3"/>
    <x v="364"/>
    <n v="63.823999999999998"/>
    <n v="2"/>
    <n v="9.5736000000000008"/>
    <s v="6- days"/>
    <n v="6"/>
    <x v="0"/>
  </r>
  <r>
    <s v="CA-2016-100944"/>
    <d v="2016-09-24T00:00:00"/>
    <d v="2016-09-28T00:00:00"/>
    <x v="1"/>
    <s v="EH-13765"/>
    <s v="Edward Hooks"/>
    <x v="1"/>
    <s v="United States"/>
    <s v="Los Angeles"/>
    <s v="California"/>
    <x v="1"/>
    <s v="FUR-CH-10000988"/>
    <s v="Furniture"/>
    <x v="1"/>
    <x v="221"/>
    <n v="563.24"/>
    <n v="5"/>
    <n v="56.323999999999998"/>
    <s v="4- days"/>
    <n v="4"/>
    <x v="4"/>
  </r>
  <r>
    <s v="CA-2016-125080"/>
    <d v="2016-10-21T00:00:00"/>
    <d v="2016-10-26T00:00:00"/>
    <x v="1"/>
    <s v="VW-21775"/>
    <s v="Victoria Wilson"/>
    <x v="1"/>
    <s v="United States"/>
    <s v="Lakewood"/>
    <s v="Ohio"/>
    <x v="2"/>
    <s v="FUR-TA-10003238"/>
    <s v="Furniture"/>
    <x v="2"/>
    <x v="243"/>
    <n v="661.17600000000004"/>
    <n v="2"/>
    <n v="-231.41159999999999"/>
    <s v="5- days"/>
    <n v="5"/>
    <x v="1"/>
  </r>
  <r>
    <s v="CA-2014-100090"/>
    <d v="2014-07-08T00:00:00"/>
    <d v="2014-07-12T00:00:00"/>
    <x v="1"/>
    <s v="EB-13705"/>
    <s v="Ed Braxton"/>
    <x v="1"/>
    <s v="United States"/>
    <s v="San Francisco"/>
    <s v="California"/>
    <x v="1"/>
    <s v="FUR-TA-10003715"/>
    <s v="Furniture"/>
    <x v="2"/>
    <x v="201"/>
    <n v="502.488"/>
    <n v="3"/>
    <n v="-87.935400000000001"/>
    <s v="4- days"/>
    <n v="4"/>
    <x v="3"/>
  </r>
  <r>
    <s v="US-2015-139675"/>
    <d v="2015-03-13T00:00:00"/>
    <d v="2015-03-18T00:00:00"/>
    <x v="0"/>
    <s v="NF-18595"/>
    <s v="Nicole Fjeld"/>
    <x v="2"/>
    <s v="United States"/>
    <s v="Chico"/>
    <s v="California"/>
    <x v="1"/>
    <s v="FUR-CH-10004063"/>
    <s v="Furniture"/>
    <x v="1"/>
    <x v="27"/>
    <n v="915.13599999999997"/>
    <n v="4"/>
    <n v="102.9528"/>
    <s v="5- days"/>
    <n v="5"/>
    <x v="9"/>
  </r>
  <r>
    <s v="US-2015-139675"/>
    <d v="2015-03-13T00:00:00"/>
    <d v="2015-03-18T00:00:00"/>
    <x v="0"/>
    <s v="NF-18595"/>
    <s v="Nicole Fjeld"/>
    <x v="2"/>
    <s v="United States"/>
    <s v="Chico"/>
    <s v="California"/>
    <x v="1"/>
    <s v="FUR-FU-10001979"/>
    <s v="Furniture"/>
    <x v="3"/>
    <x v="107"/>
    <n v="327.76"/>
    <n v="8"/>
    <n v="91.772800000000004"/>
    <s v="5- days"/>
    <n v="5"/>
    <x v="9"/>
  </r>
  <r>
    <s v="CA-2017-143756"/>
    <d v="2017-12-02T00:00:00"/>
    <d v="2017-12-05T00:00:00"/>
    <x v="2"/>
    <s v="ME-17725"/>
    <s v="Max Engle"/>
    <x v="0"/>
    <s v="United States"/>
    <s v="Salem"/>
    <s v="Virginia"/>
    <x v="0"/>
    <s v="FUR-CH-10001854"/>
    <s v="Furniture"/>
    <x v="1"/>
    <x v="216"/>
    <n v="701.96"/>
    <n v="2"/>
    <n v="168.47040000000001"/>
    <s v="3- days"/>
    <n v="3"/>
    <x v="5"/>
  </r>
  <r>
    <s v="CA-2017-107314"/>
    <d v="2017-11-30T00:00:00"/>
    <d v="2017-12-03T00:00:00"/>
    <x v="2"/>
    <s v="MZ-17335"/>
    <s v="Maria Zettner"/>
    <x v="2"/>
    <s v="United States"/>
    <s v="San Francisco"/>
    <s v="California"/>
    <x v="1"/>
    <s v="FUR-FU-10003489"/>
    <s v="Furniture"/>
    <x v="3"/>
    <x v="365"/>
    <n v="25.83"/>
    <n v="3"/>
    <n v="9.5571000000000002"/>
    <s v="3- days"/>
    <n v="3"/>
    <x v="0"/>
  </r>
  <r>
    <s v="CA-2016-163328"/>
    <d v="2016-11-04T00:00:00"/>
    <d v="2016-11-06T00:00:00"/>
    <x v="0"/>
    <s v="TP-21565"/>
    <s v="Tracy Poddar"/>
    <x v="1"/>
    <s v="United States"/>
    <s v="Eugene"/>
    <s v="Oregon"/>
    <x v="1"/>
    <s v="FUR-CH-10003298"/>
    <s v="Furniture"/>
    <x v="1"/>
    <x v="322"/>
    <n v="104.78400000000001"/>
    <n v="1"/>
    <n v="-14.4078"/>
    <s v="2- days"/>
    <n v="2"/>
    <x v="0"/>
  </r>
  <r>
    <s v="CA-2016-163328"/>
    <d v="2016-11-04T00:00:00"/>
    <d v="2016-11-06T00:00:00"/>
    <x v="0"/>
    <s v="TP-21565"/>
    <s v="Tracy Poddar"/>
    <x v="1"/>
    <s v="United States"/>
    <s v="Eugene"/>
    <s v="Oregon"/>
    <x v="1"/>
    <s v="FUR-CH-10000229"/>
    <s v="Furniture"/>
    <x v="1"/>
    <x v="334"/>
    <n v="650.35199999999998"/>
    <n v="3"/>
    <n v="-97.552800000000005"/>
    <s v="2- days"/>
    <n v="2"/>
    <x v="0"/>
  </r>
  <r>
    <s v="CA-2014-112837"/>
    <d v="2014-09-11T00:00:00"/>
    <d v="2014-09-16T00:00:00"/>
    <x v="1"/>
    <s v="LW-17125"/>
    <s v="Liz Willingham"/>
    <x v="0"/>
    <s v="United States"/>
    <s v="Oxnard"/>
    <s v="California"/>
    <x v="1"/>
    <s v="FUR-FU-10004006"/>
    <s v="Furniture"/>
    <x v="3"/>
    <x v="23"/>
    <n v="127.95"/>
    <n v="3"/>
    <n v="21.7515"/>
    <s v="5- days"/>
    <n v="5"/>
    <x v="4"/>
  </r>
  <r>
    <s v="CA-2014-167927"/>
    <d v="2014-01-20T00:00:00"/>
    <d v="2014-01-26T00:00:00"/>
    <x v="1"/>
    <s v="XP-21865"/>
    <s v="Xylona Preis"/>
    <x v="0"/>
    <s v="United States"/>
    <s v="Westland"/>
    <s v="Michigan"/>
    <x v="3"/>
    <s v="FUR-FU-10002918"/>
    <s v="Furniture"/>
    <x v="3"/>
    <x v="56"/>
    <n v="272.94"/>
    <n v="3"/>
    <n v="30.023399999999999"/>
    <s v="6- days"/>
    <n v="6"/>
    <x v="8"/>
  </r>
  <r>
    <s v="CA-2014-167927"/>
    <d v="2014-01-20T00:00:00"/>
    <d v="2014-01-26T00:00:00"/>
    <x v="1"/>
    <s v="XP-21865"/>
    <s v="Xylona Preis"/>
    <x v="0"/>
    <s v="United States"/>
    <s v="Westland"/>
    <s v="Michigan"/>
    <x v="3"/>
    <s v="FUR-FU-10002268"/>
    <s v="Furniture"/>
    <x v="3"/>
    <x v="172"/>
    <n v="14.73"/>
    <n v="3"/>
    <n v="4.8609"/>
    <s v="6- days"/>
    <n v="6"/>
    <x v="8"/>
  </r>
  <r>
    <s v="CA-2016-165995"/>
    <d v="2016-08-30T00:00:00"/>
    <d v="2016-09-06T00:00:00"/>
    <x v="1"/>
    <s v="BG-11740"/>
    <s v="Bruce Geld"/>
    <x v="0"/>
    <s v="United States"/>
    <s v="Los Angeles"/>
    <s v="California"/>
    <x v="1"/>
    <s v="FUR-FU-10000672"/>
    <s v="Furniture"/>
    <x v="3"/>
    <x v="309"/>
    <n v="47.04"/>
    <n v="4"/>
    <n v="15.993600000000001"/>
    <s v="7- days"/>
    <n v="7"/>
    <x v="10"/>
  </r>
  <r>
    <s v="CA-2017-143112"/>
    <d v="2017-10-05T00:00:00"/>
    <d v="2017-10-09T00:00:00"/>
    <x v="1"/>
    <s v="TS-21370"/>
    <s v="Todd Sumrall"/>
    <x v="1"/>
    <s v="United States"/>
    <s v="New York City"/>
    <s v="New York"/>
    <x v="2"/>
    <s v="FUR-CH-10002880"/>
    <s v="Furniture"/>
    <x v="1"/>
    <x v="162"/>
    <n v="221.38200000000001"/>
    <n v="2"/>
    <n v="2.4598"/>
    <s v="4- days"/>
    <n v="4"/>
    <x v="1"/>
  </r>
  <r>
    <s v="CA-2017-161557"/>
    <d v="2017-09-03T00:00:00"/>
    <d v="2017-09-08T00:00:00"/>
    <x v="1"/>
    <s v="AG-10900"/>
    <s v="Arthur Gainer"/>
    <x v="0"/>
    <s v="United States"/>
    <s v="Dallas"/>
    <s v="Texas"/>
    <x v="3"/>
    <s v="FUR-FU-10004622"/>
    <s v="Furniture"/>
    <x v="3"/>
    <x v="161"/>
    <n v="108.4"/>
    <n v="5"/>
    <n v="-105.69"/>
    <s v="5- days"/>
    <n v="5"/>
    <x v="4"/>
  </r>
  <r>
    <s v="CA-2016-103919"/>
    <d v="2016-10-03T00:00:00"/>
    <d v="2016-10-07T00:00:00"/>
    <x v="1"/>
    <s v="TP-21565"/>
    <s v="Tracy Poddar"/>
    <x v="1"/>
    <s v="United States"/>
    <s v="Grand Prairie"/>
    <s v="Texas"/>
    <x v="3"/>
    <s v="FUR-FU-10001756"/>
    <s v="Furniture"/>
    <x v="3"/>
    <x v="62"/>
    <n v="38.08"/>
    <n v="5"/>
    <n v="-29.512"/>
    <s v="4- days"/>
    <n v="4"/>
    <x v="1"/>
  </r>
  <r>
    <s v="CA-2016-113425"/>
    <d v="2016-11-21T00:00:00"/>
    <d v="2016-11-21T00:00:00"/>
    <x v="3"/>
    <s v="JK-16120"/>
    <s v="Julie Kriz"/>
    <x v="2"/>
    <s v="United States"/>
    <s v="New York City"/>
    <s v="New York"/>
    <x v="2"/>
    <s v="FUR-BO-10002598"/>
    <s v="Furniture"/>
    <x v="0"/>
    <x v="310"/>
    <n v="113.568"/>
    <n v="2"/>
    <n v="12.776400000000001"/>
    <s v="0- days"/>
    <n v="0"/>
    <x v="0"/>
  </r>
  <r>
    <s v="CA-2017-143035"/>
    <d v="2017-10-03T00:00:00"/>
    <d v="2017-10-05T00:00:00"/>
    <x v="0"/>
    <s v="CC-12430"/>
    <s v="Chuck Clark"/>
    <x v="2"/>
    <s v="United States"/>
    <s v="New York City"/>
    <s v="New York"/>
    <x v="2"/>
    <s v="FUR-FU-10001934"/>
    <s v="Furniture"/>
    <x v="3"/>
    <x v="24"/>
    <n v="83.92"/>
    <n v="4"/>
    <n v="21.819199999999999"/>
    <s v="2- days"/>
    <n v="2"/>
    <x v="1"/>
  </r>
  <r>
    <s v="CA-2014-107811"/>
    <d v="2014-04-29T00:00:00"/>
    <d v="2014-05-03T00:00:00"/>
    <x v="1"/>
    <s v="LA-16780"/>
    <s v="Laura Armstrong"/>
    <x v="1"/>
    <s v="United States"/>
    <s v="Memphis"/>
    <s v="Tennessee"/>
    <x v="0"/>
    <s v="FUR-CH-10001394"/>
    <s v="Furniture"/>
    <x v="1"/>
    <x v="139"/>
    <n v="561.58399999999995"/>
    <n v="2"/>
    <n v="70.197999999999993"/>
    <s v="4- days"/>
    <n v="4"/>
    <x v="6"/>
  </r>
  <r>
    <s v="US-2016-116442"/>
    <d v="2016-12-15T00:00:00"/>
    <d v="2016-12-22T00:00:00"/>
    <x v="1"/>
    <s v="BP-11230"/>
    <s v="Benjamin Patterson"/>
    <x v="0"/>
    <s v="United States"/>
    <s v="Los Angeles"/>
    <s v="California"/>
    <x v="1"/>
    <s v="FUR-FU-10002364"/>
    <s v="Furniture"/>
    <x v="3"/>
    <x v="242"/>
    <n v="14.76"/>
    <n v="2"/>
    <n v="4.2804000000000002"/>
    <s v="7- days"/>
    <n v="7"/>
    <x v="5"/>
  </r>
  <r>
    <s v="CA-2016-127236"/>
    <d v="2016-03-29T00:00:00"/>
    <d v="2016-04-02T00:00:00"/>
    <x v="1"/>
    <s v="TB-21595"/>
    <s v="Troy Blackwell"/>
    <x v="0"/>
    <s v="United States"/>
    <s v="Springfield"/>
    <s v="Ohio"/>
    <x v="2"/>
    <s v="FUR-BO-10004015"/>
    <s v="Furniture"/>
    <x v="0"/>
    <x v="118"/>
    <n v="299.97500000000002"/>
    <n v="5"/>
    <n v="-167.98599999999999"/>
    <s v="4- days"/>
    <n v="4"/>
    <x v="9"/>
  </r>
  <r>
    <s v="CA-2016-129126"/>
    <d v="2016-12-14T00:00:00"/>
    <d v="2016-12-19T00:00:00"/>
    <x v="1"/>
    <s v="PK-19075"/>
    <s v="Pete Kriz"/>
    <x v="0"/>
    <s v="United States"/>
    <s v="New York City"/>
    <s v="New York"/>
    <x v="2"/>
    <s v="FUR-FU-10002937"/>
    <s v="Furniture"/>
    <x v="3"/>
    <x v="205"/>
    <n v="396.92"/>
    <n v="4"/>
    <n v="198.46"/>
    <s v="5- days"/>
    <n v="5"/>
    <x v="5"/>
  </r>
  <r>
    <s v="CA-2017-125472"/>
    <d v="2017-05-30T00:00:00"/>
    <d v="2017-05-31T00:00:00"/>
    <x v="2"/>
    <s v="BD-11725"/>
    <s v="Bruce Degenhardt"/>
    <x v="0"/>
    <s v="United States"/>
    <s v="Lafayette"/>
    <s v="Louisiana"/>
    <x v="0"/>
    <s v="FUR-BO-10000330"/>
    <s v="Furniture"/>
    <x v="0"/>
    <x v="213"/>
    <n v="241.96"/>
    <n v="2"/>
    <n v="33.874400000000001"/>
    <s v="1- days"/>
    <n v="1"/>
    <x v="7"/>
  </r>
  <r>
    <s v="CA-2017-125472"/>
    <d v="2017-05-30T00:00:00"/>
    <d v="2017-05-31T00:00:00"/>
    <x v="2"/>
    <s v="BD-11725"/>
    <s v="Bruce Degenhardt"/>
    <x v="0"/>
    <s v="United States"/>
    <s v="Lafayette"/>
    <s v="Louisiana"/>
    <x v="0"/>
    <s v="FUR-FU-10001731"/>
    <s v="Furniture"/>
    <x v="3"/>
    <x v="317"/>
    <n v="8.01"/>
    <n v="3"/>
    <n v="3.0438000000000001"/>
    <s v="1- days"/>
    <n v="1"/>
    <x v="7"/>
  </r>
  <r>
    <s v="CA-2017-154074"/>
    <d v="2017-08-31T00:00:00"/>
    <d v="2017-09-02T00:00:00"/>
    <x v="0"/>
    <s v="BW-11110"/>
    <s v="Bart Watters"/>
    <x v="1"/>
    <s v="United States"/>
    <s v="Spokane"/>
    <s v="Washington"/>
    <x v="1"/>
    <s v="FUR-CH-10002331"/>
    <s v="Furniture"/>
    <x v="1"/>
    <x v="86"/>
    <n v="569.56799999999998"/>
    <n v="2"/>
    <n v="7.1196000000000002"/>
    <s v="2- days"/>
    <n v="2"/>
    <x v="10"/>
  </r>
  <r>
    <s v="CA-2017-161774"/>
    <d v="2017-05-14T00:00:00"/>
    <d v="2017-05-15T00:00:00"/>
    <x v="2"/>
    <s v="GT-14710"/>
    <s v="Greg Tran"/>
    <x v="0"/>
    <s v="United States"/>
    <s v="Houston"/>
    <s v="Texas"/>
    <x v="3"/>
    <s v="FUR-CH-10003981"/>
    <s v="Furniture"/>
    <x v="1"/>
    <x v="232"/>
    <n v="899.43"/>
    <n v="5"/>
    <n v="-12.849"/>
    <s v="1- days"/>
    <n v="1"/>
    <x v="7"/>
  </r>
  <r>
    <s v="CA-2016-140130"/>
    <d v="2016-10-31T00:00:00"/>
    <d v="2016-11-05T00:00:00"/>
    <x v="1"/>
    <s v="HW-14935"/>
    <s v="Helen Wasserman"/>
    <x v="1"/>
    <s v="United States"/>
    <s v="Tulsa"/>
    <s v="Oklahoma"/>
    <x v="3"/>
    <s v="FUR-CH-10002084"/>
    <s v="Furniture"/>
    <x v="1"/>
    <x v="244"/>
    <n v="368.97"/>
    <n v="3"/>
    <n v="81.173400000000001"/>
    <s v="5- days"/>
    <n v="5"/>
    <x v="1"/>
  </r>
  <r>
    <s v="CA-2015-149650"/>
    <d v="2015-10-24T00:00:00"/>
    <d v="2015-10-27T00:00:00"/>
    <x v="2"/>
    <s v="RD-19660"/>
    <s v="Robert Dilbeck"/>
    <x v="2"/>
    <s v="United States"/>
    <s v="Oakland"/>
    <s v="California"/>
    <x v="1"/>
    <s v="FUR-CH-10003956"/>
    <s v="Furniture"/>
    <x v="1"/>
    <x v="76"/>
    <n v="454.27199999999999"/>
    <n v="8"/>
    <n v="-73.819199999999995"/>
    <s v="3- days"/>
    <n v="3"/>
    <x v="1"/>
  </r>
  <r>
    <s v="CA-2014-165764"/>
    <d v="2014-11-03T00:00:00"/>
    <d v="2014-11-07T00:00:00"/>
    <x v="1"/>
    <s v="SH-20395"/>
    <s v="Shahid Hopkins"/>
    <x v="0"/>
    <s v="United States"/>
    <s v="Jacksonville"/>
    <s v="North Carolina"/>
    <x v="0"/>
    <s v="FUR-TA-10001768"/>
    <s v="Furniture"/>
    <x v="2"/>
    <x v="25"/>
    <n v="945.03599999999994"/>
    <n v="6"/>
    <n v="-299.26139999999998"/>
    <s v="4- days"/>
    <n v="4"/>
    <x v="0"/>
  </r>
  <r>
    <s v="CA-2014-165764"/>
    <d v="2014-11-03T00:00:00"/>
    <d v="2014-11-07T00:00:00"/>
    <x v="1"/>
    <s v="SH-20395"/>
    <s v="Shahid Hopkins"/>
    <x v="0"/>
    <s v="United States"/>
    <s v="Jacksonville"/>
    <s v="North Carolina"/>
    <x v="0"/>
    <s v="FUR-FU-10001468"/>
    <s v="Furniture"/>
    <x v="3"/>
    <x v="253"/>
    <n v="410.35199999999998"/>
    <n v="3"/>
    <n v="-51.293999999999997"/>
    <s v="4- days"/>
    <n v="4"/>
    <x v="0"/>
  </r>
  <r>
    <s v="US-2017-116897"/>
    <d v="2017-05-27T00:00:00"/>
    <d v="2017-05-29T00:00:00"/>
    <x v="2"/>
    <s v="JG-15160"/>
    <s v="James Galang"/>
    <x v="0"/>
    <s v="United States"/>
    <s v="Pocatello"/>
    <s v="Idaho"/>
    <x v="1"/>
    <s v="FUR-FU-10004963"/>
    <s v="Furniture"/>
    <x v="3"/>
    <x v="289"/>
    <n v="35"/>
    <n v="4"/>
    <n v="14.7"/>
    <s v="2- days"/>
    <n v="2"/>
    <x v="7"/>
  </r>
  <r>
    <s v="US-2017-113992"/>
    <d v="2017-12-14T00:00:00"/>
    <d v="2017-12-19T00:00:00"/>
    <x v="1"/>
    <s v="LC-16885"/>
    <s v="Lena Creighton"/>
    <x v="0"/>
    <s v="United States"/>
    <s v="Plano"/>
    <s v="Texas"/>
    <x v="3"/>
    <s v="FUR-TA-10000577"/>
    <s v="Furniture"/>
    <x v="2"/>
    <x v="2"/>
    <n v="974.98800000000006"/>
    <n v="4"/>
    <n v="-97.498800000000003"/>
    <s v="5- days"/>
    <n v="5"/>
    <x v="5"/>
  </r>
  <r>
    <s v="CA-2014-166891"/>
    <d v="2014-10-04T00:00:00"/>
    <d v="2014-10-06T00:00:00"/>
    <x v="2"/>
    <s v="CC-12220"/>
    <s v="Chris Cortes"/>
    <x v="0"/>
    <s v="United States"/>
    <s v="New York City"/>
    <s v="New York"/>
    <x v="2"/>
    <s v="FUR-CH-10003298"/>
    <s v="Furniture"/>
    <x v="1"/>
    <x v="322"/>
    <n v="589.41"/>
    <n v="5"/>
    <n v="-6.5490000000000004"/>
    <s v="2- days"/>
    <n v="2"/>
    <x v="1"/>
  </r>
  <r>
    <s v="CA-2016-101161"/>
    <d v="2016-10-13T00:00:00"/>
    <d v="2016-10-20T00:00:00"/>
    <x v="1"/>
    <s v="BW-11110"/>
    <s v="Bart Watters"/>
    <x v="1"/>
    <s v="United States"/>
    <s v="New York City"/>
    <s v="New York"/>
    <x v="2"/>
    <s v="FUR-FU-10003535"/>
    <s v="Furniture"/>
    <x v="3"/>
    <x v="182"/>
    <n v="82.26"/>
    <n v="3"/>
    <n v="33.726599999999998"/>
    <s v="7- days"/>
    <n v="7"/>
    <x v="1"/>
  </r>
  <r>
    <s v="US-2017-119816"/>
    <d v="2017-03-04T00:00:00"/>
    <d v="2017-03-06T00:00:00"/>
    <x v="0"/>
    <s v="TT-21460"/>
    <s v="Tonja Turnell"/>
    <x v="2"/>
    <s v="United States"/>
    <s v="Houston"/>
    <s v="Texas"/>
    <x v="3"/>
    <s v="FUR-FU-10004848"/>
    <s v="Furniture"/>
    <x v="3"/>
    <x v="7"/>
    <n v="103.5"/>
    <n v="5"/>
    <n v="-77.625"/>
    <s v="2- days"/>
    <n v="2"/>
    <x v="9"/>
  </r>
  <r>
    <s v="CA-2017-161102"/>
    <d v="2017-07-31T00:00:00"/>
    <d v="2017-08-03T00:00:00"/>
    <x v="2"/>
    <s v="EC-14050"/>
    <s v="Erin Creighton"/>
    <x v="0"/>
    <s v="United States"/>
    <s v="San Francisco"/>
    <s v="California"/>
    <x v="1"/>
    <s v="FUR-FU-10003142"/>
    <s v="Furniture"/>
    <x v="3"/>
    <x v="238"/>
    <n v="36.96"/>
    <n v="7"/>
    <n v="11.457599999999999"/>
    <s v="3- days"/>
    <n v="3"/>
    <x v="3"/>
  </r>
  <r>
    <s v="US-2017-133361"/>
    <d v="2017-05-14T00:00:00"/>
    <d v="2017-05-17T00:00:00"/>
    <x v="2"/>
    <s v="AJ-10780"/>
    <s v="Anthony Jacobs"/>
    <x v="1"/>
    <s v="United States"/>
    <s v="Baltimore"/>
    <s v="Maryland"/>
    <x v="2"/>
    <s v="FUR-CH-10003298"/>
    <s v="Furniture"/>
    <x v="1"/>
    <x v="322"/>
    <n v="261.95999999999998"/>
    <n v="2"/>
    <n v="23.5764"/>
    <s v="3- days"/>
    <n v="3"/>
    <x v="7"/>
  </r>
  <r>
    <s v="US-2016-155404"/>
    <d v="2016-09-22T00:00:00"/>
    <d v="2016-09-28T00:00:00"/>
    <x v="1"/>
    <s v="AS-10630"/>
    <s v="Ann Steele"/>
    <x v="2"/>
    <s v="United States"/>
    <s v="Louisville"/>
    <s v="Kentucky"/>
    <x v="0"/>
    <s v="FUR-FU-10004586"/>
    <s v="Furniture"/>
    <x v="3"/>
    <x v="303"/>
    <n v="13.28"/>
    <n v="2"/>
    <n v="6.3743999999999996"/>
    <s v="6- days"/>
    <n v="6"/>
    <x v="4"/>
  </r>
  <r>
    <s v="CA-2016-163804"/>
    <d v="2016-12-02T00:00:00"/>
    <d v="2016-12-08T00:00:00"/>
    <x v="1"/>
    <s v="DB-13270"/>
    <s v="Deborah Brumfield"/>
    <x v="2"/>
    <s v="United States"/>
    <s v="Providence"/>
    <s v="Rhode Island"/>
    <x v="2"/>
    <s v="FUR-FU-10004864"/>
    <s v="Furniture"/>
    <x v="3"/>
    <x v="356"/>
    <n v="72.42"/>
    <n v="6"/>
    <n v="23.898599999999998"/>
    <s v="6- days"/>
    <n v="6"/>
    <x v="5"/>
  </r>
  <r>
    <s v="CA-2014-149524"/>
    <d v="2014-01-14T00:00:00"/>
    <d v="2014-01-15T00:00:00"/>
    <x v="2"/>
    <s v="BS-11590"/>
    <s v="Brendan Sweed"/>
    <x v="1"/>
    <s v="United States"/>
    <s v="Philadelphia"/>
    <s v="Pennsylvania"/>
    <x v="2"/>
    <s v="FUR-BO-10003433"/>
    <s v="Furniture"/>
    <x v="0"/>
    <x v="184"/>
    <n v="61.96"/>
    <n v="4"/>
    <n v="-53.285600000000002"/>
    <s v="1- days"/>
    <n v="1"/>
    <x v="8"/>
  </r>
  <r>
    <s v="CA-2017-140872"/>
    <d v="2017-06-03T00:00:00"/>
    <d v="2017-06-10T00:00:00"/>
    <x v="1"/>
    <s v="NR-18550"/>
    <s v="Nick Radford"/>
    <x v="0"/>
    <s v="United States"/>
    <s v="Pembroke Pines"/>
    <s v="Florida"/>
    <x v="0"/>
    <s v="FUR-BO-10002824"/>
    <s v="Furniture"/>
    <x v="0"/>
    <x v="88"/>
    <n v="241.56800000000001"/>
    <n v="2"/>
    <n v="0"/>
    <s v="7- days"/>
    <n v="7"/>
    <x v="2"/>
  </r>
  <r>
    <s v="CA-2017-113908"/>
    <d v="2017-06-03T00:00:00"/>
    <d v="2017-06-09T00:00:00"/>
    <x v="1"/>
    <s v="KN-16390"/>
    <s v="Katherine Nockton"/>
    <x v="1"/>
    <s v="United States"/>
    <s v="New York City"/>
    <s v="New York"/>
    <x v="2"/>
    <s v="FUR-TA-10001932"/>
    <s v="Furniture"/>
    <x v="2"/>
    <x v="167"/>
    <n v="384.76799999999997"/>
    <n v="2"/>
    <n v="-115.43040000000001"/>
    <s v="6- days"/>
    <n v="6"/>
    <x v="2"/>
  </r>
  <r>
    <s v="CA-2014-149594"/>
    <d v="2014-09-15T00:00:00"/>
    <d v="2014-09-19T00:00:00"/>
    <x v="1"/>
    <s v="MF-18250"/>
    <s v="Monica Federle"/>
    <x v="1"/>
    <s v="United States"/>
    <s v="Philadelphia"/>
    <s v="Pennsylvania"/>
    <x v="2"/>
    <s v="FUR-FU-10000222"/>
    <s v="Furniture"/>
    <x v="3"/>
    <x v="125"/>
    <n v="103.93600000000001"/>
    <n v="4"/>
    <n v="16.889600000000002"/>
    <s v="4- days"/>
    <n v="4"/>
    <x v="4"/>
  </r>
  <r>
    <s v="CA-2016-113845"/>
    <d v="2016-11-20T00:00:00"/>
    <d v="2016-11-25T00:00:00"/>
    <x v="1"/>
    <s v="FA-14230"/>
    <s v="Frank Atkinson"/>
    <x v="1"/>
    <s v="United States"/>
    <s v="Orlando"/>
    <s v="Florida"/>
    <x v="0"/>
    <s v="FUR-BO-10004695"/>
    <s v="Furniture"/>
    <x v="0"/>
    <x v="38"/>
    <n v="289.56799999999998"/>
    <n v="2"/>
    <n v="10.8588"/>
    <s v="5- days"/>
    <n v="5"/>
    <x v="0"/>
  </r>
  <r>
    <s v="CA-2015-103135"/>
    <d v="2015-07-24T00:00:00"/>
    <d v="2015-07-28T00:00:00"/>
    <x v="1"/>
    <s v="SS-20515"/>
    <s v="Shirley Schmidt"/>
    <x v="2"/>
    <s v="United States"/>
    <s v="Louisville"/>
    <s v="Kentucky"/>
    <x v="0"/>
    <s v="FUR-FU-10001487"/>
    <s v="Furniture"/>
    <x v="3"/>
    <x v="3"/>
    <n v="20.94"/>
    <n v="3"/>
    <n v="6.0726000000000004"/>
    <s v="4- days"/>
    <n v="4"/>
    <x v="3"/>
  </r>
  <r>
    <s v="US-2016-128909"/>
    <d v="2016-10-09T00:00:00"/>
    <d v="2016-10-11T00:00:00"/>
    <x v="0"/>
    <s v="SP-20545"/>
    <s v="Sibella Parks"/>
    <x v="1"/>
    <s v="United States"/>
    <s v="Philadelphia"/>
    <s v="Pennsylvania"/>
    <x v="2"/>
    <s v="FUR-FU-10004071"/>
    <s v="Furniture"/>
    <x v="3"/>
    <x v="119"/>
    <n v="332.83199999999999"/>
    <n v="4"/>
    <n v="-24.962399999999999"/>
    <s v="2- days"/>
    <n v="2"/>
    <x v="1"/>
  </r>
  <r>
    <s v="US-2017-116652"/>
    <d v="2017-09-15T00:00:00"/>
    <d v="2017-09-19T00:00:00"/>
    <x v="1"/>
    <s v="RD-19480"/>
    <s v="Rick Duston"/>
    <x v="0"/>
    <s v="United States"/>
    <s v="San Francisco"/>
    <s v="California"/>
    <x v="1"/>
    <s v="FUR-CH-10002961"/>
    <s v="Furniture"/>
    <x v="1"/>
    <x v="189"/>
    <n v="218.352"/>
    <n v="3"/>
    <n v="0"/>
    <s v="4- days"/>
    <n v="4"/>
    <x v="4"/>
  </r>
  <r>
    <s v="US-2017-116652"/>
    <d v="2017-09-15T00:00:00"/>
    <d v="2017-09-19T00:00:00"/>
    <x v="1"/>
    <s v="RD-19480"/>
    <s v="Rick Duston"/>
    <x v="0"/>
    <s v="United States"/>
    <s v="San Francisco"/>
    <s v="California"/>
    <x v="1"/>
    <s v="FUR-FU-10001488"/>
    <s v="Furniture"/>
    <x v="3"/>
    <x v="204"/>
    <n v="529.9"/>
    <n v="5"/>
    <n v="105.98"/>
    <s v="4- days"/>
    <n v="4"/>
    <x v="4"/>
  </r>
  <r>
    <s v="CA-2017-138289"/>
    <d v="2017-01-16T00:00:00"/>
    <d v="2017-01-18T00:00:00"/>
    <x v="0"/>
    <s v="AR-10540"/>
    <s v="Andy Reiter"/>
    <x v="0"/>
    <s v="United States"/>
    <s v="Jackson"/>
    <s v="Michigan"/>
    <x v="3"/>
    <s v="FUR-CH-10004626"/>
    <s v="Furniture"/>
    <x v="1"/>
    <x v="353"/>
    <n v="302.67"/>
    <n v="3"/>
    <n v="72.640799999999999"/>
    <s v="2- days"/>
    <n v="2"/>
    <x v="8"/>
  </r>
  <r>
    <s v="CA-2014-128209"/>
    <d v="2014-11-17T00:00:00"/>
    <d v="2014-11-22T00:00:00"/>
    <x v="1"/>
    <s v="GT-14710"/>
    <s v="Greg Tran"/>
    <x v="0"/>
    <s v="United States"/>
    <s v="Buffalo"/>
    <s v="New York"/>
    <x v="2"/>
    <s v="FUR-BO-10002213"/>
    <s v="Furniture"/>
    <x v="0"/>
    <x v="240"/>
    <n v="4007.84"/>
    <n v="10"/>
    <n v="-50.097999999999999"/>
    <s v="5- days"/>
    <n v="5"/>
    <x v="0"/>
  </r>
  <r>
    <s v="CA-2014-169684"/>
    <d v="2014-10-20T00:00:00"/>
    <d v="2014-10-23T00:00:00"/>
    <x v="2"/>
    <s v="FH-14365"/>
    <s v="Fred Hopkins"/>
    <x v="1"/>
    <s v="United States"/>
    <s v="Knoxville"/>
    <s v="Tennessee"/>
    <x v="0"/>
    <s v="FUR-TA-10003008"/>
    <s v="Furniture"/>
    <x v="2"/>
    <x v="190"/>
    <n v="328.59"/>
    <n v="3"/>
    <n v="-147.8655"/>
    <s v="3- days"/>
    <n v="3"/>
    <x v="1"/>
  </r>
  <r>
    <s v="CA-2015-109862"/>
    <d v="2015-10-25T00:00:00"/>
    <d v="2015-10-30T00:00:00"/>
    <x v="1"/>
    <s v="HK-14890"/>
    <s v="Heather Kirkland"/>
    <x v="1"/>
    <s v="United States"/>
    <s v="Newark"/>
    <s v="Delaware"/>
    <x v="2"/>
    <s v="FUR-CH-10002439"/>
    <s v="Furniture"/>
    <x v="1"/>
    <x v="260"/>
    <n v="291.10000000000002"/>
    <n v="5"/>
    <n v="75.686000000000007"/>
    <s v="5- days"/>
    <n v="5"/>
    <x v="1"/>
  </r>
  <r>
    <s v="US-2017-107888"/>
    <d v="2017-11-16T00:00:00"/>
    <d v="2017-11-19T00:00:00"/>
    <x v="2"/>
    <s v="CC-12220"/>
    <s v="Chris Cortes"/>
    <x v="0"/>
    <s v="United States"/>
    <s v="Seattle"/>
    <s v="Washington"/>
    <x v="1"/>
    <s v="FUR-FU-10003394"/>
    <s v="Furniture"/>
    <x v="3"/>
    <x v="120"/>
    <n v="139.91999999999999"/>
    <n v="2"/>
    <n v="23.7864"/>
    <s v="3- days"/>
    <n v="3"/>
    <x v="0"/>
  </r>
  <r>
    <s v="CA-2014-113880"/>
    <d v="2014-03-01T00:00:00"/>
    <d v="2014-03-05T00:00:00"/>
    <x v="1"/>
    <s v="VF-21715"/>
    <s v="Vicky Freymann"/>
    <x v="2"/>
    <s v="United States"/>
    <s v="Elmhurst"/>
    <s v="Illinois"/>
    <x v="3"/>
    <s v="FUR-CH-10000863"/>
    <s v="Furniture"/>
    <x v="1"/>
    <x v="20"/>
    <n v="634.11599999999999"/>
    <n v="6"/>
    <n v="-172.1172"/>
    <s v="4- days"/>
    <n v="4"/>
    <x v="9"/>
  </r>
  <r>
    <s v="US-2015-164966"/>
    <d v="2015-07-30T00:00:00"/>
    <d v="2015-08-01T00:00:00"/>
    <x v="2"/>
    <s v="GH-14410"/>
    <s v="Gary Hansen"/>
    <x v="2"/>
    <s v="United States"/>
    <s v="Lakeville"/>
    <s v="Minnesota"/>
    <x v="3"/>
    <s v="FUR-CH-10002304"/>
    <s v="Furniture"/>
    <x v="1"/>
    <x v="158"/>
    <n v="155.88"/>
    <n v="6"/>
    <n v="38.97"/>
    <s v="2- days"/>
    <n v="2"/>
    <x v="3"/>
  </r>
  <r>
    <s v="CA-2015-126739"/>
    <d v="2015-11-01T00:00:00"/>
    <d v="2015-11-03T00:00:00"/>
    <x v="0"/>
    <s v="JH-16180"/>
    <s v="Justin Hirsh"/>
    <x v="0"/>
    <s v="United States"/>
    <s v="New York City"/>
    <s v="New York"/>
    <x v="2"/>
    <s v="FUR-CH-10000422"/>
    <s v="Furniture"/>
    <x v="1"/>
    <x v="287"/>
    <n v="327.56400000000002"/>
    <n v="4"/>
    <n v="21.837599999999998"/>
    <s v="2- days"/>
    <n v="2"/>
    <x v="0"/>
  </r>
  <r>
    <s v="CA-2015-166947"/>
    <d v="2015-06-05T00:00:00"/>
    <d v="2015-06-10T00:00:00"/>
    <x v="1"/>
    <s v="EB-13750"/>
    <s v="Edward Becker"/>
    <x v="1"/>
    <s v="United States"/>
    <s v="Buffalo"/>
    <s v="New York"/>
    <x v="2"/>
    <s v="FUR-CH-10004997"/>
    <s v="Furniture"/>
    <x v="1"/>
    <x v="105"/>
    <n v="1522.6379999999999"/>
    <n v="9"/>
    <n v="169.18199999999999"/>
    <s v="5- days"/>
    <n v="5"/>
    <x v="2"/>
  </r>
  <r>
    <s v="CA-2014-166086"/>
    <d v="2014-05-07T00:00:00"/>
    <d v="2014-05-12T00:00:00"/>
    <x v="1"/>
    <s v="CT-11995"/>
    <s v="Carol Triggs"/>
    <x v="0"/>
    <s v="United States"/>
    <s v="Lawrence"/>
    <s v="Massachusetts"/>
    <x v="2"/>
    <s v="FUR-TA-10003469"/>
    <s v="Furniture"/>
    <x v="2"/>
    <x v="320"/>
    <n v="194.25"/>
    <n v="2"/>
    <n v="-38.85"/>
    <s v="5- days"/>
    <n v="5"/>
    <x v="7"/>
  </r>
  <r>
    <s v="CA-2014-166086"/>
    <d v="2014-05-07T00:00:00"/>
    <d v="2014-05-12T00:00:00"/>
    <x v="1"/>
    <s v="CT-11995"/>
    <s v="Carol Triggs"/>
    <x v="0"/>
    <s v="United States"/>
    <s v="Lawrence"/>
    <s v="Massachusetts"/>
    <x v="2"/>
    <s v="FUR-CH-10004675"/>
    <s v="Furniture"/>
    <x v="1"/>
    <x v="135"/>
    <n v="872.32"/>
    <n v="4"/>
    <n v="244.24959999999999"/>
    <s v="5- days"/>
    <n v="5"/>
    <x v="7"/>
  </r>
  <r>
    <s v="CA-2014-100678"/>
    <d v="2014-04-18T00:00:00"/>
    <d v="2014-04-22T00:00:00"/>
    <x v="1"/>
    <s v="KM-16720"/>
    <s v="Kunst Miller"/>
    <x v="0"/>
    <s v="United States"/>
    <s v="Houston"/>
    <s v="Texas"/>
    <x v="3"/>
    <s v="FUR-CH-10002602"/>
    <s v="Furniture"/>
    <x v="1"/>
    <x v="64"/>
    <n v="317.05799999999999"/>
    <n v="3"/>
    <n v="-18.117599999999999"/>
    <s v="4- days"/>
    <n v="4"/>
    <x v="6"/>
  </r>
  <r>
    <s v="CA-2017-123085"/>
    <d v="2017-03-03T00:00:00"/>
    <d v="2017-03-08T00:00:00"/>
    <x v="1"/>
    <s v="EJ-13720"/>
    <s v="Ed Jacobs"/>
    <x v="0"/>
    <s v="United States"/>
    <s v="Los Angeles"/>
    <s v="California"/>
    <x v="1"/>
    <s v="FUR-CH-10003968"/>
    <s v="Furniture"/>
    <x v="1"/>
    <x v="13"/>
    <n v="170.352"/>
    <n v="3"/>
    <n v="-17.0352"/>
    <s v="5- days"/>
    <n v="5"/>
    <x v="9"/>
  </r>
  <r>
    <s v="CA-2016-169887"/>
    <d v="2016-10-22T00:00:00"/>
    <d v="2016-10-22T00:00:00"/>
    <x v="3"/>
    <s v="MS-17530"/>
    <s v="MaryBeth Skach"/>
    <x v="0"/>
    <s v="United States"/>
    <s v="Seattle"/>
    <s v="Washington"/>
    <x v="1"/>
    <s v="FUR-FU-10003095"/>
    <s v="Furniture"/>
    <x v="3"/>
    <x v="366"/>
    <n v="101.94"/>
    <n v="3"/>
    <n v="30.582000000000001"/>
    <s v="0- days"/>
    <n v="0"/>
    <x v="1"/>
  </r>
  <r>
    <s v="CA-2017-104731"/>
    <d v="2017-07-21T00:00:00"/>
    <d v="2017-07-27T00:00:00"/>
    <x v="1"/>
    <s v="AM-10705"/>
    <s v="Anne McFarland"/>
    <x v="0"/>
    <s v="United States"/>
    <s v="Salem"/>
    <s v="Virginia"/>
    <x v="0"/>
    <s v="FUR-FU-10003274"/>
    <s v="Furniture"/>
    <x v="3"/>
    <x v="51"/>
    <n v="8.8000000000000007"/>
    <n v="5"/>
    <n v="3.8719999999999999"/>
    <s v="6- days"/>
    <n v="6"/>
    <x v="3"/>
  </r>
  <r>
    <s v="CA-2017-104731"/>
    <d v="2017-07-21T00:00:00"/>
    <d v="2017-07-27T00:00:00"/>
    <x v="1"/>
    <s v="AM-10705"/>
    <s v="Anne McFarland"/>
    <x v="0"/>
    <s v="United States"/>
    <s v="Salem"/>
    <s v="Virginia"/>
    <x v="0"/>
    <s v="FUR-BO-10003441"/>
    <s v="Furniture"/>
    <x v="0"/>
    <x v="145"/>
    <n v="302.94"/>
    <n v="3"/>
    <n v="69.676199999999994"/>
    <s v="6- days"/>
    <n v="6"/>
    <x v="3"/>
  </r>
  <r>
    <s v="CA-2014-154095"/>
    <d v="2014-12-02T00:00:00"/>
    <d v="2014-12-07T00:00:00"/>
    <x v="1"/>
    <s v="ON-18715"/>
    <s v="Odella Nelson"/>
    <x v="1"/>
    <s v="United States"/>
    <s v="Clinton"/>
    <s v="Maryland"/>
    <x v="2"/>
    <s v="FUR-FU-10003849"/>
    <s v="Furniture"/>
    <x v="3"/>
    <x v="108"/>
    <n v="60.72"/>
    <n v="3"/>
    <n v="23.680800000000001"/>
    <s v="5- days"/>
    <n v="5"/>
    <x v="5"/>
  </r>
  <r>
    <s v="CA-2014-154095"/>
    <d v="2014-12-02T00:00:00"/>
    <d v="2014-12-07T00:00:00"/>
    <x v="1"/>
    <s v="ON-18715"/>
    <s v="Odella Nelson"/>
    <x v="1"/>
    <s v="United States"/>
    <s v="Clinton"/>
    <s v="Maryland"/>
    <x v="2"/>
    <s v="FUR-CH-10004754"/>
    <s v="Furniture"/>
    <x v="1"/>
    <x v="219"/>
    <n v="239.84"/>
    <n v="8"/>
    <n v="64.756799999999998"/>
    <s v="5- days"/>
    <n v="5"/>
    <x v="5"/>
  </r>
  <r>
    <s v="CA-2016-148852"/>
    <d v="2016-05-26T00:00:00"/>
    <d v="2016-05-31T00:00:00"/>
    <x v="1"/>
    <s v="SV-20785"/>
    <s v="Stewart Visinsky"/>
    <x v="0"/>
    <s v="United States"/>
    <s v="Santa Ana"/>
    <s v="California"/>
    <x v="1"/>
    <s v="FUR-CH-10004860"/>
    <s v="Furniture"/>
    <x v="1"/>
    <x v="41"/>
    <n v="484.70400000000001"/>
    <n v="6"/>
    <n v="-84.8232"/>
    <s v="5- days"/>
    <n v="5"/>
    <x v="7"/>
  </r>
  <r>
    <s v="CA-2015-107678"/>
    <d v="2015-04-21T00:00:00"/>
    <d v="2015-04-28T00:00:00"/>
    <x v="1"/>
    <s v="JK-16090"/>
    <s v="Juliana Krohn"/>
    <x v="0"/>
    <s v="United States"/>
    <s v="Louisville"/>
    <s v="Kentucky"/>
    <x v="0"/>
    <s v="FUR-CH-10001891"/>
    <s v="Furniture"/>
    <x v="1"/>
    <x v="55"/>
    <n v="191.96"/>
    <n v="2"/>
    <n v="51.8292"/>
    <s v="7- days"/>
    <n v="7"/>
    <x v="6"/>
  </r>
  <r>
    <s v="CA-2015-107678"/>
    <d v="2015-04-21T00:00:00"/>
    <d v="2015-04-28T00:00:00"/>
    <x v="1"/>
    <s v="JK-16090"/>
    <s v="Juliana Krohn"/>
    <x v="0"/>
    <s v="United States"/>
    <s v="Louisville"/>
    <s v="Kentucky"/>
    <x v="0"/>
    <s v="FUR-FU-10003394"/>
    <s v="Furniture"/>
    <x v="3"/>
    <x v="120"/>
    <n v="209.88"/>
    <n v="3"/>
    <n v="35.679600000000001"/>
    <s v="7- days"/>
    <n v="7"/>
    <x v="6"/>
  </r>
  <r>
    <s v="CA-2016-123512"/>
    <d v="2016-06-17T00:00:00"/>
    <d v="2016-06-19T00:00:00"/>
    <x v="2"/>
    <s v="MV-18190"/>
    <s v="Mike Vittorini"/>
    <x v="0"/>
    <s v="United States"/>
    <s v="Los Angeles"/>
    <s v="California"/>
    <x v="1"/>
    <s v="FUR-BO-10004218"/>
    <s v="Furniture"/>
    <x v="0"/>
    <x v="327"/>
    <n v="239.666"/>
    <n v="2"/>
    <n v="14.098000000000001"/>
    <s v="2- days"/>
    <n v="2"/>
    <x v="2"/>
  </r>
  <r>
    <s v="US-2017-167402"/>
    <d v="2017-01-13T00:00:00"/>
    <d v="2017-01-18T00:00:00"/>
    <x v="0"/>
    <s v="CP-12085"/>
    <s v="Cathy Prescott"/>
    <x v="1"/>
    <s v="United States"/>
    <s v="Springfield"/>
    <s v="Missouri"/>
    <x v="3"/>
    <s v="FUR-BO-10001608"/>
    <s v="Furniture"/>
    <x v="0"/>
    <x v="315"/>
    <n v="212.94"/>
    <n v="3"/>
    <n v="53.234999999999999"/>
    <s v="5- days"/>
    <n v="5"/>
    <x v="8"/>
  </r>
  <r>
    <s v="CA-2014-130449"/>
    <d v="2014-09-06T00:00:00"/>
    <d v="2014-09-09T00:00:00"/>
    <x v="2"/>
    <s v="VP-21760"/>
    <s v="Victoria Pisteka"/>
    <x v="1"/>
    <s v="United States"/>
    <s v="San Francisco"/>
    <s v="California"/>
    <x v="1"/>
    <s v="FUR-FU-10001487"/>
    <s v="Furniture"/>
    <x v="3"/>
    <x v="3"/>
    <n v="41.88"/>
    <n v="6"/>
    <n v="12.145200000000001"/>
    <s v="3- days"/>
    <n v="3"/>
    <x v="4"/>
  </r>
  <r>
    <s v="CA-2015-141250"/>
    <d v="2015-01-19T00:00:00"/>
    <d v="2015-01-23T00:00:00"/>
    <x v="1"/>
    <s v="PM-18940"/>
    <s v="Paul MacIntyre"/>
    <x v="0"/>
    <s v="United States"/>
    <s v="Texas City"/>
    <s v="Texas"/>
    <x v="3"/>
    <s v="FUR-TA-10002855"/>
    <s v="Furniture"/>
    <x v="2"/>
    <x v="235"/>
    <n v="102.438"/>
    <n v="1"/>
    <n v="-13.1706"/>
    <s v="4- days"/>
    <n v="4"/>
    <x v="8"/>
  </r>
  <r>
    <s v="CA-2015-141250"/>
    <d v="2015-01-19T00:00:00"/>
    <d v="2015-01-23T00:00:00"/>
    <x v="1"/>
    <s v="PM-18940"/>
    <s v="Paul MacIntyre"/>
    <x v="0"/>
    <s v="United States"/>
    <s v="Texas City"/>
    <s v="Texas"/>
    <x v="3"/>
    <s v="FUR-CH-10004875"/>
    <s v="Furniture"/>
    <x v="1"/>
    <x v="290"/>
    <n v="199.304"/>
    <n v="4"/>
    <n v="-8.5416000000000007"/>
    <s v="4- days"/>
    <n v="4"/>
    <x v="8"/>
  </r>
  <r>
    <s v="CA-2016-105081"/>
    <d v="2016-12-25T00:00:00"/>
    <d v="2016-12-30T00:00:00"/>
    <x v="1"/>
    <s v="JE-15715"/>
    <s v="Joe Elijah"/>
    <x v="0"/>
    <s v="United States"/>
    <s v="Seattle"/>
    <s v="Washington"/>
    <x v="1"/>
    <s v="FUR-CH-10000847"/>
    <s v="Furniture"/>
    <x v="1"/>
    <x v="199"/>
    <n v="698.35199999999998"/>
    <n v="3"/>
    <n v="52.376399999999997"/>
    <s v="5- days"/>
    <n v="5"/>
    <x v="5"/>
  </r>
  <r>
    <s v="CA-2016-105081"/>
    <d v="2016-12-25T00:00:00"/>
    <d v="2016-12-30T00:00:00"/>
    <x v="1"/>
    <s v="JE-15715"/>
    <s v="Joe Elijah"/>
    <x v="0"/>
    <s v="United States"/>
    <s v="Seattle"/>
    <s v="Washington"/>
    <x v="1"/>
    <s v="FUR-TA-10001307"/>
    <s v="Furniture"/>
    <x v="2"/>
    <x v="211"/>
    <n v="1747.25"/>
    <n v="5"/>
    <n v="629.01"/>
    <s v="5- days"/>
    <n v="5"/>
    <x v="5"/>
  </r>
  <r>
    <s v="CA-2014-108609"/>
    <d v="2014-10-31T00:00:00"/>
    <d v="2014-11-02T00:00:00"/>
    <x v="0"/>
    <s v="AJ-10780"/>
    <s v="Anthony Jacobs"/>
    <x v="1"/>
    <s v="United States"/>
    <s v="Lorain"/>
    <s v="Ohio"/>
    <x v="2"/>
    <s v="FUR-TA-10003954"/>
    <s v="Furniture"/>
    <x v="2"/>
    <x v="239"/>
    <n v="1421.664"/>
    <n v="8"/>
    <n v="-734.52639999999997"/>
    <s v="2- days"/>
    <n v="2"/>
    <x v="1"/>
  </r>
  <r>
    <s v="US-2016-127334"/>
    <d v="2016-12-15T00:00:00"/>
    <d v="2016-12-21T00:00:00"/>
    <x v="1"/>
    <s v="MP-18175"/>
    <s v="Mike Pelletier"/>
    <x v="2"/>
    <s v="United States"/>
    <s v="Springfield"/>
    <s v="Oregon"/>
    <x v="1"/>
    <s v="FUR-TA-10003473"/>
    <s v="Furniture"/>
    <x v="2"/>
    <x v="44"/>
    <n v="564.19500000000005"/>
    <n v="3"/>
    <n v="-304.6653"/>
    <s v="6- days"/>
    <n v="6"/>
    <x v="5"/>
  </r>
  <r>
    <s v="US-2017-124779"/>
    <d v="2017-09-08T00:00:00"/>
    <d v="2017-09-11T00:00:00"/>
    <x v="2"/>
    <s v="BF-11020"/>
    <s v="Barry Franzšsisch"/>
    <x v="1"/>
    <s v="United States"/>
    <s v="Arlington"/>
    <s v="Texas"/>
    <x v="3"/>
    <s v="FUR-FU-10001095"/>
    <s v="Furniture"/>
    <x v="3"/>
    <x v="151"/>
    <n v="21.184000000000001"/>
    <n v="2"/>
    <n v="-11.651199999999999"/>
    <s v="3- days"/>
    <n v="3"/>
    <x v="4"/>
  </r>
  <r>
    <s v="US-2017-124779"/>
    <d v="2017-09-08T00:00:00"/>
    <d v="2017-09-11T00:00:00"/>
    <x v="2"/>
    <s v="BF-11020"/>
    <s v="Barry Franzšsisch"/>
    <x v="1"/>
    <s v="United States"/>
    <s v="Arlington"/>
    <s v="Texas"/>
    <x v="3"/>
    <s v="FUR-CH-10003535"/>
    <s v="Furniture"/>
    <x v="1"/>
    <x v="312"/>
    <n v="213.43"/>
    <n v="5"/>
    <n v="-39.637"/>
    <s v="3- days"/>
    <n v="3"/>
    <x v="4"/>
  </r>
  <r>
    <s v="CA-2017-135937"/>
    <d v="2017-02-20T00:00:00"/>
    <d v="2017-02-27T00:00:00"/>
    <x v="1"/>
    <s v="KM-16375"/>
    <s v="Katherine Murray"/>
    <x v="2"/>
    <s v="United States"/>
    <s v="Gilbert"/>
    <s v="Arizona"/>
    <x v="1"/>
    <s v="FUR-FU-10002253"/>
    <s v="Furniture"/>
    <x v="3"/>
    <x v="123"/>
    <n v="68.703999999999994"/>
    <n v="2"/>
    <n v="16.3172"/>
    <s v="7- days"/>
    <n v="7"/>
    <x v="11"/>
  </r>
  <r>
    <s v="CA-2017-135937"/>
    <d v="2017-02-20T00:00:00"/>
    <d v="2017-02-27T00:00:00"/>
    <x v="1"/>
    <s v="KM-16375"/>
    <s v="Katherine Murray"/>
    <x v="2"/>
    <s v="United States"/>
    <s v="Gilbert"/>
    <s v="Arizona"/>
    <x v="1"/>
    <s v="FUR-TA-10001039"/>
    <s v="Furniture"/>
    <x v="2"/>
    <x v="165"/>
    <n v="386.91"/>
    <n v="9"/>
    <n v="-185.71680000000001"/>
    <s v="7- days"/>
    <n v="7"/>
    <x v="11"/>
  </r>
  <r>
    <s v="CA-2017-162173"/>
    <d v="2017-10-26T00:00:00"/>
    <d v="2017-11-01T00:00:00"/>
    <x v="1"/>
    <s v="OT-18730"/>
    <s v="Olvera Toch"/>
    <x v="0"/>
    <s v="United States"/>
    <s v="Virginia Beach"/>
    <s v="Virginia"/>
    <x v="0"/>
    <s v="FUR-TA-10001520"/>
    <s v="Furniture"/>
    <x v="2"/>
    <x v="146"/>
    <n v="356.85"/>
    <n v="5"/>
    <n v="60.664499999999997"/>
    <s v="6- days"/>
    <n v="6"/>
    <x v="1"/>
  </r>
  <r>
    <s v="CA-2017-122175"/>
    <d v="2017-05-12T00:00:00"/>
    <d v="2017-05-14T00:00:00"/>
    <x v="0"/>
    <s v="CA-12775"/>
    <s v="Cynthia Arntzen"/>
    <x v="0"/>
    <s v="United States"/>
    <s v="Vineland"/>
    <s v="New Jersey"/>
    <x v="2"/>
    <s v="FUR-FU-10000719"/>
    <s v="Furniture"/>
    <x v="3"/>
    <x v="347"/>
    <n v="42.85"/>
    <n v="5"/>
    <n v="15.426"/>
    <s v="2- days"/>
    <n v="2"/>
    <x v="7"/>
  </r>
  <r>
    <s v="CA-2015-135510"/>
    <d v="2015-09-05T00:00:00"/>
    <d v="2015-09-12T00:00:00"/>
    <x v="1"/>
    <s v="TW-21025"/>
    <s v="Tamara Willingham"/>
    <x v="2"/>
    <s v="United States"/>
    <s v="Charlottesville"/>
    <s v="Virginia"/>
    <x v="0"/>
    <s v="FUR-FU-10000820"/>
    <s v="Furniture"/>
    <x v="3"/>
    <x v="367"/>
    <n v="67.959999999999994"/>
    <n v="4"/>
    <n v="12.232799999999999"/>
    <s v="7- days"/>
    <n v="7"/>
    <x v="4"/>
  </r>
  <r>
    <s v="CA-2014-150329"/>
    <d v="2014-10-10T00:00:00"/>
    <d v="2014-10-14T00:00:00"/>
    <x v="1"/>
    <s v="SD-20485"/>
    <s v="Shirley Daniels"/>
    <x v="2"/>
    <s v="United States"/>
    <s v="Phoenix"/>
    <s v="Arizona"/>
    <x v="1"/>
    <s v="FUR-FU-10003724"/>
    <s v="Furniture"/>
    <x v="3"/>
    <x v="181"/>
    <n v="46.872"/>
    <n v="7"/>
    <n v="3.5154000000000001"/>
    <s v="4- days"/>
    <n v="4"/>
    <x v="1"/>
  </r>
  <r>
    <s v="CA-2014-109134"/>
    <d v="2014-11-05T00:00:00"/>
    <d v="2014-11-10T00:00:00"/>
    <x v="1"/>
    <s v="DE-13255"/>
    <s v="Deanra Eno"/>
    <x v="2"/>
    <s v="United States"/>
    <s v="Los Angeles"/>
    <s v="California"/>
    <x v="1"/>
    <s v="FUR-FU-10000320"/>
    <s v="Furniture"/>
    <x v="3"/>
    <x v="311"/>
    <n v="20.04"/>
    <n v="6"/>
    <n v="8.8176000000000005"/>
    <s v="5- days"/>
    <n v="5"/>
    <x v="0"/>
  </r>
  <r>
    <s v="US-2015-129637"/>
    <d v="2015-12-17T00:00:00"/>
    <d v="2015-12-22T00:00:00"/>
    <x v="1"/>
    <s v="MC-18100"/>
    <s v="Mick Crebagga"/>
    <x v="0"/>
    <s v="United States"/>
    <s v="Bloomington"/>
    <s v="Illinois"/>
    <x v="3"/>
    <s v="FUR-FU-10000965"/>
    <s v="Furniture"/>
    <x v="3"/>
    <x v="143"/>
    <n v="41.552"/>
    <n v="2"/>
    <n v="-19.737200000000001"/>
    <s v="5- days"/>
    <n v="5"/>
    <x v="5"/>
  </r>
  <r>
    <s v="CA-2017-145429"/>
    <d v="2017-07-21T00:00:00"/>
    <d v="2017-07-25T00:00:00"/>
    <x v="1"/>
    <s v="SW-20455"/>
    <s v="Shaun Weien"/>
    <x v="0"/>
    <s v="United States"/>
    <s v="San Diego"/>
    <s v="California"/>
    <x v="1"/>
    <s v="FUR-CH-10000988"/>
    <s v="Furniture"/>
    <x v="1"/>
    <x v="221"/>
    <n v="225.29599999999999"/>
    <n v="2"/>
    <n v="22.529599999999999"/>
    <s v="4- days"/>
    <n v="4"/>
    <x v="3"/>
  </r>
  <r>
    <s v="CA-2015-153535"/>
    <d v="2015-05-20T00:00:00"/>
    <d v="2015-05-24T00:00:00"/>
    <x v="1"/>
    <s v="SG-20470"/>
    <s v="Sheri Gordon"/>
    <x v="0"/>
    <s v="United States"/>
    <s v="Wilson"/>
    <s v="North Carolina"/>
    <x v="0"/>
    <s v="FUR-FU-10001986"/>
    <s v="Furniture"/>
    <x v="3"/>
    <x v="222"/>
    <n v="163.136"/>
    <n v="4"/>
    <n v="20.391999999999999"/>
    <s v="4- days"/>
    <n v="4"/>
    <x v="7"/>
  </r>
  <r>
    <s v="CA-2015-123141"/>
    <d v="2015-11-14T00:00:00"/>
    <d v="2015-11-19T00:00:00"/>
    <x v="1"/>
    <s v="GZ-14470"/>
    <s v="Gary Zandusky"/>
    <x v="0"/>
    <s v="United States"/>
    <s v="Rio Rancho"/>
    <s v="New Mexico"/>
    <x v="1"/>
    <s v="FUR-CH-10004287"/>
    <s v="Furniture"/>
    <x v="1"/>
    <x v="32"/>
    <n v="883.84"/>
    <n v="4"/>
    <n v="99.432000000000002"/>
    <s v="5- days"/>
    <n v="5"/>
    <x v="0"/>
  </r>
  <r>
    <s v="CA-2015-123141"/>
    <d v="2015-11-14T00:00:00"/>
    <d v="2015-11-19T00:00:00"/>
    <x v="1"/>
    <s v="GZ-14470"/>
    <s v="Gary Zandusky"/>
    <x v="0"/>
    <s v="United States"/>
    <s v="Rio Rancho"/>
    <s v="New Mexico"/>
    <x v="1"/>
    <s v="FUR-CH-10001891"/>
    <s v="Furniture"/>
    <x v="1"/>
    <x v="55"/>
    <n v="230.352"/>
    <n v="3"/>
    <n v="20.155799999999999"/>
    <s v="5- days"/>
    <n v="5"/>
    <x v="0"/>
  </r>
  <r>
    <s v="CA-2017-107629"/>
    <d v="2017-12-14T00:00:00"/>
    <d v="2017-12-14T00:00:00"/>
    <x v="3"/>
    <s v="DB-13060"/>
    <s v="Dave Brooks"/>
    <x v="0"/>
    <s v="United States"/>
    <s v="Skokie"/>
    <s v="Illinois"/>
    <x v="3"/>
    <s v="FUR-FU-10002298"/>
    <s v="Furniture"/>
    <x v="3"/>
    <x v="256"/>
    <n v="266.35199999999998"/>
    <n v="6"/>
    <n v="-292.98719999999997"/>
    <s v="0- days"/>
    <n v="0"/>
    <x v="5"/>
  </r>
  <r>
    <s v="CA-2017-107629"/>
    <d v="2017-12-14T00:00:00"/>
    <d v="2017-12-14T00:00:00"/>
    <x v="3"/>
    <s v="DB-13060"/>
    <s v="Dave Brooks"/>
    <x v="0"/>
    <s v="United States"/>
    <s v="Skokie"/>
    <s v="Illinois"/>
    <x v="3"/>
    <s v="FUR-FU-10004091"/>
    <s v="Furniture"/>
    <x v="3"/>
    <x v="54"/>
    <n v="56.328000000000003"/>
    <n v="3"/>
    <n v="-26.755800000000001"/>
    <s v="0- days"/>
    <n v="0"/>
    <x v="5"/>
  </r>
  <r>
    <s v="CA-2016-134789"/>
    <d v="2016-04-08T00:00:00"/>
    <d v="2016-04-15T00:00:00"/>
    <x v="1"/>
    <s v="CK-12325"/>
    <s v="Christine Kargatis"/>
    <x v="2"/>
    <s v="United States"/>
    <s v="Hot Springs"/>
    <s v="Arkansas"/>
    <x v="0"/>
    <s v="FUR-FU-10003268"/>
    <s v="Furniture"/>
    <x v="3"/>
    <x v="176"/>
    <n v="159.91999999999999"/>
    <n v="4"/>
    <n v="31.984000000000002"/>
    <s v="7- days"/>
    <n v="7"/>
    <x v="6"/>
  </r>
  <r>
    <s v="CA-2016-165827"/>
    <d v="2016-11-04T00:00:00"/>
    <d v="2016-11-09T00:00:00"/>
    <x v="1"/>
    <s v="MF-17665"/>
    <s v="Maureen Fritzler"/>
    <x v="1"/>
    <s v="United States"/>
    <s v="Miami"/>
    <s v="Florida"/>
    <x v="0"/>
    <s v="FUR-FU-10001889"/>
    <s v="Furniture"/>
    <x v="3"/>
    <x v="228"/>
    <n v="50.496000000000002"/>
    <n v="6"/>
    <n v="8.2056000000000004"/>
    <s v="5- days"/>
    <n v="5"/>
    <x v="0"/>
  </r>
  <r>
    <s v="CA-2015-156734"/>
    <d v="2015-06-18T00:00:00"/>
    <d v="2015-06-20T00:00:00"/>
    <x v="2"/>
    <s v="BV-11245"/>
    <s v="Benjamin Venier"/>
    <x v="1"/>
    <s v="United States"/>
    <s v="Smyrna"/>
    <s v="Tennessee"/>
    <x v="0"/>
    <s v="FUR-CH-10002965"/>
    <s v="Furniture"/>
    <x v="1"/>
    <x v="50"/>
    <n v="643.13599999999997"/>
    <n v="4"/>
    <n v="56.2744"/>
    <s v="2- days"/>
    <n v="2"/>
    <x v="2"/>
  </r>
  <r>
    <s v="CA-2014-144029"/>
    <d v="2014-05-26T00:00:00"/>
    <d v="2014-05-31T00:00:00"/>
    <x v="1"/>
    <s v="MM-18055"/>
    <s v="Michelle Moray"/>
    <x v="0"/>
    <s v="United States"/>
    <s v="Chicago"/>
    <s v="Illinois"/>
    <x v="3"/>
    <s v="FUR-CH-10003981"/>
    <s v="Furniture"/>
    <x v="1"/>
    <x v="232"/>
    <n v="359.77199999999999"/>
    <n v="2"/>
    <n v="-5.1395999999999997"/>
    <s v="5- days"/>
    <n v="5"/>
    <x v="7"/>
  </r>
  <r>
    <s v="US-2017-101784"/>
    <d v="2017-07-06T00:00:00"/>
    <d v="2017-07-11T00:00:00"/>
    <x v="1"/>
    <s v="PO-18850"/>
    <s v="Patrick O'Brill"/>
    <x v="0"/>
    <s v="United States"/>
    <s v="Los Angeles"/>
    <s v="California"/>
    <x v="1"/>
    <s v="FUR-CH-10001146"/>
    <s v="Furniture"/>
    <x v="1"/>
    <x v="29"/>
    <n v="122.136"/>
    <n v="3"/>
    <n v="-13.7403"/>
    <s v="5- days"/>
    <n v="5"/>
    <x v="3"/>
  </r>
  <r>
    <s v="CA-2016-154767"/>
    <d v="2016-06-28T00:00:00"/>
    <d v="2016-06-30T00:00:00"/>
    <x v="0"/>
    <s v="BP-11155"/>
    <s v="Becky Pak"/>
    <x v="0"/>
    <s v="United States"/>
    <s v="Paterson"/>
    <s v="New Jersey"/>
    <x v="2"/>
    <s v="FUR-CH-10003535"/>
    <s v="Furniture"/>
    <x v="1"/>
    <x v="312"/>
    <n v="121.96"/>
    <n v="2"/>
    <n v="20.7332"/>
    <s v="2- days"/>
    <n v="2"/>
    <x v="2"/>
  </r>
  <r>
    <s v="CA-2017-124205"/>
    <d v="2017-09-15T00:00:00"/>
    <d v="2017-09-19T00:00:00"/>
    <x v="1"/>
    <s v="TC-21145"/>
    <s v="Theresa Coyne"/>
    <x v="1"/>
    <s v="United States"/>
    <s v="Lakewood"/>
    <s v="New Jersey"/>
    <x v="2"/>
    <s v="FUR-FU-10002445"/>
    <s v="Furniture"/>
    <x v="3"/>
    <x v="292"/>
    <n v="47.4"/>
    <n v="5"/>
    <n v="18.96"/>
    <s v="4- days"/>
    <n v="4"/>
    <x v="4"/>
  </r>
  <r>
    <s v="CA-2017-124205"/>
    <d v="2017-09-15T00:00:00"/>
    <d v="2017-09-19T00:00:00"/>
    <x v="1"/>
    <s v="TC-21145"/>
    <s v="Theresa Coyne"/>
    <x v="1"/>
    <s v="United States"/>
    <s v="Lakewood"/>
    <s v="New Jersey"/>
    <x v="2"/>
    <s v="FUR-CH-10003606"/>
    <s v="Furniture"/>
    <x v="1"/>
    <x v="321"/>
    <n v="512.96"/>
    <n v="4"/>
    <n v="143.62880000000001"/>
    <s v="4- days"/>
    <n v="4"/>
    <x v="4"/>
  </r>
  <r>
    <s v="CA-2016-162943"/>
    <d v="2016-07-24T00:00:00"/>
    <d v="2016-07-26T00:00:00"/>
    <x v="0"/>
    <s v="DB-12970"/>
    <s v="Darren Budd"/>
    <x v="1"/>
    <s v="United States"/>
    <s v="New York City"/>
    <s v="New York"/>
    <x v="2"/>
    <s v="FUR-CH-10001708"/>
    <s v="Furniture"/>
    <x v="1"/>
    <x v="180"/>
    <n v="253.76400000000001"/>
    <n v="2"/>
    <n v="31.015599999999999"/>
    <s v="2- days"/>
    <n v="2"/>
    <x v="3"/>
  </r>
  <r>
    <s v="CA-2017-100615"/>
    <d v="2017-04-20T00:00:00"/>
    <d v="2017-04-24T00:00:00"/>
    <x v="1"/>
    <s v="SJ-20215"/>
    <s v="Sarah Jordon"/>
    <x v="0"/>
    <s v="United States"/>
    <s v="Chicago"/>
    <s v="Illinois"/>
    <x v="3"/>
    <s v="FUR-CH-10002602"/>
    <s v="Furniture"/>
    <x v="1"/>
    <x v="64"/>
    <n v="317.05799999999999"/>
    <n v="3"/>
    <n v="-18.117599999999999"/>
    <s v="4- days"/>
    <n v="4"/>
    <x v="6"/>
  </r>
  <r>
    <s v="CA-2017-100615"/>
    <d v="2017-04-20T00:00:00"/>
    <d v="2017-04-24T00:00:00"/>
    <x v="1"/>
    <s v="SJ-20215"/>
    <s v="Sarah Jordon"/>
    <x v="0"/>
    <s v="United States"/>
    <s v="Chicago"/>
    <s v="Illinois"/>
    <x v="3"/>
    <s v="FUR-FU-10002456"/>
    <s v="Furniture"/>
    <x v="3"/>
    <x v="202"/>
    <n v="14.56"/>
    <n v="5"/>
    <n v="-6.1879999999999997"/>
    <s v="4- days"/>
    <n v="4"/>
    <x v="6"/>
  </r>
  <r>
    <s v="US-2016-147711"/>
    <d v="2016-09-03T00:00:00"/>
    <d v="2016-09-08T00:00:00"/>
    <x v="0"/>
    <s v="HF-14995"/>
    <s v="Herbert Flentye"/>
    <x v="0"/>
    <s v="United States"/>
    <s v="Baltimore"/>
    <s v="Maryland"/>
    <x v="2"/>
    <s v="FUR-BO-10003159"/>
    <s v="Furniture"/>
    <x v="0"/>
    <x v="214"/>
    <n v="344.94"/>
    <n v="3"/>
    <n v="31.044599999999999"/>
    <s v="5- days"/>
    <n v="5"/>
    <x v="4"/>
  </r>
  <r>
    <s v="US-2016-147711"/>
    <d v="2016-09-03T00:00:00"/>
    <d v="2016-09-08T00:00:00"/>
    <x v="0"/>
    <s v="HF-14995"/>
    <s v="Herbert Flentye"/>
    <x v="0"/>
    <s v="United States"/>
    <s v="Baltimore"/>
    <s v="Maryland"/>
    <x v="2"/>
    <s v="FUR-FU-10002364"/>
    <s v="Furniture"/>
    <x v="3"/>
    <x v="242"/>
    <n v="14.76"/>
    <n v="2"/>
    <n v="4.2804000000000002"/>
    <s v="5- days"/>
    <n v="5"/>
    <x v="4"/>
  </r>
  <r>
    <s v="CA-2017-121293"/>
    <d v="2017-07-25T00:00:00"/>
    <d v="2017-07-28T00:00:00"/>
    <x v="0"/>
    <s v="JC-15775"/>
    <s v="John Castell"/>
    <x v="0"/>
    <s v="United States"/>
    <s v="Philadelphia"/>
    <s v="Pennsylvania"/>
    <x v="2"/>
    <s v="FUR-FU-10000732"/>
    <s v="Furniture"/>
    <x v="3"/>
    <x v="113"/>
    <n v="20.096"/>
    <n v="4"/>
    <n v="3.0144000000000002"/>
    <s v="3- days"/>
    <n v="3"/>
    <x v="3"/>
  </r>
  <r>
    <s v="CA-2017-121293"/>
    <d v="2017-07-25T00:00:00"/>
    <d v="2017-07-28T00:00:00"/>
    <x v="0"/>
    <s v="JC-15775"/>
    <s v="John Castell"/>
    <x v="0"/>
    <s v="United States"/>
    <s v="Philadelphia"/>
    <s v="Pennsylvania"/>
    <x v="2"/>
    <s v="FUR-TA-10001771"/>
    <s v="Furniture"/>
    <x v="2"/>
    <x v="358"/>
    <n v="138.58799999999999"/>
    <n v="1"/>
    <n v="-34.646999999999998"/>
    <s v="3- days"/>
    <n v="3"/>
    <x v="3"/>
  </r>
  <r>
    <s v="CA-2015-118843"/>
    <d v="2015-09-13T00:00:00"/>
    <d v="2015-09-20T00:00:00"/>
    <x v="1"/>
    <s v="JH-15910"/>
    <s v="Jonathan Howell"/>
    <x v="0"/>
    <s v="United States"/>
    <s v="Atlanta"/>
    <s v="Georgia"/>
    <x v="0"/>
    <s v="FUR-FU-10003975"/>
    <s v="Furniture"/>
    <x v="3"/>
    <x v="156"/>
    <n v="129.93"/>
    <n v="3"/>
    <n v="12.993"/>
    <s v="7- days"/>
    <n v="7"/>
    <x v="4"/>
  </r>
  <r>
    <s v="CA-2016-162348"/>
    <d v="2016-11-10T00:00:00"/>
    <d v="2016-11-15T00:00:00"/>
    <x v="1"/>
    <s v="BF-11170"/>
    <s v="Ben Ferrer"/>
    <x v="2"/>
    <s v="United States"/>
    <s v="Sacramento"/>
    <s v="California"/>
    <x v="1"/>
    <s v="FUR-FU-10003731"/>
    <s v="Furniture"/>
    <x v="3"/>
    <x v="329"/>
    <n v="9.98"/>
    <n v="1"/>
    <n v="2.7944"/>
    <s v="5- days"/>
    <n v="5"/>
    <x v="0"/>
  </r>
  <r>
    <s v="CA-2015-145394"/>
    <d v="2015-11-16T00:00:00"/>
    <d v="2015-11-20T00:00:00"/>
    <x v="1"/>
    <s v="MC-17605"/>
    <s v="Matt Connell"/>
    <x v="1"/>
    <s v="United States"/>
    <s v="Chicago"/>
    <s v="Illinois"/>
    <x v="3"/>
    <s v="FUR-FU-10001215"/>
    <s v="Furniture"/>
    <x v="3"/>
    <x v="331"/>
    <n v="34.503999999999998"/>
    <n v="2"/>
    <n v="-15.5268"/>
    <s v="4- days"/>
    <n v="4"/>
    <x v="0"/>
  </r>
  <r>
    <s v="CA-2015-168809"/>
    <d v="2015-08-25T00:00:00"/>
    <d v="2015-08-25T00:00:00"/>
    <x v="3"/>
    <s v="MC-18100"/>
    <s v="Mick Crebagga"/>
    <x v="0"/>
    <s v="United States"/>
    <s v="Houston"/>
    <s v="Texas"/>
    <x v="3"/>
    <s v="FUR-FU-10001473"/>
    <s v="Furniture"/>
    <x v="3"/>
    <x v="246"/>
    <n v="20.103999999999999"/>
    <n v="2"/>
    <n v="-16.585799999999999"/>
    <s v="0- days"/>
    <n v="0"/>
    <x v="10"/>
  </r>
  <r>
    <s v="CA-2015-168809"/>
    <d v="2015-08-25T00:00:00"/>
    <d v="2015-08-25T00:00:00"/>
    <x v="3"/>
    <s v="MC-18100"/>
    <s v="Mick Crebagga"/>
    <x v="0"/>
    <s v="United States"/>
    <s v="Houston"/>
    <s v="Texas"/>
    <x v="3"/>
    <s v="FUR-FU-10002240"/>
    <s v="Furniture"/>
    <x v="3"/>
    <x v="368"/>
    <n v="7.88"/>
    <n v="5"/>
    <n v="-3.94"/>
    <s v="0- days"/>
    <n v="0"/>
    <x v="10"/>
  </r>
  <r>
    <s v="CA-2016-109827"/>
    <d v="2016-12-25T00:00:00"/>
    <d v="2017-01-01T00:00:00"/>
    <x v="1"/>
    <s v="LW-16825"/>
    <s v="Laurel Workman"/>
    <x v="1"/>
    <s v="United States"/>
    <s v="Phoenix"/>
    <s v="Arizona"/>
    <x v="1"/>
    <s v="FUR-TA-10002607"/>
    <s v="Furniture"/>
    <x v="2"/>
    <x v="48"/>
    <n v="35.445"/>
    <n v="1"/>
    <n v="-24.102599999999999"/>
    <s v="7- days"/>
    <n v="7"/>
    <x v="5"/>
  </r>
  <r>
    <s v="CA-2016-109827"/>
    <d v="2016-12-25T00:00:00"/>
    <d v="2017-01-01T00:00:00"/>
    <x v="1"/>
    <s v="LW-16825"/>
    <s v="Laurel Workman"/>
    <x v="1"/>
    <s v="United States"/>
    <s v="Phoenix"/>
    <s v="Arizona"/>
    <x v="1"/>
    <s v="FUR-CH-10004754"/>
    <s v="Furniture"/>
    <x v="1"/>
    <x v="219"/>
    <n v="47.968000000000004"/>
    <n v="2"/>
    <n v="4.1971999999999996"/>
    <s v="7- days"/>
    <n v="7"/>
    <x v="5"/>
  </r>
  <r>
    <s v="CA-2015-128125"/>
    <d v="2015-03-31T00:00:00"/>
    <d v="2015-04-05T00:00:00"/>
    <x v="1"/>
    <s v="EB-13705"/>
    <s v="Ed Braxton"/>
    <x v="1"/>
    <s v="United States"/>
    <s v="Houston"/>
    <s v="Texas"/>
    <x v="3"/>
    <s v="FUR-FU-10001085"/>
    <s v="Furniture"/>
    <x v="3"/>
    <x v="328"/>
    <n v="22.38"/>
    <n v="3"/>
    <n v="-7.8330000000000002"/>
    <s v="5- days"/>
    <n v="5"/>
    <x v="9"/>
  </r>
  <r>
    <s v="CA-2017-156237"/>
    <d v="2017-09-14T00:00:00"/>
    <d v="2017-09-15T00:00:00"/>
    <x v="2"/>
    <s v="PS-18760"/>
    <s v="Pamela Stobb"/>
    <x v="0"/>
    <s v="United States"/>
    <s v="Philadelphia"/>
    <s v="Pennsylvania"/>
    <x v="2"/>
    <s v="FUR-CH-10002372"/>
    <s v="Furniture"/>
    <x v="1"/>
    <x v="83"/>
    <n v="113.372"/>
    <n v="2"/>
    <n v="-29.152799999999999"/>
    <s v="1- days"/>
    <n v="1"/>
    <x v="4"/>
  </r>
  <r>
    <s v="CA-2017-156237"/>
    <d v="2017-09-14T00:00:00"/>
    <d v="2017-09-15T00:00:00"/>
    <x v="2"/>
    <s v="PS-18760"/>
    <s v="Pamela Stobb"/>
    <x v="0"/>
    <s v="United States"/>
    <s v="Philadelphia"/>
    <s v="Pennsylvania"/>
    <x v="2"/>
    <s v="FUR-FU-10001057"/>
    <s v="Furniture"/>
    <x v="3"/>
    <x v="369"/>
    <n v="127.93600000000001"/>
    <n v="8"/>
    <n v="4.7976000000000001"/>
    <s v="1- days"/>
    <n v="1"/>
    <x v="4"/>
  </r>
  <r>
    <s v="CA-2014-144414"/>
    <d v="2014-06-17T00:00:00"/>
    <d v="2014-06-21T00:00:00"/>
    <x v="1"/>
    <s v="GH-14425"/>
    <s v="Gary Hwang"/>
    <x v="0"/>
    <s v="United States"/>
    <s v="Seattle"/>
    <s v="Washington"/>
    <x v="1"/>
    <s v="FUR-FU-10003981"/>
    <s v="Furniture"/>
    <x v="3"/>
    <x v="70"/>
    <n v="6.24"/>
    <n v="3"/>
    <n v="2.6208"/>
    <s v="4- days"/>
    <n v="4"/>
    <x v="2"/>
  </r>
  <r>
    <s v="CA-2017-163860"/>
    <d v="2017-12-28T00:00:00"/>
    <d v="2018-01-01T00:00:00"/>
    <x v="1"/>
    <s v="LO-17170"/>
    <s v="Lori Olson"/>
    <x v="1"/>
    <s v="United States"/>
    <s v="Peoria"/>
    <s v="Illinois"/>
    <x v="3"/>
    <s v="FUR-FU-10004586"/>
    <s v="Furniture"/>
    <x v="3"/>
    <x v="303"/>
    <n v="7.968"/>
    <n v="3"/>
    <n v="-2.3904000000000001"/>
    <s v="4- days"/>
    <n v="4"/>
    <x v="5"/>
  </r>
  <r>
    <s v="CA-2017-163860"/>
    <d v="2017-12-28T00:00:00"/>
    <d v="2018-01-01T00:00:00"/>
    <x v="1"/>
    <s v="LO-17170"/>
    <s v="Lori Olson"/>
    <x v="1"/>
    <s v="United States"/>
    <s v="Peoria"/>
    <s v="Illinois"/>
    <x v="3"/>
    <s v="FUR-CH-10004698"/>
    <s v="Furniture"/>
    <x v="1"/>
    <x v="34"/>
    <n v="113.372"/>
    <n v="2"/>
    <n v="-3.2391999999999999"/>
    <s v="4- days"/>
    <n v="4"/>
    <x v="5"/>
  </r>
  <r>
    <s v="CA-2017-163860"/>
    <d v="2017-12-28T00:00:00"/>
    <d v="2018-01-01T00:00:00"/>
    <x v="1"/>
    <s v="LO-17170"/>
    <s v="Lori Olson"/>
    <x v="1"/>
    <s v="United States"/>
    <s v="Peoria"/>
    <s v="Illinois"/>
    <x v="3"/>
    <s v="FUR-FU-10001935"/>
    <s v="Furniture"/>
    <x v="3"/>
    <x v="73"/>
    <n v="2.96"/>
    <n v="2"/>
    <n v="-1.4059999999999999"/>
    <s v="4- days"/>
    <n v="4"/>
    <x v="5"/>
  </r>
  <r>
    <s v="CA-2015-154291"/>
    <d v="2015-07-25T00:00:00"/>
    <d v="2015-07-29T00:00:00"/>
    <x v="1"/>
    <s v="YS-21880"/>
    <s v="Yana Sorensen"/>
    <x v="1"/>
    <s v="United States"/>
    <s v="Montgomery"/>
    <s v="Alabama"/>
    <x v="0"/>
    <s v="FUR-TA-10002041"/>
    <s v="Furniture"/>
    <x v="2"/>
    <x v="74"/>
    <n v="358.58"/>
    <n v="2"/>
    <n v="39.443800000000003"/>
    <s v="4- days"/>
    <n v="4"/>
    <x v="3"/>
  </r>
  <r>
    <s v="CA-2016-153101"/>
    <d v="2016-09-08T00:00:00"/>
    <d v="2016-09-08T00:00:00"/>
    <x v="3"/>
    <s v="PJ-19015"/>
    <s v="Pauline Johnson"/>
    <x v="0"/>
    <s v="United States"/>
    <s v="Santa Ana"/>
    <s v="California"/>
    <x v="1"/>
    <s v="FUR-TA-10003008"/>
    <s v="Furniture"/>
    <x v="2"/>
    <x v="190"/>
    <n v="146.04"/>
    <n v="1"/>
    <n v="-12.778499999999999"/>
    <s v="0- days"/>
    <n v="0"/>
    <x v="4"/>
  </r>
  <r>
    <s v="CA-2017-142643"/>
    <d v="2017-10-15T00:00:00"/>
    <d v="2017-10-20T00:00:00"/>
    <x v="1"/>
    <s v="DL-13495"/>
    <s v="Dionis Lloyd"/>
    <x v="1"/>
    <s v="United States"/>
    <s v="Thousand Oaks"/>
    <s v="California"/>
    <x v="1"/>
    <s v="FUR-FU-10000087"/>
    <s v="Furniture"/>
    <x v="3"/>
    <x v="39"/>
    <n v="22.72"/>
    <n v="1"/>
    <n v="9.3152000000000008"/>
    <s v="5- days"/>
    <n v="5"/>
    <x v="1"/>
  </r>
  <r>
    <s v="CA-2016-123946"/>
    <d v="2016-09-12T00:00:00"/>
    <d v="2016-09-17T00:00:00"/>
    <x v="1"/>
    <s v="AJ-10795"/>
    <s v="Anthony Johnson"/>
    <x v="1"/>
    <s v="United States"/>
    <s v="Springfield"/>
    <s v="Virginia"/>
    <x v="0"/>
    <s v="FUR-CH-10002073"/>
    <s v="Furniture"/>
    <x v="1"/>
    <x v="370"/>
    <n v="1059.1199999999999"/>
    <n v="4"/>
    <n v="307.14479999999998"/>
    <s v="5- days"/>
    <n v="5"/>
    <x v="4"/>
  </r>
  <r>
    <s v="CA-2014-147543"/>
    <d v="2014-07-06T00:00:00"/>
    <d v="2014-07-12T00:00:00"/>
    <x v="1"/>
    <s v="BC-11125"/>
    <s v="Becky Castell"/>
    <x v="2"/>
    <s v="United States"/>
    <s v="El Cajon"/>
    <s v="California"/>
    <x v="1"/>
    <s v="FUR-CH-10000155"/>
    <s v="Furniture"/>
    <x v="1"/>
    <x v="229"/>
    <n v="478.48"/>
    <n v="2"/>
    <n v="47.847999999999999"/>
    <s v="6- days"/>
    <n v="6"/>
    <x v="3"/>
  </r>
  <r>
    <s v="CA-2014-101462"/>
    <d v="2014-04-20T00:00:00"/>
    <d v="2014-04-25T00:00:00"/>
    <x v="1"/>
    <s v="BP-11230"/>
    <s v="Benjamin Patterson"/>
    <x v="0"/>
    <s v="United States"/>
    <s v="Los Angeles"/>
    <s v="California"/>
    <x v="1"/>
    <s v="FUR-FU-10000409"/>
    <s v="Furniture"/>
    <x v="3"/>
    <x v="283"/>
    <n v="59.92"/>
    <n v="4"/>
    <n v="27.563199999999998"/>
    <s v="5- days"/>
    <n v="5"/>
    <x v="6"/>
  </r>
  <r>
    <s v="US-2016-100461"/>
    <d v="2016-01-08T00:00:00"/>
    <d v="2016-01-12T00:00:00"/>
    <x v="1"/>
    <s v="JO-15145"/>
    <s v="Jack O'Briant"/>
    <x v="1"/>
    <s v="United States"/>
    <s v="Franklin"/>
    <s v="Wisconsin"/>
    <x v="3"/>
    <s v="FUR-BO-10002545"/>
    <s v="Furniture"/>
    <x v="0"/>
    <x v="9"/>
    <n v="1565.88"/>
    <n v="6"/>
    <n v="407.12880000000001"/>
    <s v="4- days"/>
    <n v="4"/>
    <x v="8"/>
  </r>
  <r>
    <s v="CA-2017-128965"/>
    <d v="2017-04-17T00:00:00"/>
    <d v="2017-04-22T00:00:00"/>
    <x v="1"/>
    <s v="PS-18760"/>
    <s v="Pamela Stobb"/>
    <x v="0"/>
    <s v="United States"/>
    <s v="Los Angeles"/>
    <s v="California"/>
    <x v="1"/>
    <s v="FUR-CH-10003774"/>
    <s v="Furniture"/>
    <x v="1"/>
    <x v="234"/>
    <n v="218.352"/>
    <n v="3"/>
    <n v="-19.105799999999999"/>
    <s v="5- days"/>
    <n v="5"/>
    <x v="6"/>
  </r>
  <r>
    <s v="US-2016-126452"/>
    <d v="2016-08-21T00:00:00"/>
    <d v="2016-08-28T00:00:00"/>
    <x v="1"/>
    <s v="SC-20230"/>
    <s v="Scot Coram"/>
    <x v="1"/>
    <s v="United States"/>
    <s v="Los Angeles"/>
    <s v="California"/>
    <x v="1"/>
    <s v="FUR-TA-10003569"/>
    <s v="Furniture"/>
    <x v="2"/>
    <x v="273"/>
    <n v="2887.056"/>
    <n v="9"/>
    <n v="180.441"/>
    <s v="7- days"/>
    <n v="7"/>
    <x v="10"/>
  </r>
  <r>
    <s v="US-2016-121013"/>
    <d v="2016-09-05T00:00:00"/>
    <d v="2016-09-10T00:00:00"/>
    <x v="1"/>
    <s v="MM-17920"/>
    <s v="Michael Moore"/>
    <x v="0"/>
    <s v="United States"/>
    <s v="Chesapeake"/>
    <s v="Virginia"/>
    <x v="0"/>
    <s v="FUR-TA-10003238"/>
    <s v="Furniture"/>
    <x v="2"/>
    <x v="243"/>
    <n v="1652.94"/>
    <n v="3"/>
    <n v="314.05860000000001"/>
    <s v="5- days"/>
    <n v="5"/>
    <x v="4"/>
  </r>
  <r>
    <s v="US-2015-123918"/>
    <d v="2015-10-15T00:00:00"/>
    <d v="2015-10-15T00:00:00"/>
    <x v="3"/>
    <s v="CG-12520"/>
    <s v="Claire Gute"/>
    <x v="0"/>
    <s v="United States"/>
    <s v="Dallas"/>
    <s v="Texas"/>
    <x v="3"/>
    <s v="FUR-FU-10004952"/>
    <s v="Furniture"/>
    <x v="3"/>
    <x v="169"/>
    <n v="131.376"/>
    <n v="6"/>
    <n v="-95.247600000000006"/>
    <s v="0- days"/>
    <n v="0"/>
    <x v="1"/>
  </r>
  <r>
    <s v="CA-2015-137113"/>
    <d v="2015-12-01T00:00:00"/>
    <d v="2015-12-05T00:00:00"/>
    <x v="0"/>
    <s v="TW-21025"/>
    <s v="Tamara Willingham"/>
    <x v="2"/>
    <s v="United States"/>
    <s v="Seattle"/>
    <s v="Washington"/>
    <x v="1"/>
    <s v="FUR-CH-10001215"/>
    <s v="Furniture"/>
    <x v="1"/>
    <x v="94"/>
    <n v="2003.92"/>
    <n v="5"/>
    <n v="125.245"/>
    <s v="4- days"/>
    <n v="4"/>
    <x v="5"/>
  </r>
  <r>
    <s v="CA-2015-137113"/>
    <d v="2015-12-01T00:00:00"/>
    <d v="2015-12-05T00:00:00"/>
    <x v="0"/>
    <s v="TW-21025"/>
    <s v="Tamara Willingham"/>
    <x v="2"/>
    <s v="United States"/>
    <s v="Seattle"/>
    <s v="Washington"/>
    <x v="1"/>
    <s v="FUR-TA-10001705"/>
    <s v="Furniture"/>
    <x v="2"/>
    <x v="43"/>
    <n v="1913.4"/>
    <n v="9"/>
    <n v="401.81400000000002"/>
    <s v="4- days"/>
    <n v="4"/>
    <x v="5"/>
  </r>
  <r>
    <s v="CA-2015-120677"/>
    <d v="2015-05-31T00:00:00"/>
    <d v="2015-06-04T00:00:00"/>
    <x v="1"/>
    <s v="BD-11320"/>
    <s v="Bill Donatelli"/>
    <x v="0"/>
    <s v="United States"/>
    <s v="Minneapolis"/>
    <s v="Minnesota"/>
    <x v="3"/>
    <s v="FUR-CH-10002320"/>
    <s v="Furniture"/>
    <x v="1"/>
    <x v="297"/>
    <n v="2567.84"/>
    <n v="8"/>
    <n v="770.35199999999998"/>
    <s v="4- days"/>
    <n v="4"/>
    <x v="7"/>
  </r>
  <r>
    <s v="CA-2017-164756"/>
    <d v="2017-09-18T00:00:00"/>
    <d v="2017-09-22T00:00:00"/>
    <x v="1"/>
    <s v="SS-20140"/>
    <s v="Saphhira Shifley"/>
    <x v="1"/>
    <s v="United States"/>
    <s v="Columbus"/>
    <s v="Georgia"/>
    <x v="0"/>
    <s v="FUR-FU-10002963"/>
    <s v="Furniture"/>
    <x v="3"/>
    <x v="305"/>
    <n v="20.32"/>
    <n v="4"/>
    <n v="6.9088000000000003"/>
    <s v="4- days"/>
    <n v="4"/>
    <x v="4"/>
  </r>
  <r>
    <s v="US-2015-165512"/>
    <d v="2015-05-24T00:00:00"/>
    <d v="2015-05-26T00:00:00"/>
    <x v="0"/>
    <s v="VS-21820"/>
    <s v="Vivek Sundaresam"/>
    <x v="0"/>
    <s v="United States"/>
    <s v="Naperville"/>
    <s v="Illinois"/>
    <x v="3"/>
    <s v="FUR-CH-10002880"/>
    <s v="Furniture"/>
    <x v="1"/>
    <x v="162"/>
    <n v="602.65099999999995"/>
    <n v="7"/>
    <n v="-163.57669999999999"/>
    <s v="2- days"/>
    <n v="2"/>
    <x v="7"/>
  </r>
  <r>
    <s v="US-2017-135503"/>
    <d v="2017-12-10T00:00:00"/>
    <d v="2017-12-15T00:00:00"/>
    <x v="1"/>
    <s v="JE-16165"/>
    <s v="Justin Ellison"/>
    <x v="1"/>
    <s v="United States"/>
    <s v="North Charleston"/>
    <s v="South Carolina"/>
    <x v="0"/>
    <s v="FUR-FU-10002364"/>
    <s v="Furniture"/>
    <x v="3"/>
    <x v="242"/>
    <n v="14.76"/>
    <n v="2"/>
    <n v="4.2804000000000002"/>
    <s v="5- days"/>
    <n v="5"/>
    <x v="5"/>
  </r>
  <r>
    <s v="US-2017-115301"/>
    <d v="2017-07-29T00:00:00"/>
    <d v="2017-08-02T00:00:00"/>
    <x v="1"/>
    <s v="VG-21790"/>
    <s v="Vivek Gonzalez"/>
    <x v="0"/>
    <s v="United States"/>
    <s v="Seattle"/>
    <s v="Washington"/>
    <x v="1"/>
    <s v="FUR-BO-10004709"/>
    <s v="Furniture"/>
    <x v="0"/>
    <x v="53"/>
    <n v="115.96"/>
    <n v="2"/>
    <n v="25.511199999999999"/>
    <s v="4- days"/>
    <n v="4"/>
    <x v="3"/>
  </r>
  <r>
    <s v="CA-2014-124247"/>
    <d v="2014-12-16T00:00:00"/>
    <d v="2014-12-21T00:00:00"/>
    <x v="1"/>
    <s v="SH-20635"/>
    <s v="Stefanie Holloman"/>
    <x v="1"/>
    <s v="United States"/>
    <s v="Sacramento"/>
    <s v="California"/>
    <x v="1"/>
    <s v="FUR-CH-10001854"/>
    <s v="Furniture"/>
    <x v="1"/>
    <x v="216"/>
    <n v="1403.92"/>
    <n v="5"/>
    <n v="70.195999999999998"/>
    <s v="5- days"/>
    <n v="5"/>
    <x v="5"/>
  </r>
  <r>
    <s v="CA-2015-137925"/>
    <d v="2015-11-30T00:00:00"/>
    <d v="2015-12-04T00:00:00"/>
    <x v="1"/>
    <s v="JL-15235"/>
    <s v="Janet Lee"/>
    <x v="0"/>
    <s v="United States"/>
    <s v="New York City"/>
    <s v="New York"/>
    <x v="2"/>
    <s v="FUR-BO-10001608"/>
    <s v="Furniture"/>
    <x v="0"/>
    <x v="315"/>
    <n v="681.40800000000002"/>
    <n v="12"/>
    <n v="42.588000000000001"/>
    <s v="4- days"/>
    <n v="4"/>
    <x v="0"/>
  </r>
  <r>
    <s v="CA-2014-164182"/>
    <d v="2014-07-14T00:00:00"/>
    <d v="2014-07-18T00:00:00"/>
    <x v="1"/>
    <s v="ST-20530"/>
    <s v="Shui Tom"/>
    <x v="0"/>
    <s v="United States"/>
    <s v="Philadelphia"/>
    <s v="Pennsylvania"/>
    <x v="2"/>
    <s v="FUR-FU-10001057"/>
    <s v="Furniture"/>
    <x v="3"/>
    <x v="369"/>
    <n v="31.984000000000002"/>
    <n v="2"/>
    <n v="1.1994"/>
    <s v="4- days"/>
    <n v="4"/>
    <x v="3"/>
  </r>
  <r>
    <s v="CA-2016-129847"/>
    <d v="2016-09-02T00:00:00"/>
    <d v="2016-09-04T00:00:00"/>
    <x v="2"/>
    <s v="TA-21385"/>
    <s v="Tom Ashbrook"/>
    <x v="2"/>
    <s v="United States"/>
    <s v="Chicago"/>
    <s v="Illinois"/>
    <x v="3"/>
    <s v="FUR-FU-10000277"/>
    <s v="Furniture"/>
    <x v="3"/>
    <x v="371"/>
    <n v="84.272000000000006"/>
    <n v="2"/>
    <n v="-75.844800000000006"/>
    <s v="2- days"/>
    <n v="2"/>
    <x v="4"/>
  </r>
  <r>
    <s v="CA-2016-106243"/>
    <d v="2016-09-30T00:00:00"/>
    <d v="2016-10-04T00:00:00"/>
    <x v="1"/>
    <s v="GM-14680"/>
    <s v="Greg Matthias"/>
    <x v="0"/>
    <s v="United States"/>
    <s v="New York City"/>
    <s v="New York"/>
    <x v="2"/>
    <s v="FUR-BO-10003034"/>
    <s v="Furniture"/>
    <x v="0"/>
    <x v="236"/>
    <n v="523.91999999999996"/>
    <n v="5"/>
    <n v="-26.196000000000002"/>
    <s v="4- days"/>
    <n v="4"/>
    <x v="4"/>
  </r>
  <r>
    <s v="CA-2015-130365"/>
    <d v="2015-04-25T00:00:00"/>
    <d v="2015-04-29T00:00:00"/>
    <x v="1"/>
    <s v="ZC-21910"/>
    <s v="Zuschuss Carroll"/>
    <x v="0"/>
    <s v="United States"/>
    <s v="Aurora"/>
    <s v="Illinois"/>
    <x v="3"/>
    <s v="FUR-CH-10003535"/>
    <s v="Furniture"/>
    <x v="1"/>
    <x v="312"/>
    <n v="128.05799999999999"/>
    <n v="3"/>
    <n v="-23.7822"/>
    <s v="4- days"/>
    <n v="4"/>
    <x v="6"/>
  </r>
  <r>
    <s v="CA-2017-143021"/>
    <d v="2017-11-19T00:00:00"/>
    <d v="2017-11-19T00:00:00"/>
    <x v="3"/>
    <s v="AP-10720"/>
    <s v="Anne Pryor"/>
    <x v="2"/>
    <s v="United States"/>
    <s v="New York City"/>
    <s v="New York"/>
    <x v="2"/>
    <s v="FUR-TA-10001676"/>
    <s v="Furniture"/>
    <x v="2"/>
    <x v="193"/>
    <n v="79.974000000000004"/>
    <n v="3"/>
    <n v="-29.323799999999999"/>
    <s v="0- days"/>
    <n v="0"/>
    <x v="0"/>
  </r>
  <r>
    <s v="CA-2016-157588"/>
    <d v="2016-07-14T00:00:00"/>
    <d v="2016-07-19T00:00:00"/>
    <x v="1"/>
    <s v="AR-10570"/>
    <s v="Anemone Ratner"/>
    <x v="0"/>
    <s v="United States"/>
    <s v="Columbus"/>
    <s v="Georgia"/>
    <x v="0"/>
    <s v="FUR-FU-10004848"/>
    <s v="Furniture"/>
    <x v="3"/>
    <x v="7"/>
    <n v="51.75"/>
    <n v="1"/>
    <n v="15.525"/>
    <s v="5- days"/>
    <n v="5"/>
    <x v="3"/>
  </r>
  <r>
    <s v="CA-2016-163937"/>
    <d v="2016-01-10T00:00:00"/>
    <d v="2016-01-13T00:00:00"/>
    <x v="0"/>
    <s v="JB-16000"/>
    <s v="Joy Bell-"/>
    <x v="0"/>
    <s v="United States"/>
    <s v="Longview"/>
    <s v="Washington"/>
    <x v="1"/>
    <s v="FUR-FU-10000010"/>
    <s v="Furniture"/>
    <x v="3"/>
    <x v="109"/>
    <n v="24.85"/>
    <n v="5"/>
    <n v="7.7035"/>
    <s v="3- days"/>
    <n v="3"/>
    <x v="8"/>
  </r>
  <r>
    <s v="CA-2015-112144"/>
    <d v="2015-06-28T00:00:00"/>
    <d v="2015-07-02T00:00:00"/>
    <x v="1"/>
    <s v="CY-12745"/>
    <s v="Craig Yedwab"/>
    <x v="1"/>
    <s v="United States"/>
    <s v="Gilbert"/>
    <s v="Arizona"/>
    <x v="1"/>
    <s v="FUR-FU-10004306"/>
    <s v="Furniture"/>
    <x v="3"/>
    <x v="130"/>
    <n v="621.76"/>
    <n v="4"/>
    <n v="46.631999999999998"/>
    <s v="4- days"/>
    <n v="4"/>
    <x v="2"/>
  </r>
  <r>
    <s v="CA-2015-109386"/>
    <d v="2015-11-08T00:00:00"/>
    <d v="2015-11-13T00:00:00"/>
    <x v="0"/>
    <s v="RH-19600"/>
    <s v="Rob Haberlin"/>
    <x v="0"/>
    <s v="United States"/>
    <s v="Hampton"/>
    <s v="Virginia"/>
    <x v="0"/>
    <s v="FUR-FU-10000308"/>
    <s v="Furniture"/>
    <x v="3"/>
    <x v="250"/>
    <n v="186.54"/>
    <n v="3"/>
    <n v="41.038800000000002"/>
    <s v="5- days"/>
    <n v="5"/>
    <x v="0"/>
  </r>
  <r>
    <s v="CA-2015-104871"/>
    <d v="2015-03-30T00:00:00"/>
    <d v="2015-04-03T00:00:00"/>
    <x v="1"/>
    <s v="DR-12940"/>
    <s v="Daniel Raglin"/>
    <x v="2"/>
    <s v="United States"/>
    <s v="Normal"/>
    <s v="Illinois"/>
    <x v="3"/>
    <s v="FUR-CH-10003298"/>
    <s v="Furniture"/>
    <x v="1"/>
    <x v="322"/>
    <n v="366.74400000000003"/>
    <n v="4"/>
    <n v="-110.0232"/>
    <s v="4- days"/>
    <n v="4"/>
    <x v="9"/>
  </r>
  <r>
    <s v="CA-2014-133158"/>
    <d v="2014-08-19T00:00:00"/>
    <d v="2014-08-21T00:00:00"/>
    <x v="0"/>
    <s v="DW-13195"/>
    <s v="David Wiener"/>
    <x v="1"/>
    <s v="United States"/>
    <s v="Los Angeles"/>
    <s v="California"/>
    <x v="1"/>
    <s v="FUR-FU-10000723"/>
    <s v="Furniture"/>
    <x v="3"/>
    <x v="100"/>
    <n v="289.24"/>
    <n v="7"/>
    <n v="26.031600000000001"/>
    <s v="2- days"/>
    <n v="2"/>
    <x v="10"/>
  </r>
  <r>
    <s v="CA-2015-141740"/>
    <d v="2015-11-01T00:00:00"/>
    <d v="2015-11-05T00:00:00"/>
    <x v="1"/>
    <s v="JF-15490"/>
    <s v="Jeremy Farry"/>
    <x v="0"/>
    <s v="United States"/>
    <s v="New York City"/>
    <s v="New York"/>
    <x v="2"/>
    <s v="FUR-CH-10001545"/>
    <s v="Furniture"/>
    <x v="1"/>
    <x v="361"/>
    <n v="205.16399999999999"/>
    <n v="2"/>
    <n v="13.6776"/>
    <s v="4- days"/>
    <n v="4"/>
    <x v="0"/>
  </r>
  <r>
    <s v="CA-2014-119466"/>
    <d v="2014-12-15T00:00:00"/>
    <d v="2014-12-21T00:00:00"/>
    <x v="1"/>
    <s v="SP-20860"/>
    <s v="Sung Pak"/>
    <x v="1"/>
    <s v="United States"/>
    <s v="Chicago"/>
    <s v="Illinois"/>
    <x v="3"/>
    <s v="FUR-FU-10001546"/>
    <s v="Furniture"/>
    <x v="3"/>
    <x v="284"/>
    <n v="8.5440000000000005"/>
    <n v="2"/>
    <n v="-7.476"/>
    <s v="6- days"/>
    <n v="6"/>
    <x v="5"/>
  </r>
  <r>
    <s v="CA-2015-154823"/>
    <d v="2015-08-21T00:00:00"/>
    <d v="2015-08-25T00:00:00"/>
    <x v="1"/>
    <s v="KN-16390"/>
    <s v="Katherine Nockton"/>
    <x v="1"/>
    <s v="United States"/>
    <s v="Springfield"/>
    <s v="Ohio"/>
    <x v="2"/>
    <s v="FUR-CH-10003379"/>
    <s v="Furniture"/>
    <x v="1"/>
    <x v="96"/>
    <n v="598.45799999999997"/>
    <n v="3"/>
    <n v="-42.747"/>
    <s v="4- days"/>
    <n v="4"/>
    <x v="10"/>
  </r>
  <r>
    <s v="CA-2015-154823"/>
    <d v="2015-08-21T00:00:00"/>
    <d v="2015-08-25T00:00:00"/>
    <x v="1"/>
    <s v="KN-16390"/>
    <s v="Katherine Nockton"/>
    <x v="1"/>
    <s v="United States"/>
    <s v="Springfield"/>
    <s v="Ohio"/>
    <x v="2"/>
    <s v="FUR-FU-10000193"/>
    <s v="Furniture"/>
    <x v="3"/>
    <x v="306"/>
    <n v="25.984000000000002"/>
    <n v="1"/>
    <n v="-3.8976000000000002"/>
    <s v="4- days"/>
    <n v="4"/>
    <x v="10"/>
  </r>
  <r>
    <s v="CA-2017-141201"/>
    <d v="2017-12-09T00:00:00"/>
    <d v="2017-12-11T00:00:00"/>
    <x v="0"/>
    <s v="DB-12910"/>
    <s v="Daniel Byrd"/>
    <x v="2"/>
    <s v="United States"/>
    <s v="Salinas"/>
    <s v="California"/>
    <x v="1"/>
    <s v="FUR-BO-10001519"/>
    <s v="Furniture"/>
    <x v="0"/>
    <x v="141"/>
    <n v="148.25700000000001"/>
    <n v="3"/>
    <n v="15.697800000000001"/>
    <s v="2- days"/>
    <n v="2"/>
    <x v="5"/>
  </r>
  <r>
    <s v="CA-2014-124737"/>
    <d v="2014-08-23T00:00:00"/>
    <d v="2014-08-27T00:00:00"/>
    <x v="1"/>
    <s v="AP-10915"/>
    <s v="Arthur Prichep"/>
    <x v="0"/>
    <s v="United States"/>
    <s v="Denver"/>
    <s v="Colorado"/>
    <x v="1"/>
    <s v="FUR-FU-10003274"/>
    <s v="Furniture"/>
    <x v="3"/>
    <x v="51"/>
    <n v="4.2240000000000002"/>
    <n v="3"/>
    <n v="1.2672000000000001"/>
    <s v="4- days"/>
    <n v="4"/>
    <x v="10"/>
  </r>
  <r>
    <s v="CA-2016-145548"/>
    <d v="2016-11-11T00:00:00"/>
    <d v="2016-11-16T00:00:00"/>
    <x v="1"/>
    <s v="EB-13750"/>
    <s v="Edward Becker"/>
    <x v="1"/>
    <s v="United States"/>
    <s v="New York City"/>
    <s v="New York"/>
    <x v="2"/>
    <s v="FUR-CH-10003774"/>
    <s v="Furniture"/>
    <x v="1"/>
    <x v="234"/>
    <n v="245.64599999999999"/>
    <n v="3"/>
    <n v="8.1882000000000001"/>
    <s v="5- days"/>
    <n v="5"/>
    <x v="0"/>
  </r>
  <r>
    <s v="CA-2017-119494"/>
    <d v="2017-11-09T00:00:00"/>
    <d v="2017-11-13T00:00:00"/>
    <x v="1"/>
    <s v="JE-15610"/>
    <s v="Jim Epp"/>
    <x v="1"/>
    <s v="United States"/>
    <s v="San Diego"/>
    <s v="California"/>
    <x v="1"/>
    <s v="FUR-CH-10004675"/>
    <s v="Furniture"/>
    <x v="1"/>
    <x v="135"/>
    <n v="523.39200000000005"/>
    <n v="3"/>
    <n v="52.339199999999998"/>
    <s v="4- days"/>
    <n v="4"/>
    <x v="0"/>
  </r>
  <r>
    <s v="CA-2017-103443"/>
    <d v="2017-12-17T00:00:00"/>
    <d v="2017-12-23T00:00:00"/>
    <x v="1"/>
    <s v="AT-10735"/>
    <s v="Annie Thurman"/>
    <x v="0"/>
    <s v="United States"/>
    <s v="New York City"/>
    <s v="New York"/>
    <x v="2"/>
    <s v="FUR-FU-10000308"/>
    <s v="Furniture"/>
    <x v="3"/>
    <x v="250"/>
    <n v="124.36"/>
    <n v="2"/>
    <n v="27.359200000000001"/>
    <s v="6- days"/>
    <n v="6"/>
    <x v="5"/>
  </r>
  <r>
    <s v="US-2017-165358"/>
    <d v="2017-07-18T00:00:00"/>
    <d v="2017-07-23T00:00:00"/>
    <x v="1"/>
    <s v="SV-20365"/>
    <s v="Seth Vernon"/>
    <x v="0"/>
    <s v="United States"/>
    <s v="Philadelphia"/>
    <s v="Pennsylvania"/>
    <x v="2"/>
    <s v="FUR-CH-10002647"/>
    <s v="Furniture"/>
    <x v="1"/>
    <x v="99"/>
    <n v="198.744"/>
    <n v="4"/>
    <n v="-14.196"/>
    <s v="5- days"/>
    <n v="5"/>
    <x v="3"/>
  </r>
  <r>
    <s v="CA-2014-150581"/>
    <d v="2014-04-08T00:00:00"/>
    <d v="2014-04-12T00:00:00"/>
    <x v="1"/>
    <s v="NM-18445"/>
    <s v="Nathan Mautz"/>
    <x v="2"/>
    <s v="United States"/>
    <s v="Concord"/>
    <s v="California"/>
    <x v="1"/>
    <s v="FUR-TA-10003748"/>
    <s v="Furniture"/>
    <x v="2"/>
    <x v="40"/>
    <n v="99.591999999999999"/>
    <n v="1"/>
    <n v="2.4897999999999998"/>
    <s v="4- days"/>
    <n v="4"/>
    <x v="6"/>
  </r>
  <r>
    <s v="CA-2016-165330"/>
    <d v="2016-12-11T00:00:00"/>
    <d v="2016-12-11T00:00:00"/>
    <x v="3"/>
    <s v="WB-21850"/>
    <s v="William Brown"/>
    <x v="0"/>
    <s v="United States"/>
    <s v="Anaheim"/>
    <s v="California"/>
    <x v="1"/>
    <s v="FUR-CH-10003774"/>
    <s v="Furniture"/>
    <x v="1"/>
    <x v="234"/>
    <n v="363.92"/>
    <n v="5"/>
    <n v="-31.843"/>
    <s v="0- days"/>
    <n v="0"/>
    <x v="5"/>
  </r>
  <r>
    <s v="CA-2016-165330"/>
    <d v="2016-12-11T00:00:00"/>
    <d v="2016-12-11T00:00:00"/>
    <x v="3"/>
    <s v="WB-21850"/>
    <s v="William Brown"/>
    <x v="0"/>
    <s v="United States"/>
    <s v="Anaheim"/>
    <s v="California"/>
    <x v="1"/>
    <s v="FUR-TA-10004619"/>
    <s v="Furniture"/>
    <x v="2"/>
    <x v="178"/>
    <n v="892.13599999999997"/>
    <n v="7"/>
    <n v="111.517"/>
    <s v="0- days"/>
    <n v="0"/>
    <x v="5"/>
  </r>
  <r>
    <s v="CA-2016-106950"/>
    <d v="2016-09-02T00:00:00"/>
    <d v="2016-09-06T00:00:00"/>
    <x v="1"/>
    <s v="JE-15715"/>
    <s v="Joe Elijah"/>
    <x v="0"/>
    <s v="United States"/>
    <s v="Charlotte"/>
    <s v="North Carolina"/>
    <x v="0"/>
    <s v="FUR-TA-10001768"/>
    <s v="Furniture"/>
    <x v="2"/>
    <x v="25"/>
    <n v="472.51799999999997"/>
    <n v="3"/>
    <n v="-149.63069999999999"/>
    <s v="4- days"/>
    <n v="4"/>
    <x v="4"/>
  </r>
  <r>
    <s v="CA-2017-128944"/>
    <d v="2017-06-19T00:00:00"/>
    <d v="2017-06-21T00:00:00"/>
    <x v="0"/>
    <s v="KH-16330"/>
    <s v="Katharine Harms"/>
    <x v="1"/>
    <s v="United States"/>
    <s v="Newark"/>
    <s v="Ohio"/>
    <x v="2"/>
    <s v="FUR-CH-10000785"/>
    <s v="Furniture"/>
    <x v="1"/>
    <x v="69"/>
    <n v="760.11599999999999"/>
    <n v="6"/>
    <n v="-43.435200000000002"/>
    <s v="2- days"/>
    <n v="2"/>
    <x v="2"/>
  </r>
  <r>
    <s v="CA-2017-128944"/>
    <d v="2017-06-19T00:00:00"/>
    <d v="2017-06-21T00:00:00"/>
    <x v="0"/>
    <s v="KH-16330"/>
    <s v="Katharine Harms"/>
    <x v="1"/>
    <s v="United States"/>
    <s v="Newark"/>
    <s v="Ohio"/>
    <x v="2"/>
    <s v="FUR-FU-10004909"/>
    <s v="Furniture"/>
    <x v="3"/>
    <x v="267"/>
    <n v="38.783999999999999"/>
    <n v="3"/>
    <n v="7.2720000000000002"/>
    <s v="2- days"/>
    <n v="2"/>
    <x v="2"/>
  </r>
  <r>
    <s v="US-2016-102239"/>
    <d v="2016-05-05T00:00:00"/>
    <d v="2016-05-06T00:00:00"/>
    <x v="2"/>
    <s v="LW-16990"/>
    <s v="Lindsay Williams"/>
    <x v="1"/>
    <s v="United States"/>
    <s v="Henderson"/>
    <s v="Nevada"/>
    <x v="1"/>
    <s v="FUR-TA-10003392"/>
    <s v="Furniture"/>
    <x v="2"/>
    <x v="342"/>
    <n v="1685.88"/>
    <n v="6"/>
    <n v="320.31720000000001"/>
    <s v="1- days"/>
    <n v="1"/>
    <x v="7"/>
  </r>
  <r>
    <s v="CA-2017-166926"/>
    <d v="2017-12-01T00:00:00"/>
    <d v="2017-12-08T00:00:00"/>
    <x v="1"/>
    <s v="SO-20335"/>
    <s v="Sean O'Donnell"/>
    <x v="0"/>
    <s v="United States"/>
    <s v="Seattle"/>
    <s v="Washington"/>
    <x v="1"/>
    <s v="FUR-BO-10002598"/>
    <s v="Furniture"/>
    <x v="0"/>
    <x v="310"/>
    <n v="141.96"/>
    <n v="2"/>
    <n v="41.168399999999998"/>
    <s v="7- days"/>
    <n v="7"/>
    <x v="5"/>
  </r>
  <r>
    <s v="CA-2015-128013"/>
    <d v="2015-08-09T00:00:00"/>
    <d v="2015-08-16T00:00:00"/>
    <x v="1"/>
    <s v="MF-18250"/>
    <s v="Monica Federle"/>
    <x v="1"/>
    <s v="United States"/>
    <s v="New York City"/>
    <s v="New York"/>
    <x v="2"/>
    <s v="FUR-FU-10000320"/>
    <s v="Furniture"/>
    <x v="3"/>
    <x v="311"/>
    <n v="10.02"/>
    <n v="3"/>
    <n v="4.4088000000000003"/>
    <s v="7- days"/>
    <n v="7"/>
    <x v="10"/>
  </r>
  <r>
    <s v="US-2016-117541"/>
    <d v="2016-11-14T00:00:00"/>
    <d v="2016-11-20T00:00:00"/>
    <x v="1"/>
    <s v="JM-16195"/>
    <s v="Justin MacKendrick"/>
    <x v="0"/>
    <s v="United States"/>
    <s v="Newark"/>
    <s v="Delaware"/>
    <x v="2"/>
    <s v="FUR-FU-10000550"/>
    <s v="Furniture"/>
    <x v="3"/>
    <x v="295"/>
    <n v="19.920000000000002"/>
    <n v="4"/>
    <n v="6.5735999999999999"/>
    <s v="6- days"/>
    <n v="6"/>
    <x v="0"/>
  </r>
  <r>
    <s v="CA-2017-141439"/>
    <d v="2017-11-26T00:00:00"/>
    <d v="2017-12-01T00:00:00"/>
    <x v="1"/>
    <s v="TT-21460"/>
    <s v="Tonja Turnell"/>
    <x v="2"/>
    <s v="United States"/>
    <s v="Richmond"/>
    <s v="Indiana"/>
    <x v="3"/>
    <s v="FUR-TA-10001039"/>
    <s v="Furniture"/>
    <x v="2"/>
    <x v="165"/>
    <n v="257.94"/>
    <n v="3"/>
    <n v="67.064400000000006"/>
    <s v="5- days"/>
    <n v="5"/>
    <x v="0"/>
  </r>
  <r>
    <s v="CA-2017-141439"/>
    <d v="2017-11-26T00:00:00"/>
    <d v="2017-12-01T00:00:00"/>
    <x v="1"/>
    <s v="TT-21460"/>
    <s v="Tonja Turnell"/>
    <x v="2"/>
    <s v="United States"/>
    <s v="Richmond"/>
    <s v="Indiana"/>
    <x v="3"/>
    <s v="FUR-FU-10001473"/>
    <s v="Furniture"/>
    <x v="3"/>
    <x v="198"/>
    <n v="27.46"/>
    <n v="2"/>
    <n v="9.8856000000000002"/>
    <s v="5- days"/>
    <n v="5"/>
    <x v="0"/>
  </r>
  <r>
    <s v="CA-2017-141439"/>
    <d v="2017-11-26T00:00:00"/>
    <d v="2017-12-01T00:00:00"/>
    <x v="1"/>
    <s v="TT-21460"/>
    <s v="Tonja Turnell"/>
    <x v="2"/>
    <s v="United States"/>
    <s v="Richmond"/>
    <s v="Indiana"/>
    <x v="3"/>
    <s v="FUR-CH-10004287"/>
    <s v="Furniture"/>
    <x v="1"/>
    <x v="32"/>
    <n v="828.6"/>
    <n v="3"/>
    <n v="240.29400000000001"/>
    <s v="5- days"/>
    <n v="5"/>
    <x v="0"/>
  </r>
  <r>
    <s v="CA-2015-163965"/>
    <d v="2015-11-20T00:00:00"/>
    <d v="2015-11-27T00:00:00"/>
    <x v="1"/>
    <s v="SS-20875"/>
    <s v="Sung Shariari"/>
    <x v="0"/>
    <s v="United States"/>
    <s v="Miami"/>
    <s v="Florida"/>
    <x v="0"/>
    <s v="FUR-BO-10001337"/>
    <s v="Furniture"/>
    <x v="0"/>
    <x v="90"/>
    <n v="290.35199999999998"/>
    <n v="3"/>
    <n v="-36.293999999999997"/>
    <s v="7- days"/>
    <n v="7"/>
    <x v="0"/>
  </r>
  <r>
    <s v="CA-2017-128783"/>
    <d v="2017-09-07T00:00:00"/>
    <d v="2017-09-07T00:00:00"/>
    <x v="3"/>
    <s v="TG-21640"/>
    <s v="Trudy Glocke"/>
    <x v="0"/>
    <s v="United States"/>
    <s v="Saint Charles"/>
    <s v="Missouri"/>
    <x v="3"/>
    <s v="FUR-FU-10003623"/>
    <s v="Furniture"/>
    <x v="3"/>
    <x v="241"/>
    <n v="135.30000000000001"/>
    <n v="5"/>
    <n v="37.884"/>
    <s v="0- days"/>
    <n v="0"/>
    <x v="4"/>
  </r>
  <r>
    <s v="CA-2014-122217"/>
    <d v="2014-11-24T00:00:00"/>
    <d v="2014-11-29T00:00:00"/>
    <x v="1"/>
    <s v="HP-14815"/>
    <s v="Harold Pawlan"/>
    <x v="2"/>
    <s v="United States"/>
    <s v="Virginia Beach"/>
    <s v="Virginia"/>
    <x v="0"/>
    <s v="FUR-FU-10002045"/>
    <s v="Furniture"/>
    <x v="3"/>
    <x v="271"/>
    <n v="111.15"/>
    <n v="5"/>
    <n v="48.905999999999999"/>
    <s v="5- days"/>
    <n v="5"/>
    <x v="0"/>
  </r>
  <r>
    <s v="US-2017-141558"/>
    <d v="2017-03-11T00:00:00"/>
    <d v="2017-03-16T00:00:00"/>
    <x v="1"/>
    <s v="MH-17290"/>
    <s v="Marc Harrigan"/>
    <x v="2"/>
    <s v="United States"/>
    <s v="Philadelphia"/>
    <s v="Pennsylvania"/>
    <x v="2"/>
    <s v="FUR-TA-10004086"/>
    <s v="Furniture"/>
    <x v="2"/>
    <x v="165"/>
    <n v="154.76400000000001"/>
    <n v="3"/>
    <n v="-46.429200000000002"/>
    <s v="5- days"/>
    <n v="5"/>
    <x v="9"/>
  </r>
  <r>
    <s v="CA-2017-100412"/>
    <d v="2017-12-22T00:00:00"/>
    <d v="2017-12-26T00:00:00"/>
    <x v="1"/>
    <s v="SR-20425"/>
    <s v="Sharelle Roach"/>
    <x v="2"/>
    <s v="United States"/>
    <s v="Tuscaloosa"/>
    <s v="Alabama"/>
    <x v="0"/>
    <s v="FUR-CH-10002647"/>
    <s v="Furniture"/>
    <x v="1"/>
    <x v="99"/>
    <n v="141.96"/>
    <n v="2"/>
    <n v="35.49"/>
    <s v="4- days"/>
    <n v="4"/>
    <x v="5"/>
  </r>
  <r>
    <s v="CA-2017-142909"/>
    <d v="2017-12-22T00:00:00"/>
    <d v="2017-12-25T00:00:00"/>
    <x v="0"/>
    <s v="AG-10330"/>
    <s v="Alex Grayson"/>
    <x v="0"/>
    <s v="United States"/>
    <s v="Mesa"/>
    <s v="Arizona"/>
    <x v="1"/>
    <s v="FUR-TA-10003008"/>
    <s v="Furniture"/>
    <x v="2"/>
    <x v="190"/>
    <n v="182.55"/>
    <n v="2"/>
    <n v="-135.08699999999999"/>
    <s v="3- days"/>
    <n v="3"/>
    <x v="5"/>
  </r>
  <r>
    <s v="US-2015-136749"/>
    <d v="2015-12-25T00:00:00"/>
    <d v="2015-12-27T00:00:00"/>
    <x v="0"/>
    <s v="LH-16900"/>
    <s v="Lena Hernandez"/>
    <x v="0"/>
    <s v="United States"/>
    <s v="Columbus"/>
    <s v="Georgia"/>
    <x v="0"/>
    <s v="FUR-FU-10000747"/>
    <s v="Furniture"/>
    <x v="3"/>
    <x v="363"/>
    <n v="275.88"/>
    <n v="6"/>
    <n v="46.8996"/>
    <s v="2- days"/>
    <n v="2"/>
    <x v="5"/>
  </r>
  <r>
    <s v="CA-2014-117464"/>
    <d v="2014-07-22T00:00:00"/>
    <d v="2014-07-24T00:00:00"/>
    <x v="0"/>
    <s v="NP-18325"/>
    <s v="Naresj Patel"/>
    <x v="0"/>
    <s v="United States"/>
    <s v="San Francisco"/>
    <s v="California"/>
    <x v="1"/>
    <s v="FUR-CH-10000155"/>
    <s v="Furniture"/>
    <x v="1"/>
    <x v="229"/>
    <n v="717.72"/>
    <n v="3"/>
    <n v="71.772000000000006"/>
    <s v="2- days"/>
    <n v="2"/>
    <x v="3"/>
  </r>
  <r>
    <s v="CA-2014-117464"/>
    <d v="2014-07-22T00:00:00"/>
    <d v="2014-07-24T00:00:00"/>
    <x v="0"/>
    <s v="NP-18325"/>
    <s v="Naresj Patel"/>
    <x v="0"/>
    <s v="United States"/>
    <s v="San Francisco"/>
    <s v="California"/>
    <x v="1"/>
    <s v="FUR-TA-10004767"/>
    <s v="Furniture"/>
    <x v="2"/>
    <x v="227"/>
    <n v="170.352"/>
    <n v="3"/>
    <n v="19.1646"/>
    <s v="2- days"/>
    <n v="2"/>
    <x v="3"/>
  </r>
  <r>
    <s v="US-2017-168613"/>
    <d v="2017-10-08T00:00:00"/>
    <d v="2017-10-14T00:00:00"/>
    <x v="1"/>
    <s v="GM-14440"/>
    <s v="Gary McGarr"/>
    <x v="0"/>
    <s v="United States"/>
    <s v="New York City"/>
    <s v="New York"/>
    <x v="2"/>
    <s v="FUR-CH-10002372"/>
    <s v="Furniture"/>
    <x v="1"/>
    <x v="83"/>
    <n v="145.76400000000001"/>
    <n v="2"/>
    <n v="3.2391999999999999"/>
    <s v="6- days"/>
    <n v="6"/>
    <x v="1"/>
  </r>
  <r>
    <s v="CA-2017-128853"/>
    <d v="2017-04-21T00:00:00"/>
    <d v="2017-04-23T00:00:00"/>
    <x v="2"/>
    <s v="JM-15250"/>
    <s v="Janet Martin"/>
    <x v="0"/>
    <s v="United States"/>
    <s v="Baltimore"/>
    <s v="Maryland"/>
    <x v="2"/>
    <s v="FUR-CH-10004218"/>
    <s v="Furniture"/>
    <x v="1"/>
    <x v="10"/>
    <n v="908.82"/>
    <n v="9"/>
    <n v="227.20500000000001"/>
    <s v="2- days"/>
    <n v="2"/>
    <x v="6"/>
  </r>
  <r>
    <s v="CA-2017-133102"/>
    <d v="2017-08-17T00:00:00"/>
    <d v="2017-08-24T00:00:00"/>
    <x v="1"/>
    <s v="ED-13885"/>
    <s v="Emily Ducich"/>
    <x v="2"/>
    <s v="United States"/>
    <s v="Houston"/>
    <s v="Texas"/>
    <x v="3"/>
    <s v="FUR-CH-10002017"/>
    <s v="Furniture"/>
    <x v="1"/>
    <x v="274"/>
    <n v="74.591999999999999"/>
    <n v="4"/>
    <n v="-2.1312000000000002"/>
    <s v="7- days"/>
    <n v="7"/>
    <x v="10"/>
  </r>
  <r>
    <s v="CA-2017-133102"/>
    <d v="2017-08-17T00:00:00"/>
    <d v="2017-08-24T00:00:00"/>
    <x v="1"/>
    <s v="ED-13885"/>
    <s v="Emily Ducich"/>
    <x v="2"/>
    <s v="United States"/>
    <s v="Houston"/>
    <s v="Texas"/>
    <x v="3"/>
    <s v="FUR-FU-10003247"/>
    <s v="Furniture"/>
    <x v="3"/>
    <x v="298"/>
    <n v="16.783999999999999"/>
    <n v="2"/>
    <n v="-22.238800000000001"/>
    <s v="7- days"/>
    <n v="7"/>
    <x v="10"/>
  </r>
  <r>
    <s v="CA-2016-164399"/>
    <d v="2016-11-12T00:00:00"/>
    <d v="2016-11-15T00:00:00"/>
    <x v="2"/>
    <s v="DW-13480"/>
    <s v="Dianna Wilson"/>
    <x v="2"/>
    <s v="United States"/>
    <s v="San Diego"/>
    <s v="California"/>
    <x v="1"/>
    <s v="FUR-TA-10003392"/>
    <s v="Furniture"/>
    <x v="2"/>
    <x v="342"/>
    <n v="674.35199999999998"/>
    <n v="3"/>
    <n v="-8.4293999999999993"/>
    <s v="3- days"/>
    <n v="3"/>
    <x v="0"/>
  </r>
  <r>
    <s v="CA-2016-147683"/>
    <d v="2016-11-13T00:00:00"/>
    <d v="2016-11-17T00:00:00"/>
    <x v="1"/>
    <s v="PO-19180"/>
    <s v="Philisse Overcash"/>
    <x v="2"/>
    <s v="United States"/>
    <s v="Seattle"/>
    <s v="Washington"/>
    <x v="1"/>
    <s v="FUR-FU-10004848"/>
    <s v="Furniture"/>
    <x v="3"/>
    <x v="257"/>
    <n v="19.54"/>
    <n v="2"/>
    <n v="7.2298"/>
    <s v="4- days"/>
    <n v="4"/>
    <x v="0"/>
  </r>
  <r>
    <s v="CA-2016-104276"/>
    <d v="2016-11-27T00:00:00"/>
    <d v="2016-12-03T00:00:00"/>
    <x v="1"/>
    <s v="HF-14995"/>
    <s v="Herbert Flentye"/>
    <x v="0"/>
    <s v="United States"/>
    <s v="Fort Lauderdale"/>
    <s v="Florida"/>
    <x v="0"/>
    <s v="FUR-TA-10001039"/>
    <s v="Furniture"/>
    <x v="2"/>
    <x v="165"/>
    <n v="331.02300000000002"/>
    <n v="7"/>
    <n v="-114.35339999999999"/>
    <s v="6- days"/>
    <n v="6"/>
    <x v="0"/>
  </r>
  <r>
    <s v="CA-2016-120369"/>
    <d v="2016-10-28T00:00:00"/>
    <d v="2016-10-28T00:00:00"/>
    <x v="3"/>
    <s v="VB-21745"/>
    <s v="Victoria Brennan"/>
    <x v="1"/>
    <s v="United States"/>
    <s v="Rochester"/>
    <s v="New York"/>
    <x v="2"/>
    <s v="FUR-FU-10003806"/>
    <s v="Furniture"/>
    <x v="3"/>
    <x v="372"/>
    <n v="756.8"/>
    <n v="5"/>
    <n v="75.680000000000007"/>
    <s v="0- days"/>
    <n v="0"/>
    <x v="1"/>
  </r>
  <r>
    <s v="CA-2014-118276"/>
    <d v="2014-12-29T00:00:00"/>
    <d v="2015-01-02T00:00:00"/>
    <x v="1"/>
    <s v="MG-17890"/>
    <s v="Michael Granlund"/>
    <x v="2"/>
    <s v="United States"/>
    <s v="Saint Charles"/>
    <s v="Illinois"/>
    <x v="3"/>
    <s v="FUR-FU-10002111"/>
    <s v="Furniture"/>
    <x v="3"/>
    <x v="344"/>
    <n v="8.7360000000000007"/>
    <n v="3"/>
    <n v="-4.8048000000000002"/>
    <s v="4- days"/>
    <n v="4"/>
    <x v="5"/>
  </r>
  <r>
    <s v="CA-2017-137414"/>
    <d v="2017-10-02T00:00:00"/>
    <d v="2017-10-06T00:00:00"/>
    <x v="1"/>
    <s v="CM-12115"/>
    <s v="Chad McGuire"/>
    <x v="0"/>
    <s v="United States"/>
    <s v="San Francisco"/>
    <s v="California"/>
    <x v="1"/>
    <s v="FUR-FU-10001424"/>
    <s v="Furniture"/>
    <x v="3"/>
    <x v="144"/>
    <n v="17.46"/>
    <n v="2"/>
    <n v="5.9363999999999999"/>
    <s v="4- days"/>
    <n v="4"/>
    <x v="1"/>
  </r>
  <r>
    <s v="CA-2016-109953"/>
    <d v="2016-07-14T00:00:00"/>
    <d v="2016-07-18T00:00:00"/>
    <x v="1"/>
    <s v="RB-19360"/>
    <s v="Raymond Buch"/>
    <x v="0"/>
    <s v="United States"/>
    <s v="San Francisco"/>
    <s v="California"/>
    <x v="1"/>
    <s v="FUR-FU-10000073"/>
    <s v="Furniture"/>
    <x v="3"/>
    <x v="93"/>
    <n v="30.8"/>
    <n v="4"/>
    <n v="10.164"/>
    <s v="4- days"/>
    <n v="4"/>
    <x v="3"/>
  </r>
  <r>
    <s v="CA-2016-137337"/>
    <d v="2016-03-08T00:00:00"/>
    <d v="2016-03-12T00:00:00"/>
    <x v="1"/>
    <s v="GB-14575"/>
    <s v="Giulietta Baptist"/>
    <x v="0"/>
    <s v="United States"/>
    <s v="New York City"/>
    <s v="New York"/>
    <x v="2"/>
    <s v="FUR-FU-10003347"/>
    <s v="Furniture"/>
    <x v="3"/>
    <x v="80"/>
    <n v="113.6"/>
    <n v="8"/>
    <n v="44.304000000000002"/>
    <s v="4- days"/>
    <n v="4"/>
    <x v="9"/>
  </r>
  <r>
    <s v="CA-2016-101651"/>
    <d v="2016-12-24T00:00:00"/>
    <d v="2016-12-30T00:00:00"/>
    <x v="1"/>
    <s v="SC-20305"/>
    <s v="Sean Christensen"/>
    <x v="0"/>
    <s v="United States"/>
    <s v="San Jose"/>
    <s v="California"/>
    <x v="1"/>
    <s v="FUR-FU-10000771"/>
    <s v="Furniture"/>
    <x v="3"/>
    <x v="285"/>
    <n v="43.96"/>
    <n v="7"/>
    <n v="18.463200000000001"/>
    <s v="6- days"/>
    <n v="6"/>
    <x v="5"/>
  </r>
  <r>
    <s v="CA-2017-136651"/>
    <d v="2017-04-23T00:00:00"/>
    <d v="2017-04-25T00:00:00"/>
    <x v="0"/>
    <s v="JF-15355"/>
    <s v="Jay Fein"/>
    <x v="0"/>
    <s v="United States"/>
    <s v="Pasadena"/>
    <s v="California"/>
    <x v="1"/>
    <s v="FUR-FU-10002445"/>
    <s v="Furniture"/>
    <x v="3"/>
    <x v="292"/>
    <n v="66.36"/>
    <n v="7"/>
    <n v="26.544"/>
    <s v="2- days"/>
    <n v="2"/>
    <x v="6"/>
  </r>
  <r>
    <s v="CA-2017-136651"/>
    <d v="2017-04-23T00:00:00"/>
    <d v="2017-04-25T00:00:00"/>
    <x v="0"/>
    <s v="JF-15355"/>
    <s v="Jay Fein"/>
    <x v="0"/>
    <s v="United States"/>
    <s v="Pasadena"/>
    <s v="California"/>
    <x v="1"/>
    <s v="FUR-FU-10004864"/>
    <s v="Furniture"/>
    <x v="3"/>
    <x v="356"/>
    <n v="24.14"/>
    <n v="2"/>
    <n v="7.9661999999999997"/>
    <s v="2- days"/>
    <n v="2"/>
    <x v="6"/>
  </r>
  <r>
    <s v="CA-2017-118892"/>
    <d v="2017-08-17T00:00:00"/>
    <d v="2017-08-22T00:00:00"/>
    <x v="0"/>
    <s v="TP-21415"/>
    <s v="Tom Prescott"/>
    <x v="0"/>
    <s v="United States"/>
    <s v="Philadelphia"/>
    <s v="Pennsylvania"/>
    <x v="2"/>
    <s v="FUR-CH-10002024"/>
    <s v="Furniture"/>
    <x v="1"/>
    <x v="101"/>
    <n v="4416.174"/>
    <n v="9"/>
    <n v="-630.88199999999995"/>
    <s v="5- days"/>
    <n v="5"/>
    <x v="10"/>
  </r>
  <r>
    <s v="US-2014-127978"/>
    <d v="2014-03-03T00:00:00"/>
    <d v="2014-03-08T00:00:00"/>
    <x v="1"/>
    <s v="JS-15595"/>
    <s v="Jill Stevenson"/>
    <x v="1"/>
    <s v="United States"/>
    <s v="Columbus"/>
    <s v="Ohio"/>
    <x v="2"/>
    <s v="FUR-BO-10001972"/>
    <s v="Furniture"/>
    <x v="0"/>
    <x v="75"/>
    <n v="302.45"/>
    <n v="5"/>
    <n v="-199.61699999999999"/>
    <s v="5- days"/>
    <n v="5"/>
    <x v="9"/>
  </r>
  <r>
    <s v="CA-2016-152730"/>
    <d v="2016-05-30T00:00:00"/>
    <d v="2016-06-04T00:00:00"/>
    <x v="1"/>
    <s v="EM-14140"/>
    <s v="Eugene Moren"/>
    <x v="2"/>
    <s v="United States"/>
    <s v="Superior"/>
    <s v="Wisconsin"/>
    <x v="3"/>
    <s v="FUR-FU-10001037"/>
    <s v="Furniture"/>
    <x v="3"/>
    <x v="231"/>
    <n v="47.4"/>
    <n v="5"/>
    <n v="21.33"/>
    <s v="5- days"/>
    <n v="5"/>
    <x v="7"/>
  </r>
  <r>
    <s v="US-2014-143721"/>
    <d v="2014-11-23T00:00:00"/>
    <d v="2014-11-26T00:00:00"/>
    <x v="0"/>
    <s v="DK-12835"/>
    <s v="Damala Kotsonis"/>
    <x v="1"/>
    <s v="United States"/>
    <s v="Houston"/>
    <s v="Texas"/>
    <x v="3"/>
    <s v="FUR-CH-10001973"/>
    <s v="Furniture"/>
    <x v="1"/>
    <x v="183"/>
    <n v="155.37200000000001"/>
    <n v="2"/>
    <n v="-35.513599999999997"/>
    <s v="3- days"/>
    <n v="3"/>
    <x v="0"/>
  </r>
  <r>
    <s v="CA-2016-133368"/>
    <d v="2016-01-14T00:00:00"/>
    <d v="2016-01-20T00:00:00"/>
    <x v="1"/>
    <s v="AG-10675"/>
    <s v="Anna Gayman"/>
    <x v="0"/>
    <s v="United States"/>
    <s v="Concord"/>
    <s v="North Carolina"/>
    <x v="0"/>
    <s v="FUR-FU-10003374"/>
    <s v="Furniture"/>
    <x v="3"/>
    <x v="373"/>
    <n v="315.77600000000001"/>
    <n v="8"/>
    <n v="31.5776"/>
    <s v="6- days"/>
    <n v="6"/>
    <x v="8"/>
  </r>
  <r>
    <s v="CA-2016-123337"/>
    <d v="2016-09-16T00:00:00"/>
    <d v="2016-09-22T00:00:00"/>
    <x v="1"/>
    <s v="KD-16495"/>
    <s v="Keith Dawkins"/>
    <x v="1"/>
    <s v="United States"/>
    <s v="San Jose"/>
    <s v="California"/>
    <x v="1"/>
    <s v="FUR-BO-10001918"/>
    <s v="Furniture"/>
    <x v="0"/>
    <x v="224"/>
    <n v="273.666"/>
    <n v="2"/>
    <n v="-12.878399999999999"/>
    <s v="6- days"/>
    <n v="6"/>
    <x v="4"/>
  </r>
  <r>
    <s v="CA-2015-144519"/>
    <d v="2015-11-13T00:00:00"/>
    <d v="2015-11-17T00:00:00"/>
    <x v="1"/>
    <s v="AW-10930"/>
    <s v="Arthur Wiediger"/>
    <x v="2"/>
    <s v="United States"/>
    <s v="Helena"/>
    <s v="Montana"/>
    <x v="1"/>
    <s v="FUR-FU-10000794"/>
    <s v="Furniture"/>
    <x v="3"/>
    <x v="138"/>
    <n v="63.98"/>
    <n v="7"/>
    <n v="21.7532"/>
    <s v="4- days"/>
    <n v="4"/>
    <x v="0"/>
  </r>
  <r>
    <s v="CA-2017-169439"/>
    <d v="2017-09-09T00:00:00"/>
    <d v="2017-09-13T00:00:00"/>
    <x v="1"/>
    <s v="LC-17140"/>
    <s v="Logan Currie"/>
    <x v="0"/>
    <s v="United States"/>
    <s v="Cleveland"/>
    <s v="Ohio"/>
    <x v="2"/>
    <s v="FUR-FU-10000723"/>
    <s v="Furniture"/>
    <x v="3"/>
    <x v="100"/>
    <n v="66.111999999999995"/>
    <n v="2"/>
    <n v="-9.0904000000000007"/>
    <s v="4- days"/>
    <n v="4"/>
    <x v="4"/>
  </r>
  <r>
    <s v="CA-2016-149965"/>
    <d v="2016-06-20T00:00:00"/>
    <d v="2016-06-25T00:00:00"/>
    <x v="1"/>
    <s v="BS-11365"/>
    <s v="Bill Shonely"/>
    <x v="1"/>
    <s v="United States"/>
    <s v="Oklahoma City"/>
    <s v="Oklahoma"/>
    <x v="3"/>
    <s v="FUR-FU-10004270"/>
    <s v="Furniture"/>
    <x v="3"/>
    <x v="276"/>
    <n v="57.69"/>
    <n v="3"/>
    <n v="23.652899999999999"/>
    <s v="5- days"/>
    <n v="5"/>
    <x v="2"/>
  </r>
  <r>
    <s v="CA-2016-113656"/>
    <d v="2016-01-23T00:00:00"/>
    <d v="2016-01-29T00:00:00"/>
    <x v="1"/>
    <s v="CB-12415"/>
    <s v="Christy Brittain"/>
    <x v="0"/>
    <s v="United States"/>
    <s v="Los Angeles"/>
    <s v="California"/>
    <x v="1"/>
    <s v="FUR-FU-10000719"/>
    <s v="Furniture"/>
    <x v="3"/>
    <x v="347"/>
    <n v="59.99"/>
    <n v="7"/>
    <n v="21.596399999999999"/>
    <s v="6- days"/>
    <n v="6"/>
    <x v="8"/>
  </r>
  <r>
    <s v="CA-2015-148964"/>
    <d v="2015-05-26T00:00:00"/>
    <d v="2015-05-31T00:00:00"/>
    <x v="1"/>
    <s v="RD-19900"/>
    <s v="Ruben Dartt"/>
    <x v="0"/>
    <s v="United States"/>
    <s v="Bellevue"/>
    <s v="Washington"/>
    <x v="1"/>
    <s v="FUR-FU-10003849"/>
    <s v="Furniture"/>
    <x v="3"/>
    <x v="108"/>
    <n v="20.239999999999998"/>
    <n v="1"/>
    <n v="7.8936000000000002"/>
    <s v="5- days"/>
    <n v="5"/>
    <x v="7"/>
  </r>
  <r>
    <s v="CA-2014-163468"/>
    <d v="2014-11-18T00:00:00"/>
    <d v="2014-11-21T00:00:00"/>
    <x v="2"/>
    <s v="JK-15730"/>
    <s v="Joe Kamberova"/>
    <x v="0"/>
    <s v="United States"/>
    <s v="Des Plaines"/>
    <s v="Illinois"/>
    <x v="3"/>
    <s v="FUR-TA-10002533"/>
    <s v="Furniture"/>
    <x v="2"/>
    <x v="58"/>
    <n v="292.10000000000002"/>
    <n v="4"/>
    <n v="-175.26"/>
    <s v="3- days"/>
    <n v="3"/>
    <x v="0"/>
  </r>
  <r>
    <s v="CA-2014-163468"/>
    <d v="2014-11-18T00:00:00"/>
    <d v="2014-11-21T00:00:00"/>
    <x v="2"/>
    <s v="JK-15730"/>
    <s v="Joe Kamberova"/>
    <x v="0"/>
    <s v="United States"/>
    <s v="Des Plaines"/>
    <s v="Illinois"/>
    <x v="3"/>
    <s v="FUR-FU-10001546"/>
    <s v="Furniture"/>
    <x v="3"/>
    <x v="284"/>
    <n v="8.5440000000000005"/>
    <n v="2"/>
    <n v="-7.476"/>
    <s v="3- days"/>
    <n v="3"/>
    <x v="0"/>
  </r>
  <r>
    <s v="CA-2014-163468"/>
    <d v="2014-11-18T00:00:00"/>
    <d v="2014-11-21T00:00:00"/>
    <x v="2"/>
    <s v="JK-15730"/>
    <s v="Joe Kamberova"/>
    <x v="0"/>
    <s v="United States"/>
    <s v="Des Plaines"/>
    <s v="Illinois"/>
    <x v="3"/>
    <s v="FUR-BO-10003546"/>
    <s v="Furniture"/>
    <x v="0"/>
    <x v="341"/>
    <n v="424.11599999999999"/>
    <n v="6"/>
    <n v="-30.294"/>
    <s v="3- days"/>
    <n v="3"/>
    <x v="0"/>
  </r>
  <r>
    <s v="US-2017-117450"/>
    <d v="2017-09-04T00:00:00"/>
    <d v="2017-09-08T00:00:00"/>
    <x v="1"/>
    <s v="DO-13645"/>
    <s v="Doug O'Connell"/>
    <x v="0"/>
    <s v="United States"/>
    <s v="Boynton Beach"/>
    <s v="Florida"/>
    <x v="0"/>
    <s v="FUR-CH-10003817"/>
    <s v="Furniture"/>
    <x v="1"/>
    <x v="33"/>
    <n v="97.183999999999997"/>
    <n v="2"/>
    <n v="6.0739999999999998"/>
    <s v="4- days"/>
    <n v="4"/>
    <x v="4"/>
  </r>
  <r>
    <s v="CA-2014-137274"/>
    <d v="2014-03-29T00:00:00"/>
    <d v="2014-04-02T00:00:00"/>
    <x v="1"/>
    <s v="MG-18145"/>
    <s v="Mike Gockenbach"/>
    <x v="0"/>
    <s v="United States"/>
    <s v="Plano"/>
    <s v="Texas"/>
    <x v="3"/>
    <s v="FUR-TA-10001889"/>
    <s v="Furniture"/>
    <x v="2"/>
    <x v="87"/>
    <n v="890.84100000000001"/>
    <n v="3"/>
    <n v="-152.71559999999999"/>
    <s v="4- days"/>
    <n v="4"/>
    <x v="9"/>
  </r>
  <r>
    <s v="CA-2016-144092"/>
    <d v="2016-11-05T00:00:00"/>
    <d v="2016-11-07T00:00:00"/>
    <x v="0"/>
    <s v="LH-17155"/>
    <s v="Logan Haushalter"/>
    <x v="0"/>
    <s v="United States"/>
    <s v="San Jose"/>
    <s v="California"/>
    <x v="1"/>
    <s v="FUR-CH-10004875"/>
    <s v="Furniture"/>
    <x v="1"/>
    <x v="290"/>
    <n v="113.88800000000001"/>
    <n v="2"/>
    <n v="9.9651999999999994"/>
    <s v="2- days"/>
    <n v="2"/>
    <x v="0"/>
  </r>
  <r>
    <s v="CA-2016-132066"/>
    <d v="2016-10-16T00:00:00"/>
    <d v="2016-10-20T00:00:00"/>
    <x v="1"/>
    <s v="NB-18655"/>
    <s v="Nona Balk"/>
    <x v="1"/>
    <s v="United States"/>
    <s v="New York City"/>
    <s v="New York"/>
    <x v="2"/>
    <s v="FUR-TA-10001539"/>
    <s v="Furniture"/>
    <x v="2"/>
    <x v="4"/>
    <n v="142.18199999999999"/>
    <n v="1"/>
    <n v="-37.915199999999999"/>
    <s v="4- days"/>
    <n v="4"/>
    <x v="1"/>
  </r>
  <r>
    <s v="CA-2017-100097"/>
    <d v="2017-11-26T00:00:00"/>
    <d v="2017-11-29T00:00:00"/>
    <x v="0"/>
    <s v="MN-17935"/>
    <s v="Michael Nguyen"/>
    <x v="0"/>
    <s v="United States"/>
    <s v="New York City"/>
    <s v="New York"/>
    <x v="2"/>
    <s v="FUR-FU-10003623"/>
    <s v="Furniture"/>
    <x v="3"/>
    <x v="241"/>
    <n v="135.30000000000001"/>
    <n v="5"/>
    <n v="37.884"/>
    <s v="3- days"/>
    <n v="3"/>
    <x v="0"/>
  </r>
  <r>
    <s v="US-2017-126053"/>
    <d v="2017-12-05T00:00:00"/>
    <d v="2017-12-08T00:00:00"/>
    <x v="2"/>
    <s v="CS-11950"/>
    <s v="Carlos Soltero"/>
    <x v="0"/>
    <s v="United States"/>
    <s v="New York City"/>
    <s v="New York"/>
    <x v="2"/>
    <s v="FUR-FU-10001934"/>
    <s v="Furniture"/>
    <x v="3"/>
    <x v="24"/>
    <n v="41.96"/>
    <n v="2"/>
    <n v="10.909599999999999"/>
    <s v="3- days"/>
    <n v="3"/>
    <x v="5"/>
  </r>
  <r>
    <s v="US-2014-131275"/>
    <d v="2014-03-18T00:00:00"/>
    <d v="2014-03-24T00:00:00"/>
    <x v="1"/>
    <s v="SC-20050"/>
    <s v="Sample Company A"/>
    <x v="2"/>
    <s v="United States"/>
    <s v="Burbank"/>
    <s v="California"/>
    <x v="1"/>
    <s v="FUR-FU-10004597"/>
    <s v="Furniture"/>
    <x v="3"/>
    <x v="249"/>
    <n v="111"/>
    <n v="2"/>
    <n v="14.43"/>
    <s v="6- days"/>
    <n v="6"/>
    <x v="9"/>
  </r>
  <r>
    <s v="CA-2016-149349"/>
    <d v="2016-11-12T00:00:00"/>
    <d v="2016-11-13T00:00:00"/>
    <x v="2"/>
    <s v="SP-20650"/>
    <s v="Stephanie Phelps"/>
    <x v="1"/>
    <s v="United States"/>
    <s v="Chicago"/>
    <s v="Illinois"/>
    <x v="3"/>
    <s v="FUR-FU-10001037"/>
    <s v="Furniture"/>
    <x v="3"/>
    <x v="231"/>
    <n v="22.751999999999999"/>
    <n v="6"/>
    <n v="-8.532"/>
    <s v="1- days"/>
    <n v="1"/>
    <x v="0"/>
  </r>
  <r>
    <s v="CA-2015-125563"/>
    <d v="2015-04-11T00:00:00"/>
    <d v="2015-04-17T00:00:00"/>
    <x v="1"/>
    <s v="PR-18880"/>
    <s v="Patrick Ryan"/>
    <x v="0"/>
    <s v="United States"/>
    <s v="Tampa"/>
    <s v="Florida"/>
    <x v="0"/>
    <s v="FUR-FU-10001290"/>
    <s v="Furniture"/>
    <x v="3"/>
    <x v="95"/>
    <n v="67.36"/>
    <n v="2"/>
    <n v="10.103999999999999"/>
    <s v="6- days"/>
    <n v="6"/>
    <x v="6"/>
  </r>
  <r>
    <s v="CA-2015-125563"/>
    <d v="2015-04-11T00:00:00"/>
    <d v="2015-04-17T00:00:00"/>
    <x v="1"/>
    <s v="PR-18880"/>
    <s v="Patrick Ryan"/>
    <x v="0"/>
    <s v="United States"/>
    <s v="Tampa"/>
    <s v="Florida"/>
    <x v="0"/>
    <s v="FUR-FU-10000087"/>
    <s v="Furniture"/>
    <x v="3"/>
    <x v="39"/>
    <n v="54.527999999999999"/>
    <n v="3"/>
    <n v="14.313599999999999"/>
    <s v="6- days"/>
    <n v="6"/>
    <x v="6"/>
  </r>
  <r>
    <s v="CA-2015-113152"/>
    <d v="2015-12-25T00:00:00"/>
    <d v="2015-12-30T00:00:00"/>
    <x v="1"/>
    <s v="JK-15625"/>
    <s v="Jim Karlsson"/>
    <x v="0"/>
    <s v="United States"/>
    <s v="New York City"/>
    <s v="New York"/>
    <x v="2"/>
    <s v="FUR-BO-10002613"/>
    <s v="Furniture"/>
    <x v="0"/>
    <x v="35"/>
    <n v="449.56799999999998"/>
    <n v="2"/>
    <n v="56.195999999999998"/>
    <s v="5- days"/>
    <n v="5"/>
    <x v="5"/>
  </r>
  <r>
    <s v="CA-2014-163412"/>
    <d v="2014-12-20T00:00:00"/>
    <d v="2014-12-23T00:00:00"/>
    <x v="0"/>
    <s v="SM-20950"/>
    <s v="Suzanne McNair"/>
    <x v="1"/>
    <s v="United States"/>
    <s v="New York City"/>
    <s v="New York"/>
    <x v="2"/>
    <s v="FUR-CH-10004875"/>
    <s v="Furniture"/>
    <x v="1"/>
    <x v="290"/>
    <n v="192.18600000000001"/>
    <n v="3"/>
    <n v="36.3018"/>
    <s v="3- days"/>
    <n v="3"/>
    <x v="5"/>
  </r>
  <r>
    <s v="CA-2014-116190"/>
    <d v="2014-07-26T00:00:00"/>
    <d v="2014-08-01T00:00:00"/>
    <x v="1"/>
    <s v="SG-20470"/>
    <s v="Sheri Gordon"/>
    <x v="0"/>
    <s v="United States"/>
    <s v="Atlanta"/>
    <s v="Georgia"/>
    <x v="0"/>
    <s v="FUR-CH-10000553"/>
    <s v="Furniture"/>
    <x v="1"/>
    <x v="247"/>
    <n v="67.88"/>
    <n v="2"/>
    <n v="18.3276"/>
    <s v="6- days"/>
    <n v="6"/>
    <x v="3"/>
  </r>
  <r>
    <s v="CA-2014-116190"/>
    <d v="2014-07-26T00:00:00"/>
    <d v="2014-08-01T00:00:00"/>
    <x v="1"/>
    <s v="SG-20470"/>
    <s v="Sheri Gordon"/>
    <x v="0"/>
    <s v="United States"/>
    <s v="Atlanta"/>
    <s v="Georgia"/>
    <x v="0"/>
    <s v="FUR-FU-10000719"/>
    <s v="Furniture"/>
    <x v="3"/>
    <x v="347"/>
    <n v="25.71"/>
    <n v="3"/>
    <n v="9.2555999999999994"/>
    <s v="6- days"/>
    <n v="6"/>
    <x v="3"/>
  </r>
  <r>
    <s v="CA-2017-168389"/>
    <d v="2017-12-11T00:00:00"/>
    <d v="2017-12-17T00:00:00"/>
    <x v="1"/>
    <s v="DV-13045"/>
    <s v="Darrin Van Huff"/>
    <x v="1"/>
    <s v="United States"/>
    <s v="Jacksonville"/>
    <s v="Florida"/>
    <x v="0"/>
    <s v="FUR-TA-10004289"/>
    <s v="Furniture"/>
    <x v="2"/>
    <x v="36"/>
    <n v="721.875"/>
    <n v="6"/>
    <n v="-420"/>
    <s v="6- days"/>
    <n v="6"/>
    <x v="5"/>
  </r>
  <r>
    <s v="CA-2017-168389"/>
    <d v="2017-12-11T00:00:00"/>
    <d v="2017-12-17T00:00:00"/>
    <x v="1"/>
    <s v="DV-13045"/>
    <s v="Darrin Van Huff"/>
    <x v="1"/>
    <s v="United States"/>
    <s v="Jacksonville"/>
    <s v="Florida"/>
    <x v="0"/>
    <s v="FUR-CH-10000225"/>
    <s v="Furniture"/>
    <x v="1"/>
    <x v="85"/>
    <n v="64.784000000000006"/>
    <n v="1"/>
    <n v="-12.147"/>
    <s v="6- days"/>
    <n v="6"/>
    <x v="5"/>
  </r>
  <r>
    <s v="CA-2016-114748"/>
    <d v="2016-10-09T00:00:00"/>
    <d v="2016-10-14T00:00:00"/>
    <x v="1"/>
    <s v="MZ-17335"/>
    <s v="Maria Zettner"/>
    <x v="2"/>
    <s v="United States"/>
    <s v="Phoenix"/>
    <s v="Arizona"/>
    <x v="1"/>
    <s v="FUR-FU-10001488"/>
    <s v="Furniture"/>
    <x v="3"/>
    <x v="204"/>
    <n v="169.56800000000001"/>
    <n v="2"/>
    <n v="0"/>
    <s v="5- days"/>
    <n v="5"/>
    <x v="1"/>
  </r>
  <r>
    <s v="US-2014-115189"/>
    <d v="2014-12-30T00:00:00"/>
    <d v="2015-01-03T00:00:00"/>
    <x v="0"/>
    <s v="AR-10345"/>
    <s v="Alex Russell"/>
    <x v="1"/>
    <s v="United States"/>
    <s v="Philadelphia"/>
    <s v="Pennsylvania"/>
    <x v="2"/>
    <s v="FUR-TA-10004575"/>
    <s v="Furniture"/>
    <x v="2"/>
    <x v="67"/>
    <n v="523.76400000000001"/>
    <n v="3"/>
    <n v="-192.04679999999999"/>
    <s v="4- days"/>
    <n v="4"/>
    <x v="5"/>
  </r>
  <r>
    <s v="CA-2016-163594"/>
    <d v="2016-04-12T00:00:00"/>
    <d v="2016-04-14T00:00:00"/>
    <x v="2"/>
    <s v="JF-15295"/>
    <s v="Jason Fortune-"/>
    <x v="0"/>
    <s v="United States"/>
    <s v="Los Angeles"/>
    <s v="California"/>
    <x v="1"/>
    <s v="FUR-CH-10000225"/>
    <s v="Furniture"/>
    <x v="1"/>
    <x v="85"/>
    <n v="194.352"/>
    <n v="3"/>
    <n v="-36.441000000000003"/>
    <s v="2- days"/>
    <n v="2"/>
    <x v="6"/>
  </r>
  <r>
    <s v="CA-2016-127243"/>
    <d v="2016-11-28T00:00:00"/>
    <d v="2016-12-04T00:00:00"/>
    <x v="1"/>
    <s v="DS-13180"/>
    <s v="David Smith"/>
    <x v="1"/>
    <s v="United States"/>
    <s v="Philadelphia"/>
    <s v="Pennsylvania"/>
    <x v="2"/>
    <s v="FUR-CH-10002647"/>
    <s v="Furniture"/>
    <x v="1"/>
    <x v="99"/>
    <n v="347.80200000000002"/>
    <n v="7"/>
    <n v="-24.843"/>
    <s v="6- days"/>
    <n v="6"/>
    <x v="0"/>
  </r>
  <r>
    <s v="CA-2016-105732"/>
    <d v="2016-09-13T00:00:00"/>
    <d v="2016-09-18T00:00:00"/>
    <x v="1"/>
    <s v="AG-10270"/>
    <s v="Alejandro Grove"/>
    <x v="0"/>
    <s v="United States"/>
    <s v="Omaha"/>
    <s v="Nebraska"/>
    <x v="3"/>
    <s v="FUR-FU-10003664"/>
    <s v="Furniture"/>
    <x v="3"/>
    <x v="8"/>
    <n v="1336.44"/>
    <n v="14"/>
    <n v="387.56760000000003"/>
    <s v="5- days"/>
    <n v="5"/>
    <x v="4"/>
  </r>
  <r>
    <s v="CA-2017-108035"/>
    <d v="2017-11-29T00:00:00"/>
    <d v="2017-12-03T00:00:00"/>
    <x v="1"/>
    <s v="TT-21070"/>
    <s v="Ted Trevino"/>
    <x v="0"/>
    <s v="United States"/>
    <s v="Chattanooga"/>
    <s v="Tennessee"/>
    <x v="0"/>
    <s v="FUR-CH-10000454"/>
    <s v="Furniture"/>
    <x v="1"/>
    <x v="1"/>
    <n v="390.36799999999999"/>
    <n v="2"/>
    <n v="48.795999999999999"/>
    <s v="4- days"/>
    <n v="4"/>
    <x v="0"/>
  </r>
  <r>
    <s v="CA-2017-108035"/>
    <d v="2017-11-29T00:00:00"/>
    <d v="2017-12-03T00:00:00"/>
    <x v="1"/>
    <s v="TT-21070"/>
    <s v="Ted Trevino"/>
    <x v="0"/>
    <s v="United States"/>
    <s v="Chattanooga"/>
    <s v="Tennessee"/>
    <x v="0"/>
    <s v="FUR-FU-10004017"/>
    <s v="Furniture"/>
    <x v="3"/>
    <x v="323"/>
    <n v="101.52"/>
    <n v="5"/>
    <n v="19.035"/>
    <s v="4- days"/>
    <n v="4"/>
    <x v="0"/>
  </r>
  <r>
    <s v="CA-2016-110975"/>
    <d v="2016-12-25T00:00:00"/>
    <d v="2016-12-30T00:00:00"/>
    <x v="1"/>
    <s v="DB-12970"/>
    <s v="Darren Budd"/>
    <x v="1"/>
    <s v="United States"/>
    <s v="New York City"/>
    <s v="New York"/>
    <x v="2"/>
    <s v="FUR-TA-10002958"/>
    <s v="Furniture"/>
    <x v="2"/>
    <x v="192"/>
    <n v="313.17599999999999"/>
    <n v="2"/>
    <n v="-120.0508"/>
    <s v="5- days"/>
    <n v="5"/>
    <x v="5"/>
  </r>
  <r>
    <s v="CA-2016-110975"/>
    <d v="2016-12-25T00:00:00"/>
    <d v="2016-12-30T00:00:00"/>
    <x v="1"/>
    <s v="DB-12970"/>
    <s v="Darren Budd"/>
    <x v="1"/>
    <s v="United States"/>
    <s v="New York City"/>
    <s v="New York"/>
    <x v="2"/>
    <s v="FUR-CH-10003746"/>
    <s v="Furniture"/>
    <x v="1"/>
    <x v="131"/>
    <n v="866.64599999999996"/>
    <n v="3"/>
    <n v="173.32919999999999"/>
    <s v="5- days"/>
    <n v="5"/>
    <x v="5"/>
  </r>
  <r>
    <s v="CA-2016-110009"/>
    <d v="2016-09-08T00:00:00"/>
    <d v="2016-09-13T00:00:00"/>
    <x v="1"/>
    <s v="TR-21325"/>
    <s v="Toby Ritter"/>
    <x v="0"/>
    <s v="United States"/>
    <s v="Seattle"/>
    <s v="Washington"/>
    <x v="1"/>
    <s v="FUR-FU-10003039"/>
    <s v="Furniture"/>
    <x v="3"/>
    <x v="102"/>
    <n v="43.13"/>
    <n v="1"/>
    <n v="14.664199999999999"/>
    <s v="5- days"/>
    <n v="5"/>
    <x v="4"/>
  </r>
  <r>
    <s v="CA-2015-100146"/>
    <d v="2015-05-14T00:00:00"/>
    <d v="2015-05-19T00:00:00"/>
    <x v="1"/>
    <s v="CB-12535"/>
    <s v="Claudia Bergmann"/>
    <x v="1"/>
    <s v="United States"/>
    <s v="Camarillo"/>
    <s v="California"/>
    <x v="1"/>
    <s v="FUR-BO-10004015"/>
    <s v="Furniture"/>
    <x v="0"/>
    <x v="118"/>
    <n v="509.95749999999998"/>
    <n v="5"/>
    <n v="41.996499999999997"/>
    <s v="5- days"/>
    <n v="5"/>
    <x v="7"/>
  </r>
  <r>
    <s v="CA-2015-100146"/>
    <d v="2015-05-14T00:00:00"/>
    <d v="2015-05-19T00:00:00"/>
    <x v="1"/>
    <s v="CB-12535"/>
    <s v="Claudia Bergmann"/>
    <x v="1"/>
    <s v="United States"/>
    <s v="Camarillo"/>
    <s v="California"/>
    <x v="1"/>
    <s v="FUR-FU-10001979"/>
    <s v="Furniture"/>
    <x v="3"/>
    <x v="107"/>
    <n v="122.91"/>
    <n v="3"/>
    <n v="34.4148"/>
    <s v="5- days"/>
    <n v="5"/>
    <x v="7"/>
  </r>
  <r>
    <s v="CA-2015-100146"/>
    <d v="2015-05-14T00:00:00"/>
    <d v="2015-05-19T00:00:00"/>
    <x v="1"/>
    <s v="CB-12535"/>
    <s v="Claudia Bergmann"/>
    <x v="1"/>
    <s v="United States"/>
    <s v="Camarillo"/>
    <s v="California"/>
    <x v="1"/>
    <s v="FUR-CH-10003833"/>
    <s v="Furniture"/>
    <x v="1"/>
    <x v="237"/>
    <n v="97.567999999999998"/>
    <n v="2"/>
    <n v="-6.0979999999999999"/>
    <s v="5- days"/>
    <n v="5"/>
    <x v="7"/>
  </r>
  <r>
    <s v="CA-2015-100146"/>
    <d v="2015-05-14T00:00:00"/>
    <d v="2015-05-19T00:00:00"/>
    <x v="1"/>
    <s v="CB-12535"/>
    <s v="Claudia Bergmann"/>
    <x v="1"/>
    <s v="United States"/>
    <s v="Camarillo"/>
    <s v="California"/>
    <x v="1"/>
    <s v="FUR-CH-10004495"/>
    <s v="Furniture"/>
    <x v="1"/>
    <x v="304"/>
    <n v="722.35199999999998"/>
    <n v="3"/>
    <n v="81.264600000000002"/>
    <s v="5- days"/>
    <n v="5"/>
    <x v="7"/>
  </r>
  <r>
    <s v="CA-2016-129728"/>
    <d v="2016-05-30T00:00:00"/>
    <d v="2016-06-06T00:00:00"/>
    <x v="1"/>
    <s v="JG-15310"/>
    <s v="Jason Gross"/>
    <x v="1"/>
    <s v="United States"/>
    <s v="Los Angeles"/>
    <s v="California"/>
    <x v="1"/>
    <s v="FUR-FU-10003247"/>
    <s v="Furniture"/>
    <x v="3"/>
    <x v="298"/>
    <n v="167.84"/>
    <n v="8"/>
    <n v="11.748799999999999"/>
    <s v="7- days"/>
    <n v="7"/>
    <x v="7"/>
  </r>
  <r>
    <s v="CA-2014-121769"/>
    <d v="2014-04-08T00:00:00"/>
    <d v="2014-04-12T00:00:00"/>
    <x v="1"/>
    <s v="JS-15880"/>
    <s v="John Stevenson"/>
    <x v="0"/>
    <s v="United States"/>
    <s v="Toledo"/>
    <s v="Ohio"/>
    <x v="2"/>
    <s v="FUR-TA-10004442"/>
    <s v="Furniture"/>
    <x v="2"/>
    <x v="343"/>
    <n v="172.11"/>
    <n v="1"/>
    <n v="-94.660499999999999"/>
    <s v="4- days"/>
    <n v="4"/>
    <x v="6"/>
  </r>
  <r>
    <s v="CA-2017-121125"/>
    <d v="2017-05-30T00:00:00"/>
    <d v="2017-06-03T00:00:00"/>
    <x v="1"/>
    <s v="MG-17890"/>
    <s v="Michael Granlund"/>
    <x v="2"/>
    <s v="United States"/>
    <s v="Tigard"/>
    <s v="Oregon"/>
    <x v="1"/>
    <s v="FUR-FU-10000820"/>
    <s v="Furniture"/>
    <x v="3"/>
    <x v="367"/>
    <n v="13.592000000000001"/>
    <n v="1"/>
    <n v="-0.33979999999999999"/>
    <s v="4- days"/>
    <n v="4"/>
    <x v="7"/>
  </r>
  <r>
    <s v="US-2016-114013"/>
    <d v="2016-03-13T00:00:00"/>
    <d v="2016-03-15T00:00:00"/>
    <x v="0"/>
    <s v="SC-20770"/>
    <s v="Stewart Carmichael"/>
    <x v="1"/>
    <s v="United States"/>
    <s v="Philadelphia"/>
    <s v="Pennsylvania"/>
    <x v="2"/>
    <s v="FUR-CH-10004287"/>
    <s v="Furniture"/>
    <x v="1"/>
    <x v="32"/>
    <n v="386.68"/>
    <n v="2"/>
    <n v="-5.524"/>
    <s v="2- days"/>
    <n v="2"/>
    <x v="9"/>
  </r>
  <r>
    <s v="CA-2017-135069"/>
    <d v="2017-04-10T00:00:00"/>
    <d v="2017-04-14T00:00:00"/>
    <x v="1"/>
    <s v="BS-11755"/>
    <s v="Bruce Stewart"/>
    <x v="0"/>
    <s v="United States"/>
    <s v="Philadelphia"/>
    <s v="Pennsylvania"/>
    <x v="2"/>
    <s v="FUR-FU-10003878"/>
    <s v="Furniture"/>
    <x v="3"/>
    <x v="142"/>
    <n v="36.671999999999997"/>
    <n v="3"/>
    <n v="6.4176000000000002"/>
    <s v="4- days"/>
    <n v="4"/>
    <x v="6"/>
  </r>
  <r>
    <s v="CA-2016-101693"/>
    <d v="2016-06-25T00:00:00"/>
    <d v="2016-06-27T00:00:00"/>
    <x v="0"/>
    <s v="LC-17140"/>
    <s v="Logan Currie"/>
    <x v="0"/>
    <s v="United States"/>
    <s v="Houston"/>
    <s v="Texas"/>
    <x v="3"/>
    <s v="FUR-CH-10001146"/>
    <s v="Furniture"/>
    <x v="1"/>
    <x v="15"/>
    <n v="85.245999999999995"/>
    <n v="2"/>
    <n v="-6.0890000000000004"/>
    <s v="2- days"/>
    <n v="2"/>
    <x v="2"/>
  </r>
  <r>
    <s v="CA-2016-101693"/>
    <d v="2016-06-25T00:00:00"/>
    <d v="2016-06-27T00:00:00"/>
    <x v="0"/>
    <s v="LC-17140"/>
    <s v="Logan Currie"/>
    <x v="0"/>
    <s v="United States"/>
    <s v="Houston"/>
    <s v="Texas"/>
    <x v="3"/>
    <s v="FUR-FU-10003919"/>
    <s v="Furniture"/>
    <x v="3"/>
    <x v="313"/>
    <n v="32.712000000000003"/>
    <n v="2"/>
    <n v="-26.169599999999999"/>
    <s v="2- days"/>
    <n v="2"/>
    <x v="2"/>
  </r>
  <r>
    <s v="CA-2015-145457"/>
    <d v="2015-03-24T00:00:00"/>
    <d v="2015-03-27T00:00:00"/>
    <x v="0"/>
    <s v="CP-12085"/>
    <s v="Cathy Prescott"/>
    <x v="1"/>
    <s v="United States"/>
    <s v="Covington"/>
    <s v="Washington"/>
    <x v="1"/>
    <s v="FUR-FU-10003832"/>
    <s v="Furniture"/>
    <x v="3"/>
    <x v="282"/>
    <n v="46.9"/>
    <n v="5"/>
    <n v="13.132"/>
    <s v="3- days"/>
    <n v="3"/>
    <x v="9"/>
  </r>
  <r>
    <s v="US-2017-163657"/>
    <d v="2017-09-02T00:00:00"/>
    <d v="2017-09-06T00:00:00"/>
    <x v="1"/>
    <s v="JL-15235"/>
    <s v="Janet Lee"/>
    <x v="0"/>
    <s v="United States"/>
    <s v="Los Angeles"/>
    <s v="California"/>
    <x v="1"/>
    <s v="FUR-TA-10004607"/>
    <s v="Furniture"/>
    <x v="2"/>
    <x v="212"/>
    <n v="236.52799999999999"/>
    <n v="2"/>
    <n v="-2.9565999999999999"/>
    <s v="4- days"/>
    <n v="4"/>
    <x v="4"/>
  </r>
  <r>
    <s v="CA-2017-127474"/>
    <d v="2017-02-03T00:00:00"/>
    <d v="2017-02-07T00:00:00"/>
    <x v="0"/>
    <s v="RD-19810"/>
    <s v="Ross DeVincentis"/>
    <x v="2"/>
    <s v="United States"/>
    <s v="Chicago"/>
    <s v="Illinois"/>
    <x v="3"/>
    <s v="FUR-FU-10004597"/>
    <s v="Furniture"/>
    <x v="3"/>
    <x v="249"/>
    <n v="22.2"/>
    <n v="1"/>
    <n v="-26.085000000000001"/>
    <s v="4- days"/>
    <n v="4"/>
    <x v="11"/>
  </r>
  <r>
    <s v="CA-2017-115448"/>
    <d v="2017-11-11T00:00:00"/>
    <d v="2017-11-14T00:00:00"/>
    <x v="2"/>
    <s v="MH-18025"/>
    <s v="Michelle Huthwaite"/>
    <x v="0"/>
    <s v="United States"/>
    <s v="Knoxville"/>
    <s v="Tennessee"/>
    <x v="0"/>
    <s v="FUR-FU-10004090"/>
    <s v="Furniture"/>
    <x v="3"/>
    <x v="137"/>
    <n v="88.92"/>
    <n v="5"/>
    <n v="14.4495"/>
    <s v="3- days"/>
    <n v="3"/>
    <x v="0"/>
  </r>
  <r>
    <s v="CA-2017-105669"/>
    <d v="2017-09-17T00:00:00"/>
    <d v="2017-09-22T00:00:00"/>
    <x v="0"/>
    <s v="SJ-20125"/>
    <s v="Sanjit Jacobs"/>
    <x v="2"/>
    <s v="United States"/>
    <s v="Houston"/>
    <s v="Texas"/>
    <x v="3"/>
    <s v="FUR-CH-10003774"/>
    <s v="Furniture"/>
    <x v="1"/>
    <x v="234"/>
    <n v="318.43"/>
    <n v="5"/>
    <n v="-77.332999999999998"/>
    <s v="5- days"/>
    <n v="5"/>
    <x v="4"/>
  </r>
  <r>
    <s v="CA-2015-137974"/>
    <d v="2015-04-16T00:00:00"/>
    <d v="2015-04-18T00:00:00"/>
    <x v="2"/>
    <s v="LL-16840"/>
    <s v="Lauren Leatherbury"/>
    <x v="0"/>
    <s v="United States"/>
    <s v="Waynesboro"/>
    <s v="Virginia"/>
    <x v="0"/>
    <s v="FUR-FU-10001468"/>
    <s v="Furniture"/>
    <x v="3"/>
    <x v="253"/>
    <n v="1196.8599999999999"/>
    <n v="7"/>
    <n v="119.68600000000001"/>
    <s v="2- days"/>
    <n v="2"/>
    <x v="6"/>
  </r>
  <r>
    <s v="CA-2015-137974"/>
    <d v="2015-04-16T00:00:00"/>
    <d v="2015-04-18T00:00:00"/>
    <x v="2"/>
    <s v="LL-16840"/>
    <s v="Lauren Leatherbury"/>
    <x v="0"/>
    <s v="United States"/>
    <s v="Waynesboro"/>
    <s v="Virginia"/>
    <x v="0"/>
    <s v="FUR-BO-10001519"/>
    <s v="Furniture"/>
    <x v="0"/>
    <x v="141"/>
    <n v="523.26"/>
    <n v="9"/>
    <n v="125.58240000000001"/>
    <s v="2- days"/>
    <n v="2"/>
    <x v="6"/>
  </r>
  <r>
    <s v="CA-2017-148985"/>
    <d v="2017-11-11T00:00:00"/>
    <d v="2017-11-15T00:00:00"/>
    <x v="0"/>
    <s v="TB-21190"/>
    <s v="Thomas Brumley"/>
    <x v="2"/>
    <s v="United States"/>
    <s v="Los Angeles"/>
    <s v="California"/>
    <x v="1"/>
    <s v="FUR-FU-10001424"/>
    <s v="Furniture"/>
    <x v="3"/>
    <x v="144"/>
    <n v="34.92"/>
    <n v="4"/>
    <n v="11.8728"/>
    <s v="4- days"/>
    <n v="4"/>
    <x v="0"/>
  </r>
  <r>
    <s v="CA-2014-138100"/>
    <d v="2014-09-15T00:00:00"/>
    <d v="2014-09-20T00:00:00"/>
    <x v="1"/>
    <s v="AA-10315"/>
    <s v="Alex Avila"/>
    <x v="0"/>
    <s v="United States"/>
    <s v="New York City"/>
    <s v="New York"/>
    <x v="2"/>
    <s v="FUR-FU-10002456"/>
    <s v="Furniture"/>
    <x v="3"/>
    <x v="202"/>
    <n v="14.56"/>
    <n v="2"/>
    <n v="6.2607999999999997"/>
    <s v="5- days"/>
    <n v="5"/>
    <x v="4"/>
  </r>
  <r>
    <s v="CA-2014-167199"/>
    <d v="2014-01-06T00:00:00"/>
    <d v="2014-01-10T00:00:00"/>
    <x v="1"/>
    <s v="ME-17320"/>
    <s v="Maria Etezadi"/>
    <x v="2"/>
    <s v="United States"/>
    <s v="Henderson"/>
    <s v="Kentucky"/>
    <x v="0"/>
    <s v="FUR-CH-10004063"/>
    <s v="Furniture"/>
    <x v="1"/>
    <x v="27"/>
    <n v="2573.8200000000002"/>
    <n v="9"/>
    <n v="746.40779999999995"/>
    <s v="4- days"/>
    <n v="4"/>
    <x v="8"/>
  </r>
  <r>
    <s v="CA-2014-129938"/>
    <d v="2014-12-15T00:00:00"/>
    <d v="2014-12-17T00:00:00"/>
    <x v="0"/>
    <s v="EB-13705"/>
    <s v="Ed Braxton"/>
    <x v="1"/>
    <s v="United States"/>
    <s v="Philadelphia"/>
    <s v="Pennsylvania"/>
    <x v="2"/>
    <s v="FUR-CH-10003774"/>
    <s v="Furniture"/>
    <x v="1"/>
    <x v="234"/>
    <n v="445.80200000000002"/>
    <n v="7"/>
    <n v="-108.2662"/>
    <s v="2- days"/>
    <n v="2"/>
    <x v="5"/>
  </r>
  <r>
    <s v="US-2015-134558"/>
    <d v="2015-12-19T00:00:00"/>
    <d v="2015-12-24T00:00:00"/>
    <x v="0"/>
    <s v="PM-19135"/>
    <s v="Peter McVee"/>
    <x v="2"/>
    <s v="United States"/>
    <s v="Dover"/>
    <s v="New Hampshire"/>
    <x v="2"/>
    <s v="FUR-TA-10003473"/>
    <s v="Furniture"/>
    <x v="2"/>
    <x v="44"/>
    <n v="1053.164"/>
    <n v="4"/>
    <n v="-105.3164"/>
    <s v="5- days"/>
    <n v="5"/>
    <x v="5"/>
  </r>
  <r>
    <s v="CA-2015-108672"/>
    <d v="2015-09-10T00:00:00"/>
    <d v="2015-09-16T00:00:00"/>
    <x v="1"/>
    <s v="FA-14230"/>
    <s v="Frank Atkinson"/>
    <x v="1"/>
    <s v="United States"/>
    <s v="Los Angeles"/>
    <s v="California"/>
    <x v="1"/>
    <s v="FUR-FU-10003799"/>
    <s v="Furniture"/>
    <x v="3"/>
    <x v="21"/>
    <n v="106.68"/>
    <n v="6"/>
    <n v="33.070799999999998"/>
    <s v="6- days"/>
    <n v="6"/>
    <x v="4"/>
  </r>
  <r>
    <s v="US-2017-160836"/>
    <d v="2017-09-11T00:00:00"/>
    <d v="2017-09-16T00:00:00"/>
    <x v="1"/>
    <s v="CC-12475"/>
    <s v="Cindy Chapman"/>
    <x v="0"/>
    <s v="United States"/>
    <s v="Houston"/>
    <s v="Texas"/>
    <x v="3"/>
    <s v="FUR-TA-10002855"/>
    <s v="Furniture"/>
    <x v="2"/>
    <x v="235"/>
    <n v="512.19000000000005"/>
    <n v="5"/>
    <n v="-65.852999999999994"/>
    <s v="5- days"/>
    <n v="5"/>
    <x v="4"/>
  </r>
  <r>
    <s v="CA-2017-121048"/>
    <d v="2017-07-14T00:00:00"/>
    <d v="2017-07-18T00:00:00"/>
    <x v="1"/>
    <s v="TC-21295"/>
    <s v="Toby Carlisle"/>
    <x v="0"/>
    <s v="United States"/>
    <s v="Westminster"/>
    <s v="California"/>
    <x v="1"/>
    <s v="FUR-FU-10003601"/>
    <s v="Furniture"/>
    <x v="3"/>
    <x v="148"/>
    <n v="276.69"/>
    <n v="3"/>
    <n v="49.804200000000002"/>
    <s v="4- days"/>
    <n v="4"/>
    <x v="3"/>
  </r>
  <r>
    <s v="CA-2017-121048"/>
    <d v="2017-07-14T00:00:00"/>
    <d v="2017-07-18T00:00:00"/>
    <x v="1"/>
    <s v="TC-21295"/>
    <s v="Toby Carlisle"/>
    <x v="0"/>
    <s v="United States"/>
    <s v="Westminster"/>
    <s v="California"/>
    <x v="1"/>
    <s v="FUR-FU-10002960"/>
    <s v="Furniture"/>
    <x v="3"/>
    <x v="37"/>
    <n v="18.84"/>
    <n v="3"/>
    <n v="7.9127999999999998"/>
    <s v="4- days"/>
    <n v="4"/>
    <x v="3"/>
  </r>
  <r>
    <s v="US-2017-161935"/>
    <d v="2017-07-14T00:00:00"/>
    <d v="2017-07-18T00:00:00"/>
    <x v="1"/>
    <s v="JL-15835"/>
    <s v="John Lee"/>
    <x v="0"/>
    <s v="United States"/>
    <s v="Columbus"/>
    <s v="Ohio"/>
    <x v="2"/>
    <s v="FUR-FU-10002937"/>
    <s v="Furniture"/>
    <x v="3"/>
    <x v="205"/>
    <n v="396.92"/>
    <n v="5"/>
    <n v="148.845"/>
    <s v="4- days"/>
    <n v="4"/>
    <x v="3"/>
  </r>
  <r>
    <s v="CA-2016-162383"/>
    <d v="2016-09-05T00:00:00"/>
    <d v="2016-09-11T00:00:00"/>
    <x v="1"/>
    <s v="MD-17350"/>
    <s v="Maribeth Dona"/>
    <x v="0"/>
    <s v="United States"/>
    <s v="Lancaster"/>
    <s v="Ohio"/>
    <x v="2"/>
    <s v="FUR-CH-10004477"/>
    <s v="Furniture"/>
    <x v="1"/>
    <x v="42"/>
    <n v="85.245999999999995"/>
    <n v="2"/>
    <n v="-1.2178"/>
    <s v="6- days"/>
    <n v="6"/>
    <x v="4"/>
  </r>
  <r>
    <s v="CA-2014-125731"/>
    <d v="2014-09-10T00:00:00"/>
    <d v="2014-09-16T00:00:00"/>
    <x v="1"/>
    <s v="CL-12565"/>
    <s v="Clay Ludtke"/>
    <x v="0"/>
    <s v="United States"/>
    <s v="Gresham"/>
    <s v="Oregon"/>
    <x v="1"/>
    <s v="FUR-CH-10003973"/>
    <s v="Furniture"/>
    <x v="1"/>
    <x v="171"/>
    <n v="1487.04"/>
    <n v="5"/>
    <n v="148.70400000000001"/>
    <s v="6- days"/>
    <n v="6"/>
    <x v="4"/>
  </r>
  <r>
    <s v="US-2017-106145"/>
    <d v="2017-09-26T00:00:00"/>
    <d v="2017-09-26T00:00:00"/>
    <x v="3"/>
    <s v="RA-19885"/>
    <s v="Ruben Ausman"/>
    <x v="1"/>
    <s v="United States"/>
    <s v="San Francisco"/>
    <s v="California"/>
    <x v="1"/>
    <s v="FUR-FU-10003829"/>
    <s v="Furniture"/>
    <x v="3"/>
    <x v="275"/>
    <n v="9.24"/>
    <n v="3"/>
    <n v="2.9567999999999999"/>
    <s v="0- days"/>
    <n v="0"/>
    <x v="4"/>
  </r>
  <r>
    <s v="CA-2016-107146"/>
    <d v="2016-06-17T00:00:00"/>
    <d v="2016-06-19T00:00:00"/>
    <x v="2"/>
    <s v="LC-16885"/>
    <s v="Lena Creighton"/>
    <x v="0"/>
    <s v="United States"/>
    <s v="Longmont"/>
    <s v="Colorado"/>
    <x v="1"/>
    <s v="FUR-FU-10002298"/>
    <s v="Furniture"/>
    <x v="3"/>
    <x v="256"/>
    <n v="266.35199999999998"/>
    <n v="3"/>
    <n v="-13.317600000000001"/>
    <s v="2- days"/>
    <n v="2"/>
    <x v="2"/>
  </r>
  <r>
    <s v="CA-2016-107146"/>
    <d v="2016-06-17T00:00:00"/>
    <d v="2016-06-19T00:00:00"/>
    <x v="2"/>
    <s v="LC-16885"/>
    <s v="Lena Creighton"/>
    <x v="0"/>
    <s v="United States"/>
    <s v="Longmont"/>
    <s v="Colorado"/>
    <x v="1"/>
    <s v="FUR-CH-10004853"/>
    <s v="Furniture"/>
    <x v="1"/>
    <x v="110"/>
    <n v="483.13600000000002"/>
    <n v="4"/>
    <n v="54.352800000000002"/>
    <s v="2- days"/>
    <n v="2"/>
    <x v="2"/>
  </r>
  <r>
    <s v="US-2017-134642"/>
    <d v="2017-02-25T00:00:00"/>
    <d v="2017-03-01T00:00:00"/>
    <x v="1"/>
    <s v="SW-20245"/>
    <s v="Scot Wooten"/>
    <x v="0"/>
    <s v="United States"/>
    <s v="Greenville"/>
    <s v="North Carolina"/>
    <x v="0"/>
    <s v="FUR-CH-10002880"/>
    <s v="Furniture"/>
    <x v="1"/>
    <x v="162"/>
    <n v="196.78399999999999"/>
    <n v="2"/>
    <n v="-22.138200000000001"/>
    <s v="4- days"/>
    <n v="4"/>
    <x v="11"/>
  </r>
  <r>
    <s v="US-2017-134642"/>
    <d v="2017-02-25T00:00:00"/>
    <d v="2017-03-01T00:00:00"/>
    <x v="1"/>
    <s v="SW-20245"/>
    <s v="Scot Wooten"/>
    <x v="0"/>
    <s v="United States"/>
    <s v="Greenville"/>
    <s v="North Carolina"/>
    <x v="0"/>
    <s v="FUR-BO-10004709"/>
    <s v="Furniture"/>
    <x v="0"/>
    <x v="53"/>
    <n v="231.92"/>
    <n v="5"/>
    <n v="5.798"/>
    <s v="4- days"/>
    <n v="4"/>
    <x v="11"/>
  </r>
  <r>
    <s v="CA-2017-103415"/>
    <d v="2017-12-03T00:00:00"/>
    <d v="2017-12-08T00:00:00"/>
    <x v="1"/>
    <s v="MV-17485"/>
    <s v="Mark Van Huff"/>
    <x v="0"/>
    <s v="United States"/>
    <s v="Houston"/>
    <s v="Texas"/>
    <x v="3"/>
    <s v="FUR-FU-10000820"/>
    <s v="Furniture"/>
    <x v="3"/>
    <x v="367"/>
    <n v="13.592000000000001"/>
    <n v="2"/>
    <n v="-14.271599999999999"/>
    <s v="5- days"/>
    <n v="5"/>
    <x v="5"/>
  </r>
  <r>
    <s v="US-2017-112347"/>
    <d v="2017-12-02T00:00:00"/>
    <d v="2017-12-06T00:00:00"/>
    <x v="1"/>
    <s v="BS-11380"/>
    <s v="Bill Stewart"/>
    <x v="1"/>
    <s v="United States"/>
    <s v="Denver"/>
    <s v="Colorado"/>
    <x v="1"/>
    <s v="FUR-BO-10003546"/>
    <s v="Furniture"/>
    <x v="0"/>
    <x v="341"/>
    <n v="242.352"/>
    <n v="8"/>
    <n v="-363.52800000000002"/>
    <s v="4- days"/>
    <n v="4"/>
    <x v="5"/>
  </r>
  <r>
    <s v="US-2017-112347"/>
    <d v="2017-12-02T00:00:00"/>
    <d v="2017-12-06T00:00:00"/>
    <x v="1"/>
    <s v="BS-11380"/>
    <s v="Bill Stewart"/>
    <x v="1"/>
    <s v="United States"/>
    <s v="Denver"/>
    <s v="Colorado"/>
    <x v="1"/>
    <s v="FUR-FU-10001488"/>
    <s v="Furniture"/>
    <x v="3"/>
    <x v="204"/>
    <n v="508.70400000000001"/>
    <n v="6"/>
    <n v="0"/>
    <s v="4- days"/>
    <n v="4"/>
    <x v="5"/>
  </r>
  <r>
    <s v="US-2017-112347"/>
    <d v="2017-12-02T00:00:00"/>
    <d v="2017-12-06T00:00:00"/>
    <x v="1"/>
    <s v="BS-11380"/>
    <s v="Bill Stewart"/>
    <x v="1"/>
    <s v="United States"/>
    <s v="Denver"/>
    <s v="Colorado"/>
    <x v="1"/>
    <s v="FUR-CH-10002335"/>
    <s v="Furniture"/>
    <x v="1"/>
    <x v="133"/>
    <n v="906.68"/>
    <n v="5"/>
    <n v="68.001000000000005"/>
    <s v="4- days"/>
    <n v="4"/>
    <x v="5"/>
  </r>
  <r>
    <s v="CA-2016-136595"/>
    <d v="2016-09-05T00:00:00"/>
    <d v="2016-09-07T00:00:00"/>
    <x v="2"/>
    <s v="EM-13825"/>
    <s v="Elizabeth Moffitt"/>
    <x v="1"/>
    <s v="United States"/>
    <s v="Houston"/>
    <s v="Texas"/>
    <x v="3"/>
    <s v="FUR-FU-10004671"/>
    <s v="Furniture"/>
    <x v="3"/>
    <x v="272"/>
    <n v="21.204000000000001"/>
    <n v="3"/>
    <n v="-11.6622"/>
    <s v="2- days"/>
    <n v="2"/>
    <x v="4"/>
  </r>
  <r>
    <s v="CA-2014-114181"/>
    <d v="2014-05-10T00:00:00"/>
    <d v="2014-05-14T00:00:00"/>
    <x v="0"/>
    <s v="AF-10885"/>
    <s v="Art Foster"/>
    <x v="0"/>
    <s v="United States"/>
    <s v="Philadelphia"/>
    <s v="Pennsylvania"/>
    <x v="2"/>
    <s v="FUR-BO-10004467"/>
    <s v="Furniture"/>
    <x v="0"/>
    <x v="179"/>
    <n v="349.96499999999997"/>
    <n v="7"/>
    <n v="-216.97829999999999"/>
    <s v="4- days"/>
    <n v="4"/>
    <x v="7"/>
  </r>
  <r>
    <s v="US-2014-137155"/>
    <d v="2014-11-01T00:00:00"/>
    <d v="2014-11-05T00:00:00"/>
    <x v="1"/>
    <s v="DL-12925"/>
    <s v="Daniel Lacy"/>
    <x v="0"/>
    <s v="United States"/>
    <s v="Long Beach"/>
    <s v="New York"/>
    <x v="2"/>
    <s v="FUR-FU-10003142"/>
    <s v="Furniture"/>
    <x v="3"/>
    <x v="238"/>
    <n v="31.68"/>
    <n v="6"/>
    <n v="9.8208000000000002"/>
    <s v="4- days"/>
    <n v="4"/>
    <x v="0"/>
  </r>
  <r>
    <s v="CA-2016-105746"/>
    <d v="2016-12-30T00:00:00"/>
    <d v="2017-01-01T00:00:00"/>
    <x v="2"/>
    <s v="BD-11605"/>
    <s v="Brian Dahlen"/>
    <x v="0"/>
    <s v="United States"/>
    <s v="Lancaster"/>
    <s v="Pennsylvania"/>
    <x v="2"/>
    <s v="FUR-CH-10000454"/>
    <s v="Furniture"/>
    <x v="1"/>
    <x v="1"/>
    <n v="170.786"/>
    <n v="1"/>
    <n v="0"/>
    <s v="2- days"/>
    <n v="2"/>
    <x v="5"/>
  </r>
  <r>
    <s v="US-2016-104815"/>
    <d v="2016-09-03T00:00:00"/>
    <d v="2016-09-07T00:00:00"/>
    <x v="1"/>
    <s v="RB-19570"/>
    <s v="Rob Beeghly"/>
    <x v="0"/>
    <s v="United States"/>
    <s v="Chicago"/>
    <s v="Illinois"/>
    <x v="3"/>
    <s v="FUR-BO-10003894"/>
    <s v="Furniture"/>
    <x v="0"/>
    <x v="336"/>
    <n v="198.744"/>
    <n v="4"/>
    <n v="0"/>
    <s v="4- days"/>
    <n v="4"/>
    <x v="4"/>
  </r>
  <r>
    <s v="US-2016-166660"/>
    <d v="2016-01-30T00:00:00"/>
    <d v="2016-02-01T00:00:00"/>
    <x v="0"/>
    <s v="TB-21250"/>
    <s v="Tim Brockman"/>
    <x v="0"/>
    <s v="United States"/>
    <s v="Seattle"/>
    <s v="Washington"/>
    <x v="1"/>
    <s v="FUR-CH-10001190"/>
    <s v="Furniture"/>
    <x v="1"/>
    <x v="264"/>
    <n v="435.16800000000001"/>
    <n v="4"/>
    <n v="-59.835599999999999"/>
    <s v="2- days"/>
    <n v="2"/>
    <x v="8"/>
  </r>
  <r>
    <s v="US-2016-166660"/>
    <d v="2016-01-30T00:00:00"/>
    <d v="2016-02-01T00:00:00"/>
    <x v="0"/>
    <s v="TB-21250"/>
    <s v="Tim Brockman"/>
    <x v="0"/>
    <s v="United States"/>
    <s v="Seattle"/>
    <s v="Washington"/>
    <x v="1"/>
    <s v="FUR-BO-10000468"/>
    <s v="Furniture"/>
    <x v="0"/>
    <x v="233"/>
    <n v="48.58"/>
    <n v="1"/>
    <n v="7.7728000000000002"/>
    <s v="2- days"/>
    <n v="2"/>
    <x v="8"/>
  </r>
  <r>
    <s v="CA-2014-100916"/>
    <d v="2014-10-21T00:00:00"/>
    <d v="2014-10-26T00:00:00"/>
    <x v="1"/>
    <s v="FH-14275"/>
    <s v="Frank Hawley"/>
    <x v="1"/>
    <s v="United States"/>
    <s v="Newport News"/>
    <s v="Virginia"/>
    <x v="0"/>
    <s v="FUR-TA-10004607"/>
    <s v="Furniture"/>
    <x v="2"/>
    <x v="212"/>
    <n v="591.32000000000005"/>
    <n v="4"/>
    <n v="112.35080000000001"/>
    <s v="5- days"/>
    <n v="5"/>
    <x v="1"/>
  </r>
  <r>
    <s v="CA-2016-138597"/>
    <d v="2016-12-18T00:00:00"/>
    <d v="2016-12-21T00:00:00"/>
    <x v="2"/>
    <s v="PN-18775"/>
    <s v="Parhena Norris"/>
    <x v="2"/>
    <s v="United States"/>
    <s v="Omaha"/>
    <s v="Nebraska"/>
    <x v="3"/>
    <s v="FUR-CH-10004997"/>
    <s v="Furniture"/>
    <x v="1"/>
    <x v="105"/>
    <n v="563.94000000000005"/>
    <n v="3"/>
    <n v="112.788"/>
    <s v="3- days"/>
    <n v="3"/>
    <x v="5"/>
  </r>
  <r>
    <s v="CA-2015-142734"/>
    <d v="2015-04-16T00:00:00"/>
    <d v="2015-04-21T00:00:00"/>
    <x v="1"/>
    <s v="DM-13345"/>
    <s v="Denise Monton"/>
    <x v="1"/>
    <s v="United States"/>
    <s v="New York City"/>
    <s v="New York"/>
    <x v="2"/>
    <s v="FUR-CH-10003968"/>
    <s v="Furniture"/>
    <x v="1"/>
    <x v="13"/>
    <n v="127.764"/>
    <n v="2"/>
    <n v="2.8391999999999999"/>
    <s v="5- days"/>
    <n v="5"/>
    <x v="6"/>
  </r>
  <r>
    <s v="CA-2017-122945"/>
    <d v="2017-11-16T00:00:00"/>
    <d v="2017-11-22T00:00:00"/>
    <x v="1"/>
    <s v="MB-18085"/>
    <s v="Mick Brown"/>
    <x v="0"/>
    <s v="United States"/>
    <s v="Roseville"/>
    <s v="California"/>
    <x v="1"/>
    <s v="FUR-FU-10001196"/>
    <s v="Furniture"/>
    <x v="3"/>
    <x v="217"/>
    <n v="17.309999999999999"/>
    <n v="3"/>
    <n v="5.1929999999999996"/>
    <s v="6- days"/>
    <n v="6"/>
    <x v="0"/>
  </r>
  <r>
    <s v="CA-2016-158778"/>
    <d v="2016-09-05T00:00:00"/>
    <d v="2016-09-09T00:00:00"/>
    <x v="1"/>
    <s v="DB-13210"/>
    <s v="Dean Braden"/>
    <x v="0"/>
    <s v="United States"/>
    <s v="Philadelphia"/>
    <s v="Pennsylvania"/>
    <x v="2"/>
    <s v="FUR-FU-10000260"/>
    <s v="Furniture"/>
    <x v="3"/>
    <x v="18"/>
    <n v="58.247999999999998"/>
    <n v="9"/>
    <n v="11.6496"/>
    <s v="4- days"/>
    <n v="4"/>
    <x v="4"/>
  </r>
  <r>
    <s v="CA-2016-158778"/>
    <d v="2016-09-05T00:00:00"/>
    <d v="2016-09-09T00:00:00"/>
    <x v="1"/>
    <s v="DB-13210"/>
    <s v="Dean Braden"/>
    <x v="0"/>
    <s v="United States"/>
    <s v="Philadelphia"/>
    <s v="Pennsylvania"/>
    <x v="2"/>
    <s v="FUR-CH-10001146"/>
    <s v="Furniture"/>
    <x v="1"/>
    <x v="29"/>
    <n v="71.245999999999995"/>
    <n v="2"/>
    <n v="-19.338200000000001"/>
    <s v="4- days"/>
    <n v="4"/>
    <x v="4"/>
  </r>
  <r>
    <s v="CA-2016-158778"/>
    <d v="2016-09-05T00:00:00"/>
    <d v="2016-09-09T00:00:00"/>
    <x v="1"/>
    <s v="DB-13210"/>
    <s v="Dean Braden"/>
    <x v="0"/>
    <s v="United States"/>
    <s v="Philadelphia"/>
    <s v="Pennsylvania"/>
    <x v="2"/>
    <s v="FUR-CH-10000309"/>
    <s v="Furniture"/>
    <x v="1"/>
    <x v="155"/>
    <n v="887.27099999999996"/>
    <n v="3"/>
    <n v="-63.3765"/>
    <s v="4- days"/>
    <n v="4"/>
    <x v="4"/>
  </r>
  <r>
    <s v="CA-2016-101791"/>
    <d v="2016-05-27T00:00:00"/>
    <d v="2016-05-31T00:00:00"/>
    <x v="1"/>
    <s v="BS-11665"/>
    <s v="Brian Stugart"/>
    <x v="0"/>
    <s v="United States"/>
    <s v="Chicago"/>
    <s v="Illinois"/>
    <x v="3"/>
    <s v="FUR-FU-10003247"/>
    <s v="Furniture"/>
    <x v="3"/>
    <x v="298"/>
    <n v="25.175999999999998"/>
    <n v="3"/>
    <n v="-33.358199999999997"/>
    <s v="4- days"/>
    <n v="4"/>
    <x v="7"/>
  </r>
  <r>
    <s v="CA-2016-101791"/>
    <d v="2016-05-27T00:00:00"/>
    <d v="2016-05-31T00:00:00"/>
    <x v="1"/>
    <s v="BS-11665"/>
    <s v="Brian Stugart"/>
    <x v="0"/>
    <s v="United States"/>
    <s v="Chicago"/>
    <s v="Illinois"/>
    <x v="3"/>
    <s v="FUR-FU-10002191"/>
    <s v="Furniture"/>
    <x v="3"/>
    <x v="154"/>
    <n v="5.5839999999999996"/>
    <n v="2"/>
    <n v="-1.6752"/>
    <s v="4- days"/>
    <n v="4"/>
    <x v="7"/>
  </r>
  <r>
    <s v="CA-2015-113740"/>
    <d v="2015-08-24T00:00:00"/>
    <d v="2015-08-28T00:00:00"/>
    <x v="0"/>
    <s v="SC-20380"/>
    <s v="Shahid Collister"/>
    <x v="0"/>
    <s v="United States"/>
    <s v="New York City"/>
    <s v="New York"/>
    <x v="2"/>
    <s v="FUR-FU-10000010"/>
    <s v="Furniture"/>
    <x v="3"/>
    <x v="109"/>
    <n v="14.91"/>
    <n v="3"/>
    <n v="4.6220999999999997"/>
    <s v="4- days"/>
    <n v="4"/>
    <x v="10"/>
  </r>
  <r>
    <s v="CA-2017-151225"/>
    <d v="2017-10-27T00:00:00"/>
    <d v="2017-10-29T00:00:00"/>
    <x v="2"/>
    <s v="JM-15655"/>
    <s v="Jim Mitchum"/>
    <x v="1"/>
    <s v="United States"/>
    <s v="Los Angeles"/>
    <s v="California"/>
    <x v="1"/>
    <s v="FUR-TA-10001539"/>
    <s v="Furniture"/>
    <x v="2"/>
    <x v="4"/>
    <n v="189.57599999999999"/>
    <n v="1"/>
    <n v="9.4787999999999997"/>
    <s v="2- days"/>
    <n v="2"/>
    <x v="1"/>
  </r>
  <r>
    <s v="US-2014-144078"/>
    <d v="2014-11-25T00:00:00"/>
    <d v="2014-11-29T00:00:00"/>
    <x v="1"/>
    <s v="RB-19435"/>
    <s v="Richard Bierner"/>
    <x v="0"/>
    <s v="United States"/>
    <s v="Los Angeles"/>
    <s v="California"/>
    <x v="1"/>
    <s v="FUR-CH-10002335"/>
    <s v="Furniture"/>
    <x v="1"/>
    <x v="133"/>
    <n v="725.34400000000005"/>
    <n v="4"/>
    <n v="54.400799999999997"/>
    <s v="4- days"/>
    <n v="4"/>
    <x v="0"/>
  </r>
  <r>
    <s v="CA-2015-136805"/>
    <d v="2015-05-23T00:00:00"/>
    <d v="2015-05-27T00:00:00"/>
    <x v="0"/>
    <s v="NM-18445"/>
    <s v="Nathan Mautz"/>
    <x v="2"/>
    <s v="United States"/>
    <s v="Detroit"/>
    <s v="Michigan"/>
    <x v="3"/>
    <s v="FUR-FU-10003724"/>
    <s v="Furniture"/>
    <x v="3"/>
    <x v="181"/>
    <n v="75.33"/>
    <n v="9"/>
    <n v="19.585799999999999"/>
    <s v="4- days"/>
    <n v="4"/>
    <x v="7"/>
  </r>
  <r>
    <s v="CA-2014-162089"/>
    <d v="2014-03-30T00:00:00"/>
    <d v="2014-04-01T00:00:00"/>
    <x v="2"/>
    <s v="MP-17470"/>
    <s v="Mark Packer"/>
    <x v="2"/>
    <s v="United States"/>
    <s v="Brownsville"/>
    <s v="Texas"/>
    <x v="3"/>
    <s v="FUR-CH-10002304"/>
    <s v="Furniture"/>
    <x v="1"/>
    <x v="158"/>
    <n v="127.30200000000001"/>
    <n v="7"/>
    <n v="-9.093"/>
    <s v="2- days"/>
    <n v="2"/>
    <x v="9"/>
  </r>
  <r>
    <s v="US-2017-158526"/>
    <d v="2017-12-29T00:00:00"/>
    <d v="2018-01-01T00:00:00"/>
    <x v="0"/>
    <s v="KH-16360"/>
    <s v="Katherine Hughes"/>
    <x v="0"/>
    <s v="United States"/>
    <s v="Louisville"/>
    <s v="Kentucky"/>
    <x v="0"/>
    <s v="FUR-CH-10002602"/>
    <s v="Furniture"/>
    <x v="1"/>
    <x v="64"/>
    <n v="1207.8399999999999"/>
    <n v="8"/>
    <n v="314.03840000000002"/>
    <s v="3- days"/>
    <n v="3"/>
    <x v="5"/>
  </r>
  <r>
    <s v="US-2017-158526"/>
    <d v="2017-12-29T00:00:00"/>
    <d v="2018-01-01T00:00:00"/>
    <x v="0"/>
    <s v="KH-16360"/>
    <s v="Katherine Hughes"/>
    <x v="0"/>
    <s v="United States"/>
    <s v="Louisville"/>
    <s v="Kentucky"/>
    <x v="0"/>
    <s v="FUR-CH-10004495"/>
    <s v="Furniture"/>
    <x v="1"/>
    <x v="304"/>
    <n v="300.98"/>
    <n v="1"/>
    <n v="87.284199999999998"/>
    <s v="3- days"/>
    <n v="3"/>
    <x v="5"/>
  </r>
  <r>
    <s v="US-2017-158526"/>
    <d v="2017-12-29T00:00:00"/>
    <d v="2018-01-01T00:00:00"/>
    <x v="0"/>
    <s v="KH-16360"/>
    <s v="Katherine Hughes"/>
    <x v="0"/>
    <s v="United States"/>
    <s v="Louisville"/>
    <s v="Kentucky"/>
    <x v="0"/>
    <s v="FUR-CH-10001270"/>
    <s v="Furniture"/>
    <x v="1"/>
    <x v="170"/>
    <n v="258.75"/>
    <n v="3"/>
    <n v="77.625"/>
    <s v="3- days"/>
    <n v="3"/>
    <x v="5"/>
  </r>
  <r>
    <s v="CA-2017-104885"/>
    <d v="2017-03-02T00:00:00"/>
    <d v="2017-03-08T00:00:00"/>
    <x v="1"/>
    <s v="DB-13555"/>
    <s v="Dorothy Badders"/>
    <x v="1"/>
    <s v="United States"/>
    <s v="Newark"/>
    <s v="Delaware"/>
    <x v="2"/>
    <s v="FUR-BO-10003660"/>
    <s v="Furniture"/>
    <x v="0"/>
    <x v="301"/>
    <n v="441.96"/>
    <n v="2"/>
    <n v="101.6508"/>
    <s v="6- days"/>
    <n v="6"/>
    <x v="9"/>
  </r>
  <r>
    <s v="CA-2015-161452"/>
    <d v="2015-04-05T00:00:00"/>
    <d v="2015-04-11T00:00:00"/>
    <x v="1"/>
    <s v="CA-11965"/>
    <s v="Carol Adams"/>
    <x v="1"/>
    <s v="United States"/>
    <s v="Los Angeles"/>
    <s v="California"/>
    <x v="1"/>
    <s v="FUR-CH-10003973"/>
    <s v="Furniture"/>
    <x v="1"/>
    <x v="171"/>
    <n v="892.22400000000005"/>
    <n v="3"/>
    <n v="89.222399999999993"/>
    <s v="6- days"/>
    <n v="6"/>
    <x v="6"/>
  </r>
  <r>
    <s v="CA-2016-138968"/>
    <d v="2016-03-15T00:00:00"/>
    <d v="2016-03-16T00:00:00"/>
    <x v="2"/>
    <s v="FC-14335"/>
    <s v="Fred Chung"/>
    <x v="1"/>
    <s v="United States"/>
    <s v="San Francisco"/>
    <s v="California"/>
    <x v="1"/>
    <s v="FUR-CH-10000309"/>
    <s v="Furniture"/>
    <x v="1"/>
    <x v="155"/>
    <n v="1352.0319999999999"/>
    <n v="4"/>
    <n v="84.501999999999995"/>
    <s v="1- days"/>
    <n v="1"/>
    <x v="9"/>
  </r>
  <r>
    <s v="CA-2015-101889"/>
    <d v="2015-12-27T00:00:00"/>
    <d v="2015-12-31T00:00:00"/>
    <x v="1"/>
    <s v="DB-13120"/>
    <s v="David Bremer"/>
    <x v="1"/>
    <s v="United States"/>
    <s v="Marion"/>
    <s v="Ohio"/>
    <x v="2"/>
    <s v="FUR-TA-10004154"/>
    <s v="Furniture"/>
    <x v="2"/>
    <x v="149"/>
    <n v="1548.99"/>
    <n v="9"/>
    <n v="-464.697"/>
    <s v="4- days"/>
    <n v="4"/>
    <x v="5"/>
  </r>
  <r>
    <s v="CA-2015-107685"/>
    <d v="2015-11-30T00:00:00"/>
    <d v="2015-12-02T00:00:00"/>
    <x v="0"/>
    <s v="JM-15865"/>
    <s v="John Murray"/>
    <x v="0"/>
    <s v="United States"/>
    <s v="Las Vegas"/>
    <s v="Nevada"/>
    <x v="1"/>
    <s v="FUR-FU-10002813"/>
    <s v="Furniture"/>
    <x v="3"/>
    <x v="350"/>
    <n v="80.959999999999994"/>
    <n v="4"/>
    <n v="29.145600000000002"/>
    <s v="2- days"/>
    <n v="2"/>
    <x v="0"/>
  </r>
  <r>
    <s v="US-2014-120740"/>
    <d v="2014-04-15T00:00:00"/>
    <d v="2014-04-15T00:00:00"/>
    <x v="3"/>
    <s v="PS-18970"/>
    <s v="Paul Stevenson"/>
    <x v="2"/>
    <s v="United States"/>
    <s v="Los Angeles"/>
    <s v="California"/>
    <x v="1"/>
    <s v="FUR-FU-10004091"/>
    <s v="Furniture"/>
    <x v="3"/>
    <x v="54"/>
    <n v="187.76"/>
    <n v="4"/>
    <n v="76.9816"/>
    <s v="0- days"/>
    <n v="0"/>
    <x v="6"/>
  </r>
  <r>
    <s v="CA-2014-105417"/>
    <d v="2014-01-07T00:00:00"/>
    <d v="2014-01-12T00:00:00"/>
    <x v="1"/>
    <s v="VS-21820"/>
    <s v="Vivek Sundaresam"/>
    <x v="0"/>
    <s v="United States"/>
    <s v="Huntsville"/>
    <s v="Texas"/>
    <x v="3"/>
    <s v="FUR-FU-10004864"/>
    <s v="Furniture"/>
    <x v="3"/>
    <x v="92"/>
    <n v="76.727999999999994"/>
    <n v="3"/>
    <n v="-53.709600000000002"/>
    <s v="5- days"/>
    <n v="5"/>
    <x v="8"/>
  </r>
  <r>
    <s v="CA-2014-151967"/>
    <d v="2014-10-22T00:00:00"/>
    <d v="2014-10-26T00:00:00"/>
    <x v="1"/>
    <s v="NB-18580"/>
    <s v="Nicole Brennan"/>
    <x v="1"/>
    <s v="United States"/>
    <s v="Bossier City"/>
    <s v="Louisiana"/>
    <x v="0"/>
    <s v="FUR-FU-10000193"/>
    <s v="Furniture"/>
    <x v="3"/>
    <x v="306"/>
    <n v="129.91999999999999"/>
    <n v="4"/>
    <n v="10.393599999999999"/>
    <s v="4- days"/>
    <n v="4"/>
    <x v="1"/>
  </r>
  <r>
    <s v="CA-2015-130974"/>
    <d v="2015-11-27T00:00:00"/>
    <d v="2015-11-29T00:00:00"/>
    <x v="0"/>
    <s v="MA-17560"/>
    <s v="Matt Abelman"/>
    <x v="2"/>
    <s v="United States"/>
    <s v="Everett"/>
    <s v="Massachusetts"/>
    <x v="2"/>
    <s v="FUR-BO-10002916"/>
    <s v="Furniture"/>
    <x v="0"/>
    <x v="307"/>
    <n v="170.98"/>
    <n v="1"/>
    <n v="32.486199999999997"/>
    <s v="2- days"/>
    <n v="2"/>
    <x v="0"/>
  </r>
  <r>
    <s v="CA-2015-130974"/>
    <d v="2015-11-27T00:00:00"/>
    <d v="2015-11-29T00:00:00"/>
    <x v="0"/>
    <s v="MA-17560"/>
    <s v="Matt Abelman"/>
    <x v="2"/>
    <s v="United States"/>
    <s v="Everett"/>
    <s v="Massachusetts"/>
    <x v="2"/>
    <s v="FUR-FU-10002506"/>
    <s v="Furniture"/>
    <x v="3"/>
    <x v="374"/>
    <n v="38.97"/>
    <n v="3"/>
    <n v="4.6764000000000001"/>
    <s v="2- days"/>
    <n v="2"/>
    <x v="0"/>
  </r>
  <r>
    <s v="CA-2015-130974"/>
    <d v="2015-11-27T00:00:00"/>
    <d v="2015-11-29T00:00:00"/>
    <x v="0"/>
    <s v="MA-17560"/>
    <s v="Matt Abelman"/>
    <x v="2"/>
    <s v="United States"/>
    <s v="Everett"/>
    <s v="Massachusetts"/>
    <x v="2"/>
    <s v="FUR-TA-10004619"/>
    <s v="Furniture"/>
    <x v="2"/>
    <x v="178"/>
    <n v="446.06799999999998"/>
    <n v="4"/>
    <n v="0"/>
    <s v="2- days"/>
    <n v="2"/>
    <x v="0"/>
  </r>
  <r>
    <s v="CA-2014-133592"/>
    <d v="2014-12-31T00:00:00"/>
    <d v="2015-01-07T00:00:00"/>
    <x v="1"/>
    <s v="KM-16375"/>
    <s v="Katherine Murray"/>
    <x v="2"/>
    <s v="United States"/>
    <s v="Providence"/>
    <s v="Rhode Island"/>
    <x v="2"/>
    <s v="FUR-BO-10000362"/>
    <s v="Furniture"/>
    <x v="0"/>
    <x v="203"/>
    <n v="341.96"/>
    <n v="2"/>
    <n v="78.650800000000004"/>
    <s v="7- days"/>
    <n v="7"/>
    <x v="5"/>
  </r>
  <r>
    <s v="CA-2014-133592"/>
    <d v="2014-12-31T00:00:00"/>
    <d v="2015-01-07T00:00:00"/>
    <x v="1"/>
    <s v="KM-16375"/>
    <s v="Katherine Murray"/>
    <x v="2"/>
    <s v="United States"/>
    <s v="Providence"/>
    <s v="Rhode Island"/>
    <x v="2"/>
    <s v="FUR-CH-10004218"/>
    <s v="Furniture"/>
    <x v="1"/>
    <x v="10"/>
    <n v="605.88"/>
    <n v="6"/>
    <n v="151.47"/>
    <s v="7- days"/>
    <n v="7"/>
    <x v="5"/>
  </r>
  <r>
    <s v="CA-2016-169838"/>
    <d v="2016-11-25T00:00:00"/>
    <d v="2016-11-29T00:00:00"/>
    <x v="1"/>
    <s v="BB-11545"/>
    <s v="Brenda Bowman"/>
    <x v="1"/>
    <s v="United States"/>
    <s v="Jackson"/>
    <s v="Michigan"/>
    <x v="3"/>
    <s v="FUR-TA-10001095"/>
    <s v="Furniture"/>
    <x v="2"/>
    <x v="129"/>
    <n v="1568.61"/>
    <n v="9"/>
    <n v="329.40809999999999"/>
    <s v="4- days"/>
    <n v="4"/>
    <x v="0"/>
  </r>
  <r>
    <s v="US-2017-128951"/>
    <d v="2017-07-15T00:00:00"/>
    <d v="2017-07-17T00:00:00"/>
    <x v="2"/>
    <s v="RS-19420"/>
    <s v="Ricardo Sperren"/>
    <x v="1"/>
    <s v="United States"/>
    <s v="Suffolk"/>
    <s v="Virginia"/>
    <x v="0"/>
    <s v="FUR-TA-10004575"/>
    <s v="Furniture"/>
    <x v="2"/>
    <x v="67"/>
    <n v="872.94"/>
    <n v="3"/>
    <n v="157.1292"/>
    <s v="2- days"/>
    <n v="2"/>
    <x v="3"/>
  </r>
  <r>
    <s v="CA-2016-118899"/>
    <d v="2016-03-22T00:00:00"/>
    <d v="2016-03-22T00:00:00"/>
    <x v="3"/>
    <s v="MC-17275"/>
    <s v="Marc Crier"/>
    <x v="0"/>
    <s v="United States"/>
    <s v="Seattle"/>
    <s v="Washington"/>
    <x v="1"/>
    <s v="FUR-CH-10004754"/>
    <s v="Furniture"/>
    <x v="1"/>
    <x v="219"/>
    <n v="167.88800000000001"/>
    <n v="7"/>
    <n v="14.690200000000001"/>
    <s v="0- days"/>
    <n v="0"/>
    <x v="9"/>
  </r>
  <r>
    <s v="CA-2017-151799"/>
    <d v="2017-12-14T00:00:00"/>
    <d v="2017-12-18T00:00:00"/>
    <x v="1"/>
    <s v="BF-11170"/>
    <s v="Ben Ferrer"/>
    <x v="2"/>
    <s v="United States"/>
    <s v="Lawrence"/>
    <s v="Massachusetts"/>
    <x v="2"/>
    <s v="FUR-TA-10003473"/>
    <s v="Furniture"/>
    <x v="2"/>
    <x v="44"/>
    <n v="526.58199999999999"/>
    <n v="2"/>
    <n v="-52.658200000000001"/>
    <s v="4- days"/>
    <n v="4"/>
    <x v="5"/>
  </r>
  <r>
    <s v="CA-2016-114601"/>
    <d v="2016-08-26T00:00:00"/>
    <d v="2016-09-02T00:00:00"/>
    <x v="1"/>
    <s v="AA-10480"/>
    <s v="Andrew Allen"/>
    <x v="0"/>
    <s v="United States"/>
    <s v="Detroit"/>
    <s v="Michigan"/>
    <x v="3"/>
    <s v="FUR-TA-10004147"/>
    <s v="Furniture"/>
    <x v="2"/>
    <x v="163"/>
    <n v="447.84"/>
    <n v="4"/>
    <n v="98.524799999999999"/>
    <s v="7- days"/>
    <n v="7"/>
    <x v="10"/>
  </r>
  <r>
    <s v="CA-2017-139353"/>
    <d v="2017-10-28T00:00:00"/>
    <d v="2017-10-30T00:00:00"/>
    <x v="0"/>
    <s v="JM-15250"/>
    <s v="Janet Martin"/>
    <x v="0"/>
    <s v="United States"/>
    <s v="Fayetteville"/>
    <s v="North Carolina"/>
    <x v="0"/>
    <s v="FUR-FU-10001876"/>
    <s v="Furniture"/>
    <x v="3"/>
    <x v="279"/>
    <n v="77.951999999999998"/>
    <n v="3"/>
    <n v="15.590400000000001"/>
    <s v="2- days"/>
    <n v="2"/>
    <x v="1"/>
  </r>
  <r>
    <s v="CA-2015-139374"/>
    <d v="2015-09-10T00:00:00"/>
    <d v="2015-09-14T00:00:00"/>
    <x v="1"/>
    <s v="AR-10345"/>
    <s v="Alex Russell"/>
    <x v="1"/>
    <s v="United States"/>
    <s v="Austin"/>
    <s v="Texas"/>
    <x v="3"/>
    <s v="FUR-CH-10003981"/>
    <s v="Furniture"/>
    <x v="1"/>
    <x v="232"/>
    <n v="179.886"/>
    <n v="1"/>
    <n v="-2.5697999999999999"/>
    <s v="4- days"/>
    <n v="4"/>
    <x v="4"/>
  </r>
  <r>
    <s v="CA-2017-104850"/>
    <d v="2017-06-13T00:00:00"/>
    <d v="2017-06-19T00:00:00"/>
    <x v="1"/>
    <s v="TW-21025"/>
    <s v="Tamara Willingham"/>
    <x v="2"/>
    <s v="United States"/>
    <s v="Seattle"/>
    <s v="Washington"/>
    <x v="1"/>
    <s v="FUR-CH-10003774"/>
    <s v="Furniture"/>
    <x v="1"/>
    <x v="234"/>
    <n v="291.13600000000002"/>
    <n v="4"/>
    <n v="-25.474399999999999"/>
    <s v="6- days"/>
    <n v="6"/>
    <x v="2"/>
  </r>
  <r>
    <s v="CA-2015-133242"/>
    <d v="2015-06-18T00:00:00"/>
    <d v="2015-06-24T00:00:00"/>
    <x v="1"/>
    <s v="KH-16510"/>
    <s v="Keith Herrera"/>
    <x v="0"/>
    <s v="United States"/>
    <s v="Arlington"/>
    <s v="Virginia"/>
    <x v="0"/>
    <s v="FUR-FU-10003464"/>
    <s v="Furniture"/>
    <x v="3"/>
    <x v="302"/>
    <n v="60.84"/>
    <n v="3"/>
    <n v="19.468800000000002"/>
    <s v="6- days"/>
    <n v="6"/>
    <x v="2"/>
  </r>
  <r>
    <s v="CA-2015-158323"/>
    <d v="2015-11-30T00:00:00"/>
    <d v="2015-12-03T00:00:00"/>
    <x v="2"/>
    <s v="AB-10600"/>
    <s v="Ann Blume"/>
    <x v="1"/>
    <s v="United States"/>
    <s v="Jacksonville"/>
    <s v="North Carolina"/>
    <x v="0"/>
    <s v="FUR-FU-10001546"/>
    <s v="Furniture"/>
    <x v="3"/>
    <x v="284"/>
    <n v="17.088000000000001"/>
    <n v="2"/>
    <n v="1.0680000000000001"/>
    <s v="3- days"/>
    <n v="3"/>
    <x v="0"/>
  </r>
  <r>
    <s v="CA-2017-112844"/>
    <d v="2017-11-13T00:00:00"/>
    <d v="2017-11-16T00:00:00"/>
    <x v="0"/>
    <s v="SP-20620"/>
    <s v="Stefania Perrino"/>
    <x v="1"/>
    <s v="United States"/>
    <s v="Buffalo"/>
    <s v="New York"/>
    <x v="2"/>
    <s v="FUR-FU-10004845"/>
    <s v="Furniture"/>
    <x v="3"/>
    <x v="351"/>
    <n v="154.94999999999999"/>
    <n v="3"/>
    <n v="30.99"/>
    <s v="3- days"/>
    <n v="3"/>
    <x v="0"/>
  </r>
  <r>
    <s v="US-2017-118941"/>
    <d v="2017-08-12T00:00:00"/>
    <d v="2017-08-12T00:00:00"/>
    <x v="3"/>
    <s v="BB-11545"/>
    <s v="Brenda Bowman"/>
    <x v="1"/>
    <s v="United States"/>
    <s v="Columbia"/>
    <s v="Maryland"/>
    <x v="2"/>
    <s v="FUR-CH-10002331"/>
    <s v="Furniture"/>
    <x v="1"/>
    <x v="86"/>
    <n v="1779.9"/>
    <n v="5"/>
    <n v="373.779"/>
    <s v="0- days"/>
    <n v="0"/>
    <x v="10"/>
  </r>
  <r>
    <s v="CA-2016-162236"/>
    <d v="2016-11-04T00:00:00"/>
    <d v="2016-11-06T00:00:00"/>
    <x v="0"/>
    <s v="ER-13855"/>
    <s v="Elpida Rittenbach"/>
    <x v="1"/>
    <s v="United States"/>
    <s v="Charlotte"/>
    <s v="North Carolina"/>
    <x v="0"/>
    <s v="FUR-TA-10002533"/>
    <s v="Furniture"/>
    <x v="2"/>
    <x v="58"/>
    <n v="876.3"/>
    <n v="10"/>
    <n v="-292.10000000000002"/>
    <s v="2- days"/>
    <n v="2"/>
    <x v="0"/>
  </r>
  <r>
    <s v="US-2016-117037"/>
    <d v="2016-05-17T00:00:00"/>
    <d v="2016-05-20T00:00:00"/>
    <x v="2"/>
    <s v="LW-17215"/>
    <s v="Luke Weiss"/>
    <x v="0"/>
    <s v="United States"/>
    <s v="Chicago"/>
    <s v="Illinois"/>
    <x v="3"/>
    <s v="FUR-FU-10004973"/>
    <s v="Furniture"/>
    <x v="3"/>
    <x v="223"/>
    <n v="22.608000000000001"/>
    <n v="3"/>
    <n v="-10.1736"/>
    <s v="3- days"/>
    <n v="3"/>
    <x v="7"/>
  </r>
  <r>
    <s v="CA-2017-166184"/>
    <d v="2017-03-24T00:00:00"/>
    <d v="2017-03-27T00:00:00"/>
    <x v="2"/>
    <s v="HR-14830"/>
    <s v="Harold Ryan"/>
    <x v="1"/>
    <s v="United States"/>
    <s v="New York City"/>
    <s v="New York"/>
    <x v="2"/>
    <s v="FUR-CH-10003396"/>
    <s v="Furniture"/>
    <x v="1"/>
    <x v="81"/>
    <n v="207.846"/>
    <n v="3"/>
    <n v="2.3094000000000001"/>
    <s v="3- days"/>
    <n v="3"/>
    <x v="9"/>
  </r>
  <r>
    <s v="CA-2014-143637"/>
    <d v="2014-03-24T00:00:00"/>
    <d v="2014-03-29T00:00:00"/>
    <x v="0"/>
    <s v="MS-17710"/>
    <s v="Maurice Satty"/>
    <x v="0"/>
    <s v="United States"/>
    <s v="Fresno"/>
    <s v="California"/>
    <x v="1"/>
    <s v="FUR-FU-10002813"/>
    <s v="Furniture"/>
    <x v="3"/>
    <x v="350"/>
    <n v="40.479999999999997"/>
    <n v="2"/>
    <n v="14.572800000000001"/>
    <s v="5- days"/>
    <n v="5"/>
    <x v="9"/>
  </r>
  <r>
    <s v="CA-2016-134334"/>
    <d v="2016-02-14T00:00:00"/>
    <d v="2016-02-15T00:00:00"/>
    <x v="2"/>
    <s v="DK-13090"/>
    <s v="Dave Kipp"/>
    <x v="0"/>
    <s v="United States"/>
    <s v="Clinton"/>
    <s v="Maryland"/>
    <x v="2"/>
    <s v="FUR-TA-10002356"/>
    <s v="Furniture"/>
    <x v="2"/>
    <x v="147"/>
    <n v="550.43100000000004"/>
    <n v="3"/>
    <n v="-47.1798"/>
    <s v="1- days"/>
    <n v="1"/>
    <x v="11"/>
  </r>
  <r>
    <s v="CA-2016-134334"/>
    <d v="2016-02-14T00:00:00"/>
    <d v="2016-02-15T00:00:00"/>
    <x v="2"/>
    <s v="DK-13090"/>
    <s v="Dave Kipp"/>
    <x v="0"/>
    <s v="United States"/>
    <s v="Clinton"/>
    <s v="Maryland"/>
    <x v="2"/>
    <s v="FUR-FU-10003274"/>
    <s v="Furniture"/>
    <x v="3"/>
    <x v="51"/>
    <n v="10.56"/>
    <n v="6"/>
    <n v="4.6463999999999999"/>
    <s v="1- days"/>
    <n v="1"/>
    <x v="11"/>
  </r>
  <r>
    <s v="US-2017-109316"/>
    <d v="2017-06-08T00:00:00"/>
    <d v="2017-06-10T00:00:00"/>
    <x v="2"/>
    <s v="MG-17680"/>
    <s v="Maureen Gastineau"/>
    <x v="2"/>
    <s v="United States"/>
    <s v="Los Angeles"/>
    <s v="California"/>
    <x v="1"/>
    <s v="FUR-BO-10004834"/>
    <s v="Furniture"/>
    <x v="0"/>
    <x v="6"/>
    <n v="1497.6659999999999"/>
    <n v="2"/>
    <n v="140.95679999999999"/>
    <s v="2- days"/>
    <n v="2"/>
    <x v="2"/>
  </r>
  <r>
    <s v="CA-2014-125150"/>
    <d v="2014-05-16T00:00:00"/>
    <d v="2014-05-23T00:00:00"/>
    <x v="1"/>
    <s v="PW-19030"/>
    <s v="Pauline Webber"/>
    <x v="1"/>
    <s v="United States"/>
    <s v="Los Angeles"/>
    <s v="California"/>
    <x v="1"/>
    <s v="FUR-CH-10002439"/>
    <s v="Furniture"/>
    <x v="1"/>
    <x v="260"/>
    <n v="232.88"/>
    <n v="5"/>
    <n v="17.466000000000001"/>
    <s v="7- days"/>
    <n v="7"/>
    <x v="7"/>
  </r>
  <r>
    <s v="CA-2015-127327"/>
    <d v="2015-02-03T00:00:00"/>
    <d v="2015-02-07T00:00:00"/>
    <x v="1"/>
    <s v="PW-19030"/>
    <s v="Pauline Webber"/>
    <x v="1"/>
    <s v="United States"/>
    <s v="Rome"/>
    <s v="New York"/>
    <x v="2"/>
    <s v="FUR-CH-10004218"/>
    <s v="Furniture"/>
    <x v="1"/>
    <x v="10"/>
    <n v="90.882000000000005"/>
    <n v="1"/>
    <n v="15.147"/>
    <s v="4- days"/>
    <n v="4"/>
    <x v="11"/>
  </r>
  <r>
    <s v="CA-2015-137302"/>
    <d v="2015-04-26T00:00:00"/>
    <d v="2015-05-01T00:00:00"/>
    <x v="1"/>
    <s v="BW-11110"/>
    <s v="Bart Watters"/>
    <x v="1"/>
    <s v="United States"/>
    <s v="San Diego"/>
    <s v="California"/>
    <x v="1"/>
    <s v="FUR-CH-10002017"/>
    <s v="Furniture"/>
    <x v="1"/>
    <x v="274"/>
    <n v="63.936"/>
    <n v="3"/>
    <n v="6.3936000000000002"/>
    <s v="5- days"/>
    <n v="5"/>
    <x v="6"/>
  </r>
  <r>
    <s v="CA-2015-106257"/>
    <d v="2015-04-13T00:00:00"/>
    <d v="2015-04-17T00:00:00"/>
    <x v="0"/>
    <s v="EB-14110"/>
    <s v="Eugene Barchas"/>
    <x v="0"/>
    <s v="United States"/>
    <s v="Los Angeles"/>
    <s v="California"/>
    <x v="1"/>
    <s v="FUR-TA-10002530"/>
    <s v="Furniture"/>
    <x v="2"/>
    <x v="197"/>
    <n v="241.56800000000001"/>
    <n v="2"/>
    <n v="-15.098000000000001"/>
    <s v="4- days"/>
    <n v="4"/>
    <x v="6"/>
  </r>
  <r>
    <s v="CA-2015-149083"/>
    <d v="2015-09-25T00:00:00"/>
    <d v="2015-09-30T00:00:00"/>
    <x v="1"/>
    <s v="SH-19975"/>
    <s v="Sally Hughsby"/>
    <x v="1"/>
    <s v="United States"/>
    <s v="Seattle"/>
    <s v="Washington"/>
    <x v="1"/>
    <s v="FUR-CH-10004289"/>
    <s v="Furniture"/>
    <x v="1"/>
    <x v="196"/>
    <n v="307.13600000000002"/>
    <n v="4"/>
    <n v="-11.5176"/>
    <s v="5- days"/>
    <n v="5"/>
    <x v="4"/>
  </r>
  <r>
    <s v="US-2014-137869"/>
    <d v="2014-03-28T00:00:00"/>
    <d v="2014-04-02T00:00:00"/>
    <x v="1"/>
    <s v="CV-12295"/>
    <s v="Christina VanderZanden"/>
    <x v="0"/>
    <s v="United States"/>
    <s v="Des Moines"/>
    <s v="Iowa"/>
    <x v="3"/>
    <s v="FUR-TA-10003954"/>
    <s v="Furniture"/>
    <x v="2"/>
    <x v="239"/>
    <n v="1184.72"/>
    <n v="4"/>
    <n v="106.62479999999999"/>
    <s v="5- days"/>
    <n v="5"/>
    <x v="9"/>
  </r>
  <r>
    <s v="US-2017-123834"/>
    <d v="2017-07-21T00:00:00"/>
    <d v="2017-07-25T00:00:00"/>
    <x v="1"/>
    <s v="GM-14500"/>
    <s v="Gene McClure"/>
    <x v="0"/>
    <s v="United States"/>
    <s v="Pharr"/>
    <s v="Texas"/>
    <x v="3"/>
    <s v="FUR-TA-10001676"/>
    <s v="Furniture"/>
    <x v="2"/>
    <x v="193"/>
    <n v="124.404"/>
    <n v="4"/>
    <n v="-21.3264"/>
    <s v="4- days"/>
    <n v="4"/>
    <x v="3"/>
  </r>
  <r>
    <s v="CA-2016-128706"/>
    <d v="2016-02-27T00:00:00"/>
    <d v="2016-03-02T00:00:00"/>
    <x v="1"/>
    <s v="DW-13540"/>
    <s v="Don Weiss"/>
    <x v="0"/>
    <s v="United States"/>
    <s v="Houston"/>
    <s v="Texas"/>
    <x v="3"/>
    <s v="FUR-FU-10004053"/>
    <s v="Furniture"/>
    <x v="3"/>
    <x v="339"/>
    <n v="16.192"/>
    <n v="2"/>
    <n v="-6.8815999999999997"/>
    <s v="4- days"/>
    <n v="4"/>
    <x v="11"/>
  </r>
  <r>
    <s v="CA-2015-143364"/>
    <d v="2015-07-14T00:00:00"/>
    <d v="2015-07-19T00:00:00"/>
    <x v="0"/>
    <s v="TG-21310"/>
    <s v="Toby Gnade"/>
    <x v="0"/>
    <s v="United States"/>
    <s v="Mesa"/>
    <s v="Arizona"/>
    <x v="1"/>
    <s v="FUR-CH-10004287"/>
    <s v="Furniture"/>
    <x v="1"/>
    <x v="32"/>
    <n v="441.92"/>
    <n v="2"/>
    <n v="49.716000000000001"/>
    <s v="5- days"/>
    <n v="5"/>
    <x v="3"/>
  </r>
  <r>
    <s v="CA-2015-143364"/>
    <d v="2015-07-14T00:00:00"/>
    <d v="2015-07-19T00:00:00"/>
    <x v="0"/>
    <s v="TG-21310"/>
    <s v="Toby Gnade"/>
    <x v="0"/>
    <s v="United States"/>
    <s v="Mesa"/>
    <s v="Arizona"/>
    <x v="1"/>
    <s v="FUR-BO-10001608"/>
    <s v="Furniture"/>
    <x v="0"/>
    <x v="315"/>
    <n v="127.764"/>
    <n v="6"/>
    <n v="-191.64599999999999"/>
    <s v="5- days"/>
    <n v="5"/>
    <x v="3"/>
  </r>
  <r>
    <s v="CA-2016-101672"/>
    <d v="2016-10-03T00:00:00"/>
    <d v="2016-10-07T00:00:00"/>
    <x v="1"/>
    <s v="DB-12910"/>
    <s v="Daniel Byrd"/>
    <x v="2"/>
    <s v="United States"/>
    <s v="Lake Forest"/>
    <s v="California"/>
    <x v="1"/>
    <s v="FUR-CH-10004063"/>
    <s v="Furniture"/>
    <x v="1"/>
    <x v="27"/>
    <n v="915.13599999999997"/>
    <n v="4"/>
    <n v="102.9528"/>
    <s v="4- days"/>
    <n v="4"/>
    <x v="1"/>
  </r>
  <r>
    <s v="CA-2016-160241"/>
    <d v="2016-11-29T00:00:00"/>
    <d v="2016-12-04T00:00:00"/>
    <x v="0"/>
    <s v="DR-12940"/>
    <s v="Daniel Raglin"/>
    <x v="2"/>
    <s v="United States"/>
    <s v="Aurora"/>
    <s v="Illinois"/>
    <x v="3"/>
    <s v="FUR-FU-10003806"/>
    <s v="Furniture"/>
    <x v="3"/>
    <x v="372"/>
    <n v="242.17599999999999"/>
    <n v="4"/>
    <n v="-302.72000000000003"/>
    <s v="5- days"/>
    <n v="5"/>
    <x v="0"/>
  </r>
  <r>
    <s v="CA-2016-155747"/>
    <d v="2016-06-14T00:00:00"/>
    <d v="2016-06-21T00:00:00"/>
    <x v="1"/>
    <s v="JS-15685"/>
    <s v="Jim Sink"/>
    <x v="1"/>
    <s v="United States"/>
    <s v="Philadelphia"/>
    <s v="Pennsylvania"/>
    <x v="2"/>
    <s v="FUR-TA-10003392"/>
    <s v="Furniture"/>
    <x v="2"/>
    <x v="342"/>
    <n v="337.17599999999999"/>
    <n v="2"/>
    <n v="-118.0116"/>
    <s v="7- days"/>
    <n v="7"/>
    <x v="2"/>
  </r>
  <r>
    <s v="CA-2017-118017"/>
    <d v="2017-12-03T00:00:00"/>
    <d v="2017-12-06T00:00:00"/>
    <x v="0"/>
    <s v="LC-16870"/>
    <s v="Lena Cacioppo"/>
    <x v="0"/>
    <s v="United States"/>
    <s v="Thornton"/>
    <s v="Colorado"/>
    <x v="1"/>
    <s v="FUR-FU-10004351"/>
    <s v="Furniture"/>
    <x v="3"/>
    <x v="47"/>
    <n v="23.376000000000001"/>
    <n v="3"/>
    <n v="7.0128000000000004"/>
    <s v="3- days"/>
    <n v="3"/>
    <x v="5"/>
  </r>
  <r>
    <s v="CA-2017-118017"/>
    <d v="2017-12-03T00:00:00"/>
    <d v="2017-12-06T00:00:00"/>
    <x v="0"/>
    <s v="LC-16870"/>
    <s v="Lena Cacioppo"/>
    <x v="0"/>
    <s v="United States"/>
    <s v="Thornton"/>
    <s v="Colorado"/>
    <x v="1"/>
    <s v="FUR-FU-10004270"/>
    <s v="Furniture"/>
    <x v="3"/>
    <x v="200"/>
    <n v="16.72"/>
    <n v="5"/>
    <n v="3.3439999999999999"/>
    <s v="3- days"/>
    <n v="3"/>
    <x v="5"/>
  </r>
  <r>
    <s v="CA-2017-118017"/>
    <d v="2017-12-03T00:00:00"/>
    <d v="2017-12-06T00:00:00"/>
    <x v="0"/>
    <s v="LC-16870"/>
    <s v="Lena Cacioppo"/>
    <x v="0"/>
    <s v="United States"/>
    <s v="Thornton"/>
    <s v="Colorado"/>
    <x v="1"/>
    <s v="FUR-FU-10004053"/>
    <s v="Furniture"/>
    <x v="3"/>
    <x v="339"/>
    <n v="16.192"/>
    <n v="1"/>
    <n v="4.6551999999999998"/>
    <s v="3- days"/>
    <n v="3"/>
    <x v="5"/>
  </r>
  <r>
    <s v="CA-2016-148684"/>
    <d v="2016-12-25T00:00:00"/>
    <d v="2016-12-29T00:00:00"/>
    <x v="1"/>
    <s v="TS-21655"/>
    <s v="Trudy Schmidt"/>
    <x v="0"/>
    <s v="United States"/>
    <s v="Fayetteville"/>
    <s v="Arkansas"/>
    <x v="0"/>
    <s v="FUR-FU-10003553"/>
    <s v="Furniture"/>
    <x v="3"/>
    <x v="117"/>
    <n v="343.85"/>
    <n v="5"/>
    <n v="137.54"/>
    <s v="4- days"/>
    <n v="4"/>
    <x v="5"/>
  </r>
  <r>
    <s v="CA-2017-128363"/>
    <d v="2017-08-13T00:00:00"/>
    <d v="2017-08-18T00:00:00"/>
    <x v="1"/>
    <s v="DC-12850"/>
    <s v="Dan Campbell"/>
    <x v="0"/>
    <s v="United States"/>
    <s v="Memphis"/>
    <s v="Tennessee"/>
    <x v="0"/>
    <s v="FUR-FU-10003268"/>
    <s v="Furniture"/>
    <x v="3"/>
    <x v="176"/>
    <n v="31.984000000000002"/>
    <n v="1"/>
    <n v="0"/>
    <s v="5- days"/>
    <n v="5"/>
    <x v="10"/>
  </r>
  <r>
    <s v="CA-2017-128363"/>
    <d v="2017-08-13T00:00:00"/>
    <d v="2017-08-18T00:00:00"/>
    <x v="1"/>
    <s v="DC-12850"/>
    <s v="Dan Campbell"/>
    <x v="0"/>
    <s v="United States"/>
    <s v="Memphis"/>
    <s v="Tennessee"/>
    <x v="0"/>
    <s v="FUR-CH-10002073"/>
    <s v="Furniture"/>
    <x v="1"/>
    <x v="370"/>
    <n v="423.64800000000002"/>
    <n v="2"/>
    <n v="47.660400000000003"/>
    <s v="5- days"/>
    <n v="5"/>
    <x v="10"/>
  </r>
  <r>
    <s v="CA-2016-149762"/>
    <d v="2016-12-03T00:00:00"/>
    <d v="2016-12-07T00:00:00"/>
    <x v="1"/>
    <s v="RD-19720"/>
    <s v="Roger Demir"/>
    <x v="0"/>
    <s v="United States"/>
    <s v="Morgan Hill"/>
    <s v="California"/>
    <x v="1"/>
    <s v="FUR-TA-10004147"/>
    <s v="Furniture"/>
    <x v="2"/>
    <x v="163"/>
    <n v="268.70400000000001"/>
    <n v="3"/>
    <n v="6.7176"/>
    <s v="4- days"/>
    <n v="4"/>
    <x v="5"/>
  </r>
  <r>
    <s v="CA-2016-149762"/>
    <d v="2016-12-03T00:00:00"/>
    <d v="2016-12-07T00:00:00"/>
    <x v="1"/>
    <s v="RD-19720"/>
    <s v="Roger Demir"/>
    <x v="0"/>
    <s v="United States"/>
    <s v="Morgan Hill"/>
    <s v="California"/>
    <x v="1"/>
    <s v="FUR-BO-10001337"/>
    <s v="Furniture"/>
    <x v="0"/>
    <x v="90"/>
    <n v="205.666"/>
    <n v="2"/>
    <n v="-12.098000000000001"/>
    <s v="4- days"/>
    <n v="4"/>
    <x v="5"/>
  </r>
  <r>
    <s v="CA-2016-167605"/>
    <d v="2016-04-28T00:00:00"/>
    <d v="2016-04-30T00:00:00"/>
    <x v="0"/>
    <s v="RB-19570"/>
    <s v="Rob Beeghly"/>
    <x v="0"/>
    <s v="United States"/>
    <s v="Saint Charles"/>
    <s v="Illinois"/>
    <x v="3"/>
    <s v="FUR-FU-10001602"/>
    <s v="Furniture"/>
    <x v="3"/>
    <x v="153"/>
    <n v="30.344000000000001"/>
    <n v="2"/>
    <n v="-31.8612"/>
    <s v="2- days"/>
    <n v="2"/>
    <x v="6"/>
  </r>
  <r>
    <s v="CA-2015-110891"/>
    <d v="2015-11-20T00:00:00"/>
    <d v="2015-11-24T00:00:00"/>
    <x v="1"/>
    <s v="PO-19195"/>
    <s v="Phillina Ober"/>
    <x v="2"/>
    <s v="United States"/>
    <s v="Philadelphia"/>
    <s v="Pennsylvania"/>
    <x v="2"/>
    <s v="FUR-CH-10002880"/>
    <s v="Furniture"/>
    <x v="1"/>
    <x v="162"/>
    <n v="344.37200000000001"/>
    <n v="4"/>
    <n v="-93.472399999999993"/>
    <s v="4- days"/>
    <n v="4"/>
    <x v="0"/>
  </r>
  <r>
    <s v="CA-2017-120404"/>
    <d v="2017-11-20T00:00:00"/>
    <d v="2017-11-24T00:00:00"/>
    <x v="0"/>
    <s v="KH-16330"/>
    <s v="Katharine Harms"/>
    <x v="1"/>
    <s v="United States"/>
    <s v="New York City"/>
    <s v="New York"/>
    <x v="2"/>
    <s v="FUR-FU-10000820"/>
    <s v="Furniture"/>
    <x v="3"/>
    <x v="367"/>
    <n v="50.97"/>
    <n v="3"/>
    <n v="9.1745999999999999"/>
    <s v="4- days"/>
    <n v="4"/>
    <x v="0"/>
  </r>
  <r>
    <s v="CA-2017-167549"/>
    <d v="2017-07-25T00:00:00"/>
    <d v="2017-07-27T00:00:00"/>
    <x v="2"/>
    <s v="EM-14200"/>
    <s v="Evan Minnotte"/>
    <x v="2"/>
    <s v="United States"/>
    <s v="Dallas"/>
    <s v="Texas"/>
    <x v="3"/>
    <s v="FUR-TA-10004767"/>
    <s v="Furniture"/>
    <x v="2"/>
    <x v="227"/>
    <n v="298.11599999999999"/>
    <n v="6"/>
    <n v="-4.2587999999999999"/>
    <s v="2- days"/>
    <n v="2"/>
    <x v="3"/>
  </r>
  <r>
    <s v="US-2016-168095"/>
    <d v="2016-07-15T00:00:00"/>
    <d v="2016-07-20T00:00:00"/>
    <x v="1"/>
    <s v="MC-17425"/>
    <s v="Mark Cousins"/>
    <x v="1"/>
    <s v="United States"/>
    <s v="Portland"/>
    <s v="Oregon"/>
    <x v="1"/>
    <s v="FUR-CH-10004886"/>
    <s v="Furniture"/>
    <x v="1"/>
    <x v="77"/>
    <n v="230.28"/>
    <n v="3"/>
    <n v="23.027999999999999"/>
    <s v="5- days"/>
    <n v="5"/>
    <x v="3"/>
  </r>
  <r>
    <s v="CA-2016-146325"/>
    <d v="2016-12-14T00:00:00"/>
    <d v="2016-12-17T00:00:00"/>
    <x v="2"/>
    <s v="DS-13180"/>
    <s v="David Smith"/>
    <x v="1"/>
    <s v="United States"/>
    <s v="San Diego"/>
    <s v="California"/>
    <x v="1"/>
    <s v="FUR-CH-10001146"/>
    <s v="Furniture"/>
    <x v="1"/>
    <x v="29"/>
    <n v="81.424000000000007"/>
    <n v="2"/>
    <n v="-9.1601999999999997"/>
    <s v="3- days"/>
    <n v="3"/>
    <x v="5"/>
  </r>
  <r>
    <s v="CA-2014-131009"/>
    <d v="2014-03-01T00:00:00"/>
    <d v="2014-03-05T00:00:00"/>
    <x v="1"/>
    <s v="SC-20380"/>
    <s v="Shahid Collister"/>
    <x v="0"/>
    <s v="United States"/>
    <s v="El Paso"/>
    <s v="Texas"/>
    <x v="3"/>
    <s v="FUR-CH-10001270"/>
    <s v="Furniture"/>
    <x v="1"/>
    <x v="170"/>
    <n v="362.25"/>
    <n v="6"/>
    <n v="0"/>
    <s v="4- days"/>
    <n v="4"/>
    <x v="9"/>
  </r>
  <r>
    <s v="CA-2014-131009"/>
    <d v="2014-03-01T00:00:00"/>
    <d v="2014-03-05T00:00:00"/>
    <x v="1"/>
    <s v="SC-20380"/>
    <s v="Shahid Collister"/>
    <x v="0"/>
    <s v="United States"/>
    <s v="El Paso"/>
    <s v="Texas"/>
    <x v="3"/>
    <s v="FUR-FU-10001095"/>
    <s v="Furniture"/>
    <x v="3"/>
    <x v="151"/>
    <n v="63.552"/>
    <n v="6"/>
    <n v="-34.953600000000002"/>
    <s v="4- days"/>
    <n v="4"/>
    <x v="9"/>
  </r>
  <r>
    <s v="CA-2017-131807"/>
    <d v="2017-10-05T00:00:00"/>
    <d v="2017-10-10T00:00:00"/>
    <x v="1"/>
    <s v="GG-14650"/>
    <s v="Greg Guthrie"/>
    <x v="1"/>
    <s v="United States"/>
    <s v="Chico"/>
    <s v="California"/>
    <x v="1"/>
    <s v="FUR-CH-10001190"/>
    <s v="Furniture"/>
    <x v="1"/>
    <x v="264"/>
    <n v="435.16800000000001"/>
    <n v="4"/>
    <n v="-59.835599999999999"/>
    <s v="5- days"/>
    <n v="5"/>
    <x v="1"/>
  </r>
  <r>
    <s v="CA-2017-131807"/>
    <d v="2017-10-05T00:00:00"/>
    <d v="2017-10-10T00:00:00"/>
    <x v="1"/>
    <s v="GG-14650"/>
    <s v="Greg Guthrie"/>
    <x v="1"/>
    <s v="United States"/>
    <s v="Chico"/>
    <s v="California"/>
    <x v="1"/>
    <s v="FUR-FU-10004666"/>
    <s v="Furniture"/>
    <x v="3"/>
    <x v="296"/>
    <n v="72.900000000000006"/>
    <n v="5"/>
    <n v="26.972999999999999"/>
    <s v="5- days"/>
    <n v="5"/>
    <x v="1"/>
  </r>
  <r>
    <s v="CA-2017-131807"/>
    <d v="2017-10-05T00:00:00"/>
    <d v="2017-10-10T00:00:00"/>
    <x v="1"/>
    <s v="GG-14650"/>
    <s v="Greg Guthrie"/>
    <x v="1"/>
    <s v="United States"/>
    <s v="Chico"/>
    <s v="California"/>
    <x v="1"/>
    <s v="FUR-TA-10004086"/>
    <s v="Furniture"/>
    <x v="2"/>
    <x v="165"/>
    <n v="206.352"/>
    <n v="3"/>
    <n v="5.1588000000000003"/>
    <s v="5- days"/>
    <n v="5"/>
    <x v="1"/>
  </r>
  <r>
    <s v="CA-2016-157707"/>
    <d v="2016-10-10T00:00:00"/>
    <d v="2016-10-12T00:00:00"/>
    <x v="2"/>
    <s v="CC-12610"/>
    <s v="Corey Catlett"/>
    <x v="1"/>
    <s v="United States"/>
    <s v="Denver"/>
    <s v="Colorado"/>
    <x v="1"/>
    <s v="FUR-BO-10001567"/>
    <s v="Furniture"/>
    <x v="0"/>
    <x v="375"/>
    <n v="90.882000000000005"/>
    <n v="3"/>
    <n v="-190.85220000000001"/>
    <s v="2- days"/>
    <n v="2"/>
    <x v="1"/>
  </r>
  <r>
    <s v="CA-2016-157707"/>
    <d v="2016-10-10T00:00:00"/>
    <d v="2016-10-12T00:00:00"/>
    <x v="2"/>
    <s v="CC-12610"/>
    <s v="Corey Catlett"/>
    <x v="1"/>
    <s v="United States"/>
    <s v="Denver"/>
    <s v="Colorado"/>
    <x v="1"/>
    <s v="FUR-CH-10004853"/>
    <s v="Furniture"/>
    <x v="1"/>
    <x v="110"/>
    <n v="120.78400000000001"/>
    <n v="1"/>
    <n v="13.588200000000001"/>
    <s v="2- days"/>
    <n v="2"/>
    <x v="1"/>
  </r>
  <r>
    <s v="US-2015-126753"/>
    <d v="2015-08-16T00:00:00"/>
    <d v="2015-08-20T00:00:00"/>
    <x v="1"/>
    <s v="SP-20860"/>
    <s v="Sung Pak"/>
    <x v="1"/>
    <s v="United States"/>
    <s v="Philadelphia"/>
    <s v="Pennsylvania"/>
    <x v="2"/>
    <s v="FUR-FU-10001488"/>
    <s v="Furniture"/>
    <x v="3"/>
    <x v="204"/>
    <n v="254.352"/>
    <n v="3"/>
    <n v="0"/>
    <s v="4- days"/>
    <n v="4"/>
    <x v="10"/>
  </r>
  <r>
    <s v="CA-2014-113383"/>
    <d v="2014-09-10T00:00:00"/>
    <d v="2014-09-13T00:00:00"/>
    <x v="2"/>
    <s v="SF-20065"/>
    <s v="Sandra Flanagan"/>
    <x v="0"/>
    <s v="United States"/>
    <s v="Clifton"/>
    <s v="New Jersey"/>
    <x v="2"/>
    <s v="FUR-FU-10001986"/>
    <s v="Furniture"/>
    <x v="3"/>
    <x v="222"/>
    <n v="254.9"/>
    <n v="5"/>
    <n v="76.47"/>
    <s v="3- days"/>
    <n v="3"/>
    <x v="4"/>
  </r>
  <r>
    <s v="US-2015-165743"/>
    <d v="2015-11-20T00:00:00"/>
    <d v="2015-11-23T00:00:00"/>
    <x v="0"/>
    <s v="MM-18055"/>
    <s v="Michelle Moray"/>
    <x v="0"/>
    <s v="United States"/>
    <s v="Aurora"/>
    <s v="Colorado"/>
    <x v="1"/>
    <s v="FUR-BO-10002268"/>
    <s v="Furniture"/>
    <x v="0"/>
    <x v="68"/>
    <n v="145.76400000000001"/>
    <n v="6"/>
    <n v="-247.7988"/>
    <s v="3- days"/>
    <n v="3"/>
    <x v="0"/>
  </r>
  <r>
    <s v="US-2017-105998"/>
    <d v="2017-11-03T00:00:00"/>
    <d v="2017-11-05T00:00:00"/>
    <x v="2"/>
    <s v="CR-12580"/>
    <s v="Clay Rozendal"/>
    <x v="2"/>
    <s v="United States"/>
    <s v="San Diego"/>
    <s v="California"/>
    <x v="1"/>
    <s v="FUR-TA-10001095"/>
    <s v="Furniture"/>
    <x v="2"/>
    <x v="129"/>
    <n v="1673.184"/>
    <n v="12"/>
    <n v="20.9148"/>
    <s v="2- days"/>
    <n v="2"/>
    <x v="0"/>
  </r>
  <r>
    <s v="US-2014-148194"/>
    <d v="2014-05-04T00:00:00"/>
    <d v="2014-05-07T00:00:00"/>
    <x v="2"/>
    <s v="BS-11365"/>
    <s v="Bill Shonely"/>
    <x v="1"/>
    <s v="United States"/>
    <s v="Seattle"/>
    <s v="Washington"/>
    <x v="1"/>
    <s v="FUR-FU-10001852"/>
    <s v="Furniture"/>
    <x v="3"/>
    <x v="166"/>
    <n v="12.18"/>
    <n v="7"/>
    <n v="3.8976000000000002"/>
    <s v="3- days"/>
    <n v="3"/>
    <x v="7"/>
  </r>
  <r>
    <s v="CA-2014-143210"/>
    <d v="2014-12-01T00:00:00"/>
    <d v="2014-12-03T00:00:00"/>
    <x v="2"/>
    <s v="AA-10645"/>
    <s v="Anna Andreadi"/>
    <x v="0"/>
    <s v="United States"/>
    <s v="Lowell"/>
    <s v="Massachusetts"/>
    <x v="2"/>
    <s v="FUR-FU-10003878"/>
    <s v="Furniture"/>
    <x v="3"/>
    <x v="142"/>
    <n v="45.84"/>
    <n v="3"/>
    <n v="15.585599999999999"/>
    <s v="2- days"/>
    <n v="2"/>
    <x v="5"/>
  </r>
  <r>
    <s v="CA-2014-143210"/>
    <d v="2014-12-01T00:00:00"/>
    <d v="2014-12-03T00:00:00"/>
    <x v="2"/>
    <s v="AA-10645"/>
    <s v="Anna Andreadi"/>
    <x v="0"/>
    <s v="United States"/>
    <s v="Lowell"/>
    <s v="Massachusetts"/>
    <x v="2"/>
    <s v="FUR-FU-10002268"/>
    <s v="Furniture"/>
    <x v="3"/>
    <x v="172"/>
    <n v="9.82"/>
    <n v="2"/>
    <n v="3.2406000000000001"/>
    <s v="2- days"/>
    <n v="2"/>
    <x v="5"/>
  </r>
  <r>
    <s v="CA-2015-110863"/>
    <d v="2015-11-17T00:00:00"/>
    <d v="2015-11-24T00:00:00"/>
    <x v="1"/>
    <s v="AA-10645"/>
    <s v="Anna Andreadi"/>
    <x v="0"/>
    <s v="United States"/>
    <s v="Oklahoma City"/>
    <s v="Oklahoma"/>
    <x v="3"/>
    <s v="FUR-CH-10002073"/>
    <s v="Furniture"/>
    <x v="1"/>
    <x v="370"/>
    <n v="1323.9"/>
    <n v="5"/>
    <n v="383.93099999999998"/>
    <s v="7- days"/>
    <n v="7"/>
    <x v="0"/>
  </r>
  <r>
    <s v="CA-2017-120168"/>
    <d v="2017-05-25T00:00:00"/>
    <d v="2017-05-25T00:00:00"/>
    <x v="3"/>
    <s v="TB-21625"/>
    <s v="Trudy Brown"/>
    <x v="0"/>
    <s v="United States"/>
    <s v="New York City"/>
    <s v="New York"/>
    <x v="2"/>
    <s v="FUR-FU-10000732"/>
    <s v="Furniture"/>
    <x v="3"/>
    <x v="113"/>
    <n v="18.84"/>
    <n v="3"/>
    <n v="6.0288000000000004"/>
    <s v="0- days"/>
    <n v="0"/>
    <x v="7"/>
  </r>
  <r>
    <s v="US-2014-131870"/>
    <d v="2014-09-09T00:00:00"/>
    <d v="2014-09-11T00:00:00"/>
    <x v="2"/>
    <s v="NF-18595"/>
    <s v="Nicole Fjeld"/>
    <x v="2"/>
    <s v="United States"/>
    <s v="Lancaster"/>
    <s v="Ohio"/>
    <x v="2"/>
    <s v="FUR-FU-10002501"/>
    <s v="Furniture"/>
    <x v="3"/>
    <x v="254"/>
    <n v="60.671999999999997"/>
    <n v="6"/>
    <n v="12.892799999999999"/>
    <s v="2- days"/>
    <n v="2"/>
    <x v="4"/>
  </r>
  <r>
    <s v="CA-2014-129189"/>
    <d v="2014-07-21T00:00:00"/>
    <d v="2014-07-25T00:00:00"/>
    <x v="1"/>
    <s v="HM-14860"/>
    <s v="Harry Marie"/>
    <x v="1"/>
    <s v="United States"/>
    <s v="Dallas"/>
    <s v="Texas"/>
    <x v="3"/>
    <s v="FUR-CH-10004997"/>
    <s v="Furniture"/>
    <x v="1"/>
    <x v="105"/>
    <n v="657.93"/>
    <n v="5"/>
    <n v="-93.99"/>
    <s v="4- days"/>
    <n v="4"/>
    <x v="3"/>
  </r>
  <r>
    <s v="CA-2015-132465"/>
    <d v="2015-09-11T00:00:00"/>
    <d v="2015-09-15T00:00:00"/>
    <x v="0"/>
    <s v="DM-13525"/>
    <s v="Don Miller"/>
    <x v="1"/>
    <s v="United States"/>
    <s v="New York City"/>
    <s v="New York"/>
    <x v="2"/>
    <s v="FUR-FU-10000277"/>
    <s v="Furniture"/>
    <x v="3"/>
    <x v="371"/>
    <n v="210.68"/>
    <n v="2"/>
    <n v="50.563200000000002"/>
    <s v="4- days"/>
    <n v="4"/>
    <x v="4"/>
  </r>
  <r>
    <s v="CA-2016-158806"/>
    <d v="2016-01-07T00:00:00"/>
    <d v="2016-01-11T00:00:00"/>
    <x v="1"/>
    <s v="NM-18520"/>
    <s v="Neoma Murray"/>
    <x v="0"/>
    <s v="United States"/>
    <s v="Amarillo"/>
    <s v="Texas"/>
    <x v="3"/>
    <s v="FUR-FU-10004270"/>
    <s v="Furniture"/>
    <x v="3"/>
    <x v="276"/>
    <n v="23.076000000000001"/>
    <n v="3"/>
    <n v="-10.9611"/>
    <s v="4- days"/>
    <n v="4"/>
    <x v="8"/>
  </r>
  <r>
    <s v="CA-2015-119690"/>
    <d v="2015-06-25T00:00:00"/>
    <d v="2015-06-28T00:00:00"/>
    <x v="2"/>
    <s v="MV-17485"/>
    <s v="Mark Van Huff"/>
    <x v="0"/>
    <s v="United States"/>
    <s v="Houston"/>
    <s v="Texas"/>
    <x v="3"/>
    <s v="FUR-FU-10004587"/>
    <s v="Furniture"/>
    <x v="3"/>
    <x v="269"/>
    <n v="75.384"/>
    <n v="9"/>
    <n v="-20.730599999999999"/>
    <s v="3- days"/>
    <n v="3"/>
    <x v="2"/>
  </r>
  <r>
    <s v="CA-2017-109393"/>
    <d v="2017-06-30T00:00:00"/>
    <d v="2017-07-02T00:00:00"/>
    <x v="0"/>
    <s v="JC-15775"/>
    <s v="John Castell"/>
    <x v="0"/>
    <s v="United States"/>
    <s v="Los Angeles"/>
    <s v="California"/>
    <x v="1"/>
    <s v="FUR-BO-10003966"/>
    <s v="Furniture"/>
    <x v="0"/>
    <x v="210"/>
    <n v="435.99900000000002"/>
    <n v="3"/>
    <n v="5.1294000000000004"/>
    <s v="2- days"/>
    <n v="2"/>
    <x v="2"/>
  </r>
  <r>
    <s v="CA-2017-121489"/>
    <d v="2017-08-21T00:00:00"/>
    <d v="2017-08-25T00:00:00"/>
    <x v="0"/>
    <s v="CM-11815"/>
    <s v="Candace McMahon"/>
    <x v="1"/>
    <s v="United States"/>
    <s v="Seattle"/>
    <s v="Washington"/>
    <x v="1"/>
    <s v="FUR-CH-10004698"/>
    <s v="Furniture"/>
    <x v="1"/>
    <x v="34"/>
    <n v="388.70400000000001"/>
    <n v="6"/>
    <n v="38.870399999999997"/>
    <s v="4- days"/>
    <n v="4"/>
    <x v="10"/>
  </r>
  <r>
    <s v="US-2017-133081"/>
    <d v="2017-03-11T00:00:00"/>
    <d v="2017-03-15T00:00:00"/>
    <x v="1"/>
    <s v="PV-18985"/>
    <s v="Paul Van Hugh"/>
    <x v="2"/>
    <s v="United States"/>
    <s v="Cambridge"/>
    <s v="Massachusetts"/>
    <x v="2"/>
    <s v="FUR-FU-10001379"/>
    <s v="Furniture"/>
    <x v="3"/>
    <x v="376"/>
    <n v="26.72"/>
    <n v="1"/>
    <n v="11.7568"/>
    <s v="4- days"/>
    <n v="4"/>
    <x v="9"/>
  </r>
  <r>
    <s v="CA-2014-144974"/>
    <d v="2014-09-26T00:00:00"/>
    <d v="2014-09-30T00:00:00"/>
    <x v="1"/>
    <s v="CM-12715"/>
    <s v="Craig Molinari"/>
    <x v="1"/>
    <s v="United States"/>
    <s v="Philadelphia"/>
    <s v="Pennsylvania"/>
    <x v="2"/>
    <s v="FUR-FU-10001095"/>
    <s v="Furniture"/>
    <x v="3"/>
    <x v="151"/>
    <n v="21.184000000000001"/>
    <n v="1"/>
    <n v="4.7664"/>
    <s v="4- days"/>
    <n v="4"/>
    <x v="4"/>
  </r>
  <r>
    <s v="CA-2015-121188"/>
    <d v="2015-08-28T00:00:00"/>
    <d v="2015-09-04T00:00:00"/>
    <x v="1"/>
    <s v="CB-12025"/>
    <s v="Cassandra Brandow"/>
    <x v="0"/>
    <s v="United States"/>
    <s v="Los Angeles"/>
    <s v="California"/>
    <x v="1"/>
    <s v="FUR-BO-10004695"/>
    <s v="Furniture"/>
    <x v="0"/>
    <x v="38"/>
    <n v="307.666"/>
    <n v="2"/>
    <n v="28.956800000000001"/>
    <s v="7- days"/>
    <n v="7"/>
    <x v="10"/>
  </r>
  <r>
    <s v="CA-2015-121188"/>
    <d v="2015-08-28T00:00:00"/>
    <d v="2015-09-04T00:00:00"/>
    <x v="1"/>
    <s v="CB-12025"/>
    <s v="Cassandra Brandow"/>
    <x v="0"/>
    <s v="United States"/>
    <s v="Los Angeles"/>
    <s v="California"/>
    <x v="1"/>
    <s v="FUR-FU-10003981"/>
    <s v="Furniture"/>
    <x v="3"/>
    <x v="70"/>
    <n v="4.16"/>
    <n v="2"/>
    <n v="1.7472000000000001"/>
    <s v="7- days"/>
    <n v="7"/>
    <x v="10"/>
  </r>
  <r>
    <s v="US-2015-160563"/>
    <d v="2015-10-20T00:00:00"/>
    <d v="2015-10-24T00:00:00"/>
    <x v="1"/>
    <s v="NS-18640"/>
    <s v="Noel Staavos"/>
    <x v="1"/>
    <s v="United States"/>
    <s v="San Francisco"/>
    <s v="California"/>
    <x v="1"/>
    <s v="FUR-FU-10001731"/>
    <s v="Furniture"/>
    <x v="3"/>
    <x v="317"/>
    <n v="16.02"/>
    <n v="6"/>
    <n v="6.0876000000000001"/>
    <s v="4- days"/>
    <n v="4"/>
    <x v="1"/>
  </r>
  <r>
    <s v="CA-2017-151750"/>
    <d v="2017-01-01T00:00:00"/>
    <d v="2017-01-05T00:00:00"/>
    <x v="1"/>
    <s v="JM-15250"/>
    <s v="Janet Martin"/>
    <x v="0"/>
    <s v="United States"/>
    <s v="Huntsville"/>
    <s v="Texas"/>
    <x v="3"/>
    <s v="FUR-FU-10002116"/>
    <s v="Furniture"/>
    <x v="3"/>
    <x v="286"/>
    <n v="141.41999999999999"/>
    <n v="5"/>
    <n v="-187.38149999999999"/>
    <s v="4- days"/>
    <n v="4"/>
    <x v="8"/>
  </r>
  <r>
    <s v="CA-2017-151750"/>
    <d v="2017-01-01T00:00:00"/>
    <d v="2017-01-05T00:00:00"/>
    <x v="1"/>
    <s v="JM-15250"/>
    <s v="Janet Martin"/>
    <x v="0"/>
    <s v="United States"/>
    <s v="Huntsville"/>
    <s v="Texas"/>
    <x v="3"/>
    <s v="FUR-CH-10003199"/>
    <s v="Furniture"/>
    <x v="1"/>
    <x v="136"/>
    <n v="310.74400000000003"/>
    <n v="4"/>
    <n v="-26.635200000000001"/>
    <s v="4- days"/>
    <n v="4"/>
    <x v="8"/>
  </r>
  <r>
    <s v="CA-2015-106187"/>
    <d v="2015-06-23T00:00:00"/>
    <d v="2015-06-29T00:00:00"/>
    <x v="1"/>
    <s v="RF-19345"/>
    <s v="Randy Ferguson"/>
    <x v="1"/>
    <s v="United States"/>
    <s v="East Point"/>
    <s v="Georgia"/>
    <x v="0"/>
    <s v="FUR-FU-10000794"/>
    <s v="Furniture"/>
    <x v="3"/>
    <x v="138"/>
    <n v="27.42"/>
    <n v="3"/>
    <n v="9.3228000000000009"/>
    <s v="6- days"/>
    <n v="6"/>
    <x v="2"/>
  </r>
  <r>
    <s v="CA-2016-105753"/>
    <d v="2016-10-20T00:00:00"/>
    <d v="2016-10-26T00:00:00"/>
    <x v="1"/>
    <s v="LC-16960"/>
    <s v="Lindsay Castell"/>
    <x v="2"/>
    <s v="United States"/>
    <s v="Arlington"/>
    <s v="Virginia"/>
    <x v="0"/>
    <s v="FUR-FU-10000246"/>
    <s v="Furniture"/>
    <x v="3"/>
    <x v="82"/>
    <n v="61.1"/>
    <n v="5"/>
    <n v="18.329999999999998"/>
    <s v="6- days"/>
    <n v="6"/>
    <x v="1"/>
  </r>
  <r>
    <s v="CA-2017-133046"/>
    <d v="2017-07-27T00:00:00"/>
    <d v="2017-08-01T00:00:00"/>
    <x v="0"/>
    <s v="DK-13375"/>
    <s v="Dennis Kane"/>
    <x v="0"/>
    <s v="United States"/>
    <s v="Seattle"/>
    <s v="Washington"/>
    <x v="1"/>
    <s v="FUR-FU-10001940"/>
    <s v="Furniture"/>
    <x v="3"/>
    <x v="47"/>
    <n v="23.88"/>
    <n v="3"/>
    <n v="10.507199999999999"/>
    <s v="5- days"/>
    <n v="5"/>
    <x v="3"/>
  </r>
  <r>
    <s v="CA-2017-159149"/>
    <d v="2017-02-17T00:00:00"/>
    <d v="2017-02-19T00:00:00"/>
    <x v="2"/>
    <s v="CR-12820"/>
    <s v="Cyra Reiten"/>
    <x v="2"/>
    <s v="United States"/>
    <s v="Houston"/>
    <s v="Texas"/>
    <x v="3"/>
    <s v="FUR-BO-10001601"/>
    <s v="Furniture"/>
    <x v="0"/>
    <x v="89"/>
    <n v="89.066400000000002"/>
    <n v="1"/>
    <n v="-17.0274"/>
    <s v="2- days"/>
    <n v="2"/>
    <x v="11"/>
  </r>
  <r>
    <s v="US-2017-167570"/>
    <d v="2017-12-08T00:00:00"/>
    <d v="2017-12-15T00:00:00"/>
    <x v="1"/>
    <s v="EG-13900"/>
    <s v="Emily Grady"/>
    <x v="0"/>
    <s v="United States"/>
    <s v="Philadelphia"/>
    <s v="Pennsylvania"/>
    <x v="2"/>
    <s v="FUR-CH-10003396"/>
    <s v="Furniture"/>
    <x v="1"/>
    <x v="81"/>
    <n v="215.54400000000001"/>
    <n v="4"/>
    <n v="-58.504800000000003"/>
    <s v="7- days"/>
    <n v="7"/>
    <x v="5"/>
  </r>
  <r>
    <s v="CA-2017-160122"/>
    <d v="2017-11-18T00:00:00"/>
    <d v="2017-11-23T00:00:00"/>
    <x v="1"/>
    <s v="RD-19930"/>
    <s v="Russell D'Ascenzo"/>
    <x v="0"/>
    <s v="United States"/>
    <s v="Chicago"/>
    <s v="Illinois"/>
    <x v="3"/>
    <s v="FUR-CH-10000422"/>
    <s v="Furniture"/>
    <x v="1"/>
    <x v="287"/>
    <n v="127.386"/>
    <n v="2"/>
    <n v="-25.4772"/>
    <s v="5- days"/>
    <n v="5"/>
    <x v="0"/>
  </r>
  <r>
    <s v="CA-2016-130393"/>
    <d v="2016-12-01T00:00:00"/>
    <d v="2016-12-03T00:00:00"/>
    <x v="0"/>
    <s v="JM-15865"/>
    <s v="John Murray"/>
    <x v="0"/>
    <s v="United States"/>
    <s v="San Angelo"/>
    <s v="Texas"/>
    <x v="3"/>
    <s v="FUR-CH-10002647"/>
    <s v="Furniture"/>
    <x v="1"/>
    <x v="99"/>
    <n v="248.43"/>
    <n v="5"/>
    <n v="-17.745000000000001"/>
    <s v="2- days"/>
    <n v="2"/>
    <x v="5"/>
  </r>
  <r>
    <s v="CA-2016-130393"/>
    <d v="2016-12-01T00:00:00"/>
    <d v="2016-12-03T00:00:00"/>
    <x v="0"/>
    <s v="JM-15865"/>
    <s v="John Murray"/>
    <x v="0"/>
    <s v="United States"/>
    <s v="San Angelo"/>
    <s v="Texas"/>
    <x v="3"/>
    <s v="FUR-CH-10004477"/>
    <s v="Furniture"/>
    <x v="1"/>
    <x v="42"/>
    <n v="85.245999999999995"/>
    <n v="2"/>
    <n v="-1.2178"/>
    <s v="2- days"/>
    <n v="2"/>
    <x v="5"/>
  </r>
  <r>
    <s v="CA-2017-101014"/>
    <d v="2017-08-29T00:00:00"/>
    <d v="2017-09-04T00:00:00"/>
    <x v="1"/>
    <s v="RW-19540"/>
    <s v="Rick Wilson"/>
    <x v="1"/>
    <s v="United States"/>
    <s v="Los Angeles"/>
    <s v="California"/>
    <x v="1"/>
    <s v="FUR-FU-10003374"/>
    <s v="Furniture"/>
    <x v="3"/>
    <x v="373"/>
    <n v="148.02000000000001"/>
    <n v="3"/>
    <n v="41.445599999999999"/>
    <s v="6- days"/>
    <n v="6"/>
    <x v="10"/>
  </r>
  <r>
    <s v="US-2017-106551"/>
    <d v="2017-07-22T00:00:00"/>
    <d v="2017-07-27T00:00:00"/>
    <x v="1"/>
    <s v="EB-13930"/>
    <s v="Eric Barreto"/>
    <x v="0"/>
    <s v="United States"/>
    <s v="Chicago"/>
    <s v="Illinois"/>
    <x v="3"/>
    <s v="FUR-CH-10004997"/>
    <s v="Furniture"/>
    <x v="1"/>
    <x v="105"/>
    <n v="526.34400000000005"/>
    <n v="4"/>
    <n v="-75.191999999999993"/>
    <s v="5- days"/>
    <n v="5"/>
    <x v="3"/>
  </r>
  <r>
    <s v="CA-2016-116722"/>
    <d v="2016-11-11T00:00:00"/>
    <d v="2016-11-16T00:00:00"/>
    <x v="1"/>
    <s v="LP-17080"/>
    <s v="Liz Pelletier"/>
    <x v="0"/>
    <s v="United States"/>
    <s v="San Francisco"/>
    <s v="California"/>
    <x v="1"/>
    <s v="FUR-FU-10001934"/>
    <s v="Furniture"/>
    <x v="3"/>
    <x v="24"/>
    <n v="41.96"/>
    <n v="2"/>
    <n v="10.909599999999999"/>
    <s v="5- days"/>
    <n v="5"/>
    <x v="0"/>
  </r>
  <r>
    <s v="CA-2016-116722"/>
    <d v="2016-11-11T00:00:00"/>
    <d v="2016-11-16T00:00:00"/>
    <x v="1"/>
    <s v="LP-17080"/>
    <s v="Liz Pelletier"/>
    <x v="0"/>
    <s v="United States"/>
    <s v="San Francisco"/>
    <s v="California"/>
    <x v="1"/>
    <s v="FUR-CH-10004997"/>
    <s v="Furniture"/>
    <x v="1"/>
    <x v="105"/>
    <n v="451.15199999999999"/>
    <n v="3"/>
    <n v="0"/>
    <s v="5- days"/>
    <n v="5"/>
    <x v="0"/>
  </r>
  <r>
    <s v="US-2017-150070"/>
    <d v="2017-09-07T00:00:00"/>
    <d v="2017-09-12T00:00:00"/>
    <x v="1"/>
    <s v="JA-15970"/>
    <s v="Joseph Airdo"/>
    <x v="0"/>
    <s v="United States"/>
    <s v="Modesto"/>
    <s v="California"/>
    <x v="1"/>
    <s v="FUR-CH-10004860"/>
    <s v="Furniture"/>
    <x v="1"/>
    <x v="41"/>
    <n v="161.56800000000001"/>
    <n v="2"/>
    <n v="-28.2744"/>
    <s v="5- days"/>
    <n v="5"/>
    <x v="4"/>
  </r>
  <r>
    <s v="CA-2017-157350"/>
    <d v="2017-08-26T00:00:00"/>
    <d v="2017-09-01T00:00:00"/>
    <x v="1"/>
    <s v="DP-13000"/>
    <s v="Darren Powers"/>
    <x v="0"/>
    <s v="United States"/>
    <s v="Chicago"/>
    <s v="Illinois"/>
    <x v="3"/>
    <s v="FUR-FU-10000222"/>
    <s v="Furniture"/>
    <x v="3"/>
    <x v="125"/>
    <n v="64.959999999999994"/>
    <n v="5"/>
    <n v="-43.847999999999999"/>
    <s v="6- days"/>
    <n v="6"/>
    <x v="10"/>
  </r>
  <r>
    <s v="CA-2015-131352"/>
    <d v="2015-10-08T00:00:00"/>
    <d v="2015-10-13T00:00:00"/>
    <x v="1"/>
    <s v="GH-14485"/>
    <s v="Gene Hale"/>
    <x v="1"/>
    <s v="United States"/>
    <s v="Dallas"/>
    <s v="Texas"/>
    <x v="3"/>
    <s v="FUR-FU-10003708"/>
    <s v="Furniture"/>
    <x v="3"/>
    <x v="17"/>
    <n v="72.78"/>
    <n v="3"/>
    <n v="-70.960499999999996"/>
    <s v="5- days"/>
    <n v="5"/>
    <x v="1"/>
  </r>
  <r>
    <s v="CA-2016-118073"/>
    <d v="2016-08-12T00:00:00"/>
    <d v="2016-08-16T00:00:00"/>
    <x v="1"/>
    <s v="CS-12490"/>
    <s v="Cindy Schnelling"/>
    <x v="1"/>
    <s v="United States"/>
    <s v="Lakeland"/>
    <s v="Florida"/>
    <x v="0"/>
    <s v="FUR-TA-10002533"/>
    <s v="Furniture"/>
    <x v="2"/>
    <x v="58"/>
    <n v="562.29250000000002"/>
    <n v="7"/>
    <n v="-255.58750000000001"/>
    <s v="4- days"/>
    <n v="4"/>
    <x v="10"/>
  </r>
  <r>
    <s v="CA-2014-103219"/>
    <d v="2014-11-09T00:00:00"/>
    <d v="2014-11-13T00:00:00"/>
    <x v="1"/>
    <s v="BF-11215"/>
    <s v="Benjamin Farhat"/>
    <x v="2"/>
    <s v="United States"/>
    <s v="New York City"/>
    <s v="New York"/>
    <x v="2"/>
    <s v="FUR-FU-10004091"/>
    <s v="Furniture"/>
    <x v="3"/>
    <x v="191"/>
    <n v="56.52"/>
    <n v="9"/>
    <n v="21.477599999999999"/>
    <s v="4- days"/>
    <n v="4"/>
    <x v="0"/>
  </r>
  <r>
    <s v="CA-2016-100993"/>
    <d v="2016-02-05T00:00:00"/>
    <d v="2016-02-10T00:00:00"/>
    <x v="1"/>
    <s v="AZ-10750"/>
    <s v="Annie Zypern"/>
    <x v="0"/>
    <s v="United States"/>
    <s v="San Diego"/>
    <s v="California"/>
    <x v="1"/>
    <s v="FUR-TA-10001095"/>
    <s v="Furniture"/>
    <x v="2"/>
    <x v="129"/>
    <n v="557.72799999999995"/>
    <n v="4"/>
    <n v="6.9715999999999996"/>
    <s v="5- days"/>
    <n v="5"/>
    <x v="11"/>
  </r>
  <r>
    <s v="CA-2014-167997"/>
    <d v="2014-01-26T00:00:00"/>
    <d v="2014-01-29T00:00:00"/>
    <x v="2"/>
    <s v="CA-11965"/>
    <s v="Carol Adams"/>
    <x v="1"/>
    <s v="United States"/>
    <s v="Rapid City"/>
    <s v="South Dakota"/>
    <x v="3"/>
    <s v="FUR-BO-10004409"/>
    <s v="Furniture"/>
    <x v="0"/>
    <x v="134"/>
    <n v="141.96"/>
    <n v="2"/>
    <n v="39.748800000000003"/>
    <s v="3- days"/>
    <n v="3"/>
    <x v="8"/>
  </r>
  <r>
    <s v="CA-2016-131296"/>
    <d v="2016-10-04T00:00:00"/>
    <d v="2016-10-09T00:00:00"/>
    <x v="1"/>
    <s v="MS-17830"/>
    <s v="Melanie Seite"/>
    <x v="0"/>
    <s v="United States"/>
    <s v="Baltimore"/>
    <s v="Maryland"/>
    <x v="2"/>
    <s v="FUR-TA-10002622"/>
    <s v="Furniture"/>
    <x v="2"/>
    <x v="194"/>
    <n v="239.37200000000001"/>
    <n v="2"/>
    <n v="-23.937200000000001"/>
    <s v="5- days"/>
    <n v="5"/>
    <x v="1"/>
  </r>
  <r>
    <s v="CA-2016-134138"/>
    <d v="2016-02-16T00:00:00"/>
    <d v="2016-02-20T00:00:00"/>
    <x v="1"/>
    <s v="JD-15790"/>
    <s v="John Dryer"/>
    <x v="0"/>
    <s v="United States"/>
    <s v="Belleville"/>
    <s v="New Jersey"/>
    <x v="2"/>
    <s v="FUR-CH-10001545"/>
    <s v="Furniture"/>
    <x v="1"/>
    <x v="361"/>
    <n v="227.96"/>
    <n v="2"/>
    <n v="36.473599999999998"/>
    <s v="4- days"/>
    <n v="4"/>
    <x v="11"/>
  </r>
  <r>
    <s v="CA-2015-168207"/>
    <d v="2015-11-02T00:00:00"/>
    <d v="2015-11-06T00:00:00"/>
    <x v="1"/>
    <s v="LT-17110"/>
    <s v="Liz Thompson"/>
    <x v="0"/>
    <s v="United States"/>
    <s v="San Diego"/>
    <s v="California"/>
    <x v="1"/>
    <s v="FUR-FU-10004909"/>
    <s v="Furniture"/>
    <x v="3"/>
    <x v="267"/>
    <n v="96.96"/>
    <n v="6"/>
    <n v="33.936"/>
    <s v="4- days"/>
    <n v="4"/>
    <x v="0"/>
  </r>
  <r>
    <s v="CA-2015-168207"/>
    <d v="2015-11-02T00:00:00"/>
    <d v="2015-11-06T00:00:00"/>
    <x v="1"/>
    <s v="LT-17110"/>
    <s v="Liz Thompson"/>
    <x v="0"/>
    <s v="United States"/>
    <s v="San Diego"/>
    <s v="California"/>
    <x v="1"/>
    <s v="FUR-BO-10004357"/>
    <s v="Furniture"/>
    <x v="0"/>
    <x v="268"/>
    <n v="512.49900000000002"/>
    <n v="3"/>
    <n v="-30.146999999999998"/>
    <s v="4- days"/>
    <n v="4"/>
    <x v="0"/>
  </r>
  <r>
    <s v="CA-2016-144148"/>
    <d v="2016-07-31T00:00:00"/>
    <d v="2016-08-05T00:00:00"/>
    <x v="1"/>
    <s v="AH-10690"/>
    <s v="Anna HŠberlin"/>
    <x v="1"/>
    <s v="United States"/>
    <s v="San Francisco"/>
    <s v="California"/>
    <x v="1"/>
    <s v="FUR-TA-10002774"/>
    <s v="Furniture"/>
    <x v="2"/>
    <x v="121"/>
    <n v="863.12800000000004"/>
    <n v="7"/>
    <n v="-32.3673"/>
    <s v="5- days"/>
    <n v="5"/>
    <x v="3"/>
  </r>
  <r>
    <s v="CA-2017-107174"/>
    <d v="2017-11-06T00:00:00"/>
    <d v="2017-11-13T00:00:00"/>
    <x v="1"/>
    <s v="AB-10060"/>
    <s v="Adam Bellavance"/>
    <x v="2"/>
    <s v="United States"/>
    <s v="Seattle"/>
    <s v="Washington"/>
    <x v="1"/>
    <s v="FUR-TA-10004575"/>
    <s v="Furniture"/>
    <x v="2"/>
    <x v="67"/>
    <n v="2036.86"/>
    <n v="7"/>
    <n v="366.63479999999998"/>
    <s v="7- days"/>
    <n v="7"/>
    <x v="0"/>
  </r>
  <r>
    <s v="CA-2017-107174"/>
    <d v="2017-11-06T00:00:00"/>
    <d v="2017-11-13T00:00:00"/>
    <x v="1"/>
    <s v="AB-10060"/>
    <s v="Adam Bellavance"/>
    <x v="2"/>
    <s v="United States"/>
    <s v="Seattle"/>
    <s v="Washington"/>
    <x v="1"/>
    <s v="FUR-CH-10003312"/>
    <s v="Furniture"/>
    <x v="1"/>
    <x v="66"/>
    <n v="449.56799999999998"/>
    <n v="2"/>
    <n v="-73.0548"/>
    <s v="7- days"/>
    <n v="7"/>
    <x v="0"/>
  </r>
  <r>
    <s v="CA-2015-112767"/>
    <d v="2015-08-02T00:00:00"/>
    <d v="2015-08-06T00:00:00"/>
    <x v="1"/>
    <s v="DK-12985"/>
    <s v="Darren Koutras"/>
    <x v="0"/>
    <s v="United States"/>
    <s v="Springfield"/>
    <s v="Oregon"/>
    <x v="1"/>
    <s v="FUR-TA-10003469"/>
    <s v="Furniture"/>
    <x v="2"/>
    <x v="320"/>
    <n v="277.5"/>
    <n v="4"/>
    <n v="-188.7"/>
    <s v="4- days"/>
    <n v="4"/>
    <x v="10"/>
  </r>
  <r>
    <s v="CA-2015-119879"/>
    <d v="2015-11-21T00:00:00"/>
    <d v="2015-11-25T00:00:00"/>
    <x v="1"/>
    <s v="SS-20410"/>
    <s v="Shahid Shariari"/>
    <x v="0"/>
    <s v="United States"/>
    <s v="Philadelphia"/>
    <s v="Pennsylvania"/>
    <x v="2"/>
    <s v="FUR-TA-10002958"/>
    <s v="Furniture"/>
    <x v="2"/>
    <x v="192"/>
    <n v="1252.704"/>
    <n v="8"/>
    <n v="-480.20319999999998"/>
    <s v="4- days"/>
    <n v="4"/>
    <x v="0"/>
  </r>
  <r>
    <s v="CA-2017-155642"/>
    <d v="2017-05-18T00:00:00"/>
    <d v="2017-05-22T00:00:00"/>
    <x v="1"/>
    <s v="BM-11575"/>
    <s v="Brendan Murry"/>
    <x v="1"/>
    <s v="United States"/>
    <s v="Chicago"/>
    <s v="Illinois"/>
    <x v="3"/>
    <s v="FUR-FU-10004973"/>
    <s v="Furniture"/>
    <x v="3"/>
    <x v="223"/>
    <n v="22.608000000000001"/>
    <n v="3"/>
    <n v="-10.1736"/>
    <s v="4- days"/>
    <n v="4"/>
    <x v="7"/>
  </r>
  <r>
    <s v="CA-2017-155642"/>
    <d v="2017-05-18T00:00:00"/>
    <d v="2017-05-22T00:00:00"/>
    <x v="1"/>
    <s v="BM-11575"/>
    <s v="Brendan Murry"/>
    <x v="1"/>
    <s v="United States"/>
    <s v="Chicago"/>
    <s v="Illinois"/>
    <x v="3"/>
    <s v="FUR-FU-10001918"/>
    <s v="Furniture"/>
    <x v="3"/>
    <x v="60"/>
    <n v="1.8919999999999999"/>
    <n v="1"/>
    <n v="-0.99329999999999996"/>
    <s v="4- days"/>
    <n v="4"/>
    <x v="7"/>
  </r>
  <r>
    <s v="CA-2015-136728"/>
    <d v="2015-09-13T00:00:00"/>
    <d v="2015-09-17T00:00:00"/>
    <x v="0"/>
    <s v="AG-10900"/>
    <s v="Arthur Gainer"/>
    <x v="0"/>
    <s v="United States"/>
    <s v="Chicago"/>
    <s v="Illinois"/>
    <x v="3"/>
    <s v="FUR-CH-10003817"/>
    <s v="Furniture"/>
    <x v="1"/>
    <x v="33"/>
    <n v="170.072"/>
    <n v="4"/>
    <n v="-12.148"/>
    <s v="4- days"/>
    <n v="4"/>
    <x v="4"/>
  </r>
  <r>
    <s v="US-2017-155866"/>
    <d v="2017-11-17T00:00:00"/>
    <d v="2017-11-21T00:00:00"/>
    <x v="1"/>
    <s v="CC-12370"/>
    <s v="Christopher Conant"/>
    <x v="0"/>
    <s v="United States"/>
    <s v="New York City"/>
    <s v="New York"/>
    <x v="2"/>
    <s v="FUR-FU-10004091"/>
    <s v="Furniture"/>
    <x v="3"/>
    <x v="54"/>
    <n v="187.76"/>
    <n v="4"/>
    <n v="76.9816"/>
    <s v="4- days"/>
    <n v="4"/>
    <x v="0"/>
  </r>
  <r>
    <s v="CA-2015-141327"/>
    <d v="2015-11-30T00:00:00"/>
    <d v="2015-12-03T00:00:00"/>
    <x v="2"/>
    <s v="LR-16915"/>
    <s v="Lena Radford"/>
    <x v="0"/>
    <s v="United States"/>
    <s v="Durham"/>
    <s v="North Carolina"/>
    <x v="0"/>
    <s v="FUR-FU-10000576"/>
    <s v="Furniture"/>
    <x v="3"/>
    <x v="46"/>
    <n v="335.74400000000003"/>
    <n v="2"/>
    <n v="25.180800000000001"/>
    <s v="3- days"/>
    <n v="3"/>
    <x v="0"/>
  </r>
  <r>
    <s v="CA-2015-114811"/>
    <d v="2015-11-08T00:00:00"/>
    <d v="2015-11-08T00:00:00"/>
    <x v="3"/>
    <s v="KD-16495"/>
    <s v="Keith Dawkins"/>
    <x v="1"/>
    <s v="United States"/>
    <s v="New York City"/>
    <s v="New York"/>
    <x v="2"/>
    <s v="FUR-FU-10002240"/>
    <s v="Furniture"/>
    <x v="3"/>
    <x v="368"/>
    <n v="11.82"/>
    <n v="3"/>
    <n v="4.7279999999999998"/>
    <s v="0- days"/>
    <n v="0"/>
    <x v="0"/>
  </r>
  <r>
    <s v="CA-2015-114811"/>
    <d v="2015-11-08T00:00:00"/>
    <d v="2015-11-08T00:00:00"/>
    <x v="3"/>
    <s v="KD-16495"/>
    <s v="Keith Dawkins"/>
    <x v="1"/>
    <s v="United States"/>
    <s v="New York City"/>
    <s v="New York"/>
    <x v="2"/>
    <s v="FUR-CH-10003746"/>
    <s v="Furniture"/>
    <x v="1"/>
    <x v="131"/>
    <n v="577.76400000000001"/>
    <n v="2"/>
    <n v="115.5528"/>
    <s v="0- days"/>
    <n v="0"/>
    <x v="0"/>
  </r>
  <r>
    <s v="CA-2015-122266"/>
    <d v="2015-04-26T00:00:00"/>
    <d v="2015-04-30T00:00:00"/>
    <x v="1"/>
    <s v="SA-20830"/>
    <s v="Sue Ann Reed"/>
    <x v="0"/>
    <s v="United States"/>
    <s v="Daytona Beach"/>
    <s v="Florida"/>
    <x v="0"/>
    <s v="FUR-TA-10000577"/>
    <s v="Furniture"/>
    <x v="2"/>
    <x v="2"/>
    <n v="191.5155"/>
    <n v="1"/>
    <n v="-76.606200000000001"/>
    <s v="4- days"/>
    <n v="4"/>
    <x v="6"/>
  </r>
  <r>
    <s v="CA-2016-116337"/>
    <d v="2016-11-07T00:00:00"/>
    <d v="2016-11-12T00:00:00"/>
    <x v="1"/>
    <s v="MC-17845"/>
    <s v="Michael Chen"/>
    <x v="0"/>
    <s v="United States"/>
    <s v="Dallas"/>
    <s v="Texas"/>
    <x v="3"/>
    <s v="FUR-FU-10002030"/>
    <s v="Furniture"/>
    <x v="3"/>
    <x v="377"/>
    <n v="44.46"/>
    <n v="5"/>
    <n v="-17.783999999999999"/>
    <s v="5- days"/>
    <n v="5"/>
    <x v="0"/>
  </r>
  <r>
    <s v="CA-2014-120775"/>
    <d v="2014-10-03T00:00:00"/>
    <d v="2014-10-07T00:00:00"/>
    <x v="1"/>
    <s v="RD-19930"/>
    <s v="Russell D'Ascenzo"/>
    <x v="0"/>
    <s v="United States"/>
    <s v="Dallas"/>
    <s v="Texas"/>
    <x v="3"/>
    <s v="FUR-FU-10000758"/>
    <s v="Furniture"/>
    <x v="3"/>
    <x v="207"/>
    <n v="31.776"/>
    <n v="3"/>
    <n v="-19.0656"/>
    <s v="4- days"/>
    <n v="4"/>
    <x v="1"/>
  </r>
  <r>
    <s v="CA-2016-123050"/>
    <d v="2016-04-04T00:00:00"/>
    <d v="2016-04-08T00:00:00"/>
    <x v="0"/>
    <s v="BC-11125"/>
    <s v="Becky Castell"/>
    <x v="2"/>
    <s v="United States"/>
    <s v="Troy"/>
    <s v="New York"/>
    <x v="2"/>
    <s v="FUR-FU-10000723"/>
    <s v="Furniture"/>
    <x v="3"/>
    <x v="100"/>
    <n v="82.64"/>
    <n v="2"/>
    <n v="7.4375999999999998"/>
    <s v="4- days"/>
    <n v="4"/>
    <x v="6"/>
  </r>
  <r>
    <s v="CA-2016-162355"/>
    <d v="2016-06-30T00:00:00"/>
    <d v="2016-07-02T00:00:00"/>
    <x v="0"/>
    <s v="PF-19165"/>
    <s v="Philip Fox"/>
    <x v="0"/>
    <s v="United States"/>
    <s v="Sandy Springs"/>
    <s v="Georgia"/>
    <x v="0"/>
    <s v="FUR-BO-10004695"/>
    <s v="Furniture"/>
    <x v="0"/>
    <x v="38"/>
    <n v="1266.8599999999999"/>
    <n v="7"/>
    <n v="291.37779999999998"/>
    <s v="2- days"/>
    <n v="2"/>
    <x v="2"/>
  </r>
  <r>
    <s v="CA-2017-102204"/>
    <d v="2017-05-01T00:00:00"/>
    <d v="2017-05-06T00:00:00"/>
    <x v="1"/>
    <s v="CJ-12010"/>
    <s v="Caroline Jumper"/>
    <x v="0"/>
    <s v="United States"/>
    <s v="Jacksonville"/>
    <s v="Florida"/>
    <x v="0"/>
    <s v="FUR-TA-10001889"/>
    <s v="Furniture"/>
    <x v="2"/>
    <x v="87"/>
    <n v="933.26199999999994"/>
    <n v="4"/>
    <n v="-458.14679999999998"/>
    <s v="5- days"/>
    <n v="5"/>
    <x v="7"/>
  </r>
  <r>
    <s v="CA-2017-102204"/>
    <d v="2017-05-01T00:00:00"/>
    <d v="2017-05-06T00:00:00"/>
    <x v="1"/>
    <s v="CJ-12010"/>
    <s v="Caroline Jumper"/>
    <x v="0"/>
    <s v="United States"/>
    <s v="Jacksonville"/>
    <s v="Florida"/>
    <x v="0"/>
    <s v="FUR-CH-10002024"/>
    <s v="Furniture"/>
    <x v="1"/>
    <x v="101"/>
    <n v="2803.92"/>
    <n v="5"/>
    <n v="0"/>
    <s v="5- days"/>
    <n v="5"/>
    <x v="7"/>
  </r>
  <r>
    <s v="CA-2017-103065"/>
    <d v="2017-10-20T00:00:00"/>
    <d v="2017-10-20T00:00:00"/>
    <x v="3"/>
    <s v="PT-19090"/>
    <s v="Pete Takahito"/>
    <x v="0"/>
    <s v="United States"/>
    <s v="Jacksonville"/>
    <s v="Florida"/>
    <x v="0"/>
    <s v="FUR-FU-10000175"/>
    <s v="Furniture"/>
    <x v="3"/>
    <x v="338"/>
    <n v="43.936"/>
    <n v="4"/>
    <n v="6.0411999999999999"/>
    <s v="0- days"/>
    <n v="0"/>
    <x v="1"/>
  </r>
  <r>
    <s v="CA-2014-109897"/>
    <d v="2014-08-12T00:00:00"/>
    <d v="2014-08-16T00:00:00"/>
    <x v="1"/>
    <s v="BW-11200"/>
    <s v="Ben Wallace"/>
    <x v="0"/>
    <s v="United States"/>
    <s v="San Francisco"/>
    <s v="California"/>
    <x v="1"/>
    <s v="FUR-FU-10002878"/>
    <s v="Furniture"/>
    <x v="3"/>
    <x v="220"/>
    <n v="85.44"/>
    <n v="3"/>
    <n v="31.6128"/>
    <s v="4- days"/>
    <n v="4"/>
    <x v="10"/>
  </r>
  <r>
    <s v="CA-2015-140221"/>
    <d v="2015-03-05T00:00:00"/>
    <d v="2015-03-09T00:00:00"/>
    <x v="0"/>
    <s v="MS-17365"/>
    <s v="Maribeth Schnelling"/>
    <x v="0"/>
    <s v="United States"/>
    <s v="Chicago"/>
    <s v="Illinois"/>
    <x v="3"/>
    <s v="FUR-FU-10000023"/>
    <s v="Furniture"/>
    <x v="3"/>
    <x v="70"/>
    <n v="4.7119999999999997"/>
    <n v="2"/>
    <n v="-1.8848"/>
    <s v="4- days"/>
    <n v="4"/>
    <x v="9"/>
  </r>
  <r>
    <s v="CA-2017-121790"/>
    <d v="2017-01-30T00:00:00"/>
    <d v="2017-02-06T00:00:00"/>
    <x v="1"/>
    <s v="LP-17095"/>
    <s v="Liz Preis"/>
    <x v="0"/>
    <s v="United States"/>
    <s v="Aurora"/>
    <s v="Illinois"/>
    <x v="3"/>
    <s v="FUR-TA-10003469"/>
    <s v="Furniture"/>
    <x v="2"/>
    <x v="320"/>
    <n v="69.375"/>
    <n v="1"/>
    <n v="-47.174999999999997"/>
    <s v="7- days"/>
    <n v="7"/>
    <x v="8"/>
  </r>
  <r>
    <s v="CA-2016-169670"/>
    <d v="2016-12-25T00:00:00"/>
    <d v="2016-12-31T00:00:00"/>
    <x v="1"/>
    <s v="JE-15715"/>
    <s v="Joe Elijah"/>
    <x v="0"/>
    <s v="United States"/>
    <s v="New York City"/>
    <s v="New York"/>
    <x v="2"/>
    <s v="FUR-CH-10002331"/>
    <s v="Furniture"/>
    <x v="1"/>
    <x v="86"/>
    <n v="2563.056"/>
    <n v="8"/>
    <n v="313.26240000000001"/>
    <s v="6- days"/>
    <n v="6"/>
    <x v="5"/>
  </r>
  <r>
    <s v="CA-2016-139549"/>
    <d v="2016-10-20T00:00:00"/>
    <d v="2016-10-25T00:00:00"/>
    <x v="1"/>
    <s v="MY-18295"/>
    <s v="Muhammed Yedwab"/>
    <x v="1"/>
    <s v="United States"/>
    <s v="El Cajon"/>
    <s v="California"/>
    <x v="1"/>
    <s v="FUR-CH-10001802"/>
    <s v="Furniture"/>
    <x v="1"/>
    <x v="352"/>
    <n v="387.13600000000002"/>
    <n v="4"/>
    <n v="4.8391999999999999"/>
    <s v="5- days"/>
    <n v="5"/>
    <x v="1"/>
  </r>
  <r>
    <s v="CA-2017-134810"/>
    <d v="2017-05-09T00:00:00"/>
    <d v="2017-05-10T00:00:00"/>
    <x v="2"/>
    <s v="MC-17605"/>
    <s v="Matt Connell"/>
    <x v="1"/>
    <s v="United States"/>
    <s v="Jacksonville"/>
    <s v="North Carolina"/>
    <x v="0"/>
    <s v="FUR-CH-10001270"/>
    <s v="Furniture"/>
    <x v="1"/>
    <x v="170"/>
    <n v="207"/>
    <n v="3"/>
    <n v="25.875"/>
    <s v="1- days"/>
    <n v="1"/>
    <x v="7"/>
  </r>
  <r>
    <s v="CA-2015-154284"/>
    <d v="2015-12-21T00:00:00"/>
    <d v="2015-12-26T00:00:00"/>
    <x v="0"/>
    <s v="SZ-20035"/>
    <s v="Sam Zeldin"/>
    <x v="2"/>
    <s v="United States"/>
    <s v="Saint Charles"/>
    <s v="Illinois"/>
    <x v="3"/>
    <s v="FUR-FU-10003039"/>
    <s v="Furniture"/>
    <x v="3"/>
    <x v="102"/>
    <n v="51.756"/>
    <n v="3"/>
    <n v="-33.641399999999997"/>
    <s v="5- days"/>
    <n v="5"/>
    <x v="5"/>
  </r>
  <r>
    <s v="US-2015-158911"/>
    <d v="2015-07-05T00:00:00"/>
    <d v="2015-07-11T00:00:00"/>
    <x v="1"/>
    <s v="RS-19765"/>
    <s v="Roland Schwarz"/>
    <x v="1"/>
    <s v="United States"/>
    <s v="Charlotte"/>
    <s v="North Carolina"/>
    <x v="0"/>
    <s v="FUR-FU-10003829"/>
    <s v="Furniture"/>
    <x v="3"/>
    <x v="275"/>
    <n v="4.9279999999999999"/>
    <n v="2"/>
    <n v="0.73919999999999997"/>
    <s v="6- days"/>
    <n v="6"/>
    <x v="3"/>
  </r>
  <r>
    <s v="US-2017-167318"/>
    <d v="2017-07-26T00:00:00"/>
    <d v="2017-08-01T00:00:00"/>
    <x v="1"/>
    <s v="GZ-14545"/>
    <s v="George Zrebassa"/>
    <x v="1"/>
    <s v="United States"/>
    <s v="Los Angeles"/>
    <s v="California"/>
    <x v="1"/>
    <s v="FUR-CH-10000665"/>
    <s v="Furniture"/>
    <x v="1"/>
    <x v="140"/>
    <n v="362.35199999999998"/>
    <n v="3"/>
    <n v="45.293999999999997"/>
    <s v="6- days"/>
    <n v="6"/>
    <x v="3"/>
  </r>
  <r>
    <s v="CA-2017-135419"/>
    <d v="2017-11-03T00:00:00"/>
    <d v="2017-11-09T00:00:00"/>
    <x v="1"/>
    <s v="BG-11740"/>
    <s v="Bruce Geld"/>
    <x v="0"/>
    <s v="United States"/>
    <s v="Bakersfield"/>
    <s v="California"/>
    <x v="1"/>
    <s v="FUR-TA-10001086"/>
    <s v="Furniture"/>
    <x v="2"/>
    <x v="360"/>
    <n v="486.36799999999999"/>
    <n v="4"/>
    <n v="36.477600000000002"/>
    <s v="6- days"/>
    <n v="6"/>
    <x v="0"/>
  </r>
  <r>
    <s v="CA-2014-168312"/>
    <d v="2014-03-01T00:00:00"/>
    <d v="2014-03-07T00:00:00"/>
    <x v="1"/>
    <s v="GW-14605"/>
    <s v="Giulietta Weimer"/>
    <x v="0"/>
    <s v="United States"/>
    <s v="Houston"/>
    <s v="Texas"/>
    <x v="3"/>
    <s v="FUR-TA-10001866"/>
    <s v="Furniture"/>
    <x v="2"/>
    <x v="251"/>
    <n v="376.50900000000001"/>
    <n v="3"/>
    <n v="-43.029600000000002"/>
    <s v="6- days"/>
    <n v="6"/>
    <x v="9"/>
  </r>
  <r>
    <s v="US-2017-105935"/>
    <d v="2017-01-26T00:00:00"/>
    <d v="2017-01-31T00:00:00"/>
    <x v="1"/>
    <s v="BD-11500"/>
    <s v="Bradley Drucker"/>
    <x v="0"/>
    <s v="United States"/>
    <s v="Columbus"/>
    <s v="Georgia"/>
    <x v="0"/>
    <s v="FUR-FU-10002157"/>
    <s v="Furniture"/>
    <x v="3"/>
    <x v="26"/>
    <n v="62.72"/>
    <n v="4"/>
    <n v="24.460799999999999"/>
    <s v="5- days"/>
    <n v="5"/>
    <x v="8"/>
  </r>
  <r>
    <s v="CA-2014-161508"/>
    <d v="2014-07-12T00:00:00"/>
    <d v="2014-07-16T00:00:00"/>
    <x v="1"/>
    <s v="PV-18985"/>
    <s v="Paul Van Hugh"/>
    <x v="2"/>
    <s v="United States"/>
    <s v="League City"/>
    <s v="Texas"/>
    <x v="3"/>
    <s v="FUR-CH-10002126"/>
    <s v="Furniture"/>
    <x v="1"/>
    <x v="168"/>
    <n v="512.35799999999995"/>
    <n v="3"/>
    <n v="-14.6388"/>
    <s v="4- days"/>
    <n v="4"/>
    <x v="3"/>
  </r>
  <r>
    <s v="CA-2016-153269"/>
    <d v="2016-03-09T00:00:00"/>
    <d v="2016-03-12T00:00:00"/>
    <x v="2"/>
    <s v="PS-18760"/>
    <s v="Pamela Stobb"/>
    <x v="0"/>
    <s v="United States"/>
    <s v="Andover"/>
    <s v="Massachusetts"/>
    <x v="2"/>
    <s v="FUR-CH-10002647"/>
    <s v="Furniture"/>
    <x v="1"/>
    <x v="99"/>
    <n v="354.9"/>
    <n v="5"/>
    <n v="88.724999999999994"/>
    <s v="3- days"/>
    <n v="3"/>
    <x v="9"/>
  </r>
  <r>
    <s v="CA-2017-135076"/>
    <d v="2017-04-13T00:00:00"/>
    <d v="2017-04-17T00:00:00"/>
    <x v="1"/>
    <s v="YS-21880"/>
    <s v="Yana Sorensen"/>
    <x v="1"/>
    <s v="United States"/>
    <s v="Hesperia"/>
    <s v="California"/>
    <x v="1"/>
    <s v="FUR-CH-10003774"/>
    <s v="Furniture"/>
    <x v="1"/>
    <x v="234"/>
    <n v="436.70400000000001"/>
    <n v="6"/>
    <n v="-38.211599999999997"/>
    <s v="4- days"/>
    <n v="4"/>
    <x v="6"/>
  </r>
  <r>
    <s v="US-2014-155544"/>
    <d v="2014-03-21T00:00:00"/>
    <d v="2014-03-25T00:00:00"/>
    <x v="1"/>
    <s v="GM-14440"/>
    <s v="Gary McGarr"/>
    <x v="0"/>
    <s v="United States"/>
    <s v="Knoxville"/>
    <s v="Tennessee"/>
    <x v="0"/>
    <s v="FUR-FU-10001473"/>
    <s v="Furniture"/>
    <x v="3"/>
    <x v="198"/>
    <n v="32.951999999999998"/>
    <n v="3"/>
    <n v="6.5903999999999998"/>
    <s v="4- days"/>
    <n v="4"/>
    <x v="9"/>
  </r>
  <r>
    <s v="US-2014-155544"/>
    <d v="2014-03-21T00:00:00"/>
    <d v="2014-03-25T00:00:00"/>
    <x v="1"/>
    <s v="GM-14440"/>
    <s v="Gary McGarr"/>
    <x v="0"/>
    <s v="United States"/>
    <s v="Knoxville"/>
    <s v="Tennessee"/>
    <x v="0"/>
    <s v="FUR-CH-10000422"/>
    <s v="Furniture"/>
    <x v="1"/>
    <x v="287"/>
    <n v="218.376"/>
    <n v="3"/>
    <n v="-10.918799999999999"/>
    <s v="4- days"/>
    <n v="4"/>
    <x v="9"/>
  </r>
  <r>
    <s v="US-2015-115238"/>
    <d v="2015-04-30T00:00:00"/>
    <d v="2015-05-04T00:00:00"/>
    <x v="1"/>
    <s v="JW-15220"/>
    <s v="Jane Waco"/>
    <x v="1"/>
    <s v="United States"/>
    <s v="Lawrence"/>
    <s v="Massachusetts"/>
    <x v="2"/>
    <s v="FUR-FU-10002960"/>
    <s v="Furniture"/>
    <x v="3"/>
    <x v="37"/>
    <n v="31.4"/>
    <n v="5"/>
    <n v="13.188000000000001"/>
    <s v="4- days"/>
    <n v="4"/>
    <x v="6"/>
  </r>
  <r>
    <s v="US-2015-115238"/>
    <d v="2015-04-30T00:00:00"/>
    <d v="2015-05-04T00:00:00"/>
    <x v="1"/>
    <s v="JW-15220"/>
    <s v="Jane Waco"/>
    <x v="1"/>
    <s v="United States"/>
    <s v="Lawrence"/>
    <s v="Massachusetts"/>
    <x v="2"/>
    <s v="FUR-FU-10002445"/>
    <s v="Furniture"/>
    <x v="3"/>
    <x v="292"/>
    <n v="9.48"/>
    <n v="1"/>
    <n v="3.7919999999999998"/>
    <s v="4- days"/>
    <n v="4"/>
    <x v="6"/>
  </r>
  <r>
    <s v="US-2015-115238"/>
    <d v="2015-04-30T00:00:00"/>
    <d v="2015-05-04T00:00:00"/>
    <x v="1"/>
    <s v="JW-15220"/>
    <s v="Jane Waco"/>
    <x v="1"/>
    <s v="United States"/>
    <s v="Lawrence"/>
    <s v="Massachusetts"/>
    <x v="2"/>
    <s v="FUR-FU-10001025"/>
    <s v="Furniture"/>
    <x v="3"/>
    <x v="354"/>
    <n v="24.3"/>
    <n v="5"/>
    <n v="10.449"/>
    <s v="4- days"/>
    <n v="4"/>
    <x v="6"/>
  </r>
  <r>
    <s v="CA-2017-132199"/>
    <d v="2017-05-03T00:00:00"/>
    <d v="2017-05-08T00:00:00"/>
    <x v="1"/>
    <s v="BO-11350"/>
    <s v="Bill Overfelt"/>
    <x v="1"/>
    <s v="United States"/>
    <s v="Philadelphia"/>
    <s v="Pennsylvania"/>
    <x v="2"/>
    <s v="FUR-FU-10004245"/>
    <s v="Furniture"/>
    <x v="3"/>
    <x v="362"/>
    <n v="32.448"/>
    <n v="2"/>
    <n v="7.3007999999999997"/>
    <s v="5- days"/>
    <n v="5"/>
    <x v="7"/>
  </r>
  <r>
    <s v="CA-2017-132199"/>
    <d v="2017-05-03T00:00:00"/>
    <d v="2017-05-08T00:00:00"/>
    <x v="1"/>
    <s v="BO-11350"/>
    <s v="Bill Overfelt"/>
    <x v="1"/>
    <s v="United States"/>
    <s v="Philadelphia"/>
    <s v="Pennsylvania"/>
    <x v="2"/>
    <s v="FUR-TA-10003748"/>
    <s v="Furniture"/>
    <x v="2"/>
    <x v="40"/>
    <n v="373.47"/>
    <n v="5"/>
    <n v="-112.041"/>
    <s v="5- days"/>
    <n v="5"/>
    <x v="7"/>
  </r>
  <r>
    <s v="CA-2016-163174"/>
    <d v="2016-08-26T00:00:00"/>
    <d v="2016-08-30T00:00:00"/>
    <x v="1"/>
    <s v="XP-21865"/>
    <s v="Xylona Preis"/>
    <x v="0"/>
    <s v="United States"/>
    <s v="Athens"/>
    <s v="Georgia"/>
    <x v="0"/>
    <s v="FUR-FU-10000308"/>
    <s v="Furniture"/>
    <x v="3"/>
    <x v="250"/>
    <n v="186.54"/>
    <n v="3"/>
    <n v="41.038800000000002"/>
    <s v="4- days"/>
    <n v="4"/>
    <x v="10"/>
  </r>
  <r>
    <s v="CA-2017-147207"/>
    <d v="2017-01-02T00:00:00"/>
    <d v="2017-01-04T00:00:00"/>
    <x v="0"/>
    <s v="TS-21655"/>
    <s v="Trudy Schmidt"/>
    <x v="0"/>
    <s v="United States"/>
    <s v="El Paso"/>
    <s v="Texas"/>
    <x v="3"/>
    <s v="FUR-TA-10002958"/>
    <s v="Furniture"/>
    <x v="2"/>
    <x v="192"/>
    <n v="913.43"/>
    <n v="5"/>
    <n v="-169.637"/>
    <s v="2- days"/>
    <n v="2"/>
    <x v="8"/>
  </r>
  <r>
    <s v="CA-2016-118745"/>
    <d v="2016-06-11T00:00:00"/>
    <d v="2016-06-16T00:00:00"/>
    <x v="1"/>
    <s v="SV-20365"/>
    <s v="Seth Vernon"/>
    <x v="0"/>
    <s v="United States"/>
    <s v="Los Angeles"/>
    <s v="California"/>
    <x v="1"/>
    <s v="FUR-TA-10003473"/>
    <s v="Furniture"/>
    <x v="2"/>
    <x v="44"/>
    <n v="902.71199999999999"/>
    <n v="3"/>
    <n v="33.851700000000001"/>
    <s v="5- days"/>
    <n v="5"/>
    <x v="2"/>
  </r>
  <r>
    <s v="CA-2016-163972"/>
    <d v="2016-10-17T00:00:00"/>
    <d v="2016-10-21T00:00:00"/>
    <x v="1"/>
    <s v="MG-17890"/>
    <s v="Michael Granlund"/>
    <x v="2"/>
    <s v="United States"/>
    <s v="Fresno"/>
    <s v="California"/>
    <x v="1"/>
    <s v="FUR-BO-10003894"/>
    <s v="Furniture"/>
    <x v="0"/>
    <x v="336"/>
    <n v="120.666"/>
    <n v="2"/>
    <n v="21.294"/>
    <s v="4- days"/>
    <n v="4"/>
    <x v="1"/>
  </r>
  <r>
    <s v="CA-2016-113726"/>
    <d v="2016-11-24T00:00:00"/>
    <d v="2016-12-01T00:00:00"/>
    <x v="1"/>
    <s v="SC-20680"/>
    <s v="Steve Carroll"/>
    <x v="2"/>
    <s v="United States"/>
    <s v="Seattle"/>
    <s v="Washington"/>
    <x v="1"/>
    <s v="FUR-FU-10003535"/>
    <s v="Furniture"/>
    <x v="3"/>
    <x v="182"/>
    <n v="82.26"/>
    <n v="3"/>
    <n v="33.726599999999998"/>
    <s v="7- days"/>
    <n v="7"/>
    <x v="0"/>
  </r>
  <r>
    <s v="CA-2016-163048"/>
    <d v="2016-02-08T00:00:00"/>
    <d v="2016-02-15T00:00:00"/>
    <x v="1"/>
    <s v="MH-17440"/>
    <s v="Mark Haberlin"/>
    <x v="1"/>
    <s v="United States"/>
    <s v="Houston"/>
    <s v="Texas"/>
    <x v="3"/>
    <s v="FUR-CH-10001270"/>
    <s v="Furniture"/>
    <x v="1"/>
    <x v="170"/>
    <n v="241.5"/>
    <n v="4"/>
    <n v="0"/>
    <s v="7- days"/>
    <n v="7"/>
    <x v="11"/>
  </r>
  <r>
    <s v="CA-2017-110625"/>
    <d v="2017-12-23T00:00:00"/>
    <d v="2017-12-30T00:00:00"/>
    <x v="1"/>
    <s v="JB-16045"/>
    <s v="Julia Barnett"/>
    <x v="2"/>
    <s v="United States"/>
    <s v="Danbury"/>
    <s v="Connecticut"/>
    <x v="2"/>
    <s v="FUR-FU-10001473"/>
    <s v="Furniture"/>
    <x v="3"/>
    <x v="198"/>
    <n v="27.46"/>
    <n v="2"/>
    <n v="9.8856000000000002"/>
    <s v="7- days"/>
    <n v="7"/>
    <x v="5"/>
  </r>
  <r>
    <s v="CA-2016-142594"/>
    <d v="2016-12-01T00:00:00"/>
    <d v="2016-12-06T00:00:00"/>
    <x v="0"/>
    <s v="EJ-14155"/>
    <s v="Eva Jacobs"/>
    <x v="0"/>
    <s v="United States"/>
    <s v="Franklin"/>
    <s v="Massachusetts"/>
    <x v="2"/>
    <s v="FUR-FU-10002045"/>
    <s v="Furniture"/>
    <x v="3"/>
    <x v="271"/>
    <n v="111.15"/>
    <n v="5"/>
    <n v="48.905999999999999"/>
    <s v="5- days"/>
    <n v="5"/>
    <x v="5"/>
  </r>
  <r>
    <s v="CA-2016-142594"/>
    <d v="2016-12-01T00:00:00"/>
    <d v="2016-12-06T00:00:00"/>
    <x v="0"/>
    <s v="EJ-14155"/>
    <s v="Eva Jacobs"/>
    <x v="0"/>
    <s v="United States"/>
    <s v="Franklin"/>
    <s v="Massachusetts"/>
    <x v="2"/>
    <s v="FUR-TA-10001095"/>
    <s v="Furniture"/>
    <x v="2"/>
    <x v="129"/>
    <n v="366.00900000000001"/>
    <n v="3"/>
    <n v="-47.058300000000003"/>
    <s v="5- days"/>
    <n v="5"/>
    <x v="5"/>
  </r>
  <r>
    <s v="CA-2017-120061"/>
    <d v="2017-11-02T00:00:00"/>
    <d v="2017-11-07T00:00:00"/>
    <x v="0"/>
    <s v="SR-20425"/>
    <s v="Sharelle Roach"/>
    <x v="2"/>
    <s v="United States"/>
    <s v="Springfield"/>
    <s v="Ohio"/>
    <x v="2"/>
    <s v="FUR-CH-10001973"/>
    <s v="Furniture"/>
    <x v="1"/>
    <x v="183"/>
    <n v="155.37200000000001"/>
    <n v="2"/>
    <n v="-35.513599999999997"/>
    <s v="5- days"/>
    <n v="5"/>
    <x v="0"/>
  </r>
  <r>
    <s v="CA-2015-110814"/>
    <d v="2015-12-05T00:00:00"/>
    <d v="2015-12-09T00:00:00"/>
    <x v="0"/>
    <s v="BD-11635"/>
    <s v="Brian Derr"/>
    <x v="0"/>
    <s v="United States"/>
    <s v="New York City"/>
    <s v="New York"/>
    <x v="2"/>
    <s v="FUR-CH-10003535"/>
    <s v="Furniture"/>
    <x v="1"/>
    <x v="312"/>
    <n v="164.64599999999999"/>
    <n v="3"/>
    <n v="12.8058"/>
    <s v="4- days"/>
    <n v="4"/>
    <x v="5"/>
  </r>
  <r>
    <s v="CA-2017-140480"/>
    <d v="2017-07-08T00:00:00"/>
    <d v="2017-07-12T00:00:00"/>
    <x v="1"/>
    <s v="HE-14800"/>
    <s v="Harold Engle"/>
    <x v="1"/>
    <s v="United States"/>
    <s v="Newark"/>
    <s v="Delaware"/>
    <x v="2"/>
    <s v="FUR-FU-10003247"/>
    <s v="Furniture"/>
    <x v="3"/>
    <x v="298"/>
    <n v="83.92"/>
    <n v="4"/>
    <n v="5.8743999999999996"/>
    <s v="4- days"/>
    <n v="4"/>
    <x v="3"/>
  </r>
  <r>
    <s v="CA-2017-140480"/>
    <d v="2017-07-08T00:00:00"/>
    <d v="2017-07-12T00:00:00"/>
    <x v="1"/>
    <s v="HE-14800"/>
    <s v="Harold Engle"/>
    <x v="1"/>
    <s v="United States"/>
    <s v="Newark"/>
    <s v="Delaware"/>
    <x v="2"/>
    <s v="FUR-FU-10001057"/>
    <s v="Furniture"/>
    <x v="3"/>
    <x v="369"/>
    <n v="39.979999999999997"/>
    <n v="2"/>
    <n v="9.1953999999999994"/>
    <s v="4- days"/>
    <n v="4"/>
    <x v="3"/>
  </r>
  <r>
    <s v="CA-2016-130820"/>
    <d v="2016-11-15T00:00:00"/>
    <d v="2016-11-15T00:00:00"/>
    <x v="3"/>
    <s v="ON-18715"/>
    <s v="Odella Nelson"/>
    <x v="1"/>
    <s v="United States"/>
    <s v="Burlington"/>
    <s v="North Carolina"/>
    <x v="0"/>
    <s v="FUR-TA-10001768"/>
    <s v="Furniture"/>
    <x v="2"/>
    <x v="25"/>
    <n v="630.024"/>
    <n v="4"/>
    <n v="-199.5076"/>
    <s v="0- days"/>
    <n v="0"/>
    <x v="0"/>
  </r>
  <r>
    <s v="CA-2017-132290"/>
    <d v="2017-03-10T00:00:00"/>
    <d v="2017-03-14T00:00:00"/>
    <x v="1"/>
    <s v="MD-17350"/>
    <s v="Maribeth Dona"/>
    <x v="0"/>
    <s v="United States"/>
    <s v="Dallas"/>
    <s v="Texas"/>
    <x v="3"/>
    <s v="FUR-TA-10002228"/>
    <s v="Furniture"/>
    <x v="2"/>
    <x v="126"/>
    <n v="933.40800000000002"/>
    <n v="4"/>
    <n v="-173.34719999999999"/>
    <s v="4- days"/>
    <n v="4"/>
    <x v="9"/>
  </r>
  <r>
    <s v="CA-2017-118199"/>
    <d v="2017-05-09T00:00:00"/>
    <d v="2017-05-11T00:00:00"/>
    <x v="2"/>
    <s v="LB-16795"/>
    <s v="Laurel Beltran"/>
    <x v="2"/>
    <s v="United States"/>
    <s v="Seattle"/>
    <s v="Washington"/>
    <x v="1"/>
    <s v="FUR-TA-10004154"/>
    <s v="Furniture"/>
    <x v="2"/>
    <x v="149"/>
    <n v="286.85000000000002"/>
    <n v="1"/>
    <n v="63.106999999999999"/>
    <s v="2- days"/>
    <n v="2"/>
    <x v="7"/>
  </r>
  <r>
    <s v="CA-2017-150091"/>
    <d v="2017-10-12T00:00:00"/>
    <d v="2017-10-16T00:00:00"/>
    <x v="1"/>
    <s v="NP-18670"/>
    <s v="Nora Paige"/>
    <x v="0"/>
    <s v="United States"/>
    <s v="Lakewood"/>
    <s v="New Jersey"/>
    <x v="2"/>
    <s v="FUR-FU-10004053"/>
    <s v="Furniture"/>
    <x v="3"/>
    <x v="339"/>
    <n v="40.479999999999997"/>
    <n v="2"/>
    <n v="17.406400000000001"/>
    <s v="4- days"/>
    <n v="4"/>
    <x v="1"/>
  </r>
  <r>
    <s v="CA-2017-150091"/>
    <d v="2017-10-12T00:00:00"/>
    <d v="2017-10-16T00:00:00"/>
    <x v="1"/>
    <s v="NP-18670"/>
    <s v="Nora Paige"/>
    <x v="0"/>
    <s v="United States"/>
    <s v="Lakewood"/>
    <s v="New Jersey"/>
    <x v="2"/>
    <s v="FUR-BO-10003404"/>
    <s v="Furniture"/>
    <x v="0"/>
    <x v="277"/>
    <n v="2154.9"/>
    <n v="5"/>
    <n v="129.29400000000001"/>
    <s v="4- days"/>
    <n v="4"/>
    <x v="1"/>
  </r>
  <r>
    <s v="CA-2016-118129"/>
    <d v="2016-12-19T00:00:00"/>
    <d v="2016-12-21T00:00:00"/>
    <x v="0"/>
    <s v="CL-12565"/>
    <s v="Clay Ludtke"/>
    <x v="0"/>
    <s v="United States"/>
    <s v="Reading"/>
    <s v="Pennsylvania"/>
    <x v="2"/>
    <s v="FUR-FU-10004904"/>
    <s v="Furniture"/>
    <x v="3"/>
    <x v="325"/>
    <n v="303.92"/>
    <n v="5"/>
    <n v="-30.391999999999999"/>
    <s v="2- days"/>
    <n v="2"/>
    <x v="5"/>
  </r>
  <r>
    <s v="CA-2017-155621"/>
    <d v="2017-11-08T00:00:00"/>
    <d v="2017-11-13T00:00:00"/>
    <x v="1"/>
    <s v="KN-16450"/>
    <s v="Kean Nguyen"/>
    <x v="1"/>
    <s v="United States"/>
    <s v="Baltimore"/>
    <s v="Maryland"/>
    <x v="2"/>
    <s v="FUR-FU-10003535"/>
    <s v="Furniture"/>
    <x v="3"/>
    <x v="182"/>
    <n v="274.2"/>
    <n v="10"/>
    <n v="112.422"/>
    <s v="5- days"/>
    <n v="5"/>
    <x v="0"/>
  </r>
  <r>
    <s v="US-2014-127635"/>
    <d v="2014-09-14T00:00:00"/>
    <d v="2014-09-18T00:00:00"/>
    <x v="0"/>
    <s v="SC-20260"/>
    <s v="Scott Cohen"/>
    <x v="1"/>
    <s v="United States"/>
    <s v="Corpus Christi"/>
    <s v="Texas"/>
    <x v="3"/>
    <s v="FUR-FU-10000550"/>
    <s v="Furniture"/>
    <x v="3"/>
    <x v="295"/>
    <n v="9.9600000000000009"/>
    <n v="5"/>
    <n v="-6.7229999999999999"/>
    <s v="4- days"/>
    <n v="4"/>
    <x v="4"/>
  </r>
  <r>
    <s v="CA-2017-125451"/>
    <d v="2017-10-23T00:00:00"/>
    <d v="2017-10-24T00:00:00"/>
    <x v="2"/>
    <s v="AH-10075"/>
    <s v="Adam Hart"/>
    <x v="1"/>
    <s v="United States"/>
    <s v="Cranston"/>
    <s v="Rhode Island"/>
    <x v="2"/>
    <s v="FUR-TA-10001039"/>
    <s v="Furniture"/>
    <x v="2"/>
    <x v="165"/>
    <n v="240.744"/>
    <n v="4"/>
    <n v="-13.7568"/>
    <s v="1- days"/>
    <n v="1"/>
    <x v="1"/>
  </r>
  <r>
    <s v="CA-2017-125451"/>
    <d v="2017-10-23T00:00:00"/>
    <d v="2017-10-24T00:00:00"/>
    <x v="2"/>
    <s v="AH-10075"/>
    <s v="Adam Hart"/>
    <x v="1"/>
    <s v="United States"/>
    <s v="Cranston"/>
    <s v="Rhode Island"/>
    <x v="2"/>
    <s v="FUR-FU-10004963"/>
    <s v="Furniture"/>
    <x v="3"/>
    <x v="289"/>
    <n v="35"/>
    <n v="4"/>
    <n v="14.7"/>
    <s v="1- days"/>
    <n v="1"/>
    <x v="1"/>
  </r>
  <r>
    <s v="CA-2017-125451"/>
    <d v="2017-10-23T00:00:00"/>
    <d v="2017-10-24T00:00:00"/>
    <x v="2"/>
    <s v="AH-10075"/>
    <s v="Adam Hart"/>
    <x v="1"/>
    <s v="United States"/>
    <s v="Cranston"/>
    <s v="Rhode Island"/>
    <x v="2"/>
    <s v="FUR-FU-10000277"/>
    <s v="Furniture"/>
    <x v="3"/>
    <x v="371"/>
    <n v="210.68"/>
    <n v="2"/>
    <n v="50.563200000000002"/>
    <s v="1- days"/>
    <n v="1"/>
    <x v="1"/>
  </r>
  <r>
    <s v="CA-2017-125451"/>
    <d v="2017-10-23T00:00:00"/>
    <d v="2017-10-24T00:00:00"/>
    <x v="2"/>
    <s v="AH-10075"/>
    <s v="Adam Hart"/>
    <x v="1"/>
    <s v="United States"/>
    <s v="Cranston"/>
    <s v="Rhode Island"/>
    <x v="2"/>
    <s v="FUR-TA-10004915"/>
    <s v="Furniture"/>
    <x v="2"/>
    <x v="71"/>
    <n v="637.89599999999996"/>
    <n v="3"/>
    <n v="-127.5792"/>
    <s v="1- days"/>
    <n v="1"/>
    <x v="1"/>
  </r>
  <r>
    <s v="CA-2016-125087"/>
    <d v="2016-04-18T00:00:00"/>
    <d v="2016-04-23T00:00:00"/>
    <x v="1"/>
    <s v="TH-21115"/>
    <s v="Thea Hudgings"/>
    <x v="1"/>
    <s v="United States"/>
    <s v="Houston"/>
    <s v="Texas"/>
    <x v="3"/>
    <s v="FUR-CH-10002880"/>
    <s v="Furniture"/>
    <x v="1"/>
    <x v="162"/>
    <n v="344.37200000000001"/>
    <n v="4"/>
    <n v="-93.472399999999993"/>
    <s v="5- days"/>
    <n v="5"/>
    <x v="6"/>
  </r>
  <r>
    <s v="CA-2016-125087"/>
    <d v="2016-04-18T00:00:00"/>
    <d v="2016-04-23T00:00:00"/>
    <x v="1"/>
    <s v="TH-21115"/>
    <s v="Thea Hudgings"/>
    <x v="1"/>
    <s v="United States"/>
    <s v="Houston"/>
    <s v="Texas"/>
    <x v="3"/>
    <s v="FUR-FU-10004748"/>
    <s v="Furniture"/>
    <x v="3"/>
    <x v="245"/>
    <n v="127.88"/>
    <n v="5"/>
    <n v="-67.137"/>
    <s v="5- days"/>
    <n v="5"/>
    <x v="6"/>
  </r>
  <r>
    <s v="US-2017-118556"/>
    <d v="2017-05-28T00:00:00"/>
    <d v="2017-06-02T00:00:00"/>
    <x v="0"/>
    <s v="TH-21235"/>
    <s v="Tiffany House"/>
    <x v="1"/>
    <s v="United States"/>
    <s v="Chicago"/>
    <s v="Illinois"/>
    <x v="3"/>
    <s v="FUR-CH-10001146"/>
    <s v="Furniture"/>
    <x v="1"/>
    <x v="29"/>
    <n v="106.869"/>
    <n v="3"/>
    <n v="-29.007300000000001"/>
    <s v="5- days"/>
    <n v="5"/>
    <x v="7"/>
  </r>
  <r>
    <s v="US-2016-164196"/>
    <d v="2016-11-11T00:00:00"/>
    <d v="2016-11-17T00:00:00"/>
    <x v="1"/>
    <s v="AS-10285"/>
    <s v="Alejandro Savely"/>
    <x v="1"/>
    <s v="United States"/>
    <s v="Noblesville"/>
    <s v="Indiana"/>
    <x v="3"/>
    <s v="FUR-TA-10001950"/>
    <s v="Furniture"/>
    <x v="2"/>
    <x v="252"/>
    <n v="2678.94"/>
    <n v="6"/>
    <n v="241.1046"/>
    <s v="6- days"/>
    <n v="6"/>
    <x v="0"/>
  </r>
  <r>
    <s v="US-2017-132031"/>
    <d v="2017-04-23T00:00:00"/>
    <d v="2017-04-27T00:00:00"/>
    <x v="1"/>
    <s v="PN-18775"/>
    <s v="Parhena Norris"/>
    <x v="2"/>
    <s v="United States"/>
    <s v="Clarksville"/>
    <s v="Tennessee"/>
    <x v="0"/>
    <s v="FUR-BO-10001972"/>
    <s v="Furniture"/>
    <x v="0"/>
    <x v="75"/>
    <n v="387.13600000000002"/>
    <n v="4"/>
    <n v="-14.5176"/>
    <s v="4- days"/>
    <n v="4"/>
    <x v="6"/>
  </r>
  <r>
    <s v="US-2017-132031"/>
    <d v="2017-04-23T00:00:00"/>
    <d v="2017-04-27T00:00:00"/>
    <x v="1"/>
    <s v="PN-18775"/>
    <s v="Parhena Norris"/>
    <x v="2"/>
    <s v="United States"/>
    <s v="Clarksville"/>
    <s v="Tennessee"/>
    <x v="0"/>
    <s v="FUR-FU-10000193"/>
    <s v="Furniture"/>
    <x v="3"/>
    <x v="306"/>
    <n v="77.951999999999998"/>
    <n v="3"/>
    <n v="-11.6928"/>
    <s v="4- days"/>
    <n v="4"/>
    <x v="6"/>
  </r>
  <r>
    <s v="CA-2017-142391"/>
    <d v="2017-09-24T00:00:00"/>
    <d v="2017-09-24T00:00:00"/>
    <x v="3"/>
    <s v="PB-19150"/>
    <s v="Philip Brown"/>
    <x v="0"/>
    <s v="United States"/>
    <s v="Seattle"/>
    <s v="Washington"/>
    <x v="1"/>
    <s v="FUR-FU-10002759"/>
    <s v="Furniture"/>
    <x v="3"/>
    <x v="115"/>
    <n v="199.8"/>
    <n v="10"/>
    <n v="71.927999999999997"/>
    <s v="0- days"/>
    <n v="0"/>
    <x v="4"/>
  </r>
  <r>
    <s v="CA-2016-158841"/>
    <d v="2016-02-02T00:00:00"/>
    <d v="2016-02-04T00:00:00"/>
    <x v="0"/>
    <s v="SE-20110"/>
    <s v="Sanjit Engle"/>
    <x v="0"/>
    <s v="United States"/>
    <s v="Arlington"/>
    <s v="Virginia"/>
    <x v="0"/>
    <s v="FUR-FU-10001731"/>
    <s v="Furniture"/>
    <x v="3"/>
    <x v="317"/>
    <n v="18.690000000000001"/>
    <n v="7"/>
    <n v="7.1021999999999998"/>
    <s v="2- days"/>
    <n v="2"/>
    <x v="11"/>
  </r>
  <r>
    <s v="CA-2015-102316"/>
    <d v="2015-03-01T00:00:00"/>
    <d v="2015-03-03T00:00:00"/>
    <x v="0"/>
    <s v="DH-13075"/>
    <s v="Dave Hallsten"/>
    <x v="1"/>
    <s v="United States"/>
    <s v="Los Angeles"/>
    <s v="California"/>
    <x v="1"/>
    <s v="FUR-CH-10003396"/>
    <s v="Furniture"/>
    <x v="1"/>
    <x v="81"/>
    <n v="184.75200000000001"/>
    <n v="3"/>
    <n v="-20.784600000000001"/>
    <s v="2- days"/>
    <n v="2"/>
    <x v="9"/>
  </r>
  <r>
    <s v="CA-2016-109400"/>
    <d v="2016-05-02T00:00:00"/>
    <d v="2016-05-06T00:00:00"/>
    <x v="1"/>
    <s v="NR-18550"/>
    <s v="Nick Radford"/>
    <x v="0"/>
    <s v="United States"/>
    <s v="Amarillo"/>
    <s v="Texas"/>
    <x v="3"/>
    <s v="FUR-CH-10003298"/>
    <s v="Furniture"/>
    <x v="1"/>
    <x v="322"/>
    <n v="366.74400000000003"/>
    <n v="4"/>
    <n v="-110.0232"/>
    <s v="4- days"/>
    <n v="4"/>
    <x v="7"/>
  </r>
  <r>
    <s v="CA-2016-144645"/>
    <d v="2016-02-02T00:00:00"/>
    <d v="2016-02-08T00:00:00"/>
    <x v="1"/>
    <s v="NS-18640"/>
    <s v="Noel Staavos"/>
    <x v="1"/>
    <s v="United States"/>
    <s v="Houston"/>
    <s v="Texas"/>
    <x v="3"/>
    <s v="FUR-FU-10003601"/>
    <s v="Furniture"/>
    <x v="3"/>
    <x v="148"/>
    <n v="73.784000000000006"/>
    <n v="2"/>
    <n v="-77.473200000000006"/>
    <s v="6- days"/>
    <n v="6"/>
    <x v="11"/>
  </r>
  <r>
    <s v="CA-2017-149720"/>
    <d v="2017-06-04T00:00:00"/>
    <d v="2017-06-07T00:00:00"/>
    <x v="0"/>
    <s v="EM-14065"/>
    <s v="Erin Mull"/>
    <x v="0"/>
    <s v="United States"/>
    <s v="Frisco"/>
    <s v="Texas"/>
    <x v="3"/>
    <s v="FUR-FU-10002501"/>
    <s v="Furniture"/>
    <x v="3"/>
    <x v="254"/>
    <n v="30.335999999999999"/>
    <n v="6"/>
    <n v="-17.443200000000001"/>
    <s v="3- days"/>
    <n v="3"/>
    <x v="2"/>
  </r>
  <r>
    <s v="CA-2017-118003"/>
    <d v="2017-12-04T00:00:00"/>
    <d v="2017-12-10T00:00:00"/>
    <x v="1"/>
    <s v="DO-13645"/>
    <s v="Doug O'Connell"/>
    <x v="0"/>
    <s v="United States"/>
    <s v="Paterson"/>
    <s v="New Jersey"/>
    <x v="2"/>
    <s v="FUR-FU-10002506"/>
    <s v="Furniture"/>
    <x v="3"/>
    <x v="374"/>
    <n v="12.99"/>
    <n v="1"/>
    <n v="1.5588"/>
    <s v="6- days"/>
    <n v="6"/>
    <x v="5"/>
  </r>
  <r>
    <s v="CA-2017-118003"/>
    <d v="2017-12-04T00:00:00"/>
    <d v="2017-12-10T00:00:00"/>
    <x v="1"/>
    <s v="DO-13645"/>
    <s v="Doug O'Connell"/>
    <x v="0"/>
    <s v="United States"/>
    <s v="Paterson"/>
    <s v="New Jersey"/>
    <x v="2"/>
    <s v="FUR-CH-10003817"/>
    <s v="Furniture"/>
    <x v="1"/>
    <x v="33"/>
    <n v="182.22"/>
    <n v="3"/>
    <n v="45.555"/>
    <s v="6- days"/>
    <n v="6"/>
    <x v="5"/>
  </r>
  <r>
    <s v="CA-2017-118003"/>
    <d v="2017-12-04T00:00:00"/>
    <d v="2017-12-10T00:00:00"/>
    <x v="1"/>
    <s v="DO-13645"/>
    <s v="Doug O'Connell"/>
    <x v="0"/>
    <s v="United States"/>
    <s v="Paterson"/>
    <s v="New Jersey"/>
    <x v="2"/>
    <s v="FUR-CH-10004860"/>
    <s v="Furniture"/>
    <x v="1"/>
    <x v="41"/>
    <n v="302.94"/>
    <n v="3"/>
    <n v="18.176400000000001"/>
    <s v="6- days"/>
    <n v="6"/>
    <x v="5"/>
  </r>
  <r>
    <s v="CA-2016-141887"/>
    <d v="2016-01-11T00:00:00"/>
    <d v="2016-01-15T00:00:00"/>
    <x v="1"/>
    <s v="MP-17470"/>
    <s v="Mark Packer"/>
    <x v="2"/>
    <s v="United States"/>
    <s v="Columbus"/>
    <s v="Ohio"/>
    <x v="2"/>
    <s v="FUR-FU-10002268"/>
    <s v="Furniture"/>
    <x v="3"/>
    <x v="172"/>
    <n v="54.991999999999997"/>
    <n v="14"/>
    <n v="8.9361999999999995"/>
    <s v="4- days"/>
    <n v="4"/>
    <x v="8"/>
  </r>
  <r>
    <s v="CA-2017-161172"/>
    <d v="2017-03-16T00:00:00"/>
    <d v="2017-03-16T00:00:00"/>
    <x v="3"/>
    <s v="SP-20920"/>
    <s v="Susan Pistek"/>
    <x v="0"/>
    <s v="United States"/>
    <s v="Columbus"/>
    <s v="Ohio"/>
    <x v="2"/>
    <s v="FUR-FU-10003424"/>
    <s v="Furniture"/>
    <x v="3"/>
    <x v="345"/>
    <n v="51.264000000000003"/>
    <n v="6"/>
    <n v="7.6896000000000004"/>
    <s v="0- days"/>
    <n v="0"/>
    <x v="9"/>
  </r>
  <r>
    <s v="CA-2017-137624"/>
    <d v="2017-11-10T00:00:00"/>
    <d v="2017-11-17T00:00:00"/>
    <x v="1"/>
    <s v="ME-17320"/>
    <s v="Maria Etezadi"/>
    <x v="2"/>
    <s v="United States"/>
    <s v="Los Angeles"/>
    <s v="California"/>
    <x v="1"/>
    <s v="FUR-CH-10001714"/>
    <s v="Furniture"/>
    <x v="1"/>
    <x v="255"/>
    <n v="241.42400000000001"/>
    <n v="2"/>
    <n v="-36.2136"/>
    <s v="7- days"/>
    <n v="7"/>
    <x v="0"/>
  </r>
  <r>
    <s v="CA-2016-156748"/>
    <d v="2016-11-30T00:00:00"/>
    <d v="2016-12-06T00:00:00"/>
    <x v="1"/>
    <s v="BS-11755"/>
    <s v="Bruce Stewart"/>
    <x v="0"/>
    <s v="United States"/>
    <s v="Detroit"/>
    <s v="Michigan"/>
    <x v="3"/>
    <s v="FUR-CH-10000513"/>
    <s v="Furniture"/>
    <x v="1"/>
    <x v="16"/>
    <n v="389.97"/>
    <n v="3"/>
    <n v="35.097299999999997"/>
    <s v="6- days"/>
    <n v="6"/>
    <x v="0"/>
  </r>
  <r>
    <s v="CA-2015-157287"/>
    <d v="2015-12-22T00:00:00"/>
    <d v="2015-12-23T00:00:00"/>
    <x v="2"/>
    <s v="HR-14830"/>
    <s v="Harold Ryan"/>
    <x v="1"/>
    <s v="United States"/>
    <s v="Philadelphia"/>
    <s v="Pennsylvania"/>
    <x v="2"/>
    <s v="FUR-CH-10001270"/>
    <s v="Furniture"/>
    <x v="1"/>
    <x v="170"/>
    <n v="422.625"/>
    <n v="7"/>
    <n v="0"/>
    <s v="1- days"/>
    <n v="1"/>
    <x v="5"/>
  </r>
  <r>
    <s v="CA-2016-119074"/>
    <d v="2016-03-27T00:00:00"/>
    <d v="2016-03-31T00:00:00"/>
    <x v="1"/>
    <s v="DS-13180"/>
    <s v="David Smith"/>
    <x v="1"/>
    <s v="United States"/>
    <s v="Columbus"/>
    <s v="Georgia"/>
    <x v="0"/>
    <s v="FUR-FU-10004053"/>
    <s v="Furniture"/>
    <x v="3"/>
    <x v="339"/>
    <n v="20.239999999999998"/>
    <n v="1"/>
    <n v="8.7032000000000007"/>
    <s v="4- days"/>
    <n v="4"/>
    <x v="9"/>
  </r>
  <r>
    <s v="CA-2016-119074"/>
    <d v="2016-03-27T00:00:00"/>
    <d v="2016-03-31T00:00:00"/>
    <x v="1"/>
    <s v="DS-13180"/>
    <s v="David Smith"/>
    <x v="1"/>
    <s v="United States"/>
    <s v="Columbus"/>
    <s v="Georgia"/>
    <x v="0"/>
    <s v="FUR-FU-10003731"/>
    <s v="Furniture"/>
    <x v="3"/>
    <x v="329"/>
    <n v="39.92"/>
    <n v="4"/>
    <n v="11.1776"/>
    <s v="4- days"/>
    <n v="4"/>
    <x v="9"/>
  </r>
  <r>
    <s v="CA-2015-126186"/>
    <d v="2015-09-11T00:00:00"/>
    <d v="2015-09-12T00:00:00"/>
    <x v="2"/>
    <s v="GB-14530"/>
    <s v="George Bell"/>
    <x v="1"/>
    <s v="United States"/>
    <s v="Aurora"/>
    <s v="Colorado"/>
    <x v="1"/>
    <s v="FUR-FU-10000073"/>
    <s v="Furniture"/>
    <x v="3"/>
    <x v="93"/>
    <n v="24.64"/>
    <n v="4"/>
    <n v="4.0039999999999996"/>
    <s v="1- days"/>
    <n v="1"/>
    <x v="4"/>
  </r>
  <r>
    <s v="CA-2016-102092"/>
    <d v="2016-12-09T00:00:00"/>
    <d v="2016-12-11T00:00:00"/>
    <x v="2"/>
    <s v="PM-18940"/>
    <s v="Paul MacIntyre"/>
    <x v="0"/>
    <s v="United States"/>
    <s v="Springfield"/>
    <s v="Virginia"/>
    <x v="0"/>
    <s v="FUR-TA-10002530"/>
    <s v="Furniture"/>
    <x v="2"/>
    <x v="197"/>
    <n v="1056.8599999999999"/>
    <n v="7"/>
    <n v="158.529"/>
    <s v="2- days"/>
    <n v="2"/>
    <x v="5"/>
  </r>
  <r>
    <s v="CA-2016-132829"/>
    <d v="2016-12-23T00:00:00"/>
    <d v="2016-12-26T00:00:00"/>
    <x v="0"/>
    <s v="LA-16780"/>
    <s v="Laura Armstrong"/>
    <x v="1"/>
    <s v="United States"/>
    <s v="Houston"/>
    <s v="Texas"/>
    <x v="3"/>
    <s v="FUR-FU-10000206"/>
    <s v="Furniture"/>
    <x v="3"/>
    <x v="84"/>
    <n v="2.3279999999999998"/>
    <n v="2"/>
    <n v="-0.75660000000000005"/>
    <s v="3- days"/>
    <n v="3"/>
    <x v="5"/>
  </r>
  <r>
    <s v="CA-2016-123540"/>
    <d v="2016-04-02T00:00:00"/>
    <d v="2016-04-06T00:00:00"/>
    <x v="0"/>
    <s v="DJ-13420"/>
    <s v="Denny Joy"/>
    <x v="1"/>
    <s v="United States"/>
    <s v="Milwaukee"/>
    <s v="Wisconsin"/>
    <x v="3"/>
    <s v="FUR-CH-10000847"/>
    <s v="Furniture"/>
    <x v="1"/>
    <x v="199"/>
    <n v="1454.9"/>
    <n v="5"/>
    <n v="378.274"/>
    <s v="4- days"/>
    <n v="4"/>
    <x v="6"/>
  </r>
  <r>
    <s v="US-2017-108315"/>
    <d v="2017-04-30T00:00:00"/>
    <d v="2017-05-04T00:00:00"/>
    <x v="1"/>
    <s v="MH-18115"/>
    <s v="Mick Hernandez"/>
    <x v="2"/>
    <s v="United States"/>
    <s v="Sanford"/>
    <s v="Florida"/>
    <x v="0"/>
    <s v="FUR-FU-10000747"/>
    <s v="Furniture"/>
    <x v="3"/>
    <x v="363"/>
    <n v="220.70400000000001"/>
    <n v="6"/>
    <n v="-8.2764000000000006"/>
    <s v="4- days"/>
    <n v="4"/>
    <x v="6"/>
  </r>
  <r>
    <s v="CA-2017-106747"/>
    <d v="2017-07-03T00:00:00"/>
    <d v="2017-07-04T00:00:00"/>
    <x v="2"/>
    <s v="TS-21505"/>
    <s v="Tony Sayre"/>
    <x v="0"/>
    <s v="United States"/>
    <s v="Concord"/>
    <s v="New Hampshire"/>
    <x v="2"/>
    <s v="FUR-FU-10004188"/>
    <s v="Furniture"/>
    <x v="3"/>
    <x v="150"/>
    <n v="102.3"/>
    <n v="1"/>
    <n v="26.597999999999999"/>
    <s v="1- days"/>
    <n v="1"/>
    <x v="3"/>
  </r>
  <r>
    <s v="CA-2017-146164"/>
    <d v="2017-12-22T00:00:00"/>
    <d v="2017-12-26T00:00:00"/>
    <x v="1"/>
    <s v="CM-12190"/>
    <s v="Charlotte Melton"/>
    <x v="0"/>
    <s v="United States"/>
    <s v="Rochester"/>
    <s v="Minnesota"/>
    <x v="3"/>
    <s v="FUR-TA-10004915"/>
    <s v="Furniture"/>
    <x v="2"/>
    <x v="71"/>
    <n v="607.52"/>
    <n v="2"/>
    <n v="97.203199999999995"/>
    <s v="4- days"/>
    <n v="4"/>
    <x v="5"/>
  </r>
  <r>
    <s v="CA-2014-130673"/>
    <d v="2014-05-20T00:00:00"/>
    <d v="2014-05-22T00:00:00"/>
    <x v="0"/>
    <s v="MC-17590"/>
    <s v="Matt Collister"/>
    <x v="1"/>
    <s v="United States"/>
    <s v="San Marcos"/>
    <s v="Texas"/>
    <x v="3"/>
    <s v="FUR-FU-10003489"/>
    <s v="Furniture"/>
    <x v="3"/>
    <x v="365"/>
    <n v="10.332000000000001"/>
    <n v="3"/>
    <n v="-5.9409000000000001"/>
    <s v="2- days"/>
    <n v="2"/>
    <x v="7"/>
  </r>
  <r>
    <s v="CA-2017-101700"/>
    <d v="2017-04-23T00:00:00"/>
    <d v="2017-04-26T00:00:00"/>
    <x v="2"/>
    <s v="SO-20335"/>
    <s v="Sean O'Donnell"/>
    <x v="0"/>
    <s v="United States"/>
    <s v="Greeley"/>
    <s v="Colorado"/>
    <x v="1"/>
    <s v="FUR-FU-10001025"/>
    <s v="Furniture"/>
    <x v="3"/>
    <x v="354"/>
    <n v="11.664"/>
    <n v="3"/>
    <n v="3.3534000000000002"/>
    <s v="3- days"/>
    <n v="3"/>
    <x v="6"/>
  </r>
  <r>
    <s v="CA-2014-151946"/>
    <d v="2014-06-04T00:00:00"/>
    <d v="2014-06-09T00:00:00"/>
    <x v="1"/>
    <s v="BT-11440"/>
    <s v="Bobby Trafton"/>
    <x v="0"/>
    <s v="United States"/>
    <s v="New York City"/>
    <s v="New York"/>
    <x v="2"/>
    <s v="FUR-FU-10002878"/>
    <s v="Furniture"/>
    <x v="3"/>
    <x v="220"/>
    <n v="56.96"/>
    <n v="2"/>
    <n v="21.075199999999999"/>
    <s v="5- days"/>
    <n v="5"/>
    <x v="2"/>
  </r>
  <r>
    <s v="CA-2014-151946"/>
    <d v="2014-06-04T00:00:00"/>
    <d v="2014-06-09T00:00:00"/>
    <x v="1"/>
    <s v="BT-11440"/>
    <s v="Bobby Trafton"/>
    <x v="0"/>
    <s v="United States"/>
    <s v="New York City"/>
    <s v="New York"/>
    <x v="2"/>
    <s v="FUR-BO-10003272"/>
    <s v="Furniture"/>
    <x v="0"/>
    <x v="122"/>
    <n v="353.56799999999998"/>
    <n v="2"/>
    <n v="-44.195999999999998"/>
    <s v="5- days"/>
    <n v="5"/>
    <x v="2"/>
  </r>
  <r>
    <s v="CA-2014-151946"/>
    <d v="2014-06-04T00:00:00"/>
    <d v="2014-06-09T00:00:00"/>
    <x v="1"/>
    <s v="BT-11440"/>
    <s v="Bobby Trafton"/>
    <x v="0"/>
    <s v="United States"/>
    <s v="New York City"/>
    <s v="New York"/>
    <x v="2"/>
    <s v="FUR-FU-10002191"/>
    <s v="Furniture"/>
    <x v="3"/>
    <x v="154"/>
    <n v="13.96"/>
    <n v="2"/>
    <n v="6.7008000000000001"/>
    <s v="5- days"/>
    <n v="5"/>
    <x v="2"/>
  </r>
  <r>
    <s v="CA-2017-117513"/>
    <d v="2017-03-03T00:00:00"/>
    <d v="2017-03-08T00:00:00"/>
    <x v="1"/>
    <s v="BT-11395"/>
    <s v="Bill Tyler"/>
    <x v="1"/>
    <s v="United States"/>
    <s v="Los Angeles"/>
    <s v="California"/>
    <x v="1"/>
    <s v="FUR-TA-10001520"/>
    <s v="Furniture"/>
    <x v="2"/>
    <x v="146"/>
    <n v="399.67200000000003"/>
    <n v="7"/>
    <n v="-14.9877"/>
    <s v="5- days"/>
    <n v="5"/>
    <x v="9"/>
  </r>
  <r>
    <s v="US-2017-119319"/>
    <d v="2017-11-06T00:00:00"/>
    <d v="2017-11-09T00:00:00"/>
    <x v="0"/>
    <s v="LC-17050"/>
    <s v="Liz Carlisle"/>
    <x v="0"/>
    <s v="United States"/>
    <s v="Dallas"/>
    <s v="Texas"/>
    <x v="3"/>
    <s v="FUR-FU-10003878"/>
    <s v="Furniture"/>
    <x v="3"/>
    <x v="142"/>
    <n v="30.56"/>
    <n v="5"/>
    <n v="-19.864000000000001"/>
    <s v="3- days"/>
    <n v="3"/>
    <x v="0"/>
  </r>
  <r>
    <s v="CA-2015-164084"/>
    <d v="2015-09-07T00:00:00"/>
    <d v="2015-09-12T00:00:00"/>
    <x v="1"/>
    <s v="AG-10525"/>
    <s v="Andy Gerbode"/>
    <x v="1"/>
    <s v="United States"/>
    <s v="New York City"/>
    <s v="New York"/>
    <x v="2"/>
    <s v="FUR-TA-10003569"/>
    <s v="Furniture"/>
    <x v="2"/>
    <x v="273"/>
    <n v="481.17599999999999"/>
    <n v="2"/>
    <n v="-120.294"/>
    <s v="5- days"/>
    <n v="5"/>
    <x v="4"/>
  </r>
  <r>
    <s v="CA-2016-107783"/>
    <d v="2016-07-28T00:00:00"/>
    <d v="2016-07-29T00:00:00"/>
    <x v="2"/>
    <s v="OT-18730"/>
    <s v="Olvera Toch"/>
    <x v="0"/>
    <s v="United States"/>
    <s v="Bethlehem"/>
    <s v="Pennsylvania"/>
    <x v="2"/>
    <s v="FUR-BO-10004409"/>
    <s v="Furniture"/>
    <x v="0"/>
    <x v="134"/>
    <n v="177.45"/>
    <n v="5"/>
    <n v="-78.078000000000003"/>
    <s v="1- days"/>
    <n v="1"/>
    <x v="3"/>
  </r>
  <r>
    <s v="CA-2017-159793"/>
    <d v="2017-08-25T00:00:00"/>
    <d v="2017-08-29T00:00:00"/>
    <x v="1"/>
    <s v="SV-20365"/>
    <s v="Seth Vernon"/>
    <x v="0"/>
    <s v="United States"/>
    <s v="Philadelphia"/>
    <s v="Pennsylvania"/>
    <x v="2"/>
    <s v="FUR-BO-10001798"/>
    <s v="Furniture"/>
    <x v="0"/>
    <x v="0"/>
    <n v="130.97999999999999"/>
    <n v="2"/>
    <n v="-89.066400000000002"/>
    <s v="4- days"/>
    <n v="4"/>
    <x v="10"/>
  </r>
  <r>
    <s v="CA-2017-151281"/>
    <d v="2017-04-27T00:00:00"/>
    <d v="2017-05-02T00:00:00"/>
    <x v="1"/>
    <s v="HM-14980"/>
    <s v="Henry MacAllister"/>
    <x v="0"/>
    <s v="United States"/>
    <s v="Seattle"/>
    <s v="Washington"/>
    <x v="1"/>
    <s v="FUR-FU-10000397"/>
    <s v="Furniture"/>
    <x v="3"/>
    <x v="14"/>
    <n v="139.58000000000001"/>
    <n v="7"/>
    <n v="39.0824"/>
    <s v="5- days"/>
    <n v="5"/>
    <x v="6"/>
  </r>
  <r>
    <s v="CA-2015-108259"/>
    <d v="2015-11-08T00:00:00"/>
    <d v="2015-11-15T00:00:00"/>
    <x v="1"/>
    <s v="NS-18640"/>
    <s v="Noel Staavos"/>
    <x v="1"/>
    <s v="United States"/>
    <s v="Jacksonville"/>
    <s v="North Carolina"/>
    <x v="0"/>
    <s v="FUR-FU-10000023"/>
    <s v="Furniture"/>
    <x v="3"/>
    <x v="70"/>
    <n v="4.7119999999999997"/>
    <n v="1"/>
    <n v="1.4136"/>
    <s v="7- days"/>
    <n v="7"/>
    <x v="0"/>
  </r>
  <r>
    <s v="CA-2016-113341"/>
    <d v="2016-11-25T00:00:00"/>
    <d v="2016-11-29T00:00:00"/>
    <x v="1"/>
    <s v="MH-17455"/>
    <s v="Mark Hamilton"/>
    <x v="0"/>
    <s v="United States"/>
    <s v="Los Angeles"/>
    <s v="California"/>
    <x v="1"/>
    <s v="FUR-CH-10004698"/>
    <s v="Furniture"/>
    <x v="1"/>
    <x v="34"/>
    <n v="194.352"/>
    <n v="3"/>
    <n v="19.435199999999998"/>
    <s v="4- days"/>
    <n v="4"/>
    <x v="0"/>
  </r>
  <r>
    <s v="US-2015-131842"/>
    <d v="2015-12-05T00:00:00"/>
    <d v="2015-12-08T00:00:00"/>
    <x v="2"/>
    <s v="RR-19525"/>
    <s v="Rick Reed"/>
    <x v="1"/>
    <s v="United States"/>
    <s v="Nashville"/>
    <s v="Tennessee"/>
    <x v="0"/>
    <s v="FUR-CH-10004477"/>
    <s v="Furniture"/>
    <x v="1"/>
    <x v="42"/>
    <n v="97.424000000000007"/>
    <n v="2"/>
    <n v="10.9602"/>
    <s v="3- days"/>
    <n v="3"/>
    <x v="5"/>
  </r>
  <r>
    <s v="CA-2014-142769"/>
    <d v="2014-09-13T00:00:00"/>
    <d v="2014-09-13T00:00:00"/>
    <x v="3"/>
    <s v="RP-19390"/>
    <s v="Resi Pšlking"/>
    <x v="0"/>
    <s v="United States"/>
    <s v="Seattle"/>
    <s v="Washington"/>
    <x v="1"/>
    <s v="FUR-FU-10001918"/>
    <s v="Furniture"/>
    <x v="3"/>
    <x v="60"/>
    <n v="14.19"/>
    <n v="3"/>
    <n v="5.5340999999999996"/>
    <s v="0- days"/>
    <n v="0"/>
    <x v="4"/>
  </r>
  <r>
    <s v="CA-2017-124765"/>
    <d v="2017-11-25T00:00:00"/>
    <d v="2017-11-30T00:00:00"/>
    <x v="1"/>
    <s v="HZ-14950"/>
    <s v="Henia Zydlo"/>
    <x v="0"/>
    <s v="United States"/>
    <s v="Fort Lauderdale"/>
    <s v="Florida"/>
    <x v="0"/>
    <s v="FUR-BO-10003965"/>
    <s v="Furniture"/>
    <x v="0"/>
    <x v="208"/>
    <n v="723.92"/>
    <n v="5"/>
    <n v="-81.441000000000003"/>
    <s v="5- days"/>
    <n v="5"/>
    <x v="0"/>
  </r>
  <r>
    <s v="CA-2015-131856"/>
    <d v="2015-05-12T00:00:00"/>
    <d v="2015-05-17T00:00:00"/>
    <x v="1"/>
    <s v="JG-15160"/>
    <s v="James Galang"/>
    <x v="0"/>
    <s v="United States"/>
    <s v="Houston"/>
    <s v="Texas"/>
    <x v="3"/>
    <s v="FUR-FU-10000175"/>
    <s v="Furniture"/>
    <x v="3"/>
    <x v="338"/>
    <n v="21.968"/>
    <n v="4"/>
    <n v="-15.9268"/>
    <s v="5- days"/>
    <n v="5"/>
    <x v="7"/>
  </r>
  <r>
    <s v="CA-2017-126634"/>
    <d v="2017-03-30T00:00:00"/>
    <d v="2017-04-01T00:00:00"/>
    <x v="0"/>
    <s v="AB-10165"/>
    <s v="Alan Barnes"/>
    <x v="0"/>
    <s v="United States"/>
    <s v="Lakewood"/>
    <s v="California"/>
    <x v="1"/>
    <s v="FUR-FU-10004973"/>
    <s v="Furniture"/>
    <x v="3"/>
    <x v="223"/>
    <n v="94.2"/>
    <n v="5"/>
    <n v="39.564"/>
    <s v="2- days"/>
    <n v="2"/>
    <x v="9"/>
  </r>
  <r>
    <s v="US-2014-159611"/>
    <d v="2014-12-27T00:00:00"/>
    <d v="2015-01-01T00:00:00"/>
    <x v="0"/>
    <s v="KB-16315"/>
    <s v="Karl Braun"/>
    <x v="0"/>
    <s v="United States"/>
    <s v="Cleveland"/>
    <s v="Ohio"/>
    <x v="2"/>
    <s v="FUR-FU-10004904"/>
    <s v="Furniture"/>
    <x v="3"/>
    <x v="325"/>
    <n v="182.352"/>
    <n v="3"/>
    <n v="-18.235199999999999"/>
    <s v="5- days"/>
    <n v="5"/>
    <x v="5"/>
  </r>
  <r>
    <s v="CA-2017-163265"/>
    <d v="2017-02-16T00:00:00"/>
    <d v="2017-02-21T00:00:00"/>
    <x v="1"/>
    <s v="JS-16030"/>
    <s v="Joy Smith"/>
    <x v="0"/>
    <s v="United States"/>
    <s v="Decatur"/>
    <s v="Illinois"/>
    <x v="3"/>
    <s v="FUR-CH-10004063"/>
    <s v="Furniture"/>
    <x v="1"/>
    <x v="27"/>
    <n v="600.55799999999999"/>
    <n v="3"/>
    <n v="-8.5793999999999997"/>
    <s v="5- days"/>
    <n v="5"/>
    <x v="11"/>
  </r>
  <r>
    <s v="CA-2017-163265"/>
    <d v="2017-02-16T00:00:00"/>
    <d v="2017-02-21T00:00:00"/>
    <x v="1"/>
    <s v="JS-16030"/>
    <s v="Joy Smith"/>
    <x v="0"/>
    <s v="United States"/>
    <s v="Decatur"/>
    <s v="Illinois"/>
    <x v="3"/>
    <s v="FUR-FU-10004270"/>
    <s v="Furniture"/>
    <x v="3"/>
    <x v="276"/>
    <n v="7.6920000000000002"/>
    <n v="1"/>
    <n v="-3.6537000000000002"/>
    <s v="5- days"/>
    <n v="5"/>
    <x v="11"/>
  </r>
  <r>
    <s v="CA-2017-141705"/>
    <d v="2017-10-24T00:00:00"/>
    <d v="2017-10-26T00:00:00"/>
    <x v="2"/>
    <s v="PO-18850"/>
    <s v="Patrick O'Brill"/>
    <x v="0"/>
    <s v="United States"/>
    <s v="Mansfield"/>
    <s v="Texas"/>
    <x v="3"/>
    <s v="FUR-TA-10004607"/>
    <s v="Furniture"/>
    <x v="2"/>
    <x v="212"/>
    <n v="517.40499999999997"/>
    <n v="5"/>
    <n v="-81.3065"/>
    <s v="2- days"/>
    <n v="2"/>
    <x v="1"/>
  </r>
  <r>
    <s v="CA-2017-127096"/>
    <d v="2017-09-15T00:00:00"/>
    <d v="2017-09-17T00:00:00"/>
    <x v="0"/>
    <s v="CS-12400"/>
    <s v="Christopher Schild"/>
    <x v="2"/>
    <s v="United States"/>
    <s v="San Francisco"/>
    <s v="California"/>
    <x v="1"/>
    <s v="FUR-TA-10003473"/>
    <s v="Furniture"/>
    <x v="2"/>
    <x v="44"/>
    <n v="300.904"/>
    <n v="1"/>
    <n v="11.283899999999999"/>
    <s v="2- days"/>
    <n v="2"/>
    <x v="4"/>
  </r>
  <r>
    <s v="CA-2017-119284"/>
    <d v="2017-06-15T00:00:00"/>
    <d v="2017-06-20T00:00:00"/>
    <x v="1"/>
    <s v="TS-21205"/>
    <s v="Thomas Seio"/>
    <x v="1"/>
    <s v="United States"/>
    <s v="Nashville"/>
    <s v="Tennessee"/>
    <x v="0"/>
    <s v="FUR-FU-10004351"/>
    <s v="Furniture"/>
    <x v="3"/>
    <x v="47"/>
    <n v="31.167999999999999"/>
    <n v="4"/>
    <n v="9.3504000000000005"/>
    <s v="5- days"/>
    <n v="5"/>
    <x v="2"/>
  </r>
  <r>
    <s v="CA-2017-119284"/>
    <d v="2017-06-15T00:00:00"/>
    <d v="2017-06-20T00:00:00"/>
    <x v="1"/>
    <s v="TS-21205"/>
    <s v="Thomas Seio"/>
    <x v="1"/>
    <s v="United States"/>
    <s v="Nashville"/>
    <s v="Tennessee"/>
    <x v="0"/>
    <s v="FUR-TA-10004152"/>
    <s v="Furniture"/>
    <x v="2"/>
    <x v="308"/>
    <n v="120.96"/>
    <n v="2"/>
    <n v="-28.224"/>
    <s v="5- days"/>
    <n v="5"/>
    <x v="2"/>
  </r>
  <r>
    <s v="CA-2014-146815"/>
    <d v="2014-09-08T00:00:00"/>
    <d v="2014-09-13T00:00:00"/>
    <x v="1"/>
    <s v="PP-18955"/>
    <s v="Paul Prost"/>
    <x v="2"/>
    <s v="United States"/>
    <s v="New York City"/>
    <s v="New York"/>
    <x v="2"/>
    <s v="FUR-CH-10004289"/>
    <s v="Furniture"/>
    <x v="1"/>
    <x v="196"/>
    <n v="172.76400000000001"/>
    <n v="2"/>
    <n v="13.437200000000001"/>
    <s v="5- days"/>
    <n v="5"/>
    <x v="4"/>
  </r>
  <r>
    <s v="CA-2014-119144"/>
    <d v="2014-11-16T00:00:00"/>
    <d v="2014-11-18T00:00:00"/>
    <x v="2"/>
    <s v="JD-16150"/>
    <s v="Justin Deggeller"/>
    <x v="1"/>
    <s v="United States"/>
    <s v="Los Angeles"/>
    <s v="California"/>
    <x v="1"/>
    <s v="FUR-BO-10004015"/>
    <s v="Furniture"/>
    <x v="0"/>
    <x v="118"/>
    <n v="305.97449999999998"/>
    <n v="3"/>
    <n v="25.197900000000001"/>
    <s v="2- days"/>
    <n v="2"/>
    <x v="0"/>
  </r>
  <r>
    <s v="CA-2014-105648"/>
    <d v="2014-03-03T00:00:00"/>
    <d v="2014-03-07T00:00:00"/>
    <x v="1"/>
    <s v="EJ-14155"/>
    <s v="Eva Jacobs"/>
    <x v="0"/>
    <s v="United States"/>
    <s v="San Diego"/>
    <s v="California"/>
    <x v="1"/>
    <s v="FUR-TA-10002958"/>
    <s v="Furniture"/>
    <x v="2"/>
    <x v="192"/>
    <n v="626.35199999999998"/>
    <n v="3"/>
    <n v="-23.488199999999999"/>
    <s v="4- days"/>
    <n v="4"/>
    <x v="9"/>
  </r>
  <r>
    <s v="US-2015-145422"/>
    <d v="2015-12-03T00:00:00"/>
    <d v="2015-12-07T00:00:00"/>
    <x v="1"/>
    <s v="PW-19240"/>
    <s v="Pierre Wener"/>
    <x v="0"/>
    <s v="United States"/>
    <s v="San Francisco"/>
    <s v="California"/>
    <x v="1"/>
    <s v="FUR-BO-10002213"/>
    <s v="Furniture"/>
    <x v="0"/>
    <x v="263"/>
    <n v="359.49900000000002"/>
    <n v="3"/>
    <n v="-29.605799999999999"/>
    <s v="4- days"/>
    <n v="4"/>
    <x v="5"/>
  </r>
  <r>
    <s v="CA-2016-120824"/>
    <d v="2016-06-12T00:00:00"/>
    <d v="2016-06-16T00:00:00"/>
    <x v="0"/>
    <s v="AW-10930"/>
    <s v="Arthur Wiediger"/>
    <x v="2"/>
    <s v="United States"/>
    <s v="Houston"/>
    <s v="Texas"/>
    <x v="3"/>
    <s v="FUR-FU-10001424"/>
    <s v="Furniture"/>
    <x v="3"/>
    <x v="144"/>
    <n v="6.984"/>
    <n v="2"/>
    <n v="-4.5396000000000001"/>
    <s v="4- days"/>
    <n v="4"/>
    <x v="2"/>
  </r>
  <r>
    <s v="CA-2016-120824"/>
    <d v="2016-06-12T00:00:00"/>
    <d v="2016-06-16T00:00:00"/>
    <x v="0"/>
    <s v="AW-10930"/>
    <s v="Arthur Wiediger"/>
    <x v="2"/>
    <s v="United States"/>
    <s v="Houston"/>
    <s v="Texas"/>
    <x v="3"/>
    <s v="FUR-CH-10000229"/>
    <s v="Furniture"/>
    <x v="1"/>
    <x v="334"/>
    <n v="379.37200000000001"/>
    <n v="2"/>
    <n v="-119.2312"/>
    <s v="4- days"/>
    <n v="4"/>
    <x v="2"/>
  </r>
  <r>
    <s v="CA-2015-103870"/>
    <d v="2015-12-27T00:00:00"/>
    <d v="2015-12-31T00:00:00"/>
    <x v="1"/>
    <s v="SP-20860"/>
    <s v="Sung Pak"/>
    <x v="1"/>
    <s v="United States"/>
    <s v="Murfreesboro"/>
    <s v="Tennessee"/>
    <x v="0"/>
    <s v="FUR-FU-10002030"/>
    <s v="Furniture"/>
    <x v="3"/>
    <x v="377"/>
    <n v="53.351999999999997"/>
    <n v="3"/>
    <n v="16.005600000000001"/>
    <s v="4- days"/>
    <n v="4"/>
    <x v="5"/>
  </r>
  <r>
    <s v="CA-2015-103870"/>
    <d v="2015-12-27T00:00:00"/>
    <d v="2015-12-31T00:00:00"/>
    <x v="1"/>
    <s v="SP-20860"/>
    <s v="Sung Pak"/>
    <x v="1"/>
    <s v="United States"/>
    <s v="Murfreesboro"/>
    <s v="Tennessee"/>
    <x v="0"/>
    <s v="FUR-BO-10002853"/>
    <s v="Furniture"/>
    <x v="0"/>
    <x v="335"/>
    <n v="131.10400000000001"/>
    <n v="2"/>
    <n v="8.1940000000000008"/>
    <s v="4- days"/>
    <n v="4"/>
    <x v="5"/>
  </r>
  <r>
    <s v="CA-2017-116988"/>
    <d v="2017-06-27T00:00:00"/>
    <d v="2017-06-29T00:00:00"/>
    <x v="0"/>
    <s v="PW-19030"/>
    <s v="Pauline Webber"/>
    <x v="1"/>
    <s v="United States"/>
    <s v="Seattle"/>
    <s v="Washington"/>
    <x v="1"/>
    <s v="FUR-FU-10001290"/>
    <s v="Furniture"/>
    <x v="3"/>
    <x v="95"/>
    <n v="126.3"/>
    <n v="3"/>
    <n v="40.415999999999997"/>
    <s v="2- days"/>
    <n v="2"/>
    <x v="2"/>
  </r>
  <r>
    <s v="US-2015-144771"/>
    <d v="2015-10-02T00:00:00"/>
    <d v="2015-10-04T00:00:00"/>
    <x v="2"/>
    <s v="CK-12205"/>
    <s v="Chloris Kastensmidt"/>
    <x v="0"/>
    <s v="United States"/>
    <s v="Hillsboro"/>
    <s v="Oregon"/>
    <x v="1"/>
    <s v="FUR-FU-10000629"/>
    <s v="Furniture"/>
    <x v="3"/>
    <x v="22"/>
    <n v="11.032"/>
    <n v="1"/>
    <n v="3.0337999999999998"/>
    <s v="2- days"/>
    <n v="2"/>
    <x v="1"/>
  </r>
  <r>
    <s v="CA-2017-128076"/>
    <d v="2017-02-02T00:00:00"/>
    <d v="2017-02-07T00:00:00"/>
    <x v="1"/>
    <s v="BO-11350"/>
    <s v="Bill Overfelt"/>
    <x v="1"/>
    <s v="United States"/>
    <s v="San Diego"/>
    <s v="California"/>
    <x v="1"/>
    <s v="FUR-FU-10000293"/>
    <s v="Furniture"/>
    <x v="3"/>
    <x v="159"/>
    <n v="210.58"/>
    <n v="2"/>
    <n v="12.6348"/>
    <s v="5- days"/>
    <n v="5"/>
    <x v="11"/>
  </r>
  <r>
    <s v="CA-2016-114307"/>
    <d v="2016-07-22T00:00:00"/>
    <d v="2016-07-26T00:00:00"/>
    <x v="1"/>
    <s v="MF-17665"/>
    <s v="Maureen Fritzler"/>
    <x v="1"/>
    <s v="United States"/>
    <s v="Columbia"/>
    <s v="Maryland"/>
    <x v="2"/>
    <s v="FUR-FU-10000794"/>
    <s v="Furniture"/>
    <x v="3"/>
    <x v="138"/>
    <n v="27.42"/>
    <n v="3"/>
    <n v="9.3228000000000009"/>
    <s v="4- days"/>
    <n v="4"/>
    <x v="3"/>
  </r>
  <r>
    <s v="CA-2016-151148"/>
    <d v="2016-09-12T00:00:00"/>
    <d v="2016-09-13T00:00:00"/>
    <x v="3"/>
    <s v="PO-19180"/>
    <s v="Philisse Overcash"/>
    <x v="2"/>
    <s v="United States"/>
    <s v="Louisville"/>
    <s v="Colorado"/>
    <x v="1"/>
    <s v="FUR-CH-10002304"/>
    <s v="Furniture"/>
    <x v="1"/>
    <x v="158"/>
    <n v="83.135999999999996"/>
    <n v="4"/>
    <n v="5.1959999999999997"/>
    <s v="1- days"/>
    <n v="1"/>
    <x v="4"/>
  </r>
  <r>
    <s v="CA-2016-102813"/>
    <d v="2016-07-02T00:00:00"/>
    <d v="2016-07-03T00:00:00"/>
    <x v="2"/>
    <s v="EA-14035"/>
    <s v="Erin Ashbrook"/>
    <x v="1"/>
    <s v="United States"/>
    <s v="Huntsville"/>
    <s v="Texas"/>
    <x v="3"/>
    <s v="FUR-CH-10000665"/>
    <s v="Furniture"/>
    <x v="1"/>
    <x v="140"/>
    <n v="528.42999999999995"/>
    <n v="5"/>
    <n v="0"/>
    <s v="1- days"/>
    <n v="1"/>
    <x v="3"/>
  </r>
  <r>
    <s v="CA-2017-135377"/>
    <d v="2017-12-13T00:00:00"/>
    <d v="2017-12-18T00:00:00"/>
    <x v="1"/>
    <s v="BP-11095"/>
    <s v="Bart Pistole"/>
    <x v="1"/>
    <s v="United States"/>
    <s v="New York City"/>
    <s v="New York"/>
    <x v="2"/>
    <s v="FUR-BO-10004015"/>
    <s v="Furniture"/>
    <x v="0"/>
    <x v="118"/>
    <n v="287.976"/>
    <n v="3"/>
    <n v="7.1993999999999998"/>
    <s v="5- days"/>
    <n v="5"/>
    <x v="5"/>
  </r>
  <r>
    <s v="CA-2015-133585"/>
    <d v="2015-03-01T00:00:00"/>
    <d v="2015-03-04T00:00:00"/>
    <x v="2"/>
    <s v="CM-12715"/>
    <s v="Craig Molinari"/>
    <x v="1"/>
    <s v="United States"/>
    <s v="Houston"/>
    <s v="Texas"/>
    <x v="3"/>
    <s v="FUR-BO-10001811"/>
    <s v="Furniture"/>
    <x v="0"/>
    <x v="157"/>
    <n v="1227.9983999999999"/>
    <n v="6"/>
    <n v="-36.117600000000003"/>
    <s v="3- days"/>
    <n v="3"/>
    <x v="9"/>
  </r>
  <r>
    <s v="CA-2016-116911"/>
    <d v="2016-09-15T00:00:00"/>
    <d v="2016-09-20T00:00:00"/>
    <x v="1"/>
    <s v="JD-16150"/>
    <s v="Justin Deggeller"/>
    <x v="1"/>
    <s v="United States"/>
    <s v="Twin Falls"/>
    <s v="Idaho"/>
    <x v="1"/>
    <s v="FUR-TA-10003473"/>
    <s v="Furniture"/>
    <x v="2"/>
    <x v="44"/>
    <n v="1128.3900000000001"/>
    <n v="3"/>
    <n v="259.52969999999999"/>
    <s v="5- days"/>
    <n v="5"/>
    <x v="4"/>
  </r>
  <r>
    <s v="CA-2017-126914"/>
    <d v="2017-06-15T00:00:00"/>
    <d v="2017-06-19T00:00:00"/>
    <x v="1"/>
    <s v="JE-15715"/>
    <s v="Joe Elijah"/>
    <x v="0"/>
    <s v="United States"/>
    <s v="Monroe"/>
    <s v="North Carolina"/>
    <x v="0"/>
    <s v="FUR-CH-10000847"/>
    <s v="Furniture"/>
    <x v="1"/>
    <x v="199"/>
    <n v="698.35199999999998"/>
    <n v="3"/>
    <n v="52.376399999999997"/>
    <s v="4- days"/>
    <n v="4"/>
    <x v="2"/>
  </r>
  <r>
    <s v="CA-2017-126914"/>
    <d v="2017-06-15T00:00:00"/>
    <d v="2017-06-19T00:00:00"/>
    <x v="1"/>
    <s v="JE-15715"/>
    <s v="Joe Elijah"/>
    <x v="0"/>
    <s v="United States"/>
    <s v="Monroe"/>
    <s v="North Carolina"/>
    <x v="0"/>
    <s v="FUR-BO-10000468"/>
    <s v="Furniture"/>
    <x v="0"/>
    <x v="233"/>
    <n v="77.727999999999994"/>
    <n v="2"/>
    <n v="-3.8864000000000001"/>
    <s v="4- days"/>
    <n v="4"/>
    <x v="2"/>
  </r>
  <r>
    <s v="CA-2016-140935"/>
    <d v="2016-11-10T00:00:00"/>
    <d v="2016-11-12T00:00:00"/>
    <x v="2"/>
    <s v="AB-10015"/>
    <s v="Aaron Bergman"/>
    <x v="0"/>
    <s v="United States"/>
    <s v="Oklahoma City"/>
    <s v="Oklahoma"/>
    <x v="3"/>
    <s v="FUR-BO-10003966"/>
    <s v="Furniture"/>
    <x v="0"/>
    <x v="210"/>
    <n v="341.96"/>
    <n v="2"/>
    <n v="54.7136"/>
    <s v="2- days"/>
    <n v="2"/>
    <x v="0"/>
  </r>
  <r>
    <s v="CA-2016-113082"/>
    <d v="2016-09-12T00:00:00"/>
    <d v="2016-09-16T00:00:00"/>
    <x v="1"/>
    <s v="MC-17590"/>
    <s v="Matt Collister"/>
    <x v="1"/>
    <s v="United States"/>
    <s v="Utica"/>
    <s v="New York"/>
    <x v="2"/>
    <s v="FUR-FU-10002813"/>
    <s v="Furniture"/>
    <x v="3"/>
    <x v="350"/>
    <n v="40.479999999999997"/>
    <n v="2"/>
    <n v="14.572800000000001"/>
    <s v="4- days"/>
    <n v="4"/>
    <x v="4"/>
  </r>
  <r>
    <s v="CA-2015-127754"/>
    <d v="2015-07-26T00:00:00"/>
    <d v="2015-07-31T00:00:00"/>
    <x v="1"/>
    <s v="CK-12760"/>
    <s v="Cyma Kinney"/>
    <x v="1"/>
    <s v="United States"/>
    <s v="Glendale"/>
    <s v="Arizona"/>
    <x v="1"/>
    <s v="FUR-CH-10003199"/>
    <s v="Furniture"/>
    <x v="1"/>
    <x v="136"/>
    <n v="266.35199999999998"/>
    <n v="3"/>
    <n v="13.317600000000001"/>
    <s v="5- days"/>
    <n v="5"/>
    <x v="3"/>
  </r>
  <r>
    <s v="CA-2015-145324"/>
    <d v="2015-11-15T00:00:00"/>
    <d v="2015-11-19T00:00:00"/>
    <x v="1"/>
    <s v="DH-13675"/>
    <s v="Duane Huffman"/>
    <x v="2"/>
    <s v="United States"/>
    <s v="Harrisonburg"/>
    <s v="Virginia"/>
    <x v="0"/>
    <s v="FUR-FU-10002759"/>
    <s v="Furniture"/>
    <x v="3"/>
    <x v="115"/>
    <n v="39.96"/>
    <n v="2"/>
    <n v="14.3856"/>
    <s v="4- days"/>
    <n v="4"/>
    <x v="0"/>
  </r>
  <r>
    <s v="CA-2015-140718"/>
    <d v="2015-07-02T00:00:00"/>
    <d v="2015-07-04T00:00:00"/>
    <x v="2"/>
    <s v="FA-14230"/>
    <s v="Frank Atkinson"/>
    <x v="1"/>
    <s v="United States"/>
    <s v="Raleigh"/>
    <s v="North Carolina"/>
    <x v="0"/>
    <s v="FUR-FU-10000076"/>
    <s v="Furniture"/>
    <x v="3"/>
    <x v="175"/>
    <n v="159.84"/>
    <n v="10"/>
    <n v="45.954000000000001"/>
    <s v="2- days"/>
    <n v="2"/>
    <x v="3"/>
  </r>
  <r>
    <s v="CA-2015-125934"/>
    <d v="2015-09-11T00:00:00"/>
    <d v="2015-09-18T00:00:00"/>
    <x v="1"/>
    <s v="SN-20560"/>
    <s v="Skye Norling"/>
    <x v="2"/>
    <s v="United States"/>
    <s v="Paterson"/>
    <s v="New Jersey"/>
    <x v="2"/>
    <s v="FUR-FU-10002107"/>
    <s v="Furniture"/>
    <x v="3"/>
    <x v="262"/>
    <n v="8.92"/>
    <n v="4"/>
    <n v="3.9247999999999998"/>
    <s v="7- days"/>
    <n v="7"/>
    <x v="4"/>
  </r>
  <r>
    <s v="CA-2014-120411"/>
    <d v="2014-09-20T00:00:00"/>
    <d v="2014-09-23T00:00:00"/>
    <x v="2"/>
    <s v="SB-20185"/>
    <s v="Sarah Brown"/>
    <x v="0"/>
    <s v="United States"/>
    <s v="Chicago"/>
    <s v="Illinois"/>
    <x v="3"/>
    <s v="FUR-BO-10004218"/>
    <s v="Furniture"/>
    <x v="0"/>
    <x v="327"/>
    <n v="493.43"/>
    <n v="5"/>
    <n v="-70.489999999999995"/>
    <s v="3- days"/>
    <n v="3"/>
    <x v="4"/>
  </r>
  <r>
    <s v="CA-2017-101805"/>
    <d v="2017-12-01T00:00:00"/>
    <d v="2017-12-06T00:00:00"/>
    <x v="1"/>
    <s v="SH-19975"/>
    <s v="Sally Hughsby"/>
    <x v="1"/>
    <s v="United States"/>
    <s v="Seattle"/>
    <s v="Washington"/>
    <x v="1"/>
    <s v="FUR-FU-10000023"/>
    <s v="Furniture"/>
    <x v="3"/>
    <x v="70"/>
    <n v="70.680000000000007"/>
    <n v="12"/>
    <n v="31.0992"/>
    <s v="5- days"/>
    <n v="5"/>
    <x v="5"/>
  </r>
  <r>
    <s v="CA-2017-103968"/>
    <d v="2017-12-01T00:00:00"/>
    <d v="2017-12-07T00:00:00"/>
    <x v="1"/>
    <s v="ML-17755"/>
    <s v="Max Ludwig"/>
    <x v="2"/>
    <s v="United States"/>
    <s v="Stockton"/>
    <s v="California"/>
    <x v="1"/>
    <s v="FUR-FU-10003394"/>
    <s v="Furniture"/>
    <x v="3"/>
    <x v="120"/>
    <n v="629.64"/>
    <n v="9"/>
    <n v="107.03879999999999"/>
    <s v="6- days"/>
    <n v="6"/>
    <x v="5"/>
  </r>
  <r>
    <s v="CA-2016-162159"/>
    <d v="2016-09-16T00:00:00"/>
    <d v="2016-09-18T00:00:00"/>
    <x v="2"/>
    <s v="CR-12625"/>
    <s v="Corey Roper"/>
    <x v="2"/>
    <s v="United States"/>
    <s v="Columbus"/>
    <s v="Georgia"/>
    <x v="0"/>
    <s v="FUR-CH-10001146"/>
    <s v="Furniture"/>
    <x v="1"/>
    <x v="15"/>
    <n v="121.78"/>
    <n v="2"/>
    <n v="30.445"/>
    <s v="2- days"/>
    <n v="2"/>
    <x v="4"/>
  </r>
  <r>
    <s v="CA-2015-111038"/>
    <d v="2015-12-01T00:00:00"/>
    <d v="2015-12-06T00:00:00"/>
    <x v="1"/>
    <s v="LC-16960"/>
    <s v="Lindsay Castell"/>
    <x v="2"/>
    <s v="United States"/>
    <s v="San Diego"/>
    <s v="California"/>
    <x v="1"/>
    <s v="FUR-CH-10003973"/>
    <s v="Furniture"/>
    <x v="1"/>
    <x v="171"/>
    <n v="2676.672"/>
    <n v="9"/>
    <n v="267.66719999999998"/>
    <s v="5- days"/>
    <n v="5"/>
    <x v="5"/>
  </r>
  <r>
    <s v="CA-2014-124723"/>
    <d v="2014-08-05T00:00:00"/>
    <d v="2014-08-12T00:00:00"/>
    <x v="1"/>
    <s v="GZ-14470"/>
    <s v="Gary Zandusky"/>
    <x v="0"/>
    <s v="United States"/>
    <s v="Texas City"/>
    <s v="Texas"/>
    <x v="3"/>
    <s v="FUR-TA-10001307"/>
    <s v="Furniture"/>
    <x v="2"/>
    <x v="211"/>
    <n v="489.23"/>
    <n v="2"/>
    <n v="41.933999999999997"/>
    <s v="7- days"/>
    <n v="7"/>
    <x v="10"/>
  </r>
  <r>
    <s v="CA-2016-167241"/>
    <d v="2016-08-15T00:00:00"/>
    <d v="2016-08-22T00:00:00"/>
    <x v="1"/>
    <s v="BD-11320"/>
    <s v="Bill Donatelli"/>
    <x v="0"/>
    <s v="United States"/>
    <s v="Los Angeles"/>
    <s v="California"/>
    <x v="1"/>
    <s v="FUR-FU-10004071"/>
    <s v="Furniture"/>
    <x v="3"/>
    <x v="119"/>
    <n v="312.02999999999997"/>
    <n v="3"/>
    <n v="43.684199999999997"/>
    <s v="7- days"/>
    <n v="7"/>
    <x v="10"/>
  </r>
  <r>
    <s v="CA-2016-150483"/>
    <d v="2016-05-31T00:00:00"/>
    <d v="2016-06-04T00:00:00"/>
    <x v="1"/>
    <s v="BP-11290"/>
    <s v="Beth Paige"/>
    <x v="0"/>
    <s v="United States"/>
    <s v="Decatur"/>
    <s v="Illinois"/>
    <x v="3"/>
    <s v="FUR-FU-10001379"/>
    <s v="Furniture"/>
    <x v="3"/>
    <x v="376"/>
    <n v="32.064"/>
    <n v="3"/>
    <n v="-12.8256"/>
    <s v="4- days"/>
    <n v="4"/>
    <x v="7"/>
  </r>
  <r>
    <s v="CA-2016-150483"/>
    <d v="2016-05-31T00:00:00"/>
    <d v="2016-06-04T00:00:00"/>
    <x v="1"/>
    <s v="BP-11290"/>
    <s v="Beth Paige"/>
    <x v="0"/>
    <s v="United States"/>
    <s v="Decatur"/>
    <s v="Illinois"/>
    <x v="3"/>
    <s v="FUR-CH-10000422"/>
    <s v="Furniture"/>
    <x v="1"/>
    <x v="287"/>
    <n v="191.07900000000001"/>
    <n v="3"/>
    <n v="-38.215800000000002"/>
    <s v="4- days"/>
    <n v="4"/>
    <x v="7"/>
  </r>
  <r>
    <s v="CA-2014-160276"/>
    <d v="2014-04-02T00:00:00"/>
    <d v="2014-04-08T00:00:00"/>
    <x v="1"/>
    <s v="AH-10690"/>
    <s v="Anna HŠberlin"/>
    <x v="1"/>
    <s v="United States"/>
    <s v="Virginia Beach"/>
    <s v="Virginia"/>
    <x v="0"/>
    <s v="FUR-FU-10003192"/>
    <s v="Furniture"/>
    <x v="3"/>
    <x v="357"/>
    <n v="177.68"/>
    <n v="2"/>
    <n v="46.196800000000003"/>
    <s v="6- days"/>
    <n v="6"/>
    <x v="6"/>
  </r>
  <r>
    <s v="CA-2016-145709"/>
    <d v="2016-10-04T00:00:00"/>
    <d v="2016-10-08T00:00:00"/>
    <x v="1"/>
    <s v="AH-10690"/>
    <s v="Anna HŠberlin"/>
    <x v="1"/>
    <s v="United States"/>
    <s v="Coral Gables"/>
    <s v="Florida"/>
    <x v="0"/>
    <s v="FUR-FU-10002885"/>
    <s v="Furniture"/>
    <x v="3"/>
    <x v="152"/>
    <n v="11.568"/>
    <n v="3"/>
    <n v="2.6027999999999998"/>
    <s v="4- days"/>
    <n v="4"/>
    <x v="1"/>
  </r>
  <r>
    <s v="CA-2016-168032"/>
    <d v="2016-01-30T00:00:00"/>
    <d v="2016-02-03T00:00:00"/>
    <x v="1"/>
    <s v="DF-13135"/>
    <s v="David Flashing"/>
    <x v="0"/>
    <s v="United States"/>
    <s v="Rockford"/>
    <s v="Illinois"/>
    <x v="3"/>
    <s v="FUR-TA-10004256"/>
    <s v="Furniture"/>
    <x v="2"/>
    <x v="103"/>
    <n v="626.1"/>
    <n v="3"/>
    <n v="-538.44600000000003"/>
    <s v="4- days"/>
    <n v="4"/>
    <x v="8"/>
  </r>
  <r>
    <s v="US-2015-168704"/>
    <d v="2015-04-13T00:00:00"/>
    <d v="2015-04-17T00:00:00"/>
    <x v="1"/>
    <s v="FP-14320"/>
    <s v="Frank Preis"/>
    <x v="0"/>
    <s v="United States"/>
    <s v="Huntsville"/>
    <s v="Texas"/>
    <x v="3"/>
    <s v="FUR-TA-10000688"/>
    <s v="Furniture"/>
    <x v="2"/>
    <x v="116"/>
    <n v="609.98"/>
    <n v="4"/>
    <n v="-113.282"/>
    <s v="4- days"/>
    <n v="4"/>
    <x v="6"/>
  </r>
  <r>
    <s v="US-2015-168704"/>
    <d v="2015-04-13T00:00:00"/>
    <d v="2015-04-17T00:00:00"/>
    <x v="1"/>
    <s v="FP-14320"/>
    <s v="Frank Preis"/>
    <x v="0"/>
    <s v="United States"/>
    <s v="Huntsville"/>
    <s v="Texas"/>
    <x v="3"/>
    <s v="FUR-TA-10002530"/>
    <s v="Furniture"/>
    <x v="2"/>
    <x v="197"/>
    <n v="211.37200000000001"/>
    <n v="2"/>
    <n v="-45.293999999999997"/>
    <s v="4- days"/>
    <n v="4"/>
    <x v="6"/>
  </r>
  <r>
    <s v="CA-2017-143252"/>
    <d v="2017-12-18T00:00:00"/>
    <d v="2017-12-24T00:00:00"/>
    <x v="1"/>
    <s v="HE-14800"/>
    <s v="Harold Engle"/>
    <x v="1"/>
    <s v="United States"/>
    <s v="Milwaukee"/>
    <s v="Wisconsin"/>
    <x v="3"/>
    <s v="FUR-FU-10001057"/>
    <s v="Furniture"/>
    <x v="3"/>
    <x v="369"/>
    <n v="99.95"/>
    <n v="5"/>
    <n v="22.988499999999998"/>
    <s v="6- days"/>
    <n v="6"/>
    <x v="5"/>
  </r>
  <r>
    <s v="CA-2016-102134"/>
    <d v="2016-03-14T00:00:00"/>
    <d v="2016-03-19T00:00:00"/>
    <x v="1"/>
    <s v="SP-20545"/>
    <s v="Sibella Parks"/>
    <x v="1"/>
    <s v="United States"/>
    <s v="Green Bay"/>
    <s v="Wisconsin"/>
    <x v="3"/>
    <s v="FUR-FU-10003724"/>
    <s v="Furniture"/>
    <x v="3"/>
    <x v="181"/>
    <n v="16.739999999999998"/>
    <n v="2"/>
    <n v="4.3524000000000003"/>
    <s v="5- days"/>
    <n v="5"/>
    <x v="9"/>
  </r>
  <r>
    <s v="CA-2017-111717"/>
    <d v="2017-10-10T00:00:00"/>
    <d v="2017-10-16T00:00:00"/>
    <x v="1"/>
    <s v="SW-20245"/>
    <s v="Scot Wooten"/>
    <x v="0"/>
    <s v="United States"/>
    <s v="Aurora"/>
    <s v="Illinois"/>
    <x v="3"/>
    <s v="FUR-CH-10001545"/>
    <s v="Furniture"/>
    <x v="1"/>
    <x v="361"/>
    <n v="239.358"/>
    <n v="3"/>
    <n v="-47.871600000000001"/>
    <s v="6- days"/>
    <n v="6"/>
    <x v="1"/>
  </r>
  <r>
    <s v="CA-2017-150910"/>
    <d v="2017-12-22T00:00:00"/>
    <d v="2017-12-28T00:00:00"/>
    <x v="1"/>
    <s v="JL-15130"/>
    <s v="Jack Lebron"/>
    <x v="0"/>
    <s v="United States"/>
    <s v="Jackson"/>
    <s v="Tennessee"/>
    <x v="0"/>
    <s v="FUR-TA-10002903"/>
    <s v="Furniture"/>
    <x v="2"/>
    <x v="52"/>
    <n v="934.95600000000002"/>
    <n v="6"/>
    <n v="-249.32159999999999"/>
    <s v="6- days"/>
    <n v="6"/>
    <x v="5"/>
  </r>
  <r>
    <s v="CA-2014-156790"/>
    <d v="2014-08-08T00:00:00"/>
    <d v="2014-08-10T00:00:00"/>
    <x v="0"/>
    <s v="VG-21790"/>
    <s v="Vivek Gonzalez"/>
    <x v="0"/>
    <s v="United States"/>
    <s v="Jacksonville"/>
    <s v="Florida"/>
    <x v="0"/>
    <s v="FUR-BO-10000468"/>
    <s v="Furniture"/>
    <x v="0"/>
    <x v="233"/>
    <n v="155.45599999999999"/>
    <n v="4"/>
    <n v="-7.7728000000000002"/>
    <s v="2- days"/>
    <n v="2"/>
    <x v="10"/>
  </r>
  <r>
    <s v="CA-2017-105620"/>
    <d v="2017-12-25T00:00:00"/>
    <d v="2017-12-28T00:00:00"/>
    <x v="2"/>
    <s v="JH-15430"/>
    <s v="Jennifer Halladay"/>
    <x v="0"/>
    <s v="United States"/>
    <s v="Hialeah"/>
    <s v="Florida"/>
    <x v="0"/>
    <s v="FUR-FU-10004963"/>
    <s v="Furniture"/>
    <x v="3"/>
    <x v="289"/>
    <n v="21"/>
    <n v="3"/>
    <n v="5.7750000000000004"/>
    <s v="3- days"/>
    <n v="3"/>
    <x v="5"/>
  </r>
  <r>
    <s v="CA-2017-150266"/>
    <d v="2017-11-25T00:00:00"/>
    <d v="2017-11-30T00:00:00"/>
    <x v="1"/>
    <s v="RO-19780"/>
    <s v="Rose O'Brian"/>
    <x v="0"/>
    <s v="United States"/>
    <s v="Houston"/>
    <s v="Texas"/>
    <x v="3"/>
    <s v="FUR-CH-10002126"/>
    <s v="Furniture"/>
    <x v="1"/>
    <x v="168"/>
    <n v="853.93"/>
    <n v="5"/>
    <n v="-24.398"/>
    <s v="5- days"/>
    <n v="5"/>
    <x v="0"/>
  </r>
  <r>
    <s v="CA-2016-157280"/>
    <d v="2016-11-05T00:00:00"/>
    <d v="2016-11-07T00:00:00"/>
    <x v="2"/>
    <s v="LW-17125"/>
    <s v="Liz Willingham"/>
    <x v="0"/>
    <s v="United States"/>
    <s v="Virginia Beach"/>
    <s v="Virginia"/>
    <x v="0"/>
    <s v="FUR-FU-10004665"/>
    <s v="Furniture"/>
    <x v="3"/>
    <x v="266"/>
    <n v="273.95999999999998"/>
    <n v="2"/>
    <n v="71.229600000000005"/>
    <s v="2- days"/>
    <n v="2"/>
    <x v="0"/>
  </r>
  <r>
    <s v="CA-2016-157280"/>
    <d v="2016-11-05T00:00:00"/>
    <d v="2016-11-07T00:00:00"/>
    <x v="2"/>
    <s v="LW-17125"/>
    <s v="Liz Willingham"/>
    <x v="0"/>
    <s v="United States"/>
    <s v="Virginia Beach"/>
    <s v="Virginia"/>
    <x v="0"/>
    <s v="FUR-FU-10003806"/>
    <s v="Furniture"/>
    <x v="3"/>
    <x v="372"/>
    <n v="756.8"/>
    <n v="5"/>
    <n v="75.680000000000007"/>
    <s v="2- days"/>
    <n v="2"/>
    <x v="0"/>
  </r>
  <r>
    <s v="CA-2016-134180"/>
    <d v="2016-11-03T00:00:00"/>
    <d v="2016-11-07T00:00:00"/>
    <x v="1"/>
    <s v="JP-16135"/>
    <s v="Julie Prescott"/>
    <x v="2"/>
    <s v="United States"/>
    <s v="Philadelphia"/>
    <s v="Pennsylvania"/>
    <x v="2"/>
    <s v="FUR-CH-10004886"/>
    <s v="Furniture"/>
    <x v="1"/>
    <x v="77"/>
    <n v="470.15499999999997"/>
    <n v="7"/>
    <n v="-13.433"/>
    <s v="4- days"/>
    <n v="4"/>
    <x v="0"/>
  </r>
  <r>
    <s v="CA-2017-122308"/>
    <d v="2017-03-24T00:00:00"/>
    <d v="2017-03-28T00:00:00"/>
    <x v="1"/>
    <s v="MV-17485"/>
    <s v="Mark Van Huff"/>
    <x v="0"/>
    <s v="United States"/>
    <s v="New York City"/>
    <s v="New York"/>
    <x v="2"/>
    <s v="FUR-CH-10000665"/>
    <s v="Furniture"/>
    <x v="1"/>
    <x v="140"/>
    <n v="271.76400000000001"/>
    <n v="2"/>
    <n v="60.392000000000003"/>
    <s v="4- days"/>
    <n v="4"/>
    <x v="9"/>
  </r>
  <r>
    <s v="CA-2017-159226"/>
    <d v="2017-04-25T00:00:00"/>
    <d v="2017-04-27T00:00:00"/>
    <x v="0"/>
    <s v="RL-19615"/>
    <s v="Rob Lucas"/>
    <x v="0"/>
    <s v="United States"/>
    <s v="Los Angeles"/>
    <s v="California"/>
    <x v="1"/>
    <s v="FUR-BO-10004709"/>
    <s v="Furniture"/>
    <x v="0"/>
    <x v="53"/>
    <n v="344.98099999999999"/>
    <n v="7"/>
    <n v="28.4102"/>
    <s v="2- days"/>
    <n v="2"/>
    <x v="6"/>
  </r>
  <r>
    <s v="CA-2017-156622"/>
    <d v="2017-11-23T00:00:00"/>
    <d v="2017-11-26T00:00:00"/>
    <x v="2"/>
    <s v="JP-15460"/>
    <s v="Jennifer Patt"/>
    <x v="1"/>
    <s v="United States"/>
    <s v="Dallas"/>
    <s v="Texas"/>
    <x v="3"/>
    <s v="FUR-TA-10003008"/>
    <s v="Furniture"/>
    <x v="2"/>
    <x v="190"/>
    <n v="127.785"/>
    <n v="1"/>
    <n v="-31.0335"/>
    <s v="3- days"/>
    <n v="3"/>
    <x v="0"/>
  </r>
  <r>
    <s v="CA-2016-110898"/>
    <d v="2016-03-06T00:00:00"/>
    <d v="2016-03-12T00:00:00"/>
    <x v="1"/>
    <s v="LC-16870"/>
    <s v="Lena Cacioppo"/>
    <x v="0"/>
    <s v="United States"/>
    <s v="Chicago"/>
    <s v="Illinois"/>
    <x v="3"/>
    <s v="FUR-FU-10003773"/>
    <s v="Furniture"/>
    <x v="3"/>
    <x v="30"/>
    <n v="159.04"/>
    <n v="5"/>
    <n v="-194.82400000000001"/>
    <s v="6- days"/>
    <n v="6"/>
    <x v="9"/>
  </r>
  <r>
    <s v="CA-2016-110898"/>
    <d v="2016-03-06T00:00:00"/>
    <d v="2016-03-12T00:00:00"/>
    <x v="1"/>
    <s v="LC-16870"/>
    <s v="Lena Cacioppo"/>
    <x v="0"/>
    <s v="United States"/>
    <s v="Chicago"/>
    <s v="Illinois"/>
    <x v="3"/>
    <s v="FUR-TA-10000849"/>
    <s v="Furniture"/>
    <x v="2"/>
    <x v="261"/>
    <n v="145.97999999999999"/>
    <n v="2"/>
    <n v="-99.266400000000004"/>
    <s v="6- days"/>
    <n v="6"/>
    <x v="9"/>
  </r>
  <r>
    <s v="CA-2015-123092"/>
    <d v="2015-12-03T00:00:00"/>
    <d v="2015-12-07T00:00:00"/>
    <x v="1"/>
    <s v="JG-15115"/>
    <s v="Jack Garza"/>
    <x v="0"/>
    <s v="United States"/>
    <s v="Jacksonville"/>
    <s v="North Carolina"/>
    <x v="0"/>
    <s v="FUR-FU-10000222"/>
    <s v="Furniture"/>
    <x v="3"/>
    <x v="125"/>
    <n v="77.951999999999998"/>
    <n v="3"/>
    <n v="12.667199999999999"/>
    <s v="4- days"/>
    <n v="4"/>
    <x v="5"/>
  </r>
  <r>
    <s v="US-2015-128587"/>
    <d v="2015-12-24T00:00:00"/>
    <d v="2015-12-30T00:00:00"/>
    <x v="1"/>
    <s v="HM-14860"/>
    <s v="Harry Marie"/>
    <x v="1"/>
    <s v="United States"/>
    <s v="Springfield"/>
    <s v="Missouri"/>
    <x v="3"/>
    <s v="FUR-FU-10003026"/>
    <s v="Furniture"/>
    <x v="3"/>
    <x v="318"/>
    <n v="9.68"/>
    <n v="2"/>
    <n v="3.7751999999999999"/>
    <s v="6- days"/>
    <n v="6"/>
    <x v="5"/>
  </r>
  <r>
    <s v="CA-2017-159100"/>
    <d v="2017-10-16T00:00:00"/>
    <d v="2017-10-21T00:00:00"/>
    <x v="1"/>
    <s v="VP-21760"/>
    <s v="Victoria Pisteka"/>
    <x v="1"/>
    <s v="United States"/>
    <s v="Columbia"/>
    <s v="Tennessee"/>
    <x v="0"/>
    <s v="FUR-TA-10001950"/>
    <s v="Furniture"/>
    <x v="2"/>
    <x v="252"/>
    <n v="1875.258"/>
    <n v="7"/>
    <n v="-968.88329999999996"/>
    <s v="5- days"/>
    <n v="5"/>
    <x v="1"/>
  </r>
  <r>
    <s v="CA-2017-137785"/>
    <d v="2017-05-13T00:00:00"/>
    <d v="2017-05-17T00:00:00"/>
    <x v="1"/>
    <s v="MH-18115"/>
    <s v="Mick Hernandez"/>
    <x v="2"/>
    <s v="United States"/>
    <s v="Philadelphia"/>
    <s v="Pennsylvania"/>
    <x v="2"/>
    <s v="FUR-CH-10001482"/>
    <s v="Furniture"/>
    <x v="1"/>
    <x v="112"/>
    <n v="458.43"/>
    <n v="5"/>
    <n v="-124.431"/>
    <s v="4- days"/>
    <n v="4"/>
    <x v="7"/>
  </r>
  <r>
    <s v="CA-2017-107825"/>
    <d v="2017-11-18T00:00:00"/>
    <d v="2017-11-18T00:00:00"/>
    <x v="3"/>
    <s v="NB-18655"/>
    <s v="Nona Balk"/>
    <x v="1"/>
    <s v="United States"/>
    <s v="Milwaukee"/>
    <s v="Wisconsin"/>
    <x v="3"/>
    <s v="FUR-FU-10000206"/>
    <s v="Furniture"/>
    <x v="3"/>
    <x v="84"/>
    <n v="5.82"/>
    <n v="2"/>
    <n v="2.7353999999999998"/>
    <s v="0- days"/>
    <n v="0"/>
    <x v="0"/>
  </r>
  <r>
    <s v="CA-2016-121447"/>
    <d v="2016-02-21T00:00:00"/>
    <d v="2016-02-22T00:00:00"/>
    <x v="2"/>
    <s v="EA-14035"/>
    <s v="Erin Ashbrook"/>
    <x v="1"/>
    <s v="United States"/>
    <s v="New York City"/>
    <s v="New York"/>
    <x v="2"/>
    <s v="FUR-FU-10001861"/>
    <s v="Furniture"/>
    <x v="3"/>
    <x v="57"/>
    <n v="135.80000000000001"/>
    <n v="7"/>
    <n v="66.542000000000002"/>
    <s v="1- days"/>
    <n v="1"/>
    <x v="11"/>
  </r>
  <r>
    <s v="CA-2014-100706"/>
    <d v="2014-12-16T00:00:00"/>
    <d v="2014-12-18T00:00:00"/>
    <x v="0"/>
    <s v="LE-16810"/>
    <s v="Laurel Elliston"/>
    <x v="0"/>
    <s v="United States"/>
    <s v="Springfield"/>
    <s v="Virginia"/>
    <x v="0"/>
    <s v="FUR-FU-10002268"/>
    <s v="Furniture"/>
    <x v="3"/>
    <x v="172"/>
    <n v="29.46"/>
    <n v="6"/>
    <n v="9.7218"/>
    <s v="2- days"/>
    <n v="2"/>
    <x v="5"/>
  </r>
  <r>
    <s v="US-2016-141880"/>
    <d v="2016-08-22T00:00:00"/>
    <d v="2016-08-23T00:00:00"/>
    <x v="2"/>
    <s v="TC-21475"/>
    <s v="Tony Chapman"/>
    <x v="2"/>
    <s v="United States"/>
    <s v="Fort Collins"/>
    <s v="Colorado"/>
    <x v="1"/>
    <s v="FUR-FU-10001979"/>
    <s v="Furniture"/>
    <x v="3"/>
    <x v="107"/>
    <n v="98.328000000000003"/>
    <n v="3"/>
    <n v="9.8328000000000007"/>
    <s v="1- days"/>
    <n v="1"/>
    <x v="10"/>
  </r>
  <r>
    <s v="CA-2015-165799"/>
    <d v="2015-06-29T00:00:00"/>
    <d v="2015-07-02T00:00:00"/>
    <x v="2"/>
    <s v="SG-20470"/>
    <s v="Sheri Gordon"/>
    <x v="0"/>
    <s v="United States"/>
    <s v="New York City"/>
    <s v="New York"/>
    <x v="2"/>
    <s v="FUR-CH-10001482"/>
    <s v="Furniture"/>
    <x v="1"/>
    <x v="112"/>
    <n v="117.88200000000001"/>
    <n v="1"/>
    <n v="1.3098000000000001"/>
    <s v="3- days"/>
    <n v="3"/>
    <x v="2"/>
  </r>
  <r>
    <s v="CA-2016-102127"/>
    <d v="2016-06-26T00:00:00"/>
    <d v="2016-07-02T00:00:00"/>
    <x v="1"/>
    <s v="VP-21760"/>
    <s v="Victoria Pisteka"/>
    <x v="1"/>
    <s v="United States"/>
    <s v="New York City"/>
    <s v="New York"/>
    <x v="2"/>
    <s v="FUR-FU-10003976"/>
    <s v="Furniture"/>
    <x v="3"/>
    <x v="195"/>
    <n v="37.74"/>
    <n v="3"/>
    <n v="12.8316"/>
    <s v="6- days"/>
    <n v="6"/>
    <x v="2"/>
  </r>
  <r>
    <s v="US-2016-152415"/>
    <d v="2016-09-17T00:00:00"/>
    <d v="2016-09-22T00:00:00"/>
    <x v="1"/>
    <s v="PO-18865"/>
    <s v="Patrick O'Donnell"/>
    <x v="0"/>
    <s v="United States"/>
    <s v="Marlborough"/>
    <s v="Massachusetts"/>
    <x v="2"/>
    <s v="FUR-FU-10002597"/>
    <s v="Furniture"/>
    <x v="3"/>
    <x v="132"/>
    <n v="14.82"/>
    <n v="3"/>
    <n v="6.2244000000000002"/>
    <s v="5- days"/>
    <n v="5"/>
    <x v="4"/>
  </r>
  <r>
    <s v="US-2016-152415"/>
    <d v="2016-09-17T00:00:00"/>
    <d v="2016-09-22T00:00:00"/>
    <x v="1"/>
    <s v="PO-18865"/>
    <s v="Patrick O'Donnell"/>
    <x v="0"/>
    <s v="United States"/>
    <s v="Marlborough"/>
    <s v="Massachusetts"/>
    <x v="2"/>
    <s v="FUR-FU-10004864"/>
    <s v="Furniture"/>
    <x v="3"/>
    <x v="92"/>
    <n v="191.82"/>
    <n v="3"/>
    <n v="61.382399999999997"/>
    <s v="5- days"/>
    <n v="5"/>
    <x v="4"/>
  </r>
  <r>
    <s v="CA-2017-128041"/>
    <d v="2017-09-01T00:00:00"/>
    <d v="2017-09-01T00:00:00"/>
    <x v="3"/>
    <s v="RW-19540"/>
    <s v="Rick Wilson"/>
    <x v="1"/>
    <s v="United States"/>
    <s v="Seattle"/>
    <s v="Washington"/>
    <x v="1"/>
    <s v="FUR-TA-10002607"/>
    <s v="Furniture"/>
    <x v="2"/>
    <x v="48"/>
    <n v="283.56"/>
    <n v="4"/>
    <n v="45.369599999999998"/>
    <s v="0- days"/>
    <n v="0"/>
    <x v="4"/>
  </r>
  <r>
    <s v="CA-2017-105823"/>
    <d v="2017-06-22T00:00:00"/>
    <d v="2017-06-26T00:00:00"/>
    <x v="1"/>
    <s v="RB-19465"/>
    <s v="Rick Bensley"/>
    <x v="2"/>
    <s v="United States"/>
    <s v="Detroit"/>
    <s v="Michigan"/>
    <x v="3"/>
    <s v="FUR-CH-10000454"/>
    <s v="Furniture"/>
    <x v="1"/>
    <x v="1"/>
    <n v="487.96"/>
    <n v="2"/>
    <n v="146.38800000000001"/>
    <s v="4- days"/>
    <n v="4"/>
    <x v="2"/>
  </r>
  <r>
    <s v="CA-2014-138177"/>
    <d v="2014-09-19T00:00:00"/>
    <d v="2014-09-24T00:00:00"/>
    <x v="1"/>
    <s v="ND-18460"/>
    <s v="Neil Ducich"/>
    <x v="1"/>
    <s v="United States"/>
    <s v="Chandler"/>
    <s v="Arizona"/>
    <x v="1"/>
    <s v="FUR-TA-10004607"/>
    <s v="Furniture"/>
    <x v="2"/>
    <x v="212"/>
    <n v="73.915000000000006"/>
    <n v="1"/>
    <n v="-45.827300000000001"/>
    <s v="5- days"/>
    <n v="5"/>
    <x v="4"/>
  </r>
  <r>
    <s v="CA-2014-114335"/>
    <d v="2014-09-28T00:00:00"/>
    <d v="2014-10-03T00:00:00"/>
    <x v="1"/>
    <s v="XP-21865"/>
    <s v="Xylona Preis"/>
    <x v="0"/>
    <s v="United States"/>
    <s v="Hollywood"/>
    <s v="Florida"/>
    <x v="0"/>
    <s v="FUR-FU-10000277"/>
    <s v="Furniture"/>
    <x v="3"/>
    <x v="371"/>
    <n v="337.08800000000002"/>
    <n v="4"/>
    <n v="16.854399999999998"/>
    <s v="5- days"/>
    <n v="5"/>
    <x v="4"/>
  </r>
  <r>
    <s v="CA-2015-160227"/>
    <d v="2015-11-02T00:00:00"/>
    <d v="2015-11-04T00:00:00"/>
    <x v="2"/>
    <s v="ED-13885"/>
    <s v="Emily Ducich"/>
    <x v="2"/>
    <s v="United States"/>
    <s v="New York City"/>
    <s v="New York"/>
    <x v="2"/>
    <s v="FUR-CH-10002073"/>
    <s v="Furniture"/>
    <x v="1"/>
    <x v="370"/>
    <n v="2621.3220000000001"/>
    <n v="11"/>
    <n v="553.39020000000005"/>
    <s v="2- days"/>
    <n v="2"/>
    <x v="0"/>
  </r>
  <r>
    <s v="CA-2015-149097"/>
    <d v="2015-10-20T00:00:00"/>
    <d v="2015-10-24T00:00:00"/>
    <x v="1"/>
    <s v="SV-20785"/>
    <s v="Stewart Visinsky"/>
    <x v="0"/>
    <s v="United States"/>
    <s v="Los Angeles"/>
    <s v="California"/>
    <x v="1"/>
    <s v="FUR-FU-10003424"/>
    <s v="Furniture"/>
    <x v="3"/>
    <x v="345"/>
    <n v="74.760000000000005"/>
    <n v="7"/>
    <n v="23.923200000000001"/>
    <s v="4- days"/>
    <n v="4"/>
    <x v="1"/>
  </r>
  <r>
    <s v="CA-2015-149097"/>
    <d v="2015-10-20T00:00:00"/>
    <d v="2015-10-24T00:00:00"/>
    <x v="1"/>
    <s v="SV-20785"/>
    <s v="Stewart Visinsky"/>
    <x v="0"/>
    <s v="United States"/>
    <s v="Los Angeles"/>
    <s v="California"/>
    <x v="1"/>
    <s v="FUR-TA-10001086"/>
    <s v="Furniture"/>
    <x v="2"/>
    <x v="360"/>
    <n v="364.77600000000001"/>
    <n v="3"/>
    <n v="27.3582"/>
    <s v="4- days"/>
    <n v="4"/>
    <x v="1"/>
  </r>
  <r>
    <s v="CA-2016-132304"/>
    <d v="2016-06-14T00:00:00"/>
    <d v="2016-06-18T00:00:00"/>
    <x v="1"/>
    <s v="AR-10825"/>
    <s v="Anthony Rawles"/>
    <x v="1"/>
    <s v="United States"/>
    <s v="Seattle"/>
    <s v="Washington"/>
    <x v="1"/>
    <s v="FUR-TA-10004619"/>
    <s v="Furniture"/>
    <x v="2"/>
    <x v="178"/>
    <n v="1115.17"/>
    <n v="7"/>
    <n v="334.55099999999999"/>
    <s v="4- days"/>
    <n v="4"/>
    <x v="2"/>
  </r>
  <r>
    <s v="CA-2016-106278"/>
    <d v="2016-09-02T00:00:00"/>
    <d v="2016-09-05T00:00:00"/>
    <x v="0"/>
    <s v="BM-11140"/>
    <s v="Becky Martin"/>
    <x v="0"/>
    <s v="United States"/>
    <s v="Des Moines"/>
    <s v="Washington"/>
    <x v="1"/>
    <s v="FUR-CH-10003061"/>
    <s v="Furniture"/>
    <x v="1"/>
    <x v="12"/>
    <n v="215.976"/>
    <n v="3"/>
    <n v="-2.6997"/>
    <s v="3- days"/>
    <n v="3"/>
    <x v="4"/>
  </r>
  <r>
    <s v="CA-2017-147550"/>
    <d v="2017-12-04T00:00:00"/>
    <d v="2017-12-05T00:00:00"/>
    <x v="2"/>
    <s v="KE-16420"/>
    <s v="Katrina Edelman"/>
    <x v="1"/>
    <s v="United States"/>
    <s v="Philadelphia"/>
    <s v="Pennsylvania"/>
    <x v="2"/>
    <s v="FUR-FU-10001918"/>
    <s v="Furniture"/>
    <x v="3"/>
    <x v="60"/>
    <n v="11.352"/>
    <n v="3"/>
    <n v="2.6960999999999999"/>
    <s v="1- days"/>
    <n v="1"/>
    <x v="5"/>
  </r>
  <r>
    <s v="CA-2016-108105"/>
    <d v="2016-02-16T00:00:00"/>
    <d v="2016-02-23T00:00:00"/>
    <x v="1"/>
    <s v="GW-14605"/>
    <s v="Giulietta Weimer"/>
    <x v="0"/>
    <s v="United States"/>
    <s v="Henderson"/>
    <s v="Kentucky"/>
    <x v="0"/>
    <s v="FUR-FU-10003773"/>
    <s v="Furniture"/>
    <x v="3"/>
    <x v="30"/>
    <n v="318.08"/>
    <n v="4"/>
    <n v="34.988799999999998"/>
    <s v="7- days"/>
    <n v="7"/>
    <x v="11"/>
  </r>
  <r>
    <s v="CA-2016-143406"/>
    <d v="2016-09-26T00:00:00"/>
    <d v="2016-09-30T00:00:00"/>
    <x v="1"/>
    <s v="LR-17035"/>
    <s v="Lisa Ryan"/>
    <x v="1"/>
    <s v="United States"/>
    <s v="Houston"/>
    <s v="Texas"/>
    <x v="3"/>
    <s v="FUR-CH-10000513"/>
    <s v="Furniture"/>
    <x v="1"/>
    <x v="16"/>
    <n v="454.96499999999997"/>
    <n v="5"/>
    <n v="-136.48949999999999"/>
    <s v="4- days"/>
    <n v="4"/>
    <x v="4"/>
  </r>
  <r>
    <s v="CA-2015-162950"/>
    <d v="2015-06-28T00:00:00"/>
    <d v="2015-07-03T00:00:00"/>
    <x v="0"/>
    <s v="DW-13585"/>
    <s v="Dorothy Wardle"/>
    <x v="1"/>
    <s v="United States"/>
    <s v="Troy"/>
    <s v="Ohio"/>
    <x v="2"/>
    <s v="FUR-BO-10001918"/>
    <s v="Furniture"/>
    <x v="0"/>
    <x v="224"/>
    <n v="482.94"/>
    <n v="6"/>
    <n v="-376.69319999999999"/>
    <s v="5- days"/>
    <n v="5"/>
    <x v="2"/>
  </r>
  <r>
    <s v="CA-2015-163181"/>
    <d v="2015-11-07T00:00:00"/>
    <d v="2015-11-12T00:00:00"/>
    <x v="1"/>
    <s v="AB-10105"/>
    <s v="Adrian Barton"/>
    <x v="0"/>
    <s v="United States"/>
    <s v="Houston"/>
    <s v="Texas"/>
    <x v="3"/>
    <s v="FUR-FU-10000193"/>
    <s v="Furniture"/>
    <x v="3"/>
    <x v="306"/>
    <n v="64.959999999999994"/>
    <n v="5"/>
    <n v="-84.447999999999993"/>
    <s v="5- days"/>
    <n v="5"/>
    <x v="0"/>
  </r>
  <r>
    <s v="CA-2017-153045"/>
    <d v="2017-01-19T00:00:00"/>
    <d v="2017-01-24T00:00:00"/>
    <x v="0"/>
    <s v="NS-18505"/>
    <s v="Neola Schneider"/>
    <x v="0"/>
    <s v="United States"/>
    <s v="Philadelphia"/>
    <s v="Pennsylvania"/>
    <x v="2"/>
    <s v="FUR-FU-10002759"/>
    <s v="Furniture"/>
    <x v="3"/>
    <x v="115"/>
    <n v="31.968"/>
    <n v="2"/>
    <n v="6.3936000000000002"/>
    <s v="5- days"/>
    <n v="5"/>
    <x v="8"/>
  </r>
  <r>
    <s v="CA-2017-153045"/>
    <d v="2017-01-19T00:00:00"/>
    <d v="2017-01-24T00:00:00"/>
    <x v="0"/>
    <s v="NS-18505"/>
    <s v="Neola Schneider"/>
    <x v="0"/>
    <s v="United States"/>
    <s v="Philadelphia"/>
    <s v="Pennsylvania"/>
    <x v="2"/>
    <s v="FUR-CH-10000309"/>
    <s v="Furniture"/>
    <x v="1"/>
    <x v="155"/>
    <n v="887.27099999999996"/>
    <n v="3"/>
    <n v="-63.3765"/>
    <s v="5- days"/>
    <n v="5"/>
    <x v="8"/>
  </r>
  <r>
    <s v="CA-2016-128916"/>
    <d v="2016-08-18T00:00:00"/>
    <d v="2016-08-20T00:00:00"/>
    <x v="0"/>
    <s v="MA-17560"/>
    <s v="Matt Abelman"/>
    <x v="2"/>
    <s v="United States"/>
    <s v="Houston"/>
    <s v="Texas"/>
    <x v="3"/>
    <s v="FUR-FU-10001940"/>
    <s v="Furniture"/>
    <x v="3"/>
    <x v="47"/>
    <n v="9.5519999999999996"/>
    <n v="3"/>
    <n v="-3.8208000000000002"/>
    <s v="2- days"/>
    <n v="2"/>
    <x v="10"/>
  </r>
  <r>
    <s v="CA-2016-128916"/>
    <d v="2016-08-18T00:00:00"/>
    <d v="2016-08-20T00:00:00"/>
    <x v="0"/>
    <s v="MA-17560"/>
    <s v="Matt Abelman"/>
    <x v="2"/>
    <s v="United States"/>
    <s v="Houston"/>
    <s v="Texas"/>
    <x v="3"/>
    <s v="FUR-FU-10000320"/>
    <s v="Furniture"/>
    <x v="3"/>
    <x v="311"/>
    <n v="5.3440000000000003"/>
    <n v="4"/>
    <n v="-2.1375999999999999"/>
    <s v="2- days"/>
    <n v="2"/>
    <x v="10"/>
  </r>
  <r>
    <s v="CA-2016-130911"/>
    <d v="2016-03-24T00:00:00"/>
    <d v="2016-03-26T00:00:00"/>
    <x v="0"/>
    <s v="DC-12850"/>
    <s v="Dan Campbell"/>
    <x v="0"/>
    <s v="United States"/>
    <s v="Cleveland"/>
    <s v="Ohio"/>
    <x v="2"/>
    <s v="FUR-BO-10004357"/>
    <s v="Furniture"/>
    <x v="0"/>
    <x v="268"/>
    <n v="301.47000000000003"/>
    <n v="3"/>
    <n v="-241.17599999999999"/>
    <s v="2- days"/>
    <n v="2"/>
    <x v="9"/>
  </r>
  <r>
    <s v="CA-2017-100055"/>
    <d v="2017-05-28T00:00:00"/>
    <d v="2017-06-01T00:00:00"/>
    <x v="1"/>
    <s v="MD-17860"/>
    <s v="Michael Dominguez"/>
    <x v="1"/>
    <s v="United States"/>
    <s v="Laurel"/>
    <s v="Maryland"/>
    <x v="2"/>
    <s v="FUR-FU-10001473"/>
    <s v="Furniture"/>
    <x v="3"/>
    <x v="198"/>
    <n v="27.46"/>
    <n v="2"/>
    <n v="9.8856000000000002"/>
    <s v="4- days"/>
    <n v="4"/>
    <x v="7"/>
  </r>
  <r>
    <s v="CA-2016-132990"/>
    <d v="2016-08-01T00:00:00"/>
    <d v="2016-08-03T00:00:00"/>
    <x v="0"/>
    <s v="KM-16660"/>
    <s v="Khloe Miller"/>
    <x v="0"/>
    <s v="United States"/>
    <s v="Philadelphia"/>
    <s v="Pennsylvania"/>
    <x v="2"/>
    <s v="FUR-FU-10004864"/>
    <s v="Furniture"/>
    <x v="3"/>
    <x v="356"/>
    <n v="19.312000000000001"/>
    <n v="2"/>
    <n v="3.1381999999999999"/>
    <s v="2- days"/>
    <n v="2"/>
    <x v="10"/>
  </r>
  <r>
    <s v="CA-2016-160108"/>
    <d v="2016-12-08T00:00:00"/>
    <d v="2016-12-12T00:00:00"/>
    <x v="1"/>
    <s v="AG-10900"/>
    <s v="Arthur Gainer"/>
    <x v="0"/>
    <s v="United States"/>
    <s v="Eau Claire"/>
    <s v="Wisconsin"/>
    <x v="3"/>
    <s v="FUR-BO-10003450"/>
    <s v="Furniture"/>
    <x v="0"/>
    <x v="265"/>
    <n v="405.86"/>
    <n v="7"/>
    <n v="32.468800000000002"/>
    <s v="4- days"/>
    <n v="4"/>
    <x v="5"/>
  </r>
  <r>
    <s v="CA-2016-160108"/>
    <d v="2016-12-08T00:00:00"/>
    <d v="2016-12-12T00:00:00"/>
    <x v="1"/>
    <s v="AG-10900"/>
    <s v="Arthur Gainer"/>
    <x v="0"/>
    <s v="United States"/>
    <s v="Eau Claire"/>
    <s v="Wisconsin"/>
    <x v="3"/>
    <s v="FUR-CH-10002335"/>
    <s v="Furniture"/>
    <x v="1"/>
    <x v="133"/>
    <n v="680.01"/>
    <n v="3"/>
    <n v="176.80260000000001"/>
    <s v="4- days"/>
    <n v="4"/>
    <x v="5"/>
  </r>
  <r>
    <s v="US-2016-155768"/>
    <d v="2016-12-01T00:00:00"/>
    <d v="2016-12-01T00:00:00"/>
    <x v="3"/>
    <s v="LB-16795"/>
    <s v="Laurel Beltran"/>
    <x v="2"/>
    <s v="United States"/>
    <s v="Oxnard"/>
    <s v="California"/>
    <x v="1"/>
    <s v="FUR-FU-10000448"/>
    <s v="Furniture"/>
    <x v="3"/>
    <x v="98"/>
    <n v="31.96"/>
    <n v="2"/>
    <n v="1.5980000000000001"/>
    <s v="0- days"/>
    <n v="0"/>
    <x v="5"/>
  </r>
  <r>
    <s v="CA-2017-156776"/>
    <d v="2017-08-07T00:00:00"/>
    <d v="2017-08-11T00:00:00"/>
    <x v="1"/>
    <s v="JL-15505"/>
    <s v="Jeremy Lonsdale"/>
    <x v="0"/>
    <s v="United States"/>
    <s v="Westminster"/>
    <s v="California"/>
    <x v="1"/>
    <s v="FUR-FU-10004848"/>
    <s v="Furniture"/>
    <x v="3"/>
    <x v="7"/>
    <n v="51.75"/>
    <n v="1"/>
    <n v="15.525"/>
    <s v="4- days"/>
    <n v="4"/>
    <x v="10"/>
  </r>
  <r>
    <s v="CA-2017-156776"/>
    <d v="2017-08-07T00:00:00"/>
    <d v="2017-08-11T00:00:00"/>
    <x v="1"/>
    <s v="JL-15505"/>
    <s v="Jeremy Lonsdale"/>
    <x v="0"/>
    <s v="United States"/>
    <s v="Westminster"/>
    <s v="California"/>
    <x v="1"/>
    <s v="FUR-CH-10002317"/>
    <s v="Furniture"/>
    <x v="1"/>
    <x v="378"/>
    <n v="207.184"/>
    <n v="1"/>
    <n v="25.898"/>
    <s v="4- days"/>
    <n v="4"/>
    <x v="10"/>
  </r>
  <r>
    <s v="CA-2014-103310"/>
    <d v="2014-05-10T00:00:00"/>
    <d v="2014-05-15T00:00:00"/>
    <x v="1"/>
    <s v="GM-14680"/>
    <s v="Greg Matthias"/>
    <x v="0"/>
    <s v="United States"/>
    <s v="San Jose"/>
    <s v="California"/>
    <x v="1"/>
    <s v="FUR-CH-10002320"/>
    <s v="Furniture"/>
    <x v="1"/>
    <x v="297"/>
    <n v="256.78399999999999"/>
    <n v="1"/>
    <n v="32.097999999999999"/>
    <s v="5- days"/>
    <n v="5"/>
    <x v="7"/>
  </r>
  <r>
    <s v="CA-2016-152688"/>
    <d v="2016-10-17T00:00:00"/>
    <d v="2016-10-20T00:00:00"/>
    <x v="2"/>
    <s v="NR-18550"/>
    <s v="Nick Radford"/>
    <x v="0"/>
    <s v="United States"/>
    <s v="Perth Amboy"/>
    <s v="New Jersey"/>
    <x v="2"/>
    <s v="FUR-BO-10001337"/>
    <s v="Furniture"/>
    <x v="0"/>
    <x v="90"/>
    <n v="120.98"/>
    <n v="1"/>
    <n v="12.098000000000001"/>
    <s v="3- days"/>
    <n v="3"/>
    <x v="1"/>
  </r>
  <r>
    <s v="CA-2014-144071"/>
    <d v="2014-12-08T00:00:00"/>
    <d v="2014-12-15T00:00:00"/>
    <x v="1"/>
    <s v="DJ-13420"/>
    <s v="Denny Joy"/>
    <x v="1"/>
    <s v="United States"/>
    <s v="San Francisco"/>
    <s v="California"/>
    <x v="1"/>
    <s v="FUR-FU-10000397"/>
    <s v="Furniture"/>
    <x v="3"/>
    <x v="14"/>
    <n v="39.880000000000003"/>
    <n v="2"/>
    <n v="11.166399999999999"/>
    <s v="7- days"/>
    <n v="7"/>
    <x v="5"/>
  </r>
  <r>
    <s v="CA-2014-144071"/>
    <d v="2014-12-08T00:00:00"/>
    <d v="2014-12-15T00:00:00"/>
    <x v="1"/>
    <s v="DJ-13420"/>
    <s v="Denny Joy"/>
    <x v="1"/>
    <s v="United States"/>
    <s v="San Francisco"/>
    <s v="California"/>
    <x v="1"/>
    <s v="FUR-FU-10000758"/>
    <s v="Furniture"/>
    <x v="3"/>
    <x v="207"/>
    <n v="79.44"/>
    <n v="3"/>
    <n v="28.598400000000002"/>
    <s v="7- days"/>
    <n v="7"/>
    <x v="5"/>
  </r>
  <r>
    <s v="US-2015-164238"/>
    <d v="2015-08-16T00:00:00"/>
    <d v="2015-08-20T00:00:00"/>
    <x v="1"/>
    <s v="JW-15955"/>
    <s v="Joni Wasserman"/>
    <x v="0"/>
    <s v="United States"/>
    <s v="Philadelphia"/>
    <s v="Pennsylvania"/>
    <x v="2"/>
    <s v="FUR-BO-10000780"/>
    <s v="Furniture"/>
    <x v="0"/>
    <x v="258"/>
    <n v="301.47000000000003"/>
    <n v="3"/>
    <n v="-204.99959999999999"/>
    <s v="4- days"/>
    <n v="4"/>
    <x v="10"/>
  </r>
  <r>
    <s v="CA-2017-103212"/>
    <d v="2017-10-13T00:00:00"/>
    <d v="2017-10-14T00:00:00"/>
    <x v="2"/>
    <s v="MH-18025"/>
    <s v="Michelle Huthwaite"/>
    <x v="0"/>
    <s v="United States"/>
    <s v="Lafayette"/>
    <s v="Louisiana"/>
    <x v="0"/>
    <s v="FUR-TA-10003473"/>
    <s v="Furniture"/>
    <x v="2"/>
    <x v="44"/>
    <n v="1504.52"/>
    <n v="4"/>
    <n v="346.03960000000001"/>
    <s v="1- days"/>
    <n v="1"/>
    <x v="1"/>
  </r>
  <r>
    <s v="CA-2016-126732"/>
    <d v="2016-09-02T00:00:00"/>
    <d v="2016-09-06T00:00:00"/>
    <x v="1"/>
    <s v="LR-16915"/>
    <s v="Lena Radford"/>
    <x v="0"/>
    <s v="United States"/>
    <s v="Los Angeles"/>
    <s v="California"/>
    <x v="1"/>
    <s v="FUR-FU-10001889"/>
    <s v="Furniture"/>
    <x v="3"/>
    <x v="228"/>
    <n v="94.68"/>
    <n v="9"/>
    <n v="31.244399999999999"/>
    <s v="4- days"/>
    <n v="4"/>
    <x v="4"/>
  </r>
  <r>
    <s v="CA-2016-126732"/>
    <d v="2016-09-02T00:00:00"/>
    <d v="2016-09-06T00:00:00"/>
    <x v="1"/>
    <s v="LR-16915"/>
    <s v="Lena Radford"/>
    <x v="0"/>
    <s v="United States"/>
    <s v="Los Angeles"/>
    <s v="California"/>
    <x v="1"/>
    <s v="FUR-TA-10001539"/>
    <s v="Furniture"/>
    <x v="2"/>
    <x v="4"/>
    <n v="568.72799999999995"/>
    <n v="3"/>
    <n v="28.436399999999999"/>
    <s v="4- days"/>
    <n v="4"/>
    <x v="4"/>
  </r>
  <r>
    <s v="CA-2017-138156"/>
    <d v="2017-02-11T00:00:00"/>
    <d v="2017-02-14T00:00:00"/>
    <x v="2"/>
    <s v="MM-17260"/>
    <s v="Magdelene Morse"/>
    <x v="0"/>
    <s v="United States"/>
    <s v="Columbus"/>
    <s v="Ohio"/>
    <x v="2"/>
    <s v="FUR-FU-10003601"/>
    <s v="Furniture"/>
    <x v="3"/>
    <x v="148"/>
    <n v="147.56800000000001"/>
    <n v="2"/>
    <n v="-3.6892"/>
    <s v="3- days"/>
    <n v="3"/>
    <x v="11"/>
  </r>
  <r>
    <s v="CA-2014-113271"/>
    <d v="2014-07-09T00:00:00"/>
    <d v="2014-07-14T00:00:00"/>
    <x v="1"/>
    <s v="DS-13030"/>
    <s v="Darrin Sayre"/>
    <x v="2"/>
    <s v="United States"/>
    <s v="San Francisco"/>
    <s v="California"/>
    <x v="1"/>
    <s v="FUR-BO-10004218"/>
    <s v="Furniture"/>
    <x v="0"/>
    <x v="327"/>
    <n v="119.833"/>
    <n v="1"/>
    <n v="7.0490000000000004"/>
    <s v="5- days"/>
    <n v="5"/>
    <x v="3"/>
  </r>
  <r>
    <s v="CA-2014-168368"/>
    <d v="2014-02-11T00:00:00"/>
    <d v="2014-02-15T00:00:00"/>
    <x v="0"/>
    <s v="GA-14725"/>
    <s v="Guy Armstrong"/>
    <x v="0"/>
    <s v="United States"/>
    <s v="Columbia"/>
    <s v="Missouri"/>
    <x v="3"/>
    <s v="FUR-CH-10001146"/>
    <s v="Furniture"/>
    <x v="1"/>
    <x v="15"/>
    <n v="60.89"/>
    <n v="1"/>
    <n v="15.2225"/>
    <s v="4- days"/>
    <n v="4"/>
    <x v="11"/>
  </r>
  <r>
    <s v="CA-2014-168368"/>
    <d v="2014-02-11T00:00:00"/>
    <d v="2014-02-15T00:00:00"/>
    <x v="0"/>
    <s v="GA-14725"/>
    <s v="Guy Armstrong"/>
    <x v="0"/>
    <s v="United States"/>
    <s v="Columbia"/>
    <s v="Missouri"/>
    <x v="3"/>
    <s v="FUR-FU-10002298"/>
    <s v="Furniture"/>
    <x v="3"/>
    <x v="256"/>
    <n v="332.94"/>
    <n v="3"/>
    <n v="53.270400000000002"/>
    <s v="4- days"/>
    <n v="4"/>
    <x v="11"/>
  </r>
  <r>
    <s v="CA-2017-111388"/>
    <d v="2017-09-02T00:00:00"/>
    <d v="2017-09-02T00:00:00"/>
    <x v="3"/>
    <s v="SU-20665"/>
    <s v="Stephanie Ulpright"/>
    <x v="2"/>
    <s v="United States"/>
    <s v="Seattle"/>
    <s v="Washington"/>
    <x v="1"/>
    <s v="FUR-CH-10003061"/>
    <s v="Furniture"/>
    <x v="1"/>
    <x v="12"/>
    <n v="215.976"/>
    <n v="3"/>
    <n v="-2.6997"/>
    <s v="0- days"/>
    <n v="0"/>
    <x v="4"/>
  </r>
  <r>
    <s v="CA-2015-124499"/>
    <d v="2015-10-09T00:00:00"/>
    <d v="2015-10-13T00:00:00"/>
    <x v="1"/>
    <s v="FM-14380"/>
    <s v="Fred McMath"/>
    <x v="0"/>
    <s v="United States"/>
    <s v="Detroit"/>
    <s v="Michigan"/>
    <x v="3"/>
    <s v="FUR-CH-10000513"/>
    <s v="Furniture"/>
    <x v="1"/>
    <x v="16"/>
    <n v="389.97"/>
    <n v="3"/>
    <n v="35.097299999999997"/>
    <s v="4- days"/>
    <n v="4"/>
    <x v="1"/>
  </r>
  <r>
    <s v="CA-2014-125759"/>
    <d v="2014-02-08T00:00:00"/>
    <d v="2014-02-09T00:00:00"/>
    <x v="2"/>
    <s v="NM-18445"/>
    <s v="Nathan Mautz"/>
    <x v="2"/>
    <s v="United States"/>
    <s v="North Las Vegas"/>
    <s v="Nevada"/>
    <x v="1"/>
    <s v="FUR-FU-10002111"/>
    <s v="Furniture"/>
    <x v="3"/>
    <x v="344"/>
    <n v="14.56"/>
    <n v="2"/>
    <n v="5.5327999999999999"/>
    <s v="1- days"/>
    <n v="1"/>
    <x v="11"/>
  </r>
  <r>
    <s v="CA-2015-151869"/>
    <d v="2015-09-25T00:00:00"/>
    <d v="2015-09-25T00:00:00"/>
    <x v="3"/>
    <s v="CS-11950"/>
    <s v="Carlos Soltero"/>
    <x v="0"/>
    <s v="United States"/>
    <s v="Freeport"/>
    <s v="New York"/>
    <x v="2"/>
    <s v="FUR-CH-10001545"/>
    <s v="Furniture"/>
    <x v="1"/>
    <x v="361"/>
    <n v="102.58199999999999"/>
    <n v="1"/>
    <n v="6.8388"/>
    <s v="0- days"/>
    <n v="0"/>
    <x v="4"/>
  </r>
  <r>
    <s v="CA-2016-100510"/>
    <d v="2016-05-12T00:00:00"/>
    <d v="2016-05-17T00:00:00"/>
    <x v="1"/>
    <s v="HM-14860"/>
    <s v="Harry Marie"/>
    <x v="1"/>
    <s v="United States"/>
    <s v="New York City"/>
    <s v="New York"/>
    <x v="2"/>
    <s v="FUR-FU-10000320"/>
    <s v="Furniture"/>
    <x v="3"/>
    <x v="311"/>
    <n v="10.02"/>
    <n v="3"/>
    <n v="4.4088000000000003"/>
    <s v="5- days"/>
    <n v="5"/>
    <x v="7"/>
  </r>
  <r>
    <s v="CA-2017-122539"/>
    <d v="2017-12-01T00:00:00"/>
    <d v="2017-12-05T00:00:00"/>
    <x v="1"/>
    <s v="SC-20305"/>
    <s v="Sean Christensen"/>
    <x v="0"/>
    <s v="United States"/>
    <s v="Philadelphia"/>
    <s v="Pennsylvania"/>
    <x v="2"/>
    <s v="FUR-CH-10003379"/>
    <s v="Furniture"/>
    <x v="1"/>
    <x v="96"/>
    <n v="398.97199999999998"/>
    <n v="2"/>
    <n v="-28.498000000000001"/>
    <s v="4- days"/>
    <n v="4"/>
    <x v="5"/>
  </r>
  <r>
    <s v="CA-2016-166772"/>
    <d v="2016-09-20T00:00:00"/>
    <d v="2016-09-24T00:00:00"/>
    <x v="1"/>
    <s v="HJ-14875"/>
    <s v="Heather Jas"/>
    <x v="2"/>
    <s v="United States"/>
    <s v="Seattle"/>
    <s v="Washington"/>
    <x v="1"/>
    <s v="FUR-BO-10002853"/>
    <s v="Furniture"/>
    <x v="0"/>
    <x v="335"/>
    <n v="163.88"/>
    <n v="2"/>
    <n v="40.97"/>
    <s v="4- days"/>
    <n v="4"/>
    <x v="4"/>
  </r>
  <r>
    <s v="CA-2014-161032"/>
    <d v="2014-11-18T00:00:00"/>
    <d v="2014-11-23T00:00:00"/>
    <x v="1"/>
    <s v="MK-17905"/>
    <s v="Michael Kennedy"/>
    <x v="1"/>
    <s v="United States"/>
    <s v="Franklin"/>
    <s v="Wisconsin"/>
    <x v="3"/>
    <s v="FUR-CH-10001482"/>
    <s v="Furniture"/>
    <x v="1"/>
    <x v="112"/>
    <n v="392.94"/>
    <n v="3"/>
    <n v="43.223399999999998"/>
    <s v="5- days"/>
    <n v="5"/>
    <x v="0"/>
  </r>
  <r>
    <s v="CA-2015-102778"/>
    <d v="2015-11-21T00:00:00"/>
    <d v="2015-11-24T00:00:00"/>
    <x v="2"/>
    <s v="JH-15820"/>
    <s v="John Huston"/>
    <x v="0"/>
    <s v="United States"/>
    <s v="Monroe"/>
    <s v="North Carolina"/>
    <x v="0"/>
    <s v="FUR-FU-10000087"/>
    <s v="Furniture"/>
    <x v="3"/>
    <x v="39"/>
    <n v="18.175999999999998"/>
    <n v="1"/>
    <n v="4.7712000000000003"/>
    <s v="3- days"/>
    <n v="3"/>
    <x v="0"/>
  </r>
  <r>
    <s v="CA-2017-154011"/>
    <d v="2017-06-19T00:00:00"/>
    <d v="2017-06-26T00:00:00"/>
    <x v="1"/>
    <s v="DB-13270"/>
    <s v="Deborah Brumfield"/>
    <x v="2"/>
    <s v="United States"/>
    <s v="Dallas"/>
    <s v="Texas"/>
    <x v="3"/>
    <s v="FUR-TA-10000688"/>
    <s v="Furniture"/>
    <x v="2"/>
    <x v="116"/>
    <n v="457.48500000000001"/>
    <n v="3"/>
    <n v="-84.961500000000001"/>
    <s v="7- days"/>
    <n v="7"/>
    <x v="2"/>
  </r>
  <r>
    <s v="US-2017-165456"/>
    <d v="2017-11-30T00:00:00"/>
    <d v="2017-12-03T00:00:00"/>
    <x v="2"/>
    <s v="TB-21625"/>
    <s v="Trudy Brown"/>
    <x v="0"/>
    <s v="United States"/>
    <s v="Philadelphia"/>
    <s v="Pennsylvania"/>
    <x v="2"/>
    <s v="FUR-CH-10003981"/>
    <s v="Furniture"/>
    <x v="1"/>
    <x v="232"/>
    <n v="1079.316"/>
    <n v="6"/>
    <n v="-15.418799999999999"/>
    <s v="3- days"/>
    <n v="3"/>
    <x v="0"/>
  </r>
  <r>
    <s v="CA-2017-161340"/>
    <d v="2017-05-28T00:00:00"/>
    <d v="2017-06-01T00:00:00"/>
    <x v="1"/>
    <s v="AM-10360"/>
    <s v="Alice McCarthy"/>
    <x v="1"/>
    <s v="United States"/>
    <s v="Cleveland"/>
    <s v="Ohio"/>
    <x v="2"/>
    <s v="FUR-BO-10004709"/>
    <s v="Furniture"/>
    <x v="0"/>
    <x v="53"/>
    <n v="115.96"/>
    <n v="4"/>
    <n v="-64.937600000000003"/>
    <s v="4- days"/>
    <n v="4"/>
    <x v="7"/>
  </r>
  <r>
    <s v="US-2015-163433"/>
    <d v="2015-04-18T00:00:00"/>
    <d v="2015-04-22T00:00:00"/>
    <x v="0"/>
    <s v="MP-17965"/>
    <s v="Michael Paige"/>
    <x v="1"/>
    <s v="United States"/>
    <s v="Mcallen"/>
    <s v="Texas"/>
    <x v="3"/>
    <s v="FUR-CH-10000225"/>
    <s v="Furniture"/>
    <x v="1"/>
    <x v="85"/>
    <n v="56.686"/>
    <n v="1"/>
    <n v="-20.245000000000001"/>
    <s v="4- days"/>
    <n v="4"/>
    <x v="6"/>
  </r>
  <r>
    <s v="US-2017-108343"/>
    <d v="2017-07-20T00:00:00"/>
    <d v="2017-07-25T00:00:00"/>
    <x v="1"/>
    <s v="AR-10825"/>
    <s v="Anthony Rawles"/>
    <x v="1"/>
    <s v="United States"/>
    <s v="New York City"/>
    <s v="New York"/>
    <x v="2"/>
    <s v="FUR-CH-10002780"/>
    <s v="Furniture"/>
    <x v="1"/>
    <x v="379"/>
    <n v="163.76400000000001"/>
    <n v="2"/>
    <n v="25.474399999999999"/>
    <s v="5- days"/>
    <n v="5"/>
    <x v="3"/>
  </r>
  <r>
    <s v="US-2017-108343"/>
    <d v="2017-07-20T00:00:00"/>
    <d v="2017-07-25T00:00:00"/>
    <x v="1"/>
    <s v="AR-10825"/>
    <s v="Anthony Rawles"/>
    <x v="1"/>
    <s v="United States"/>
    <s v="New York City"/>
    <s v="New York"/>
    <x v="2"/>
    <s v="FUR-FU-10000747"/>
    <s v="Furniture"/>
    <x v="3"/>
    <x v="363"/>
    <n v="183.92"/>
    <n v="4"/>
    <n v="31.266400000000001"/>
    <s v="5- days"/>
    <n v="5"/>
    <x v="3"/>
  </r>
  <r>
    <s v="US-2016-111563"/>
    <d v="2016-11-04T00:00:00"/>
    <d v="2016-11-08T00:00:00"/>
    <x v="1"/>
    <s v="SM-20005"/>
    <s v="Sally Matthias"/>
    <x v="0"/>
    <s v="United States"/>
    <s v="Houston"/>
    <s v="Texas"/>
    <x v="3"/>
    <s v="FUR-FU-10002445"/>
    <s v="Furniture"/>
    <x v="3"/>
    <x v="292"/>
    <n v="11.375999999999999"/>
    <n v="3"/>
    <n v="-5.6879999999999997"/>
    <s v="4- days"/>
    <n v="4"/>
    <x v="0"/>
  </r>
  <r>
    <s v="US-2016-111563"/>
    <d v="2016-11-04T00:00:00"/>
    <d v="2016-11-08T00:00:00"/>
    <x v="1"/>
    <s v="SM-20005"/>
    <s v="Sally Matthias"/>
    <x v="0"/>
    <s v="United States"/>
    <s v="Houston"/>
    <s v="Texas"/>
    <x v="3"/>
    <s v="FUR-FU-10000723"/>
    <s v="Furniture"/>
    <x v="3"/>
    <x v="100"/>
    <n v="66.111999999999995"/>
    <n v="4"/>
    <n v="-84.2928"/>
    <s v="4- days"/>
    <n v="4"/>
    <x v="0"/>
  </r>
  <r>
    <s v="CA-2017-121853"/>
    <d v="2017-09-23T00:00:00"/>
    <d v="2017-09-29T00:00:00"/>
    <x v="1"/>
    <s v="DB-13660"/>
    <s v="Duane Benoit"/>
    <x v="0"/>
    <s v="United States"/>
    <s v="Los Angeles"/>
    <s v="California"/>
    <x v="1"/>
    <s v="FUR-CH-10003973"/>
    <s v="Furniture"/>
    <x v="1"/>
    <x v="171"/>
    <n v="594.81600000000003"/>
    <n v="2"/>
    <n v="59.4816"/>
    <s v="6- days"/>
    <n v="6"/>
    <x v="4"/>
  </r>
  <r>
    <s v="US-2017-130687"/>
    <d v="2017-09-07T00:00:00"/>
    <d v="2017-09-10T00:00:00"/>
    <x v="2"/>
    <s v="PF-19225"/>
    <s v="Phillip Flathmann"/>
    <x v="0"/>
    <s v="United States"/>
    <s v="Edmonds"/>
    <s v="Washington"/>
    <x v="1"/>
    <s v="FUR-FU-10004053"/>
    <s v="Furniture"/>
    <x v="3"/>
    <x v="339"/>
    <n v="80.959999999999994"/>
    <n v="4"/>
    <n v="34.812800000000003"/>
    <s v="3- days"/>
    <n v="3"/>
    <x v="4"/>
  </r>
  <r>
    <s v="CA-2017-110198"/>
    <d v="2017-05-01T00:00:00"/>
    <d v="2017-05-02T00:00:00"/>
    <x v="2"/>
    <s v="AG-10900"/>
    <s v="Arthur Gainer"/>
    <x v="0"/>
    <s v="United States"/>
    <s v="Coral Springs"/>
    <s v="Florida"/>
    <x v="0"/>
    <s v="FUR-BO-10001798"/>
    <s v="Furniture"/>
    <x v="0"/>
    <x v="0"/>
    <n v="314.35199999999998"/>
    <n v="3"/>
    <n v="-15.717599999999999"/>
    <s v="1- days"/>
    <n v="1"/>
    <x v="7"/>
  </r>
  <r>
    <s v="CA-2017-109085"/>
    <d v="2017-02-17T00:00:00"/>
    <d v="2017-02-20T00:00:00"/>
    <x v="2"/>
    <s v="CK-12325"/>
    <s v="Christine Kargatis"/>
    <x v="2"/>
    <s v="United States"/>
    <s v="Troy"/>
    <s v="Ohio"/>
    <x v="2"/>
    <s v="FUR-TA-10001086"/>
    <s v="Furniture"/>
    <x v="2"/>
    <x v="360"/>
    <n v="455.97"/>
    <n v="5"/>
    <n v="-106.393"/>
    <s v="3- days"/>
    <n v="3"/>
    <x v="11"/>
  </r>
  <r>
    <s v="CA-2017-109085"/>
    <d v="2017-02-17T00:00:00"/>
    <d v="2017-02-20T00:00:00"/>
    <x v="2"/>
    <s v="CK-12325"/>
    <s v="Christine Kargatis"/>
    <x v="2"/>
    <s v="United States"/>
    <s v="Troy"/>
    <s v="Ohio"/>
    <x v="2"/>
    <s v="FUR-FU-10004973"/>
    <s v="Furniture"/>
    <x v="3"/>
    <x v="223"/>
    <n v="30.143999999999998"/>
    <n v="2"/>
    <n v="8.2896000000000001"/>
    <s v="3- days"/>
    <n v="3"/>
    <x v="11"/>
  </r>
  <r>
    <s v="CA-2017-109085"/>
    <d v="2017-02-17T00:00:00"/>
    <d v="2017-02-20T00:00:00"/>
    <x v="2"/>
    <s v="CK-12325"/>
    <s v="Christine Kargatis"/>
    <x v="2"/>
    <s v="United States"/>
    <s v="Troy"/>
    <s v="Ohio"/>
    <x v="2"/>
    <s v="FUR-CH-10003981"/>
    <s v="Furniture"/>
    <x v="1"/>
    <x v="232"/>
    <n v="899.43"/>
    <n v="5"/>
    <n v="-12.849"/>
    <s v="3- days"/>
    <n v="3"/>
    <x v="11"/>
  </r>
  <r>
    <s v="CA-2016-114860"/>
    <d v="2016-12-22T00:00:00"/>
    <d v="2016-12-28T00:00:00"/>
    <x v="1"/>
    <s v="DN-13690"/>
    <s v="Duane Noonan"/>
    <x v="0"/>
    <s v="United States"/>
    <s v="Moreno Valley"/>
    <s v="California"/>
    <x v="1"/>
    <s v="FUR-FU-10000277"/>
    <s v="Furniture"/>
    <x v="3"/>
    <x v="371"/>
    <n v="842.72"/>
    <n v="8"/>
    <n v="202.25280000000001"/>
    <s v="6- days"/>
    <n v="6"/>
    <x v="5"/>
  </r>
  <r>
    <s v="CA-2016-114860"/>
    <d v="2016-12-22T00:00:00"/>
    <d v="2016-12-28T00:00:00"/>
    <x v="1"/>
    <s v="DN-13690"/>
    <s v="Duane Noonan"/>
    <x v="0"/>
    <s v="United States"/>
    <s v="Moreno Valley"/>
    <s v="California"/>
    <x v="1"/>
    <s v="FUR-FU-10001934"/>
    <s v="Furniture"/>
    <x v="3"/>
    <x v="24"/>
    <n v="41.96"/>
    <n v="2"/>
    <n v="10.909599999999999"/>
    <s v="6- days"/>
    <n v="6"/>
    <x v="5"/>
  </r>
  <r>
    <s v="CA-2016-159009"/>
    <d v="2016-09-23T00:00:00"/>
    <d v="2016-09-27T00:00:00"/>
    <x v="1"/>
    <s v="DP-13105"/>
    <s v="Dave Poirier"/>
    <x v="1"/>
    <s v="United States"/>
    <s v="Seattle"/>
    <s v="Washington"/>
    <x v="1"/>
    <s v="FUR-CH-10003396"/>
    <s v="Furniture"/>
    <x v="1"/>
    <x v="81"/>
    <n v="184.75200000000001"/>
    <n v="3"/>
    <n v="-20.784600000000001"/>
    <s v="4- days"/>
    <n v="4"/>
    <x v="4"/>
  </r>
  <r>
    <s v="CA-2017-148411"/>
    <d v="2017-09-24T00:00:00"/>
    <d v="2017-09-26T00:00:00"/>
    <x v="2"/>
    <s v="RO-19780"/>
    <s v="Rose O'Brian"/>
    <x v="0"/>
    <s v="United States"/>
    <s v="Chicago"/>
    <s v="Illinois"/>
    <x v="3"/>
    <s v="FUR-CH-10003973"/>
    <s v="Furniture"/>
    <x v="1"/>
    <x v="171"/>
    <n v="520.46400000000006"/>
    <n v="2"/>
    <n v="-14.8704"/>
    <s v="2- days"/>
    <n v="2"/>
    <x v="4"/>
  </r>
  <r>
    <s v="CA-2016-168046"/>
    <d v="2016-01-25T00:00:00"/>
    <d v="2016-01-28T00:00:00"/>
    <x v="0"/>
    <s v="JD-15895"/>
    <s v="Jonathan Doherty"/>
    <x v="1"/>
    <s v="United States"/>
    <s v="New York City"/>
    <s v="New York"/>
    <x v="2"/>
    <s v="FUR-TA-10001095"/>
    <s v="Furniture"/>
    <x v="2"/>
    <x v="129"/>
    <n v="313.72199999999998"/>
    <n v="3"/>
    <n v="-99.345299999999995"/>
    <s v="3- days"/>
    <n v="3"/>
    <x v="8"/>
  </r>
  <r>
    <s v="CA-2016-168046"/>
    <d v="2016-01-25T00:00:00"/>
    <d v="2016-01-28T00:00:00"/>
    <x v="0"/>
    <s v="JD-15895"/>
    <s v="Jonathan Doherty"/>
    <x v="1"/>
    <s v="United States"/>
    <s v="New York City"/>
    <s v="New York"/>
    <x v="2"/>
    <s v="FUR-FU-10000747"/>
    <s v="Furniture"/>
    <x v="3"/>
    <x v="363"/>
    <n v="45.98"/>
    <n v="1"/>
    <n v="7.8166000000000002"/>
    <s v="3- days"/>
    <n v="3"/>
    <x v="8"/>
  </r>
  <r>
    <s v="CA-2017-111591"/>
    <d v="2017-03-21T00:00:00"/>
    <d v="2017-03-25T00:00:00"/>
    <x v="1"/>
    <s v="PS-18970"/>
    <s v="Paul Stevenson"/>
    <x v="2"/>
    <s v="United States"/>
    <s v="Seattle"/>
    <s v="Washington"/>
    <x v="1"/>
    <s v="FUR-FU-10002364"/>
    <s v="Furniture"/>
    <x v="3"/>
    <x v="242"/>
    <n v="22.14"/>
    <n v="3"/>
    <n v="6.4206000000000003"/>
    <s v="4- days"/>
    <n v="4"/>
    <x v="9"/>
  </r>
  <r>
    <s v="CA-2017-113460"/>
    <d v="2017-11-07T00:00:00"/>
    <d v="2017-11-09T00:00:00"/>
    <x v="0"/>
    <s v="KN-16390"/>
    <s v="Katherine Nockton"/>
    <x v="1"/>
    <s v="United States"/>
    <s v="Clinton"/>
    <s v="Maryland"/>
    <x v="2"/>
    <s v="FUR-CH-10000422"/>
    <s v="Furniture"/>
    <x v="1"/>
    <x v="287"/>
    <n v="272.97000000000003"/>
    <n v="3"/>
    <n v="43.675199999999997"/>
    <s v="2- days"/>
    <n v="2"/>
    <x v="0"/>
  </r>
  <r>
    <s v="CA-2015-111339"/>
    <d v="2015-05-29T00:00:00"/>
    <d v="2015-05-31T00:00:00"/>
    <x v="2"/>
    <s v="VP-21760"/>
    <s v="Victoria Pisteka"/>
    <x v="1"/>
    <s v="United States"/>
    <s v="Columbus"/>
    <s v="Ohio"/>
    <x v="2"/>
    <s v="FUR-FU-10002506"/>
    <s v="Furniture"/>
    <x v="3"/>
    <x v="374"/>
    <n v="41.567999999999998"/>
    <n v="4"/>
    <n v="-4.1567999999999996"/>
    <s v="2- days"/>
    <n v="2"/>
    <x v="7"/>
  </r>
  <r>
    <s v="CA-2015-111339"/>
    <d v="2015-05-29T00:00:00"/>
    <d v="2015-05-31T00:00:00"/>
    <x v="2"/>
    <s v="VP-21760"/>
    <s v="Victoria Pisteka"/>
    <x v="1"/>
    <s v="United States"/>
    <s v="Columbus"/>
    <s v="Ohio"/>
    <x v="2"/>
    <s v="FUR-CH-10000863"/>
    <s v="Furniture"/>
    <x v="1"/>
    <x v="20"/>
    <n v="317.05799999999999"/>
    <n v="3"/>
    <n v="-86.058599999999998"/>
    <s v="2- days"/>
    <n v="2"/>
    <x v="7"/>
  </r>
  <r>
    <s v="CA-2014-154158"/>
    <d v="2014-12-23T00:00:00"/>
    <d v="2014-12-27T00:00:00"/>
    <x v="0"/>
    <s v="CC-12670"/>
    <s v="Craig Carreira"/>
    <x v="0"/>
    <s v="United States"/>
    <s v="Tampa"/>
    <s v="Florida"/>
    <x v="0"/>
    <s v="FUR-CH-10004698"/>
    <s v="Furniture"/>
    <x v="1"/>
    <x v="34"/>
    <n v="64.784000000000006"/>
    <n v="1"/>
    <n v="6.4783999999999997"/>
    <s v="4- days"/>
    <n v="4"/>
    <x v="5"/>
  </r>
  <r>
    <s v="CA-2017-163097"/>
    <d v="2017-08-27T00:00:00"/>
    <d v="2017-08-31T00:00:00"/>
    <x v="1"/>
    <s v="SF-20200"/>
    <s v="Sarah Foster"/>
    <x v="0"/>
    <s v="United States"/>
    <s v="Mesa"/>
    <s v="Arizona"/>
    <x v="1"/>
    <s v="FUR-FU-10004973"/>
    <s v="Furniture"/>
    <x v="3"/>
    <x v="223"/>
    <n v="120.57599999999999"/>
    <n v="8"/>
    <n v="33.1584"/>
    <s v="4- days"/>
    <n v="4"/>
    <x v="10"/>
  </r>
  <r>
    <s v="CA-2015-130848"/>
    <d v="2015-10-25T00:00:00"/>
    <d v="2015-10-25T00:00:00"/>
    <x v="3"/>
    <s v="DG-13300"/>
    <s v="Deirdre Greer"/>
    <x v="1"/>
    <s v="United States"/>
    <s v="Denver"/>
    <s v="Colorado"/>
    <x v="1"/>
    <s v="FUR-CH-10000422"/>
    <s v="Furniture"/>
    <x v="1"/>
    <x v="287"/>
    <n v="582.33600000000001"/>
    <n v="8"/>
    <n v="-29.116800000000001"/>
    <s v="0- days"/>
    <n v="0"/>
    <x v="1"/>
  </r>
  <r>
    <s v="CA-2014-125997"/>
    <d v="2014-09-20T00:00:00"/>
    <d v="2014-09-23T00:00:00"/>
    <x v="2"/>
    <s v="MW-18220"/>
    <s v="Mitch Webber"/>
    <x v="0"/>
    <s v="United States"/>
    <s v="New York City"/>
    <s v="New York"/>
    <x v="2"/>
    <s v="FUR-CH-10001394"/>
    <s v="Furniture"/>
    <x v="1"/>
    <x v="139"/>
    <n v="631.78200000000004"/>
    <n v="2"/>
    <n v="140.39599999999999"/>
    <s v="3- days"/>
    <n v="3"/>
    <x v="4"/>
  </r>
  <r>
    <s v="CA-2014-125997"/>
    <d v="2014-09-20T00:00:00"/>
    <d v="2014-09-23T00:00:00"/>
    <x v="2"/>
    <s v="MW-18220"/>
    <s v="Mitch Webber"/>
    <x v="0"/>
    <s v="United States"/>
    <s v="New York City"/>
    <s v="New York"/>
    <x v="2"/>
    <s v="FUR-BO-10002213"/>
    <s v="Furniture"/>
    <x v="0"/>
    <x v="240"/>
    <n v="801.56799999999998"/>
    <n v="2"/>
    <n v="-10.019600000000001"/>
    <s v="3- days"/>
    <n v="3"/>
    <x v="4"/>
  </r>
  <r>
    <s v="CA-2014-159814"/>
    <d v="2014-06-24T00:00:00"/>
    <d v="2014-06-28T00:00:00"/>
    <x v="1"/>
    <s v="LP-17080"/>
    <s v="Liz Pelletier"/>
    <x v="0"/>
    <s v="United States"/>
    <s v="Tucson"/>
    <s v="Arizona"/>
    <x v="1"/>
    <s v="FUR-FU-10001731"/>
    <s v="Furniture"/>
    <x v="3"/>
    <x v="317"/>
    <n v="4.2720000000000002"/>
    <n v="2"/>
    <n v="0.96120000000000005"/>
    <s v="4- days"/>
    <n v="4"/>
    <x v="2"/>
  </r>
  <r>
    <s v="CA-2016-105459"/>
    <d v="2016-08-12T00:00:00"/>
    <d v="2016-08-17T00:00:00"/>
    <x v="0"/>
    <s v="NP-18700"/>
    <s v="Nora Preis"/>
    <x v="0"/>
    <s v="United States"/>
    <s v="New York City"/>
    <s v="New York"/>
    <x v="2"/>
    <s v="FUR-TA-10001095"/>
    <s v="Furniture"/>
    <x v="2"/>
    <x v="129"/>
    <n v="209.148"/>
    <n v="2"/>
    <n v="-66.230199999999996"/>
    <s v="5- days"/>
    <n v="5"/>
    <x v="10"/>
  </r>
  <r>
    <s v="CA-2017-162789"/>
    <d v="2017-09-22T00:00:00"/>
    <d v="2017-09-24T00:00:00"/>
    <x v="0"/>
    <s v="LC-17140"/>
    <s v="Logan Currie"/>
    <x v="0"/>
    <s v="United States"/>
    <s v="New York City"/>
    <s v="New York"/>
    <x v="2"/>
    <s v="FUR-FU-10004864"/>
    <s v="Furniture"/>
    <x v="3"/>
    <x v="356"/>
    <n v="12.07"/>
    <n v="1"/>
    <n v="3.9830999999999999"/>
    <s v="2- days"/>
    <n v="2"/>
    <x v="4"/>
  </r>
  <r>
    <s v="US-2017-110149"/>
    <d v="2017-12-10T00:00:00"/>
    <d v="2017-12-13T00:00:00"/>
    <x v="2"/>
    <s v="WB-21850"/>
    <s v="William Brown"/>
    <x v="0"/>
    <s v="United States"/>
    <s v="Philadelphia"/>
    <s v="Pennsylvania"/>
    <x v="2"/>
    <s v="FUR-FU-10001475"/>
    <s v="Furniture"/>
    <x v="3"/>
    <x v="106"/>
    <n v="87.92"/>
    <n v="5"/>
    <n v="15.385999999999999"/>
    <s v="3- days"/>
    <n v="3"/>
    <x v="5"/>
  </r>
  <r>
    <s v="CA-2015-164777"/>
    <d v="2015-01-27T00:00:00"/>
    <d v="2015-01-29T00:00:00"/>
    <x v="2"/>
    <s v="SC-20305"/>
    <s v="Sean Christensen"/>
    <x v="0"/>
    <s v="United States"/>
    <s v="Los Angeles"/>
    <s v="California"/>
    <x v="1"/>
    <s v="FUR-CH-10002024"/>
    <s v="Furniture"/>
    <x v="1"/>
    <x v="101"/>
    <n v="2803.92"/>
    <n v="5"/>
    <n v="0"/>
    <s v="2- days"/>
    <n v="2"/>
    <x v="8"/>
  </r>
  <r>
    <s v="CA-2015-127824"/>
    <d v="2015-10-18T00:00:00"/>
    <d v="2015-10-22T00:00:00"/>
    <x v="1"/>
    <s v="JC-15775"/>
    <s v="John Castell"/>
    <x v="0"/>
    <s v="United States"/>
    <s v="Seattle"/>
    <s v="Washington"/>
    <x v="1"/>
    <s v="FUR-FU-10002505"/>
    <s v="Furniture"/>
    <x v="3"/>
    <x v="49"/>
    <n v="10.11"/>
    <n v="3"/>
    <n v="3.2351999999999999"/>
    <s v="4- days"/>
    <n v="4"/>
    <x v="1"/>
  </r>
  <r>
    <s v="CA-2014-116246"/>
    <d v="2014-09-12T00:00:00"/>
    <d v="2014-09-17T00:00:00"/>
    <x v="0"/>
    <s v="LW-17215"/>
    <s v="Luke Weiss"/>
    <x v="0"/>
    <s v="United States"/>
    <s v="New York City"/>
    <s v="New York"/>
    <x v="2"/>
    <s v="FUR-CH-10002024"/>
    <s v="Furniture"/>
    <x v="1"/>
    <x v="101"/>
    <n v="3785.2919999999999"/>
    <n v="6"/>
    <n v="420.58800000000002"/>
    <s v="5- days"/>
    <n v="5"/>
    <x v="4"/>
  </r>
  <r>
    <s v="CA-2014-167486"/>
    <d v="2014-11-27T00:00:00"/>
    <d v="2014-12-01T00:00:00"/>
    <x v="1"/>
    <s v="JO-15145"/>
    <s v="Jack O'Briant"/>
    <x v="1"/>
    <s v="United States"/>
    <s v="Buffalo"/>
    <s v="New York"/>
    <x v="2"/>
    <s v="FUR-FU-10003268"/>
    <s v="Furniture"/>
    <x v="3"/>
    <x v="176"/>
    <n v="199.9"/>
    <n v="5"/>
    <n v="39.979999999999997"/>
    <s v="4- days"/>
    <n v="4"/>
    <x v="0"/>
  </r>
  <r>
    <s v="CA-2014-152100"/>
    <d v="2014-05-11T00:00:00"/>
    <d v="2014-05-16T00:00:00"/>
    <x v="1"/>
    <s v="VW-21775"/>
    <s v="Victoria Wilson"/>
    <x v="1"/>
    <s v="United States"/>
    <s v="Huntsville"/>
    <s v="Texas"/>
    <x v="3"/>
    <s v="FUR-CH-10000015"/>
    <s v="Furniture"/>
    <x v="1"/>
    <x v="79"/>
    <n v="1212.96"/>
    <n v="8"/>
    <n v="-69.311999999999998"/>
    <s v="5- days"/>
    <n v="5"/>
    <x v="7"/>
  </r>
  <r>
    <s v="CA-2015-166219"/>
    <d v="2015-08-28T00:00:00"/>
    <d v="2015-09-01T00:00:00"/>
    <x v="1"/>
    <s v="BP-11185"/>
    <s v="Ben Peterman"/>
    <x v="1"/>
    <s v="United States"/>
    <s v="Dallas"/>
    <s v="Texas"/>
    <x v="3"/>
    <s v="FUR-TA-10004607"/>
    <s v="Furniture"/>
    <x v="2"/>
    <x v="212"/>
    <n v="103.48099999999999"/>
    <n v="1"/>
    <n v="-16.261299999999999"/>
    <s v="4- days"/>
    <n v="4"/>
    <x v="10"/>
  </r>
  <r>
    <s v="CA-2017-136882"/>
    <d v="2017-05-27T00:00:00"/>
    <d v="2017-06-03T00:00:00"/>
    <x v="1"/>
    <s v="DN-13690"/>
    <s v="Duane Noonan"/>
    <x v="0"/>
    <s v="United States"/>
    <s v="Tulsa"/>
    <s v="Oklahoma"/>
    <x v="3"/>
    <s v="FUR-FU-10003664"/>
    <s v="Furniture"/>
    <x v="3"/>
    <x v="8"/>
    <n v="477.3"/>
    <n v="5"/>
    <n v="138.417"/>
    <s v="7- days"/>
    <n v="7"/>
    <x v="7"/>
  </r>
  <r>
    <s v="US-2017-109610"/>
    <d v="2017-11-25T00:00:00"/>
    <d v="2017-11-30T00:00:00"/>
    <x v="0"/>
    <s v="BS-11590"/>
    <s v="Brendan Sweed"/>
    <x v="1"/>
    <s v="United States"/>
    <s v="Louisville"/>
    <s v="Kentucky"/>
    <x v="0"/>
    <s v="FUR-CH-10001854"/>
    <s v="Furniture"/>
    <x v="1"/>
    <x v="216"/>
    <n v="701.96"/>
    <n v="2"/>
    <n v="168.47040000000001"/>
    <s v="5- days"/>
    <n v="5"/>
    <x v="0"/>
  </r>
  <r>
    <s v="CA-2016-126858"/>
    <d v="2016-11-19T00:00:00"/>
    <d v="2016-11-23T00:00:00"/>
    <x v="1"/>
    <s v="JM-15265"/>
    <s v="Janet Molinari"/>
    <x v="1"/>
    <s v="United States"/>
    <s v="Seattle"/>
    <s v="Washington"/>
    <x v="1"/>
    <s v="FUR-FU-10000448"/>
    <s v="Furniture"/>
    <x v="3"/>
    <x v="98"/>
    <n v="31.96"/>
    <n v="2"/>
    <n v="1.5980000000000001"/>
    <s v="4- days"/>
    <n v="4"/>
    <x v="0"/>
  </r>
  <r>
    <s v="CA-2017-102925"/>
    <d v="2017-11-05T00:00:00"/>
    <d v="2017-11-10T00:00:00"/>
    <x v="0"/>
    <s v="CD-12280"/>
    <s v="Christina DeMoss"/>
    <x v="0"/>
    <s v="United States"/>
    <s v="New York City"/>
    <s v="New York"/>
    <x v="2"/>
    <s v="FUR-TA-10003469"/>
    <s v="Furniture"/>
    <x v="2"/>
    <x v="320"/>
    <n v="166.5"/>
    <n v="2"/>
    <n v="-66.599999999999994"/>
    <s v="5- days"/>
    <n v="5"/>
    <x v="0"/>
  </r>
  <r>
    <s v="CA-2017-102925"/>
    <d v="2017-11-05T00:00:00"/>
    <d v="2017-11-10T00:00:00"/>
    <x v="0"/>
    <s v="CD-12280"/>
    <s v="Christina DeMoss"/>
    <x v="0"/>
    <s v="United States"/>
    <s v="New York City"/>
    <s v="New York"/>
    <x v="2"/>
    <s v="FUR-CH-10004875"/>
    <s v="Furniture"/>
    <x v="1"/>
    <x v="290"/>
    <n v="128.124"/>
    <n v="2"/>
    <n v="24.2012"/>
    <s v="5- days"/>
    <n v="5"/>
    <x v="0"/>
  </r>
  <r>
    <s v="CA-2017-102925"/>
    <d v="2017-11-05T00:00:00"/>
    <d v="2017-11-10T00:00:00"/>
    <x v="0"/>
    <s v="CD-12280"/>
    <s v="Christina DeMoss"/>
    <x v="0"/>
    <s v="United States"/>
    <s v="New York City"/>
    <s v="New York"/>
    <x v="2"/>
    <s v="FUR-FU-10004245"/>
    <s v="Furniture"/>
    <x v="3"/>
    <x v="362"/>
    <n v="101.4"/>
    <n v="5"/>
    <n v="38.531999999999996"/>
    <s v="5- days"/>
    <n v="5"/>
    <x v="0"/>
  </r>
  <r>
    <s v="CA-2015-100818"/>
    <d v="2015-05-31T00:00:00"/>
    <d v="2015-06-05T00:00:00"/>
    <x v="0"/>
    <s v="JM-15265"/>
    <s v="Janet Molinari"/>
    <x v="1"/>
    <s v="United States"/>
    <s v="Chicago"/>
    <s v="Illinois"/>
    <x v="3"/>
    <s v="FUR-FU-10002703"/>
    <s v="Furniture"/>
    <x v="3"/>
    <x v="314"/>
    <n v="51.56"/>
    <n v="2"/>
    <n v="-61.872"/>
    <s v="5- days"/>
    <n v="5"/>
    <x v="7"/>
  </r>
  <r>
    <s v="CA-2016-164770"/>
    <d v="2016-12-02T00:00:00"/>
    <d v="2016-12-04T00:00:00"/>
    <x v="0"/>
    <s v="MY-18295"/>
    <s v="Muhammed Yedwab"/>
    <x v="1"/>
    <s v="United States"/>
    <s v="Houston"/>
    <s v="Texas"/>
    <x v="3"/>
    <s v="FUR-BO-10003893"/>
    <s v="Furniture"/>
    <x v="0"/>
    <x v="348"/>
    <n v="781.86400000000003"/>
    <n v="10"/>
    <n v="-137.976"/>
    <s v="2- days"/>
    <n v="2"/>
    <x v="5"/>
  </r>
  <r>
    <s v="CA-2017-130505"/>
    <d v="2017-10-12T00:00:00"/>
    <d v="2017-10-12T00:00:00"/>
    <x v="3"/>
    <s v="NF-18385"/>
    <s v="Natalie Fritzler"/>
    <x v="0"/>
    <s v="United States"/>
    <s v="Wheeling"/>
    <s v="West Virginia"/>
    <x v="2"/>
    <s v="FUR-TA-10001932"/>
    <s v="Furniture"/>
    <x v="2"/>
    <x v="167"/>
    <n v="673.34400000000005"/>
    <n v="3"/>
    <n v="-76.953599999999994"/>
    <s v="0- days"/>
    <n v="0"/>
    <x v="1"/>
  </r>
  <r>
    <s v="CA-2016-105207"/>
    <d v="2016-01-03T00:00:00"/>
    <d v="2016-01-08T00:00:00"/>
    <x v="1"/>
    <s v="BO-11350"/>
    <s v="Bill Overfelt"/>
    <x v="1"/>
    <s v="United States"/>
    <s v="Broken Arrow"/>
    <s v="Oklahoma"/>
    <x v="3"/>
    <s v="FUR-TA-10000617"/>
    <s v="Furniture"/>
    <x v="2"/>
    <x v="72"/>
    <n v="1592.85"/>
    <n v="7"/>
    <n v="350.42700000000002"/>
    <s v="5- days"/>
    <n v="5"/>
    <x v="8"/>
  </r>
  <r>
    <s v="CA-2016-149237"/>
    <d v="2016-05-26T00:00:00"/>
    <d v="2016-05-30T00:00:00"/>
    <x v="1"/>
    <s v="CM-12235"/>
    <s v="Chris McAfee"/>
    <x v="0"/>
    <s v="United States"/>
    <s v="Milwaukee"/>
    <s v="Wisconsin"/>
    <x v="3"/>
    <s v="FUR-FU-10002088"/>
    <s v="Furniture"/>
    <x v="3"/>
    <x v="209"/>
    <n v="26.94"/>
    <n v="3"/>
    <n v="11.3148"/>
    <s v="4- days"/>
    <n v="4"/>
    <x v="7"/>
  </r>
  <r>
    <s v="US-2015-158589"/>
    <d v="2015-11-20T00:00:00"/>
    <d v="2015-11-24T00:00:00"/>
    <x v="1"/>
    <s v="KW-16570"/>
    <s v="Kelly Williams"/>
    <x v="0"/>
    <s v="United States"/>
    <s v="San Francisco"/>
    <s v="California"/>
    <x v="1"/>
    <s v="FUR-FU-10001546"/>
    <s v="Furniture"/>
    <x v="3"/>
    <x v="284"/>
    <n v="32.04"/>
    <n v="3"/>
    <n v="8.01"/>
    <s v="4- days"/>
    <n v="4"/>
    <x v="0"/>
  </r>
  <r>
    <s v="CA-2017-142461"/>
    <d v="2017-05-30T00:00:00"/>
    <d v="2017-06-03T00:00:00"/>
    <x v="0"/>
    <s v="KT-16480"/>
    <s v="Kean Thornton"/>
    <x v="0"/>
    <s v="United States"/>
    <s v="Dallas"/>
    <s v="Texas"/>
    <x v="3"/>
    <s v="FUR-BO-10001811"/>
    <s v="Furniture"/>
    <x v="0"/>
    <x v="157"/>
    <n v="204.66640000000001"/>
    <n v="1"/>
    <n v="-6.0195999999999996"/>
    <s v="4- days"/>
    <n v="4"/>
    <x v="7"/>
  </r>
  <r>
    <s v="CA-2017-156958"/>
    <d v="2017-12-05T00:00:00"/>
    <d v="2017-12-06T00:00:00"/>
    <x v="2"/>
    <s v="PB-18805"/>
    <s v="Patrick Bzostek"/>
    <x v="2"/>
    <s v="United States"/>
    <s v="Seattle"/>
    <s v="Washington"/>
    <x v="1"/>
    <s v="FUR-FU-10003268"/>
    <s v="Furniture"/>
    <x v="3"/>
    <x v="176"/>
    <n v="199.9"/>
    <n v="5"/>
    <n v="39.979999999999997"/>
    <s v="1- days"/>
    <n v="1"/>
    <x v="5"/>
  </r>
  <r>
    <s v="CA-2016-116596"/>
    <d v="2016-10-27T00:00:00"/>
    <d v="2016-10-31T00:00:00"/>
    <x v="1"/>
    <s v="BW-11200"/>
    <s v="Ben Wallace"/>
    <x v="0"/>
    <s v="United States"/>
    <s v="New York City"/>
    <s v="New York"/>
    <x v="2"/>
    <s v="FUR-CH-10000553"/>
    <s v="Furniture"/>
    <x v="1"/>
    <x v="247"/>
    <n v="427.64400000000001"/>
    <n v="14"/>
    <n v="80.777199999999993"/>
    <s v="4- days"/>
    <n v="4"/>
    <x v="1"/>
  </r>
  <r>
    <s v="CA-2017-124191"/>
    <d v="2017-06-12T00:00:00"/>
    <d v="2017-06-14T00:00:00"/>
    <x v="0"/>
    <s v="TS-21610"/>
    <s v="Troy Staebel"/>
    <x v="0"/>
    <s v="United States"/>
    <s v="Chicago"/>
    <s v="Illinois"/>
    <x v="3"/>
    <s v="FUR-FU-10002364"/>
    <s v="Furniture"/>
    <x v="3"/>
    <x v="242"/>
    <n v="8.8559999999999999"/>
    <n v="3"/>
    <n v="-6.8634000000000004"/>
    <s v="2- days"/>
    <n v="2"/>
    <x v="2"/>
  </r>
  <r>
    <s v="CA-2016-148747"/>
    <d v="2016-09-25T00:00:00"/>
    <d v="2016-09-27T00:00:00"/>
    <x v="2"/>
    <s v="AS-10045"/>
    <s v="Aaron Smayling"/>
    <x v="1"/>
    <s v="United States"/>
    <s v="San Francisco"/>
    <s v="California"/>
    <x v="1"/>
    <s v="FUR-BO-10002613"/>
    <s v="Furniture"/>
    <x v="0"/>
    <x v="35"/>
    <n v="477.666"/>
    <n v="2"/>
    <n v="84.293999999999997"/>
    <s v="2- days"/>
    <n v="2"/>
    <x v="4"/>
  </r>
  <r>
    <s v="CA-2015-135727"/>
    <d v="2015-05-11T00:00:00"/>
    <d v="2015-05-16T00:00:00"/>
    <x v="0"/>
    <s v="PS-18970"/>
    <s v="Paul Stevenson"/>
    <x v="2"/>
    <s v="United States"/>
    <s v="Phoenix"/>
    <s v="Arizona"/>
    <x v="1"/>
    <s v="FUR-CH-10004540"/>
    <s v="Furniture"/>
    <x v="1"/>
    <x v="173"/>
    <n v="191.96799999999999"/>
    <n v="7"/>
    <n v="16.7972"/>
    <s v="5- days"/>
    <n v="5"/>
    <x v="7"/>
  </r>
  <r>
    <s v="CA-2015-135251"/>
    <d v="2015-08-06T00:00:00"/>
    <d v="2015-08-10T00:00:00"/>
    <x v="1"/>
    <s v="RP-19270"/>
    <s v="Rachel Payne"/>
    <x v="1"/>
    <s v="United States"/>
    <s v="Houston"/>
    <s v="Texas"/>
    <x v="3"/>
    <s v="FUR-BO-10003965"/>
    <s v="Furniture"/>
    <x v="0"/>
    <x v="208"/>
    <n v="369.19920000000002"/>
    <n v="3"/>
    <n v="-114.01739999999999"/>
    <s v="4- days"/>
    <n v="4"/>
    <x v="10"/>
  </r>
  <r>
    <s v="CA-2016-125724"/>
    <d v="2016-09-22T00:00:00"/>
    <d v="2016-09-27T00:00:00"/>
    <x v="1"/>
    <s v="SM-20950"/>
    <s v="Suzanne McNair"/>
    <x v="1"/>
    <s v="United States"/>
    <s v="Broomfield"/>
    <s v="Colorado"/>
    <x v="1"/>
    <s v="FUR-FU-10000246"/>
    <s v="Furniture"/>
    <x v="3"/>
    <x v="82"/>
    <n v="68.432000000000002"/>
    <n v="7"/>
    <n v="8.5540000000000003"/>
    <s v="5- days"/>
    <n v="5"/>
    <x v="4"/>
  </r>
  <r>
    <s v="CA-2015-111612"/>
    <d v="2015-11-28T00:00:00"/>
    <d v="2015-12-02T00:00:00"/>
    <x v="1"/>
    <s v="EB-14110"/>
    <s v="Eugene Barchas"/>
    <x v="0"/>
    <s v="United States"/>
    <s v="Columbus"/>
    <s v="Ohio"/>
    <x v="2"/>
    <s v="FUR-FU-10003799"/>
    <s v="Furniture"/>
    <x v="3"/>
    <x v="21"/>
    <n v="71.12"/>
    <n v="5"/>
    <n v="9.7789999999999999"/>
    <s v="4- days"/>
    <n v="4"/>
    <x v="0"/>
  </r>
  <r>
    <s v="CA-2014-103086"/>
    <d v="2014-10-17T00:00:00"/>
    <d v="2014-10-19T00:00:00"/>
    <x v="0"/>
    <s v="EB-14170"/>
    <s v="Evan Bailliet"/>
    <x v="0"/>
    <s v="United States"/>
    <s v="Houston"/>
    <s v="Texas"/>
    <x v="3"/>
    <s v="FUR-FU-10004586"/>
    <s v="Furniture"/>
    <x v="3"/>
    <x v="303"/>
    <n v="5.3120000000000003"/>
    <n v="2"/>
    <n v="-1.5935999999999999"/>
    <s v="2- days"/>
    <n v="2"/>
    <x v="1"/>
  </r>
  <r>
    <s v="CA-2016-129280"/>
    <d v="2016-05-03T00:00:00"/>
    <d v="2016-05-05T00:00:00"/>
    <x v="2"/>
    <s v="SM-20905"/>
    <s v="Susan MacKendrick"/>
    <x v="0"/>
    <s v="United States"/>
    <s v="Newark"/>
    <s v="Ohio"/>
    <x v="2"/>
    <s v="FUR-FU-10001876"/>
    <s v="Furniture"/>
    <x v="3"/>
    <x v="279"/>
    <n v="51.968000000000004"/>
    <n v="2"/>
    <n v="10.393599999999999"/>
    <s v="2- days"/>
    <n v="2"/>
    <x v="7"/>
  </r>
  <r>
    <s v="CA-2014-130428"/>
    <d v="2014-03-31T00:00:00"/>
    <d v="2014-03-31T00:00:00"/>
    <x v="3"/>
    <s v="TG-21640"/>
    <s v="Trudy Glocke"/>
    <x v="0"/>
    <s v="United States"/>
    <s v="Tampa"/>
    <s v="Florida"/>
    <x v="0"/>
    <s v="FUR-CH-10002965"/>
    <s v="Furniture"/>
    <x v="1"/>
    <x v="50"/>
    <n v="1125.4880000000001"/>
    <n v="7"/>
    <n v="98.480199999999996"/>
    <s v="0- days"/>
    <n v="0"/>
    <x v="9"/>
  </r>
  <r>
    <s v="CA-2015-148495"/>
    <d v="2015-08-13T00:00:00"/>
    <d v="2015-08-13T00:00:00"/>
    <x v="3"/>
    <s v="SF-20065"/>
    <s v="Sandra Flanagan"/>
    <x v="0"/>
    <s v="United States"/>
    <s v="Pomona"/>
    <s v="California"/>
    <x v="1"/>
    <s v="FUR-FU-10001889"/>
    <s v="Furniture"/>
    <x v="3"/>
    <x v="228"/>
    <n v="31.56"/>
    <n v="3"/>
    <n v="10.4148"/>
    <s v="0- days"/>
    <n v="0"/>
    <x v="10"/>
  </r>
  <r>
    <s v="CA-2015-143147"/>
    <d v="2015-05-26T00:00:00"/>
    <d v="2015-05-28T00:00:00"/>
    <x v="0"/>
    <s v="PS-18760"/>
    <s v="Pamela Stobb"/>
    <x v="0"/>
    <s v="United States"/>
    <s v="San Antonio"/>
    <s v="Texas"/>
    <x v="3"/>
    <s v="FUR-CH-10000863"/>
    <s v="Furniture"/>
    <x v="1"/>
    <x v="20"/>
    <n v="105.68600000000001"/>
    <n v="1"/>
    <n v="-28.686199999999999"/>
    <s v="2- days"/>
    <n v="2"/>
    <x v="7"/>
  </r>
  <r>
    <s v="CA-2015-143147"/>
    <d v="2015-05-26T00:00:00"/>
    <d v="2015-05-28T00:00:00"/>
    <x v="0"/>
    <s v="PS-18760"/>
    <s v="Pamela Stobb"/>
    <x v="0"/>
    <s v="United States"/>
    <s v="San Antonio"/>
    <s v="Texas"/>
    <x v="3"/>
    <s v="FUR-CH-10004754"/>
    <s v="Furniture"/>
    <x v="1"/>
    <x v="219"/>
    <n v="104.93"/>
    <n v="5"/>
    <n v="-4.4969999999999999"/>
    <s v="2- days"/>
    <n v="2"/>
    <x v="7"/>
  </r>
  <r>
    <s v="CA-2017-152975"/>
    <d v="2017-09-14T00:00:00"/>
    <d v="2017-09-16T00:00:00"/>
    <x v="2"/>
    <s v="RB-19705"/>
    <s v="Roger Barcio"/>
    <x v="2"/>
    <s v="United States"/>
    <s v="New York City"/>
    <s v="New York"/>
    <x v="2"/>
    <s v="FUR-CH-10003298"/>
    <s v="Furniture"/>
    <x v="1"/>
    <x v="322"/>
    <n v="589.41"/>
    <n v="5"/>
    <n v="-6.5490000000000004"/>
    <s v="2- days"/>
    <n v="2"/>
    <x v="4"/>
  </r>
  <r>
    <s v="CA-2017-116127"/>
    <d v="2017-06-25T00:00:00"/>
    <d v="2017-06-27T00:00:00"/>
    <x v="0"/>
    <s v="SB-20185"/>
    <s v="Sarah Brown"/>
    <x v="0"/>
    <s v="United States"/>
    <s v="New York City"/>
    <s v="New York"/>
    <x v="2"/>
    <s v="FUR-BO-10002213"/>
    <s v="Furniture"/>
    <x v="0"/>
    <x v="240"/>
    <n v="400.78399999999999"/>
    <n v="1"/>
    <n v="-5.0098000000000003"/>
    <s v="2- days"/>
    <n v="2"/>
    <x v="2"/>
  </r>
  <r>
    <s v="US-2016-105452"/>
    <d v="2016-07-28T00:00:00"/>
    <d v="2016-08-01T00:00:00"/>
    <x v="1"/>
    <s v="BF-11005"/>
    <s v="Barry Franz"/>
    <x v="2"/>
    <s v="United States"/>
    <s v="Pasadena"/>
    <s v="Texas"/>
    <x v="3"/>
    <s v="FUR-FU-10003691"/>
    <s v="Furniture"/>
    <x v="3"/>
    <x v="177"/>
    <n v="24.7"/>
    <n v="5"/>
    <n v="-9.8800000000000008"/>
    <s v="4- days"/>
    <n v="4"/>
    <x v="3"/>
  </r>
  <r>
    <s v="US-2016-105452"/>
    <d v="2016-07-28T00:00:00"/>
    <d v="2016-08-01T00:00:00"/>
    <x v="1"/>
    <s v="BF-11005"/>
    <s v="Barry Franz"/>
    <x v="2"/>
    <s v="United States"/>
    <s v="Pasadena"/>
    <s v="Texas"/>
    <x v="3"/>
    <s v="FUR-FU-10003806"/>
    <s v="Furniture"/>
    <x v="3"/>
    <x v="372"/>
    <n v="302.72000000000003"/>
    <n v="5"/>
    <n v="-378.4"/>
    <s v="4- days"/>
    <n v="4"/>
    <x v="3"/>
  </r>
  <r>
    <s v="CA-2015-149517"/>
    <d v="2015-09-19T00:00:00"/>
    <d v="2015-09-23T00:00:00"/>
    <x v="1"/>
    <s v="FC-14245"/>
    <s v="Frank Carlisle"/>
    <x v="2"/>
    <s v="United States"/>
    <s v="Sacramento"/>
    <s v="California"/>
    <x v="1"/>
    <s v="FUR-FU-10003464"/>
    <s v="Furniture"/>
    <x v="3"/>
    <x v="302"/>
    <n v="60.84"/>
    <n v="3"/>
    <n v="19.468800000000002"/>
    <s v="4- days"/>
    <n v="4"/>
    <x v="4"/>
  </r>
  <r>
    <s v="CA-2016-129861"/>
    <d v="2016-06-17T00:00:00"/>
    <d v="2016-06-23T00:00:00"/>
    <x v="1"/>
    <s v="DM-13345"/>
    <s v="Denise Monton"/>
    <x v="1"/>
    <s v="United States"/>
    <s v="Rochester"/>
    <s v="New York"/>
    <x v="2"/>
    <s v="FUR-TA-10003715"/>
    <s v="Furniture"/>
    <x v="2"/>
    <x v="201"/>
    <n v="376.86599999999999"/>
    <n v="3"/>
    <n v="-213.5574"/>
    <s v="6- days"/>
    <n v="6"/>
    <x v="2"/>
  </r>
  <r>
    <s v="CA-2016-130638"/>
    <d v="2016-05-16T00:00:00"/>
    <d v="2016-05-19T00:00:00"/>
    <x v="0"/>
    <s v="SC-20095"/>
    <s v="Sanjit Chand"/>
    <x v="0"/>
    <s v="United States"/>
    <s v="Los Angeles"/>
    <s v="California"/>
    <x v="1"/>
    <s v="FUR-FU-10002116"/>
    <s v="Furniture"/>
    <x v="3"/>
    <x v="286"/>
    <n v="282.83999999999997"/>
    <n v="4"/>
    <n v="19.7988"/>
    <s v="3- days"/>
    <n v="3"/>
    <x v="7"/>
  </r>
  <r>
    <s v="CA-2017-137449"/>
    <d v="2017-06-29T00:00:00"/>
    <d v="2017-06-30T00:00:00"/>
    <x v="2"/>
    <s v="ME-17725"/>
    <s v="Max Engle"/>
    <x v="0"/>
    <s v="United States"/>
    <s v="Dallas"/>
    <s v="Texas"/>
    <x v="3"/>
    <s v="FUR-TA-10002855"/>
    <s v="Furniture"/>
    <x v="2"/>
    <x v="235"/>
    <n v="307.31400000000002"/>
    <n v="3"/>
    <n v="-39.511800000000001"/>
    <s v="1- days"/>
    <n v="1"/>
    <x v="2"/>
  </r>
  <r>
    <s v="CA-2017-137449"/>
    <d v="2017-06-29T00:00:00"/>
    <d v="2017-06-30T00:00:00"/>
    <x v="2"/>
    <s v="ME-17725"/>
    <s v="Max Engle"/>
    <x v="0"/>
    <s v="United States"/>
    <s v="Dallas"/>
    <s v="Texas"/>
    <x v="3"/>
    <s v="FUR-BO-10000780"/>
    <s v="Furniture"/>
    <x v="0"/>
    <x v="258"/>
    <n v="409.99919999999997"/>
    <n v="3"/>
    <n v="-96.470399999999998"/>
    <s v="1- days"/>
    <n v="1"/>
    <x v="2"/>
  </r>
  <r>
    <s v="CA-2014-151330"/>
    <d v="2014-10-14T00:00:00"/>
    <d v="2014-10-17T00:00:00"/>
    <x v="2"/>
    <s v="TC-21295"/>
    <s v="Toby Carlisle"/>
    <x v="0"/>
    <s v="United States"/>
    <s v="Everett"/>
    <s v="Massachusetts"/>
    <x v="2"/>
    <s v="FUR-CH-10000749"/>
    <s v="Furniture"/>
    <x v="1"/>
    <x v="349"/>
    <n v="1628.82"/>
    <n v="9"/>
    <n v="260.6112"/>
    <s v="3- days"/>
    <n v="3"/>
    <x v="1"/>
  </r>
  <r>
    <s v="CA-2014-124702"/>
    <d v="2014-11-18T00:00:00"/>
    <d v="2014-11-25T00:00:00"/>
    <x v="1"/>
    <s v="MH-17785"/>
    <s v="Maya Herman"/>
    <x v="1"/>
    <s v="United States"/>
    <s v="Seattle"/>
    <s v="Washington"/>
    <x v="1"/>
    <s v="FUR-FU-10003553"/>
    <s v="Furniture"/>
    <x v="3"/>
    <x v="117"/>
    <n v="137.54"/>
    <n v="2"/>
    <n v="55.015999999999998"/>
    <s v="7- days"/>
    <n v="7"/>
    <x v="0"/>
  </r>
  <r>
    <s v="CA-2014-124702"/>
    <d v="2014-11-18T00:00:00"/>
    <d v="2014-11-25T00:00:00"/>
    <x v="1"/>
    <s v="MH-17785"/>
    <s v="Maya Herman"/>
    <x v="1"/>
    <s v="United States"/>
    <s v="Seattle"/>
    <s v="Washington"/>
    <x v="1"/>
    <s v="FUR-TA-10003008"/>
    <s v="Furniture"/>
    <x v="2"/>
    <x v="190"/>
    <n v="730.2"/>
    <n v="4"/>
    <n v="94.926000000000002"/>
    <s v="7- days"/>
    <n v="7"/>
    <x v="0"/>
  </r>
  <r>
    <s v="CA-2015-116638"/>
    <d v="2015-01-28T00:00:00"/>
    <d v="2015-01-31T00:00:00"/>
    <x v="0"/>
    <s v="JH-15985"/>
    <s v="Joseph Holt"/>
    <x v="0"/>
    <s v="United States"/>
    <s v="Concord"/>
    <s v="North Carolina"/>
    <x v="0"/>
    <s v="FUR-TA-10000198"/>
    <s v="Furniture"/>
    <x v="2"/>
    <x v="124"/>
    <n v="4297.6440000000002"/>
    <n v="13"/>
    <n v="-1862.3124"/>
    <s v="3- days"/>
    <n v="3"/>
    <x v="8"/>
  </r>
  <r>
    <s v="CA-2014-104563"/>
    <d v="2014-03-07T00:00:00"/>
    <d v="2014-03-12T00:00:00"/>
    <x v="1"/>
    <s v="CM-12715"/>
    <s v="Craig Molinari"/>
    <x v="1"/>
    <s v="United States"/>
    <s v="Seattle"/>
    <s v="Washington"/>
    <x v="1"/>
    <s v="FUR-CH-10002780"/>
    <s v="Furniture"/>
    <x v="1"/>
    <x v="379"/>
    <n v="436.70400000000001"/>
    <n v="6"/>
    <n v="21.8352"/>
    <s v="5- days"/>
    <n v="5"/>
    <x v="9"/>
  </r>
  <r>
    <s v="CA-2014-104563"/>
    <d v="2014-03-07T00:00:00"/>
    <d v="2014-03-12T00:00:00"/>
    <x v="1"/>
    <s v="CM-12715"/>
    <s v="Craig Molinari"/>
    <x v="1"/>
    <s v="United States"/>
    <s v="Seattle"/>
    <s v="Washington"/>
    <x v="1"/>
    <s v="FUR-CH-10004495"/>
    <s v="Furniture"/>
    <x v="1"/>
    <x v="304"/>
    <n v="481.56799999999998"/>
    <n v="2"/>
    <n v="54.176400000000001"/>
    <s v="5- days"/>
    <n v="5"/>
    <x v="9"/>
  </r>
  <r>
    <s v="CA-2016-107104"/>
    <d v="2016-11-26T00:00:00"/>
    <d v="2016-11-30T00:00:00"/>
    <x v="1"/>
    <s v="MS-17365"/>
    <s v="Maribeth Schnelling"/>
    <x v="0"/>
    <s v="United States"/>
    <s v="Los Angeles"/>
    <s v="California"/>
    <x v="1"/>
    <s v="FUR-BO-10002213"/>
    <s v="Furniture"/>
    <x v="0"/>
    <x v="240"/>
    <n v="3406.6640000000002"/>
    <n v="8"/>
    <n v="160.31360000000001"/>
    <s v="4- days"/>
    <n v="4"/>
    <x v="0"/>
  </r>
  <r>
    <s v="CA-2016-107104"/>
    <d v="2016-11-26T00:00:00"/>
    <d v="2016-11-30T00:00:00"/>
    <x v="1"/>
    <s v="MS-17365"/>
    <s v="Maribeth Schnelling"/>
    <x v="0"/>
    <s v="United States"/>
    <s v="Los Angeles"/>
    <s v="California"/>
    <x v="1"/>
    <s v="FUR-FU-10002937"/>
    <s v="Furniture"/>
    <x v="3"/>
    <x v="205"/>
    <n v="595.38"/>
    <n v="6"/>
    <n v="297.69"/>
    <s v="4- days"/>
    <n v="4"/>
    <x v="0"/>
  </r>
  <r>
    <s v="CA-2014-156160"/>
    <d v="2014-09-22T00:00:00"/>
    <d v="2014-09-29T00:00:00"/>
    <x v="1"/>
    <s v="AS-10090"/>
    <s v="Adam Shillingsburg"/>
    <x v="0"/>
    <s v="United States"/>
    <s v="New York City"/>
    <s v="New York"/>
    <x v="2"/>
    <s v="FUR-FU-10001876"/>
    <s v="Furniture"/>
    <x v="3"/>
    <x v="279"/>
    <n v="97.44"/>
    <n v="3"/>
    <n v="35.078400000000002"/>
    <s v="7- days"/>
    <n v="7"/>
    <x v="4"/>
  </r>
  <r>
    <s v="CA-2014-156160"/>
    <d v="2014-09-22T00:00:00"/>
    <d v="2014-09-29T00:00:00"/>
    <x v="1"/>
    <s v="AS-10090"/>
    <s v="Adam Shillingsburg"/>
    <x v="0"/>
    <s v="United States"/>
    <s v="New York City"/>
    <s v="New York"/>
    <x v="2"/>
    <s v="FUR-CH-10004983"/>
    <s v="Furniture"/>
    <x v="1"/>
    <x v="319"/>
    <n v="579.52800000000002"/>
    <n v="4"/>
    <n v="83.709599999999995"/>
    <s v="7- days"/>
    <n v="7"/>
    <x v="4"/>
  </r>
  <r>
    <s v="CA-2017-157448"/>
    <d v="2017-11-16T00:00:00"/>
    <d v="2017-11-20T00:00:00"/>
    <x v="1"/>
    <s v="LC-16885"/>
    <s v="Lena Creighton"/>
    <x v="0"/>
    <s v="United States"/>
    <s v="Los Angeles"/>
    <s v="California"/>
    <x v="1"/>
    <s v="FUR-FU-10003268"/>
    <s v="Furniture"/>
    <x v="3"/>
    <x v="176"/>
    <n v="119.94"/>
    <n v="3"/>
    <n v="23.988"/>
    <s v="4- days"/>
    <n v="4"/>
    <x v="0"/>
  </r>
  <r>
    <s v="CA-2017-157448"/>
    <d v="2017-11-16T00:00:00"/>
    <d v="2017-11-20T00:00:00"/>
    <x v="1"/>
    <s v="LC-16885"/>
    <s v="Lena Creighton"/>
    <x v="0"/>
    <s v="United States"/>
    <s v="Los Angeles"/>
    <s v="California"/>
    <x v="1"/>
    <s v="FUR-FU-10001847"/>
    <s v="Furniture"/>
    <x v="3"/>
    <x v="270"/>
    <n v="12.42"/>
    <n v="3"/>
    <n v="4.4711999999999996"/>
    <s v="4- days"/>
    <n v="4"/>
    <x v="0"/>
  </r>
  <r>
    <s v="CA-2016-137393"/>
    <d v="2016-05-06T00:00:00"/>
    <d v="2016-05-10T00:00:00"/>
    <x v="1"/>
    <s v="GM-14500"/>
    <s v="Gene McClure"/>
    <x v="0"/>
    <s v="United States"/>
    <s v="Bakersfield"/>
    <s v="California"/>
    <x v="1"/>
    <s v="FUR-FU-10001617"/>
    <s v="Furniture"/>
    <x v="3"/>
    <x v="225"/>
    <n v="41.6"/>
    <n v="4"/>
    <n v="14.144"/>
    <s v="4- days"/>
    <n v="4"/>
    <x v="7"/>
  </r>
  <r>
    <s v="CA-2017-122770"/>
    <d v="2017-12-13T00:00:00"/>
    <d v="2017-12-18T00:00:00"/>
    <x v="1"/>
    <s v="EP-13915"/>
    <s v="Emily Phan"/>
    <x v="0"/>
    <s v="United States"/>
    <s v="San Francisco"/>
    <s v="California"/>
    <x v="1"/>
    <s v="FUR-FU-10001473"/>
    <s v="Furniture"/>
    <x v="3"/>
    <x v="246"/>
    <n v="201.04"/>
    <n v="8"/>
    <n v="54.280799999999999"/>
    <s v="5- days"/>
    <n v="5"/>
    <x v="5"/>
  </r>
  <r>
    <s v="CA-2015-130183"/>
    <d v="2015-11-13T00:00:00"/>
    <d v="2015-11-17T00:00:00"/>
    <x v="1"/>
    <s v="PO-18850"/>
    <s v="Patrick O'Brill"/>
    <x v="0"/>
    <s v="United States"/>
    <s v="Houston"/>
    <s v="Texas"/>
    <x v="3"/>
    <s v="FUR-BO-10001811"/>
    <s v="Furniture"/>
    <x v="0"/>
    <x v="157"/>
    <n v="613.99919999999997"/>
    <n v="3"/>
    <n v="-18.058800000000002"/>
    <s v="4- days"/>
    <n v="4"/>
    <x v="0"/>
  </r>
  <r>
    <s v="CA-2016-122511"/>
    <d v="2016-03-11T00:00:00"/>
    <d v="2016-03-11T00:00:00"/>
    <x v="3"/>
    <s v="BT-11485"/>
    <s v="Brad Thomas"/>
    <x v="2"/>
    <s v="United States"/>
    <s v="Philadelphia"/>
    <s v="Pennsylvania"/>
    <x v="2"/>
    <s v="FUR-FU-10001037"/>
    <s v="Furniture"/>
    <x v="3"/>
    <x v="231"/>
    <n v="30.335999999999999"/>
    <n v="4"/>
    <n v="9.48"/>
    <s v="0- days"/>
    <n v="0"/>
    <x v="9"/>
  </r>
  <r>
    <s v="CA-2016-161746"/>
    <d v="2016-10-21T00:00:00"/>
    <d v="2016-10-27T00:00:00"/>
    <x v="1"/>
    <s v="CS-11950"/>
    <s v="Carlos Soltero"/>
    <x v="0"/>
    <s v="United States"/>
    <s v="Los Angeles"/>
    <s v="California"/>
    <x v="1"/>
    <s v="FUR-CH-10004626"/>
    <s v="Furniture"/>
    <x v="1"/>
    <x v="353"/>
    <n v="242.136"/>
    <n v="3"/>
    <n v="12.1068"/>
    <s v="6- days"/>
    <n v="6"/>
    <x v="1"/>
  </r>
  <r>
    <s v="CA-2016-161746"/>
    <d v="2016-10-21T00:00:00"/>
    <d v="2016-10-27T00:00:00"/>
    <x v="1"/>
    <s v="CS-11950"/>
    <s v="Carlos Soltero"/>
    <x v="0"/>
    <s v="United States"/>
    <s v="Los Angeles"/>
    <s v="California"/>
    <x v="1"/>
    <s v="FUR-FU-10003731"/>
    <s v="Furniture"/>
    <x v="3"/>
    <x v="329"/>
    <n v="19.96"/>
    <n v="2"/>
    <n v="5.5888"/>
    <s v="6- days"/>
    <n v="6"/>
    <x v="1"/>
  </r>
  <r>
    <s v="CA-2014-114251"/>
    <d v="2014-11-05T00:00:00"/>
    <d v="2014-11-10T00:00:00"/>
    <x v="1"/>
    <s v="MD-17350"/>
    <s v="Maribeth Dona"/>
    <x v="0"/>
    <s v="United States"/>
    <s v="Philadelphia"/>
    <s v="Pennsylvania"/>
    <x v="2"/>
    <s v="FUR-FU-10001468"/>
    <s v="Furniture"/>
    <x v="3"/>
    <x v="253"/>
    <n v="273.56799999999998"/>
    <n v="2"/>
    <n v="-34.195999999999998"/>
    <s v="5- days"/>
    <n v="5"/>
    <x v="0"/>
  </r>
  <r>
    <s v="CA-2016-119641"/>
    <d v="2016-09-22T00:00:00"/>
    <d v="2016-09-26T00:00:00"/>
    <x v="1"/>
    <s v="CS-12250"/>
    <s v="Chris Selesnick"/>
    <x v="1"/>
    <s v="United States"/>
    <s v="Green Bay"/>
    <s v="Wisconsin"/>
    <x v="3"/>
    <s v="FUR-FU-10002445"/>
    <s v="Furniture"/>
    <x v="3"/>
    <x v="292"/>
    <n v="18.96"/>
    <n v="2"/>
    <n v="7.5839999999999996"/>
    <s v="4- days"/>
    <n v="4"/>
    <x v="4"/>
  </r>
  <r>
    <s v="CA-2016-105781"/>
    <d v="2016-02-16T00:00:00"/>
    <d v="2016-02-20T00:00:00"/>
    <x v="1"/>
    <s v="JF-15565"/>
    <s v="Jill Fjeld"/>
    <x v="0"/>
    <s v="United States"/>
    <s v="New York City"/>
    <s v="New York"/>
    <x v="2"/>
    <s v="FUR-CH-10001802"/>
    <s v="Furniture"/>
    <x v="1"/>
    <x v="352"/>
    <n v="326.64600000000002"/>
    <n v="3"/>
    <n v="39.923400000000001"/>
    <s v="4- days"/>
    <n v="4"/>
    <x v="11"/>
  </r>
  <r>
    <s v="CA-2014-114321"/>
    <d v="2014-08-20T00:00:00"/>
    <d v="2014-08-25T00:00:00"/>
    <x v="1"/>
    <s v="NC-18535"/>
    <s v="Nick Crebassa"/>
    <x v="1"/>
    <s v="United States"/>
    <s v="Hampton"/>
    <s v="Virginia"/>
    <x v="0"/>
    <s v="FUR-CH-10001797"/>
    <s v="Furniture"/>
    <x v="1"/>
    <x v="293"/>
    <n v="500.24"/>
    <n v="13"/>
    <n v="145.06960000000001"/>
    <s v="5- days"/>
    <n v="5"/>
    <x v="10"/>
  </r>
  <r>
    <s v="CA-2015-117086"/>
    <d v="2015-11-08T00:00:00"/>
    <d v="2015-11-12T00:00:00"/>
    <x v="1"/>
    <s v="QJ-19255"/>
    <s v="Quincy Jones"/>
    <x v="1"/>
    <s v="United States"/>
    <s v="Burlington"/>
    <s v="Vermont"/>
    <x v="2"/>
    <s v="FUR-BO-10004834"/>
    <s v="Furniture"/>
    <x v="0"/>
    <x v="6"/>
    <n v="4404.8999999999996"/>
    <n v="5"/>
    <n v="1013.127"/>
    <s v="4- days"/>
    <n v="4"/>
    <x v="0"/>
  </r>
  <r>
    <s v="CA-2017-137505"/>
    <d v="2017-11-24T00:00:00"/>
    <d v="2017-11-24T00:00:00"/>
    <x v="3"/>
    <s v="BP-11290"/>
    <s v="Beth Paige"/>
    <x v="0"/>
    <s v="United States"/>
    <s v="Los Angeles"/>
    <s v="California"/>
    <x v="1"/>
    <s v="FUR-TA-10000617"/>
    <s v="Furniture"/>
    <x v="2"/>
    <x v="72"/>
    <n v="364.08"/>
    <n v="2"/>
    <n v="9.1020000000000003"/>
    <s v="0- days"/>
    <n v="0"/>
    <x v="0"/>
  </r>
  <r>
    <s v="CA-2017-137505"/>
    <d v="2017-11-24T00:00:00"/>
    <d v="2017-11-24T00:00:00"/>
    <x v="3"/>
    <s v="BP-11290"/>
    <s v="Beth Paige"/>
    <x v="0"/>
    <s v="United States"/>
    <s v="Los Angeles"/>
    <s v="California"/>
    <x v="1"/>
    <s v="FUR-TA-10001676"/>
    <s v="Furniture"/>
    <x v="2"/>
    <x v="193"/>
    <n v="71.087999999999994"/>
    <n v="2"/>
    <n v="-1.7771999999999999"/>
    <s v="0- days"/>
    <n v="0"/>
    <x v="0"/>
  </r>
  <r>
    <s v="US-2014-140914"/>
    <d v="2014-11-11T00:00:00"/>
    <d v="2014-11-15T00:00:00"/>
    <x v="1"/>
    <s v="BH-11710"/>
    <s v="Brosina Hoffman"/>
    <x v="0"/>
    <s v="United States"/>
    <s v="Chicago"/>
    <s v="Illinois"/>
    <x v="3"/>
    <s v="FUR-FU-10000175"/>
    <s v="Furniture"/>
    <x v="3"/>
    <x v="338"/>
    <n v="10.984"/>
    <n v="2"/>
    <n v="-7.9634"/>
    <s v="4- days"/>
    <n v="4"/>
    <x v="0"/>
  </r>
  <r>
    <s v="US-2014-140914"/>
    <d v="2014-11-11T00:00:00"/>
    <d v="2014-11-15T00:00:00"/>
    <x v="1"/>
    <s v="BH-11710"/>
    <s v="Brosina Hoffman"/>
    <x v="0"/>
    <s v="United States"/>
    <s v="Chicago"/>
    <s v="Illinois"/>
    <x v="3"/>
    <s v="FUR-CH-10003379"/>
    <s v="Furniture"/>
    <x v="1"/>
    <x v="96"/>
    <n v="797.94399999999996"/>
    <n v="4"/>
    <n v="-56.996000000000002"/>
    <s v="4- days"/>
    <n v="4"/>
    <x v="0"/>
  </r>
  <r>
    <s v="CA-2017-113705"/>
    <d v="2017-03-27T00:00:00"/>
    <d v="2017-03-29T00:00:00"/>
    <x v="0"/>
    <s v="LC-16870"/>
    <s v="Lena Cacioppo"/>
    <x v="0"/>
    <s v="United States"/>
    <s v="Richmond"/>
    <s v="Virginia"/>
    <x v="0"/>
    <s v="FUR-TA-10002533"/>
    <s v="Furniture"/>
    <x v="2"/>
    <x v="58"/>
    <n v="292.10000000000002"/>
    <n v="2"/>
    <n v="58.42"/>
    <s v="2- days"/>
    <n v="2"/>
    <x v="9"/>
  </r>
  <r>
    <s v="CA-2016-146913"/>
    <d v="2016-10-31T00:00:00"/>
    <d v="2016-11-05T00:00:00"/>
    <x v="1"/>
    <s v="SF-20965"/>
    <s v="Sylvia Foulston"/>
    <x v="1"/>
    <s v="United States"/>
    <s v="San Francisco"/>
    <s v="California"/>
    <x v="1"/>
    <s v="FUR-CH-10001854"/>
    <s v="Furniture"/>
    <x v="1"/>
    <x v="216"/>
    <n v="1403.92"/>
    <n v="5"/>
    <n v="70.195999999999998"/>
    <s v="5- days"/>
    <n v="5"/>
    <x v="1"/>
  </r>
  <r>
    <s v="CA-2016-123533"/>
    <d v="2016-11-24T00:00:00"/>
    <d v="2016-11-30T00:00:00"/>
    <x v="1"/>
    <s v="SC-20050"/>
    <s v="Sample Company A"/>
    <x v="2"/>
    <s v="United States"/>
    <s v="Hialeah"/>
    <s v="Florida"/>
    <x v="0"/>
    <s v="FUR-BO-10001619"/>
    <s v="Furniture"/>
    <x v="0"/>
    <x v="127"/>
    <n v="339.92"/>
    <n v="5"/>
    <n v="8.4979999999999993"/>
    <s v="6- days"/>
    <n v="6"/>
    <x v="0"/>
  </r>
  <r>
    <s v="CA-2014-169019"/>
    <d v="2014-07-26T00:00:00"/>
    <d v="2014-07-30T00:00:00"/>
    <x v="1"/>
    <s v="LF-17185"/>
    <s v="Luke Foster"/>
    <x v="0"/>
    <s v="United States"/>
    <s v="San Antonio"/>
    <s v="Texas"/>
    <x v="3"/>
    <s v="FUR-FU-10004666"/>
    <s v="Furniture"/>
    <x v="3"/>
    <x v="296"/>
    <n v="17.495999999999999"/>
    <n v="3"/>
    <n v="-10.0602"/>
    <s v="4- days"/>
    <n v="4"/>
    <x v="3"/>
  </r>
  <r>
    <s v="CA-2015-149748"/>
    <d v="2015-05-31T00:00:00"/>
    <d v="2015-06-02T00:00:00"/>
    <x v="0"/>
    <s v="EM-13825"/>
    <s v="Elizabeth Moffitt"/>
    <x v="1"/>
    <s v="United States"/>
    <s v="Paterson"/>
    <s v="New Jersey"/>
    <x v="2"/>
    <s v="FUR-FU-10001847"/>
    <s v="Furniture"/>
    <x v="3"/>
    <x v="270"/>
    <n v="8.2799999999999994"/>
    <n v="2"/>
    <n v="2.9807999999999999"/>
    <s v="2- days"/>
    <n v="2"/>
    <x v="7"/>
  </r>
  <r>
    <s v="US-2014-114377"/>
    <d v="2014-11-05T00:00:00"/>
    <d v="2014-11-05T00:00:00"/>
    <x v="3"/>
    <s v="BG-11035"/>
    <s v="Barry Gonzalez"/>
    <x v="0"/>
    <s v="United States"/>
    <s v="Hampton"/>
    <s v="Virginia"/>
    <x v="0"/>
    <s v="FUR-CH-10004754"/>
    <s v="Furniture"/>
    <x v="1"/>
    <x v="219"/>
    <n v="149.9"/>
    <n v="5"/>
    <n v="40.472999999999999"/>
    <s v="0- days"/>
    <n v="0"/>
    <x v="0"/>
  </r>
  <r>
    <s v="CA-2017-144491"/>
    <d v="2017-03-27T00:00:00"/>
    <d v="2017-04-01T00:00:00"/>
    <x v="1"/>
    <s v="CJ-12010"/>
    <s v="Caroline Jumper"/>
    <x v="0"/>
    <s v="United States"/>
    <s v="Houston"/>
    <s v="Texas"/>
    <x v="3"/>
    <s v="FUR-BO-10001811"/>
    <s v="Furniture"/>
    <x v="0"/>
    <x v="157"/>
    <n v="1023.332"/>
    <n v="5"/>
    <n v="-30.097999999999999"/>
    <s v="5- days"/>
    <n v="5"/>
    <x v="9"/>
  </r>
  <r>
    <s v="CA-2017-144491"/>
    <d v="2017-03-27T00:00:00"/>
    <d v="2017-04-01T00:00:00"/>
    <x v="1"/>
    <s v="CJ-12010"/>
    <s v="Caroline Jumper"/>
    <x v="0"/>
    <s v="United States"/>
    <s v="Houston"/>
    <s v="Texas"/>
    <x v="3"/>
    <s v="FUR-CH-10004063"/>
    <s v="Furniture"/>
    <x v="1"/>
    <x v="27"/>
    <n v="600.55799999999999"/>
    <n v="3"/>
    <n v="-8.5793999999999997"/>
    <s v="5- days"/>
    <n v="5"/>
    <x v="9"/>
  </r>
  <r>
    <s v="CA-2017-144491"/>
    <d v="2017-03-27T00:00:00"/>
    <d v="2017-04-01T00:00:00"/>
    <x v="1"/>
    <s v="CJ-12010"/>
    <s v="Caroline Jumper"/>
    <x v="0"/>
    <s v="United States"/>
    <s v="Houston"/>
    <s v="Texas"/>
    <x v="3"/>
    <s v="FUR-CH-10001714"/>
    <s v="Furniture"/>
    <x v="1"/>
    <x v="255"/>
    <n v="211.24600000000001"/>
    <n v="2"/>
    <n v="-66.391599999999997"/>
    <s v="5- days"/>
    <n v="5"/>
    <x v="9"/>
  </r>
  <r>
    <s v="CA-2014-127166"/>
    <d v="2014-05-21T00:00:00"/>
    <d v="2014-05-23T00:00:00"/>
    <x v="0"/>
    <s v="KH-16360"/>
    <s v="Katherine Hughes"/>
    <x v="0"/>
    <s v="United States"/>
    <s v="Houston"/>
    <s v="Texas"/>
    <x v="3"/>
    <s v="FUR-CH-10003396"/>
    <s v="Furniture"/>
    <x v="1"/>
    <x v="81"/>
    <n v="107.77200000000001"/>
    <n v="2"/>
    <n v="-29.252400000000002"/>
    <s v="2- days"/>
    <n v="2"/>
    <x v="7"/>
  </r>
  <r>
    <s v="CA-2015-122973"/>
    <d v="2015-07-18T00:00:00"/>
    <d v="2015-07-20T00:00:00"/>
    <x v="0"/>
    <s v="PJ-19015"/>
    <s v="Pauline Johnson"/>
    <x v="0"/>
    <s v="United States"/>
    <s v="New York City"/>
    <s v="New York"/>
    <x v="2"/>
    <s v="FUR-FU-10002364"/>
    <s v="Furniture"/>
    <x v="3"/>
    <x v="242"/>
    <n v="7.38"/>
    <n v="1"/>
    <n v="2.1402000000000001"/>
    <s v="2- days"/>
    <n v="2"/>
    <x v="3"/>
  </r>
  <r>
    <s v="CA-2016-136322"/>
    <d v="2016-10-21T00:00:00"/>
    <d v="2016-10-26T00:00:00"/>
    <x v="1"/>
    <s v="AP-10720"/>
    <s v="Anne Pryor"/>
    <x v="2"/>
    <s v="United States"/>
    <s v="Fort Lauderdale"/>
    <s v="Florida"/>
    <x v="0"/>
    <s v="FUR-FU-10002878"/>
    <s v="Furniture"/>
    <x v="3"/>
    <x v="220"/>
    <n v="45.567999999999998"/>
    <n v="2"/>
    <n v="9.6831999999999994"/>
    <s v="5- days"/>
    <n v="5"/>
    <x v="1"/>
  </r>
  <r>
    <s v="CA-2017-107209"/>
    <d v="2017-07-27T00:00:00"/>
    <d v="2017-08-01T00:00:00"/>
    <x v="0"/>
    <s v="JW-15955"/>
    <s v="Joni Wasserman"/>
    <x v="0"/>
    <s v="United States"/>
    <s v="Raleigh"/>
    <s v="North Carolina"/>
    <x v="0"/>
    <s v="FUR-CH-10001146"/>
    <s v="Furniture"/>
    <x v="1"/>
    <x v="15"/>
    <n v="194.84800000000001"/>
    <n v="4"/>
    <n v="12.178000000000001"/>
    <s v="5- days"/>
    <n v="5"/>
    <x v="3"/>
  </r>
  <r>
    <s v="CA-2015-162201"/>
    <d v="2015-06-08T00:00:00"/>
    <d v="2015-06-12T00:00:00"/>
    <x v="1"/>
    <s v="AG-10495"/>
    <s v="Andrew Gjertsen"/>
    <x v="1"/>
    <s v="United States"/>
    <s v="Saint Petersburg"/>
    <s v="Florida"/>
    <x v="0"/>
    <s v="FUR-FU-10001185"/>
    <s v="Furniture"/>
    <x v="3"/>
    <x v="281"/>
    <n v="173.208"/>
    <n v="7"/>
    <n v="45.467100000000002"/>
    <s v="4- days"/>
    <n v="4"/>
    <x v="2"/>
  </r>
  <r>
    <s v="US-2014-164406"/>
    <d v="2014-08-15T00:00:00"/>
    <d v="2014-08-19T00:00:00"/>
    <x v="1"/>
    <s v="BD-11605"/>
    <s v="Brian Dahlen"/>
    <x v="0"/>
    <s v="United States"/>
    <s v="San Francisco"/>
    <s v="California"/>
    <x v="1"/>
    <s v="FUR-CH-10003833"/>
    <s v="Furniture"/>
    <x v="1"/>
    <x v="237"/>
    <n v="195.136"/>
    <n v="4"/>
    <n v="-12.196"/>
    <s v="4- days"/>
    <n v="4"/>
    <x v="10"/>
  </r>
  <r>
    <s v="US-2017-152842"/>
    <d v="2017-07-16T00:00:00"/>
    <d v="2017-07-23T00:00:00"/>
    <x v="1"/>
    <s v="NF-18385"/>
    <s v="Natalie Fritzler"/>
    <x v="0"/>
    <s v="United States"/>
    <s v="Charlotte"/>
    <s v="North Carolina"/>
    <x v="0"/>
    <s v="FUR-CH-10004218"/>
    <s v="Furniture"/>
    <x v="1"/>
    <x v="10"/>
    <n v="242.352"/>
    <n v="3"/>
    <n v="15.147"/>
    <s v="7- days"/>
    <n v="7"/>
    <x v="3"/>
  </r>
  <r>
    <s v="CA-2014-113257"/>
    <d v="2014-12-16T00:00:00"/>
    <d v="2014-12-18T00:00:00"/>
    <x v="0"/>
    <s v="SC-20305"/>
    <s v="Sean Christensen"/>
    <x v="0"/>
    <s v="United States"/>
    <s v="Beaumont"/>
    <s v="Texas"/>
    <x v="3"/>
    <s v="FUR-FU-10001706"/>
    <s v="Furniture"/>
    <x v="3"/>
    <x v="11"/>
    <n v="8.6240000000000006"/>
    <n v="7"/>
    <n v="-2.5872000000000002"/>
    <s v="2- days"/>
    <n v="2"/>
    <x v="5"/>
  </r>
  <r>
    <s v="CA-2016-126627"/>
    <d v="2016-10-10T00:00:00"/>
    <d v="2016-10-12T00:00:00"/>
    <x v="2"/>
    <s v="WB-21850"/>
    <s v="William Brown"/>
    <x v="0"/>
    <s v="United States"/>
    <s v="La Porte"/>
    <s v="Texas"/>
    <x v="3"/>
    <s v="FUR-FU-10004963"/>
    <s v="Furniture"/>
    <x v="3"/>
    <x v="289"/>
    <n v="14"/>
    <n v="4"/>
    <n v="-6.3"/>
    <s v="2- days"/>
    <n v="2"/>
    <x v="1"/>
  </r>
  <r>
    <s v="US-2016-125402"/>
    <d v="2016-09-25T00:00:00"/>
    <d v="2016-10-01T00:00:00"/>
    <x v="1"/>
    <s v="DL-12865"/>
    <s v="Dan Lawera"/>
    <x v="0"/>
    <s v="United States"/>
    <s v="Long Beach"/>
    <s v="California"/>
    <x v="1"/>
    <s v="FUR-CH-10000665"/>
    <s v="Furniture"/>
    <x v="1"/>
    <x v="140"/>
    <n v="483.13600000000002"/>
    <n v="4"/>
    <n v="60.392000000000003"/>
    <s v="6- days"/>
    <n v="6"/>
    <x v="4"/>
  </r>
  <r>
    <s v="CA-2014-163867"/>
    <d v="2014-06-03T00:00:00"/>
    <d v="2014-06-06T00:00:00"/>
    <x v="2"/>
    <s v="RE-19450"/>
    <s v="Richard Eichhorn"/>
    <x v="0"/>
    <s v="United States"/>
    <s v="Decatur"/>
    <s v="Illinois"/>
    <x v="3"/>
    <s v="FUR-FU-10001475"/>
    <s v="Furniture"/>
    <x v="3"/>
    <x v="106"/>
    <n v="61.543999999999997"/>
    <n v="7"/>
    <n v="-40.003599999999999"/>
    <s v="3- days"/>
    <n v="3"/>
    <x v="2"/>
  </r>
  <r>
    <s v="CA-2017-169327"/>
    <d v="2017-09-02T00:00:00"/>
    <d v="2017-09-04T00:00:00"/>
    <x v="0"/>
    <s v="MH-17290"/>
    <s v="Marc Harrigan"/>
    <x v="2"/>
    <s v="United States"/>
    <s v="Los Angeles"/>
    <s v="California"/>
    <x v="1"/>
    <s v="FUR-FU-10004188"/>
    <s v="Furniture"/>
    <x v="3"/>
    <x v="150"/>
    <n v="511.5"/>
    <n v="5"/>
    <n v="132.99"/>
    <s v="2- days"/>
    <n v="2"/>
    <x v="4"/>
  </r>
  <r>
    <s v="CA-2016-158155"/>
    <d v="2016-05-02T00:00:00"/>
    <d v="2016-05-06T00:00:00"/>
    <x v="1"/>
    <s v="EH-13765"/>
    <s v="Edward Hooks"/>
    <x v="1"/>
    <s v="United States"/>
    <s v="New York City"/>
    <s v="New York"/>
    <x v="2"/>
    <s v="FUR-FU-10000732"/>
    <s v="Furniture"/>
    <x v="3"/>
    <x v="113"/>
    <n v="12.56"/>
    <n v="2"/>
    <n v="4.0191999999999997"/>
    <s v="4- days"/>
    <n v="4"/>
    <x v="7"/>
  </r>
  <r>
    <s v="CA-2016-158155"/>
    <d v="2016-05-02T00:00:00"/>
    <d v="2016-05-06T00:00:00"/>
    <x v="1"/>
    <s v="EH-13765"/>
    <s v="Edward Hooks"/>
    <x v="1"/>
    <s v="United States"/>
    <s v="New York City"/>
    <s v="New York"/>
    <x v="2"/>
    <s v="FUR-FU-10002253"/>
    <s v="Furniture"/>
    <x v="3"/>
    <x v="123"/>
    <n v="214.7"/>
    <n v="5"/>
    <n v="83.733000000000004"/>
    <s v="4- days"/>
    <n v="4"/>
    <x v="7"/>
  </r>
  <r>
    <s v="CA-2017-138870"/>
    <d v="2017-06-19T00:00:00"/>
    <d v="2017-06-23T00:00:00"/>
    <x v="1"/>
    <s v="GA-14515"/>
    <s v="George Ashbrook"/>
    <x v="0"/>
    <s v="United States"/>
    <s v="San Francisco"/>
    <s v="California"/>
    <x v="1"/>
    <s v="FUR-FU-10002396"/>
    <s v="Furniture"/>
    <x v="3"/>
    <x v="326"/>
    <n v="50.32"/>
    <n v="4"/>
    <n v="21.134399999999999"/>
    <s v="4- days"/>
    <n v="4"/>
    <x v="2"/>
  </r>
  <r>
    <s v="CA-2015-164301"/>
    <d v="2015-03-26T00:00:00"/>
    <d v="2015-03-30T00:00:00"/>
    <x v="1"/>
    <s v="EB-13840"/>
    <s v="Ellis Ballard"/>
    <x v="1"/>
    <s v="United States"/>
    <s v="Seattle"/>
    <s v="Washington"/>
    <x v="1"/>
    <s v="FUR-TA-10001889"/>
    <s v="Furniture"/>
    <x v="2"/>
    <x v="87"/>
    <n v="3393.68"/>
    <n v="8"/>
    <n v="610.86239999999998"/>
    <s v="4- days"/>
    <n v="4"/>
    <x v="9"/>
  </r>
  <r>
    <s v="CA-2017-113278"/>
    <d v="2017-01-14T00:00:00"/>
    <d v="2017-01-20T00:00:00"/>
    <x v="1"/>
    <s v="HR-14770"/>
    <s v="Hallie Redmond"/>
    <x v="2"/>
    <s v="United States"/>
    <s v="Richmond"/>
    <s v="Indiana"/>
    <x v="3"/>
    <s v="FUR-FU-10001037"/>
    <s v="Furniture"/>
    <x v="3"/>
    <x v="231"/>
    <n v="18.96"/>
    <n v="2"/>
    <n v="8.532"/>
    <s v="6- days"/>
    <n v="6"/>
    <x v="8"/>
  </r>
  <r>
    <s v="CA-2014-114195"/>
    <d v="2014-11-01T00:00:00"/>
    <d v="2014-11-03T00:00:00"/>
    <x v="2"/>
    <s v="EA-14035"/>
    <s v="Erin Ashbrook"/>
    <x v="1"/>
    <s v="United States"/>
    <s v="Mason"/>
    <s v="Ohio"/>
    <x v="2"/>
    <s v="FUR-FU-10002253"/>
    <s v="Furniture"/>
    <x v="3"/>
    <x v="123"/>
    <n v="68.703999999999994"/>
    <n v="2"/>
    <n v="16.3172"/>
    <s v="2- days"/>
    <n v="2"/>
    <x v="0"/>
  </r>
  <r>
    <s v="CA-2016-122581"/>
    <d v="2016-08-21T00:00:00"/>
    <d v="2016-08-25T00:00:00"/>
    <x v="1"/>
    <s v="JK-15370"/>
    <s v="Jay Kimmel"/>
    <x v="0"/>
    <s v="United States"/>
    <s v="New York City"/>
    <s v="New York"/>
    <x v="2"/>
    <s v="FUR-CH-10002961"/>
    <s v="Furniture"/>
    <x v="1"/>
    <x v="189"/>
    <n v="573.17399999999998"/>
    <n v="7"/>
    <n v="63.686"/>
    <s v="4- days"/>
    <n v="4"/>
    <x v="10"/>
  </r>
  <r>
    <s v="US-2016-115441"/>
    <d v="2016-07-25T00:00:00"/>
    <d v="2016-07-28T00:00:00"/>
    <x v="0"/>
    <s v="SH-19975"/>
    <s v="Sally Hughsby"/>
    <x v="1"/>
    <s v="United States"/>
    <s v="Milwaukee"/>
    <s v="Wisconsin"/>
    <x v="3"/>
    <s v="FUR-CH-10004626"/>
    <s v="Furniture"/>
    <x v="1"/>
    <x v="353"/>
    <n v="403.56"/>
    <n v="4"/>
    <n v="96.854399999999998"/>
    <s v="3- days"/>
    <n v="3"/>
    <x v="3"/>
  </r>
  <r>
    <s v="US-2016-115441"/>
    <d v="2016-07-25T00:00:00"/>
    <d v="2016-07-28T00:00:00"/>
    <x v="0"/>
    <s v="SH-19975"/>
    <s v="Sally Hughsby"/>
    <x v="1"/>
    <s v="United States"/>
    <s v="Milwaukee"/>
    <s v="Wisconsin"/>
    <x v="3"/>
    <s v="FUR-FU-10001756"/>
    <s v="Furniture"/>
    <x v="3"/>
    <x v="62"/>
    <n v="95.2"/>
    <n v="5"/>
    <n v="27.608000000000001"/>
    <s v="3- days"/>
    <n v="3"/>
    <x v="3"/>
  </r>
  <r>
    <s v="CA-2016-112830"/>
    <d v="2016-06-06T00:00:00"/>
    <d v="2016-06-10T00:00:00"/>
    <x v="1"/>
    <s v="LP-17095"/>
    <s v="Liz Preis"/>
    <x v="0"/>
    <s v="United States"/>
    <s v="Fairfield"/>
    <s v="Ohio"/>
    <x v="2"/>
    <s v="FUR-FU-10004306"/>
    <s v="Furniture"/>
    <x v="3"/>
    <x v="130"/>
    <n v="466.32"/>
    <n v="3"/>
    <n v="34.973999999999997"/>
    <s v="4- days"/>
    <n v="4"/>
    <x v="2"/>
  </r>
  <r>
    <s v="CA-2016-112830"/>
    <d v="2016-06-06T00:00:00"/>
    <d v="2016-06-10T00:00:00"/>
    <x v="1"/>
    <s v="LP-17095"/>
    <s v="Liz Preis"/>
    <x v="0"/>
    <s v="United States"/>
    <s v="Fairfield"/>
    <s v="Ohio"/>
    <x v="2"/>
    <s v="FUR-FU-10004845"/>
    <s v="Furniture"/>
    <x v="3"/>
    <x v="351"/>
    <n v="82.64"/>
    <n v="2"/>
    <n v="0"/>
    <s v="4- days"/>
    <n v="4"/>
    <x v="2"/>
  </r>
  <r>
    <s v="US-2014-117380"/>
    <d v="2014-03-28T00:00:00"/>
    <d v="2014-04-03T00:00:00"/>
    <x v="1"/>
    <s v="MP-18175"/>
    <s v="Mike Pelletier"/>
    <x v="2"/>
    <s v="United States"/>
    <s v="Springfield"/>
    <s v="Ohio"/>
    <x v="2"/>
    <s v="FUR-TA-10000198"/>
    <s v="Furniture"/>
    <x v="2"/>
    <x v="124"/>
    <n v="330.58800000000002"/>
    <n v="1"/>
    <n v="-143.25479999999999"/>
    <s v="6- days"/>
    <n v="6"/>
    <x v="9"/>
  </r>
  <r>
    <s v="CA-2017-117646"/>
    <d v="2017-08-21T00:00:00"/>
    <d v="2017-08-25T00:00:00"/>
    <x v="1"/>
    <s v="SC-20845"/>
    <s v="Sung Chung"/>
    <x v="0"/>
    <s v="United States"/>
    <s v="Louisville"/>
    <s v="Colorado"/>
    <x v="1"/>
    <s v="FUR-FU-10001037"/>
    <s v="Furniture"/>
    <x v="3"/>
    <x v="231"/>
    <n v="22.751999999999999"/>
    <n v="3"/>
    <n v="7.11"/>
    <s v="4- days"/>
    <n v="4"/>
    <x v="10"/>
  </r>
  <r>
    <s v="CA-2014-122609"/>
    <d v="2014-11-12T00:00:00"/>
    <d v="2014-11-18T00:00:00"/>
    <x v="1"/>
    <s v="DP-13000"/>
    <s v="Darren Powers"/>
    <x v="0"/>
    <s v="United States"/>
    <s v="Carrollton"/>
    <s v="Texas"/>
    <x v="3"/>
    <s v="FUR-FU-10004587"/>
    <s v="Furniture"/>
    <x v="3"/>
    <x v="269"/>
    <n v="25.128"/>
    <n v="3"/>
    <n v="-6.9101999999999997"/>
    <s v="6- days"/>
    <n v="6"/>
    <x v="0"/>
  </r>
  <r>
    <s v="US-2015-129007"/>
    <d v="2015-09-13T00:00:00"/>
    <d v="2015-09-15T00:00:00"/>
    <x v="2"/>
    <s v="KD-16615"/>
    <s v="Ken Dana"/>
    <x v="1"/>
    <s v="United States"/>
    <s v="Anaheim"/>
    <s v="California"/>
    <x v="1"/>
    <s v="FUR-FU-10004973"/>
    <s v="Furniture"/>
    <x v="3"/>
    <x v="223"/>
    <n v="131.88"/>
    <n v="7"/>
    <n v="55.389600000000002"/>
    <s v="2- days"/>
    <n v="2"/>
    <x v="4"/>
  </r>
  <r>
    <s v="US-2015-129007"/>
    <d v="2015-09-13T00:00:00"/>
    <d v="2015-09-15T00:00:00"/>
    <x v="2"/>
    <s v="KD-16615"/>
    <s v="Ken Dana"/>
    <x v="1"/>
    <s v="United States"/>
    <s v="Anaheim"/>
    <s v="California"/>
    <x v="1"/>
    <s v="FUR-CH-10000155"/>
    <s v="Furniture"/>
    <x v="1"/>
    <x v="229"/>
    <n v="717.72"/>
    <n v="3"/>
    <n v="71.772000000000006"/>
    <s v="2- days"/>
    <n v="2"/>
    <x v="4"/>
  </r>
  <r>
    <s v="US-2015-129007"/>
    <d v="2015-09-13T00:00:00"/>
    <d v="2015-09-15T00:00:00"/>
    <x v="2"/>
    <s v="KD-16615"/>
    <s v="Ken Dana"/>
    <x v="1"/>
    <s v="United States"/>
    <s v="Anaheim"/>
    <s v="California"/>
    <x v="1"/>
    <s v="FUR-FU-10002379"/>
    <s v="Furniture"/>
    <x v="3"/>
    <x v="300"/>
    <n v="207.35"/>
    <n v="5"/>
    <n v="24.882000000000001"/>
    <s v="2- days"/>
    <n v="2"/>
    <x v="4"/>
  </r>
  <r>
    <s v="US-2015-129007"/>
    <d v="2015-09-13T00:00:00"/>
    <d v="2015-09-15T00:00:00"/>
    <x v="2"/>
    <s v="KD-16615"/>
    <s v="Ken Dana"/>
    <x v="1"/>
    <s v="United States"/>
    <s v="Anaheim"/>
    <s v="California"/>
    <x v="1"/>
    <s v="FUR-FU-10004018"/>
    <s v="Furniture"/>
    <x v="3"/>
    <x v="188"/>
    <n v="44.67"/>
    <n v="3"/>
    <n v="12.0609"/>
    <s v="2- days"/>
    <n v="2"/>
    <x v="4"/>
  </r>
  <r>
    <s v="CA-2015-132388"/>
    <d v="2015-10-10T00:00:00"/>
    <d v="2015-10-12T00:00:00"/>
    <x v="2"/>
    <s v="KN-16390"/>
    <s v="Katherine Nockton"/>
    <x v="1"/>
    <s v="United States"/>
    <s v="Santa Barbara"/>
    <s v="California"/>
    <x v="1"/>
    <s v="FUR-CH-10001714"/>
    <s v="Furniture"/>
    <x v="1"/>
    <x v="255"/>
    <n v="362.13600000000002"/>
    <n v="3"/>
    <n v="-54.320399999999999"/>
    <s v="2- days"/>
    <n v="2"/>
    <x v="1"/>
  </r>
  <r>
    <s v="CA-2017-160927"/>
    <d v="2017-01-29T00:00:00"/>
    <d v="2017-01-31T00:00:00"/>
    <x v="0"/>
    <s v="TM-21010"/>
    <s v="Tamara Manning"/>
    <x v="0"/>
    <s v="United States"/>
    <s v="Marion"/>
    <s v="Iowa"/>
    <x v="3"/>
    <s v="FUR-FU-10000010"/>
    <s v="Furniture"/>
    <x v="3"/>
    <x v="109"/>
    <n v="14.91"/>
    <n v="3"/>
    <n v="4.6220999999999997"/>
    <s v="2- days"/>
    <n v="2"/>
    <x v="8"/>
  </r>
  <r>
    <s v="CA-2016-149272"/>
    <d v="2016-03-15T00:00:00"/>
    <d v="2016-03-19T00:00:00"/>
    <x v="1"/>
    <s v="MY-18295"/>
    <s v="Muhammed Yedwab"/>
    <x v="1"/>
    <s v="United States"/>
    <s v="Bryan"/>
    <s v="Texas"/>
    <x v="3"/>
    <s v="FUR-CH-10000863"/>
    <s v="Furniture"/>
    <x v="1"/>
    <x v="20"/>
    <n v="528.42999999999995"/>
    <n v="5"/>
    <n v="-143.43100000000001"/>
    <s v="4- days"/>
    <n v="4"/>
    <x v="9"/>
  </r>
  <r>
    <s v="CA-2016-129630"/>
    <d v="2016-09-04T00:00:00"/>
    <d v="2016-09-04T00:00:00"/>
    <x v="3"/>
    <s v="IM-15055"/>
    <s v="Ionia McGrath"/>
    <x v="0"/>
    <s v="United States"/>
    <s v="San Francisco"/>
    <s v="California"/>
    <x v="1"/>
    <s v="FUR-FU-10000260"/>
    <s v="Furniture"/>
    <x v="3"/>
    <x v="18"/>
    <n v="24.27"/>
    <n v="3"/>
    <n v="8.7371999999999996"/>
    <s v="0- days"/>
    <n v="0"/>
    <x v="4"/>
  </r>
  <r>
    <s v="CA-2015-104948"/>
    <d v="2015-11-13T00:00:00"/>
    <d v="2015-11-17T00:00:00"/>
    <x v="1"/>
    <s v="KH-16510"/>
    <s v="Keith Herrera"/>
    <x v="0"/>
    <s v="United States"/>
    <s v="San Bernardino"/>
    <s v="California"/>
    <x v="1"/>
    <s v="FUR-BO-10004357"/>
    <s v="Furniture"/>
    <x v="0"/>
    <x v="268"/>
    <n v="683.33199999999999"/>
    <n v="4"/>
    <n v="-40.195999999999998"/>
    <s v="4- days"/>
    <n v="4"/>
    <x v="0"/>
  </r>
  <r>
    <s v="CA-2016-164889"/>
    <d v="2016-06-03T00:00:00"/>
    <d v="2016-06-06T00:00:00"/>
    <x v="0"/>
    <s v="CP-12340"/>
    <s v="Christine Phan"/>
    <x v="1"/>
    <s v="United States"/>
    <s v="Los Angeles"/>
    <s v="California"/>
    <x v="1"/>
    <s v="FUR-TA-10001676"/>
    <s v="Furniture"/>
    <x v="2"/>
    <x v="193"/>
    <n v="71.087999999999994"/>
    <n v="2"/>
    <n v="-1.7771999999999999"/>
    <s v="3- days"/>
    <n v="3"/>
    <x v="2"/>
  </r>
  <r>
    <s v="CA-2016-169824"/>
    <d v="2016-12-12T00:00:00"/>
    <d v="2016-12-17T00:00:00"/>
    <x v="1"/>
    <s v="NS-18640"/>
    <s v="Noel Staavos"/>
    <x v="1"/>
    <s v="United States"/>
    <s v="New York City"/>
    <s v="New York"/>
    <x v="2"/>
    <s v="FUR-FU-10004864"/>
    <s v="Furniture"/>
    <x v="3"/>
    <x v="356"/>
    <n v="60.35"/>
    <n v="5"/>
    <n v="19.915500000000002"/>
    <s v="5- days"/>
    <n v="5"/>
    <x v="5"/>
  </r>
  <r>
    <s v="CA-2017-121559"/>
    <d v="2017-06-01T00:00:00"/>
    <d v="2017-06-03T00:00:00"/>
    <x v="0"/>
    <s v="HW-14935"/>
    <s v="Helen Wasserman"/>
    <x v="1"/>
    <s v="United States"/>
    <s v="Indianapolis"/>
    <s v="Indiana"/>
    <x v="3"/>
    <s v="FUR-CH-10003746"/>
    <s v="Furniture"/>
    <x v="1"/>
    <x v="131"/>
    <n v="1925.88"/>
    <n v="6"/>
    <n v="539.24639999999999"/>
    <s v="2- days"/>
    <n v="2"/>
    <x v="2"/>
  </r>
  <r>
    <s v="CA-2015-141593"/>
    <d v="2015-12-14T00:00:00"/>
    <d v="2015-12-16T00:00:00"/>
    <x v="0"/>
    <s v="DB-12970"/>
    <s v="Darren Budd"/>
    <x v="1"/>
    <s v="United States"/>
    <s v="Los Angeles"/>
    <s v="California"/>
    <x v="1"/>
    <s v="FUR-TA-10002622"/>
    <s v="Furniture"/>
    <x v="2"/>
    <x v="194"/>
    <n v="273.56799999999998"/>
    <n v="2"/>
    <n v="10.258800000000001"/>
    <s v="2- days"/>
    <n v="2"/>
    <x v="5"/>
  </r>
  <r>
    <s v="CA-2015-168088"/>
    <d v="2015-03-19T00:00:00"/>
    <d v="2015-03-22T00:00:00"/>
    <x v="2"/>
    <s v="CM-12655"/>
    <s v="Corinna Mitchell"/>
    <x v="2"/>
    <s v="United States"/>
    <s v="Houston"/>
    <s v="Texas"/>
    <x v="3"/>
    <s v="FUR-BO-10004218"/>
    <s v="Furniture"/>
    <x v="0"/>
    <x v="327"/>
    <n v="383.46559999999999"/>
    <n v="4"/>
    <n v="-67.670400000000001"/>
    <s v="3- days"/>
    <n v="3"/>
    <x v="9"/>
  </r>
  <r>
    <s v="CA-2016-146374"/>
    <d v="2016-12-05T00:00:00"/>
    <d v="2016-12-10T00:00:00"/>
    <x v="0"/>
    <s v="HE-14800"/>
    <s v="Harold Engle"/>
    <x v="1"/>
    <s v="United States"/>
    <s v="Newark"/>
    <s v="Delaware"/>
    <x v="2"/>
    <s v="FUR-FU-10002671"/>
    <s v="Furniture"/>
    <x v="3"/>
    <x v="59"/>
    <n v="13.4"/>
    <n v="1"/>
    <n v="6.4320000000000004"/>
    <s v="5- days"/>
    <n v="5"/>
    <x v="5"/>
  </r>
  <r>
    <s v="US-2015-151435"/>
    <d v="2015-09-06T00:00:00"/>
    <d v="2015-09-09T00:00:00"/>
    <x v="0"/>
    <s v="SW-20455"/>
    <s v="Shaun Weien"/>
    <x v="0"/>
    <s v="United States"/>
    <s v="Lafayette"/>
    <s v="Louisiana"/>
    <x v="0"/>
    <s v="FUR-TA-10001039"/>
    <s v="Furniture"/>
    <x v="2"/>
    <x v="165"/>
    <n v="85.98"/>
    <n v="1"/>
    <n v="22.354800000000001"/>
    <s v="3- days"/>
    <n v="3"/>
    <x v="4"/>
  </r>
  <r>
    <s v="CA-2014-110422"/>
    <d v="2014-01-21T00:00:00"/>
    <d v="2014-01-23T00:00:00"/>
    <x v="0"/>
    <s v="TB-21400"/>
    <s v="Tom Boeckenhauer"/>
    <x v="0"/>
    <s v="United States"/>
    <s v="Miami"/>
    <s v="Florida"/>
    <x v="0"/>
    <s v="FUR-FU-10001889"/>
    <s v="Furniture"/>
    <x v="3"/>
    <x v="228"/>
    <n v="25.248000000000001"/>
    <n v="3"/>
    <n v="4.1028000000000002"/>
    <s v="2- days"/>
    <n v="2"/>
    <x v="8"/>
  </r>
  <r>
    <s v="CA-2017-121258"/>
    <d v="2017-02-26T00:00:00"/>
    <d v="2017-03-03T00:00:00"/>
    <x v="1"/>
    <s v="DB-13060"/>
    <s v="Dave Brooks"/>
    <x v="0"/>
    <s v="United States"/>
    <s v="Costa Mesa"/>
    <s v="California"/>
    <x v="1"/>
    <s v="FUR-FU-10000747"/>
    <s v="Furniture"/>
    <x v="3"/>
    <x v="363"/>
    <n v="91.96"/>
    <n v="2"/>
    <n v="15.6332"/>
    <s v="5- days"/>
    <n v="5"/>
    <x v="11"/>
  </r>
  <r>
    <m/>
    <m/>
    <m/>
    <x v="4"/>
    <m/>
    <m/>
    <x v="3"/>
    <m/>
    <m/>
    <m/>
    <x v="4"/>
    <m/>
    <m/>
    <x v="4"/>
    <x v="380"/>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4A9CB9-8F56-4890-8BAE-D78F3DDFB1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B42" firstHeaderRow="1" firstDataRow="1" firstDataCol="1"/>
  <pivotFields count="21">
    <pivotField showAll="0"/>
    <pivotField showAll="0"/>
    <pivotField showAll="0"/>
    <pivotField showAll="0"/>
    <pivotField showAll="0"/>
    <pivotField showAll="0"/>
    <pivotField showAll="0"/>
    <pivotField showAll="0"/>
    <pivotField showAll="0"/>
    <pivotField showAll="0"/>
    <pivotField axis="axisRow" showAll="0">
      <items count="6">
        <item x="3"/>
        <item x="2"/>
        <item x="0"/>
        <item x="1"/>
        <item x="4"/>
        <item t="default"/>
      </items>
    </pivotField>
    <pivotField showAll="0"/>
    <pivotField showAll="0"/>
    <pivotField showAll="0">
      <items count="6">
        <item x="0"/>
        <item x="1"/>
        <item x="3"/>
        <item x="2"/>
        <item x="4"/>
        <item t="default"/>
      </items>
    </pivotField>
    <pivotField showAll="0"/>
    <pivotField dataField="1" showAll="0"/>
    <pivotField showAll="0"/>
    <pivotField showAll="0"/>
    <pivotField showAll="0"/>
    <pivotField showAll="0"/>
    <pivotField showAll="0">
      <items count="14">
        <item x="8"/>
        <item x="11"/>
        <item x="9"/>
        <item x="6"/>
        <item x="7"/>
        <item x="2"/>
        <item x="3"/>
        <item x="10"/>
        <item x="4"/>
        <item x="1"/>
        <item x="0"/>
        <item x="5"/>
        <item x="12"/>
        <item t="default"/>
      </items>
    </pivotField>
  </pivotFields>
  <rowFields count="1">
    <field x="10"/>
  </rowFields>
  <rowItems count="6">
    <i>
      <x/>
    </i>
    <i>
      <x v="1"/>
    </i>
    <i>
      <x v="2"/>
    </i>
    <i>
      <x v="3"/>
    </i>
    <i>
      <x v="4"/>
    </i>
    <i t="grand">
      <x/>
    </i>
  </rowItems>
  <colItems count="1">
    <i/>
  </colItems>
  <dataFields count="1">
    <dataField name="Sum of Sales" fld="15" baseField="0" baseItem="0" numFmtId="165"/>
  </dataFields>
  <formats count="1">
    <format dxfId="3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6805B4-A47E-4BC2-9EF8-E149DCDAFF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24"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items count="6">
        <item x="0"/>
        <item x="1"/>
        <item x="3"/>
        <item x="2"/>
        <item x="4"/>
        <item t="default"/>
      </items>
    </pivotField>
    <pivotField showAll="0"/>
    <pivotField dataField="1" showAll="0"/>
    <pivotField showAll="0"/>
    <pivotField showAll="0"/>
    <pivotField showAll="0"/>
    <pivotField showAll="0"/>
    <pivotField axis="axisRow" showAll="0">
      <items count="14">
        <item x="8"/>
        <item x="11"/>
        <item x="9"/>
        <item x="6"/>
        <item x="7"/>
        <item x="2"/>
        <item x="3"/>
        <item x="10"/>
        <item x="4"/>
        <item x="1"/>
        <item x="0"/>
        <item x="5"/>
        <item x="12"/>
        <item t="default"/>
      </items>
    </pivotField>
  </pivotFields>
  <rowFields count="1">
    <field x="20"/>
  </rowFields>
  <rowItems count="14">
    <i>
      <x/>
    </i>
    <i>
      <x v="1"/>
    </i>
    <i>
      <x v="2"/>
    </i>
    <i>
      <x v="3"/>
    </i>
    <i>
      <x v="4"/>
    </i>
    <i>
      <x v="5"/>
    </i>
    <i>
      <x v="6"/>
    </i>
    <i>
      <x v="7"/>
    </i>
    <i>
      <x v="8"/>
    </i>
    <i>
      <x v="9"/>
    </i>
    <i>
      <x v="10"/>
    </i>
    <i>
      <x v="11"/>
    </i>
    <i>
      <x v="12"/>
    </i>
    <i t="grand">
      <x/>
    </i>
  </rowItems>
  <colItems count="1">
    <i/>
  </colItems>
  <dataFields count="1">
    <dataField name="Sum of Sales" fld="15" baseField="0" baseItem="0" numFmtId="165"/>
  </dataFields>
  <formats count="1">
    <format dxfId="3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56E8F-A955-47B4-BADF-C2316B64705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64" firstHeaderRow="1" firstDataRow="1" firstDataCol="1"/>
  <pivotFields count="21">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items count="6">
        <item x="3"/>
        <item x="2"/>
        <item x="0"/>
        <item x="1"/>
        <item x="4"/>
        <item t="default"/>
      </items>
    </pivotField>
    <pivotField showAll="0"/>
    <pivotField showAll="0"/>
    <pivotField showAll="0">
      <items count="6">
        <item x="0"/>
        <item x="1"/>
        <item x="3"/>
        <item x="2"/>
        <item x="4"/>
        <item t="default"/>
      </items>
    </pivotField>
    <pivotField showAll="0"/>
    <pivotField dataField="1" showAll="0"/>
    <pivotField showAll="0"/>
    <pivotField showAll="0"/>
    <pivotField showAll="0"/>
    <pivotField showAll="0"/>
    <pivotField showAll="0">
      <items count="14">
        <item x="8"/>
        <item x="11"/>
        <item x="9"/>
        <item x="6"/>
        <item x="7"/>
        <item x="2"/>
        <item x="3"/>
        <item x="10"/>
        <item x="4"/>
        <item x="1"/>
        <item x="0"/>
        <item x="5"/>
        <item x="12"/>
        <item t="default"/>
      </items>
    </pivotField>
  </pivotFields>
  <rowFields count="1">
    <field x="6"/>
  </rowFields>
  <rowItems count="4">
    <i>
      <x/>
    </i>
    <i>
      <x v="1"/>
    </i>
    <i>
      <x v="2"/>
    </i>
    <i t="grand">
      <x/>
    </i>
  </rowItems>
  <colItems count="1">
    <i/>
  </colItems>
  <dataFields count="1">
    <dataField name="Sum of Sales" fld="15" baseField="0" baseItem="0"/>
  </dataFields>
  <formats count="1">
    <format dxfId="39">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CD490-F6BD-4382-9CFF-5E4D0BEF46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items count="6">
        <item x="0"/>
        <item x="1"/>
        <item x="3"/>
        <item x="2"/>
        <item x="4"/>
        <item t="default"/>
      </items>
    </pivotField>
    <pivotField showAll="0"/>
    <pivotField showAll="0"/>
    <pivotField dataField="1" showAll="0"/>
    <pivotField showAll="0"/>
    <pivotField showAll="0"/>
    <pivotField showAll="0"/>
    <pivotField showAll="0">
      <items count="14">
        <item x="8"/>
        <item x="11"/>
        <item x="9"/>
        <item x="6"/>
        <item x="7"/>
        <item x="2"/>
        <item x="3"/>
        <item x="10"/>
        <item x="4"/>
        <item x="1"/>
        <item x="0"/>
        <item x="5"/>
        <item x="12"/>
        <item t="default"/>
      </items>
    </pivotField>
  </pivotFields>
  <rowItems count="1">
    <i/>
  </rowItems>
  <colItems count="1">
    <i/>
  </colItems>
  <dataFields count="1">
    <dataField name="Sum of Quantity" fld="16" baseField="0" baseItem="0" numFmtId="165"/>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50A358-9B52-46B4-BC97-CF8F0112B5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items count="6">
        <item x="0"/>
        <item x="1"/>
        <item x="3"/>
        <item x="2"/>
        <item x="4"/>
        <item t="default"/>
      </items>
    </pivotField>
    <pivotField showAll="0"/>
    <pivotField dataField="1" showAll="0"/>
    <pivotField showAll="0"/>
    <pivotField showAll="0"/>
    <pivotField showAll="0"/>
    <pivotField showAll="0"/>
    <pivotField showAll="0">
      <items count="14">
        <item x="8"/>
        <item x="11"/>
        <item x="9"/>
        <item x="6"/>
        <item x="7"/>
        <item x="2"/>
        <item x="3"/>
        <item x="10"/>
        <item x="4"/>
        <item x="1"/>
        <item x="0"/>
        <item x="5"/>
        <item x="12"/>
        <item t="default"/>
      </items>
    </pivotField>
  </pivotFields>
  <rowItems count="1">
    <i/>
  </rowItems>
  <colItems count="1">
    <i/>
  </colItems>
  <dataFields count="1">
    <dataField name="Sum of Sales" fld="15" baseField="0" baseItem="0" numFmtId="165"/>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DEE438-9DDF-4FFD-8902-666306DF4A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7:B33"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axis="axisRow" showAll="0">
      <items count="6">
        <item x="0"/>
        <item x="1"/>
        <item x="3"/>
        <item x="2"/>
        <item x="4"/>
        <item t="default"/>
      </items>
    </pivotField>
    <pivotField showAll="0"/>
    <pivotField dataField="1" showAll="0"/>
    <pivotField showAll="0"/>
    <pivotField showAll="0"/>
    <pivotField showAll="0"/>
    <pivotField showAll="0"/>
    <pivotField showAll="0">
      <items count="14">
        <item x="8"/>
        <item x="11"/>
        <item x="9"/>
        <item x="6"/>
        <item x="7"/>
        <item x="2"/>
        <item x="3"/>
        <item x="10"/>
        <item x="4"/>
        <item x="1"/>
        <item x="0"/>
        <item x="5"/>
        <item x="12"/>
        <item t="default"/>
      </items>
    </pivotField>
  </pivotFields>
  <rowFields count="1">
    <field x="13"/>
  </rowFields>
  <rowItems count="6">
    <i>
      <x/>
    </i>
    <i>
      <x v="1"/>
    </i>
    <i>
      <x v="2"/>
    </i>
    <i>
      <x v="3"/>
    </i>
    <i>
      <x v="4"/>
    </i>
    <i t="grand">
      <x/>
    </i>
  </rowItems>
  <colItems count="1">
    <i/>
  </colItems>
  <dataFields count="1">
    <dataField name="Sum of Sales" fld="15" baseField="0" baseItem="0" numFmtId="165"/>
  </dataFields>
  <formats count="1">
    <format dxfId="4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3" count="1" selected="0">
            <x v="0"/>
          </reference>
        </references>
      </pivotArea>
    </chartFormat>
    <chartFormat chart="6" format="12">
      <pivotArea type="data" outline="0" fieldPosition="0">
        <references count="2">
          <reference field="4294967294" count="1" selected="0">
            <x v="0"/>
          </reference>
          <reference field="13" count="1" selected="0">
            <x v="1"/>
          </reference>
        </references>
      </pivotArea>
    </chartFormat>
    <chartFormat chart="6" format="13">
      <pivotArea type="data" outline="0" fieldPosition="0">
        <references count="2">
          <reference field="4294967294" count="1" selected="0">
            <x v="0"/>
          </reference>
          <reference field="13" count="1" selected="0">
            <x v="2"/>
          </reference>
        </references>
      </pivotArea>
    </chartFormat>
    <chartFormat chart="6" format="14">
      <pivotArea type="data" outline="0" fieldPosition="0">
        <references count="2">
          <reference field="4294967294" count="1" selected="0">
            <x v="0"/>
          </reference>
          <reference field="13" count="1" selected="0">
            <x v="3"/>
          </reference>
        </references>
      </pivotArea>
    </chartFormat>
    <chartFormat chart="6" format="1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246DDB-98C8-42E9-8677-5A7A8DFCB6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items count="6">
        <item x="0"/>
        <item x="1"/>
        <item x="3"/>
        <item x="2"/>
        <item x="4"/>
        <item t="default"/>
      </items>
    </pivotField>
    <pivotField showAll="0"/>
    <pivotField showAll="0"/>
    <pivotField showAll="0"/>
    <pivotField dataField="1" showAll="0"/>
    <pivotField showAll="0"/>
    <pivotField showAll="0"/>
    <pivotField showAll="0">
      <items count="14">
        <item x="8"/>
        <item x="11"/>
        <item x="9"/>
        <item x="6"/>
        <item x="7"/>
        <item x="2"/>
        <item x="3"/>
        <item x="10"/>
        <item x="4"/>
        <item x="1"/>
        <item x="0"/>
        <item x="5"/>
        <item x="12"/>
        <item t="default"/>
      </items>
    </pivotField>
  </pivotFields>
  <rowItems count="1">
    <i/>
  </rowItems>
  <colItems count="1">
    <i/>
  </colItems>
  <dataFields count="1">
    <dataField name="Sum of Profit" fld="17" baseField="0" baseItem="0" numFmtId="165"/>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74072C-F896-4641-9690-D1474B3C829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5:B5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items count="6">
        <item x="3"/>
        <item x="2"/>
        <item x="0"/>
        <item x="1"/>
        <item x="4"/>
        <item t="default"/>
      </items>
    </pivotField>
    <pivotField showAll="0"/>
    <pivotField showAll="0"/>
    <pivotField showAll="0">
      <items count="6">
        <item x="0"/>
        <item x="1"/>
        <item x="3"/>
        <item x="2"/>
        <item x="4"/>
        <item t="default"/>
      </items>
    </pivotField>
    <pivotField axis="axisRow" showAll="0" measureFilter="1" sortType="descending">
      <items count="382">
        <item x="115"/>
        <item x="175"/>
        <item x="298"/>
        <item x="73"/>
        <item x="328"/>
        <item x="266"/>
        <item x="18"/>
        <item x="22"/>
        <item x="317"/>
        <item x="281"/>
        <item x="104"/>
        <item x="215"/>
        <item x="82"/>
        <item x="299"/>
        <item x="26"/>
        <item x="248"/>
        <item x="9"/>
        <item x="35"/>
        <item x="157"/>
        <item x="91"/>
        <item x="252"/>
        <item x="320"/>
        <item x="308"/>
        <item x="355"/>
        <item x="179"/>
        <item x="40"/>
        <item x="28"/>
        <item x="147"/>
        <item x="192"/>
        <item x="261"/>
        <item x="52"/>
        <item x="251"/>
        <item x="235"/>
        <item x="74"/>
        <item x="77"/>
        <item x="126"/>
        <item x="36"/>
        <item x="58"/>
        <item x="2"/>
        <item x="273"/>
        <item x="103"/>
        <item x="44"/>
        <item x="87"/>
        <item x="43"/>
        <item x="118"/>
        <item x="194"/>
        <item x="316"/>
        <item x="301"/>
        <item x="358"/>
        <item x="327"/>
        <item x="88"/>
        <item x="164"/>
        <item x="0"/>
        <item x="265"/>
        <item x="375"/>
        <item x="145"/>
        <item x="53"/>
        <item x="362"/>
        <item x="167"/>
        <item x="243"/>
        <item x="124"/>
        <item x="116"/>
        <item x="4"/>
        <item x="129"/>
        <item x="169"/>
        <item x="60"/>
        <item x="132"/>
        <item x="80"/>
        <item x="279"/>
        <item x="365"/>
        <item x="267"/>
        <item x="106"/>
        <item x="222"/>
        <item x="107"/>
        <item x="284"/>
        <item x="241"/>
        <item x="151"/>
        <item x="231"/>
        <item x="144"/>
        <item x="296"/>
        <item x="350"/>
        <item x="326"/>
        <item x="217"/>
        <item x="347"/>
        <item x="195"/>
        <item x="108"/>
        <item x="207"/>
        <item x="257"/>
        <item x="292"/>
        <item x="339"/>
        <item x="109"/>
        <item x="198"/>
        <item x="338"/>
        <item x="371"/>
        <item x="23"/>
        <item x="351"/>
        <item x="100"/>
        <item x="250"/>
        <item x="93"/>
        <item x="148"/>
        <item x="63"/>
        <item x="64"/>
        <item x="240"/>
        <item x="346"/>
        <item x="325"/>
        <item x="49"/>
        <item x="113"/>
        <item x="191"/>
        <item x="37"/>
        <item x="285"/>
        <item x="324"/>
        <item x="289"/>
        <item x="356"/>
        <item x="156"/>
        <item x="161"/>
        <item x="159"/>
        <item x="249"/>
        <item x="30"/>
        <item x="56"/>
        <item x="153"/>
        <item x="300"/>
        <item x="313"/>
        <item x="246"/>
        <item x="19"/>
        <item x="62"/>
        <item x="294"/>
        <item x="282"/>
        <item x="174"/>
        <item x="3"/>
        <item x="329"/>
        <item x="242"/>
        <item x="354"/>
        <item x="270"/>
        <item x="200"/>
        <item x="177"/>
        <item x="262"/>
        <item x="176"/>
        <item x="318"/>
        <item x="166"/>
        <item x="138"/>
        <item x="70"/>
        <item x="59"/>
        <item x="8"/>
        <item x="373"/>
        <item x="130"/>
        <item x="218"/>
        <item x="309"/>
        <item x="272"/>
        <item x="323"/>
        <item x="276"/>
        <item x="288"/>
        <item x="271"/>
        <item x="137"/>
        <item x="377"/>
        <item x="39"/>
        <item x="376"/>
        <item x="225"/>
        <item x="95"/>
        <item x="223"/>
        <item x="57"/>
        <item x="154"/>
        <item x="303"/>
        <item x="283"/>
        <item x="205"/>
        <item x="84"/>
        <item x="269"/>
        <item x="277"/>
        <item x="342"/>
        <item x="140"/>
        <item x="312"/>
        <item x="173"/>
        <item x="155"/>
        <item x="229"/>
        <item x="96"/>
        <item x="232"/>
        <item x="27"/>
        <item x="264"/>
        <item x="55"/>
        <item x="5"/>
        <item x="81"/>
        <item x="334"/>
        <item x="378"/>
        <item x="69"/>
        <item x="199"/>
        <item x="10"/>
        <item x="85"/>
        <item x="287"/>
        <item x="162"/>
        <item x="278"/>
        <item x="255"/>
        <item x="304"/>
        <item x="139"/>
        <item x="50"/>
        <item x="12"/>
        <item x="41"/>
        <item x="110"/>
        <item x="42"/>
        <item x="219"/>
        <item x="158"/>
        <item x="196"/>
        <item x="29"/>
        <item x="94"/>
        <item x="15"/>
        <item x="33"/>
        <item x="234"/>
        <item x="171"/>
        <item x="230"/>
        <item x="290"/>
        <item x="170"/>
        <item x="16"/>
        <item x="66"/>
        <item x="201"/>
        <item x="212"/>
        <item x="226"/>
        <item x="163"/>
        <item x="61"/>
        <item x="131"/>
        <item x="86"/>
        <item x="341"/>
        <item x="67"/>
        <item x="101"/>
        <item x="193"/>
        <item x="239"/>
        <item x="361"/>
        <item x="168"/>
        <item x="1"/>
        <item x="280"/>
        <item x="352"/>
        <item x="105"/>
        <item x="133"/>
        <item x="315"/>
        <item x="332"/>
        <item x="310"/>
        <item x="244"/>
        <item x="79"/>
        <item x="178"/>
        <item x="370"/>
        <item x="221"/>
        <item x="297"/>
        <item x="72"/>
        <item x="25"/>
        <item x="259"/>
        <item x="186"/>
        <item x="331"/>
        <item x="102"/>
        <item x="143"/>
        <item x="160"/>
        <item x="337"/>
        <item x="54"/>
        <item x="123"/>
        <item x="117"/>
        <item x="7"/>
        <item x="92"/>
        <item x="245"/>
        <item x="182"/>
        <item x="260"/>
        <item x="197"/>
        <item x="165"/>
        <item x="48"/>
        <item x="121"/>
        <item x="189"/>
        <item x="190"/>
        <item x="146"/>
        <item x="135"/>
        <item x="142"/>
        <item x="366"/>
        <item x="11"/>
        <item x="357"/>
        <item x="14"/>
        <item x="150"/>
        <item x="46"/>
        <item x="119"/>
        <item x="152"/>
        <item x="24"/>
        <item x="238"/>
        <item x="111"/>
        <item x="305"/>
        <item x="344"/>
        <item x="202"/>
        <item x="114"/>
        <item x="247"/>
        <item x="237"/>
        <item x="76"/>
        <item x="20"/>
        <item x="13"/>
        <item x="254"/>
        <item x="368"/>
        <item x="209"/>
        <item x="128"/>
        <item x="345"/>
        <item x="71"/>
        <item x="180"/>
        <item x="136"/>
        <item x="359"/>
        <item x="322"/>
        <item x="349"/>
        <item x="83"/>
        <item x="112"/>
        <item x="319"/>
        <item x="216"/>
        <item x="379"/>
        <item x="353"/>
        <item x="183"/>
        <item x="311"/>
        <item x="38"/>
        <item x="233"/>
        <item x="141"/>
        <item x="75"/>
        <item x="335"/>
        <item x="340"/>
        <item x="127"/>
        <item x="236"/>
        <item x="90"/>
        <item x="268"/>
        <item x="122"/>
        <item x="208"/>
        <item x="258"/>
        <item x="34"/>
        <item x="51"/>
        <item x="149"/>
        <item x="343"/>
        <item x="6"/>
        <item x="256"/>
        <item x="307"/>
        <item x="333"/>
        <item x="32"/>
        <item x="293"/>
        <item x="97"/>
        <item x="227"/>
        <item x="321"/>
        <item x="274"/>
        <item x="360"/>
        <item x="211"/>
        <item x="134"/>
        <item x="336"/>
        <item x="68"/>
        <item x="213"/>
        <item x="214"/>
        <item x="348"/>
        <item x="184"/>
        <item x="210"/>
        <item x="224"/>
        <item x="263"/>
        <item x="203"/>
        <item x="89"/>
        <item x="187"/>
        <item x="21"/>
        <item x="220"/>
        <item x="31"/>
        <item x="125"/>
        <item x="302"/>
        <item x="99"/>
        <item x="275"/>
        <item x="206"/>
        <item x="295"/>
        <item x="47"/>
        <item x="65"/>
        <item x="120"/>
        <item x="204"/>
        <item x="253"/>
        <item x="363"/>
        <item x="286"/>
        <item x="372"/>
        <item x="98"/>
        <item x="306"/>
        <item x="45"/>
        <item x="314"/>
        <item x="17"/>
        <item x="291"/>
        <item x="374"/>
        <item x="367"/>
        <item x="188"/>
        <item x="369"/>
        <item x="364"/>
        <item x="330"/>
        <item x="228"/>
        <item x="172"/>
        <item x="181"/>
        <item x="185"/>
        <item x="78"/>
        <item x="38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14">
        <item x="8"/>
        <item x="11"/>
        <item x="9"/>
        <item x="6"/>
        <item x="7"/>
        <item x="2"/>
        <item x="3"/>
        <item x="10"/>
        <item x="4"/>
        <item x="1"/>
        <item x="0"/>
        <item x="5"/>
        <item x="12"/>
        <item t="default"/>
      </items>
    </pivotField>
  </pivotFields>
  <rowFields count="1">
    <field x="14"/>
  </rowFields>
  <rowItems count="11">
    <i>
      <x v="220"/>
    </i>
    <i>
      <x v="321"/>
    </i>
    <i>
      <x v="41"/>
    </i>
    <i>
      <x v="201"/>
    </i>
    <i>
      <x v="325"/>
    </i>
    <i>
      <x v="102"/>
    </i>
    <i>
      <x v="225"/>
    </i>
    <i>
      <x v="60"/>
    </i>
    <i>
      <x v="42"/>
    </i>
    <i>
      <x v="205"/>
    </i>
    <i t="grand">
      <x/>
    </i>
  </rowItems>
  <colItems count="1">
    <i/>
  </colItems>
  <dataFields count="1">
    <dataField name="Sum of Sales" fld="15" baseField="0" baseItem="0"/>
  </dataFields>
  <formats count="1">
    <format dxfId="4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200-000000000000}" autoFormatId="16" applyNumberFormats="0" applyBorderFormats="0" applyFontFormats="0" applyPatternFormats="0" applyAlignmentFormats="0" applyWidthHeightFormats="0">
  <queryTableRefresh nextId="25">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4" dataBound="0" tableColumnId="23"/>
      <queryTableField id="20" name="Month"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300-000001000000}"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7F80BE-AB8D-4B64-888D-9551A8993BE3}" sourceName="Region">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390265817">
      <items count="5">
        <i x="3" s="1"/>
        <i x="2" s="1"/>
        <i x="0" s="1"/>
        <i x="1"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A1A98BF-86D2-45E3-A1B9-8ACAE1EA8DE4}" sourceName="Sub-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390265817">
      <items count="5">
        <i x="0" s="1"/>
        <i x="1" s="1"/>
        <i x="3" s="1"/>
        <i x="2"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46A564-4D0A-4AE8-8277-8CF3C7161543}" sourceName="Month">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390265817">
      <items count="13">
        <i x="8" s="1"/>
        <i x="11" s="1"/>
        <i x="9" s="1"/>
        <i x="6" s="1"/>
        <i x="7" s="1"/>
        <i x="2" s="1"/>
        <i x="3" s="1"/>
        <i x="10" s="1"/>
        <i x="4" s="1"/>
        <i x="1" s="1"/>
        <i x="0" s="1"/>
        <i x="5" s="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E76E1F-2C2D-4AD7-A122-961D1F418FBA}" cache="Slicer_Region" caption="Region" style="Slicer Style 1" rowHeight="241300"/>
  <slicer name="Sub-Category" xr10:uid="{4A58A321-573F-47D3-91A0-933A60E14749}" cache="Slicer_Sub_Category" caption="Sub-Category" style="Slicer Style 1" rowHeight="241300"/>
  <slicer name="Month" xr10:uid="{0B38541B-2D53-45A2-B439-A952FFBF3D54}" cache="Slicer_Month" caption="Month"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 /></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C62B53-FE4F-476E-BED2-9C0D513C8AA7}" name="Furniture_data__2" displayName="Furniture_data__2" ref="A1:U2122" tableType="queryTable" totalsRowShown="0">
  <autoFilter ref="A1:U2122" xr:uid="{8FC62B53-FE4F-476E-BED2-9C0D513C8AA7}"/>
  <tableColumns count="21">
    <tableColumn id="1" xr3:uid="{831D8610-1984-4946-8679-8C43A005C02C}" uniqueName="1" name="Order ID" queryTableFieldId="1" dataDxfId="36"/>
    <tableColumn id="2" xr3:uid="{8DE6ECCA-5939-4ADD-A485-2AE4958A9A22}" uniqueName="2" name="Order Date" queryTableFieldId="2" dataDxfId="35"/>
    <tableColumn id="3" xr3:uid="{F8959B5F-1A98-4FA0-8F2E-8A08F164B7E8}" uniqueName="3" name="Ship Date" queryTableFieldId="3" dataDxfId="34"/>
    <tableColumn id="4" xr3:uid="{D59AF575-9D8D-4A57-88F1-9CB008D12C12}" uniqueName="4" name="Ship Mode" queryTableFieldId="4" dataDxfId="33"/>
    <tableColumn id="5" xr3:uid="{6954161F-7B8A-4199-B849-1CA8493F4548}" uniqueName="5" name="Customer ID" queryTableFieldId="5" dataDxfId="32"/>
    <tableColumn id="6" xr3:uid="{C4DA191C-2525-4701-B046-D60F2C59C2D6}" uniqueName="6" name="Customer Name" queryTableFieldId="6" dataDxfId="31"/>
    <tableColumn id="7" xr3:uid="{790D9CD1-C707-4972-A6E1-153372A52062}" uniqueName="7" name="Segment" queryTableFieldId="7" dataDxfId="30"/>
    <tableColumn id="8" xr3:uid="{54DD2B33-CA4F-4EED-8E6B-6F91200DE120}" uniqueName="8" name="Country" queryTableFieldId="8" dataDxfId="29"/>
    <tableColumn id="9" xr3:uid="{2F83A121-9C51-4131-96B2-1BE793C9ABB9}" uniqueName="9" name="City" queryTableFieldId="9" dataDxfId="28"/>
    <tableColumn id="10" xr3:uid="{5236D60A-ABA9-4DDF-82DD-6DA33FA6D561}" uniqueName="10" name="State" queryTableFieldId="10" dataDxfId="27"/>
    <tableColumn id="11" xr3:uid="{BCABAF58-AF9B-4928-98ED-36BF0F526DBB}" uniqueName="11" name="Region" queryTableFieldId="11" dataDxfId="26"/>
    <tableColumn id="12" xr3:uid="{FB3AA90E-542B-4292-B394-D8178FFC1D0E}" uniqueName="12" name="Product ID" queryTableFieldId="12" dataDxfId="25"/>
    <tableColumn id="13" xr3:uid="{4108868C-1173-4837-B4A3-07B5D3FF56F0}" uniqueName="13" name="Category" queryTableFieldId="13" dataDxfId="24"/>
    <tableColumn id="14" xr3:uid="{E6E77164-24E4-402C-B1F0-A08A666FC078}" uniqueName="14" name="Sub-Category" queryTableFieldId="14" dataDxfId="23"/>
    <tableColumn id="15" xr3:uid="{CEEC3926-01EA-4B1F-A73D-AE1752E99DC9}" uniqueName="15" name="Product Name" queryTableFieldId="15" dataDxfId="22"/>
    <tableColumn id="16" xr3:uid="{6EA74F4E-9048-42C3-AC9E-3A6E84001212}" uniqueName="16" name="Sales" queryTableFieldId="16" dataDxfId="21"/>
    <tableColumn id="17" xr3:uid="{D0AD5349-3165-44F8-AD79-406A5A9C901D}" uniqueName="17" name="Quantity" queryTableFieldId="17"/>
    <tableColumn id="18" xr3:uid="{749648B7-B156-4EC4-9133-48540CC700B9}" uniqueName="18" name="Profit" queryTableFieldId="18" dataDxfId="20"/>
    <tableColumn id="19" xr3:uid="{C4C0F322-E994-4A6D-A029-D876181247BF}" uniqueName="19" name="Duration" queryTableFieldId="19" dataDxfId="19"/>
    <tableColumn id="23" xr3:uid="{501779E2-AF19-4E17-B75C-46516DEE8DF2}" uniqueName="23" name="Shipping duration" queryTableFieldId="24" dataDxfId="18"/>
    <tableColumn id="20" xr3:uid="{9DAF0E8E-032A-4172-A568-C04B7946C686}" uniqueName="20" name="Month" queryTableFieldId="20"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A88730-E5A9-4183-82F6-4BD2DAE6A970}" name="Furniture_data" displayName="Furniture_data" ref="A1:T2122" tableType="queryTable" totalsRowShown="0">
  <autoFilter ref="A1:T2122" xr:uid="{96A88730-E5A9-4183-82F6-4BD2DAE6A970}"/>
  <tableColumns count="20">
    <tableColumn id="1" xr3:uid="{94AE28AC-F0D1-4985-824D-9EC6B3EF8E13}" uniqueName="1" name="Order ID" queryTableFieldId="1" dataDxfId="16"/>
    <tableColumn id="2" xr3:uid="{82D4F899-6602-4742-9DB9-E48F7A340E61}" uniqueName="2" name="Order Date" queryTableFieldId="2" dataDxfId="15"/>
    <tableColumn id="3" xr3:uid="{BF3F7410-4E6E-438A-9D2C-9D2211F82887}" uniqueName="3" name="Ship Date" queryTableFieldId="3" dataDxfId="14"/>
    <tableColumn id="4" xr3:uid="{305F7ED5-5118-4F55-BB0E-E743F8F53152}" uniqueName="4" name="Ship Mode" queryTableFieldId="4" dataDxfId="13"/>
    <tableColumn id="5" xr3:uid="{B42DA399-EBB2-4288-8BB3-3287CAEF4341}" uniqueName="5" name="Customer ID" queryTableFieldId="5" dataDxfId="12"/>
    <tableColumn id="6" xr3:uid="{BDF036F8-1F18-47DE-ACB6-EA9B0F7A5AD4}" uniqueName="6" name="Customer Name" queryTableFieldId="6" dataDxfId="11"/>
    <tableColumn id="7" xr3:uid="{4A8AADDB-CEC0-4595-B6E3-C3453ED63BE0}" uniqueName="7" name="Segment" queryTableFieldId="7" dataDxfId="10"/>
    <tableColumn id="8" xr3:uid="{4C9061DC-5124-4C3A-A338-91011D7B500B}" uniqueName="8" name="Country" queryTableFieldId="8" dataDxfId="9"/>
    <tableColumn id="9" xr3:uid="{210692DA-4D44-4CDF-A16E-0BCCF9B63768}" uniqueName="9" name="City" queryTableFieldId="9" dataDxfId="8"/>
    <tableColumn id="10" xr3:uid="{1E62C4B7-53C0-4981-95CF-D9A083C04C83}" uniqueName="10" name="State" queryTableFieldId="10" dataDxfId="7"/>
    <tableColumn id="11" xr3:uid="{B42A4F6D-5B0B-4006-B76E-3A2D35EC061B}" uniqueName="11" name="Region" queryTableFieldId="11" dataDxfId="6"/>
    <tableColumn id="12" xr3:uid="{C0626D64-713E-4DEC-82D7-0A4962EF22A5}" uniqueName="12" name="Product ID" queryTableFieldId="12" dataDxfId="5"/>
    <tableColumn id="13" xr3:uid="{3454FC87-CF87-4F52-9CF4-FC79E46D6969}" uniqueName="13" name="Category" queryTableFieldId="13" dataDxfId="4"/>
    <tableColumn id="14" xr3:uid="{DD1BA8EE-FB0C-4AF7-A323-DD73AED96F12}" uniqueName="14" name="Sub-Category" queryTableFieldId="14" dataDxfId="3"/>
    <tableColumn id="15" xr3:uid="{8CD96A60-0EC6-4CF4-8DF0-006FB5611DFD}" uniqueName="15" name="Product Name" queryTableFieldId="15" dataDxfId="2"/>
    <tableColumn id="16" xr3:uid="{FF644B1D-A6C1-41C4-9DFB-2400BCC87591}" uniqueName="16" name="Sales" queryTableFieldId="16"/>
    <tableColumn id="17" xr3:uid="{4D02EB18-9752-46C5-86A6-F77259A2A4C9}" uniqueName="17" name="Quantity" queryTableFieldId="17"/>
    <tableColumn id="18" xr3:uid="{30AA4D27-5604-4FB0-8C7A-752F892ACBD5}" uniqueName="18" name="Profit" queryTableFieldId="18"/>
    <tableColumn id="19" xr3:uid="{31AA0BF3-0D76-4EE7-B351-211294CAD80C}" uniqueName="19" name="Duration" queryTableFieldId="19" dataDxfId="1"/>
    <tableColumn id="20" xr3:uid="{E9FE4401-D2C4-43F1-ABFC-209A69197531}" uniqueName="20" name="Month" queryTableFieldId="20" dataDxfId="0"/>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 /><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4" Type="http://schemas.openxmlformats.org/officeDocument/2006/relationships/pivotTable" Target="../pivotTables/pivotTable4.xml" /></Relationships>
</file>

<file path=xl/worksheets/_rels/sheet2.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9793-CB17-4B45-B5D7-B3737FAEB3C9}">
  <sheetPr>
    <tabColor theme="4" tint="0.59999389629810485"/>
  </sheetPr>
  <dimension ref="A2:G64"/>
  <sheetViews>
    <sheetView tabSelected="1" topLeftCell="A2" workbookViewId="0">
      <selection activeCell="D18" sqref="D18"/>
    </sheetView>
  </sheetViews>
  <sheetFormatPr defaultRowHeight="15" x14ac:dyDescent="0.2"/>
  <cols>
    <col min="1" max="1" width="13.1796875" bestFit="1" customWidth="1"/>
    <col min="2" max="2" width="12.10546875" bestFit="1" customWidth="1"/>
    <col min="3" max="4" width="15.46875" bestFit="1" customWidth="1"/>
    <col min="5" max="5" width="12.10546875" bestFit="1" customWidth="1"/>
    <col min="6" max="6" width="14.66015625" bestFit="1" customWidth="1"/>
  </cols>
  <sheetData>
    <row r="2" spans="1:7" ht="18.75" x14ac:dyDescent="0.25">
      <c r="A2" s="14" t="s">
        <v>4422</v>
      </c>
      <c r="F2" s="14" t="s">
        <v>4423</v>
      </c>
    </row>
    <row r="3" spans="1:7" x14ac:dyDescent="0.2">
      <c r="A3" t="s">
        <v>4408</v>
      </c>
      <c r="B3" t="s">
        <v>4409</v>
      </c>
      <c r="C3" t="s">
        <v>4410</v>
      </c>
      <c r="D3" s="7" t="s">
        <v>4411</v>
      </c>
      <c r="F3" t="s">
        <v>4424</v>
      </c>
    </row>
    <row r="4" spans="1:7" x14ac:dyDescent="0.2">
      <c r="A4" s="4">
        <v>741999.79529999977</v>
      </c>
      <c r="B4" s="4">
        <v>18451.272799999999</v>
      </c>
      <c r="C4" s="4">
        <v>8028</v>
      </c>
      <c r="D4" s="3">
        <f>GETPIVOTDATA("Profit",$B$3)/GETPIVOTDATA("Sales",$A$3)</f>
        <v>2.4866951334588872E-2</v>
      </c>
      <c r="F4" s="4" t="s">
        <v>4425</v>
      </c>
      <c r="G4" s="13"/>
    </row>
    <row r="5" spans="1:7" x14ac:dyDescent="0.2">
      <c r="F5" t="s">
        <v>4426</v>
      </c>
      <c r="G5" s="3"/>
    </row>
    <row r="7" spans="1:7" ht="18.75" x14ac:dyDescent="0.25">
      <c r="A7" s="14" t="s">
        <v>4416</v>
      </c>
    </row>
    <row r="8" spans="1:7" x14ac:dyDescent="0.2">
      <c r="A8" s="7" t="s">
        <v>4415</v>
      </c>
    </row>
    <row r="10" spans="1:7" x14ac:dyDescent="0.2">
      <c r="A10" s="5" t="s">
        <v>4412</v>
      </c>
      <c r="B10" t="s">
        <v>4408</v>
      </c>
    </row>
    <row r="11" spans="1:7" x14ac:dyDescent="0.2">
      <c r="A11" s="6" t="s">
        <v>169</v>
      </c>
      <c r="B11" s="4">
        <v>31569.241599999998</v>
      </c>
    </row>
    <row r="12" spans="1:7" x14ac:dyDescent="0.2">
      <c r="A12" s="6" t="s">
        <v>297</v>
      </c>
      <c r="B12" s="4">
        <v>15765.920399999994</v>
      </c>
    </row>
    <row r="13" spans="1:7" x14ac:dyDescent="0.2">
      <c r="A13" s="6" t="s">
        <v>195</v>
      </c>
      <c r="B13" s="4">
        <v>50768.275799999996</v>
      </c>
    </row>
    <row r="14" spans="1:7" x14ac:dyDescent="0.2">
      <c r="A14" s="6" t="s">
        <v>113</v>
      </c>
      <c r="B14" s="4">
        <v>40698.583600000013</v>
      </c>
    </row>
    <row r="15" spans="1:7" x14ac:dyDescent="0.2">
      <c r="A15" s="6" t="s">
        <v>161</v>
      </c>
      <c r="B15" s="4">
        <v>48365.130699999951</v>
      </c>
    </row>
    <row r="16" spans="1:7" x14ac:dyDescent="0.2">
      <c r="A16" s="6" t="s">
        <v>59</v>
      </c>
      <c r="B16" s="4">
        <v>52999.463299999974</v>
      </c>
    </row>
    <row r="17" spans="1:2" x14ac:dyDescent="0.2">
      <c r="A17" s="6" t="s">
        <v>71</v>
      </c>
      <c r="B17" s="4">
        <v>49377.011999999966</v>
      </c>
    </row>
    <row r="18" spans="1:2" x14ac:dyDescent="0.2">
      <c r="A18" s="6" t="s">
        <v>253</v>
      </c>
      <c r="B18" s="4">
        <v>44884.044999999991</v>
      </c>
    </row>
    <row r="19" spans="1:2" x14ac:dyDescent="0.2">
      <c r="A19" s="6" t="s">
        <v>77</v>
      </c>
      <c r="B19" s="4">
        <v>106380.59069999997</v>
      </c>
    </row>
    <row r="20" spans="1:2" x14ac:dyDescent="0.2">
      <c r="A20" s="6" t="s">
        <v>48</v>
      </c>
      <c r="B20" s="4">
        <v>58087.515699999982</v>
      </c>
    </row>
    <row r="21" spans="1:2" x14ac:dyDescent="0.2">
      <c r="A21" s="6" t="s">
        <v>34</v>
      </c>
      <c r="B21" s="4">
        <v>121286.04899999996</v>
      </c>
    </row>
    <row r="22" spans="1:2" x14ac:dyDescent="0.2">
      <c r="A22" s="6" t="s">
        <v>96</v>
      </c>
      <c r="B22" s="4">
        <v>121817.96749999993</v>
      </c>
    </row>
    <row r="23" spans="1:2" x14ac:dyDescent="0.2">
      <c r="A23" s="6" t="s">
        <v>4413</v>
      </c>
      <c r="B23" s="4"/>
    </row>
    <row r="24" spans="1:2" x14ac:dyDescent="0.2">
      <c r="A24" s="6" t="s">
        <v>4414</v>
      </c>
      <c r="B24" s="4">
        <v>741999.79529999977</v>
      </c>
    </row>
    <row r="26" spans="1:2" x14ac:dyDescent="0.2">
      <c r="A26" s="8" t="s">
        <v>4420</v>
      </c>
    </row>
    <row r="27" spans="1:2" x14ac:dyDescent="0.2">
      <c r="A27" s="5" t="s">
        <v>4412</v>
      </c>
      <c r="B27" t="s">
        <v>4408</v>
      </c>
    </row>
    <row r="28" spans="1:2" x14ac:dyDescent="0.2">
      <c r="A28" s="6" t="s">
        <v>31</v>
      </c>
      <c r="B28" s="4">
        <v>114879.99629999997</v>
      </c>
    </row>
    <row r="29" spans="1:2" x14ac:dyDescent="0.2">
      <c r="A29" s="6" t="s">
        <v>36</v>
      </c>
      <c r="B29" s="4">
        <v>328449.10300000076</v>
      </c>
    </row>
    <row r="30" spans="1:2" x14ac:dyDescent="0.2">
      <c r="A30" s="6" t="s">
        <v>56</v>
      </c>
      <c r="B30" s="4">
        <v>91705.164000000048</v>
      </c>
    </row>
    <row r="31" spans="1:2" x14ac:dyDescent="0.2">
      <c r="A31" s="6" t="s">
        <v>45</v>
      </c>
      <c r="B31" s="4">
        <v>206965.53200000009</v>
      </c>
    </row>
    <row r="32" spans="1:2" x14ac:dyDescent="0.2">
      <c r="A32" s="6" t="s">
        <v>4413</v>
      </c>
      <c r="B32" s="4"/>
    </row>
    <row r="33" spans="1:2" x14ac:dyDescent="0.2">
      <c r="A33" s="6" t="s">
        <v>4414</v>
      </c>
      <c r="B33" s="4">
        <v>741999.79530000081</v>
      </c>
    </row>
    <row r="35" spans="1:2" x14ac:dyDescent="0.2">
      <c r="A35" s="8" t="s">
        <v>4419</v>
      </c>
    </row>
    <row r="36" spans="1:2" x14ac:dyDescent="0.2">
      <c r="A36" s="5" t="s">
        <v>4412</v>
      </c>
      <c r="B36" t="s">
        <v>4408</v>
      </c>
    </row>
    <row r="37" spans="1:2" x14ac:dyDescent="0.2">
      <c r="A37" s="6" t="s">
        <v>93</v>
      </c>
      <c r="B37" s="4">
        <v>163797.16380000004</v>
      </c>
    </row>
    <row r="38" spans="1:2" x14ac:dyDescent="0.2">
      <c r="A38" s="6" t="s">
        <v>67</v>
      </c>
      <c r="B38" s="4">
        <v>208291.20400000009</v>
      </c>
    </row>
    <row r="39" spans="1:2" x14ac:dyDescent="0.2">
      <c r="A39" s="6" t="s">
        <v>28</v>
      </c>
      <c r="B39" s="4">
        <v>117298.6840000001</v>
      </c>
    </row>
    <row r="40" spans="1:2" x14ac:dyDescent="0.2">
      <c r="A40" s="6" t="s">
        <v>54</v>
      </c>
      <c r="B40" s="4">
        <v>252612.7435000003</v>
      </c>
    </row>
    <row r="41" spans="1:2" x14ac:dyDescent="0.2">
      <c r="A41" s="6" t="s">
        <v>4413</v>
      </c>
      <c r="B41" s="4"/>
    </row>
    <row r="42" spans="1:2" x14ac:dyDescent="0.2">
      <c r="A42" s="6" t="s">
        <v>4414</v>
      </c>
      <c r="B42" s="4">
        <v>741999.79530000058</v>
      </c>
    </row>
    <row r="44" spans="1:2" x14ac:dyDescent="0.2">
      <c r="A44" s="8" t="s">
        <v>4417</v>
      </c>
    </row>
    <row r="45" spans="1:2" x14ac:dyDescent="0.2">
      <c r="A45" s="5" t="s">
        <v>4412</v>
      </c>
      <c r="B45" t="s">
        <v>4408</v>
      </c>
    </row>
    <row r="46" spans="1:2" x14ac:dyDescent="0.2">
      <c r="A46" s="6" t="s">
        <v>602</v>
      </c>
      <c r="B46" s="4">
        <v>21870.576000000001</v>
      </c>
    </row>
    <row r="47" spans="1:2" x14ac:dyDescent="0.2">
      <c r="A47" s="6" t="s">
        <v>82</v>
      </c>
      <c r="B47" s="4">
        <v>15610.9656</v>
      </c>
    </row>
    <row r="48" spans="1:2" x14ac:dyDescent="0.2">
      <c r="A48" s="6" t="s">
        <v>307</v>
      </c>
      <c r="B48" s="4">
        <v>12995.291500000001</v>
      </c>
    </row>
    <row r="49" spans="1:2" x14ac:dyDescent="0.2">
      <c r="A49" s="6" t="s">
        <v>560</v>
      </c>
      <c r="B49" s="4">
        <v>12975.382</v>
      </c>
    </row>
    <row r="50" spans="1:2" x14ac:dyDescent="0.2">
      <c r="A50" s="6" t="s">
        <v>247</v>
      </c>
      <c r="B50" s="4">
        <v>11572.78</v>
      </c>
    </row>
    <row r="51" spans="1:2" x14ac:dyDescent="0.2">
      <c r="A51" s="6" t="s">
        <v>1696</v>
      </c>
      <c r="B51" s="4">
        <v>11046.609</v>
      </c>
    </row>
    <row r="52" spans="1:2" x14ac:dyDescent="0.2">
      <c r="A52" s="6" t="s">
        <v>37</v>
      </c>
      <c r="B52" s="4">
        <v>10637.527999999998</v>
      </c>
    </row>
    <row r="53" spans="1:2" x14ac:dyDescent="0.2">
      <c r="A53" s="6" t="s">
        <v>752</v>
      </c>
      <c r="B53" s="4">
        <v>9917.64</v>
      </c>
    </row>
    <row r="54" spans="1:2" x14ac:dyDescent="0.2">
      <c r="A54" s="6" t="s">
        <v>522</v>
      </c>
      <c r="B54" s="4">
        <v>9544.7250000000004</v>
      </c>
    </row>
    <row r="55" spans="1:2" x14ac:dyDescent="0.2">
      <c r="A55" s="6" t="s">
        <v>1096</v>
      </c>
      <c r="B55" s="4">
        <v>9070.9440000000013</v>
      </c>
    </row>
    <row r="56" spans="1:2" x14ac:dyDescent="0.2">
      <c r="A56" s="6" t="s">
        <v>4414</v>
      </c>
      <c r="B56" s="4">
        <v>125242.4411</v>
      </c>
    </row>
    <row r="58" spans="1:2" x14ac:dyDescent="0.2">
      <c r="A58" s="8"/>
    </row>
    <row r="59" spans="1:2" x14ac:dyDescent="0.2">
      <c r="A59" s="8" t="s">
        <v>4421</v>
      </c>
    </row>
    <row r="60" spans="1:2" x14ac:dyDescent="0.2">
      <c r="A60" s="5" t="s">
        <v>4412</v>
      </c>
      <c r="B60" t="s">
        <v>4408</v>
      </c>
    </row>
    <row r="61" spans="1:2" x14ac:dyDescent="0.2">
      <c r="A61" s="6" t="s">
        <v>24</v>
      </c>
      <c r="B61" s="4">
        <v>391049.31200000056</v>
      </c>
    </row>
    <row r="62" spans="1:2" x14ac:dyDescent="0.2">
      <c r="A62" s="6" t="s">
        <v>90</v>
      </c>
      <c r="B62" s="4">
        <v>229019.78580000027</v>
      </c>
    </row>
    <row r="63" spans="1:2" x14ac:dyDescent="0.2">
      <c r="A63" s="6" t="s">
        <v>100</v>
      </c>
      <c r="B63" s="4">
        <v>121930.69749999995</v>
      </c>
    </row>
    <row r="64" spans="1:2" x14ac:dyDescent="0.2">
      <c r="A64" s="6" t="s">
        <v>4414</v>
      </c>
      <c r="B64" s="4">
        <v>741999.79530000081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4ABA4-8B46-4BCA-B520-91C4EBD60497}">
  <sheetPr>
    <tabColor theme="4" tint="-0.499984740745262"/>
  </sheetPr>
  <dimension ref="D7:U7"/>
  <sheetViews>
    <sheetView showGridLines="0" zoomScale="72" workbookViewId="0">
      <selection activeCell="Z9" sqref="Z9"/>
    </sheetView>
  </sheetViews>
  <sheetFormatPr defaultRowHeight="15" x14ac:dyDescent="0.2"/>
  <cols>
    <col min="4" max="4" width="12.64453125" bestFit="1" customWidth="1"/>
  </cols>
  <sheetData>
    <row r="7" spans="4:21" ht="18.75" x14ac:dyDescent="0.25">
      <c r="D7" s="11">
        <f>GETPIVOTDATA("Sales",'Pivot Tables'!$A$3)</f>
        <v>741999.79529999977</v>
      </c>
      <c r="J7" s="11">
        <f>GETPIVOTDATA("Profit",'Pivot Tables'!$B$3)</f>
        <v>18451.272799999999</v>
      </c>
      <c r="O7" s="11">
        <f>GETPIVOTDATA("Quantity",'Pivot Tables'!$C$3)</f>
        <v>8028</v>
      </c>
      <c r="U7" s="12">
        <f>GETPIVOTDATA("Profit",'Pivot Tables'!$B$3)/GETPIVOTDATA("Sales",'Pivot Tables'!$A$3)</f>
        <v>2.4866951334588872E-2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50BA-010F-47DE-BB81-B02366C91BB0}">
  <sheetPr>
    <tabColor theme="9"/>
  </sheetPr>
  <dimension ref="A1:U2122"/>
  <sheetViews>
    <sheetView workbookViewId="0">
      <selection activeCell="R5" sqref="R5"/>
    </sheetView>
  </sheetViews>
  <sheetFormatPr defaultRowHeight="15" x14ac:dyDescent="0.2"/>
  <cols>
    <col min="1" max="1" width="14.9296875" bestFit="1" customWidth="1"/>
    <col min="2" max="2" width="13.046875" bestFit="1" customWidth="1"/>
    <col min="3" max="3" width="11.703125" bestFit="1" customWidth="1"/>
    <col min="4" max="4" width="13.85546875" bestFit="1" customWidth="1"/>
    <col min="5" max="5" width="14.125" bestFit="1" customWidth="1"/>
    <col min="6" max="6" width="22.734375" bestFit="1" customWidth="1"/>
    <col min="7" max="7" width="12.10546875" bestFit="1" customWidth="1"/>
    <col min="8" max="8" width="12.9140625" bestFit="1" customWidth="1"/>
    <col min="9" max="9" width="16.54296875" bestFit="1" customWidth="1"/>
    <col min="10" max="10" width="18.6953125" bestFit="1" customWidth="1"/>
    <col min="11" max="11" width="9.4140625" bestFit="1" customWidth="1"/>
    <col min="12" max="12" width="16.54296875" bestFit="1" customWidth="1"/>
    <col min="13" max="13" width="11.1640625" bestFit="1" customWidth="1"/>
    <col min="14" max="14" width="15.19921875" bestFit="1" customWidth="1"/>
    <col min="15" max="15" width="81.1171875" bestFit="1" customWidth="1"/>
    <col min="16" max="16" width="10.625" style="2" bestFit="1" customWidth="1"/>
    <col min="17" max="17" width="11.02734375" bestFit="1" customWidth="1"/>
    <col min="18" max="18" width="12.23828125" style="2" bestFit="1" customWidth="1"/>
    <col min="19" max="19" width="11.02734375" bestFit="1" customWidth="1"/>
    <col min="20" max="20" width="19.1015625" style="10" bestFit="1" customWidth="1"/>
    <col min="21" max="21" width="9.28125"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s="2" t="s">
        <v>15</v>
      </c>
      <c r="Q1" t="s">
        <v>16</v>
      </c>
      <c r="R1" s="2" t="s">
        <v>17</v>
      </c>
      <c r="S1" t="s">
        <v>18</v>
      </c>
      <c r="T1" s="10" t="s">
        <v>4418</v>
      </c>
      <c r="U1" t="s">
        <v>19</v>
      </c>
    </row>
    <row r="2" spans="1:21" x14ac:dyDescent="0.2">
      <c r="A2" t="s">
        <v>20</v>
      </c>
      <c r="B2" s="1">
        <v>42682</v>
      </c>
      <c r="C2" s="1">
        <v>42685</v>
      </c>
      <c r="D2" t="s">
        <v>21</v>
      </c>
      <c r="E2" t="s">
        <v>22</v>
      </c>
      <c r="F2" t="s">
        <v>23</v>
      </c>
      <c r="G2" t="s">
        <v>24</v>
      </c>
      <c r="H2" t="s">
        <v>25</v>
      </c>
      <c r="I2" t="s">
        <v>26</v>
      </c>
      <c r="J2" t="s">
        <v>27</v>
      </c>
      <c r="K2" t="s">
        <v>28</v>
      </c>
      <c r="L2" t="s">
        <v>29</v>
      </c>
      <c r="M2" t="s">
        <v>30</v>
      </c>
      <c r="N2" t="s">
        <v>31</v>
      </c>
      <c r="O2" t="s">
        <v>32</v>
      </c>
      <c r="P2" s="2">
        <v>261.95999999999998</v>
      </c>
      <c r="Q2">
        <v>2</v>
      </c>
      <c r="R2" s="2">
        <v>41.913600000000002</v>
      </c>
      <c r="S2" t="s">
        <v>33</v>
      </c>
      <c r="T2" s="10">
        <v>3</v>
      </c>
      <c r="U2" t="s">
        <v>34</v>
      </c>
    </row>
    <row r="3" spans="1:21" x14ac:dyDescent="0.2">
      <c r="A3" t="s">
        <v>20</v>
      </c>
      <c r="B3" s="1">
        <v>42682</v>
      </c>
      <c r="C3" s="1">
        <v>42685</v>
      </c>
      <c r="D3" t="s">
        <v>21</v>
      </c>
      <c r="E3" t="s">
        <v>22</v>
      </c>
      <c r="F3" t="s">
        <v>23</v>
      </c>
      <c r="G3" t="s">
        <v>24</v>
      </c>
      <c r="H3" t="s">
        <v>25</v>
      </c>
      <c r="I3" t="s">
        <v>26</v>
      </c>
      <c r="J3" t="s">
        <v>27</v>
      </c>
      <c r="K3" t="s">
        <v>28</v>
      </c>
      <c r="L3" t="s">
        <v>35</v>
      </c>
      <c r="M3" t="s">
        <v>30</v>
      </c>
      <c r="N3" t="s">
        <v>36</v>
      </c>
      <c r="O3" t="s">
        <v>37</v>
      </c>
      <c r="P3" s="2">
        <v>731.94</v>
      </c>
      <c r="Q3">
        <v>3</v>
      </c>
      <c r="R3" s="2">
        <v>219.58199999999999</v>
      </c>
      <c r="S3" t="s">
        <v>33</v>
      </c>
      <c r="T3" s="10">
        <v>3</v>
      </c>
      <c r="U3" t="s">
        <v>34</v>
      </c>
    </row>
    <row r="4" spans="1:21" x14ac:dyDescent="0.2">
      <c r="A4" t="s">
        <v>38</v>
      </c>
      <c r="B4" s="1">
        <v>42288</v>
      </c>
      <c r="C4" s="1">
        <v>42295</v>
      </c>
      <c r="D4" t="s">
        <v>39</v>
      </c>
      <c r="E4" t="s">
        <v>40</v>
      </c>
      <c r="F4" t="s">
        <v>41</v>
      </c>
      <c r="G4" t="s">
        <v>24</v>
      </c>
      <c r="H4" t="s">
        <v>25</v>
      </c>
      <c r="I4" t="s">
        <v>42</v>
      </c>
      <c r="J4" t="s">
        <v>43</v>
      </c>
      <c r="K4" t="s">
        <v>28</v>
      </c>
      <c r="L4" t="s">
        <v>44</v>
      </c>
      <c r="M4" t="s">
        <v>30</v>
      </c>
      <c r="N4" t="s">
        <v>45</v>
      </c>
      <c r="O4" t="s">
        <v>46</v>
      </c>
      <c r="P4" s="2">
        <v>957.57749999999999</v>
      </c>
      <c r="Q4">
        <v>5</v>
      </c>
      <c r="R4" s="2">
        <v>-383.03100000000001</v>
      </c>
      <c r="S4" t="s">
        <v>47</v>
      </c>
      <c r="T4" s="10">
        <v>7</v>
      </c>
      <c r="U4" t="s">
        <v>48</v>
      </c>
    </row>
    <row r="5" spans="1:21" x14ac:dyDescent="0.2">
      <c r="A5" t="s">
        <v>49</v>
      </c>
      <c r="B5" s="1">
        <v>41799</v>
      </c>
      <c r="C5" s="1">
        <v>41804</v>
      </c>
      <c r="D5" t="s">
        <v>39</v>
      </c>
      <c r="E5" t="s">
        <v>50</v>
      </c>
      <c r="F5" t="s">
        <v>51</v>
      </c>
      <c r="G5" t="s">
        <v>24</v>
      </c>
      <c r="H5" t="s">
        <v>25</v>
      </c>
      <c r="I5" t="s">
        <v>52</v>
      </c>
      <c r="J5" t="s">
        <v>53</v>
      </c>
      <c r="K5" t="s">
        <v>54</v>
      </c>
      <c r="L5" t="s">
        <v>55</v>
      </c>
      <c r="M5" t="s">
        <v>30</v>
      </c>
      <c r="N5" t="s">
        <v>56</v>
      </c>
      <c r="O5" t="s">
        <v>57</v>
      </c>
      <c r="P5" s="2">
        <v>48.86</v>
      </c>
      <c r="Q5">
        <v>7</v>
      </c>
      <c r="R5" s="2">
        <v>14.1694</v>
      </c>
      <c r="S5" t="s">
        <v>58</v>
      </c>
      <c r="T5" s="10">
        <v>5</v>
      </c>
      <c r="U5" t="s">
        <v>59</v>
      </c>
    </row>
    <row r="6" spans="1:21" x14ac:dyDescent="0.2">
      <c r="A6" t="s">
        <v>49</v>
      </c>
      <c r="B6" s="1">
        <v>41799</v>
      </c>
      <c r="C6" s="1">
        <v>41804</v>
      </c>
      <c r="D6" t="s">
        <v>39</v>
      </c>
      <c r="E6" t="s">
        <v>50</v>
      </c>
      <c r="F6" t="s">
        <v>51</v>
      </c>
      <c r="G6" t="s">
        <v>24</v>
      </c>
      <c r="H6" t="s">
        <v>25</v>
      </c>
      <c r="I6" t="s">
        <v>52</v>
      </c>
      <c r="J6" t="s">
        <v>53</v>
      </c>
      <c r="K6" t="s">
        <v>54</v>
      </c>
      <c r="L6" t="s">
        <v>60</v>
      </c>
      <c r="M6" t="s">
        <v>30</v>
      </c>
      <c r="N6" t="s">
        <v>45</v>
      </c>
      <c r="O6" t="s">
        <v>61</v>
      </c>
      <c r="P6" s="2">
        <v>1706.184</v>
      </c>
      <c r="Q6">
        <v>9</v>
      </c>
      <c r="R6" s="2">
        <v>85.309200000000004</v>
      </c>
      <c r="S6" t="s">
        <v>58</v>
      </c>
      <c r="T6" s="10">
        <v>5</v>
      </c>
      <c r="U6" t="s">
        <v>59</v>
      </c>
    </row>
    <row r="7" spans="1:21" x14ac:dyDescent="0.2">
      <c r="A7" t="s">
        <v>62</v>
      </c>
      <c r="B7" s="1">
        <v>42932</v>
      </c>
      <c r="C7" s="1">
        <v>42934</v>
      </c>
      <c r="D7" t="s">
        <v>21</v>
      </c>
      <c r="E7" t="s">
        <v>63</v>
      </c>
      <c r="F7" t="s">
        <v>64</v>
      </c>
      <c r="G7" t="s">
        <v>24</v>
      </c>
      <c r="H7" t="s">
        <v>25</v>
      </c>
      <c r="I7" t="s">
        <v>65</v>
      </c>
      <c r="J7" t="s">
        <v>66</v>
      </c>
      <c r="K7" t="s">
        <v>67</v>
      </c>
      <c r="L7" t="s">
        <v>68</v>
      </c>
      <c r="M7" t="s">
        <v>30</v>
      </c>
      <c r="N7" t="s">
        <v>36</v>
      </c>
      <c r="O7" t="s">
        <v>69</v>
      </c>
      <c r="P7" s="2">
        <v>71.372</v>
      </c>
      <c r="Q7">
        <v>2</v>
      </c>
      <c r="R7" s="2">
        <v>-1.0196000000000001</v>
      </c>
      <c r="S7" t="s">
        <v>70</v>
      </c>
      <c r="T7" s="10">
        <v>2</v>
      </c>
      <c r="U7" t="s">
        <v>71</v>
      </c>
    </row>
    <row r="8" spans="1:21" x14ac:dyDescent="0.2">
      <c r="A8" t="s">
        <v>72</v>
      </c>
      <c r="B8" s="1">
        <v>42272</v>
      </c>
      <c r="C8" s="1">
        <v>42277</v>
      </c>
      <c r="D8" t="s">
        <v>39</v>
      </c>
      <c r="E8" t="s">
        <v>73</v>
      </c>
      <c r="F8" t="s">
        <v>74</v>
      </c>
      <c r="G8" t="s">
        <v>24</v>
      </c>
      <c r="H8" t="s">
        <v>25</v>
      </c>
      <c r="I8" t="s">
        <v>75</v>
      </c>
      <c r="J8" t="s">
        <v>76</v>
      </c>
      <c r="K8" t="s">
        <v>54</v>
      </c>
      <c r="L8" t="s">
        <v>44</v>
      </c>
      <c r="M8" t="s">
        <v>30</v>
      </c>
      <c r="N8" t="s">
        <v>45</v>
      </c>
      <c r="O8" t="s">
        <v>46</v>
      </c>
      <c r="P8" s="2">
        <v>1044.6300000000001</v>
      </c>
      <c r="Q8">
        <v>3</v>
      </c>
      <c r="R8" s="2">
        <v>240.26490000000001</v>
      </c>
      <c r="S8" t="s">
        <v>58</v>
      </c>
      <c r="T8" s="10">
        <v>5</v>
      </c>
      <c r="U8" t="s">
        <v>77</v>
      </c>
    </row>
    <row r="9" spans="1:21" x14ac:dyDescent="0.2">
      <c r="A9" t="s">
        <v>78</v>
      </c>
      <c r="B9" s="1">
        <v>42264</v>
      </c>
      <c r="C9" s="1">
        <v>42268</v>
      </c>
      <c r="D9" t="s">
        <v>39</v>
      </c>
      <c r="E9" t="s">
        <v>79</v>
      </c>
      <c r="F9" t="s">
        <v>80</v>
      </c>
      <c r="G9" t="s">
        <v>24</v>
      </c>
      <c r="H9" t="s">
        <v>25</v>
      </c>
      <c r="I9" t="s">
        <v>65</v>
      </c>
      <c r="J9" t="s">
        <v>66</v>
      </c>
      <c r="K9" t="s">
        <v>67</v>
      </c>
      <c r="L9" t="s">
        <v>81</v>
      </c>
      <c r="M9" t="s">
        <v>30</v>
      </c>
      <c r="N9" t="s">
        <v>31</v>
      </c>
      <c r="O9" t="s">
        <v>82</v>
      </c>
      <c r="P9" s="2">
        <v>3083.43</v>
      </c>
      <c r="Q9">
        <v>7</v>
      </c>
      <c r="R9" s="2">
        <v>-1665.0522000000001</v>
      </c>
      <c r="S9" t="s">
        <v>83</v>
      </c>
      <c r="T9" s="10">
        <v>4</v>
      </c>
      <c r="U9" t="s">
        <v>77</v>
      </c>
    </row>
    <row r="10" spans="1:21" x14ac:dyDescent="0.2">
      <c r="A10" t="s">
        <v>78</v>
      </c>
      <c r="B10" s="1">
        <v>42264</v>
      </c>
      <c r="C10" s="1">
        <v>42268</v>
      </c>
      <c r="D10" t="s">
        <v>39</v>
      </c>
      <c r="E10" t="s">
        <v>79</v>
      </c>
      <c r="F10" t="s">
        <v>80</v>
      </c>
      <c r="G10" t="s">
        <v>24</v>
      </c>
      <c r="H10" t="s">
        <v>25</v>
      </c>
      <c r="I10" t="s">
        <v>65</v>
      </c>
      <c r="J10" t="s">
        <v>66</v>
      </c>
      <c r="K10" t="s">
        <v>67</v>
      </c>
      <c r="L10" t="s">
        <v>84</v>
      </c>
      <c r="M10" t="s">
        <v>30</v>
      </c>
      <c r="N10" t="s">
        <v>56</v>
      </c>
      <c r="O10" t="s">
        <v>85</v>
      </c>
      <c r="P10" s="2">
        <v>124.2</v>
      </c>
      <c r="Q10">
        <v>3</v>
      </c>
      <c r="R10" s="2">
        <v>15.525</v>
      </c>
      <c r="S10" t="s">
        <v>83</v>
      </c>
      <c r="T10" s="10">
        <v>4</v>
      </c>
      <c r="U10" t="s">
        <v>77</v>
      </c>
    </row>
    <row r="11" spans="1:21" x14ac:dyDescent="0.2">
      <c r="A11" t="s">
        <v>86</v>
      </c>
      <c r="B11" s="1">
        <v>42712</v>
      </c>
      <c r="C11" s="1">
        <v>42714</v>
      </c>
      <c r="D11" t="s">
        <v>87</v>
      </c>
      <c r="E11" t="s">
        <v>88</v>
      </c>
      <c r="F11" t="s">
        <v>89</v>
      </c>
      <c r="G11" t="s">
        <v>90</v>
      </c>
      <c r="H11" t="s">
        <v>25</v>
      </c>
      <c r="I11" t="s">
        <v>91</v>
      </c>
      <c r="J11" t="s">
        <v>92</v>
      </c>
      <c r="K11" t="s">
        <v>93</v>
      </c>
      <c r="L11" t="s">
        <v>94</v>
      </c>
      <c r="M11" t="s">
        <v>30</v>
      </c>
      <c r="N11" t="s">
        <v>56</v>
      </c>
      <c r="O11" t="s">
        <v>95</v>
      </c>
      <c r="P11" s="2">
        <v>190.92</v>
      </c>
      <c r="Q11">
        <v>5</v>
      </c>
      <c r="R11" s="2">
        <v>-147.96299999999999</v>
      </c>
      <c r="S11" t="s">
        <v>70</v>
      </c>
      <c r="T11" s="10">
        <v>2</v>
      </c>
      <c r="U11" t="s">
        <v>96</v>
      </c>
    </row>
    <row r="12" spans="1:21" x14ac:dyDescent="0.2">
      <c r="A12" t="s">
        <v>97</v>
      </c>
      <c r="B12" s="1">
        <v>42365</v>
      </c>
      <c r="C12" s="1">
        <v>42369</v>
      </c>
      <c r="D12" t="s">
        <v>39</v>
      </c>
      <c r="E12" t="s">
        <v>98</v>
      </c>
      <c r="F12" t="s">
        <v>99</v>
      </c>
      <c r="G12" t="s">
        <v>100</v>
      </c>
      <c r="H12" t="s">
        <v>25</v>
      </c>
      <c r="I12" t="s">
        <v>101</v>
      </c>
      <c r="J12" t="s">
        <v>92</v>
      </c>
      <c r="K12" t="s">
        <v>93</v>
      </c>
      <c r="L12" t="s">
        <v>102</v>
      </c>
      <c r="M12" t="s">
        <v>30</v>
      </c>
      <c r="N12" t="s">
        <v>31</v>
      </c>
      <c r="O12" t="s">
        <v>103</v>
      </c>
      <c r="P12" s="2">
        <v>532.39919999999995</v>
      </c>
      <c r="Q12">
        <v>3</v>
      </c>
      <c r="R12" s="2">
        <v>-46.976399999999998</v>
      </c>
      <c r="S12" t="s">
        <v>83</v>
      </c>
      <c r="T12" s="10">
        <v>4</v>
      </c>
      <c r="U12" t="s">
        <v>96</v>
      </c>
    </row>
    <row r="13" spans="1:21" x14ac:dyDescent="0.2">
      <c r="A13" t="s">
        <v>97</v>
      </c>
      <c r="B13" s="1">
        <v>42365</v>
      </c>
      <c r="C13" s="1">
        <v>42369</v>
      </c>
      <c r="D13" t="s">
        <v>39</v>
      </c>
      <c r="E13" t="s">
        <v>98</v>
      </c>
      <c r="F13" t="s">
        <v>99</v>
      </c>
      <c r="G13" t="s">
        <v>100</v>
      </c>
      <c r="H13" t="s">
        <v>25</v>
      </c>
      <c r="I13" t="s">
        <v>101</v>
      </c>
      <c r="J13" t="s">
        <v>92</v>
      </c>
      <c r="K13" t="s">
        <v>93</v>
      </c>
      <c r="L13" t="s">
        <v>104</v>
      </c>
      <c r="M13" t="s">
        <v>30</v>
      </c>
      <c r="N13" t="s">
        <v>36</v>
      </c>
      <c r="O13" t="s">
        <v>105</v>
      </c>
      <c r="P13" s="2">
        <v>212.05799999999999</v>
      </c>
      <c r="Q13">
        <v>3</v>
      </c>
      <c r="R13" s="2">
        <v>-15.147</v>
      </c>
      <c r="S13" t="s">
        <v>83</v>
      </c>
      <c r="T13" s="10">
        <v>4</v>
      </c>
      <c r="U13" t="s">
        <v>96</v>
      </c>
    </row>
    <row r="14" spans="1:21" x14ac:dyDescent="0.2">
      <c r="A14" t="s">
        <v>106</v>
      </c>
      <c r="B14" s="1">
        <v>42112</v>
      </c>
      <c r="C14" s="1">
        <v>42116</v>
      </c>
      <c r="D14" t="s">
        <v>39</v>
      </c>
      <c r="E14" t="s">
        <v>107</v>
      </c>
      <c r="F14" t="s">
        <v>108</v>
      </c>
      <c r="G14" t="s">
        <v>24</v>
      </c>
      <c r="H14" t="s">
        <v>25</v>
      </c>
      <c r="I14" t="s">
        <v>109</v>
      </c>
      <c r="J14" t="s">
        <v>110</v>
      </c>
      <c r="K14" t="s">
        <v>93</v>
      </c>
      <c r="L14" t="s">
        <v>111</v>
      </c>
      <c r="M14" t="s">
        <v>30</v>
      </c>
      <c r="N14" t="s">
        <v>56</v>
      </c>
      <c r="O14" t="s">
        <v>112</v>
      </c>
      <c r="P14" s="2">
        <v>6.16</v>
      </c>
      <c r="Q14">
        <v>2</v>
      </c>
      <c r="R14" s="2">
        <v>2.9567999999999999</v>
      </c>
      <c r="S14" t="s">
        <v>83</v>
      </c>
      <c r="T14" s="10">
        <v>4</v>
      </c>
      <c r="U14" t="s">
        <v>113</v>
      </c>
    </row>
    <row r="15" spans="1:21" x14ac:dyDescent="0.2">
      <c r="A15" t="s">
        <v>106</v>
      </c>
      <c r="B15" s="1">
        <v>42112</v>
      </c>
      <c r="C15" s="1">
        <v>42116</v>
      </c>
      <c r="D15" t="s">
        <v>39</v>
      </c>
      <c r="E15" t="s">
        <v>107</v>
      </c>
      <c r="F15" t="s">
        <v>108</v>
      </c>
      <c r="G15" t="s">
        <v>24</v>
      </c>
      <c r="H15" t="s">
        <v>25</v>
      </c>
      <c r="I15" t="s">
        <v>109</v>
      </c>
      <c r="J15" t="s">
        <v>110</v>
      </c>
      <c r="K15" t="s">
        <v>93</v>
      </c>
      <c r="L15" t="s">
        <v>114</v>
      </c>
      <c r="M15" t="s">
        <v>30</v>
      </c>
      <c r="N15" t="s">
        <v>36</v>
      </c>
      <c r="O15" t="s">
        <v>115</v>
      </c>
      <c r="P15" s="2">
        <v>89.99</v>
      </c>
      <c r="Q15">
        <v>1</v>
      </c>
      <c r="R15" s="2">
        <v>17.098099999999999</v>
      </c>
      <c r="S15" t="s">
        <v>83</v>
      </c>
      <c r="T15" s="10">
        <v>4</v>
      </c>
      <c r="U15" t="s">
        <v>113</v>
      </c>
    </row>
    <row r="16" spans="1:21" x14ac:dyDescent="0.2">
      <c r="A16" t="s">
        <v>116</v>
      </c>
      <c r="B16" s="1">
        <v>42538</v>
      </c>
      <c r="C16" s="1">
        <v>42539</v>
      </c>
      <c r="D16" t="s">
        <v>87</v>
      </c>
      <c r="E16" t="s">
        <v>117</v>
      </c>
      <c r="F16" t="s">
        <v>118</v>
      </c>
      <c r="G16" t="s">
        <v>24</v>
      </c>
      <c r="H16" t="s">
        <v>25</v>
      </c>
      <c r="I16" t="s">
        <v>119</v>
      </c>
      <c r="J16" t="s">
        <v>120</v>
      </c>
      <c r="K16" t="s">
        <v>67</v>
      </c>
      <c r="L16" t="s">
        <v>121</v>
      </c>
      <c r="M16" t="s">
        <v>30</v>
      </c>
      <c r="N16" t="s">
        <v>36</v>
      </c>
      <c r="O16" t="s">
        <v>122</v>
      </c>
      <c r="P16" s="2">
        <v>319.41000000000003</v>
      </c>
      <c r="Q16">
        <v>5</v>
      </c>
      <c r="R16" s="2">
        <v>7.0979999999999999</v>
      </c>
      <c r="S16" t="s">
        <v>123</v>
      </c>
      <c r="T16" s="10">
        <v>1</v>
      </c>
      <c r="U16" t="s">
        <v>59</v>
      </c>
    </row>
    <row r="17" spans="1:21" x14ac:dyDescent="0.2">
      <c r="A17" t="s">
        <v>124</v>
      </c>
      <c r="B17" s="1">
        <v>42332</v>
      </c>
      <c r="C17" s="1">
        <v>42338</v>
      </c>
      <c r="D17" t="s">
        <v>39</v>
      </c>
      <c r="E17" t="s">
        <v>125</v>
      </c>
      <c r="F17" t="s">
        <v>126</v>
      </c>
      <c r="G17" t="s">
        <v>24</v>
      </c>
      <c r="H17" t="s">
        <v>25</v>
      </c>
      <c r="I17" t="s">
        <v>52</v>
      </c>
      <c r="J17" t="s">
        <v>53</v>
      </c>
      <c r="K17" t="s">
        <v>54</v>
      </c>
      <c r="L17" t="s">
        <v>127</v>
      </c>
      <c r="M17" t="s">
        <v>30</v>
      </c>
      <c r="N17" t="s">
        <v>56</v>
      </c>
      <c r="O17" t="s">
        <v>128</v>
      </c>
      <c r="P17" s="2">
        <v>79.760000000000005</v>
      </c>
      <c r="Q17">
        <v>4</v>
      </c>
      <c r="R17" s="2">
        <v>22.332799999999999</v>
      </c>
      <c r="S17" t="s">
        <v>129</v>
      </c>
      <c r="T17" s="10">
        <v>6</v>
      </c>
      <c r="U17" t="s">
        <v>34</v>
      </c>
    </row>
    <row r="18" spans="1:21" x14ac:dyDescent="0.2">
      <c r="A18" t="s">
        <v>130</v>
      </c>
      <c r="B18" s="1">
        <v>42124</v>
      </c>
      <c r="C18" s="1">
        <v>42129</v>
      </c>
      <c r="D18" t="s">
        <v>39</v>
      </c>
      <c r="E18" t="s">
        <v>131</v>
      </c>
      <c r="F18" t="s">
        <v>132</v>
      </c>
      <c r="G18" t="s">
        <v>100</v>
      </c>
      <c r="H18" t="s">
        <v>25</v>
      </c>
      <c r="I18" t="s">
        <v>133</v>
      </c>
      <c r="J18" t="s">
        <v>134</v>
      </c>
      <c r="K18" t="s">
        <v>93</v>
      </c>
      <c r="L18" t="s">
        <v>135</v>
      </c>
      <c r="M18" t="s">
        <v>30</v>
      </c>
      <c r="N18" t="s">
        <v>36</v>
      </c>
      <c r="O18" t="s">
        <v>136</v>
      </c>
      <c r="P18" s="2">
        <v>213.11500000000001</v>
      </c>
      <c r="Q18">
        <v>5</v>
      </c>
      <c r="R18" s="2">
        <v>-15.2225</v>
      </c>
      <c r="S18" t="s">
        <v>58</v>
      </c>
      <c r="T18" s="10">
        <v>5</v>
      </c>
      <c r="U18" t="s">
        <v>113</v>
      </c>
    </row>
    <row r="19" spans="1:21" x14ac:dyDescent="0.2">
      <c r="A19" t="s">
        <v>137</v>
      </c>
      <c r="B19" s="1">
        <v>42120</v>
      </c>
      <c r="C19" s="1">
        <v>42126</v>
      </c>
      <c r="D19" t="s">
        <v>39</v>
      </c>
      <c r="E19" t="s">
        <v>138</v>
      </c>
      <c r="F19" t="s">
        <v>139</v>
      </c>
      <c r="G19" t="s">
        <v>24</v>
      </c>
      <c r="H19" t="s">
        <v>25</v>
      </c>
      <c r="I19" t="s">
        <v>140</v>
      </c>
      <c r="J19" t="s">
        <v>141</v>
      </c>
      <c r="K19" t="s">
        <v>28</v>
      </c>
      <c r="L19" t="s">
        <v>142</v>
      </c>
      <c r="M19" t="s">
        <v>30</v>
      </c>
      <c r="N19" t="s">
        <v>36</v>
      </c>
      <c r="O19" t="s">
        <v>143</v>
      </c>
      <c r="P19" s="2">
        <v>831.93600000000004</v>
      </c>
      <c r="Q19">
        <v>8</v>
      </c>
      <c r="R19" s="2">
        <v>-114.3912</v>
      </c>
      <c r="S19" t="s">
        <v>129</v>
      </c>
      <c r="T19" s="10">
        <v>6</v>
      </c>
      <c r="U19" t="s">
        <v>113</v>
      </c>
    </row>
    <row r="20" spans="1:21" x14ac:dyDescent="0.2">
      <c r="A20" t="s">
        <v>137</v>
      </c>
      <c r="B20" s="1">
        <v>42120</v>
      </c>
      <c r="C20" s="1">
        <v>42126</v>
      </c>
      <c r="D20" t="s">
        <v>39</v>
      </c>
      <c r="E20" t="s">
        <v>138</v>
      </c>
      <c r="F20" t="s">
        <v>139</v>
      </c>
      <c r="G20" t="s">
        <v>24</v>
      </c>
      <c r="H20" t="s">
        <v>25</v>
      </c>
      <c r="I20" t="s">
        <v>140</v>
      </c>
      <c r="J20" t="s">
        <v>141</v>
      </c>
      <c r="K20" t="s">
        <v>28</v>
      </c>
      <c r="L20" t="s">
        <v>144</v>
      </c>
      <c r="M20" t="s">
        <v>30</v>
      </c>
      <c r="N20" t="s">
        <v>56</v>
      </c>
      <c r="O20" t="s">
        <v>145</v>
      </c>
      <c r="P20" s="2">
        <v>97.04</v>
      </c>
      <c r="Q20">
        <v>2</v>
      </c>
      <c r="R20" s="2">
        <v>1.2130000000000001</v>
      </c>
      <c r="S20" t="s">
        <v>129</v>
      </c>
      <c r="T20" s="10">
        <v>6</v>
      </c>
      <c r="U20" t="s">
        <v>113</v>
      </c>
    </row>
    <row r="21" spans="1:21" x14ac:dyDescent="0.2">
      <c r="A21" t="s">
        <v>146</v>
      </c>
      <c r="B21" s="1">
        <v>43078</v>
      </c>
      <c r="C21" s="1">
        <v>43080</v>
      </c>
      <c r="D21" t="s">
        <v>87</v>
      </c>
      <c r="E21" t="s">
        <v>147</v>
      </c>
      <c r="F21" t="s">
        <v>148</v>
      </c>
      <c r="G21" t="s">
        <v>90</v>
      </c>
      <c r="H21" t="s">
        <v>25</v>
      </c>
      <c r="I21" t="s">
        <v>101</v>
      </c>
      <c r="J21" t="s">
        <v>92</v>
      </c>
      <c r="K21" t="s">
        <v>93</v>
      </c>
      <c r="L21" t="s">
        <v>149</v>
      </c>
      <c r="M21" t="s">
        <v>30</v>
      </c>
      <c r="N21" t="s">
        <v>56</v>
      </c>
      <c r="O21" t="s">
        <v>150</v>
      </c>
      <c r="P21" s="2">
        <v>9.7080000000000002</v>
      </c>
      <c r="Q21">
        <v>3</v>
      </c>
      <c r="R21" s="2">
        <v>-5.8247999999999998</v>
      </c>
      <c r="S21" t="s">
        <v>70</v>
      </c>
      <c r="T21" s="10">
        <v>2</v>
      </c>
      <c r="U21" t="s">
        <v>96</v>
      </c>
    </row>
    <row r="22" spans="1:21" x14ac:dyDescent="0.2">
      <c r="A22" t="s">
        <v>151</v>
      </c>
      <c r="B22" s="1">
        <v>41969</v>
      </c>
      <c r="C22" s="1">
        <v>41974</v>
      </c>
      <c r="D22" t="s">
        <v>21</v>
      </c>
      <c r="E22" t="s">
        <v>138</v>
      </c>
      <c r="F22" t="s">
        <v>139</v>
      </c>
      <c r="G22" t="s">
        <v>24</v>
      </c>
      <c r="H22" t="s">
        <v>25</v>
      </c>
      <c r="I22" t="s">
        <v>101</v>
      </c>
      <c r="J22" t="s">
        <v>92</v>
      </c>
      <c r="K22" t="s">
        <v>93</v>
      </c>
      <c r="L22" t="s">
        <v>152</v>
      </c>
      <c r="M22" t="s">
        <v>30</v>
      </c>
      <c r="N22" t="s">
        <v>56</v>
      </c>
      <c r="O22" t="s">
        <v>153</v>
      </c>
      <c r="P22" s="2">
        <v>19.3</v>
      </c>
      <c r="Q22">
        <v>5</v>
      </c>
      <c r="R22" s="2">
        <v>-14.475</v>
      </c>
      <c r="S22" t="s">
        <v>58</v>
      </c>
      <c r="T22" s="10">
        <v>5</v>
      </c>
      <c r="U22" t="s">
        <v>34</v>
      </c>
    </row>
    <row r="23" spans="1:21" x14ac:dyDescent="0.2">
      <c r="A23" t="s">
        <v>154</v>
      </c>
      <c r="B23" s="1">
        <v>42883</v>
      </c>
      <c r="C23" s="1">
        <v>42885</v>
      </c>
      <c r="D23" t="s">
        <v>21</v>
      </c>
      <c r="E23" t="s">
        <v>155</v>
      </c>
      <c r="F23" t="s">
        <v>156</v>
      </c>
      <c r="G23" t="s">
        <v>24</v>
      </c>
      <c r="H23" t="s">
        <v>25</v>
      </c>
      <c r="I23" t="s">
        <v>157</v>
      </c>
      <c r="J23" t="s">
        <v>158</v>
      </c>
      <c r="K23" t="s">
        <v>28</v>
      </c>
      <c r="L23" t="s">
        <v>159</v>
      </c>
      <c r="M23" t="s">
        <v>30</v>
      </c>
      <c r="N23" t="s">
        <v>36</v>
      </c>
      <c r="O23" t="s">
        <v>160</v>
      </c>
      <c r="P23" s="2">
        <v>301.95999999999998</v>
      </c>
      <c r="Q23">
        <v>2</v>
      </c>
      <c r="R23" s="2">
        <v>33.215600000000002</v>
      </c>
      <c r="S23" t="s">
        <v>70</v>
      </c>
      <c r="T23" s="10">
        <v>2</v>
      </c>
      <c r="U23" t="s">
        <v>161</v>
      </c>
    </row>
    <row r="24" spans="1:21" x14ac:dyDescent="0.2">
      <c r="A24" t="s">
        <v>162</v>
      </c>
      <c r="B24" s="1">
        <v>42035</v>
      </c>
      <c r="C24" s="1">
        <v>42040</v>
      </c>
      <c r="D24" t="s">
        <v>21</v>
      </c>
      <c r="E24" t="s">
        <v>163</v>
      </c>
      <c r="F24" t="s">
        <v>164</v>
      </c>
      <c r="G24" t="s">
        <v>24</v>
      </c>
      <c r="H24" t="s">
        <v>25</v>
      </c>
      <c r="I24" t="s">
        <v>165</v>
      </c>
      <c r="J24" t="s">
        <v>166</v>
      </c>
      <c r="K24" t="s">
        <v>93</v>
      </c>
      <c r="L24" t="s">
        <v>167</v>
      </c>
      <c r="M24" t="s">
        <v>30</v>
      </c>
      <c r="N24" t="s">
        <v>56</v>
      </c>
      <c r="O24" t="s">
        <v>168</v>
      </c>
      <c r="P24" s="2">
        <v>53.34</v>
      </c>
      <c r="Q24">
        <v>3</v>
      </c>
      <c r="R24" s="2">
        <v>16.535399999999999</v>
      </c>
      <c r="S24" t="s">
        <v>58</v>
      </c>
      <c r="T24" s="10">
        <v>5</v>
      </c>
      <c r="U24" t="s">
        <v>169</v>
      </c>
    </row>
    <row r="25" spans="1:21" x14ac:dyDescent="0.2">
      <c r="A25" t="s">
        <v>170</v>
      </c>
      <c r="B25" s="1">
        <v>43048</v>
      </c>
      <c r="C25" s="1">
        <v>43050</v>
      </c>
      <c r="D25" t="s">
        <v>21</v>
      </c>
      <c r="E25" t="s">
        <v>171</v>
      </c>
      <c r="F25" t="s">
        <v>172</v>
      </c>
      <c r="G25" t="s">
        <v>100</v>
      </c>
      <c r="H25" t="s">
        <v>25</v>
      </c>
      <c r="I25" t="s">
        <v>173</v>
      </c>
      <c r="J25" t="s">
        <v>120</v>
      </c>
      <c r="K25" t="s">
        <v>67</v>
      </c>
      <c r="L25" t="s">
        <v>174</v>
      </c>
      <c r="M25" t="s">
        <v>30</v>
      </c>
      <c r="N25" t="s">
        <v>56</v>
      </c>
      <c r="O25" t="s">
        <v>175</v>
      </c>
      <c r="P25" s="2">
        <v>96.53</v>
      </c>
      <c r="Q25">
        <v>7</v>
      </c>
      <c r="R25" s="2">
        <v>40.5426</v>
      </c>
      <c r="S25" t="s">
        <v>70</v>
      </c>
      <c r="T25" s="10">
        <v>2</v>
      </c>
      <c r="U25" t="s">
        <v>34</v>
      </c>
    </row>
    <row r="26" spans="1:21" x14ac:dyDescent="0.2">
      <c r="A26" t="s">
        <v>176</v>
      </c>
      <c r="B26" s="1">
        <v>42321</v>
      </c>
      <c r="C26" s="1">
        <v>42325</v>
      </c>
      <c r="D26" t="s">
        <v>39</v>
      </c>
      <c r="E26" t="s">
        <v>177</v>
      </c>
      <c r="F26" t="s">
        <v>178</v>
      </c>
      <c r="G26" t="s">
        <v>24</v>
      </c>
      <c r="H26" t="s">
        <v>25</v>
      </c>
      <c r="I26" t="s">
        <v>179</v>
      </c>
      <c r="J26" t="s">
        <v>180</v>
      </c>
      <c r="K26" t="s">
        <v>54</v>
      </c>
      <c r="L26" t="s">
        <v>181</v>
      </c>
      <c r="M26" t="s">
        <v>30</v>
      </c>
      <c r="N26" t="s">
        <v>56</v>
      </c>
      <c r="O26" t="s">
        <v>182</v>
      </c>
      <c r="P26" s="2">
        <v>102.36</v>
      </c>
      <c r="Q26">
        <v>3</v>
      </c>
      <c r="R26" s="2">
        <v>-3.8384999999999998</v>
      </c>
      <c r="S26" t="s">
        <v>83</v>
      </c>
      <c r="T26" s="10">
        <v>4</v>
      </c>
      <c r="U26" t="s">
        <v>34</v>
      </c>
    </row>
    <row r="27" spans="1:21" x14ac:dyDescent="0.2">
      <c r="A27" t="s">
        <v>183</v>
      </c>
      <c r="B27" s="1">
        <v>43094</v>
      </c>
      <c r="C27" s="1">
        <v>43099</v>
      </c>
      <c r="D27" t="s">
        <v>39</v>
      </c>
      <c r="E27" t="s">
        <v>184</v>
      </c>
      <c r="F27" t="s">
        <v>185</v>
      </c>
      <c r="G27" t="s">
        <v>90</v>
      </c>
      <c r="H27" t="s">
        <v>25</v>
      </c>
      <c r="I27" t="s">
        <v>173</v>
      </c>
      <c r="J27" t="s">
        <v>120</v>
      </c>
      <c r="K27" t="s">
        <v>67</v>
      </c>
      <c r="L27" t="s">
        <v>186</v>
      </c>
      <c r="M27" t="s">
        <v>30</v>
      </c>
      <c r="N27" t="s">
        <v>56</v>
      </c>
      <c r="O27" t="s">
        <v>187</v>
      </c>
      <c r="P27" s="2">
        <v>41.96</v>
      </c>
      <c r="Q27">
        <v>2</v>
      </c>
      <c r="R27" s="2">
        <v>10.909599999999999</v>
      </c>
      <c r="S27" t="s">
        <v>58</v>
      </c>
      <c r="T27" s="10">
        <v>5</v>
      </c>
      <c r="U27" t="s">
        <v>96</v>
      </c>
    </row>
    <row r="28" spans="1:21" x14ac:dyDescent="0.2">
      <c r="A28" t="s">
        <v>188</v>
      </c>
      <c r="B28" s="1">
        <v>42065</v>
      </c>
      <c r="C28" s="1">
        <v>42069</v>
      </c>
      <c r="D28" t="s">
        <v>39</v>
      </c>
      <c r="E28" t="s">
        <v>189</v>
      </c>
      <c r="F28" t="s">
        <v>190</v>
      </c>
      <c r="G28" t="s">
        <v>24</v>
      </c>
      <c r="H28" t="s">
        <v>25</v>
      </c>
      <c r="I28" t="s">
        <v>191</v>
      </c>
      <c r="J28" t="s">
        <v>192</v>
      </c>
      <c r="K28" t="s">
        <v>54</v>
      </c>
      <c r="L28" t="s">
        <v>193</v>
      </c>
      <c r="M28" t="s">
        <v>30</v>
      </c>
      <c r="N28" t="s">
        <v>45</v>
      </c>
      <c r="O28" t="s">
        <v>194</v>
      </c>
      <c r="P28" s="2">
        <v>787.53</v>
      </c>
      <c r="Q28">
        <v>3</v>
      </c>
      <c r="R28" s="2">
        <v>165.38130000000001</v>
      </c>
      <c r="S28" t="s">
        <v>83</v>
      </c>
      <c r="T28" s="10">
        <v>4</v>
      </c>
      <c r="U28" t="s">
        <v>195</v>
      </c>
    </row>
    <row r="29" spans="1:21" x14ac:dyDescent="0.2">
      <c r="A29" t="s">
        <v>196</v>
      </c>
      <c r="B29" s="1">
        <v>42533</v>
      </c>
      <c r="C29" s="1">
        <v>42536</v>
      </c>
      <c r="D29" t="s">
        <v>87</v>
      </c>
      <c r="E29" t="s">
        <v>197</v>
      </c>
      <c r="F29" t="s">
        <v>198</v>
      </c>
      <c r="G29" t="s">
        <v>24</v>
      </c>
      <c r="H29" t="s">
        <v>25</v>
      </c>
      <c r="I29" t="s">
        <v>199</v>
      </c>
      <c r="J29" t="s">
        <v>200</v>
      </c>
      <c r="K29" t="s">
        <v>67</v>
      </c>
      <c r="L29" t="s">
        <v>201</v>
      </c>
      <c r="M29" t="s">
        <v>30</v>
      </c>
      <c r="N29" t="s">
        <v>56</v>
      </c>
      <c r="O29" t="s">
        <v>202</v>
      </c>
      <c r="P29" s="2">
        <v>47.04</v>
      </c>
      <c r="Q29">
        <v>3</v>
      </c>
      <c r="R29" s="2">
        <v>18.345600000000001</v>
      </c>
      <c r="S29" t="s">
        <v>33</v>
      </c>
      <c r="T29" s="10">
        <v>3</v>
      </c>
      <c r="U29" t="s">
        <v>59</v>
      </c>
    </row>
    <row r="30" spans="1:21" x14ac:dyDescent="0.2">
      <c r="A30" t="s">
        <v>203</v>
      </c>
      <c r="B30" s="1">
        <v>41999</v>
      </c>
      <c r="C30" s="1">
        <v>42001</v>
      </c>
      <c r="D30" t="s">
        <v>21</v>
      </c>
      <c r="E30" t="s">
        <v>204</v>
      </c>
      <c r="F30" t="s">
        <v>205</v>
      </c>
      <c r="G30" t="s">
        <v>100</v>
      </c>
      <c r="H30" t="s">
        <v>25</v>
      </c>
      <c r="I30" t="s">
        <v>101</v>
      </c>
      <c r="J30" t="s">
        <v>92</v>
      </c>
      <c r="K30" t="s">
        <v>93</v>
      </c>
      <c r="L30" t="s">
        <v>206</v>
      </c>
      <c r="M30" t="s">
        <v>30</v>
      </c>
      <c r="N30" t="s">
        <v>36</v>
      </c>
      <c r="O30" t="s">
        <v>207</v>
      </c>
      <c r="P30" s="2">
        <v>600.55799999999999</v>
      </c>
      <c r="Q30">
        <v>3</v>
      </c>
      <c r="R30" s="2">
        <v>-8.5793999999999997</v>
      </c>
      <c r="S30" t="s">
        <v>70</v>
      </c>
      <c r="T30" s="10">
        <v>2</v>
      </c>
      <c r="U30" t="s">
        <v>96</v>
      </c>
    </row>
    <row r="31" spans="1:21" x14ac:dyDescent="0.2">
      <c r="A31" t="s">
        <v>208</v>
      </c>
      <c r="B31" s="1">
        <v>41902</v>
      </c>
      <c r="C31" s="1">
        <v>41907</v>
      </c>
      <c r="D31" t="s">
        <v>39</v>
      </c>
      <c r="E31" t="s">
        <v>209</v>
      </c>
      <c r="F31" t="s">
        <v>210</v>
      </c>
      <c r="G31" t="s">
        <v>24</v>
      </c>
      <c r="H31" t="s">
        <v>25</v>
      </c>
      <c r="I31" t="s">
        <v>211</v>
      </c>
      <c r="J31" t="s">
        <v>134</v>
      </c>
      <c r="K31" t="s">
        <v>93</v>
      </c>
      <c r="L31" t="s">
        <v>212</v>
      </c>
      <c r="M31" t="s">
        <v>30</v>
      </c>
      <c r="N31" t="s">
        <v>45</v>
      </c>
      <c r="O31" t="s">
        <v>213</v>
      </c>
      <c r="P31" s="2">
        <v>617.70000000000005</v>
      </c>
      <c r="Q31">
        <v>6</v>
      </c>
      <c r="R31" s="2">
        <v>-407.68200000000002</v>
      </c>
      <c r="S31" t="s">
        <v>58</v>
      </c>
      <c r="T31" s="10">
        <v>5</v>
      </c>
      <c r="U31" t="s">
        <v>77</v>
      </c>
    </row>
    <row r="32" spans="1:21" x14ac:dyDescent="0.2">
      <c r="A32" t="s">
        <v>214</v>
      </c>
      <c r="B32" s="1">
        <v>42680</v>
      </c>
      <c r="C32" s="1">
        <v>42684</v>
      </c>
      <c r="D32" t="s">
        <v>21</v>
      </c>
      <c r="E32" t="s">
        <v>215</v>
      </c>
      <c r="F32" t="s">
        <v>216</v>
      </c>
      <c r="G32" t="s">
        <v>100</v>
      </c>
      <c r="H32" t="s">
        <v>25</v>
      </c>
      <c r="I32" t="s">
        <v>52</v>
      </c>
      <c r="J32" t="s">
        <v>53</v>
      </c>
      <c r="K32" t="s">
        <v>54</v>
      </c>
      <c r="L32" t="s">
        <v>135</v>
      </c>
      <c r="M32" t="s">
        <v>30</v>
      </c>
      <c r="N32" t="s">
        <v>36</v>
      </c>
      <c r="O32" t="s">
        <v>217</v>
      </c>
      <c r="P32" s="2">
        <v>81.424000000000007</v>
      </c>
      <c r="Q32">
        <v>2</v>
      </c>
      <c r="R32" s="2">
        <v>-9.1601999999999997</v>
      </c>
      <c r="S32" t="s">
        <v>83</v>
      </c>
      <c r="T32" s="10">
        <v>4</v>
      </c>
      <c r="U32" t="s">
        <v>34</v>
      </c>
    </row>
    <row r="33" spans="1:21" x14ac:dyDescent="0.2">
      <c r="A33" t="s">
        <v>214</v>
      </c>
      <c r="B33" s="1">
        <v>42680</v>
      </c>
      <c r="C33" s="1">
        <v>42684</v>
      </c>
      <c r="D33" t="s">
        <v>21</v>
      </c>
      <c r="E33" t="s">
        <v>215</v>
      </c>
      <c r="F33" t="s">
        <v>216</v>
      </c>
      <c r="G33" t="s">
        <v>100</v>
      </c>
      <c r="H33" t="s">
        <v>25</v>
      </c>
      <c r="I33" t="s">
        <v>52</v>
      </c>
      <c r="J33" t="s">
        <v>53</v>
      </c>
      <c r="K33" t="s">
        <v>54</v>
      </c>
      <c r="L33" t="s">
        <v>218</v>
      </c>
      <c r="M33" t="s">
        <v>30</v>
      </c>
      <c r="N33" t="s">
        <v>56</v>
      </c>
      <c r="O33" t="s">
        <v>219</v>
      </c>
      <c r="P33" s="2">
        <v>238.56</v>
      </c>
      <c r="Q33">
        <v>3</v>
      </c>
      <c r="R33" s="2">
        <v>26.241599999999998</v>
      </c>
      <c r="S33" t="s">
        <v>83</v>
      </c>
      <c r="T33" s="10">
        <v>4</v>
      </c>
      <c r="U33" t="s">
        <v>34</v>
      </c>
    </row>
    <row r="34" spans="1:21" x14ac:dyDescent="0.2">
      <c r="A34" t="s">
        <v>220</v>
      </c>
      <c r="B34" s="1">
        <v>42656</v>
      </c>
      <c r="C34" s="1">
        <v>42662</v>
      </c>
      <c r="D34" t="s">
        <v>39</v>
      </c>
      <c r="E34" t="s">
        <v>221</v>
      </c>
      <c r="F34" t="s">
        <v>222</v>
      </c>
      <c r="G34" t="s">
        <v>24</v>
      </c>
      <c r="H34" t="s">
        <v>25</v>
      </c>
      <c r="I34" t="s">
        <v>223</v>
      </c>
      <c r="J34" t="s">
        <v>53</v>
      </c>
      <c r="K34" t="s">
        <v>54</v>
      </c>
      <c r="L34" t="s">
        <v>111</v>
      </c>
      <c r="M34" t="s">
        <v>30</v>
      </c>
      <c r="N34" t="s">
        <v>56</v>
      </c>
      <c r="O34" t="s">
        <v>112</v>
      </c>
      <c r="P34" s="2">
        <v>43.12</v>
      </c>
      <c r="Q34">
        <v>14</v>
      </c>
      <c r="R34" s="2">
        <v>20.697600000000001</v>
      </c>
      <c r="S34" t="s">
        <v>129</v>
      </c>
      <c r="T34" s="10">
        <v>6</v>
      </c>
      <c r="U34" t="s">
        <v>48</v>
      </c>
    </row>
    <row r="35" spans="1:21" x14ac:dyDescent="0.2">
      <c r="A35" t="s">
        <v>224</v>
      </c>
      <c r="B35" s="1">
        <v>42618</v>
      </c>
      <c r="C35" s="1">
        <v>42620</v>
      </c>
      <c r="D35" t="s">
        <v>21</v>
      </c>
      <c r="E35" t="s">
        <v>225</v>
      </c>
      <c r="F35" t="s">
        <v>226</v>
      </c>
      <c r="G35" t="s">
        <v>90</v>
      </c>
      <c r="H35" t="s">
        <v>25</v>
      </c>
      <c r="I35" t="s">
        <v>65</v>
      </c>
      <c r="J35" t="s">
        <v>66</v>
      </c>
      <c r="K35" t="s">
        <v>67</v>
      </c>
      <c r="L35" t="s">
        <v>84</v>
      </c>
      <c r="M35" t="s">
        <v>30</v>
      </c>
      <c r="N35" t="s">
        <v>56</v>
      </c>
      <c r="O35" t="s">
        <v>85</v>
      </c>
      <c r="P35" s="2">
        <v>82.8</v>
      </c>
      <c r="Q35">
        <v>2</v>
      </c>
      <c r="R35" s="2">
        <v>10.35</v>
      </c>
      <c r="S35" t="s">
        <v>70</v>
      </c>
      <c r="T35" s="10">
        <v>2</v>
      </c>
      <c r="U35" t="s">
        <v>77</v>
      </c>
    </row>
    <row r="36" spans="1:21" x14ac:dyDescent="0.2">
      <c r="A36" t="s">
        <v>227</v>
      </c>
      <c r="B36" s="1">
        <v>41934</v>
      </c>
      <c r="C36" s="1">
        <v>41940</v>
      </c>
      <c r="D36" t="s">
        <v>39</v>
      </c>
      <c r="E36" t="s">
        <v>228</v>
      </c>
      <c r="F36" t="s">
        <v>229</v>
      </c>
      <c r="G36" t="s">
        <v>100</v>
      </c>
      <c r="H36" t="s">
        <v>25</v>
      </c>
      <c r="I36" t="s">
        <v>230</v>
      </c>
      <c r="J36" t="s">
        <v>231</v>
      </c>
      <c r="K36" t="s">
        <v>67</v>
      </c>
      <c r="L36" t="s">
        <v>232</v>
      </c>
      <c r="M36" t="s">
        <v>30</v>
      </c>
      <c r="N36" t="s">
        <v>56</v>
      </c>
      <c r="O36" t="s">
        <v>233</v>
      </c>
      <c r="P36" s="2">
        <v>93.888000000000005</v>
      </c>
      <c r="Q36">
        <v>4</v>
      </c>
      <c r="R36" s="2">
        <v>12.909599999999999</v>
      </c>
      <c r="S36" t="s">
        <v>129</v>
      </c>
      <c r="T36" s="10">
        <v>6</v>
      </c>
      <c r="U36" t="s">
        <v>48</v>
      </c>
    </row>
    <row r="37" spans="1:21" x14ac:dyDescent="0.2">
      <c r="A37" t="s">
        <v>234</v>
      </c>
      <c r="B37" s="1">
        <v>42709</v>
      </c>
      <c r="C37" s="1">
        <v>42713</v>
      </c>
      <c r="D37" t="s">
        <v>39</v>
      </c>
      <c r="E37" t="s">
        <v>235</v>
      </c>
      <c r="F37" t="s">
        <v>236</v>
      </c>
      <c r="G37" t="s">
        <v>90</v>
      </c>
      <c r="H37" t="s">
        <v>25</v>
      </c>
      <c r="I37" t="s">
        <v>237</v>
      </c>
      <c r="J37" t="s">
        <v>238</v>
      </c>
      <c r="K37" t="s">
        <v>93</v>
      </c>
      <c r="L37" t="s">
        <v>35</v>
      </c>
      <c r="M37" t="s">
        <v>30</v>
      </c>
      <c r="N37" t="s">
        <v>36</v>
      </c>
      <c r="O37" t="s">
        <v>37</v>
      </c>
      <c r="P37" s="2">
        <v>1951.84</v>
      </c>
      <c r="Q37">
        <v>8</v>
      </c>
      <c r="R37" s="2">
        <v>585.55200000000002</v>
      </c>
      <c r="S37" t="s">
        <v>83</v>
      </c>
      <c r="T37" s="10">
        <v>4</v>
      </c>
      <c r="U37" t="s">
        <v>96</v>
      </c>
    </row>
    <row r="38" spans="1:21" x14ac:dyDescent="0.2">
      <c r="A38" t="s">
        <v>239</v>
      </c>
      <c r="B38" s="1">
        <v>41699</v>
      </c>
      <c r="C38" s="1">
        <v>41704</v>
      </c>
      <c r="D38" t="s">
        <v>21</v>
      </c>
      <c r="E38" t="s">
        <v>240</v>
      </c>
      <c r="F38" t="s">
        <v>241</v>
      </c>
      <c r="G38" t="s">
        <v>24</v>
      </c>
      <c r="H38" t="s">
        <v>25</v>
      </c>
      <c r="I38" t="s">
        <v>191</v>
      </c>
      <c r="J38" t="s">
        <v>192</v>
      </c>
      <c r="K38" t="s">
        <v>54</v>
      </c>
      <c r="L38" t="s">
        <v>206</v>
      </c>
      <c r="M38" t="s">
        <v>30</v>
      </c>
      <c r="N38" t="s">
        <v>36</v>
      </c>
      <c r="O38" t="s">
        <v>207</v>
      </c>
      <c r="P38" s="2">
        <v>457.56799999999998</v>
      </c>
      <c r="Q38">
        <v>2</v>
      </c>
      <c r="R38" s="2">
        <v>51.476399999999998</v>
      </c>
      <c r="S38" t="s">
        <v>58</v>
      </c>
      <c r="T38" s="10">
        <v>5</v>
      </c>
      <c r="U38" t="s">
        <v>195</v>
      </c>
    </row>
    <row r="39" spans="1:21" x14ac:dyDescent="0.2">
      <c r="A39" t="s">
        <v>242</v>
      </c>
      <c r="B39" s="1">
        <v>41890</v>
      </c>
      <c r="C39" s="1">
        <v>41894</v>
      </c>
      <c r="D39" t="s">
        <v>39</v>
      </c>
      <c r="E39" t="s">
        <v>243</v>
      </c>
      <c r="F39" t="s">
        <v>244</v>
      </c>
      <c r="G39" t="s">
        <v>24</v>
      </c>
      <c r="H39" t="s">
        <v>25</v>
      </c>
      <c r="I39" t="s">
        <v>245</v>
      </c>
      <c r="J39" t="s">
        <v>92</v>
      </c>
      <c r="K39" t="s">
        <v>93</v>
      </c>
      <c r="L39" t="s">
        <v>246</v>
      </c>
      <c r="M39" t="s">
        <v>30</v>
      </c>
      <c r="N39" t="s">
        <v>36</v>
      </c>
      <c r="O39" t="s">
        <v>247</v>
      </c>
      <c r="P39" s="2">
        <v>1740.06</v>
      </c>
      <c r="Q39">
        <v>9</v>
      </c>
      <c r="R39" s="2">
        <v>-24.858000000000001</v>
      </c>
      <c r="S39" t="s">
        <v>83</v>
      </c>
      <c r="T39" s="10">
        <v>4</v>
      </c>
      <c r="U39" t="s">
        <v>77</v>
      </c>
    </row>
    <row r="40" spans="1:21" x14ac:dyDescent="0.2">
      <c r="A40" t="s">
        <v>248</v>
      </c>
      <c r="B40" s="1">
        <v>41856</v>
      </c>
      <c r="C40" s="1">
        <v>41860</v>
      </c>
      <c r="D40" t="s">
        <v>39</v>
      </c>
      <c r="E40" t="s">
        <v>249</v>
      </c>
      <c r="F40" t="s">
        <v>250</v>
      </c>
      <c r="G40" t="s">
        <v>24</v>
      </c>
      <c r="H40" t="s">
        <v>25</v>
      </c>
      <c r="I40" t="s">
        <v>52</v>
      </c>
      <c r="J40" t="s">
        <v>53</v>
      </c>
      <c r="K40" t="s">
        <v>54</v>
      </c>
      <c r="L40" t="s">
        <v>251</v>
      </c>
      <c r="M40" t="s">
        <v>30</v>
      </c>
      <c r="N40" t="s">
        <v>36</v>
      </c>
      <c r="O40" t="s">
        <v>252</v>
      </c>
      <c r="P40" s="2">
        <v>340.14400000000001</v>
      </c>
      <c r="Q40">
        <v>7</v>
      </c>
      <c r="R40" s="2">
        <v>21.259</v>
      </c>
      <c r="S40" t="s">
        <v>83</v>
      </c>
      <c r="T40" s="10">
        <v>4</v>
      </c>
      <c r="U40" t="s">
        <v>253</v>
      </c>
    </row>
    <row r="41" spans="1:21" x14ac:dyDescent="0.2">
      <c r="A41" t="s">
        <v>254</v>
      </c>
      <c r="B41" s="1">
        <v>42329</v>
      </c>
      <c r="C41" s="1">
        <v>42331</v>
      </c>
      <c r="D41" t="s">
        <v>21</v>
      </c>
      <c r="E41" t="s">
        <v>138</v>
      </c>
      <c r="F41" t="s">
        <v>139</v>
      </c>
      <c r="G41" t="s">
        <v>24</v>
      </c>
      <c r="H41" t="s">
        <v>25</v>
      </c>
      <c r="I41" t="s">
        <v>230</v>
      </c>
      <c r="J41" t="s">
        <v>231</v>
      </c>
      <c r="K41" t="s">
        <v>67</v>
      </c>
      <c r="L41" t="s">
        <v>255</v>
      </c>
      <c r="M41" t="s">
        <v>30</v>
      </c>
      <c r="N41" t="s">
        <v>36</v>
      </c>
      <c r="O41" t="s">
        <v>256</v>
      </c>
      <c r="P41" s="2">
        <v>396.80200000000002</v>
      </c>
      <c r="Q41">
        <v>7</v>
      </c>
      <c r="R41" s="2">
        <v>-11.337199999999999</v>
      </c>
      <c r="S41" t="s">
        <v>70</v>
      </c>
      <c r="T41" s="10">
        <v>2</v>
      </c>
      <c r="U41" t="s">
        <v>34</v>
      </c>
    </row>
    <row r="42" spans="1:21" x14ac:dyDescent="0.2">
      <c r="A42" t="s">
        <v>257</v>
      </c>
      <c r="B42" s="1">
        <v>42289</v>
      </c>
      <c r="C42" s="1">
        <v>42291</v>
      </c>
      <c r="D42" t="s">
        <v>87</v>
      </c>
      <c r="E42" t="s">
        <v>258</v>
      </c>
      <c r="F42" t="s">
        <v>259</v>
      </c>
      <c r="G42" t="s">
        <v>100</v>
      </c>
      <c r="H42" t="s">
        <v>25</v>
      </c>
      <c r="I42" t="s">
        <v>173</v>
      </c>
      <c r="J42" t="s">
        <v>120</v>
      </c>
      <c r="K42" t="s">
        <v>67</v>
      </c>
      <c r="L42" t="s">
        <v>260</v>
      </c>
      <c r="M42" t="s">
        <v>30</v>
      </c>
      <c r="N42" t="s">
        <v>31</v>
      </c>
      <c r="O42" t="s">
        <v>261</v>
      </c>
      <c r="P42" s="2">
        <v>899.13599999999997</v>
      </c>
      <c r="Q42">
        <v>4</v>
      </c>
      <c r="R42" s="2">
        <v>112.392</v>
      </c>
      <c r="S42" t="s">
        <v>70</v>
      </c>
      <c r="T42" s="10">
        <v>2</v>
      </c>
      <c r="U42" t="s">
        <v>48</v>
      </c>
    </row>
    <row r="43" spans="1:21" x14ac:dyDescent="0.2">
      <c r="A43" t="s">
        <v>257</v>
      </c>
      <c r="B43" s="1">
        <v>42289</v>
      </c>
      <c r="C43" s="1">
        <v>42291</v>
      </c>
      <c r="D43" t="s">
        <v>87</v>
      </c>
      <c r="E43" t="s">
        <v>258</v>
      </c>
      <c r="F43" t="s">
        <v>259</v>
      </c>
      <c r="G43" t="s">
        <v>100</v>
      </c>
      <c r="H43" t="s">
        <v>25</v>
      </c>
      <c r="I43" t="s">
        <v>173</v>
      </c>
      <c r="J43" t="s">
        <v>120</v>
      </c>
      <c r="K43" t="s">
        <v>67</v>
      </c>
      <c r="L43" t="s">
        <v>102</v>
      </c>
      <c r="M43" t="s">
        <v>30</v>
      </c>
      <c r="N43" t="s">
        <v>31</v>
      </c>
      <c r="O43" t="s">
        <v>103</v>
      </c>
      <c r="P43" s="2">
        <v>626.35199999999998</v>
      </c>
      <c r="Q43">
        <v>3</v>
      </c>
      <c r="R43" s="2">
        <v>46.976399999999998</v>
      </c>
      <c r="S43" t="s">
        <v>70</v>
      </c>
      <c r="T43" s="10">
        <v>2</v>
      </c>
      <c r="U43" t="s">
        <v>48</v>
      </c>
    </row>
    <row r="44" spans="1:21" x14ac:dyDescent="0.2">
      <c r="A44" t="s">
        <v>262</v>
      </c>
      <c r="B44" s="1">
        <v>41854</v>
      </c>
      <c r="C44" s="1">
        <v>41856</v>
      </c>
      <c r="D44" t="s">
        <v>87</v>
      </c>
      <c r="E44" t="s">
        <v>263</v>
      </c>
      <c r="F44" t="s">
        <v>264</v>
      </c>
      <c r="G44" t="s">
        <v>24</v>
      </c>
      <c r="H44" t="s">
        <v>25</v>
      </c>
      <c r="I44" t="s">
        <v>265</v>
      </c>
      <c r="J44" t="s">
        <v>180</v>
      </c>
      <c r="K44" t="s">
        <v>54</v>
      </c>
      <c r="L44" t="s">
        <v>266</v>
      </c>
      <c r="M44" t="s">
        <v>30</v>
      </c>
      <c r="N44" t="s">
        <v>45</v>
      </c>
      <c r="O44" t="s">
        <v>267</v>
      </c>
      <c r="P44" s="2">
        <v>218.75</v>
      </c>
      <c r="Q44">
        <v>2</v>
      </c>
      <c r="R44" s="2">
        <v>-161.875</v>
      </c>
      <c r="S44" t="s">
        <v>70</v>
      </c>
      <c r="T44" s="10">
        <v>2</v>
      </c>
      <c r="U44" t="s">
        <v>253</v>
      </c>
    </row>
    <row r="45" spans="1:21" x14ac:dyDescent="0.2">
      <c r="A45" t="s">
        <v>268</v>
      </c>
      <c r="B45" s="1">
        <v>42889</v>
      </c>
      <c r="C45" s="1">
        <v>42893</v>
      </c>
      <c r="D45" t="s">
        <v>39</v>
      </c>
      <c r="E45" t="s">
        <v>269</v>
      </c>
      <c r="F45" t="s">
        <v>270</v>
      </c>
      <c r="G45" t="s">
        <v>90</v>
      </c>
      <c r="H45" t="s">
        <v>25</v>
      </c>
      <c r="I45" t="s">
        <v>237</v>
      </c>
      <c r="J45" t="s">
        <v>141</v>
      </c>
      <c r="K45" t="s">
        <v>28</v>
      </c>
      <c r="L45" t="s">
        <v>271</v>
      </c>
      <c r="M45" t="s">
        <v>30</v>
      </c>
      <c r="N45" t="s">
        <v>56</v>
      </c>
      <c r="O45" t="s">
        <v>272</v>
      </c>
      <c r="P45" s="2">
        <v>35.167999999999999</v>
      </c>
      <c r="Q45">
        <v>7</v>
      </c>
      <c r="R45" s="2">
        <v>9.6712000000000007</v>
      </c>
      <c r="S45" t="s">
        <v>83</v>
      </c>
      <c r="T45" s="10">
        <v>4</v>
      </c>
      <c r="U45" t="s">
        <v>59</v>
      </c>
    </row>
    <row r="46" spans="1:21" x14ac:dyDescent="0.2">
      <c r="A46" t="s">
        <v>273</v>
      </c>
      <c r="B46" s="1">
        <v>42006</v>
      </c>
      <c r="C46" s="1">
        <v>42013</v>
      </c>
      <c r="D46" t="s">
        <v>39</v>
      </c>
      <c r="E46" t="s">
        <v>274</v>
      </c>
      <c r="F46" t="s">
        <v>275</v>
      </c>
      <c r="G46" t="s">
        <v>90</v>
      </c>
      <c r="H46" t="s">
        <v>25</v>
      </c>
      <c r="I46" t="s">
        <v>276</v>
      </c>
      <c r="J46" t="s">
        <v>231</v>
      </c>
      <c r="K46" t="s">
        <v>67</v>
      </c>
      <c r="L46" t="s">
        <v>277</v>
      </c>
      <c r="M46" t="s">
        <v>30</v>
      </c>
      <c r="N46" t="s">
        <v>31</v>
      </c>
      <c r="O46" t="s">
        <v>278</v>
      </c>
      <c r="P46" s="2">
        <v>452.45</v>
      </c>
      <c r="Q46">
        <v>5</v>
      </c>
      <c r="R46" s="2">
        <v>-244.32300000000001</v>
      </c>
      <c r="S46" t="s">
        <v>47</v>
      </c>
      <c r="T46" s="10">
        <v>7</v>
      </c>
      <c r="U46" t="s">
        <v>169</v>
      </c>
    </row>
    <row r="47" spans="1:21" x14ac:dyDescent="0.2">
      <c r="A47" t="s">
        <v>279</v>
      </c>
      <c r="B47" s="1">
        <v>42362</v>
      </c>
      <c r="C47" s="1">
        <v>42365</v>
      </c>
      <c r="D47" t="s">
        <v>87</v>
      </c>
      <c r="E47" t="s">
        <v>280</v>
      </c>
      <c r="F47" t="s">
        <v>281</v>
      </c>
      <c r="G47" t="s">
        <v>24</v>
      </c>
      <c r="H47" t="s">
        <v>25</v>
      </c>
      <c r="I47" t="s">
        <v>282</v>
      </c>
      <c r="J47" t="s">
        <v>231</v>
      </c>
      <c r="K47" t="s">
        <v>67</v>
      </c>
      <c r="L47" t="s">
        <v>283</v>
      </c>
      <c r="M47" t="s">
        <v>30</v>
      </c>
      <c r="N47" t="s">
        <v>56</v>
      </c>
      <c r="O47" t="s">
        <v>284</v>
      </c>
      <c r="P47" s="2">
        <v>72.703999999999994</v>
      </c>
      <c r="Q47">
        <v>4</v>
      </c>
      <c r="R47" s="2">
        <v>19.084800000000001</v>
      </c>
      <c r="S47" t="s">
        <v>33</v>
      </c>
      <c r="T47" s="10">
        <v>3</v>
      </c>
      <c r="U47" t="s">
        <v>96</v>
      </c>
    </row>
    <row r="48" spans="1:21" x14ac:dyDescent="0.2">
      <c r="A48" t="s">
        <v>285</v>
      </c>
      <c r="B48" s="1">
        <v>42225</v>
      </c>
      <c r="C48" s="1">
        <v>42232</v>
      </c>
      <c r="D48" t="s">
        <v>39</v>
      </c>
      <c r="E48" t="s">
        <v>286</v>
      </c>
      <c r="F48" t="s">
        <v>287</v>
      </c>
      <c r="G48" t="s">
        <v>90</v>
      </c>
      <c r="H48" t="s">
        <v>25</v>
      </c>
      <c r="I48" t="s">
        <v>288</v>
      </c>
      <c r="J48" t="s">
        <v>289</v>
      </c>
      <c r="K48" t="s">
        <v>93</v>
      </c>
      <c r="L48" t="s">
        <v>290</v>
      </c>
      <c r="M48" t="s">
        <v>30</v>
      </c>
      <c r="N48" t="s">
        <v>45</v>
      </c>
      <c r="O48" t="s">
        <v>291</v>
      </c>
      <c r="P48" s="2">
        <v>622.45000000000005</v>
      </c>
      <c r="Q48">
        <v>5</v>
      </c>
      <c r="R48" s="2">
        <v>136.93899999999999</v>
      </c>
      <c r="S48" t="s">
        <v>47</v>
      </c>
      <c r="T48" s="10">
        <v>7</v>
      </c>
      <c r="U48" t="s">
        <v>253</v>
      </c>
    </row>
    <row r="49" spans="1:21" x14ac:dyDescent="0.2">
      <c r="A49" t="s">
        <v>292</v>
      </c>
      <c r="B49" s="1">
        <v>42063</v>
      </c>
      <c r="C49" s="1">
        <v>42067</v>
      </c>
      <c r="D49" t="s">
        <v>39</v>
      </c>
      <c r="E49" t="s">
        <v>293</v>
      </c>
      <c r="F49" t="s">
        <v>294</v>
      </c>
      <c r="G49" t="s">
        <v>24</v>
      </c>
      <c r="H49" t="s">
        <v>25</v>
      </c>
      <c r="I49" t="s">
        <v>157</v>
      </c>
      <c r="J49" t="s">
        <v>141</v>
      </c>
      <c r="K49" t="s">
        <v>28</v>
      </c>
      <c r="L49" t="s">
        <v>295</v>
      </c>
      <c r="M49" t="s">
        <v>30</v>
      </c>
      <c r="N49" t="s">
        <v>36</v>
      </c>
      <c r="O49" t="s">
        <v>296</v>
      </c>
      <c r="P49" s="2">
        <v>161.56800000000001</v>
      </c>
      <c r="Q49">
        <v>2</v>
      </c>
      <c r="R49" s="2">
        <v>-28.2744</v>
      </c>
      <c r="S49" t="s">
        <v>83</v>
      </c>
      <c r="T49" s="10">
        <v>4</v>
      </c>
      <c r="U49" t="s">
        <v>297</v>
      </c>
    </row>
    <row r="50" spans="1:21" x14ac:dyDescent="0.2">
      <c r="A50" t="s">
        <v>292</v>
      </c>
      <c r="B50" s="1">
        <v>42063</v>
      </c>
      <c r="C50" s="1">
        <v>42067</v>
      </c>
      <c r="D50" t="s">
        <v>39</v>
      </c>
      <c r="E50" t="s">
        <v>293</v>
      </c>
      <c r="F50" t="s">
        <v>294</v>
      </c>
      <c r="G50" t="s">
        <v>24</v>
      </c>
      <c r="H50" t="s">
        <v>25</v>
      </c>
      <c r="I50" t="s">
        <v>157</v>
      </c>
      <c r="J50" t="s">
        <v>141</v>
      </c>
      <c r="K50" t="s">
        <v>28</v>
      </c>
      <c r="L50" t="s">
        <v>298</v>
      </c>
      <c r="M50" t="s">
        <v>30</v>
      </c>
      <c r="N50" t="s">
        <v>36</v>
      </c>
      <c r="O50" t="s">
        <v>299</v>
      </c>
      <c r="P50" s="2">
        <v>389.69600000000003</v>
      </c>
      <c r="Q50">
        <v>8</v>
      </c>
      <c r="R50" s="2">
        <v>43.840800000000002</v>
      </c>
      <c r="S50" t="s">
        <v>83</v>
      </c>
      <c r="T50" s="10">
        <v>4</v>
      </c>
      <c r="U50" t="s">
        <v>297</v>
      </c>
    </row>
    <row r="51" spans="1:21" x14ac:dyDescent="0.2">
      <c r="A51" t="s">
        <v>300</v>
      </c>
      <c r="B51" s="1">
        <v>42832</v>
      </c>
      <c r="C51" s="1">
        <v>42837</v>
      </c>
      <c r="D51" t="s">
        <v>39</v>
      </c>
      <c r="E51" t="s">
        <v>301</v>
      </c>
      <c r="F51" t="s">
        <v>302</v>
      </c>
      <c r="G51" t="s">
        <v>100</v>
      </c>
      <c r="H51" t="s">
        <v>25</v>
      </c>
      <c r="I51" t="s">
        <v>303</v>
      </c>
      <c r="J51" t="s">
        <v>43</v>
      </c>
      <c r="K51" t="s">
        <v>28</v>
      </c>
      <c r="L51" t="s">
        <v>304</v>
      </c>
      <c r="M51" t="s">
        <v>30</v>
      </c>
      <c r="N51" t="s">
        <v>45</v>
      </c>
      <c r="O51" t="s">
        <v>305</v>
      </c>
      <c r="P51" s="2">
        <v>233.86</v>
      </c>
      <c r="Q51">
        <v>2</v>
      </c>
      <c r="R51" s="2">
        <v>-102.048</v>
      </c>
      <c r="S51" t="s">
        <v>58</v>
      </c>
      <c r="T51" s="10">
        <v>5</v>
      </c>
      <c r="U51" t="s">
        <v>113</v>
      </c>
    </row>
    <row r="52" spans="1:21" x14ac:dyDescent="0.2">
      <c r="A52" t="s">
        <v>300</v>
      </c>
      <c r="B52" s="1">
        <v>42832</v>
      </c>
      <c r="C52" s="1">
        <v>42837</v>
      </c>
      <c r="D52" t="s">
        <v>39</v>
      </c>
      <c r="E52" t="s">
        <v>301</v>
      </c>
      <c r="F52" t="s">
        <v>302</v>
      </c>
      <c r="G52" t="s">
        <v>100</v>
      </c>
      <c r="H52" t="s">
        <v>25</v>
      </c>
      <c r="I52" t="s">
        <v>303</v>
      </c>
      <c r="J52" t="s">
        <v>43</v>
      </c>
      <c r="K52" t="s">
        <v>28</v>
      </c>
      <c r="L52" t="s">
        <v>306</v>
      </c>
      <c r="M52" t="s">
        <v>30</v>
      </c>
      <c r="N52" t="s">
        <v>45</v>
      </c>
      <c r="O52" t="s">
        <v>307</v>
      </c>
      <c r="P52" s="2">
        <v>620.61450000000002</v>
      </c>
      <c r="Q52">
        <v>3</v>
      </c>
      <c r="R52" s="2">
        <v>-248.2458</v>
      </c>
      <c r="S52" t="s">
        <v>58</v>
      </c>
      <c r="T52" s="10">
        <v>5</v>
      </c>
      <c r="U52" t="s">
        <v>113</v>
      </c>
    </row>
    <row r="53" spans="1:21" x14ac:dyDescent="0.2">
      <c r="A53" t="s">
        <v>300</v>
      </c>
      <c r="B53" s="1">
        <v>42832</v>
      </c>
      <c r="C53" s="1">
        <v>42837</v>
      </c>
      <c r="D53" t="s">
        <v>39</v>
      </c>
      <c r="E53" t="s">
        <v>301</v>
      </c>
      <c r="F53" t="s">
        <v>302</v>
      </c>
      <c r="G53" t="s">
        <v>100</v>
      </c>
      <c r="H53" t="s">
        <v>25</v>
      </c>
      <c r="I53" t="s">
        <v>303</v>
      </c>
      <c r="J53" t="s">
        <v>43</v>
      </c>
      <c r="K53" t="s">
        <v>28</v>
      </c>
      <c r="L53" t="s">
        <v>308</v>
      </c>
      <c r="M53" t="s">
        <v>30</v>
      </c>
      <c r="N53" t="s">
        <v>56</v>
      </c>
      <c r="O53" t="s">
        <v>309</v>
      </c>
      <c r="P53" s="2">
        <v>258.072</v>
      </c>
      <c r="Q53">
        <v>3</v>
      </c>
      <c r="R53" s="2">
        <v>0</v>
      </c>
      <c r="S53" t="s">
        <v>58</v>
      </c>
      <c r="T53" s="10">
        <v>5</v>
      </c>
      <c r="U53" t="s">
        <v>113</v>
      </c>
    </row>
    <row r="54" spans="1:21" x14ac:dyDescent="0.2">
      <c r="A54" t="s">
        <v>310</v>
      </c>
      <c r="B54" s="1">
        <v>42525</v>
      </c>
      <c r="C54" s="1">
        <v>42530</v>
      </c>
      <c r="D54" t="s">
        <v>21</v>
      </c>
      <c r="E54" t="s">
        <v>311</v>
      </c>
      <c r="F54" t="s">
        <v>312</v>
      </c>
      <c r="G54" t="s">
        <v>24</v>
      </c>
      <c r="H54" t="s">
        <v>25</v>
      </c>
      <c r="I54" t="s">
        <v>133</v>
      </c>
      <c r="J54" t="s">
        <v>134</v>
      </c>
      <c r="K54" t="s">
        <v>93</v>
      </c>
      <c r="L54" t="s">
        <v>313</v>
      </c>
      <c r="M54" t="s">
        <v>30</v>
      </c>
      <c r="N54" t="s">
        <v>56</v>
      </c>
      <c r="O54" t="s">
        <v>314</v>
      </c>
      <c r="P54" s="2">
        <v>419.68</v>
      </c>
      <c r="Q54">
        <v>5</v>
      </c>
      <c r="R54" s="2">
        <v>-356.72800000000001</v>
      </c>
      <c r="S54" t="s">
        <v>58</v>
      </c>
      <c r="T54" s="10">
        <v>5</v>
      </c>
      <c r="U54" t="s">
        <v>59</v>
      </c>
    </row>
    <row r="55" spans="1:21" x14ac:dyDescent="0.2">
      <c r="A55" t="s">
        <v>310</v>
      </c>
      <c r="B55" s="1">
        <v>42525</v>
      </c>
      <c r="C55" s="1">
        <v>42530</v>
      </c>
      <c r="D55" t="s">
        <v>21</v>
      </c>
      <c r="E55" t="s">
        <v>311</v>
      </c>
      <c r="F55" t="s">
        <v>312</v>
      </c>
      <c r="G55" t="s">
        <v>24</v>
      </c>
      <c r="H55" t="s">
        <v>25</v>
      </c>
      <c r="I55" t="s">
        <v>133</v>
      </c>
      <c r="J55" t="s">
        <v>134</v>
      </c>
      <c r="K55" t="s">
        <v>93</v>
      </c>
      <c r="L55" t="s">
        <v>315</v>
      </c>
      <c r="M55" t="s">
        <v>30</v>
      </c>
      <c r="N55" t="s">
        <v>56</v>
      </c>
      <c r="O55" t="s">
        <v>316</v>
      </c>
      <c r="P55" s="2">
        <v>11.688000000000001</v>
      </c>
      <c r="Q55">
        <v>3</v>
      </c>
      <c r="R55" s="2">
        <v>-4.6752000000000002</v>
      </c>
      <c r="S55" t="s">
        <v>58</v>
      </c>
      <c r="T55" s="10">
        <v>5</v>
      </c>
      <c r="U55" t="s">
        <v>59</v>
      </c>
    </row>
    <row r="56" spans="1:21" x14ac:dyDescent="0.2">
      <c r="A56" t="s">
        <v>310</v>
      </c>
      <c r="B56" s="1">
        <v>42525</v>
      </c>
      <c r="C56" s="1">
        <v>42530</v>
      </c>
      <c r="D56" t="s">
        <v>21</v>
      </c>
      <c r="E56" t="s">
        <v>311</v>
      </c>
      <c r="F56" t="s">
        <v>312</v>
      </c>
      <c r="G56" t="s">
        <v>24</v>
      </c>
      <c r="H56" t="s">
        <v>25</v>
      </c>
      <c r="I56" t="s">
        <v>133</v>
      </c>
      <c r="J56" t="s">
        <v>134</v>
      </c>
      <c r="K56" t="s">
        <v>93</v>
      </c>
      <c r="L56" t="s">
        <v>317</v>
      </c>
      <c r="M56" t="s">
        <v>30</v>
      </c>
      <c r="N56" t="s">
        <v>45</v>
      </c>
      <c r="O56" t="s">
        <v>318</v>
      </c>
      <c r="P56" s="2">
        <v>177.22499999999999</v>
      </c>
      <c r="Q56">
        <v>5</v>
      </c>
      <c r="R56" s="2">
        <v>-120.51300000000001</v>
      </c>
      <c r="S56" t="s">
        <v>58</v>
      </c>
      <c r="T56" s="10">
        <v>5</v>
      </c>
      <c r="U56" t="s">
        <v>59</v>
      </c>
    </row>
    <row r="57" spans="1:21" x14ac:dyDescent="0.2">
      <c r="A57" t="s">
        <v>310</v>
      </c>
      <c r="B57" s="1">
        <v>42525</v>
      </c>
      <c r="C57" s="1">
        <v>42530</v>
      </c>
      <c r="D57" t="s">
        <v>21</v>
      </c>
      <c r="E57" t="s">
        <v>311</v>
      </c>
      <c r="F57" t="s">
        <v>312</v>
      </c>
      <c r="G57" t="s">
        <v>24</v>
      </c>
      <c r="H57" t="s">
        <v>25</v>
      </c>
      <c r="I57" t="s">
        <v>133</v>
      </c>
      <c r="J57" t="s">
        <v>134</v>
      </c>
      <c r="K57" t="s">
        <v>93</v>
      </c>
      <c r="L57" t="s">
        <v>319</v>
      </c>
      <c r="M57" t="s">
        <v>30</v>
      </c>
      <c r="N57" t="s">
        <v>56</v>
      </c>
      <c r="O57" t="s">
        <v>320</v>
      </c>
      <c r="P57" s="2">
        <v>4.0439999999999996</v>
      </c>
      <c r="Q57">
        <v>3</v>
      </c>
      <c r="R57" s="2">
        <v>-2.8308</v>
      </c>
      <c r="S57" t="s">
        <v>58</v>
      </c>
      <c r="T57" s="10">
        <v>5</v>
      </c>
      <c r="U57" t="s">
        <v>59</v>
      </c>
    </row>
    <row r="58" spans="1:21" x14ac:dyDescent="0.2">
      <c r="A58" t="s">
        <v>321</v>
      </c>
      <c r="B58" s="1">
        <v>41791</v>
      </c>
      <c r="C58" s="1">
        <v>41796</v>
      </c>
      <c r="D58" t="s">
        <v>21</v>
      </c>
      <c r="E58" t="s">
        <v>322</v>
      </c>
      <c r="F58" t="s">
        <v>323</v>
      </c>
      <c r="G58" t="s">
        <v>100</v>
      </c>
      <c r="H58" t="s">
        <v>25</v>
      </c>
      <c r="I58" t="s">
        <v>324</v>
      </c>
      <c r="J58" t="s">
        <v>166</v>
      </c>
      <c r="K58" t="s">
        <v>93</v>
      </c>
      <c r="L58" t="s">
        <v>206</v>
      </c>
      <c r="M58" t="s">
        <v>30</v>
      </c>
      <c r="N58" t="s">
        <v>36</v>
      </c>
      <c r="O58" t="s">
        <v>207</v>
      </c>
      <c r="P58" s="2">
        <v>2001.86</v>
      </c>
      <c r="Q58">
        <v>7</v>
      </c>
      <c r="R58" s="2">
        <v>580.5394</v>
      </c>
      <c r="S58" t="s">
        <v>58</v>
      </c>
      <c r="T58" s="10">
        <v>5</v>
      </c>
      <c r="U58" t="s">
        <v>59</v>
      </c>
    </row>
    <row r="59" spans="1:21" x14ac:dyDescent="0.2">
      <c r="A59" t="s">
        <v>325</v>
      </c>
      <c r="B59" s="1">
        <v>42714</v>
      </c>
      <c r="C59" s="1">
        <v>42719</v>
      </c>
      <c r="D59" t="s">
        <v>21</v>
      </c>
      <c r="E59" t="s">
        <v>326</v>
      </c>
      <c r="F59" t="s">
        <v>327</v>
      </c>
      <c r="G59" t="s">
        <v>24</v>
      </c>
      <c r="H59" t="s">
        <v>25</v>
      </c>
      <c r="I59" t="s">
        <v>328</v>
      </c>
      <c r="J59" t="s">
        <v>53</v>
      </c>
      <c r="K59" t="s">
        <v>54</v>
      </c>
      <c r="L59" t="s">
        <v>329</v>
      </c>
      <c r="M59" t="s">
        <v>30</v>
      </c>
      <c r="N59" t="s">
        <v>36</v>
      </c>
      <c r="O59" t="s">
        <v>330</v>
      </c>
      <c r="P59" s="2">
        <v>321.56799999999998</v>
      </c>
      <c r="Q59">
        <v>2</v>
      </c>
      <c r="R59" s="2">
        <v>28.1372</v>
      </c>
      <c r="S59" t="s">
        <v>58</v>
      </c>
      <c r="T59" s="10">
        <v>5</v>
      </c>
      <c r="U59" t="s">
        <v>96</v>
      </c>
    </row>
    <row r="60" spans="1:21" x14ac:dyDescent="0.2">
      <c r="A60" t="s">
        <v>331</v>
      </c>
      <c r="B60" s="1">
        <v>42336</v>
      </c>
      <c r="C60" s="1">
        <v>42342</v>
      </c>
      <c r="D60" t="s">
        <v>39</v>
      </c>
      <c r="E60" t="s">
        <v>332</v>
      </c>
      <c r="F60" t="s">
        <v>333</v>
      </c>
      <c r="G60" t="s">
        <v>90</v>
      </c>
      <c r="H60" t="s">
        <v>25</v>
      </c>
      <c r="I60" t="s">
        <v>133</v>
      </c>
      <c r="J60" t="s">
        <v>134</v>
      </c>
      <c r="K60" t="s">
        <v>93</v>
      </c>
      <c r="L60" t="s">
        <v>319</v>
      </c>
      <c r="M60" t="s">
        <v>30</v>
      </c>
      <c r="N60" t="s">
        <v>56</v>
      </c>
      <c r="O60" t="s">
        <v>320</v>
      </c>
      <c r="P60" s="2">
        <v>12.132</v>
      </c>
      <c r="Q60">
        <v>9</v>
      </c>
      <c r="R60" s="2">
        <v>-8.4923999999999999</v>
      </c>
      <c r="S60" t="s">
        <v>129</v>
      </c>
      <c r="T60" s="10">
        <v>6</v>
      </c>
      <c r="U60" t="s">
        <v>34</v>
      </c>
    </row>
    <row r="61" spans="1:21" x14ac:dyDescent="0.2">
      <c r="A61" t="s">
        <v>334</v>
      </c>
      <c r="B61" s="1">
        <v>42215</v>
      </c>
      <c r="C61" s="1">
        <v>42216</v>
      </c>
      <c r="D61" t="s">
        <v>87</v>
      </c>
      <c r="E61" t="s">
        <v>335</v>
      </c>
      <c r="F61" t="s">
        <v>336</v>
      </c>
      <c r="G61" t="s">
        <v>24</v>
      </c>
      <c r="H61" t="s">
        <v>25</v>
      </c>
      <c r="I61" t="s">
        <v>328</v>
      </c>
      <c r="J61" t="s">
        <v>53</v>
      </c>
      <c r="K61" t="s">
        <v>54</v>
      </c>
      <c r="L61" t="s">
        <v>337</v>
      </c>
      <c r="M61" t="s">
        <v>30</v>
      </c>
      <c r="N61" t="s">
        <v>56</v>
      </c>
      <c r="O61" t="s">
        <v>338</v>
      </c>
      <c r="P61" s="2">
        <v>5.28</v>
      </c>
      <c r="Q61">
        <v>3</v>
      </c>
      <c r="R61" s="2">
        <v>2.3231999999999999</v>
      </c>
      <c r="S61" t="s">
        <v>123</v>
      </c>
      <c r="T61" s="10">
        <v>1</v>
      </c>
      <c r="U61" t="s">
        <v>71</v>
      </c>
    </row>
    <row r="62" spans="1:21" x14ac:dyDescent="0.2">
      <c r="A62" t="s">
        <v>339</v>
      </c>
      <c r="B62" s="1">
        <v>42310</v>
      </c>
      <c r="C62" s="1">
        <v>42314</v>
      </c>
      <c r="D62" t="s">
        <v>39</v>
      </c>
      <c r="E62" t="s">
        <v>340</v>
      </c>
      <c r="F62" t="s">
        <v>341</v>
      </c>
      <c r="G62" t="s">
        <v>24</v>
      </c>
      <c r="H62" t="s">
        <v>25</v>
      </c>
      <c r="I62" t="s">
        <v>52</v>
      </c>
      <c r="J62" t="s">
        <v>53</v>
      </c>
      <c r="K62" t="s">
        <v>54</v>
      </c>
      <c r="L62" t="s">
        <v>342</v>
      </c>
      <c r="M62" t="s">
        <v>30</v>
      </c>
      <c r="N62" t="s">
        <v>45</v>
      </c>
      <c r="O62" t="s">
        <v>343</v>
      </c>
      <c r="P62" s="2">
        <v>1038.8399999999999</v>
      </c>
      <c r="Q62">
        <v>5</v>
      </c>
      <c r="R62" s="2">
        <v>51.942</v>
      </c>
      <c r="S62" t="s">
        <v>83</v>
      </c>
      <c r="T62" s="10">
        <v>4</v>
      </c>
      <c r="U62" t="s">
        <v>34</v>
      </c>
    </row>
    <row r="63" spans="1:21" x14ac:dyDescent="0.2">
      <c r="A63" t="s">
        <v>344</v>
      </c>
      <c r="B63" s="1">
        <v>42694</v>
      </c>
      <c r="C63" s="1">
        <v>42698</v>
      </c>
      <c r="D63" t="s">
        <v>21</v>
      </c>
      <c r="E63" t="s">
        <v>345</v>
      </c>
      <c r="F63" t="s">
        <v>346</v>
      </c>
      <c r="G63" t="s">
        <v>100</v>
      </c>
      <c r="H63" t="s">
        <v>25</v>
      </c>
      <c r="I63" t="s">
        <v>347</v>
      </c>
      <c r="J63" t="s">
        <v>231</v>
      </c>
      <c r="K63" t="s">
        <v>67</v>
      </c>
      <c r="L63" t="s">
        <v>348</v>
      </c>
      <c r="M63" t="s">
        <v>30</v>
      </c>
      <c r="N63" t="s">
        <v>31</v>
      </c>
      <c r="O63" t="s">
        <v>349</v>
      </c>
      <c r="P63" s="2">
        <v>86.97</v>
      </c>
      <c r="Q63">
        <v>3</v>
      </c>
      <c r="R63" s="2">
        <v>-48.703200000000002</v>
      </c>
      <c r="S63" t="s">
        <v>83</v>
      </c>
      <c r="T63" s="10">
        <v>4</v>
      </c>
      <c r="U63" t="s">
        <v>34</v>
      </c>
    </row>
    <row r="64" spans="1:21" x14ac:dyDescent="0.2">
      <c r="A64" t="s">
        <v>350</v>
      </c>
      <c r="B64" s="1">
        <v>41999</v>
      </c>
      <c r="C64" s="1">
        <v>42001</v>
      </c>
      <c r="D64" t="s">
        <v>87</v>
      </c>
      <c r="E64" t="s">
        <v>351</v>
      </c>
      <c r="F64" t="s">
        <v>352</v>
      </c>
      <c r="G64" t="s">
        <v>90</v>
      </c>
      <c r="H64" t="s">
        <v>25</v>
      </c>
      <c r="I64" t="s">
        <v>353</v>
      </c>
      <c r="J64" t="s">
        <v>180</v>
      </c>
      <c r="K64" t="s">
        <v>54</v>
      </c>
      <c r="L64" t="s">
        <v>354</v>
      </c>
      <c r="M64" t="s">
        <v>30</v>
      </c>
      <c r="N64" t="s">
        <v>56</v>
      </c>
      <c r="O64" t="s">
        <v>355</v>
      </c>
      <c r="P64" s="2">
        <v>300.416</v>
      </c>
      <c r="Q64">
        <v>8</v>
      </c>
      <c r="R64" s="2">
        <v>78.859200000000001</v>
      </c>
      <c r="S64" t="s">
        <v>70</v>
      </c>
      <c r="T64" s="10">
        <v>2</v>
      </c>
      <c r="U64" t="s">
        <v>96</v>
      </c>
    </row>
    <row r="65" spans="1:21" x14ac:dyDescent="0.2">
      <c r="A65" t="s">
        <v>350</v>
      </c>
      <c r="B65" s="1">
        <v>41999</v>
      </c>
      <c r="C65" s="1">
        <v>42001</v>
      </c>
      <c r="D65" t="s">
        <v>87</v>
      </c>
      <c r="E65" t="s">
        <v>351</v>
      </c>
      <c r="F65" t="s">
        <v>352</v>
      </c>
      <c r="G65" t="s">
        <v>90</v>
      </c>
      <c r="H65" t="s">
        <v>25</v>
      </c>
      <c r="I65" t="s">
        <v>353</v>
      </c>
      <c r="J65" t="s">
        <v>180</v>
      </c>
      <c r="K65" t="s">
        <v>54</v>
      </c>
      <c r="L65" t="s">
        <v>356</v>
      </c>
      <c r="M65" t="s">
        <v>30</v>
      </c>
      <c r="N65" t="s">
        <v>36</v>
      </c>
      <c r="O65" t="s">
        <v>357</v>
      </c>
      <c r="P65" s="2">
        <v>230.352</v>
      </c>
      <c r="Q65">
        <v>3</v>
      </c>
      <c r="R65" s="2">
        <v>20.155799999999999</v>
      </c>
      <c r="S65" t="s">
        <v>70</v>
      </c>
      <c r="T65" s="10">
        <v>2</v>
      </c>
      <c r="U65" t="s">
        <v>96</v>
      </c>
    </row>
    <row r="66" spans="1:21" x14ac:dyDescent="0.2">
      <c r="A66" t="s">
        <v>350</v>
      </c>
      <c r="B66" s="1">
        <v>41999</v>
      </c>
      <c r="C66" s="1">
        <v>42001</v>
      </c>
      <c r="D66" t="s">
        <v>87</v>
      </c>
      <c r="E66" t="s">
        <v>351</v>
      </c>
      <c r="F66" t="s">
        <v>352</v>
      </c>
      <c r="G66" t="s">
        <v>90</v>
      </c>
      <c r="H66" t="s">
        <v>25</v>
      </c>
      <c r="I66" t="s">
        <v>353</v>
      </c>
      <c r="J66" t="s">
        <v>180</v>
      </c>
      <c r="K66" t="s">
        <v>54</v>
      </c>
      <c r="L66" t="s">
        <v>358</v>
      </c>
      <c r="M66" t="s">
        <v>30</v>
      </c>
      <c r="N66" t="s">
        <v>56</v>
      </c>
      <c r="O66" t="s">
        <v>359</v>
      </c>
      <c r="P66" s="2">
        <v>218.352</v>
      </c>
      <c r="Q66">
        <v>3</v>
      </c>
      <c r="R66" s="2">
        <v>-24.564599999999999</v>
      </c>
      <c r="S66" t="s">
        <v>70</v>
      </c>
      <c r="T66" s="10">
        <v>2</v>
      </c>
      <c r="U66" t="s">
        <v>96</v>
      </c>
    </row>
    <row r="67" spans="1:21" x14ac:dyDescent="0.2">
      <c r="A67" t="s">
        <v>360</v>
      </c>
      <c r="B67" s="1">
        <v>42671</v>
      </c>
      <c r="C67" s="1">
        <v>42677</v>
      </c>
      <c r="D67" t="s">
        <v>39</v>
      </c>
      <c r="E67" t="s">
        <v>225</v>
      </c>
      <c r="F67" t="s">
        <v>226</v>
      </c>
      <c r="G67" t="s">
        <v>90</v>
      </c>
      <c r="H67" t="s">
        <v>25</v>
      </c>
      <c r="I67" t="s">
        <v>361</v>
      </c>
      <c r="J67" t="s">
        <v>362</v>
      </c>
      <c r="K67" t="s">
        <v>67</v>
      </c>
      <c r="L67" t="s">
        <v>363</v>
      </c>
      <c r="M67" t="s">
        <v>30</v>
      </c>
      <c r="N67" t="s">
        <v>56</v>
      </c>
      <c r="O67" t="s">
        <v>364</v>
      </c>
      <c r="P67" s="2">
        <v>77.599999999999994</v>
      </c>
      <c r="Q67">
        <v>4</v>
      </c>
      <c r="R67" s="2">
        <v>38.024000000000001</v>
      </c>
      <c r="S67" t="s">
        <v>129</v>
      </c>
      <c r="T67" s="10">
        <v>6</v>
      </c>
      <c r="U67" t="s">
        <v>48</v>
      </c>
    </row>
    <row r="68" spans="1:21" x14ac:dyDescent="0.2">
      <c r="A68" t="s">
        <v>365</v>
      </c>
      <c r="B68" s="1">
        <v>43058</v>
      </c>
      <c r="C68" s="1">
        <v>43062</v>
      </c>
      <c r="D68" t="s">
        <v>39</v>
      </c>
      <c r="E68" t="s">
        <v>366</v>
      </c>
      <c r="F68" t="s">
        <v>367</v>
      </c>
      <c r="G68" t="s">
        <v>24</v>
      </c>
      <c r="H68" t="s">
        <v>25</v>
      </c>
      <c r="I68" t="s">
        <v>133</v>
      </c>
      <c r="J68" t="s">
        <v>134</v>
      </c>
      <c r="K68" t="s">
        <v>93</v>
      </c>
      <c r="L68" t="s">
        <v>368</v>
      </c>
      <c r="M68" t="s">
        <v>30</v>
      </c>
      <c r="N68" t="s">
        <v>45</v>
      </c>
      <c r="O68" t="s">
        <v>369</v>
      </c>
      <c r="P68" s="2">
        <v>219.07499999999999</v>
      </c>
      <c r="Q68">
        <v>3</v>
      </c>
      <c r="R68" s="2">
        <v>-131.44499999999999</v>
      </c>
      <c r="S68" t="s">
        <v>83</v>
      </c>
      <c r="T68" s="10">
        <v>4</v>
      </c>
      <c r="U68" t="s">
        <v>34</v>
      </c>
    </row>
    <row r="69" spans="1:21" x14ac:dyDescent="0.2">
      <c r="A69" t="s">
        <v>370</v>
      </c>
      <c r="B69" s="1">
        <v>42128</v>
      </c>
      <c r="C69" s="1">
        <v>42133</v>
      </c>
      <c r="D69" t="s">
        <v>21</v>
      </c>
      <c r="E69" t="s">
        <v>371</v>
      </c>
      <c r="F69" t="s">
        <v>372</v>
      </c>
      <c r="G69" t="s">
        <v>90</v>
      </c>
      <c r="H69" t="s">
        <v>25</v>
      </c>
      <c r="I69" t="s">
        <v>173</v>
      </c>
      <c r="J69" t="s">
        <v>120</v>
      </c>
      <c r="K69" t="s">
        <v>67</v>
      </c>
      <c r="L69" t="s">
        <v>373</v>
      </c>
      <c r="M69" t="s">
        <v>30</v>
      </c>
      <c r="N69" t="s">
        <v>56</v>
      </c>
      <c r="O69" t="s">
        <v>374</v>
      </c>
      <c r="P69" s="2">
        <v>26.8</v>
      </c>
      <c r="Q69">
        <v>2</v>
      </c>
      <c r="R69" s="2">
        <v>12.864000000000001</v>
      </c>
      <c r="S69" t="s">
        <v>58</v>
      </c>
      <c r="T69" s="10">
        <v>5</v>
      </c>
      <c r="U69" t="s">
        <v>161</v>
      </c>
    </row>
    <row r="70" spans="1:21" x14ac:dyDescent="0.2">
      <c r="A70" t="s">
        <v>375</v>
      </c>
      <c r="B70" s="1">
        <v>42625</v>
      </c>
      <c r="C70" s="1">
        <v>42627</v>
      </c>
      <c r="D70" t="s">
        <v>21</v>
      </c>
      <c r="E70" t="s">
        <v>376</v>
      </c>
      <c r="F70" t="s">
        <v>377</v>
      </c>
      <c r="G70" t="s">
        <v>90</v>
      </c>
      <c r="H70" t="s">
        <v>25</v>
      </c>
      <c r="I70" t="s">
        <v>378</v>
      </c>
      <c r="J70" t="s">
        <v>180</v>
      </c>
      <c r="K70" t="s">
        <v>54</v>
      </c>
      <c r="L70" t="s">
        <v>379</v>
      </c>
      <c r="M70" t="s">
        <v>30</v>
      </c>
      <c r="N70" t="s">
        <v>56</v>
      </c>
      <c r="O70" t="s">
        <v>380</v>
      </c>
      <c r="P70" s="2">
        <v>15.135999999999999</v>
      </c>
      <c r="Q70">
        <v>4</v>
      </c>
      <c r="R70" s="2">
        <v>3.5948000000000002</v>
      </c>
      <c r="S70" t="s">
        <v>70</v>
      </c>
      <c r="T70" s="10">
        <v>2</v>
      </c>
      <c r="U70" t="s">
        <v>77</v>
      </c>
    </row>
    <row r="71" spans="1:21" x14ac:dyDescent="0.2">
      <c r="A71" t="s">
        <v>375</v>
      </c>
      <c r="B71" s="1">
        <v>42625</v>
      </c>
      <c r="C71" s="1">
        <v>42627</v>
      </c>
      <c r="D71" t="s">
        <v>21</v>
      </c>
      <c r="E71" t="s">
        <v>376</v>
      </c>
      <c r="F71" t="s">
        <v>377</v>
      </c>
      <c r="G71" t="s">
        <v>90</v>
      </c>
      <c r="H71" t="s">
        <v>25</v>
      </c>
      <c r="I71" t="s">
        <v>378</v>
      </c>
      <c r="J71" t="s">
        <v>180</v>
      </c>
      <c r="K71" t="s">
        <v>54</v>
      </c>
      <c r="L71" t="s">
        <v>381</v>
      </c>
      <c r="M71" t="s">
        <v>30</v>
      </c>
      <c r="N71" t="s">
        <v>36</v>
      </c>
      <c r="O71" t="s">
        <v>382</v>
      </c>
      <c r="P71" s="2">
        <v>466.76799999999997</v>
      </c>
      <c r="Q71">
        <v>2</v>
      </c>
      <c r="R71" s="2">
        <v>52.511400000000002</v>
      </c>
      <c r="S71" t="s">
        <v>70</v>
      </c>
      <c r="T71" s="10">
        <v>2</v>
      </c>
      <c r="U71" t="s">
        <v>77</v>
      </c>
    </row>
    <row r="72" spans="1:21" x14ac:dyDescent="0.2">
      <c r="A72" t="s">
        <v>375</v>
      </c>
      <c r="B72" s="1">
        <v>42625</v>
      </c>
      <c r="C72" s="1">
        <v>42627</v>
      </c>
      <c r="D72" t="s">
        <v>21</v>
      </c>
      <c r="E72" t="s">
        <v>376</v>
      </c>
      <c r="F72" t="s">
        <v>377</v>
      </c>
      <c r="G72" t="s">
        <v>90</v>
      </c>
      <c r="H72" t="s">
        <v>25</v>
      </c>
      <c r="I72" t="s">
        <v>378</v>
      </c>
      <c r="J72" t="s">
        <v>180</v>
      </c>
      <c r="K72" t="s">
        <v>54</v>
      </c>
      <c r="L72" t="s">
        <v>383</v>
      </c>
      <c r="M72" t="s">
        <v>30</v>
      </c>
      <c r="N72" t="s">
        <v>56</v>
      </c>
      <c r="O72" t="s">
        <v>384</v>
      </c>
      <c r="P72" s="2">
        <v>15.231999999999999</v>
      </c>
      <c r="Q72">
        <v>1</v>
      </c>
      <c r="R72" s="2">
        <v>1.7136</v>
      </c>
      <c r="S72" t="s">
        <v>70</v>
      </c>
      <c r="T72" s="10">
        <v>2</v>
      </c>
      <c r="U72" t="s">
        <v>77</v>
      </c>
    </row>
    <row r="73" spans="1:21" x14ac:dyDescent="0.2">
      <c r="A73" t="s">
        <v>385</v>
      </c>
      <c r="B73" s="1">
        <v>41909</v>
      </c>
      <c r="C73" s="1">
        <v>41915</v>
      </c>
      <c r="D73" t="s">
        <v>39</v>
      </c>
      <c r="E73" t="s">
        <v>386</v>
      </c>
      <c r="F73" t="s">
        <v>387</v>
      </c>
      <c r="G73" t="s">
        <v>90</v>
      </c>
      <c r="H73" t="s">
        <v>25</v>
      </c>
      <c r="I73" t="s">
        <v>388</v>
      </c>
      <c r="J73" t="s">
        <v>362</v>
      </c>
      <c r="K73" t="s">
        <v>67</v>
      </c>
      <c r="L73" t="s">
        <v>389</v>
      </c>
      <c r="M73" t="s">
        <v>30</v>
      </c>
      <c r="N73" t="s">
        <v>56</v>
      </c>
      <c r="O73" t="s">
        <v>390</v>
      </c>
      <c r="P73" s="2">
        <v>87.54</v>
      </c>
      <c r="Q73">
        <v>3</v>
      </c>
      <c r="R73" s="2">
        <v>37.642200000000003</v>
      </c>
      <c r="S73" t="s">
        <v>129</v>
      </c>
      <c r="T73" s="10">
        <v>6</v>
      </c>
      <c r="U73" t="s">
        <v>77</v>
      </c>
    </row>
    <row r="74" spans="1:21" x14ac:dyDescent="0.2">
      <c r="A74" t="s">
        <v>391</v>
      </c>
      <c r="B74" s="1">
        <v>41947</v>
      </c>
      <c r="C74" s="1">
        <v>41952</v>
      </c>
      <c r="D74" t="s">
        <v>39</v>
      </c>
      <c r="E74" t="s">
        <v>392</v>
      </c>
      <c r="F74" t="s">
        <v>393</v>
      </c>
      <c r="G74" t="s">
        <v>100</v>
      </c>
      <c r="H74" t="s">
        <v>25</v>
      </c>
      <c r="I74" t="s">
        <v>173</v>
      </c>
      <c r="J74" t="s">
        <v>120</v>
      </c>
      <c r="K74" t="s">
        <v>67</v>
      </c>
      <c r="L74" t="s">
        <v>394</v>
      </c>
      <c r="M74" t="s">
        <v>30</v>
      </c>
      <c r="N74" t="s">
        <v>36</v>
      </c>
      <c r="O74" t="s">
        <v>395</v>
      </c>
      <c r="P74" s="2">
        <v>135.88200000000001</v>
      </c>
      <c r="Q74">
        <v>1</v>
      </c>
      <c r="R74" s="2">
        <v>24.1568</v>
      </c>
      <c r="S74" t="s">
        <v>58</v>
      </c>
      <c r="T74" s="10">
        <v>5</v>
      </c>
      <c r="U74" t="s">
        <v>34</v>
      </c>
    </row>
    <row r="75" spans="1:21" x14ac:dyDescent="0.2">
      <c r="A75" t="s">
        <v>396</v>
      </c>
      <c r="B75" s="1">
        <v>43042</v>
      </c>
      <c r="C75" s="1">
        <v>43044</v>
      </c>
      <c r="D75" t="s">
        <v>21</v>
      </c>
      <c r="E75" t="s">
        <v>397</v>
      </c>
      <c r="F75" t="s">
        <v>398</v>
      </c>
      <c r="G75" t="s">
        <v>90</v>
      </c>
      <c r="H75" t="s">
        <v>25</v>
      </c>
      <c r="I75" t="s">
        <v>399</v>
      </c>
      <c r="J75" t="s">
        <v>141</v>
      </c>
      <c r="K75" t="s">
        <v>28</v>
      </c>
      <c r="L75" t="s">
        <v>400</v>
      </c>
      <c r="M75" t="s">
        <v>30</v>
      </c>
      <c r="N75" t="s">
        <v>56</v>
      </c>
      <c r="O75" t="s">
        <v>401</v>
      </c>
      <c r="P75" s="2">
        <v>15.992000000000001</v>
      </c>
      <c r="Q75">
        <v>1</v>
      </c>
      <c r="R75" s="2">
        <v>0.99950000000000006</v>
      </c>
      <c r="S75" t="s">
        <v>70</v>
      </c>
      <c r="T75" s="10">
        <v>2</v>
      </c>
      <c r="U75" t="s">
        <v>34</v>
      </c>
    </row>
    <row r="76" spans="1:21" x14ac:dyDescent="0.2">
      <c r="A76" t="s">
        <v>402</v>
      </c>
      <c r="B76" s="1">
        <v>42612</v>
      </c>
      <c r="C76" s="1">
        <v>42614</v>
      </c>
      <c r="D76" t="s">
        <v>87</v>
      </c>
      <c r="E76" t="s">
        <v>403</v>
      </c>
      <c r="F76" t="s">
        <v>404</v>
      </c>
      <c r="G76" t="s">
        <v>24</v>
      </c>
      <c r="H76" t="s">
        <v>25</v>
      </c>
      <c r="I76" t="s">
        <v>65</v>
      </c>
      <c r="J76" t="s">
        <v>66</v>
      </c>
      <c r="K76" t="s">
        <v>67</v>
      </c>
      <c r="L76" t="s">
        <v>405</v>
      </c>
      <c r="M76" t="s">
        <v>30</v>
      </c>
      <c r="N76" t="s">
        <v>36</v>
      </c>
      <c r="O76" t="s">
        <v>406</v>
      </c>
      <c r="P76" s="2">
        <v>786.74400000000003</v>
      </c>
      <c r="Q76">
        <v>4</v>
      </c>
      <c r="R76" s="2">
        <v>-258.5016</v>
      </c>
      <c r="S76" t="s">
        <v>70</v>
      </c>
      <c r="T76" s="10">
        <v>2</v>
      </c>
      <c r="U76" t="s">
        <v>253</v>
      </c>
    </row>
    <row r="77" spans="1:21" x14ac:dyDescent="0.2">
      <c r="A77" t="s">
        <v>407</v>
      </c>
      <c r="B77" s="1">
        <v>41832</v>
      </c>
      <c r="C77" s="1">
        <v>41837</v>
      </c>
      <c r="D77" t="s">
        <v>39</v>
      </c>
      <c r="E77" t="s">
        <v>408</v>
      </c>
      <c r="F77" t="s">
        <v>409</v>
      </c>
      <c r="G77" t="s">
        <v>90</v>
      </c>
      <c r="H77" t="s">
        <v>25</v>
      </c>
      <c r="I77" t="s">
        <v>328</v>
      </c>
      <c r="J77" t="s">
        <v>53</v>
      </c>
      <c r="K77" t="s">
        <v>54</v>
      </c>
      <c r="L77" t="s">
        <v>410</v>
      </c>
      <c r="M77" t="s">
        <v>30</v>
      </c>
      <c r="N77" t="s">
        <v>45</v>
      </c>
      <c r="O77" t="s">
        <v>411</v>
      </c>
      <c r="P77" s="2">
        <v>698.35199999999998</v>
      </c>
      <c r="Q77">
        <v>3</v>
      </c>
      <c r="R77" s="2">
        <v>-17.4588</v>
      </c>
      <c r="S77" t="s">
        <v>58</v>
      </c>
      <c r="T77" s="10">
        <v>5</v>
      </c>
      <c r="U77" t="s">
        <v>71</v>
      </c>
    </row>
    <row r="78" spans="1:21" x14ac:dyDescent="0.2">
      <c r="A78" t="s">
        <v>412</v>
      </c>
      <c r="B78" s="1">
        <v>42468</v>
      </c>
      <c r="C78" s="1">
        <v>42473</v>
      </c>
      <c r="D78" t="s">
        <v>39</v>
      </c>
      <c r="E78" t="s">
        <v>413</v>
      </c>
      <c r="F78" t="s">
        <v>414</v>
      </c>
      <c r="G78" t="s">
        <v>24</v>
      </c>
      <c r="H78" t="s">
        <v>25</v>
      </c>
      <c r="I78" t="s">
        <v>173</v>
      </c>
      <c r="J78" t="s">
        <v>120</v>
      </c>
      <c r="K78" t="s">
        <v>67</v>
      </c>
      <c r="L78" t="s">
        <v>415</v>
      </c>
      <c r="M78" t="s">
        <v>30</v>
      </c>
      <c r="N78" t="s">
        <v>31</v>
      </c>
      <c r="O78" t="s">
        <v>416</v>
      </c>
      <c r="P78" s="2">
        <v>388.70400000000001</v>
      </c>
      <c r="Q78">
        <v>6</v>
      </c>
      <c r="R78" s="2">
        <v>-4.8587999999999996</v>
      </c>
      <c r="S78" t="s">
        <v>58</v>
      </c>
      <c r="T78" s="10">
        <v>5</v>
      </c>
      <c r="U78" t="s">
        <v>113</v>
      </c>
    </row>
    <row r="79" spans="1:21" x14ac:dyDescent="0.2">
      <c r="A79" t="s">
        <v>417</v>
      </c>
      <c r="B79" s="1">
        <v>43003</v>
      </c>
      <c r="C79" s="1">
        <v>43009</v>
      </c>
      <c r="D79" t="s">
        <v>39</v>
      </c>
      <c r="E79" t="s">
        <v>418</v>
      </c>
      <c r="F79" t="s">
        <v>419</v>
      </c>
      <c r="G79" t="s">
        <v>24</v>
      </c>
      <c r="H79" t="s">
        <v>25</v>
      </c>
      <c r="I79" t="s">
        <v>173</v>
      </c>
      <c r="J79" t="s">
        <v>120</v>
      </c>
      <c r="K79" t="s">
        <v>67</v>
      </c>
      <c r="L79" t="s">
        <v>420</v>
      </c>
      <c r="M79" t="s">
        <v>30</v>
      </c>
      <c r="N79" t="s">
        <v>36</v>
      </c>
      <c r="O79" t="s">
        <v>421</v>
      </c>
      <c r="P79" s="2">
        <v>488.64600000000002</v>
      </c>
      <c r="Q79">
        <v>3</v>
      </c>
      <c r="R79" s="2">
        <v>86.870400000000004</v>
      </c>
      <c r="S79" t="s">
        <v>129</v>
      </c>
      <c r="T79" s="10">
        <v>6</v>
      </c>
      <c r="U79" t="s">
        <v>77</v>
      </c>
    </row>
    <row r="80" spans="1:21" x14ac:dyDescent="0.2">
      <c r="A80" t="s">
        <v>417</v>
      </c>
      <c r="B80" s="1">
        <v>43003</v>
      </c>
      <c r="C80" s="1">
        <v>43009</v>
      </c>
      <c r="D80" t="s">
        <v>39</v>
      </c>
      <c r="E80" t="s">
        <v>418</v>
      </c>
      <c r="F80" t="s">
        <v>419</v>
      </c>
      <c r="G80" t="s">
        <v>24</v>
      </c>
      <c r="H80" t="s">
        <v>25</v>
      </c>
      <c r="I80" t="s">
        <v>173</v>
      </c>
      <c r="J80" t="s">
        <v>120</v>
      </c>
      <c r="K80" t="s">
        <v>67</v>
      </c>
      <c r="L80" t="s">
        <v>422</v>
      </c>
      <c r="M80" t="s">
        <v>30</v>
      </c>
      <c r="N80" t="s">
        <v>56</v>
      </c>
      <c r="O80" t="s">
        <v>423</v>
      </c>
      <c r="P80" s="2">
        <v>47.12</v>
      </c>
      <c r="Q80">
        <v>8</v>
      </c>
      <c r="R80" s="2">
        <v>20.732800000000001</v>
      </c>
      <c r="S80" t="s">
        <v>129</v>
      </c>
      <c r="T80" s="10">
        <v>6</v>
      </c>
      <c r="U80" t="s">
        <v>77</v>
      </c>
    </row>
    <row r="81" spans="1:21" x14ac:dyDescent="0.2">
      <c r="A81" t="s">
        <v>424</v>
      </c>
      <c r="B81" s="1">
        <v>42664</v>
      </c>
      <c r="C81" s="1">
        <v>42664</v>
      </c>
      <c r="D81" t="s">
        <v>425</v>
      </c>
      <c r="E81" t="s">
        <v>426</v>
      </c>
      <c r="F81" t="s">
        <v>427</v>
      </c>
      <c r="G81" t="s">
        <v>90</v>
      </c>
      <c r="H81" t="s">
        <v>25</v>
      </c>
      <c r="I81" t="s">
        <v>428</v>
      </c>
      <c r="J81" t="s">
        <v>429</v>
      </c>
      <c r="K81" t="s">
        <v>67</v>
      </c>
      <c r="L81" t="s">
        <v>102</v>
      </c>
      <c r="M81" t="s">
        <v>30</v>
      </c>
      <c r="N81" t="s">
        <v>31</v>
      </c>
      <c r="O81" t="s">
        <v>103</v>
      </c>
      <c r="P81" s="2">
        <v>1043.92</v>
      </c>
      <c r="Q81">
        <v>4</v>
      </c>
      <c r="R81" s="2">
        <v>271.41919999999999</v>
      </c>
      <c r="S81" t="s">
        <v>430</v>
      </c>
      <c r="T81" s="10">
        <v>0</v>
      </c>
      <c r="U81" t="s">
        <v>48</v>
      </c>
    </row>
    <row r="82" spans="1:21" x14ac:dyDescent="0.2">
      <c r="A82" t="s">
        <v>431</v>
      </c>
      <c r="B82" s="1">
        <v>42974</v>
      </c>
      <c r="C82" s="1">
        <v>42979</v>
      </c>
      <c r="D82" t="s">
        <v>39</v>
      </c>
      <c r="E82" t="s">
        <v>432</v>
      </c>
      <c r="F82" t="s">
        <v>433</v>
      </c>
      <c r="G82" t="s">
        <v>90</v>
      </c>
      <c r="H82" t="s">
        <v>25</v>
      </c>
      <c r="I82" t="s">
        <v>237</v>
      </c>
      <c r="J82" t="s">
        <v>434</v>
      </c>
      <c r="K82" t="s">
        <v>67</v>
      </c>
      <c r="L82" t="s">
        <v>435</v>
      </c>
      <c r="M82" t="s">
        <v>30</v>
      </c>
      <c r="N82" t="s">
        <v>45</v>
      </c>
      <c r="O82" t="s">
        <v>436</v>
      </c>
      <c r="P82" s="2">
        <v>1488.424</v>
      </c>
      <c r="Q82">
        <v>7</v>
      </c>
      <c r="R82" s="2">
        <v>-297.6848</v>
      </c>
      <c r="S82" t="s">
        <v>58</v>
      </c>
      <c r="T82" s="10">
        <v>5</v>
      </c>
      <c r="U82" t="s">
        <v>253</v>
      </c>
    </row>
    <row r="83" spans="1:21" x14ac:dyDescent="0.2">
      <c r="A83" t="s">
        <v>437</v>
      </c>
      <c r="B83" s="1">
        <v>42335</v>
      </c>
      <c r="C83" s="1">
        <v>42340</v>
      </c>
      <c r="D83" t="s">
        <v>39</v>
      </c>
      <c r="E83" t="s">
        <v>438</v>
      </c>
      <c r="F83" t="s">
        <v>439</v>
      </c>
      <c r="G83" t="s">
        <v>24</v>
      </c>
      <c r="H83" t="s">
        <v>25</v>
      </c>
      <c r="I83" t="s">
        <v>440</v>
      </c>
      <c r="J83" t="s">
        <v>43</v>
      </c>
      <c r="K83" t="s">
        <v>28</v>
      </c>
      <c r="L83" t="s">
        <v>441</v>
      </c>
      <c r="M83" t="s">
        <v>30</v>
      </c>
      <c r="N83" t="s">
        <v>45</v>
      </c>
      <c r="O83" t="s">
        <v>442</v>
      </c>
      <c r="P83" s="2">
        <v>375.45749999999998</v>
      </c>
      <c r="Q83">
        <v>3</v>
      </c>
      <c r="R83" s="2">
        <v>-157.0095</v>
      </c>
      <c r="S83" t="s">
        <v>58</v>
      </c>
      <c r="T83" s="10">
        <v>5</v>
      </c>
      <c r="U83" t="s">
        <v>34</v>
      </c>
    </row>
    <row r="84" spans="1:21" x14ac:dyDescent="0.2">
      <c r="A84" t="s">
        <v>443</v>
      </c>
      <c r="B84" s="1">
        <v>42341</v>
      </c>
      <c r="C84" s="1">
        <v>42345</v>
      </c>
      <c r="D84" t="s">
        <v>39</v>
      </c>
      <c r="E84" t="s">
        <v>444</v>
      </c>
      <c r="F84" t="s">
        <v>445</v>
      </c>
      <c r="G84" t="s">
        <v>90</v>
      </c>
      <c r="H84" t="s">
        <v>25</v>
      </c>
      <c r="I84" t="s">
        <v>65</v>
      </c>
      <c r="J84" t="s">
        <v>66</v>
      </c>
      <c r="K84" t="s">
        <v>67</v>
      </c>
      <c r="L84" t="s">
        <v>446</v>
      </c>
      <c r="M84" t="s">
        <v>30</v>
      </c>
      <c r="N84" t="s">
        <v>56</v>
      </c>
      <c r="O84" t="s">
        <v>447</v>
      </c>
      <c r="P84" s="2">
        <v>2.96</v>
      </c>
      <c r="Q84">
        <v>1</v>
      </c>
      <c r="R84" s="2">
        <v>0.77700000000000002</v>
      </c>
      <c r="S84" t="s">
        <v>83</v>
      </c>
      <c r="T84" s="10">
        <v>4</v>
      </c>
      <c r="U84" t="s">
        <v>96</v>
      </c>
    </row>
    <row r="85" spans="1:21" x14ac:dyDescent="0.2">
      <c r="A85" t="s">
        <v>448</v>
      </c>
      <c r="B85" s="1">
        <v>42621</v>
      </c>
      <c r="C85" s="1">
        <v>42623</v>
      </c>
      <c r="D85" t="s">
        <v>21</v>
      </c>
      <c r="E85" t="s">
        <v>449</v>
      </c>
      <c r="F85" t="s">
        <v>450</v>
      </c>
      <c r="G85" t="s">
        <v>24</v>
      </c>
      <c r="H85" t="s">
        <v>25</v>
      </c>
      <c r="I85" t="s">
        <v>101</v>
      </c>
      <c r="J85" t="s">
        <v>92</v>
      </c>
      <c r="K85" t="s">
        <v>93</v>
      </c>
      <c r="L85" t="s">
        <v>81</v>
      </c>
      <c r="M85" t="s">
        <v>30</v>
      </c>
      <c r="N85" t="s">
        <v>31</v>
      </c>
      <c r="O85" t="s">
        <v>82</v>
      </c>
      <c r="P85" s="2">
        <v>2396.2656000000002</v>
      </c>
      <c r="Q85">
        <v>4</v>
      </c>
      <c r="R85" s="2">
        <v>-317.15280000000001</v>
      </c>
      <c r="S85" t="s">
        <v>70</v>
      </c>
      <c r="T85" s="10">
        <v>2</v>
      </c>
      <c r="U85" t="s">
        <v>77</v>
      </c>
    </row>
    <row r="86" spans="1:21" x14ac:dyDescent="0.2">
      <c r="A86" t="s">
        <v>451</v>
      </c>
      <c r="B86" s="1">
        <v>43077</v>
      </c>
      <c r="C86" s="1">
        <v>43081</v>
      </c>
      <c r="D86" t="s">
        <v>39</v>
      </c>
      <c r="E86" t="s">
        <v>452</v>
      </c>
      <c r="F86" t="s">
        <v>453</v>
      </c>
      <c r="G86" t="s">
        <v>24</v>
      </c>
      <c r="H86" t="s">
        <v>25</v>
      </c>
      <c r="I86" t="s">
        <v>328</v>
      </c>
      <c r="J86" t="s">
        <v>53</v>
      </c>
      <c r="K86" t="s">
        <v>54</v>
      </c>
      <c r="L86" t="s">
        <v>454</v>
      </c>
      <c r="M86" t="s">
        <v>30</v>
      </c>
      <c r="N86" t="s">
        <v>45</v>
      </c>
      <c r="O86" t="s">
        <v>455</v>
      </c>
      <c r="P86" s="2">
        <v>1004.024</v>
      </c>
      <c r="Q86">
        <v>7</v>
      </c>
      <c r="R86" s="2">
        <v>-112.95269999999999</v>
      </c>
      <c r="S86" t="s">
        <v>83</v>
      </c>
      <c r="T86" s="10">
        <v>4</v>
      </c>
      <c r="U86" t="s">
        <v>96</v>
      </c>
    </row>
    <row r="87" spans="1:21" x14ac:dyDescent="0.2">
      <c r="A87" t="s">
        <v>451</v>
      </c>
      <c r="B87" s="1">
        <v>43077</v>
      </c>
      <c r="C87" s="1">
        <v>43081</v>
      </c>
      <c r="D87" t="s">
        <v>39</v>
      </c>
      <c r="E87" t="s">
        <v>452</v>
      </c>
      <c r="F87" t="s">
        <v>453</v>
      </c>
      <c r="G87" t="s">
        <v>24</v>
      </c>
      <c r="H87" t="s">
        <v>25</v>
      </c>
      <c r="I87" t="s">
        <v>328</v>
      </c>
      <c r="J87" t="s">
        <v>53</v>
      </c>
      <c r="K87" t="s">
        <v>54</v>
      </c>
      <c r="L87" t="s">
        <v>456</v>
      </c>
      <c r="M87" t="s">
        <v>30</v>
      </c>
      <c r="N87" t="s">
        <v>31</v>
      </c>
      <c r="O87" t="s">
        <v>457</v>
      </c>
      <c r="P87" s="2">
        <v>1336.829</v>
      </c>
      <c r="Q87">
        <v>13</v>
      </c>
      <c r="R87" s="2">
        <v>31.454799999999999</v>
      </c>
      <c r="S87" t="s">
        <v>83</v>
      </c>
      <c r="T87" s="10">
        <v>4</v>
      </c>
      <c r="U87" t="s">
        <v>96</v>
      </c>
    </row>
    <row r="88" spans="1:21" x14ac:dyDescent="0.2">
      <c r="A88" t="s">
        <v>451</v>
      </c>
      <c r="B88" s="1">
        <v>43077</v>
      </c>
      <c r="C88" s="1">
        <v>43081</v>
      </c>
      <c r="D88" t="s">
        <v>39</v>
      </c>
      <c r="E88" t="s">
        <v>452</v>
      </c>
      <c r="F88" t="s">
        <v>453</v>
      </c>
      <c r="G88" t="s">
        <v>24</v>
      </c>
      <c r="H88" t="s">
        <v>25</v>
      </c>
      <c r="I88" t="s">
        <v>328</v>
      </c>
      <c r="J88" t="s">
        <v>53</v>
      </c>
      <c r="K88" t="s">
        <v>54</v>
      </c>
      <c r="L88" t="s">
        <v>458</v>
      </c>
      <c r="M88" t="s">
        <v>30</v>
      </c>
      <c r="N88" t="s">
        <v>36</v>
      </c>
      <c r="O88" t="s">
        <v>459</v>
      </c>
      <c r="P88" s="2">
        <v>113.568</v>
      </c>
      <c r="Q88">
        <v>2</v>
      </c>
      <c r="R88" s="2">
        <v>-18.454799999999999</v>
      </c>
      <c r="S88" t="s">
        <v>83</v>
      </c>
      <c r="T88" s="10">
        <v>4</v>
      </c>
      <c r="U88" t="s">
        <v>96</v>
      </c>
    </row>
    <row r="89" spans="1:21" x14ac:dyDescent="0.2">
      <c r="A89" t="s">
        <v>460</v>
      </c>
      <c r="B89" s="1">
        <v>43042</v>
      </c>
      <c r="C89" s="1">
        <v>43046</v>
      </c>
      <c r="D89" t="s">
        <v>39</v>
      </c>
      <c r="E89" t="s">
        <v>461</v>
      </c>
      <c r="F89" t="s">
        <v>462</v>
      </c>
      <c r="G89" t="s">
        <v>90</v>
      </c>
      <c r="H89" t="s">
        <v>25</v>
      </c>
      <c r="I89" t="s">
        <v>191</v>
      </c>
      <c r="J89" t="s">
        <v>192</v>
      </c>
      <c r="K89" t="s">
        <v>54</v>
      </c>
      <c r="L89" t="s">
        <v>356</v>
      </c>
      <c r="M89" t="s">
        <v>30</v>
      </c>
      <c r="N89" t="s">
        <v>36</v>
      </c>
      <c r="O89" t="s">
        <v>357</v>
      </c>
      <c r="P89" s="2">
        <v>307.13600000000002</v>
      </c>
      <c r="Q89">
        <v>4</v>
      </c>
      <c r="R89" s="2">
        <v>26.874400000000001</v>
      </c>
      <c r="S89" t="s">
        <v>83</v>
      </c>
      <c r="T89" s="10">
        <v>4</v>
      </c>
      <c r="U89" t="s">
        <v>34</v>
      </c>
    </row>
    <row r="90" spans="1:21" x14ac:dyDescent="0.2">
      <c r="A90" t="s">
        <v>463</v>
      </c>
      <c r="B90" s="1">
        <v>42474</v>
      </c>
      <c r="C90" s="1">
        <v>42478</v>
      </c>
      <c r="D90" t="s">
        <v>39</v>
      </c>
      <c r="E90" t="s">
        <v>464</v>
      </c>
      <c r="F90" t="s">
        <v>465</v>
      </c>
      <c r="G90" t="s">
        <v>24</v>
      </c>
      <c r="H90" t="s">
        <v>25</v>
      </c>
      <c r="I90" t="s">
        <v>52</v>
      </c>
      <c r="J90" t="s">
        <v>53</v>
      </c>
      <c r="K90" t="s">
        <v>54</v>
      </c>
      <c r="L90" t="s">
        <v>466</v>
      </c>
      <c r="M90" t="s">
        <v>30</v>
      </c>
      <c r="N90" t="s">
        <v>36</v>
      </c>
      <c r="O90" t="s">
        <v>467</v>
      </c>
      <c r="P90" s="2">
        <v>383.8</v>
      </c>
      <c r="Q90">
        <v>5</v>
      </c>
      <c r="R90" s="2">
        <v>38.380000000000003</v>
      </c>
      <c r="S90" t="s">
        <v>83</v>
      </c>
      <c r="T90" s="10">
        <v>4</v>
      </c>
      <c r="U90" t="s">
        <v>113</v>
      </c>
    </row>
    <row r="91" spans="1:21" x14ac:dyDescent="0.2">
      <c r="A91" t="s">
        <v>468</v>
      </c>
      <c r="B91" s="1">
        <v>43027</v>
      </c>
      <c r="C91" s="1">
        <v>43031</v>
      </c>
      <c r="D91" t="s">
        <v>39</v>
      </c>
      <c r="E91" t="s">
        <v>469</v>
      </c>
      <c r="F91" t="s">
        <v>470</v>
      </c>
      <c r="G91" t="s">
        <v>90</v>
      </c>
      <c r="H91" t="s">
        <v>25</v>
      </c>
      <c r="I91" t="s">
        <v>471</v>
      </c>
      <c r="J91" t="s">
        <v>434</v>
      </c>
      <c r="K91" t="s">
        <v>67</v>
      </c>
      <c r="L91" t="s">
        <v>472</v>
      </c>
      <c r="M91" t="s">
        <v>30</v>
      </c>
      <c r="N91" t="s">
        <v>56</v>
      </c>
      <c r="O91" t="s">
        <v>473</v>
      </c>
      <c r="P91" s="2">
        <v>56.56</v>
      </c>
      <c r="Q91">
        <v>4</v>
      </c>
      <c r="R91" s="2">
        <v>14.7056</v>
      </c>
      <c r="S91" t="s">
        <v>83</v>
      </c>
      <c r="T91" s="10">
        <v>4</v>
      </c>
      <c r="U91" t="s">
        <v>48</v>
      </c>
    </row>
    <row r="92" spans="1:21" x14ac:dyDescent="0.2">
      <c r="A92" t="s">
        <v>474</v>
      </c>
      <c r="B92" s="1">
        <v>42968</v>
      </c>
      <c r="C92" s="1">
        <v>42970</v>
      </c>
      <c r="D92" t="s">
        <v>21</v>
      </c>
      <c r="E92" t="s">
        <v>475</v>
      </c>
      <c r="F92" t="s">
        <v>476</v>
      </c>
      <c r="G92" t="s">
        <v>24</v>
      </c>
      <c r="H92" t="s">
        <v>25</v>
      </c>
      <c r="I92" t="s">
        <v>477</v>
      </c>
      <c r="J92" t="s">
        <v>478</v>
      </c>
      <c r="K92" t="s">
        <v>28</v>
      </c>
      <c r="L92" t="s">
        <v>479</v>
      </c>
      <c r="M92" t="s">
        <v>30</v>
      </c>
      <c r="N92" t="s">
        <v>36</v>
      </c>
      <c r="O92" t="s">
        <v>480</v>
      </c>
      <c r="P92" s="2">
        <v>866.4</v>
      </c>
      <c r="Q92">
        <v>4</v>
      </c>
      <c r="R92" s="2">
        <v>225.26400000000001</v>
      </c>
      <c r="S92" t="s">
        <v>70</v>
      </c>
      <c r="T92" s="10">
        <v>2</v>
      </c>
      <c r="U92" t="s">
        <v>253</v>
      </c>
    </row>
    <row r="93" spans="1:21" x14ac:dyDescent="0.2">
      <c r="A93" t="s">
        <v>481</v>
      </c>
      <c r="B93" s="1">
        <v>43062</v>
      </c>
      <c r="C93" s="1">
        <v>43065</v>
      </c>
      <c r="D93" t="s">
        <v>21</v>
      </c>
      <c r="E93" t="s">
        <v>482</v>
      </c>
      <c r="F93" t="s">
        <v>483</v>
      </c>
      <c r="G93" t="s">
        <v>90</v>
      </c>
      <c r="H93" t="s">
        <v>25</v>
      </c>
      <c r="I93" t="s">
        <v>484</v>
      </c>
      <c r="J93" t="s">
        <v>289</v>
      </c>
      <c r="K93" t="s">
        <v>93</v>
      </c>
      <c r="L93" t="s">
        <v>485</v>
      </c>
      <c r="M93" t="s">
        <v>30</v>
      </c>
      <c r="N93" t="s">
        <v>56</v>
      </c>
      <c r="O93" t="s">
        <v>486</v>
      </c>
      <c r="P93" s="2">
        <v>28.4</v>
      </c>
      <c r="Q93">
        <v>2</v>
      </c>
      <c r="R93" s="2">
        <v>11.076000000000001</v>
      </c>
      <c r="S93" t="s">
        <v>33</v>
      </c>
      <c r="T93" s="10">
        <v>3</v>
      </c>
      <c r="U93" t="s">
        <v>34</v>
      </c>
    </row>
    <row r="94" spans="1:21" x14ac:dyDescent="0.2">
      <c r="A94" t="s">
        <v>487</v>
      </c>
      <c r="B94" s="1">
        <v>42755</v>
      </c>
      <c r="C94" s="1">
        <v>42758</v>
      </c>
      <c r="D94" t="s">
        <v>21</v>
      </c>
      <c r="E94" t="s">
        <v>184</v>
      </c>
      <c r="F94" t="s">
        <v>185</v>
      </c>
      <c r="G94" t="s">
        <v>90</v>
      </c>
      <c r="H94" t="s">
        <v>25</v>
      </c>
      <c r="I94" t="s">
        <v>173</v>
      </c>
      <c r="J94" t="s">
        <v>120</v>
      </c>
      <c r="K94" t="s">
        <v>67</v>
      </c>
      <c r="L94" t="s">
        <v>488</v>
      </c>
      <c r="M94" t="s">
        <v>30</v>
      </c>
      <c r="N94" t="s">
        <v>36</v>
      </c>
      <c r="O94" t="s">
        <v>489</v>
      </c>
      <c r="P94" s="2">
        <v>207.846</v>
      </c>
      <c r="Q94">
        <v>3</v>
      </c>
      <c r="R94" s="2">
        <v>2.3094000000000001</v>
      </c>
      <c r="S94" t="s">
        <v>33</v>
      </c>
      <c r="T94" s="10">
        <v>3</v>
      </c>
      <c r="U94" t="s">
        <v>169</v>
      </c>
    </row>
    <row r="95" spans="1:21" x14ac:dyDescent="0.2">
      <c r="A95" t="s">
        <v>490</v>
      </c>
      <c r="B95" s="1">
        <v>42618</v>
      </c>
      <c r="C95" s="1">
        <v>42620</v>
      </c>
      <c r="D95" t="s">
        <v>21</v>
      </c>
      <c r="E95" t="s">
        <v>491</v>
      </c>
      <c r="F95" t="s">
        <v>492</v>
      </c>
      <c r="G95" t="s">
        <v>24</v>
      </c>
      <c r="H95" t="s">
        <v>25</v>
      </c>
      <c r="I95" t="s">
        <v>288</v>
      </c>
      <c r="J95" t="s">
        <v>289</v>
      </c>
      <c r="K95" t="s">
        <v>93</v>
      </c>
      <c r="L95" t="s">
        <v>493</v>
      </c>
      <c r="M95" t="s">
        <v>30</v>
      </c>
      <c r="N95" t="s">
        <v>56</v>
      </c>
      <c r="O95" t="s">
        <v>494</v>
      </c>
      <c r="P95" s="2">
        <v>12.22</v>
      </c>
      <c r="Q95">
        <v>1</v>
      </c>
      <c r="R95" s="2">
        <v>3.6659999999999999</v>
      </c>
      <c r="S95" t="s">
        <v>70</v>
      </c>
      <c r="T95" s="10">
        <v>2</v>
      </c>
      <c r="U95" t="s">
        <v>77</v>
      </c>
    </row>
    <row r="96" spans="1:21" x14ac:dyDescent="0.2">
      <c r="A96" t="s">
        <v>490</v>
      </c>
      <c r="B96" s="1">
        <v>42618</v>
      </c>
      <c r="C96" s="1">
        <v>42620</v>
      </c>
      <c r="D96" t="s">
        <v>21</v>
      </c>
      <c r="E96" t="s">
        <v>491</v>
      </c>
      <c r="F96" t="s">
        <v>492</v>
      </c>
      <c r="G96" t="s">
        <v>24</v>
      </c>
      <c r="H96" t="s">
        <v>25</v>
      </c>
      <c r="I96" t="s">
        <v>288</v>
      </c>
      <c r="J96" t="s">
        <v>289</v>
      </c>
      <c r="K96" t="s">
        <v>93</v>
      </c>
      <c r="L96" t="s">
        <v>495</v>
      </c>
      <c r="M96" t="s">
        <v>30</v>
      </c>
      <c r="N96" t="s">
        <v>36</v>
      </c>
      <c r="O96" t="s">
        <v>496</v>
      </c>
      <c r="P96" s="2">
        <v>242.94</v>
      </c>
      <c r="Q96">
        <v>3</v>
      </c>
      <c r="R96" s="2">
        <v>29.152799999999999</v>
      </c>
      <c r="S96" t="s">
        <v>70</v>
      </c>
      <c r="T96" s="10">
        <v>2</v>
      </c>
      <c r="U96" t="s">
        <v>77</v>
      </c>
    </row>
    <row r="97" spans="1:21" x14ac:dyDescent="0.2">
      <c r="A97" t="s">
        <v>497</v>
      </c>
      <c r="B97" s="1">
        <v>42814</v>
      </c>
      <c r="C97" s="1">
        <v>42819</v>
      </c>
      <c r="D97" t="s">
        <v>21</v>
      </c>
      <c r="E97" t="s">
        <v>498</v>
      </c>
      <c r="F97" t="s">
        <v>499</v>
      </c>
      <c r="G97" t="s">
        <v>24</v>
      </c>
      <c r="H97" t="s">
        <v>25</v>
      </c>
      <c r="I97" t="s">
        <v>347</v>
      </c>
      <c r="J97" t="s">
        <v>110</v>
      </c>
      <c r="K97" t="s">
        <v>93</v>
      </c>
      <c r="L97" t="s">
        <v>500</v>
      </c>
      <c r="M97" t="s">
        <v>30</v>
      </c>
      <c r="N97" t="s">
        <v>56</v>
      </c>
      <c r="O97" t="s">
        <v>501</v>
      </c>
      <c r="P97" s="2">
        <v>2.91</v>
      </c>
      <c r="Q97">
        <v>1</v>
      </c>
      <c r="R97" s="2">
        <v>1.3676999999999999</v>
      </c>
      <c r="S97" t="s">
        <v>58</v>
      </c>
      <c r="T97" s="10">
        <v>5</v>
      </c>
      <c r="U97" t="s">
        <v>195</v>
      </c>
    </row>
    <row r="98" spans="1:21" x14ac:dyDescent="0.2">
      <c r="A98" t="s">
        <v>502</v>
      </c>
      <c r="B98" s="1">
        <v>43028</v>
      </c>
      <c r="C98" s="1">
        <v>43032</v>
      </c>
      <c r="D98" t="s">
        <v>39</v>
      </c>
      <c r="E98" t="s">
        <v>503</v>
      </c>
      <c r="F98" t="s">
        <v>504</v>
      </c>
      <c r="G98" t="s">
        <v>90</v>
      </c>
      <c r="H98" t="s">
        <v>25</v>
      </c>
      <c r="I98" t="s">
        <v>505</v>
      </c>
      <c r="J98" t="s">
        <v>231</v>
      </c>
      <c r="K98" t="s">
        <v>67</v>
      </c>
      <c r="L98" t="s">
        <v>60</v>
      </c>
      <c r="M98" t="s">
        <v>30</v>
      </c>
      <c r="N98" t="s">
        <v>45</v>
      </c>
      <c r="O98" t="s">
        <v>61</v>
      </c>
      <c r="P98" s="2">
        <v>284.36399999999998</v>
      </c>
      <c r="Q98">
        <v>2</v>
      </c>
      <c r="R98" s="2">
        <v>-75.830399999999997</v>
      </c>
      <c r="S98" t="s">
        <v>83</v>
      </c>
      <c r="T98" s="10">
        <v>4</v>
      </c>
      <c r="U98" t="s">
        <v>48</v>
      </c>
    </row>
    <row r="99" spans="1:21" x14ac:dyDescent="0.2">
      <c r="A99" t="s">
        <v>506</v>
      </c>
      <c r="B99" s="1">
        <v>41682</v>
      </c>
      <c r="C99" s="1">
        <v>41688</v>
      </c>
      <c r="D99" t="s">
        <v>39</v>
      </c>
      <c r="E99" t="s">
        <v>507</v>
      </c>
      <c r="F99" t="s">
        <v>508</v>
      </c>
      <c r="G99" t="s">
        <v>24</v>
      </c>
      <c r="H99" t="s">
        <v>25</v>
      </c>
      <c r="I99" t="s">
        <v>509</v>
      </c>
      <c r="J99" t="s">
        <v>53</v>
      </c>
      <c r="K99" t="s">
        <v>54</v>
      </c>
      <c r="L99" t="s">
        <v>510</v>
      </c>
      <c r="M99" t="s">
        <v>30</v>
      </c>
      <c r="N99" t="s">
        <v>36</v>
      </c>
      <c r="O99" t="s">
        <v>511</v>
      </c>
      <c r="P99" s="2">
        <v>129.56800000000001</v>
      </c>
      <c r="Q99">
        <v>2</v>
      </c>
      <c r="R99" s="2">
        <v>-24.294</v>
      </c>
      <c r="S99" t="s">
        <v>129</v>
      </c>
      <c r="T99" s="10">
        <v>6</v>
      </c>
      <c r="U99" t="s">
        <v>297</v>
      </c>
    </row>
    <row r="100" spans="1:21" x14ac:dyDescent="0.2">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s="2">
        <v>747.55799999999999</v>
      </c>
      <c r="Q100">
        <v>3</v>
      </c>
      <c r="R100" s="2">
        <v>-96.114599999999996</v>
      </c>
      <c r="S100" t="s">
        <v>58</v>
      </c>
      <c r="T100" s="10">
        <v>5</v>
      </c>
      <c r="U100" t="s">
        <v>77</v>
      </c>
    </row>
    <row r="101" spans="1:21" x14ac:dyDescent="0.2">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s="2">
        <v>23.56</v>
      </c>
      <c r="Q101">
        <v>5</v>
      </c>
      <c r="R101" s="2">
        <v>7.0679999999999996</v>
      </c>
      <c r="S101" t="s">
        <v>47</v>
      </c>
      <c r="T101" s="10">
        <v>7</v>
      </c>
      <c r="U101" t="s">
        <v>113</v>
      </c>
    </row>
    <row r="102" spans="1:21" x14ac:dyDescent="0.2">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s="2">
        <v>1272.6300000000001</v>
      </c>
      <c r="Q102">
        <v>6</v>
      </c>
      <c r="R102" s="2">
        <v>-814.48320000000001</v>
      </c>
      <c r="S102" t="s">
        <v>47</v>
      </c>
      <c r="T102" s="10">
        <v>7</v>
      </c>
      <c r="U102" t="s">
        <v>113</v>
      </c>
    </row>
    <row r="103" spans="1:21" x14ac:dyDescent="0.2">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s="2">
        <v>254.744</v>
      </c>
      <c r="Q103">
        <v>7</v>
      </c>
      <c r="R103" s="2">
        <v>-312.06139999999999</v>
      </c>
      <c r="S103" t="s">
        <v>47</v>
      </c>
      <c r="T103" s="10">
        <v>7</v>
      </c>
      <c r="U103" t="s">
        <v>169</v>
      </c>
    </row>
    <row r="104" spans="1:21" x14ac:dyDescent="0.2">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s="2">
        <v>205.33279999999999</v>
      </c>
      <c r="Q104">
        <v>2</v>
      </c>
      <c r="R104" s="2">
        <v>-36.235199999999999</v>
      </c>
      <c r="S104" t="s">
        <v>83</v>
      </c>
      <c r="T104" s="10">
        <v>4</v>
      </c>
      <c r="U104" t="s">
        <v>195</v>
      </c>
    </row>
    <row r="105" spans="1:21" x14ac:dyDescent="0.2">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s="2">
        <v>222.666</v>
      </c>
      <c r="Q105">
        <v>2</v>
      </c>
      <c r="R105" s="2">
        <v>10.478400000000001</v>
      </c>
      <c r="S105" t="s">
        <v>70</v>
      </c>
      <c r="T105" s="10">
        <v>2</v>
      </c>
      <c r="U105" t="s">
        <v>34</v>
      </c>
    </row>
    <row r="106" spans="1:21" x14ac:dyDescent="0.2">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s="2">
        <v>40.200000000000003</v>
      </c>
      <c r="Q106">
        <v>3</v>
      </c>
      <c r="R106" s="2">
        <v>19.295999999999999</v>
      </c>
      <c r="S106" t="s">
        <v>129</v>
      </c>
      <c r="T106" s="10">
        <v>6</v>
      </c>
      <c r="U106" t="s">
        <v>48</v>
      </c>
    </row>
    <row r="107" spans="1:21" x14ac:dyDescent="0.2">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s="2">
        <v>514.16499999999996</v>
      </c>
      <c r="Q107">
        <v>5</v>
      </c>
      <c r="R107" s="2">
        <v>-30.245000000000001</v>
      </c>
      <c r="S107" t="s">
        <v>33</v>
      </c>
      <c r="T107" s="10">
        <v>3</v>
      </c>
      <c r="U107" t="s">
        <v>59</v>
      </c>
    </row>
    <row r="108" spans="1:21" x14ac:dyDescent="0.2">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s="2">
        <v>189.88200000000001</v>
      </c>
      <c r="Q108">
        <v>3</v>
      </c>
      <c r="R108" s="2">
        <v>-94.941000000000003</v>
      </c>
      <c r="S108" t="s">
        <v>33</v>
      </c>
      <c r="T108" s="10">
        <v>3</v>
      </c>
      <c r="U108" t="s">
        <v>195</v>
      </c>
    </row>
    <row r="109" spans="1:21" x14ac:dyDescent="0.2">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s="2">
        <v>255.76</v>
      </c>
      <c r="Q109">
        <v>4</v>
      </c>
      <c r="R109" s="2">
        <v>81.843199999999996</v>
      </c>
      <c r="S109" t="s">
        <v>129</v>
      </c>
      <c r="T109" s="10">
        <v>6</v>
      </c>
      <c r="U109" t="s">
        <v>71</v>
      </c>
    </row>
    <row r="110" spans="1:21" x14ac:dyDescent="0.2">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s="2">
        <v>241.56800000000001</v>
      </c>
      <c r="Q110">
        <v>2</v>
      </c>
      <c r="R110" s="2">
        <v>18.117599999999999</v>
      </c>
      <c r="S110" t="s">
        <v>129</v>
      </c>
      <c r="T110" s="10">
        <v>6</v>
      </c>
      <c r="U110" t="s">
        <v>71</v>
      </c>
    </row>
    <row r="111" spans="1:21" x14ac:dyDescent="0.2">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s="2">
        <v>69.3</v>
      </c>
      <c r="Q111">
        <v>9</v>
      </c>
      <c r="R111" s="2">
        <v>22.869</v>
      </c>
      <c r="S111" t="s">
        <v>129</v>
      </c>
      <c r="T111" s="10">
        <v>6</v>
      </c>
      <c r="U111" t="s">
        <v>71</v>
      </c>
    </row>
    <row r="112" spans="1:21" x14ac:dyDescent="0.2">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s="2">
        <v>801.56799999999998</v>
      </c>
      <c r="Q112">
        <v>2</v>
      </c>
      <c r="R112" s="2">
        <v>50.097999999999999</v>
      </c>
      <c r="S112" t="s">
        <v>58</v>
      </c>
      <c r="T112" s="10">
        <v>5</v>
      </c>
      <c r="U112" t="s">
        <v>161</v>
      </c>
    </row>
    <row r="113" spans="1:21" x14ac:dyDescent="0.2">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s="2">
        <v>126.3</v>
      </c>
      <c r="Q113">
        <v>3</v>
      </c>
      <c r="R113" s="2">
        <v>40.415999999999997</v>
      </c>
      <c r="S113" t="s">
        <v>123</v>
      </c>
      <c r="T113" s="10">
        <v>1</v>
      </c>
      <c r="U113" t="s">
        <v>34</v>
      </c>
    </row>
    <row r="114" spans="1:21" x14ac:dyDescent="0.2">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s="2">
        <v>210.98</v>
      </c>
      <c r="Q114">
        <v>2</v>
      </c>
      <c r="R114" s="2">
        <v>21.097999999999999</v>
      </c>
      <c r="S114" t="s">
        <v>70</v>
      </c>
      <c r="T114" s="10">
        <v>2</v>
      </c>
      <c r="U114" t="s">
        <v>169</v>
      </c>
    </row>
    <row r="115" spans="1:21" x14ac:dyDescent="0.2">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s="2">
        <v>683.952</v>
      </c>
      <c r="Q115">
        <v>3</v>
      </c>
      <c r="R115" s="2">
        <v>42.747</v>
      </c>
      <c r="S115" t="s">
        <v>58</v>
      </c>
      <c r="T115" s="10">
        <v>5</v>
      </c>
      <c r="U115" t="s">
        <v>48</v>
      </c>
    </row>
    <row r="116" spans="1:21" x14ac:dyDescent="0.2">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s="2">
        <v>45.695999999999998</v>
      </c>
      <c r="Q116">
        <v>3</v>
      </c>
      <c r="R116" s="2">
        <v>5.1407999999999996</v>
      </c>
      <c r="S116" t="s">
        <v>58</v>
      </c>
      <c r="T116" s="10">
        <v>5</v>
      </c>
      <c r="U116" t="s">
        <v>48</v>
      </c>
    </row>
    <row r="117" spans="1:21" x14ac:dyDescent="0.2">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s="2">
        <v>190.72</v>
      </c>
      <c r="Q117">
        <v>1</v>
      </c>
      <c r="R117" s="2">
        <v>11.92</v>
      </c>
      <c r="S117" t="s">
        <v>70</v>
      </c>
      <c r="T117" s="10">
        <v>2</v>
      </c>
      <c r="U117" t="s">
        <v>34</v>
      </c>
    </row>
    <row r="118" spans="1:21" x14ac:dyDescent="0.2">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s="2">
        <v>47.94</v>
      </c>
      <c r="Q118">
        <v>3</v>
      </c>
      <c r="R118" s="2">
        <v>2.3969999999999998</v>
      </c>
      <c r="S118" t="s">
        <v>83</v>
      </c>
      <c r="T118" s="10">
        <v>4</v>
      </c>
      <c r="U118" t="s">
        <v>77</v>
      </c>
    </row>
    <row r="119" spans="1:21" x14ac:dyDescent="0.2">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s="2">
        <v>283.92</v>
      </c>
      <c r="Q119">
        <v>4</v>
      </c>
      <c r="R119" s="2">
        <v>70.98</v>
      </c>
      <c r="S119" t="s">
        <v>83</v>
      </c>
      <c r="T119" s="10">
        <v>4</v>
      </c>
      <c r="U119" t="s">
        <v>96</v>
      </c>
    </row>
    <row r="120" spans="1:21" x14ac:dyDescent="0.2">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s="2">
        <v>66.111999999999995</v>
      </c>
      <c r="Q120">
        <v>4</v>
      </c>
      <c r="R120" s="2">
        <v>-84.2928</v>
      </c>
      <c r="S120" t="s">
        <v>58</v>
      </c>
      <c r="T120" s="10">
        <v>5</v>
      </c>
      <c r="U120" t="s">
        <v>161</v>
      </c>
    </row>
    <row r="121" spans="1:21" x14ac:dyDescent="0.2">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s="2">
        <v>1121.568</v>
      </c>
      <c r="Q121">
        <v>2</v>
      </c>
      <c r="R121" s="2">
        <v>0</v>
      </c>
      <c r="S121" t="s">
        <v>70</v>
      </c>
      <c r="T121" s="10">
        <v>2</v>
      </c>
      <c r="U121" t="s">
        <v>113</v>
      </c>
    </row>
    <row r="122" spans="1:21" x14ac:dyDescent="0.2">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s="2">
        <v>34.503999999999998</v>
      </c>
      <c r="Q122">
        <v>1</v>
      </c>
      <c r="R122" s="2">
        <v>6.0381999999999998</v>
      </c>
      <c r="S122" t="s">
        <v>123</v>
      </c>
      <c r="T122" s="10">
        <v>1</v>
      </c>
      <c r="U122" t="s">
        <v>77</v>
      </c>
    </row>
    <row r="123" spans="1:21" x14ac:dyDescent="0.2">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s="2">
        <v>1335.68</v>
      </c>
      <c r="Q123">
        <v>4</v>
      </c>
      <c r="R123" s="2">
        <v>-217.048</v>
      </c>
      <c r="S123" t="s">
        <v>58</v>
      </c>
      <c r="T123" s="10">
        <v>5</v>
      </c>
      <c r="U123" t="s">
        <v>59</v>
      </c>
    </row>
    <row r="124" spans="1:21" x14ac:dyDescent="0.2">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s="2">
        <v>42.6</v>
      </c>
      <c r="Q124">
        <v>3</v>
      </c>
      <c r="R124" s="2">
        <v>16.614000000000001</v>
      </c>
      <c r="S124" t="s">
        <v>70</v>
      </c>
      <c r="T124" s="10">
        <v>2</v>
      </c>
      <c r="U124" t="s">
        <v>34</v>
      </c>
    </row>
    <row r="125" spans="1:21" x14ac:dyDescent="0.2">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s="2">
        <v>13.128</v>
      </c>
      <c r="Q125">
        <v>3</v>
      </c>
      <c r="R125" s="2">
        <v>3.7743000000000002</v>
      </c>
      <c r="S125" t="s">
        <v>83</v>
      </c>
      <c r="T125" s="10">
        <v>4</v>
      </c>
      <c r="U125" t="s">
        <v>77</v>
      </c>
    </row>
    <row r="126" spans="1:21" x14ac:dyDescent="0.2">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s="2">
        <v>451.15199999999999</v>
      </c>
      <c r="Q126">
        <v>3</v>
      </c>
      <c r="R126" s="2">
        <v>0</v>
      </c>
      <c r="S126" t="s">
        <v>47</v>
      </c>
      <c r="T126" s="10">
        <v>7</v>
      </c>
      <c r="U126" t="s">
        <v>48</v>
      </c>
    </row>
    <row r="127" spans="1:21" x14ac:dyDescent="0.2">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s="2">
        <v>8.7919999999999998</v>
      </c>
      <c r="Q127">
        <v>1</v>
      </c>
      <c r="R127" s="2">
        <v>-5.7148000000000003</v>
      </c>
      <c r="S127" t="s">
        <v>129</v>
      </c>
      <c r="T127" s="10">
        <v>6</v>
      </c>
      <c r="U127" t="s">
        <v>71</v>
      </c>
    </row>
    <row r="128" spans="1:21" x14ac:dyDescent="0.2">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s="2">
        <v>70.98</v>
      </c>
      <c r="Q128">
        <v>1</v>
      </c>
      <c r="R128" s="2">
        <v>4.9686000000000003</v>
      </c>
      <c r="S128" t="s">
        <v>129</v>
      </c>
      <c r="T128" s="10">
        <v>6</v>
      </c>
      <c r="U128" t="s">
        <v>71</v>
      </c>
    </row>
    <row r="129" spans="1:21" x14ac:dyDescent="0.2">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s="2">
        <v>327.76</v>
      </c>
      <c r="Q129">
        <v>8</v>
      </c>
      <c r="R129" s="2">
        <v>91.772800000000004</v>
      </c>
      <c r="S129" t="s">
        <v>47</v>
      </c>
      <c r="T129" s="10">
        <v>7</v>
      </c>
      <c r="U129" t="s">
        <v>253</v>
      </c>
    </row>
    <row r="130" spans="1:21" x14ac:dyDescent="0.2">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s="2">
        <v>45.695999999999998</v>
      </c>
      <c r="Q130">
        <v>3</v>
      </c>
      <c r="R130" s="2">
        <v>5.1407999999999996</v>
      </c>
      <c r="S130" t="s">
        <v>83</v>
      </c>
      <c r="T130" s="10">
        <v>4</v>
      </c>
      <c r="U130" t="s">
        <v>195</v>
      </c>
    </row>
    <row r="131" spans="1:21" x14ac:dyDescent="0.2">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s="2">
        <v>40.479999999999997</v>
      </c>
      <c r="Q131">
        <v>2</v>
      </c>
      <c r="R131" s="2">
        <v>15.7872</v>
      </c>
      <c r="S131" t="s">
        <v>58</v>
      </c>
      <c r="T131" s="10">
        <v>5</v>
      </c>
      <c r="U131" t="s">
        <v>253</v>
      </c>
    </row>
    <row r="132" spans="1:21" x14ac:dyDescent="0.2">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s="2">
        <v>9.94</v>
      </c>
      <c r="Q132">
        <v>2</v>
      </c>
      <c r="R132" s="2">
        <v>3.0813999999999999</v>
      </c>
      <c r="S132" t="s">
        <v>58</v>
      </c>
      <c r="T132" s="10">
        <v>5</v>
      </c>
      <c r="U132" t="s">
        <v>253</v>
      </c>
    </row>
    <row r="133" spans="1:21" x14ac:dyDescent="0.2">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s="2">
        <v>88.02</v>
      </c>
      <c r="Q133">
        <v>3</v>
      </c>
      <c r="R133" s="2">
        <v>27.286200000000001</v>
      </c>
      <c r="S133" t="s">
        <v>58</v>
      </c>
      <c r="T133" s="10">
        <v>5</v>
      </c>
      <c r="U133" t="s">
        <v>253</v>
      </c>
    </row>
    <row r="134" spans="1:21" x14ac:dyDescent="0.2">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s="2">
        <v>301.95999999999998</v>
      </c>
      <c r="Q134">
        <v>2</v>
      </c>
      <c r="R134" s="2">
        <v>87.568399999999997</v>
      </c>
      <c r="S134" t="s">
        <v>83</v>
      </c>
      <c r="T134" s="10">
        <v>4</v>
      </c>
      <c r="U134" t="s">
        <v>34</v>
      </c>
    </row>
    <row r="135" spans="1:21" x14ac:dyDescent="0.2">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s="2">
        <v>35.56</v>
      </c>
      <c r="Q135">
        <v>7</v>
      </c>
      <c r="R135" s="2">
        <v>12.090400000000001</v>
      </c>
      <c r="S135" t="s">
        <v>83</v>
      </c>
      <c r="T135" s="10">
        <v>4</v>
      </c>
      <c r="U135" t="s">
        <v>77</v>
      </c>
    </row>
    <row r="136" spans="1:21" x14ac:dyDescent="0.2">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s="2">
        <v>392.94</v>
      </c>
      <c r="Q136">
        <v>3</v>
      </c>
      <c r="R136" s="2">
        <v>43.223399999999998</v>
      </c>
      <c r="S136" t="s">
        <v>58</v>
      </c>
      <c r="T136" s="10">
        <v>5</v>
      </c>
      <c r="U136" t="s">
        <v>48</v>
      </c>
    </row>
    <row r="137" spans="1:21" x14ac:dyDescent="0.2">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s="2">
        <v>1049.2</v>
      </c>
      <c r="Q137">
        <v>5</v>
      </c>
      <c r="R137" s="2">
        <v>272.79199999999997</v>
      </c>
      <c r="S137" t="s">
        <v>58</v>
      </c>
      <c r="T137" s="10">
        <v>5</v>
      </c>
      <c r="U137" t="s">
        <v>161</v>
      </c>
    </row>
    <row r="138" spans="1:21" x14ac:dyDescent="0.2">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s="2">
        <v>18.84</v>
      </c>
      <c r="Q138">
        <v>3</v>
      </c>
      <c r="R138" s="2">
        <v>6.0288000000000004</v>
      </c>
      <c r="S138" t="s">
        <v>83</v>
      </c>
      <c r="T138" s="10">
        <v>4</v>
      </c>
      <c r="U138" t="s">
        <v>96</v>
      </c>
    </row>
    <row r="139" spans="1:21" x14ac:dyDescent="0.2">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s="2">
        <v>14.8</v>
      </c>
      <c r="Q139">
        <v>4</v>
      </c>
      <c r="R139" s="2">
        <v>6.0679999999999996</v>
      </c>
      <c r="S139" t="s">
        <v>58</v>
      </c>
      <c r="T139" s="10">
        <v>5</v>
      </c>
      <c r="U139" t="s">
        <v>96</v>
      </c>
    </row>
    <row r="140" spans="1:21" x14ac:dyDescent="0.2">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s="2">
        <v>701.37199999999996</v>
      </c>
      <c r="Q140">
        <v>2</v>
      </c>
      <c r="R140" s="2">
        <v>-50.097999999999999</v>
      </c>
      <c r="S140" t="s">
        <v>430</v>
      </c>
      <c r="T140" s="10">
        <v>0</v>
      </c>
      <c r="U140" t="s">
        <v>77</v>
      </c>
    </row>
    <row r="141" spans="1:21" x14ac:dyDescent="0.2">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s="2">
        <v>918.78499999999997</v>
      </c>
      <c r="Q141">
        <v>5</v>
      </c>
      <c r="R141" s="2">
        <v>-118.12949999999999</v>
      </c>
      <c r="S141" t="s">
        <v>83</v>
      </c>
      <c r="T141" s="10">
        <v>4</v>
      </c>
      <c r="U141" t="s">
        <v>253</v>
      </c>
    </row>
    <row r="142" spans="1:21" x14ac:dyDescent="0.2">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s="2">
        <v>30.36</v>
      </c>
      <c r="Q142">
        <v>5</v>
      </c>
      <c r="R142" s="2">
        <v>8.7285000000000004</v>
      </c>
      <c r="S142" t="s">
        <v>70</v>
      </c>
      <c r="T142" s="10">
        <v>2</v>
      </c>
      <c r="U142" t="s">
        <v>96</v>
      </c>
    </row>
    <row r="143" spans="1:21" x14ac:dyDescent="0.2">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s="2">
        <v>23.975999999999999</v>
      </c>
      <c r="Q143">
        <v>3</v>
      </c>
      <c r="R143" s="2">
        <v>-14.3856</v>
      </c>
      <c r="S143" t="s">
        <v>83</v>
      </c>
      <c r="T143" s="10">
        <v>4</v>
      </c>
      <c r="U143" t="s">
        <v>59</v>
      </c>
    </row>
    <row r="144" spans="1:21" x14ac:dyDescent="0.2">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s="2">
        <v>108.925</v>
      </c>
      <c r="Q144">
        <v>1</v>
      </c>
      <c r="R144" s="2">
        <v>-71.890500000000003</v>
      </c>
      <c r="S144" t="s">
        <v>83</v>
      </c>
      <c r="T144" s="10">
        <v>4</v>
      </c>
      <c r="U144" t="s">
        <v>59</v>
      </c>
    </row>
    <row r="145" spans="1:21" x14ac:dyDescent="0.2">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s="2">
        <v>82.524000000000001</v>
      </c>
      <c r="Q145">
        <v>3</v>
      </c>
      <c r="R145" s="2">
        <v>-41.262</v>
      </c>
      <c r="S145" t="s">
        <v>58</v>
      </c>
      <c r="T145" s="10">
        <v>5</v>
      </c>
      <c r="U145" t="s">
        <v>195</v>
      </c>
    </row>
    <row r="146" spans="1:21" x14ac:dyDescent="0.2">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s="2">
        <v>191.98400000000001</v>
      </c>
      <c r="Q146">
        <v>2</v>
      </c>
      <c r="R146" s="2">
        <v>4.7995999999999999</v>
      </c>
      <c r="S146" t="s">
        <v>83</v>
      </c>
      <c r="T146" s="10">
        <v>4</v>
      </c>
      <c r="U146" t="s">
        <v>96</v>
      </c>
    </row>
    <row r="147" spans="1:21" x14ac:dyDescent="0.2">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s="2">
        <v>104.01</v>
      </c>
      <c r="Q147">
        <v>1</v>
      </c>
      <c r="R147" s="2">
        <v>14.561400000000001</v>
      </c>
      <c r="S147" t="s">
        <v>70</v>
      </c>
      <c r="T147" s="10">
        <v>2</v>
      </c>
      <c r="U147" t="s">
        <v>59</v>
      </c>
    </row>
    <row r="148" spans="1:21" x14ac:dyDescent="0.2">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s="2">
        <v>15.071999999999999</v>
      </c>
      <c r="Q148">
        <v>3</v>
      </c>
      <c r="R148" s="2">
        <v>4.1448</v>
      </c>
      <c r="S148" t="s">
        <v>129</v>
      </c>
      <c r="T148" s="10">
        <v>6</v>
      </c>
      <c r="U148" t="s">
        <v>77</v>
      </c>
    </row>
    <row r="149" spans="1:21" x14ac:dyDescent="0.2">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s="2">
        <v>209.88</v>
      </c>
      <c r="Q149">
        <v>3</v>
      </c>
      <c r="R149" s="2">
        <v>35.679600000000001</v>
      </c>
      <c r="S149" t="s">
        <v>83</v>
      </c>
      <c r="T149" s="10">
        <v>4</v>
      </c>
      <c r="U149" t="s">
        <v>34</v>
      </c>
    </row>
    <row r="150" spans="1:21" x14ac:dyDescent="0.2">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s="2">
        <v>369.91199999999998</v>
      </c>
      <c r="Q150">
        <v>3</v>
      </c>
      <c r="R150" s="2">
        <v>-13.871700000000001</v>
      </c>
      <c r="S150" t="s">
        <v>58</v>
      </c>
      <c r="T150" s="10">
        <v>5</v>
      </c>
      <c r="U150" t="s">
        <v>113</v>
      </c>
    </row>
    <row r="151" spans="1:21" x14ac:dyDescent="0.2">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s="2">
        <v>883.92</v>
      </c>
      <c r="Q151">
        <v>5</v>
      </c>
      <c r="R151" s="2">
        <v>-110.49</v>
      </c>
      <c r="S151" t="s">
        <v>70</v>
      </c>
      <c r="T151" s="10">
        <v>2</v>
      </c>
      <c r="U151" t="s">
        <v>96</v>
      </c>
    </row>
    <row r="152" spans="1:21" x14ac:dyDescent="0.2">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s="2">
        <v>9.94</v>
      </c>
      <c r="Q152">
        <v>2</v>
      </c>
      <c r="R152" s="2">
        <v>3.0813999999999999</v>
      </c>
      <c r="S152" t="s">
        <v>33</v>
      </c>
      <c r="T152" s="10">
        <v>3</v>
      </c>
      <c r="U152" t="s">
        <v>169</v>
      </c>
    </row>
    <row r="153" spans="1:21" x14ac:dyDescent="0.2">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s="2">
        <v>103.056</v>
      </c>
      <c r="Q153">
        <v>3</v>
      </c>
      <c r="R153" s="2">
        <v>24.4758</v>
      </c>
      <c r="S153" t="s">
        <v>58</v>
      </c>
      <c r="T153" s="10">
        <v>5</v>
      </c>
      <c r="U153" t="s">
        <v>77</v>
      </c>
    </row>
    <row r="154" spans="1:21" x14ac:dyDescent="0.2">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s="2">
        <v>73.319999999999993</v>
      </c>
      <c r="Q154">
        <v>6</v>
      </c>
      <c r="R154" s="2">
        <v>21.995999999999999</v>
      </c>
      <c r="S154" t="s">
        <v>58</v>
      </c>
      <c r="T154" s="10">
        <v>5</v>
      </c>
      <c r="U154" t="s">
        <v>59</v>
      </c>
    </row>
    <row r="155" spans="1:21" x14ac:dyDescent="0.2">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s="2">
        <v>1652.94</v>
      </c>
      <c r="Q155">
        <v>3</v>
      </c>
      <c r="R155" s="2">
        <v>231.41159999999999</v>
      </c>
      <c r="S155" t="s">
        <v>83</v>
      </c>
      <c r="T155" s="10">
        <v>4</v>
      </c>
      <c r="U155" t="s">
        <v>96</v>
      </c>
    </row>
    <row r="156" spans="1:21" x14ac:dyDescent="0.2">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s="2">
        <v>129.91999999999999</v>
      </c>
      <c r="Q156">
        <v>5</v>
      </c>
      <c r="R156" s="2">
        <v>21.111999999999998</v>
      </c>
      <c r="S156" t="s">
        <v>129</v>
      </c>
      <c r="T156" s="10">
        <v>6</v>
      </c>
      <c r="U156" t="s">
        <v>48</v>
      </c>
    </row>
    <row r="157" spans="1:21" x14ac:dyDescent="0.2">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s="2">
        <v>400.03199999999998</v>
      </c>
      <c r="Q157">
        <v>2</v>
      </c>
      <c r="R157" s="2">
        <v>-153.34559999999999</v>
      </c>
      <c r="S157" t="s">
        <v>33</v>
      </c>
      <c r="T157" s="10">
        <v>3</v>
      </c>
      <c r="U157" t="s">
        <v>96</v>
      </c>
    </row>
    <row r="158" spans="1:21" x14ac:dyDescent="0.2">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s="2">
        <v>542.64599999999996</v>
      </c>
      <c r="Q158">
        <v>3</v>
      </c>
      <c r="R158" s="2">
        <v>102.49979999999999</v>
      </c>
      <c r="S158" t="s">
        <v>33</v>
      </c>
      <c r="T158" s="10">
        <v>3</v>
      </c>
      <c r="U158" t="s">
        <v>96</v>
      </c>
    </row>
    <row r="159" spans="1:21" x14ac:dyDescent="0.2">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s="2">
        <v>84.98</v>
      </c>
      <c r="Q159">
        <v>1</v>
      </c>
      <c r="R159" s="2">
        <v>18.695599999999999</v>
      </c>
      <c r="S159" t="s">
        <v>83</v>
      </c>
      <c r="T159" s="10">
        <v>4</v>
      </c>
      <c r="U159" t="s">
        <v>169</v>
      </c>
    </row>
    <row r="160" spans="1:21" x14ac:dyDescent="0.2">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s="2">
        <v>567.12</v>
      </c>
      <c r="Q160">
        <v>10</v>
      </c>
      <c r="R160" s="2">
        <v>-28.356000000000002</v>
      </c>
      <c r="S160" t="s">
        <v>430</v>
      </c>
      <c r="T160" s="10">
        <v>0</v>
      </c>
      <c r="U160" t="s">
        <v>161</v>
      </c>
    </row>
    <row r="161" spans="1:21" x14ac:dyDescent="0.2">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s="2">
        <v>157.74</v>
      </c>
      <c r="Q161">
        <v>11</v>
      </c>
      <c r="R161" s="2">
        <v>56.7864</v>
      </c>
      <c r="S161" t="s">
        <v>83</v>
      </c>
      <c r="T161" s="10">
        <v>4</v>
      </c>
      <c r="U161" t="s">
        <v>48</v>
      </c>
    </row>
    <row r="162" spans="1:21" x14ac:dyDescent="0.2">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s="2">
        <v>79.92</v>
      </c>
      <c r="Q162">
        <v>4</v>
      </c>
      <c r="R162" s="2">
        <v>28.7712</v>
      </c>
      <c r="S162" t="s">
        <v>58</v>
      </c>
      <c r="T162" s="10">
        <v>5</v>
      </c>
      <c r="U162" t="s">
        <v>96</v>
      </c>
    </row>
    <row r="163" spans="1:21" x14ac:dyDescent="0.2">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s="2">
        <v>383.43799999999999</v>
      </c>
      <c r="Q163">
        <v>4</v>
      </c>
      <c r="R163" s="2">
        <v>-167.3184</v>
      </c>
      <c r="S163" t="s">
        <v>83</v>
      </c>
      <c r="T163" s="10">
        <v>4</v>
      </c>
      <c r="U163" t="s">
        <v>77</v>
      </c>
    </row>
    <row r="164" spans="1:21" x14ac:dyDescent="0.2">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s="2">
        <v>310.88</v>
      </c>
      <c r="Q164">
        <v>2</v>
      </c>
      <c r="R164" s="2">
        <v>23.315999999999999</v>
      </c>
      <c r="S164" t="s">
        <v>129</v>
      </c>
      <c r="T164" s="10">
        <v>6</v>
      </c>
      <c r="U164" t="s">
        <v>161</v>
      </c>
    </row>
    <row r="165" spans="1:21" x14ac:dyDescent="0.2">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s="2">
        <v>641.96</v>
      </c>
      <c r="Q165">
        <v>2</v>
      </c>
      <c r="R165" s="2">
        <v>179.74879999999999</v>
      </c>
      <c r="S165" t="s">
        <v>58</v>
      </c>
      <c r="T165" s="10">
        <v>5</v>
      </c>
      <c r="U165" t="s">
        <v>161</v>
      </c>
    </row>
    <row r="166" spans="1:21" x14ac:dyDescent="0.2">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s="2">
        <v>34.58</v>
      </c>
      <c r="Q166">
        <v>7</v>
      </c>
      <c r="R166" s="2">
        <v>14.5236</v>
      </c>
      <c r="S166" t="s">
        <v>129</v>
      </c>
      <c r="T166" s="10">
        <v>6</v>
      </c>
      <c r="U166" t="s">
        <v>169</v>
      </c>
    </row>
    <row r="167" spans="1:21" x14ac:dyDescent="0.2">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s="2">
        <v>544.00800000000004</v>
      </c>
      <c r="Q167">
        <v>3</v>
      </c>
      <c r="R167" s="2">
        <v>40.800600000000003</v>
      </c>
      <c r="S167" t="s">
        <v>70</v>
      </c>
      <c r="T167" s="10">
        <v>2</v>
      </c>
      <c r="U167" t="s">
        <v>253</v>
      </c>
    </row>
    <row r="168" spans="1:21" x14ac:dyDescent="0.2">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s="2">
        <v>35.49</v>
      </c>
      <c r="Q168">
        <v>1</v>
      </c>
      <c r="R168" s="2">
        <v>-15.615600000000001</v>
      </c>
      <c r="S168" t="s">
        <v>33</v>
      </c>
      <c r="T168" s="10">
        <v>3</v>
      </c>
      <c r="U168" t="s">
        <v>48</v>
      </c>
    </row>
    <row r="169" spans="1:21" x14ac:dyDescent="0.2">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s="2">
        <v>348.928</v>
      </c>
      <c r="Q169">
        <v>2</v>
      </c>
      <c r="R169" s="2">
        <v>34.892800000000001</v>
      </c>
      <c r="S169" t="s">
        <v>83</v>
      </c>
      <c r="T169" s="10">
        <v>4</v>
      </c>
      <c r="U169" t="s">
        <v>96</v>
      </c>
    </row>
    <row r="170" spans="1:21" x14ac:dyDescent="0.2">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s="2">
        <v>332.94</v>
      </c>
      <c r="Q170">
        <v>3</v>
      </c>
      <c r="R170" s="2">
        <v>79.905600000000007</v>
      </c>
      <c r="S170" t="s">
        <v>83</v>
      </c>
      <c r="T170" s="10">
        <v>4</v>
      </c>
      <c r="U170" t="s">
        <v>59</v>
      </c>
    </row>
    <row r="171" spans="1:21" x14ac:dyDescent="0.2">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s="2">
        <v>283.92</v>
      </c>
      <c r="Q171">
        <v>5</v>
      </c>
      <c r="R171" s="2">
        <v>17.745000000000001</v>
      </c>
      <c r="S171" t="s">
        <v>129</v>
      </c>
      <c r="T171" s="10">
        <v>6</v>
      </c>
      <c r="U171" t="s">
        <v>34</v>
      </c>
    </row>
    <row r="172" spans="1:21" x14ac:dyDescent="0.2">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s="2">
        <v>22.23</v>
      </c>
      <c r="Q172">
        <v>1</v>
      </c>
      <c r="R172" s="2">
        <v>7.3358999999999996</v>
      </c>
      <c r="S172" t="s">
        <v>33</v>
      </c>
      <c r="T172" s="10">
        <v>3</v>
      </c>
      <c r="U172" t="s">
        <v>297</v>
      </c>
    </row>
    <row r="173" spans="1:21" x14ac:dyDescent="0.2">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s="2">
        <v>18.28</v>
      </c>
      <c r="Q173">
        <v>2</v>
      </c>
      <c r="R173" s="2">
        <v>6.2152000000000003</v>
      </c>
      <c r="S173" t="s">
        <v>70</v>
      </c>
      <c r="T173" s="10">
        <v>2</v>
      </c>
      <c r="U173" t="s">
        <v>113</v>
      </c>
    </row>
    <row r="174" spans="1:21" x14ac:dyDescent="0.2">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s="2">
        <v>28.4</v>
      </c>
      <c r="Q174">
        <v>2</v>
      </c>
      <c r="R174" s="2">
        <v>11.076000000000001</v>
      </c>
      <c r="S174" t="s">
        <v>70</v>
      </c>
      <c r="T174" s="10">
        <v>2</v>
      </c>
      <c r="U174" t="s">
        <v>297</v>
      </c>
    </row>
    <row r="175" spans="1:21" x14ac:dyDescent="0.2">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s="2">
        <v>1298.55</v>
      </c>
      <c r="Q175">
        <v>5</v>
      </c>
      <c r="R175" s="2">
        <v>311.65199999999999</v>
      </c>
      <c r="S175" t="s">
        <v>70</v>
      </c>
      <c r="T175" s="10">
        <v>2</v>
      </c>
      <c r="U175" t="s">
        <v>48</v>
      </c>
    </row>
    <row r="176" spans="1:21" x14ac:dyDescent="0.2">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s="2">
        <v>18.28</v>
      </c>
      <c r="Q176">
        <v>2</v>
      </c>
      <c r="R176" s="2">
        <v>6.2152000000000003</v>
      </c>
      <c r="S176" t="s">
        <v>430</v>
      </c>
      <c r="T176" s="10">
        <v>0</v>
      </c>
      <c r="U176" t="s">
        <v>161</v>
      </c>
    </row>
    <row r="177" spans="1:21" x14ac:dyDescent="0.2">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s="2">
        <v>1228.4649999999999</v>
      </c>
      <c r="Q177">
        <v>5</v>
      </c>
      <c r="R177" s="2">
        <v>0</v>
      </c>
      <c r="S177" t="s">
        <v>83</v>
      </c>
      <c r="T177" s="10">
        <v>4</v>
      </c>
      <c r="U177" t="s">
        <v>59</v>
      </c>
    </row>
    <row r="178" spans="1:21" x14ac:dyDescent="0.2">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s="2">
        <v>301.95999999999998</v>
      </c>
      <c r="Q178">
        <v>2</v>
      </c>
      <c r="R178" s="2">
        <v>90.587999999999994</v>
      </c>
      <c r="S178" t="s">
        <v>58</v>
      </c>
      <c r="T178" s="10">
        <v>5</v>
      </c>
      <c r="U178" t="s">
        <v>59</v>
      </c>
    </row>
    <row r="179" spans="1:21" x14ac:dyDescent="0.2">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s="2">
        <v>186.048</v>
      </c>
      <c r="Q179">
        <v>4</v>
      </c>
      <c r="R179" s="2">
        <v>9.3024000000000004</v>
      </c>
      <c r="S179" t="s">
        <v>58</v>
      </c>
      <c r="T179" s="10">
        <v>5</v>
      </c>
      <c r="U179" t="s">
        <v>34</v>
      </c>
    </row>
    <row r="180" spans="1:21" x14ac:dyDescent="0.2">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s="2">
        <v>287.94</v>
      </c>
      <c r="Q180">
        <v>3</v>
      </c>
      <c r="R180" s="2">
        <v>77.743799999999993</v>
      </c>
      <c r="S180" t="s">
        <v>83</v>
      </c>
      <c r="T180" s="10">
        <v>4</v>
      </c>
      <c r="U180" t="s">
        <v>48</v>
      </c>
    </row>
    <row r="181" spans="1:21" x14ac:dyDescent="0.2">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s="2">
        <v>48.896000000000001</v>
      </c>
      <c r="Q181">
        <v>4</v>
      </c>
      <c r="R181" s="2">
        <v>8.5568000000000008</v>
      </c>
      <c r="S181" t="s">
        <v>58</v>
      </c>
      <c r="T181" s="10">
        <v>5</v>
      </c>
      <c r="U181" t="s">
        <v>169</v>
      </c>
    </row>
    <row r="182" spans="1:21" x14ac:dyDescent="0.2">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s="2">
        <v>44.46</v>
      </c>
      <c r="Q182">
        <v>2</v>
      </c>
      <c r="R182" s="2">
        <v>14.671799999999999</v>
      </c>
      <c r="S182" t="s">
        <v>58</v>
      </c>
      <c r="T182" s="10">
        <v>5</v>
      </c>
      <c r="U182" t="s">
        <v>297</v>
      </c>
    </row>
    <row r="183" spans="1:21" x14ac:dyDescent="0.2">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s="2">
        <v>51.94</v>
      </c>
      <c r="Q183">
        <v>1</v>
      </c>
      <c r="R183" s="2">
        <v>21.295400000000001</v>
      </c>
      <c r="S183" t="s">
        <v>58</v>
      </c>
      <c r="T183" s="10">
        <v>5</v>
      </c>
      <c r="U183" t="s">
        <v>169</v>
      </c>
    </row>
    <row r="184" spans="1:21" x14ac:dyDescent="0.2">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s="2">
        <v>322.58999999999997</v>
      </c>
      <c r="Q184">
        <v>3</v>
      </c>
      <c r="R184" s="2">
        <v>64.518000000000001</v>
      </c>
      <c r="S184" t="s">
        <v>83</v>
      </c>
      <c r="T184" s="10">
        <v>4</v>
      </c>
      <c r="U184" t="s">
        <v>169</v>
      </c>
    </row>
    <row r="185" spans="1:21" x14ac:dyDescent="0.2">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s="2">
        <v>1242.9000000000001</v>
      </c>
      <c r="Q185">
        <v>5</v>
      </c>
      <c r="R185" s="2">
        <v>262.39</v>
      </c>
      <c r="S185" t="s">
        <v>70</v>
      </c>
      <c r="T185" s="10">
        <v>2</v>
      </c>
      <c r="U185" t="s">
        <v>34</v>
      </c>
    </row>
    <row r="186" spans="1:21" x14ac:dyDescent="0.2">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s="2">
        <v>31.4</v>
      </c>
      <c r="Q186">
        <v>5</v>
      </c>
      <c r="R186" s="2">
        <v>10.048</v>
      </c>
      <c r="S186" t="s">
        <v>70</v>
      </c>
      <c r="T186" s="10">
        <v>2</v>
      </c>
      <c r="U186" t="s">
        <v>48</v>
      </c>
    </row>
    <row r="187" spans="1:21" x14ac:dyDescent="0.2">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s="2">
        <v>17.46</v>
      </c>
      <c r="Q187">
        <v>2</v>
      </c>
      <c r="R187" s="2">
        <v>5.9363999999999999</v>
      </c>
      <c r="S187" t="s">
        <v>58</v>
      </c>
      <c r="T187" s="10">
        <v>5</v>
      </c>
      <c r="U187" t="s">
        <v>113</v>
      </c>
    </row>
    <row r="188" spans="1:21" x14ac:dyDescent="0.2">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s="2">
        <v>323.13600000000002</v>
      </c>
      <c r="Q188">
        <v>4</v>
      </c>
      <c r="R188" s="2">
        <v>12.117599999999999</v>
      </c>
      <c r="S188" t="s">
        <v>83</v>
      </c>
      <c r="T188" s="10">
        <v>4</v>
      </c>
      <c r="U188" t="s">
        <v>96</v>
      </c>
    </row>
    <row r="189" spans="1:21" x14ac:dyDescent="0.2">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s="2">
        <v>22.2</v>
      </c>
      <c r="Q189">
        <v>6</v>
      </c>
      <c r="R189" s="2">
        <v>9.1020000000000003</v>
      </c>
      <c r="S189" t="s">
        <v>47</v>
      </c>
      <c r="T189" s="10">
        <v>7</v>
      </c>
      <c r="U189" t="s">
        <v>161</v>
      </c>
    </row>
    <row r="190" spans="1:21" x14ac:dyDescent="0.2">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s="2">
        <v>46.94</v>
      </c>
      <c r="Q190">
        <v>1</v>
      </c>
      <c r="R190" s="2">
        <v>19.2454</v>
      </c>
      <c r="S190" t="s">
        <v>70</v>
      </c>
      <c r="T190" s="10">
        <v>2</v>
      </c>
      <c r="U190" t="s">
        <v>34</v>
      </c>
    </row>
    <row r="191" spans="1:21" x14ac:dyDescent="0.2">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s="2">
        <v>99.918000000000006</v>
      </c>
      <c r="Q191">
        <v>2</v>
      </c>
      <c r="R191" s="2">
        <v>-18.5562</v>
      </c>
      <c r="S191" t="s">
        <v>129</v>
      </c>
      <c r="T191" s="10">
        <v>6</v>
      </c>
      <c r="U191" t="s">
        <v>59</v>
      </c>
    </row>
    <row r="192" spans="1:21" x14ac:dyDescent="0.2">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s="2">
        <v>797.94399999999996</v>
      </c>
      <c r="Q192">
        <v>4</v>
      </c>
      <c r="R192" s="2">
        <v>-56.996000000000002</v>
      </c>
      <c r="S192" t="s">
        <v>129</v>
      </c>
      <c r="T192" s="10">
        <v>6</v>
      </c>
      <c r="U192" t="s">
        <v>59</v>
      </c>
    </row>
    <row r="193" spans="1:21" x14ac:dyDescent="0.2">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s="2">
        <v>1114.2719999999999</v>
      </c>
      <c r="Q193">
        <v>4</v>
      </c>
      <c r="R193" s="2">
        <v>41.785200000000003</v>
      </c>
      <c r="S193" t="s">
        <v>47</v>
      </c>
      <c r="T193" s="10">
        <v>7</v>
      </c>
      <c r="U193" t="s">
        <v>96</v>
      </c>
    </row>
    <row r="194" spans="1:21" x14ac:dyDescent="0.2">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s="2">
        <v>393.16500000000002</v>
      </c>
      <c r="Q194">
        <v>3</v>
      </c>
      <c r="R194" s="2">
        <v>-204.44579999999999</v>
      </c>
      <c r="S194" t="s">
        <v>70</v>
      </c>
      <c r="T194" s="10">
        <v>2</v>
      </c>
      <c r="U194" t="s">
        <v>71</v>
      </c>
    </row>
    <row r="195" spans="1:21" x14ac:dyDescent="0.2">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s="2">
        <v>516.48800000000006</v>
      </c>
      <c r="Q195">
        <v>7</v>
      </c>
      <c r="R195" s="2">
        <v>-12.9122</v>
      </c>
      <c r="S195" t="s">
        <v>83</v>
      </c>
      <c r="T195" s="10">
        <v>4</v>
      </c>
      <c r="U195" t="s">
        <v>34</v>
      </c>
    </row>
    <row r="196" spans="1:21" x14ac:dyDescent="0.2">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s="2">
        <v>1007.232</v>
      </c>
      <c r="Q196">
        <v>6</v>
      </c>
      <c r="R196" s="2">
        <v>75.542400000000001</v>
      </c>
      <c r="S196" t="s">
        <v>83</v>
      </c>
      <c r="T196" s="10">
        <v>4</v>
      </c>
      <c r="U196" t="s">
        <v>34</v>
      </c>
    </row>
    <row r="197" spans="1:21" x14ac:dyDescent="0.2">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s="2">
        <v>2065.3200000000002</v>
      </c>
      <c r="Q197">
        <v>12</v>
      </c>
      <c r="R197" s="2">
        <v>-619.596</v>
      </c>
      <c r="S197" t="s">
        <v>83</v>
      </c>
      <c r="T197" s="10">
        <v>4</v>
      </c>
      <c r="U197" t="s">
        <v>34</v>
      </c>
    </row>
    <row r="198" spans="1:21" x14ac:dyDescent="0.2">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s="2">
        <v>25.472000000000001</v>
      </c>
      <c r="Q198">
        <v>4</v>
      </c>
      <c r="R198" s="2">
        <v>7.6416000000000004</v>
      </c>
      <c r="S198" t="s">
        <v>83</v>
      </c>
      <c r="T198" s="10">
        <v>4</v>
      </c>
      <c r="U198" t="s">
        <v>113</v>
      </c>
    </row>
    <row r="199" spans="1:21" x14ac:dyDescent="0.2">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s="2">
        <v>78.852800000000002</v>
      </c>
      <c r="Q199">
        <v>2</v>
      </c>
      <c r="R199" s="2">
        <v>-11.596</v>
      </c>
      <c r="S199" t="s">
        <v>83</v>
      </c>
      <c r="T199" s="10">
        <v>4</v>
      </c>
      <c r="U199" t="s">
        <v>96</v>
      </c>
    </row>
    <row r="200" spans="1:21" x14ac:dyDescent="0.2">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s="2">
        <v>204.6</v>
      </c>
      <c r="Q200">
        <v>2</v>
      </c>
      <c r="R200" s="2">
        <v>53.195999999999998</v>
      </c>
      <c r="S200" t="s">
        <v>430</v>
      </c>
      <c r="T200" s="10">
        <v>0</v>
      </c>
      <c r="U200" t="s">
        <v>77</v>
      </c>
    </row>
    <row r="201" spans="1:21" x14ac:dyDescent="0.2">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s="2">
        <v>321.56799999999998</v>
      </c>
      <c r="Q201">
        <v>2</v>
      </c>
      <c r="R201" s="2">
        <v>28.1372</v>
      </c>
      <c r="S201" t="s">
        <v>58</v>
      </c>
      <c r="T201" s="10">
        <v>5</v>
      </c>
      <c r="U201" t="s">
        <v>34</v>
      </c>
    </row>
    <row r="202" spans="1:21" x14ac:dyDescent="0.2">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s="2">
        <v>127.104</v>
      </c>
      <c r="Q202">
        <v>6</v>
      </c>
      <c r="R202" s="2">
        <v>28.598400000000002</v>
      </c>
      <c r="S202" t="s">
        <v>70</v>
      </c>
      <c r="T202" s="10">
        <v>2</v>
      </c>
      <c r="U202" t="s">
        <v>169</v>
      </c>
    </row>
    <row r="203" spans="1:21" x14ac:dyDescent="0.2">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s="2">
        <v>599.29200000000003</v>
      </c>
      <c r="Q203">
        <v>6</v>
      </c>
      <c r="R203" s="2">
        <v>93.223200000000006</v>
      </c>
      <c r="S203" t="s">
        <v>58</v>
      </c>
      <c r="T203" s="10">
        <v>5</v>
      </c>
      <c r="U203" t="s">
        <v>48</v>
      </c>
    </row>
    <row r="204" spans="1:21" x14ac:dyDescent="0.2">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s="2">
        <v>603.91999999999996</v>
      </c>
      <c r="Q204">
        <v>5</v>
      </c>
      <c r="R204" s="2">
        <v>75.489999999999995</v>
      </c>
      <c r="S204" t="s">
        <v>33</v>
      </c>
      <c r="T204" s="10">
        <v>3</v>
      </c>
      <c r="U204" t="s">
        <v>34</v>
      </c>
    </row>
    <row r="205" spans="1:21" x14ac:dyDescent="0.2">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s="2">
        <v>520.04999999999995</v>
      </c>
      <c r="Q205">
        <v>5</v>
      </c>
      <c r="R205" s="2">
        <v>72.807000000000002</v>
      </c>
      <c r="S205" t="s">
        <v>58</v>
      </c>
      <c r="T205" s="10">
        <v>5</v>
      </c>
      <c r="U205" t="s">
        <v>161</v>
      </c>
    </row>
    <row r="206" spans="1:21" x14ac:dyDescent="0.2">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s="2">
        <v>1166.92</v>
      </c>
      <c r="Q206">
        <v>5</v>
      </c>
      <c r="R206" s="2">
        <v>131.27850000000001</v>
      </c>
      <c r="S206" t="s">
        <v>70</v>
      </c>
      <c r="T206" s="10">
        <v>2</v>
      </c>
      <c r="U206" t="s">
        <v>195</v>
      </c>
    </row>
    <row r="207" spans="1:21" x14ac:dyDescent="0.2">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s="2">
        <v>24.1</v>
      </c>
      <c r="Q207">
        <v>5</v>
      </c>
      <c r="R207" s="2">
        <v>9.1579999999999995</v>
      </c>
      <c r="S207" t="s">
        <v>129</v>
      </c>
      <c r="T207" s="10">
        <v>6</v>
      </c>
      <c r="U207" t="s">
        <v>48</v>
      </c>
    </row>
    <row r="208" spans="1:21" x14ac:dyDescent="0.2">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s="2">
        <v>33.11</v>
      </c>
      <c r="Q208">
        <v>7</v>
      </c>
      <c r="R208" s="2">
        <v>12.9129</v>
      </c>
      <c r="S208" t="s">
        <v>129</v>
      </c>
      <c r="T208" s="10">
        <v>6</v>
      </c>
      <c r="U208" t="s">
        <v>48</v>
      </c>
    </row>
    <row r="209" spans="1:21" x14ac:dyDescent="0.2">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s="2">
        <v>1090.7819999999999</v>
      </c>
      <c r="Q209">
        <v>7</v>
      </c>
      <c r="R209" s="2">
        <v>-290.87520000000001</v>
      </c>
      <c r="S209" t="s">
        <v>430</v>
      </c>
      <c r="T209" s="10">
        <v>0</v>
      </c>
      <c r="U209" t="s">
        <v>71</v>
      </c>
    </row>
    <row r="210" spans="1:21" x14ac:dyDescent="0.2">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s="2">
        <v>151.72</v>
      </c>
      <c r="Q210">
        <v>4</v>
      </c>
      <c r="R210" s="2">
        <v>27.3096</v>
      </c>
      <c r="S210" t="s">
        <v>70</v>
      </c>
      <c r="T210" s="10">
        <v>2</v>
      </c>
      <c r="U210" t="s">
        <v>34</v>
      </c>
    </row>
    <row r="211" spans="1:21" x14ac:dyDescent="0.2">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s="2">
        <v>155.25</v>
      </c>
      <c r="Q211">
        <v>3</v>
      </c>
      <c r="R211" s="2">
        <v>46.575000000000003</v>
      </c>
      <c r="S211" t="s">
        <v>83</v>
      </c>
      <c r="T211" s="10">
        <v>4</v>
      </c>
      <c r="U211" t="s">
        <v>59</v>
      </c>
    </row>
    <row r="212" spans="1:21" x14ac:dyDescent="0.2">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s="2">
        <v>1618.37</v>
      </c>
      <c r="Q212">
        <v>13</v>
      </c>
      <c r="R212" s="2">
        <v>356.04140000000001</v>
      </c>
      <c r="S212" t="s">
        <v>33</v>
      </c>
      <c r="T212" s="10">
        <v>3</v>
      </c>
      <c r="U212" t="s">
        <v>96</v>
      </c>
    </row>
    <row r="213" spans="1:21" x14ac:dyDescent="0.2">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s="2">
        <v>13.96</v>
      </c>
      <c r="Q213">
        <v>2</v>
      </c>
      <c r="R213" s="2">
        <v>6.7008000000000001</v>
      </c>
      <c r="S213" t="s">
        <v>83</v>
      </c>
      <c r="T213" s="10">
        <v>4</v>
      </c>
      <c r="U213" t="s">
        <v>71</v>
      </c>
    </row>
    <row r="214" spans="1:21" x14ac:dyDescent="0.2">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s="2">
        <v>155.82</v>
      </c>
      <c r="Q214">
        <v>3</v>
      </c>
      <c r="R214" s="2">
        <v>63.886200000000002</v>
      </c>
      <c r="S214" t="s">
        <v>83</v>
      </c>
      <c r="T214" s="10">
        <v>4</v>
      </c>
      <c r="U214" t="s">
        <v>71</v>
      </c>
    </row>
    <row r="215" spans="1:21" x14ac:dyDescent="0.2">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s="2">
        <v>1267.53</v>
      </c>
      <c r="Q215">
        <v>3</v>
      </c>
      <c r="R215" s="2">
        <v>316.88249999999999</v>
      </c>
      <c r="S215" t="s">
        <v>129</v>
      </c>
      <c r="T215" s="10">
        <v>6</v>
      </c>
      <c r="U215" t="s">
        <v>113</v>
      </c>
    </row>
    <row r="216" spans="1:21" x14ac:dyDescent="0.2">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s="2">
        <v>854.94</v>
      </c>
      <c r="Q216">
        <v>3</v>
      </c>
      <c r="R216" s="2">
        <v>213.73500000000001</v>
      </c>
      <c r="S216" t="s">
        <v>83</v>
      </c>
      <c r="T216" s="10">
        <v>4</v>
      </c>
      <c r="U216" t="s">
        <v>71</v>
      </c>
    </row>
    <row r="217" spans="1:21" x14ac:dyDescent="0.2">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s="2">
        <v>124.11</v>
      </c>
      <c r="Q217">
        <v>9</v>
      </c>
      <c r="R217" s="2">
        <v>52.126199999999997</v>
      </c>
      <c r="S217" t="s">
        <v>83</v>
      </c>
      <c r="T217" s="10">
        <v>4</v>
      </c>
      <c r="U217" t="s">
        <v>71</v>
      </c>
    </row>
    <row r="218" spans="1:21" x14ac:dyDescent="0.2">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s="2">
        <v>86.62</v>
      </c>
      <c r="Q218">
        <v>2</v>
      </c>
      <c r="R218" s="2">
        <v>8.6620000000000008</v>
      </c>
      <c r="S218" t="s">
        <v>83</v>
      </c>
      <c r="T218" s="10">
        <v>4</v>
      </c>
      <c r="U218" t="s">
        <v>113</v>
      </c>
    </row>
    <row r="219" spans="1:21" x14ac:dyDescent="0.2">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s="2">
        <v>697.16</v>
      </c>
      <c r="Q219">
        <v>4</v>
      </c>
      <c r="R219" s="2">
        <v>146.40360000000001</v>
      </c>
      <c r="S219" t="s">
        <v>83</v>
      </c>
      <c r="T219" s="10">
        <v>4</v>
      </c>
      <c r="U219" t="s">
        <v>195</v>
      </c>
    </row>
    <row r="220" spans="1:21" x14ac:dyDescent="0.2">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s="2">
        <v>722.35199999999998</v>
      </c>
      <c r="Q220">
        <v>3</v>
      </c>
      <c r="R220" s="2">
        <v>90.293999999999997</v>
      </c>
      <c r="S220" t="s">
        <v>33</v>
      </c>
      <c r="T220" s="10">
        <v>3</v>
      </c>
      <c r="U220" t="s">
        <v>77</v>
      </c>
    </row>
    <row r="221" spans="1:21" x14ac:dyDescent="0.2">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s="2">
        <v>254.60400000000001</v>
      </c>
      <c r="Q221">
        <v>14</v>
      </c>
      <c r="R221" s="2">
        <v>-18.186</v>
      </c>
      <c r="S221" t="s">
        <v>83</v>
      </c>
      <c r="T221" s="10">
        <v>4</v>
      </c>
      <c r="U221" t="s">
        <v>48</v>
      </c>
    </row>
    <row r="222" spans="1:21" x14ac:dyDescent="0.2">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s="2">
        <v>102.36</v>
      </c>
      <c r="Q222">
        <v>3</v>
      </c>
      <c r="R222" s="2">
        <v>-3.8384999999999998</v>
      </c>
      <c r="S222" t="s">
        <v>58</v>
      </c>
      <c r="T222" s="10">
        <v>5</v>
      </c>
      <c r="U222" t="s">
        <v>195</v>
      </c>
    </row>
    <row r="223" spans="1:21" x14ac:dyDescent="0.2">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s="2">
        <v>168.464</v>
      </c>
      <c r="Q223">
        <v>2</v>
      </c>
      <c r="R223" s="2">
        <v>-29.481200000000001</v>
      </c>
      <c r="S223" t="s">
        <v>70</v>
      </c>
      <c r="T223" s="10">
        <v>2</v>
      </c>
      <c r="U223" t="s">
        <v>71</v>
      </c>
    </row>
    <row r="224" spans="1:21" x14ac:dyDescent="0.2">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s="2">
        <v>282.88799999999998</v>
      </c>
      <c r="Q224">
        <v>9</v>
      </c>
      <c r="R224" s="2">
        <v>56.577599999999997</v>
      </c>
      <c r="S224" t="s">
        <v>70</v>
      </c>
      <c r="T224" s="10">
        <v>2</v>
      </c>
      <c r="U224" t="s">
        <v>71</v>
      </c>
    </row>
    <row r="225" spans="1:21" x14ac:dyDescent="0.2">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s="2">
        <v>108.4</v>
      </c>
      <c r="Q225">
        <v>2</v>
      </c>
      <c r="R225" s="2">
        <v>22.763999999999999</v>
      </c>
      <c r="S225" t="s">
        <v>83</v>
      </c>
      <c r="T225" s="10">
        <v>4</v>
      </c>
      <c r="U225" t="s">
        <v>113</v>
      </c>
    </row>
    <row r="226" spans="1:21" x14ac:dyDescent="0.2">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s="2">
        <v>107.77200000000001</v>
      </c>
      <c r="Q226">
        <v>2</v>
      </c>
      <c r="R226" s="2">
        <v>-29.252400000000002</v>
      </c>
      <c r="S226" t="s">
        <v>129</v>
      </c>
      <c r="T226" s="10">
        <v>6</v>
      </c>
      <c r="U226" t="s">
        <v>195</v>
      </c>
    </row>
    <row r="227" spans="1:21" x14ac:dyDescent="0.2">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s="2">
        <v>194.84800000000001</v>
      </c>
      <c r="Q227">
        <v>4</v>
      </c>
      <c r="R227" s="2">
        <v>12.178000000000001</v>
      </c>
      <c r="S227" t="s">
        <v>123</v>
      </c>
      <c r="T227" s="10">
        <v>1</v>
      </c>
      <c r="U227" t="s">
        <v>48</v>
      </c>
    </row>
    <row r="228" spans="1:21" x14ac:dyDescent="0.2">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s="2">
        <v>1106.9100000000001</v>
      </c>
      <c r="Q228">
        <v>9</v>
      </c>
      <c r="R228" s="2">
        <v>121.76009999999999</v>
      </c>
      <c r="S228" t="s">
        <v>58</v>
      </c>
      <c r="T228" s="10">
        <v>5</v>
      </c>
      <c r="U228" t="s">
        <v>34</v>
      </c>
    </row>
    <row r="229" spans="1:21" x14ac:dyDescent="0.2">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s="2">
        <v>836.59199999999998</v>
      </c>
      <c r="Q229">
        <v>8</v>
      </c>
      <c r="R229" s="2">
        <v>-264.92079999999999</v>
      </c>
      <c r="S229" t="s">
        <v>83</v>
      </c>
      <c r="T229" s="10">
        <v>4</v>
      </c>
      <c r="U229" t="s">
        <v>195</v>
      </c>
    </row>
    <row r="230" spans="1:21" x14ac:dyDescent="0.2">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s="2">
        <v>31.984000000000002</v>
      </c>
      <c r="Q230">
        <v>2</v>
      </c>
      <c r="R230" s="2">
        <v>1.9990000000000001</v>
      </c>
      <c r="S230" t="s">
        <v>129</v>
      </c>
      <c r="T230" s="10">
        <v>6</v>
      </c>
      <c r="U230" t="s">
        <v>59</v>
      </c>
    </row>
    <row r="231" spans="1:21" x14ac:dyDescent="0.2">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s="2">
        <v>447.84</v>
      </c>
      <c r="Q231">
        <v>5</v>
      </c>
      <c r="R231" s="2">
        <v>11.196</v>
      </c>
      <c r="S231" t="s">
        <v>33</v>
      </c>
      <c r="T231" s="10">
        <v>3</v>
      </c>
      <c r="U231" t="s">
        <v>59</v>
      </c>
    </row>
    <row r="232" spans="1:21" x14ac:dyDescent="0.2">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s="2">
        <v>8.73</v>
      </c>
      <c r="Q232">
        <v>3</v>
      </c>
      <c r="R232" s="2">
        <v>4.1031000000000004</v>
      </c>
      <c r="S232" t="s">
        <v>33</v>
      </c>
      <c r="T232" s="10">
        <v>3</v>
      </c>
      <c r="U232" t="s">
        <v>59</v>
      </c>
    </row>
    <row r="233" spans="1:21" x14ac:dyDescent="0.2">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s="2">
        <v>2.3279999999999998</v>
      </c>
      <c r="Q233">
        <v>2</v>
      </c>
      <c r="R233" s="2">
        <v>-0.75660000000000005</v>
      </c>
      <c r="S233" t="s">
        <v>58</v>
      </c>
      <c r="T233" s="10">
        <v>5</v>
      </c>
      <c r="U233" t="s">
        <v>34</v>
      </c>
    </row>
    <row r="234" spans="1:21" x14ac:dyDescent="0.2">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s="2">
        <v>119.833</v>
      </c>
      <c r="Q234">
        <v>1</v>
      </c>
      <c r="R234" s="2">
        <v>-12.6882</v>
      </c>
      <c r="S234" t="s">
        <v>58</v>
      </c>
      <c r="T234" s="10">
        <v>5</v>
      </c>
      <c r="U234" t="s">
        <v>96</v>
      </c>
    </row>
    <row r="235" spans="1:21" x14ac:dyDescent="0.2">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s="2">
        <v>38.6</v>
      </c>
      <c r="Q235">
        <v>4</v>
      </c>
      <c r="R235" s="2">
        <v>11.58</v>
      </c>
      <c r="S235" t="s">
        <v>129</v>
      </c>
      <c r="T235" s="10">
        <v>6</v>
      </c>
      <c r="U235" t="s">
        <v>169</v>
      </c>
    </row>
    <row r="236" spans="1:21" x14ac:dyDescent="0.2">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s="2">
        <v>1067.94</v>
      </c>
      <c r="Q236">
        <v>3</v>
      </c>
      <c r="R236" s="2">
        <v>224.26740000000001</v>
      </c>
      <c r="S236" t="s">
        <v>129</v>
      </c>
      <c r="T236" s="10">
        <v>6</v>
      </c>
      <c r="U236" t="s">
        <v>169</v>
      </c>
    </row>
    <row r="237" spans="1:21" x14ac:dyDescent="0.2">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s="2">
        <v>343.92</v>
      </c>
      <c r="Q237">
        <v>4</v>
      </c>
      <c r="R237" s="2">
        <v>75.662400000000005</v>
      </c>
      <c r="S237" t="s">
        <v>83</v>
      </c>
      <c r="T237" s="10">
        <v>4</v>
      </c>
      <c r="U237" t="s">
        <v>113</v>
      </c>
    </row>
    <row r="238" spans="1:21" x14ac:dyDescent="0.2">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s="2">
        <v>204.6</v>
      </c>
      <c r="Q238">
        <v>2</v>
      </c>
      <c r="R238" s="2">
        <v>53.195999999999998</v>
      </c>
      <c r="S238" t="s">
        <v>83</v>
      </c>
      <c r="T238" s="10">
        <v>4</v>
      </c>
      <c r="U238" t="s">
        <v>77</v>
      </c>
    </row>
    <row r="239" spans="1:21" x14ac:dyDescent="0.2">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s="2">
        <v>8.3520000000000003</v>
      </c>
      <c r="Q239">
        <v>6</v>
      </c>
      <c r="R239" s="2">
        <v>1.2527999999999999</v>
      </c>
      <c r="S239" t="s">
        <v>129</v>
      </c>
      <c r="T239" s="10">
        <v>6</v>
      </c>
      <c r="U239" t="s">
        <v>161</v>
      </c>
    </row>
    <row r="240" spans="1:21" x14ac:dyDescent="0.2">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s="2">
        <v>2244.48</v>
      </c>
      <c r="Q240">
        <v>7</v>
      </c>
      <c r="R240" s="2">
        <v>493.78559999999999</v>
      </c>
      <c r="S240" t="s">
        <v>123</v>
      </c>
      <c r="T240" s="10">
        <v>1</v>
      </c>
      <c r="U240" t="s">
        <v>96</v>
      </c>
    </row>
    <row r="241" spans="1:21" x14ac:dyDescent="0.2">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s="2">
        <v>455.1</v>
      </c>
      <c r="Q241">
        <v>2</v>
      </c>
      <c r="R241" s="2">
        <v>100.122</v>
      </c>
      <c r="S241" t="s">
        <v>123</v>
      </c>
      <c r="T241" s="10">
        <v>1</v>
      </c>
      <c r="U241" t="s">
        <v>96</v>
      </c>
    </row>
    <row r="242" spans="1:21" x14ac:dyDescent="0.2">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s="2">
        <v>195.184</v>
      </c>
      <c r="Q242">
        <v>1</v>
      </c>
      <c r="R242" s="2">
        <v>19.5184</v>
      </c>
      <c r="S242" t="s">
        <v>58</v>
      </c>
      <c r="T242" s="10">
        <v>5</v>
      </c>
      <c r="U242" t="s">
        <v>71</v>
      </c>
    </row>
    <row r="243" spans="1:21" x14ac:dyDescent="0.2">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s="2">
        <v>109.48</v>
      </c>
      <c r="Q243">
        <v>2</v>
      </c>
      <c r="R243" s="2">
        <v>33.938800000000001</v>
      </c>
      <c r="S243" t="s">
        <v>70</v>
      </c>
      <c r="T243" s="10">
        <v>2</v>
      </c>
      <c r="U243" t="s">
        <v>96</v>
      </c>
    </row>
    <row r="244" spans="1:21" x14ac:dyDescent="0.2">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s="2">
        <v>172.5</v>
      </c>
      <c r="Q244">
        <v>2</v>
      </c>
      <c r="R244" s="2">
        <v>51.75</v>
      </c>
      <c r="S244" t="s">
        <v>83</v>
      </c>
      <c r="T244" s="10">
        <v>4</v>
      </c>
      <c r="U244" t="s">
        <v>96</v>
      </c>
    </row>
    <row r="245" spans="1:21" x14ac:dyDescent="0.2">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s="2">
        <v>892.22400000000005</v>
      </c>
      <c r="Q245">
        <v>3</v>
      </c>
      <c r="R245" s="2">
        <v>89.222399999999993</v>
      </c>
      <c r="S245" t="s">
        <v>70</v>
      </c>
      <c r="T245" s="10">
        <v>2</v>
      </c>
      <c r="U245" t="s">
        <v>297</v>
      </c>
    </row>
    <row r="246" spans="1:21" x14ac:dyDescent="0.2">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s="2">
        <v>15.712</v>
      </c>
      <c r="Q246">
        <v>4</v>
      </c>
      <c r="R246" s="2">
        <v>2.5531999999999999</v>
      </c>
      <c r="S246" t="s">
        <v>430</v>
      </c>
      <c r="T246" s="10">
        <v>0</v>
      </c>
      <c r="U246" t="s">
        <v>77</v>
      </c>
    </row>
    <row r="247" spans="1:21" x14ac:dyDescent="0.2">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s="2">
        <v>55.968000000000004</v>
      </c>
      <c r="Q247">
        <v>1</v>
      </c>
      <c r="R247" s="2">
        <v>-2.0988000000000002</v>
      </c>
      <c r="S247" t="s">
        <v>430</v>
      </c>
      <c r="T247" s="10">
        <v>0</v>
      </c>
      <c r="U247" t="s">
        <v>77</v>
      </c>
    </row>
    <row r="248" spans="1:21" x14ac:dyDescent="0.2">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s="2">
        <v>95.983999999999995</v>
      </c>
      <c r="Q248">
        <v>4</v>
      </c>
      <c r="R248" s="2">
        <v>-4.1135999999999999</v>
      </c>
      <c r="S248" t="s">
        <v>83</v>
      </c>
      <c r="T248" s="10">
        <v>4</v>
      </c>
      <c r="U248" t="s">
        <v>113</v>
      </c>
    </row>
    <row r="249" spans="1:21" x14ac:dyDescent="0.2">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s="2">
        <v>544.00800000000004</v>
      </c>
      <c r="Q249">
        <v>3</v>
      </c>
      <c r="R249" s="2">
        <v>40.800600000000003</v>
      </c>
      <c r="S249" t="s">
        <v>129</v>
      </c>
      <c r="T249" s="10">
        <v>6</v>
      </c>
      <c r="U249" t="s">
        <v>71</v>
      </c>
    </row>
    <row r="250" spans="1:21" x14ac:dyDescent="0.2">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s="2">
        <v>854.35199999999998</v>
      </c>
      <c r="Q250">
        <v>3</v>
      </c>
      <c r="R250" s="2">
        <v>10.679399999999999</v>
      </c>
      <c r="S250" t="s">
        <v>129</v>
      </c>
      <c r="T250" s="10">
        <v>6</v>
      </c>
      <c r="U250" t="s">
        <v>71</v>
      </c>
    </row>
    <row r="251" spans="1:21" x14ac:dyDescent="0.2">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s="2">
        <v>579.13599999999997</v>
      </c>
      <c r="Q251">
        <v>4</v>
      </c>
      <c r="R251" s="2">
        <v>21.717600000000001</v>
      </c>
      <c r="S251" t="s">
        <v>83</v>
      </c>
      <c r="T251" s="10">
        <v>4</v>
      </c>
      <c r="U251" t="s">
        <v>71</v>
      </c>
    </row>
    <row r="252" spans="1:21" x14ac:dyDescent="0.2">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s="2">
        <v>141.37200000000001</v>
      </c>
      <c r="Q252">
        <v>2</v>
      </c>
      <c r="R252" s="2">
        <v>-48.470399999999998</v>
      </c>
      <c r="S252" t="s">
        <v>83</v>
      </c>
      <c r="T252" s="10">
        <v>4</v>
      </c>
      <c r="U252" t="s">
        <v>77</v>
      </c>
    </row>
    <row r="253" spans="1:21" x14ac:dyDescent="0.2">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s="2">
        <v>17.024000000000001</v>
      </c>
      <c r="Q253">
        <v>2</v>
      </c>
      <c r="R253" s="2">
        <v>1.7023999999999999</v>
      </c>
      <c r="S253" t="s">
        <v>83</v>
      </c>
      <c r="T253" s="10">
        <v>4</v>
      </c>
      <c r="U253" t="s">
        <v>77</v>
      </c>
    </row>
    <row r="254" spans="1:21" x14ac:dyDescent="0.2">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s="2">
        <v>113.79</v>
      </c>
      <c r="Q254">
        <v>3</v>
      </c>
      <c r="R254" s="2">
        <v>20.482199999999999</v>
      </c>
      <c r="S254" t="s">
        <v>123</v>
      </c>
      <c r="T254" s="10">
        <v>1</v>
      </c>
      <c r="U254" t="s">
        <v>96</v>
      </c>
    </row>
    <row r="255" spans="1:21" x14ac:dyDescent="0.2">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s="2">
        <v>8.73</v>
      </c>
      <c r="Q255">
        <v>1</v>
      </c>
      <c r="R255" s="2">
        <v>2.9681999999999999</v>
      </c>
      <c r="S255" t="s">
        <v>58</v>
      </c>
      <c r="T255" s="10">
        <v>5</v>
      </c>
      <c r="U255" t="s">
        <v>34</v>
      </c>
    </row>
    <row r="256" spans="1:21" x14ac:dyDescent="0.2">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s="2">
        <v>47.951999999999998</v>
      </c>
      <c r="Q256">
        <v>3</v>
      </c>
      <c r="R256" s="2">
        <v>13.786199999999999</v>
      </c>
      <c r="S256" t="s">
        <v>430</v>
      </c>
      <c r="T256" s="10">
        <v>0</v>
      </c>
      <c r="U256" t="s">
        <v>48</v>
      </c>
    </row>
    <row r="257" spans="1:21" x14ac:dyDescent="0.2">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s="2">
        <v>63.968000000000004</v>
      </c>
      <c r="Q257">
        <v>2</v>
      </c>
      <c r="R257" s="2">
        <v>0</v>
      </c>
      <c r="S257" t="s">
        <v>430</v>
      </c>
      <c r="T257" s="10">
        <v>0</v>
      </c>
      <c r="U257" t="s">
        <v>48</v>
      </c>
    </row>
    <row r="258" spans="1:21" x14ac:dyDescent="0.2">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s="2">
        <v>165.048</v>
      </c>
      <c r="Q258">
        <v>3</v>
      </c>
      <c r="R258" s="2">
        <v>41.262</v>
      </c>
      <c r="S258" t="s">
        <v>430</v>
      </c>
      <c r="T258" s="10">
        <v>0</v>
      </c>
      <c r="U258" t="s">
        <v>48</v>
      </c>
    </row>
    <row r="259" spans="1:21" x14ac:dyDescent="0.2">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s="2">
        <v>12.35</v>
      </c>
      <c r="Q259">
        <v>1</v>
      </c>
      <c r="R259" s="2">
        <v>5.4340000000000002</v>
      </c>
      <c r="S259" t="s">
        <v>83</v>
      </c>
      <c r="T259" s="10">
        <v>4</v>
      </c>
      <c r="U259" t="s">
        <v>253</v>
      </c>
    </row>
    <row r="260" spans="1:21" x14ac:dyDescent="0.2">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s="2">
        <v>764.68799999999999</v>
      </c>
      <c r="Q260">
        <v>6</v>
      </c>
      <c r="R260" s="2">
        <v>95.585999999999999</v>
      </c>
      <c r="S260" t="s">
        <v>70</v>
      </c>
      <c r="T260" s="10">
        <v>2</v>
      </c>
      <c r="U260" t="s">
        <v>96</v>
      </c>
    </row>
    <row r="261" spans="1:21" x14ac:dyDescent="0.2">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s="2">
        <v>3610.848</v>
      </c>
      <c r="Q261">
        <v>12</v>
      </c>
      <c r="R261" s="2">
        <v>135.4068</v>
      </c>
      <c r="S261" t="s">
        <v>70</v>
      </c>
      <c r="T261" s="10">
        <v>2</v>
      </c>
      <c r="U261" t="s">
        <v>96</v>
      </c>
    </row>
    <row r="262" spans="1:21" x14ac:dyDescent="0.2">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s="2">
        <v>254.97450000000001</v>
      </c>
      <c r="Q262">
        <v>3</v>
      </c>
      <c r="R262" s="2">
        <v>11.998799999999999</v>
      </c>
      <c r="S262" t="s">
        <v>70</v>
      </c>
      <c r="T262" s="10">
        <v>2</v>
      </c>
      <c r="U262" t="s">
        <v>96</v>
      </c>
    </row>
    <row r="263" spans="1:21" x14ac:dyDescent="0.2">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s="2">
        <v>1141.9380000000001</v>
      </c>
      <c r="Q263">
        <v>9</v>
      </c>
      <c r="R263" s="2">
        <v>139.5702</v>
      </c>
      <c r="S263" t="s">
        <v>129</v>
      </c>
      <c r="T263" s="10">
        <v>6</v>
      </c>
      <c r="U263" t="s">
        <v>96</v>
      </c>
    </row>
    <row r="264" spans="1:21" x14ac:dyDescent="0.2">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s="2">
        <v>6.6959999999999997</v>
      </c>
      <c r="Q264">
        <v>1</v>
      </c>
      <c r="R264" s="2">
        <v>0.50219999999999998</v>
      </c>
      <c r="S264" t="s">
        <v>83</v>
      </c>
      <c r="T264" s="10">
        <v>4</v>
      </c>
      <c r="U264" t="s">
        <v>195</v>
      </c>
    </row>
    <row r="265" spans="1:21" x14ac:dyDescent="0.2">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s="2">
        <v>43.872</v>
      </c>
      <c r="Q265">
        <v>2</v>
      </c>
      <c r="R265" s="2">
        <v>11.516400000000001</v>
      </c>
      <c r="S265" t="s">
        <v>83</v>
      </c>
      <c r="T265" s="10">
        <v>4</v>
      </c>
      <c r="U265" t="s">
        <v>195</v>
      </c>
    </row>
    <row r="266" spans="1:21" x14ac:dyDescent="0.2">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s="2">
        <v>41.85</v>
      </c>
      <c r="Q266">
        <v>5</v>
      </c>
      <c r="R266" s="2">
        <v>10.881</v>
      </c>
      <c r="S266" t="s">
        <v>123</v>
      </c>
      <c r="T266" s="10">
        <v>1</v>
      </c>
      <c r="U266" t="s">
        <v>48</v>
      </c>
    </row>
    <row r="267" spans="1:21" x14ac:dyDescent="0.2">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s="2">
        <v>292.27199999999999</v>
      </c>
      <c r="Q267">
        <v>6</v>
      </c>
      <c r="R267" s="2">
        <v>18.266999999999999</v>
      </c>
      <c r="S267" t="s">
        <v>58</v>
      </c>
      <c r="T267" s="10">
        <v>5</v>
      </c>
      <c r="U267" t="s">
        <v>96</v>
      </c>
    </row>
    <row r="268" spans="1:21" x14ac:dyDescent="0.2">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s="2">
        <v>29.327999999999999</v>
      </c>
      <c r="Q268">
        <v>3</v>
      </c>
      <c r="R268" s="2">
        <v>3.6659999999999999</v>
      </c>
      <c r="S268" t="s">
        <v>83</v>
      </c>
      <c r="T268" s="10">
        <v>4</v>
      </c>
      <c r="U268" t="s">
        <v>77</v>
      </c>
    </row>
    <row r="269" spans="1:21" x14ac:dyDescent="0.2">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s="2">
        <v>388.43</v>
      </c>
      <c r="Q269">
        <v>5</v>
      </c>
      <c r="R269" s="2">
        <v>-88.784000000000006</v>
      </c>
      <c r="S269" t="s">
        <v>430</v>
      </c>
      <c r="T269" s="10">
        <v>0</v>
      </c>
      <c r="U269" t="s">
        <v>161</v>
      </c>
    </row>
    <row r="270" spans="1:21" x14ac:dyDescent="0.2">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s="2">
        <v>39.880000000000003</v>
      </c>
      <c r="Q270">
        <v>2</v>
      </c>
      <c r="R270" s="2">
        <v>11.166399999999999</v>
      </c>
      <c r="S270" t="s">
        <v>83</v>
      </c>
      <c r="T270" s="10">
        <v>4</v>
      </c>
      <c r="U270" t="s">
        <v>34</v>
      </c>
    </row>
    <row r="271" spans="1:21" x14ac:dyDescent="0.2">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s="2">
        <v>572.76</v>
      </c>
      <c r="Q271">
        <v>6</v>
      </c>
      <c r="R271" s="2">
        <v>166.10040000000001</v>
      </c>
      <c r="S271" t="s">
        <v>70</v>
      </c>
      <c r="T271" s="10">
        <v>2</v>
      </c>
      <c r="U271" t="s">
        <v>96</v>
      </c>
    </row>
    <row r="272" spans="1:21" x14ac:dyDescent="0.2">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s="2">
        <v>286.38</v>
      </c>
      <c r="Q272">
        <v>3</v>
      </c>
      <c r="R272" s="2">
        <v>83.050200000000004</v>
      </c>
      <c r="S272" t="s">
        <v>70</v>
      </c>
      <c r="T272" s="10">
        <v>2</v>
      </c>
      <c r="U272" t="s">
        <v>96</v>
      </c>
    </row>
    <row r="273" spans="1:21" x14ac:dyDescent="0.2">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s="2">
        <v>61.96</v>
      </c>
      <c r="Q273">
        <v>2</v>
      </c>
      <c r="R273" s="2">
        <v>4.3372000000000002</v>
      </c>
      <c r="S273" t="s">
        <v>58</v>
      </c>
      <c r="T273" s="10">
        <v>5</v>
      </c>
      <c r="U273" t="s">
        <v>77</v>
      </c>
    </row>
    <row r="274" spans="1:21" x14ac:dyDescent="0.2">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s="2">
        <v>23.99</v>
      </c>
      <c r="Q274">
        <v>1</v>
      </c>
      <c r="R274" s="2">
        <v>5.5176999999999996</v>
      </c>
      <c r="S274" t="s">
        <v>83</v>
      </c>
      <c r="T274" s="10">
        <v>4</v>
      </c>
      <c r="U274" t="s">
        <v>71</v>
      </c>
    </row>
    <row r="275" spans="1:21" x14ac:dyDescent="0.2">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s="2">
        <v>161.56800000000001</v>
      </c>
      <c r="Q275">
        <v>2</v>
      </c>
      <c r="R275" s="2">
        <v>-8.0784000000000002</v>
      </c>
      <c r="S275" t="s">
        <v>123</v>
      </c>
      <c r="T275" s="10">
        <v>1</v>
      </c>
      <c r="U275" t="s">
        <v>59</v>
      </c>
    </row>
    <row r="276" spans="1:21" x14ac:dyDescent="0.2">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s="2">
        <v>155.37200000000001</v>
      </c>
      <c r="Q276">
        <v>2</v>
      </c>
      <c r="R276" s="2">
        <v>-13.317600000000001</v>
      </c>
      <c r="S276" t="s">
        <v>47</v>
      </c>
      <c r="T276" s="10">
        <v>7</v>
      </c>
      <c r="U276" t="s">
        <v>77</v>
      </c>
    </row>
    <row r="277" spans="1:21" x14ac:dyDescent="0.2">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s="2">
        <v>183.84</v>
      </c>
      <c r="Q277">
        <v>8</v>
      </c>
      <c r="R277" s="2">
        <v>62.505600000000001</v>
      </c>
      <c r="S277" t="s">
        <v>58</v>
      </c>
      <c r="T277" s="10">
        <v>5</v>
      </c>
      <c r="U277" t="s">
        <v>96</v>
      </c>
    </row>
    <row r="278" spans="1:21" x14ac:dyDescent="0.2">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s="2">
        <v>51.072000000000003</v>
      </c>
      <c r="Q278">
        <v>6</v>
      </c>
      <c r="R278" s="2">
        <v>5.1071999999999997</v>
      </c>
      <c r="S278" t="s">
        <v>83</v>
      </c>
      <c r="T278" s="10">
        <v>4</v>
      </c>
      <c r="U278" t="s">
        <v>59</v>
      </c>
    </row>
    <row r="279" spans="1:21" x14ac:dyDescent="0.2">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s="2">
        <v>37.049999999999997</v>
      </c>
      <c r="Q279">
        <v>3</v>
      </c>
      <c r="R279" s="2">
        <v>16.302</v>
      </c>
      <c r="S279" t="s">
        <v>83</v>
      </c>
      <c r="T279" s="10">
        <v>4</v>
      </c>
      <c r="U279" t="s">
        <v>161</v>
      </c>
    </row>
    <row r="280" spans="1:21" x14ac:dyDescent="0.2">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s="2">
        <v>25.11</v>
      </c>
      <c r="Q280">
        <v>3</v>
      </c>
      <c r="R280" s="2">
        <v>6.5286</v>
      </c>
      <c r="S280" t="s">
        <v>58</v>
      </c>
      <c r="T280" s="10">
        <v>5</v>
      </c>
      <c r="U280" t="s">
        <v>113</v>
      </c>
    </row>
    <row r="281" spans="1:21" x14ac:dyDescent="0.2">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s="2">
        <v>29.78</v>
      </c>
      <c r="Q281">
        <v>2</v>
      </c>
      <c r="R281" s="2">
        <v>8.0405999999999995</v>
      </c>
      <c r="S281" t="s">
        <v>70</v>
      </c>
      <c r="T281" s="10">
        <v>2</v>
      </c>
      <c r="U281" t="s">
        <v>195</v>
      </c>
    </row>
    <row r="282" spans="1:21" x14ac:dyDescent="0.2">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s="2">
        <v>258.279</v>
      </c>
      <c r="Q282">
        <v>3</v>
      </c>
      <c r="R282" s="2">
        <v>-70.104299999999995</v>
      </c>
      <c r="S282" t="s">
        <v>58</v>
      </c>
      <c r="T282" s="10">
        <v>5</v>
      </c>
      <c r="U282" t="s">
        <v>48</v>
      </c>
    </row>
    <row r="283" spans="1:21" x14ac:dyDescent="0.2">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s="2">
        <v>300.904</v>
      </c>
      <c r="Q283">
        <v>1</v>
      </c>
      <c r="R283" s="2">
        <v>11.283899999999999</v>
      </c>
      <c r="S283" t="s">
        <v>58</v>
      </c>
      <c r="T283" s="10">
        <v>5</v>
      </c>
      <c r="U283" t="s">
        <v>161</v>
      </c>
    </row>
    <row r="284" spans="1:21" x14ac:dyDescent="0.2">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s="2">
        <v>1.988</v>
      </c>
      <c r="Q284">
        <v>1</v>
      </c>
      <c r="R284" s="2">
        <v>-1.4413</v>
      </c>
      <c r="S284" t="s">
        <v>123</v>
      </c>
      <c r="T284" s="10">
        <v>1</v>
      </c>
      <c r="U284" t="s">
        <v>113</v>
      </c>
    </row>
    <row r="285" spans="1:21" x14ac:dyDescent="0.2">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s="2">
        <v>145.56800000000001</v>
      </c>
      <c r="Q285">
        <v>2</v>
      </c>
      <c r="R285" s="2">
        <v>0</v>
      </c>
      <c r="S285" t="s">
        <v>58</v>
      </c>
      <c r="T285" s="10">
        <v>5</v>
      </c>
      <c r="U285" t="s">
        <v>77</v>
      </c>
    </row>
    <row r="286" spans="1:21" x14ac:dyDescent="0.2">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s="2">
        <v>899.13599999999997</v>
      </c>
      <c r="Q286">
        <v>4</v>
      </c>
      <c r="R286" s="2">
        <v>-146.1096</v>
      </c>
      <c r="S286" t="s">
        <v>123</v>
      </c>
      <c r="T286" s="10">
        <v>1</v>
      </c>
      <c r="U286" t="s">
        <v>34</v>
      </c>
    </row>
    <row r="287" spans="1:21" x14ac:dyDescent="0.2">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s="2">
        <v>145.9</v>
      </c>
      <c r="Q287">
        <v>5</v>
      </c>
      <c r="R287" s="2">
        <v>62.737000000000002</v>
      </c>
      <c r="S287" t="s">
        <v>33</v>
      </c>
      <c r="T287" s="10">
        <v>3</v>
      </c>
      <c r="U287" t="s">
        <v>71</v>
      </c>
    </row>
    <row r="288" spans="1:21" x14ac:dyDescent="0.2">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s="2">
        <v>590.05799999999999</v>
      </c>
      <c r="Q288">
        <v>7</v>
      </c>
      <c r="R288" s="2">
        <v>-786.74400000000003</v>
      </c>
      <c r="S288" t="s">
        <v>83</v>
      </c>
      <c r="T288" s="10">
        <v>4</v>
      </c>
      <c r="U288" t="s">
        <v>96</v>
      </c>
    </row>
    <row r="289" spans="1:21" x14ac:dyDescent="0.2">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s="2">
        <v>912.75</v>
      </c>
      <c r="Q289">
        <v>5</v>
      </c>
      <c r="R289" s="2">
        <v>118.6575</v>
      </c>
      <c r="S289" t="s">
        <v>58</v>
      </c>
      <c r="T289" s="10">
        <v>5</v>
      </c>
      <c r="U289" t="s">
        <v>77</v>
      </c>
    </row>
    <row r="290" spans="1:21" x14ac:dyDescent="0.2">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s="2">
        <v>83.951999999999998</v>
      </c>
      <c r="Q290">
        <v>3</v>
      </c>
      <c r="R290" s="2">
        <v>-90.248400000000004</v>
      </c>
      <c r="S290" t="s">
        <v>129</v>
      </c>
      <c r="T290" s="10">
        <v>6</v>
      </c>
      <c r="U290" t="s">
        <v>77</v>
      </c>
    </row>
    <row r="291" spans="1:21" x14ac:dyDescent="0.2">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s="2">
        <v>18.84</v>
      </c>
      <c r="Q291">
        <v>3</v>
      </c>
      <c r="R291" s="2">
        <v>7.1592000000000002</v>
      </c>
      <c r="S291" t="s">
        <v>430</v>
      </c>
      <c r="T291" s="10">
        <v>0</v>
      </c>
      <c r="U291" t="s">
        <v>297</v>
      </c>
    </row>
    <row r="292" spans="1:21" x14ac:dyDescent="0.2">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s="2">
        <v>239.98</v>
      </c>
      <c r="Q292">
        <v>2</v>
      </c>
      <c r="R292" s="2">
        <v>52.7956</v>
      </c>
      <c r="S292" t="s">
        <v>430</v>
      </c>
      <c r="T292" s="10">
        <v>0</v>
      </c>
      <c r="U292" t="s">
        <v>297</v>
      </c>
    </row>
    <row r="293" spans="1:21" x14ac:dyDescent="0.2">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s="2">
        <v>652.45000000000005</v>
      </c>
      <c r="Q293">
        <v>5</v>
      </c>
      <c r="R293" s="2">
        <v>-430.61700000000002</v>
      </c>
      <c r="S293" t="s">
        <v>58</v>
      </c>
      <c r="T293" s="10">
        <v>5</v>
      </c>
      <c r="U293" t="s">
        <v>48</v>
      </c>
    </row>
    <row r="294" spans="1:21" x14ac:dyDescent="0.2">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s="2">
        <v>66.644999999999996</v>
      </c>
      <c r="Q294">
        <v>3</v>
      </c>
      <c r="R294" s="2">
        <v>-42.652799999999999</v>
      </c>
      <c r="S294" t="s">
        <v>58</v>
      </c>
      <c r="T294" s="10">
        <v>5</v>
      </c>
      <c r="U294" t="s">
        <v>48</v>
      </c>
    </row>
    <row r="295" spans="1:21" x14ac:dyDescent="0.2">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s="2">
        <v>205.17599999999999</v>
      </c>
      <c r="Q295">
        <v>2</v>
      </c>
      <c r="R295" s="2">
        <v>-58.133200000000002</v>
      </c>
      <c r="S295" t="s">
        <v>129</v>
      </c>
      <c r="T295" s="10">
        <v>6</v>
      </c>
      <c r="U295" t="s">
        <v>113</v>
      </c>
    </row>
    <row r="296" spans="1:21" x14ac:dyDescent="0.2">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s="2">
        <v>154.76400000000001</v>
      </c>
      <c r="Q296">
        <v>3</v>
      </c>
      <c r="R296" s="2">
        <v>-36.111600000000003</v>
      </c>
      <c r="S296" t="s">
        <v>70</v>
      </c>
      <c r="T296" s="10">
        <v>2</v>
      </c>
      <c r="U296" t="s">
        <v>113</v>
      </c>
    </row>
    <row r="297" spans="1:21" x14ac:dyDescent="0.2">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s="2">
        <v>39.979999999999997</v>
      </c>
      <c r="Q297">
        <v>2</v>
      </c>
      <c r="R297" s="2">
        <v>9.9949999999999992</v>
      </c>
      <c r="S297" t="s">
        <v>83</v>
      </c>
      <c r="T297" s="10">
        <v>4</v>
      </c>
      <c r="U297" t="s">
        <v>77</v>
      </c>
    </row>
    <row r="298" spans="1:21" x14ac:dyDescent="0.2">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s="2">
        <v>393.16500000000002</v>
      </c>
      <c r="Q298">
        <v>3</v>
      </c>
      <c r="R298" s="2">
        <v>-204.44579999999999</v>
      </c>
      <c r="S298" t="s">
        <v>58</v>
      </c>
      <c r="T298" s="10">
        <v>5</v>
      </c>
      <c r="U298" t="s">
        <v>77</v>
      </c>
    </row>
    <row r="299" spans="1:21" x14ac:dyDescent="0.2">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s="2">
        <v>408.00599999999997</v>
      </c>
      <c r="Q299">
        <v>2</v>
      </c>
      <c r="R299" s="2">
        <v>72.534400000000005</v>
      </c>
      <c r="S299" t="s">
        <v>83</v>
      </c>
      <c r="T299" s="10">
        <v>4</v>
      </c>
      <c r="U299" t="s">
        <v>71</v>
      </c>
    </row>
    <row r="300" spans="1:21" x14ac:dyDescent="0.2">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s="2">
        <v>165.28</v>
      </c>
      <c r="Q300">
        <v>4</v>
      </c>
      <c r="R300" s="2">
        <v>14.8752</v>
      </c>
      <c r="S300" t="s">
        <v>83</v>
      </c>
      <c r="T300" s="10">
        <v>4</v>
      </c>
      <c r="U300" t="s">
        <v>71</v>
      </c>
    </row>
    <row r="301" spans="1:21" x14ac:dyDescent="0.2">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s="2">
        <v>37.74</v>
      </c>
      <c r="Q301">
        <v>3</v>
      </c>
      <c r="R301" s="2">
        <v>12.8316</v>
      </c>
      <c r="S301" t="s">
        <v>33</v>
      </c>
      <c r="T301" s="10">
        <v>3</v>
      </c>
      <c r="U301" t="s">
        <v>169</v>
      </c>
    </row>
    <row r="302" spans="1:21" x14ac:dyDescent="0.2">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s="2">
        <v>4.9279999999999999</v>
      </c>
      <c r="Q302">
        <v>4</v>
      </c>
      <c r="R302" s="2">
        <v>-1.4783999999999999</v>
      </c>
      <c r="S302" t="s">
        <v>33</v>
      </c>
      <c r="T302" s="10">
        <v>3</v>
      </c>
      <c r="U302" t="s">
        <v>77</v>
      </c>
    </row>
    <row r="303" spans="1:21" x14ac:dyDescent="0.2">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s="2">
        <v>1819.86</v>
      </c>
      <c r="Q303">
        <v>14</v>
      </c>
      <c r="R303" s="2">
        <v>163.78739999999999</v>
      </c>
      <c r="S303" t="s">
        <v>70</v>
      </c>
      <c r="T303" s="10">
        <v>2</v>
      </c>
      <c r="U303" t="s">
        <v>96</v>
      </c>
    </row>
    <row r="304" spans="1:21" x14ac:dyDescent="0.2">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s="2">
        <v>2453.4299999999998</v>
      </c>
      <c r="Q304">
        <v>5</v>
      </c>
      <c r="R304" s="2">
        <v>-350.49</v>
      </c>
      <c r="S304" t="s">
        <v>430</v>
      </c>
      <c r="T304" s="10">
        <v>0</v>
      </c>
      <c r="U304" t="s">
        <v>48</v>
      </c>
    </row>
    <row r="305" spans="1:21" x14ac:dyDescent="0.2">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s="2">
        <v>470.30200000000002</v>
      </c>
      <c r="Q305">
        <v>7</v>
      </c>
      <c r="R305" s="2">
        <v>-87.341800000000006</v>
      </c>
      <c r="S305" t="s">
        <v>33</v>
      </c>
      <c r="T305" s="10">
        <v>3</v>
      </c>
      <c r="U305" t="s">
        <v>59</v>
      </c>
    </row>
    <row r="306" spans="1:21" x14ac:dyDescent="0.2">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s="2">
        <v>452.94</v>
      </c>
      <c r="Q306">
        <v>3</v>
      </c>
      <c r="R306" s="2">
        <v>67.941000000000003</v>
      </c>
      <c r="S306" t="s">
        <v>47</v>
      </c>
      <c r="T306" s="10">
        <v>7</v>
      </c>
      <c r="U306" t="s">
        <v>59</v>
      </c>
    </row>
    <row r="307" spans="1:21" x14ac:dyDescent="0.2">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s="2">
        <v>27.46</v>
      </c>
      <c r="Q307">
        <v>2</v>
      </c>
      <c r="R307" s="2">
        <v>9.8856000000000002</v>
      </c>
      <c r="S307" t="s">
        <v>430</v>
      </c>
      <c r="T307" s="10">
        <v>0</v>
      </c>
      <c r="U307" t="s">
        <v>161</v>
      </c>
    </row>
    <row r="308" spans="1:21" x14ac:dyDescent="0.2">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s="2">
        <v>244.006</v>
      </c>
      <c r="Q308">
        <v>2</v>
      </c>
      <c r="R308" s="2">
        <v>-31.372199999999999</v>
      </c>
      <c r="S308" t="s">
        <v>83</v>
      </c>
      <c r="T308" s="10">
        <v>4</v>
      </c>
      <c r="U308" t="s">
        <v>195</v>
      </c>
    </row>
    <row r="309" spans="1:21" x14ac:dyDescent="0.2">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s="2">
        <v>1024.7159999999999</v>
      </c>
      <c r="Q309">
        <v>6</v>
      </c>
      <c r="R309" s="2">
        <v>-29.2776</v>
      </c>
      <c r="S309" t="s">
        <v>70</v>
      </c>
      <c r="T309" s="10">
        <v>2</v>
      </c>
      <c r="U309" t="s">
        <v>253</v>
      </c>
    </row>
    <row r="310" spans="1:21" x14ac:dyDescent="0.2">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s="2">
        <v>121.376</v>
      </c>
      <c r="Q310">
        <v>4</v>
      </c>
      <c r="R310" s="2">
        <v>-3.0344000000000002</v>
      </c>
      <c r="S310" t="s">
        <v>129</v>
      </c>
      <c r="T310" s="10">
        <v>6</v>
      </c>
      <c r="U310" t="s">
        <v>253</v>
      </c>
    </row>
    <row r="311" spans="1:21" x14ac:dyDescent="0.2">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s="2">
        <v>872.94</v>
      </c>
      <c r="Q311">
        <v>3</v>
      </c>
      <c r="R311" s="2">
        <v>226.96440000000001</v>
      </c>
      <c r="S311" t="s">
        <v>83</v>
      </c>
      <c r="T311" s="10">
        <v>4</v>
      </c>
      <c r="U311" t="s">
        <v>96</v>
      </c>
    </row>
    <row r="312" spans="1:21" x14ac:dyDescent="0.2">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s="2">
        <v>6.6879999999999997</v>
      </c>
      <c r="Q312">
        <v>4</v>
      </c>
      <c r="R312" s="2">
        <v>-4.0128000000000004</v>
      </c>
      <c r="S312" t="s">
        <v>123</v>
      </c>
      <c r="T312" s="10">
        <v>1</v>
      </c>
      <c r="U312" t="s">
        <v>96</v>
      </c>
    </row>
    <row r="313" spans="1:21" x14ac:dyDescent="0.2">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s="2">
        <v>42.6</v>
      </c>
      <c r="Q313">
        <v>3</v>
      </c>
      <c r="R313" s="2">
        <v>16.614000000000001</v>
      </c>
      <c r="S313" t="s">
        <v>83</v>
      </c>
      <c r="T313" s="10">
        <v>4</v>
      </c>
      <c r="U313" t="s">
        <v>34</v>
      </c>
    </row>
    <row r="314" spans="1:21" x14ac:dyDescent="0.2">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s="2">
        <v>977.29200000000003</v>
      </c>
      <c r="Q314">
        <v>6</v>
      </c>
      <c r="R314" s="2">
        <v>173.74080000000001</v>
      </c>
      <c r="S314" t="s">
        <v>83</v>
      </c>
      <c r="T314" s="10">
        <v>4</v>
      </c>
      <c r="U314" t="s">
        <v>34</v>
      </c>
    </row>
    <row r="315" spans="1:21" x14ac:dyDescent="0.2">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s="2">
        <v>9.64</v>
      </c>
      <c r="Q315">
        <v>2</v>
      </c>
      <c r="R315" s="2">
        <v>3.6631999999999998</v>
      </c>
      <c r="S315" t="s">
        <v>83</v>
      </c>
      <c r="T315" s="10">
        <v>4</v>
      </c>
      <c r="U315" t="s">
        <v>48</v>
      </c>
    </row>
    <row r="316" spans="1:21" x14ac:dyDescent="0.2">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s="2">
        <v>9.94</v>
      </c>
      <c r="Q316">
        <v>2</v>
      </c>
      <c r="R316" s="2">
        <v>3.0813999999999999</v>
      </c>
      <c r="S316" t="s">
        <v>47</v>
      </c>
      <c r="T316" s="10">
        <v>7</v>
      </c>
      <c r="U316" t="s">
        <v>34</v>
      </c>
    </row>
    <row r="317" spans="1:21" x14ac:dyDescent="0.2">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s="2">
        <v>1004.976</v>
      </c>
      <c r="Q317">
        <v>6</v>
      </c>
      <c r="R317" s="2">
        <v>-175.8708</v>
      </c>
      <c r="S317" t="s">
        <v>129</v>
      </c>
      <c r="T317" s="10">
        <v>6</v>
      </c>
      <c r="U317" t="s">
        <v>253</v>
      </c>
    </row>
    <row r="318" spans="1:21" x14ac:dyDescent="0.2">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s="2">
        <v>8.36</v>
      </c>
      <c r="Q318">
        <v>2</v>
      </c>
      <c r="R318" s="2">
        <v>3.0095999999999998</v>
      </c>
      <c r="S318" t="s">
        <v>33</v>
      </c>
      <c r="T318" s="10">
        <v>3</v>
      </c>
      <c r="U318" t="s">
        <v>77</v>
      </c>
    </row>
    <row r="319" spans="1:21" x14ac:dyDescent="0.2">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s="2">
        <v>63.686</v>
      </c>
      <c r="Q319">
        <v>1</v>
      </c>
      <c r="R319" s="2">
        <v>-9.0980000000000008</v>
      </c>
      <c r="S319" t="s">
        <v>129</v>
      </c>
      <c r="T319" s="10">
        <v>6</v>
      </c>
      <c r="U319" t="s">
        <v>96</v>
      </c>
    </row>
    <row r="320" spans="1:21" x14ac:dyDescent="0.2">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s="2">
        <v>1669.6</v>
      </c>
      <c r="Q320">
        <v>4</v>
      </c>
      <c r="R320" s="2">
        <v>116.872</v>
      </c>
      <c r="S320" t="s">
        <v>83</v>
      </c>
      <c r="T320" s="10">
        <v>4</v>
      </c>
      <c r="U320" t="s">
        <v>96</v>
      </c>
    </row>
    <row r="321" spans="1:21" x14ac:dyDescent="0.2">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s="2">
        <v>206.11199999999999</v>
      </c>
      <c r="Q321">
        <v>6</v>
      </c>
      <c r="R321" s="2">
        <v>48.951599999999999</v>
      </c>
      <c r="S321" t="s">
        <v>58</v>
      </c>
      <c r="T321" s="10">
        <v>5</v>
      </c>
      <c r="U321" t="s">
        <v>96</v>
      </c>
    </row>
    <row r="322" spans="1:21" x14ac:dyDescent="0.2">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s="2">
        <v>11.648</v>
      </c>
      <c r="Q322">
        <v>2</v>
      </c>
      <c r="R322" s="2">
        <v>3.3488000000000002</v>
      </c>
      <c r="S322" t="s">
        <v>58</v>
      </c>
      <c r="T322" s="10">
        <v>5</v>
      </c>
      <c r="U322" t="s">
        <v>71</v>
      </c>
    </row>
    <row r="323" spans="1:21" x14ac:dyDescent="0.2">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s="2">
        <v>203.983</v>
      </c>
      <c r="Q323">
        <v>2</v>
      </c>
      <c r="R323" s="2">
        <v>16.7986</v>
      </c>
      <c r="S323" t="s">
        <v>83</v>
      </c>
      <c r="T323" s="10">
        <v>4</v>
      </c>
      <c r="U323" t="s">
        <v>297</v>
      </c>
    </row>
    <row r="324" spans="1:21" x14ac:dyDescent="0.2">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s="2">
        <v>782.94</v>
      </c>
      <c r="Q324">
        <v>3</v>
      </c>
      <c r="R324" s="2">
        <v>203.56440000000001</v>
      </c>
      <c r="S324" t="s">
        <v>70</v>
      </c>
      <c r="T324" s="10">
        <v>2</v>
      </c>
      <c r="U324" t="s">
        <v>77</v>
      </c>
    </row>
    <row r="325" spans="1:21" x14ac:dyDescent="0.2">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s="2">
        <v>8.32</v>
      </c>
      <c r="Q325">
        <v>5</v>
      </c>
      <c r="R325" s="2">
        <v>2.2879999999999998</v>
      </c>
      <c r="S325" t="s">
        <v>58</v>
      </c>
      <c r="T325" s="10">
        <v>5</v>
      </c>
      <c r="U325" t="s">
        <v>195</v>
      </c>
    </row>
    <row r="326" spans="1:21" x14ac:dyDescent="0.2">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s="2">
        <v>1573.4880000000001</v>
      </c>
      <c r="Q326">
        <v>7</v>
      </c>
      <c r="R326" s="2">
        <v>196.68600000000001</v>
      </c>
      <c r="S326" t="s">
        <v>83</v>
      </c>
      <c r="T326" s="10">
        <v>4</v>
      </c>
      <c r="U326" t="s">
        <v>96</v>
      </c>
    </row>
    <row r="327" spans="1:21" x14ac:dyDescent="0.2">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s="2">
        <v>171.96</v>
      </c>
      <c r="Q327">
        <v>2</v>
      </c>
      <c r="R327" s="2">
        <v>44.709600000000002</v>
      </c>
      <c r="S327" t="s">
        <v>70</v>
      </c>
      <c r="T327" s="10">
        <v>2</v>
      </c>
      <c r="U327" t="s">
        <v>195</v>
      </c>
    </row>
    <row r="328" spans="1:21" x14ac:dyDescent="0.2">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s="2">
        <v>1044.6300000000001</v>
      </c>
      <c r="Q328">
        <v>5</v>
      </c>
      <c r="R328" s="2">
        <v>-295.9785</v>
      </c>
      <c r="S328" t="s">
        <v>430</v>
      </c>
      <c r="T328" s="10">
        <v>0</v>
      </c>
      <c r="U328" t="s">
        <v>59</v>
      </c>
    </row>
    <row r="329" spans="1:21" x14ac:dyDescent="0.2">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s="2">
        <v>603.91999999999996</v>
      </c>
      <c r="Q329">
        <v>5</v>
      </c>
      <c r="R329" s="2">
        <v>-67.941000000000003</v>
      </c>
      <c r="S329" t="s">
        <v>70</v>
      </c>
      <c r="T329" s="10">
        <v>2</v>
      </c>
      <c r="U329" t="s">
        <v>34</v>
      </c>
    </row>
    <row r="330" spans="1:21" x14ac:dyDescent="0.2">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s="2">
        <v>381.44</v>
      </c>
      <c r="Q330">
        <v>2</v>
      </c>
      <c r="R330" s="2">
        <v>23.84</v>
      </c>
      <c r="S330" t="s">
        <v>70</v>
      </c>
      <c r="T330" s="10">
        <v>2</v>
      </c>
      <c r="U330" t="s">
        <v>34</v>
      </c>
    </row>
    <row r="331" spans="1:21" x14ac:dyDescent="0.2">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s="2">
        <v>763.28</v>
      </c>
      <c r="Q331">
        <v>5</v>
      </c>
      <c r="R331" s="2">
        <v>-21.808</v>
      </c>
      <c r="S331" t="s">
        <v>33</v>
      </c>
      <c r="T331" s="10">
        <v>3</v>
      </c>
      <c r="U331" t="s">
        <v>96</v>
      </c>
    </row>
    <row r="332" spans="1:21" x14ac:dyDescent="0.2">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s="2">
        <v>382.80599999999998</v>
      </c>
      <c r="Q332">
        <v>9</v>
      </c>
      <c r="R332" s="2">
        <v>-153.1224</v>
      </c>
      <c r="S332" t="s">
        <v>33</v>
      </c>
      <c r="T332" s="10">
        <v>3</v>
      </c>
      <c r="U332" t="s">
        <v>253</v>
      </c>
    </row>
    <row r="333" spans="1:21" x14ac:dyDescent="0.2">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s="2">
        <v>47.04</v>
      </c>
      <c r="Q333">
        <v>3</v>
      </c>
      <c r="R333" s="2">
        <v>18.345600000000001</v>
      </c>
      <c r="S333" t="s">
        <v>33</v>
      </c>
      <c r="T333" s="10">
        <v>3</v>
      </c>
      <c r="U333" t="s">
        <v>253</v>
      </c>
    </row>
    <row r="334" spans="1:21" x14ac:dyDescent="0.2">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s="2">
        <v>6.16</v>
      </c>
      <c r="Q334">
        <v>2</v>
      </c>
      <c r="R334" s="2">
        <v>2.9567999999999999</v>
      </c>
      <c r="S334" t="s">
        <v>33</v>
      </c>
      <c r="T334" s="10">
        <v>3</v>
      </c>
      <c r="U334" t="s">
        <v>253</v>
      </c>
    </row>
    <row r="335" spans="1:21" x14ac:dyDescent="0.2">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s="2">
        <v>359.05799999999999</v>
      </c>
      <c r="Q335">
        <v>3</v>
      </c>
      <c r="R335" s="2">
        <v>-35.905799999999999</v>
      </c>
      <c r="S335" t="s">
        <v>33</v>
      </c>
      <c r="T335" s="10">
        <v>3</v>
      </c>
      <c r="U335" t="s">
        <v>195</v>
      </c>
    </row>
    <row r="336" spans="1:21" x14ac:dyDescent="0.2">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s="2">
        <v>47.991999999999997</v>
      </c>
      <c r="Q336">
        <v>2</v>
      </c>
      <c r="R336" s="2">
        <v>-2.0568</v>
      </c>
      <c r="S336" t="s">
        <v>83</v>
      </c>
      <c r="T336" s="10">
        <v>4</v>
      </c>
      <c r="U336" t="s">
        <v>161</v>
      </c>
    </row>
    <row r="337" spans="1:21" x14ac:dyDescent="0.2">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s="2">
        <v>547.29999999999995</v>
      </c>
      <c r="Q337">
        <v>13</v>
      </c>
      <c r="R337" s="2">
        <v>175.136</v>
      </c>
      <c r="S337" t="s">
        <v>70</v>
      </c>
      <c r="T337" s="10">
        <v>2</v>
      </c>
      <c r="U337" t="s">
        <v>48</v>
      </c>
    </row>
    <row r="338" spans="1:21" x14ac:dyDescent="0.2">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s="2">
        <v>15.992000000000001</v>
      </c>
      <c r="Q338">
        <v>2</v>
      </c>
      <c r="R338" s="2">
        <v>-13.993</v>
      </c>
      <c r="S338" t="s">
        <v>70</v>
      </c>
      <c r="T338" s="10">
        <v>2</v>
      </c>
      <c r="U338" t="s">
        <v>34</v>
      </c>
    </row>
    <row r="339" spans="1:21" x14ac:dyDescent="0.2">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s="2">
        <v>211.96</v>
      </c>
      <c r="Q339">
        <v>2</v>
      </c>
      <c r="R339" s="2">
        <v>42.392000000000003</v>
      </c>
      <c r="S339" t="s">
        <v>58</v>
      </c>
      <c r="T339" s="10">
        <v>5</v>
      </c>
      <c r="U339" t="s">
        <v>161</v>
      </c>
    </row>
    <row r="340" spans="1:21" x14ac:dyDescent="0.2">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s="2">
        <v>290.666</v>
      </c>
      <c r="Q340">
        <v>2</v>
      </c>
      <c r="R340" s="2">
        <v>27.3568</v>
      </c>
      <c r="S340" t="s">
        <v>83</v>
      </c>
      <c r="T340" s="10">
        <v>4</v>
      </c>
      <c r="U340" t="s">
        <v>161</v>
      </c>
    </row>
    <row r="341" spans="1:21" x14ac:dyDescent="0.2">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s="2">
        <v>198.46</v>
      </c>
      <c r="Q341">
        <v>2</v>
      </c>
      <c r="R341" s="2">
        <v>99.23</v>
      </c>
      <c r="S341" t="s">
        <v>47</v>
      </c>
      <c r="T341" s="10">
        <v>7</v>
      </c>
      <c r="U341" t="s">
        <v>71</v>
      </c>
    </row>
    <row r="342" spans="1:21" x14ac:dyDescent="0.2">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s="2">
        <v>517.5</v>
      </c>
      <c r="Q342">
        <v>6</v>
      </c>
      <c r="R342" s="2">
        <v>155.25</v>
      </c>
      <c r="S342" t="s">
        <v>129</v>
      </c>
      <c r="T342" s="10">
        <v>6</v>
      </c>
      <c r="U342" t="s">
        <v>77</v>
      </c>
    </row>
    <row r="343" spans="1:21" x14ac:dyDescent="0.2">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s="2">
        <v>17.920000000000002</v>
      </c>
      <c r="Q343">
        <v>5</v>
      </c>
      <c r="R343" s="2">
        <v>2.464</v>
      </c>
      <c r="S343" t="s">
        <v>83</v>
      </c>
      <c r="T343" s="10">
        <v>4</v>
      </c>
      <c r="U343" t="s">
        <v>59</v>
      </c>
    </row>
    <row r="344" spans="1:21" x14ac:dyDescent="0.2">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s="2">
        <v>41.37</v>
      </c>
      <c r="Q344">
        <v>3</v>
      </c>
      <c r="R344" s="2">
        <v>17.375399999999999</v>
      </c>
      <c r="S344" t="s">
        <v>129</v>
      </c>
      <c r="T344" s="10">
        <v>6</v>
      </c>
      <c r="U344" t="s">
        <v>161</v>
      </c>
    </row>
    <row r="345" spans="1:21" x14ac:dyDescent="0.2">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s="2">
        <v>34.79</v>
      </c>
      <c r="Q345">
        <v>7</v>
      </c>
      <c r="R345" s="2">
        <v>10.7849</v>
      </c>
      <c r="S345" t="s">
        <v>33</v>
      </c>
      <c r="T345" s="10">
        <v>3</v>
      </c>
      <c r="U345" t="s">
        <v>161</v>
      </c>
    </row>
    <row r="346" spans="1:21" x14ac:dyDescent="0.2">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s="2">
        <v>1018.104</v>
      </c>
      <c r="Q346">
        <v>4</v>
      </c>
      <c r="R346" s="2">
        <v>-373.3048</v>
      </c>
      <c r="S346" t="s">
        <v>58</v>
      </c>
      <c r="T346" s="10">
        <v>5</v>
      </c>
      <c r="U346" t="s">
        <v>169</v>
      </c>
    </row>
    <row r="347" spans="1:21" x14ac:dyDescent="0.2">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s="2">
        <v>21.936</v>
      </c>
      <c r="Q347">
        <v>2</v>
      </c>
      <c r="R347" s="2">
        <v>-10.419600000000001</v>
      </c>
      <c r="S347" t="s">
        <v>83</v>
      </c>
      <c r="T347" s="10">
        <v>4</v>
      </c>
      <c r="U347" t="s">
        <v>77</v>
      </c>
    </row>
    <row r="348" spans="1:21" x14ac:dyDescent="0.2">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s="2">
        <v>42.368000000000002</v>
      </c>
      <c r="Q348">
        <v>2</v>
      </c>
      <c r="R348" s="2">
        <v>8.4735999999999994</v>
      </c>
      <c r="S348" t="s">
        <v>129</v>
      </c>
      <c r="T348" s="10">
        <v>6</v>
      </c>
      <c r="U348" t="s">
        <v>77</v>
      </c>
    </row>
    <row r="349" spans="1:21" x14ac:dyDescent="0.2">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s="2">
        <v>14.82</v>
      </c>
      <c r="Q349">
        <v>3</v>
      </c>
      <c r="R349" s="2">
        <v>6.2244000000000002</v>
      </c>
      <c r="S349" t="s">
        <v>58</v>
      </c>
      <c r="T349" s="10">
        <v>5</v>
      </c>
      <c r="U349" t="s">
        <v>34</v>
      </c>
    </row>
    <row r="350" spans="1:21" x14ac:dyDescent="0.2">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s="2">
        <v>310.88</v>
      </c>
      <c r="Q350">
        <v>2</v>
      </c>
      <c r="R350" s="2">
        <v>23.315999999999999</v>
      </c>
      <c r="S350" t="s">
        <v>70</v>
      </c>
      <c r="T350" s="10">
        <v>2</v>
      </c>
      <c r="U350" t="s">
        <v>96</v>
      </c>
    </row>
    <row r="351" spans="1:21" x14ac:dyDescent="0.2">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s="2">
        <v>853.09199999999998</v>
      </c>
      <c r="Q351">
        <v>6</v>
      </c>
      <c r="R351" s="2">
        <v>-227.49119999999999</v>
      </c>
      <c r="S351" t="s">
        <v>83</v>
      </c>
      <c r="T351" s="10">
        <v>4</v>
      </c>
      <c r="U351" t="s">
        <v>253</v>
      </c>
    </row>
    <row r="352" spans="1:21" x14ac:dyDescent="0.2">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s="2">
        <v>21.88</v>
      </c>
      <c r="Q352">
        <v>5</v>
      </c>
      <c r="R352" s="2">
        <v>6.2904999999999998</v>
      </c>
      <c r="S352" t="s">
        <v>58</v>
      </c>
      <c r="T352" s="10">
        <v>5</v>
      </c>
      <c r="U352" t="s">
        <v>195</v>
      </c>
    </row>
    <row r="353" spans="1:21" x14ac:dyDescent="0.2">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s="2">
        <v>515.88</v>
      </c>
      <c r="Q353">
        <v>6</v>
      </c>
      <c r="R353" s="2">
        <v>113.4936</v>
      </c>
      <c r="S353" t="s">
        <v>83</v>
      </c>
      <c r="T353" s="10">
        <v>4</v>
      </c>
      <c r="U353" t="s">
        <v>59</v>
      </c>
    </row>
    <row r="354" spans="1:21" x14ac:dyDescent="0.2">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s="2">
        <v>1931.04</v>
      </c>
      <c r="Q354">
        <v>9</v>
      </c>
      <c r="R354" s="2">
        <v>321.83999999999997</v>
      </c>
      <c r="S354" t="s">
        <v>70</v>
      </c>
      <c r="T354" s="10">
        <v>2</v>
      </c>
      <c r="U354" t="s">
        <v>71</v>
      </c>
    </row>
    <row r="355" spans="1:21" x14ac:dyDescent="0.2">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s="2">
        <v>71.992000000000004</v>
      </c>
      <c r="Q355">
        <v>1</v>
      </c>
      <c r="R355" s="2">
        <v>-0.89990000000000003</v>
      </c>
      <c r="S355" t="s">
        <v>129</v>
      </c>
      <c r="T355" s="10">
        <v>6</v>
      </c>
      <c r="U355" t="s">
        <v>48</v>
      </c>
    </row>
    <row r="356" spans="1:21" x14ac:dyDescent="0.2">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s="2">
        <v>765.625</v>
      </c>
      <c r="Q356">
        <v>7</v>
      </c>
      <c r="R356" s="2">
        <v>-566.5625</v>
      </c>
      <c r="S356" t="s">
        <v>58</v>
      </c>
      <c r="T356" s="10">
        <v>5</v>
      </c>
      <c r="U356" t="s">
        <v>77</v>
      </c>
    </row>
    <row r="357" spans="1:21" x14ac:dyDescent="0.2">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s="2">
        <v>307.666</v>
      </c>
      <c r="Q357">
        <v>2</v>
      </c>
      <c r="R357" s="2">
        <v>-14.478400000000001</v>
      </c>
      <c r="S357" t="s">
        <v>129</v>
      </c>
      <c r="T357" s="10">
        <v>6</v>
      </c>
      <c r="U357" t="s">
        <v>48</v>
      </c>
    </row>
    <row r="358" spans="1:21" x14ac:dyDescent="0.2">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s="2">
        <v>35.92</v>
      </c>
      <c r="Q358">
        <v>4</v>
      </c>
      <c r="R358" s="2">
        <v>15.086399999999999</v>
      </c>
      <c r="S358" t="s">
        <v>58</v>
      </c>
      <c r="T358" s="10">
        <v>5</v>
      </c>
      <c r="U358" t="s">
        <v>161</v>
      </c>
    </row>
    <row r="359" spans="1:21" x14ac:dyDescent="0.2">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s="2">
        <v>39.76</v>
      </c>
      <c r="Q359">
        <v>8</v>
      </c>
      <c r="R359" s="2">
        <v>12.3256</v>
      </c>
      <c r="S359" t="s">
        <v>58</v>
      </c>
      <c r="T359" s="10">
        <v>5</v>
      </c>
      <c r="U359" t="s">
        <v>161</v>
      </c>
    </row>
    <row r="360" spans="1:21" x14ac:dyDescent="0.2">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s="2">
        <v>359.05799999999999</v>
      </c>
      <c r="Q360">
        <v>3</v>
      </c>
      <c r="R360" s="2">
        <v>-71.811599999999999</v>
      </c>
      <c r="S360" t="s">
        <v>58</v>
      </c>
      <c r="T360" s="10">
        <v>5</v>
      </c>
      <c r="U360" t="s">
        <v>96</v>
      </c>
    </row>
    <row r="361" spans="1:21" x14ac:dyDescent="0.2">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s="2">
        <v>1048.3499999999999</v>
      </c>
      <c r="Q361">
        <v>5</v>
      </c>
      <c r="R361" s="2">
        <v>-69.89</v>
      </c>
      <c r="S361" t="s">
        <v>58</v>
      </c>
      <c r="T361" s="10">
        <v>5</v>
      </c>
      <c r="U361" t="s">
        <v>113</v>
      </c>
    </row>
    <row r="362" spans="1:21" x14ac:dyDescent="0.2">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s="2">
        <v>7.1680000000000001</v>
      </c>
      <c r="Q362">
        <v>2</v>
      </c>
      <c r="R362" s="2">
        <v>0.98560000000000003</v>
      </c>
      <c r="S362" t="s">
        <v>83</v>
      </c>
      <c r="T362" s="10">
        <v>4</v>
      </c>
      <c r="U362" t="s">
        <v>48</v>
      </c>
    </row>
    <row r="363" spans="1:21" x14ac:dyDescent="0.2">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s="2">
        <v>206.96199999999999</v>
      </c>
      <c r="Q363">
        <v>2</v>
      </c>
      <c r="R363" s="2">
        <v>-32.522599999999997</v>
      </c>
      <c r="S363" t="s">
        <v>58</v>
      </c>
      <c r="T363" s="10">
        <v>5</v>
      </c>
      <c r="U363" t="s">
        <v>34</v>
      </c>
    </row>
    <row r="364" spans="1:21" x14ac:dyDescent="0.2">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s="2">
        <v>9.4600000000000009</v>
      </c>
      <c r="Q364">
        <v>2</v>
      </c>
      <c r="R364" s="2">
        <v>3.6894</v>
      </c>
      <c r="S364" t="s">
        <v>33</v>
      </c>
      <c r="T364" s="10">
        <v>3</v>
      </c>
      <c r="U364" t="s">
        <v>48</v>
      </c>
    </row>
    <row r="365" spans="1:21" x14ac:dyDescent="0.2">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s="2">
        <v>411.33199999999999</v>
      </c>
      <c r="Q365">
        <v>4</v>
      </c>
      <c r="R365" s="2">
        <v>-4.8391999999999999</v>
      </c>
      <c r="S365" t="s">
        <v>83</v>
      </c>
      <c r="T365" s="10">
        <v>4</v>
      </c>
      <c r="U365" t="s">
        <v>77</v>
      </c>
    </row>
    <row r="366" spans="1:21" x14ac:dyDescent="0.2">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s="2">
        <v>293.19900000000001</v>
      </c>
      <c r="Q366">
        <v>3</v>
      </c>
      <c r="R366" s="2">
        <v>-20.696400000000001</v>
      </c>
      <c r="S366" t="s">
        <v>83</v>
      </c>
      <c r="T366" s="10">
        <v>4</v>
      </c>
      <c r="U366" t="s">
        <v>77</v>
      </c>
    </row>
    <row r="367" spans="1:21" x14ac:dyDescent="0.2">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s="2">
        <v>109.8</v>
      </c>
      <c r="Q367">
        <v>9</v>
      </c>
      <c r="R367" s="2">
        <v>46.116</v>
      </c>
      <c r="S367" t="s">
        <v>83</v>
      </c>
      <c r="T367" s="10">
        <v>4</v>
      </c>
      <c r="U367" t="s">
        <v>253</v>
      </c>
    </row>
    <row r="368" spans="1:21" x14ac:dyDescent="0.2">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s="2">
        <v>2807.84</v>
      </c>
      <c r="Q368">
        <v>8</v>
      </c>
      <c r="R368" s="2">
        <v>673.88160000000005</v>
      </c>
      <c r="S368" t="s">
        <v>70</v>
      </c>
      <c r="T368" s="10">
        <v>2</v>
      </c>
      <c r="U368" t="s">
        <v>96</v>
      </c>
    </row>
    <row r="369" spans="1:21" x14ac:dyDescent="0.2">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s="2">
        <v>215.65</v>
      </c>
      <c r="Q369">
        <v>5</v>
      </c>
      <c r="R369" s="2">
        <v>73.320999999999998</v>
      </c>
      <c r="S369" t="s">
        <v>83</v>
      </c>
      <c r="T369" s="10">
        <v>4</v>
      </c>
      <c r="U369" t="s">
        <v>71</v>
      </c>
    </row>
    <row r="370" spans="1:21" x14ac:dyDescent="0.2">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s="2">
        <v>4.18</v>
      </c>
      <c r="Q370">
        <v>1</v>
      </c>
      <c r="R370" s="2">
        <v>1.5047999999999999</v>
      </c>
      <c r="S370" t="s">
        <v>129</v>
      </c>
      <c r="T370" s="10">
        <v>6</v>
      </c>
      <c r="U370" t="s">
        <v>34</v>
      </c>
    </row>
    <row r="371" spans="1:21" x14ac:dyDescent="0.2">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s="2">
        <v>16.155999999999999</v>
      </c>
      <c r="Q371">
        <v>7</v>
      </c>
      <c r="R371" s="2">
        <v>-12.117000000000001</v>
      </c>
      <c r="S371" t="s">
        <v>129</v>
      </c>
      <c r="T371" s="10">
        <v>6</v>
      </c>
      <c r="U371" t="s">
        <v>48</v>
      </c>
    </row>
    <row r="372" spans="1:21" x14ac:dyDescent="0.2">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s="2">
        <v>1441.3</v>
      </c>
      <c r="Q372">
        <v>7</v>
      </c>
      <c r="R372" s="2">
        <v>245.02099999999999</v>
      </c>
      <c r="S372" t="s">
        <v>70</v>
      </c>
      <c r="T372" s="10">
        <v>2</v>
      </c>
      <c r="U372" t="s">
        <v>59</v>
      </c>
    </row>
    <row r="373" spans="1:21" x14ac:dyDescent="0.2">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s="2">
        <v>77.599999999999994</v>
      </c>
      <c r="Q373">
        <v>5</v>
      </c>
      <c r="R373" s="2">
        <v>28.13</v>
      </c>
      <c r="S373" t="s">
        <v>129</v>
      </c>
      <c r="T373" s="10">
        <v>6</v>
      </c>
      <c r="U373" t="s">
        <v>34</v>
      </c>
    </row>
    <row r="374" spans="1:21" x14ac:dyDescent="0.2">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s="2">
        <v>4.6559999999999997</v>
      </c>
      <c r="Q374">
        <v>2</v>
      </c>
      <c r="R374" s="2">
        <v>1.5713999999999999</v>
      </c>
      <c r="S374" t="s">
        <v>129</v>
      </c>
      <c r="T374" s="10">
        <v>6</v>
      </c>
      <c r="U374" t="s">
        <v>34</v>
      </c>
    </row>
    <row r="375" spans="1:21" x14ac:dyDescent="0.2">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s="2">
        <v>170.136</v>
      </c>
      <c r="Q375">
        <v>3</v>
      </c>
      <c r="R375" s="2">
        <v>-8.5068000000000001</v>
      </c>
      <c r="S375" t="s">
        <v>83</v>
      </c>
      <c r="T375" s="10">
        <v>4</v>
      </c>
      <c r="U375" t="s">
        <v>77</v>
      </c>
    </row>
    <row r="376" spans="1:21" x14ac:dyDescent="0.2">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s="2">
        <v>29.32</v>
      </c>
      <c r="Q376">
        <v>2</v>
      </c>
      <c r="R376" s="2">
        <v>-24.189</v>
      </c>
      <c r="S376" t="s">
        <v>83</v>
      </c>
      <c r="T376" s="10">
        <v>4</v>
      </c>
      <c r="U376" t="s">
        <v>161</v>
      </c>
    </row>
    <row r="377" spans="1:21" x14ac:dyDescent="0.2">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s="2">
        <v>62.957999999999998</v>
      </c>
      <c r="Q377">
        <v>3</v>
      </c>
      <c r="R377" s="2">
        <v>-2.6981999999999999</v>
      </c>
      <c r="S377" t="s">
        <v>83</v>
      </c>
      <c r="T377" s="10">
        <v>4</v>
      </c>
      <c r="U377" t="s">
        <v>297</v>
      </c>
    </row>
    <row r="378" spans="1:21" x14ac:dyDescent="0.2">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s="2">
        <v>11.84</v>
      </c>
      <c r="Q378">
        <v>4</v>
      </c>
      <c r="R378" s="2">
        <v>3.1080000000000001</v>
      </c>
      <c r="S378" t="s">
        <v>129</v>
      </c>
      <c r="T378" s="10">
        <v>6</v>
      </c>
      <c r="U378" t="s">
        <v>96</v>
      </c>
    </row>
    <row r="379" spans="1:21" x14ac:dyDescent="0.2">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s="2">
        <v>22.783999999999999</v>
      </c>
      <c r="Q379">
        <v>1</v>
      </c>
      <c r="R379" s="2">
        <v>4.8415999999999997</v>
      </c>
      <c r="S379" t="s">
        <v>129</v>
      </c>
      <c r="T379" s="10">
        <v>6</v>
      </c>
      <c r="U379" t="s">
        <v>96</v>
      </c>
    </row>
    <row r="380" spans="1:21" x14ac:dyDescent="0.2">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s="2">
        <v>262.11</v>
      </c>
      <c r="Q380">
        <v>1</v>
      </c>
      <c r="R380" s="2">
        <v>62.906399999999998</v>
      </c>
      <c r="S380" t="s">
        <v>430</v>
      </c>
      <c r="T380" s="10">
        <v>0</v>
      </c>
      <c r="U380" t="s">
        <v>48</v>
      </c>
    </row>
    <row r="381" spans="1:21" x14ac:dyDescent="0.2">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s="2">
        <v>207</v>
      </c>
      <c r="Q381">
        <v>3</v>
      </c>
      <c r="R381" s="2">
        <v>25.875</v>
      </c>
      <c r="S381" t="s">
        <v>83</v>
      </c>
      <c r="T381" s="10">
        <v>4</v>
      </c>
      <c r="U381" t="s">
        <v>34</v>
      </c>
    </row>
    <row r="382" spans="1:21" x14ac:dyDescent="0.2">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s="2">
        <v>44.128</v>
      </c>
      <c r="Q382">
        <v>4</v>
      </c>
      <c r="R382" s="2">
        <v>12.135199999999999</v>
      </c>
      <c r="S382" t="s">
        <v>83</v>
      </c>
      <c r="T382" s="10">
        <v>4</v>
      </c>
      <c r="U382" t="s">
        <v>253</v>
      </c>
    </row>
    <row r="383" spans="1:21" x14ac:dyDescent="0.2">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s="2">
        <v>140.81</v>
      </c>
      <c r="Q383">
        <v>1</v>
      </c>
      <c r="R383" s="2">
        <v>39.4268</v>
      </c>
      <c r="S383" t="s">
        <v>58</v>
      </c>
      <c r="T383" s="10">
        <v>5</v>
      </c>
      <c r="U383" t="s">
        <v>71</v>
      </c>
    </row>
    <row r="384" spans="1:21" x14ac:dyDescent="0.2">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s="2">
        <v>40.783999999999999</v>
      </c>
      <c r="Q384">
        <v>2</v>
      </c>
      <c r="R384" s="2">
        <v>-30.588000000000001</v>
      </c>
      <c r="S384" t="s">
        <v>70</v>
      </c>
      <c r="T384" s="10">
        <v>2</v>
      </c>
      <c r="U384" t="s">
        <v>297</v>
      </c>
    </row>
    <row r="385" spans="1:21" x14ac:dyDescent="0.2">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s="2">
        <v>37.68</v>
      </c>
      <c r="Q385">
        <v>2</v>
      </c>
      <c r="R385" s="2">
        <v>15.8256</v>
      </c>
      <c r="S385" t="s">
        <v>58</v>
      </c>
      <c r="T385" s="10">
        <v>5</v>
      </c>
      <c r="U385" t="s">
        <v>169</v>
      </c>
    </row>
    <row r="386" spans="1:21" x14ac:dyDescent="0.2">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s="2">
        <v>362.35199999999998</v>
      </c>
      <c r="Q386">
        <v>3</v>
      </c>
      <c r="R386" s="2">
        <v>27.176400000000001</v>
      </c>
      <c r="S386" t="s">
        <v>430</v>
      </c>
      <c r="T386" s="10">
        <v>0</v>
      </c>
      <c r="U386" t="s">
        <v>77</v>
      </c>
    </row>
    <row r="387" spans="1:21" x14ac:dyDescent="0.2">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s="2">
        <v>257.56799999999998</v>
      </c>
      <c r="Q387">
        <v>2</v>
      </c>
      <c r="R387" s="2">
        <v>-28.976400000000002</v>
      </c>
      <c r="S387" t="s">
        <v>123</v>
      </c>
      <c r="T387" s="10">
        <v>1</v>
      </c>
      <c r="U387" t="s">
        <v>195</v>
      </c>
    </row>
    <row r="388" spans="1:21" x14ac:dyDescent="0.2">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s="2">
        <v>727.45</v>
      </c>
      <c r="Q388">
        <v>5</v>
      </c>
      <c r="R388" s="2">
        <v>-465.56799999999998</v>
      </c>
      <c r="S388" t="s">
        <v>83</v>
      </c>
      <c r="T388" s="10">
        <v>4</v>
      </c>
      <c r="U388" t="s">
        <v>48</v>
      </c>
    </row>
    <row r="389" spans="1:21" x14ac:dyDescent="0.2">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s="2">
        <v>24.96</v>
      </c>
      <c r="Q389">
        <v>3</v>
      </c>
      <c r="R389" s="2">
        <v>4.3680000000000003</v>
      </c>
      <c r="S389" t="s">
        <v>83</v>
      </c>
      <c r="T389" s="10">
        <v>4</v>
      </c>
      <c r="U389" t="s">
        <v>48</v>
      </c>
    </row>
    <row r="390" spans="1:21" x14ac:dyDescent="0.2">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s="2">
        <v>196.45</v>
      </c>
      <c r="Q390">
        <v>5</v>
      </c>
      <c r="R390" s="2">
        <v>70.721999999999994</v>
      </c>
      <c r="S390" t="s">
        <v>33</v>
      </c>
      <c r="T390" s="10">
        <v>3</v>
      </c>
      <c r="U390" t="s">
        <v>113</v>
      </c>
    </row>
    <row r="391" spans="1:21" x14ac:dyDescent="0.2">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s="2">
        <v>801.56799999999998</v>
      </c>
      <c r="Q391">
        <v>2</v>
      </c>
      <c r="R391" s="2">
        <v>50.097999999999999</v>
      </c>
      <c r="S391" t="s">
        <v>83</v>
      </c>
      <c r="T391" s="10">
        <v>4</v>
      </c>
      <c r="U391" t="s">
        <v>71</v>
      </c>
    </row>
    <row r="392" spans="1:21" x14ac:dyDescent="0.2">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s="2">
        <v>272.84800000000001</v>
      </c>
      <c r="Q392">
        <v>1</v>
      </c>
      <c r="R392" s="2">
        <v>27.284800000000001</v>
      </c>
      <c r="S392" t="s">
        <v>83</v>
      </c>
      <c r="T392" s="10">
        <v>4</v>
      </c>
      <c r="U392" t="s">
        <v>71</v>
      </c>
    </row>
    <row r="393" spans="1:21" x14ac:dyDescent="0.2">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s="2">
        <v>70.98</v>
      </c>
      <c r="Q393">
        <v>1</v>
      </c>
      <c r="R393" s="2">
        <v>20.584199999999999</v>
      </c>
      <c r="S393" t="s">
        <v>83</v>
      </c>
      <c r="T393" s="10">
        <v>4</v>
      </c>
      <c r="U393" t="s">
        <v>34</v>
      </c>
    </row>
    <row r="394" spans="1:21" x14ac:dyDescent="0.2">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s="2">
        <v>176.78399999999999</v>
      </c>
      <c r="Q394">
        <v>1</v>
      </c>
      <c r="R394" s="2">
        <v>-22.097999999999999</v>
      </c>
      <c r="S394" t="s">
        <v>129</v>
      </c>
      <c r="T394" s="10">
        <v>6</v>
      </c>
      <c r="U394" t="s">
        <v>195</v>
      </c>
    </row>
    <row r="395" spans="1:21" x14ac:dyDescent="0.2">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s="2">
        <v>393.56799999999998</v>
      </c>
      <c r="Q395">
        <v>4</v>
      </c>
      <c r="R395" s="2">
        <v>-44.276400000000002</v>
      </c>
      <c r="S395" t="s">
        <v>83</v>
      </c>
      <c r="T395" s="10">
        <v>4</v>
      </c>
      <c r="U395" t="s">
        <v>96</v>
      </c>
    </row>
    <row r="396" spans="1:21" x14ac:dyDescent="0.2">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s="2">
        <v>383.60700000000003</v>
      </c>
      <c r="Q396">
        <v>7</v>
      </c>
      <c r="R396" s="2">
        <v>63.9345</v>
      </c>
      <c r="S396" t="s">
        <v>430</v>
      </c>
      <c r="T396" s="10">
        <v>0</v>
      </c>
      <c r="U396" t="s">
        <v>195</v>
      </c>
    </row>
    <row r="397" spans="1:21" x14ac:dyDescent="0.2">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s="2">
        <v>31.56</v>
      </c>
      <c r="Q397">
        <v>3</v>
      </c>
      <c r="R397" s="2">
        <v>10.4148</v>
      </c>
      <c r="S397" t="s">
        <v>83</v>
      </c>
      <c r="T397" s="10">
        <v>4</v>
      </c>
      <c r="U397" t="s">
        <v>113</v>
      </c>
    </row>
    <row r="398" spans="1:21" x14ac:dyDescent="0.2">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s="2">
        <v>409.59</v>
      </c>
      <c r="Q398">
        <v>3</v>
      </c>
      <c r="R398" s="2">
        <v>-122.877</v>
      </c>
      <c r="S398" t="s">
        <v>123</v>
      </c>
      <c r="T398" s="10">
        <v>1</v>
      </c>
      <c r="U398" t="s">
        <v>48</v>
      </c>
    </row>
    <row r="399" spans="1:21" x14ac:dyDescent="0.2">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s="2">
        <v>174.05850000000001</v>
      </c>
      <c r="Q399">
        <v>3</v>
      </c>
      <c r="R399" s="2">
        <v>-110.7645</v>
      </c>
      <c r="S399" t="s">
        <v>83</v>
      </c>
      <c r="T399" s="10">
        <v>4</v>
      </c>
      <c r="U399" t="s">
        <v>253</v>
      </c>
    </row>
    <row r="400" spans="1:21" x14ac:dyDescent="0.2">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s="2">
        <v>478.48</v>
      </c>
      <c r="Q400">
        <v>2</v>
      </c>
      <c r="R400" s="2">
        <v>47.847999999999999</v>
      </c>
      <c r="S400" t="s">
        <v>123</v>
      </c>
      <c r="T400" s="10">
        <v>1</v>
      </c>
      <c r="U400" t="s">
        <v>48</v>
      </c>
    </row>
    <row r="401" spans="1:21" x14ac:dyDescent="0.2">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s="2">
        <v>136.91999999999999</v>
      </c>
      <c r="Q401">
        <v>4</v>
      </c>
      <c r="R401" s="2">
        <v>41.076000000000001</v>
      </c>
      <c r="S401" t="s">
        <v>123</v>
      </c>
      <c r="T401" s="10">
        <v>1</v>
      </c>
      <c r="U401" t="s">
        <v>297</v>
      </c>
    </row>
    <row r="402" spans="1:21" x14ac:dyDescent="0.2">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s="2">
        <v>18.96</v>
      </c>
      <c r="Q402">
        <v>2</v>
      </c>
      <c r="R402" s="2">
        <v>8.532</v>
      </c>
      <c r="S402" t="s">
        <v>58</v>
      </c>
      <c r="T402" s="10">
        <v>5</v>
      </c>
      <c r="U402" t="s">
        <v>96</v>
      </c>
    </row>
    <row r="403" spans="1:21" x14ac:dyDescent="0.2">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s="2">
        <v>462.56400000000002</v>
      </c>
      <c r="Q403">
        <v>2</v>
      </c>
      <c r="R403" s="2">
        <v>97.6524</v>
      </c>
      <c r="S403" t="s">
        <v>70</v>
      </c>
      <c r="T403" s="10">
        <v>2</v>
      </c>
      <c r="U403" t="s">
        <v>253</v>
      </c>
    </row>
    <row r="404" spans="1:21" x14ac:dyDescent="0.2">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s="2">
        <v>145.74</v>
      </c>
      <c r="Q404">
        <v>3</v>
      </c>
      <c r="R404" s="2">
        <v>23.3184</v>
      </c>
      <c r="S404" t="s">
        <v>83</v>
      </c>
      <c r="T404" s="10">
        <v>4</v>
      </c>
      <c r="U404" t="s">
        <v>253</v>
      </c>
    </row>
    <row r="405" spans="1:21" x14ac:dyDescent="0.2">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s="2">
        <v>15.4</v>
      </c>
      <c r="Q405">
        <v>5</v>
      </c>
      <c r="R405" s="2">
        <v>7.3920000000000003</v>
      </c>
      <c r="S405" t="s">
        <v>83</v>
      </c>
      <c r="T405" s="10">
        <v>4</v>
      </c>
      <c r="U405" t="s">
        <v>253</v>
      </c>
    </row>
    <row r="406" spans="1:21" x14ac:dyDescent="0.2">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s="2">
        <v>14.73</v>
      </c>
      <c r="Q406">
        <v>3</v>
      </c>
      <c r="R406" s="2">
        <v>4.8609</v>
      </c>
      <c r="S406" t="s">
        <v>70</v>
      </c>
      <c r="T406" s="10">
        <v>2</v>
      </c>
      <c r="U406" t="s">
        <v>161</v>
      </c>
    </row>
    <row r="407" spans="1:21" x14ac:dyDescent="0.2">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s="2">
        <v>662.88</v>
      </c>
      <c r="Q407">
        <v>3</v>
      </c>
      <c r="R407" s="2">
        <v>74.573999999999998</v>
      </c>
      <c r="S407" t="s">
        <v>83</v>
      </c>
      <c r="T407" s="10">
        <v>4</v>
      </c>
      <c r="U407" t="s">
        <v>71</v>
      </c>
    </row>
    <row r="408" spans="1:21" x14ac:dyDescent="0.2">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s="2">
        <v>11.54</v>
      </c>
      <c r="Q408">
        <v>2</v>
      </c>
      <c r="R408" s="2">
        <v>3.4620000000000002</v>
      </c>
      <c r="S408" t="s">
        <v>83</v>
      </c>
      <c r="T408" s="10">
        <v>4</v>
      </c>
      <c r="U408" t="s">
        <v>77</v>
      </c>
    </row>
    <row r="409" spans="1:21" x14ac:dyDescent="0.2">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s="2">
        <v>254.52600000000001</v>
      </c>
      <c r="Q409">
        <v>1</v>
      </c>
      <c r="R409" s="2">
        <v>-93.3262</v>
      </c>
      <c r="S409" t="s">
        <v>83</v>
      </c>
      <c r="T409" s="10">
        <v>4</v>
      </c>
      <c r="U409" t="s">
        <v>77</v>
      </c>
    </row>
    <row r="410" spans="1:21" x14ac:dyDescent="0.2">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s="2">
        <v>1282.4100000000001</v>
      </c>
      <c r="Q410">
        <v>5</v>
      </c>
      <c r="R410" s="2">
        <v>213.73500000000001</v>
      </c>
      <c r="S410" t="s">
        <v>83</v>
      </c>
      <c r="T410" s="10">
        <v>4</v>
      </c>
      <c r="U410" t="s">
        <v>77</v>
      </c>
    </row>
    <row r="411" spans="1:21" x14ac:dyDescent="0.2">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s="2">
        <v>545.88</v>
      </c>
      <c r="Q411">
        <v>6</v>
      </c>
      <c r="R411" s="2">
        <v>70.964399999999998</v>
      </c>
      <c r="S411" t="s">
        <v>70</v>
      </c>
      <c r="T411" s="10">
        <v>2</v>
      </c>
      <c r="U411" t="s">
        <v>48</v>
      </c>
    </row>
    <row r="412" spans="1:21" x14ac:dyDescent="0.2">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s="2">
        <v>933.53599999999994</v>
      </c>
      <c r="Q412">
        <v>4</v>
      </c>
      <c r="R412" s="2">
        <v>105.0228</v>
      </c>
      <c r="S412" t="s">
        <v>430</v>
      </c>
      <c r="T412" s="10">
        <v>0</v>
      </c>
      <c r="U412" t="s">
        <v>113</v>
      </c>
    </row>
    <row r="413" spans="1:21" x14ac:dyDescent="0.2">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s="2">
        <v>23.88</v>
      </c>
      <c r="Q413">
        <v>3</v>
      </c>
      <c r="R413" s="2">
        <v>10.507199999999999</v>
      </c>
      <c r="S413" t="s">
        <v>70</v>
      </c>
      <c r="T413" s="10">
        <v>2</v>
      </c>
      <c r="U413" t="s">
        <v>34</v>
      </c>
    </row>
    <row r="414" spans="1:21" x14ac:dyDescent="0.2">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s="2">
        <v>1024.3800000000001</v>
      </c>
      <c r="Q414">
        <v>7</v>
      </c>
      <c r="R414" s="2">
        <v>215.1198</v>
      </c>
      <c r="S414" t="s">
        <v>83</v>
      </c>
      <c r="T414" s="10">
        <v>4</v>
      </c>
      <c r="U414" t="s">
        <v>34</v>
      </c>
    </row>
    <row r="415" spans="1:21" x14ac:dyDescent="0.2">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s="2">
        <v>8.7520000000000007</v>
      </c>
      <c r="Q415">
        <v>4</v>
      </c>
      <c r="R415" s="2">
        <v>-3.7195999999999998</v>
      </c>
      <c r="S415" t="s">
        <v>70</v>
      </c>
      <c r="T415" s="10">
        <v>2</v>
      </c>
      <c r="U415" t="s">
        <v>96</v>
      </c>
    </row>
    <row r="416" spans="1:21" x14ac:dyDescent="0.2">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s="2">
        <v>304.45</v>
      </c>
      <c r="Q416">
        <v>5</v>
      </c>
      <c r="R416" s="2">
        <v>76.112499999999997</v>
      </c>
      <c r="S416" t="s">
        <v>33</v>
      </c>
      <c r="T416" s="10">
        <v>3</v>
      </c>
      <c r="U416" t="s">
        <v>96</v>
      </c>
    </row>
    <row r="417" spans="1:21" x14ac:dyDescent="0.2">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s="2">
        <v>183.37200000000001</v>
      </c>
      <c r="Q417">
        <v>2</v>
      </c>
      <c r="R417" s="2">
        <v>-36.674399999999999</v>
      </c>
      <c r="S417" t="s">
        <v>123</v>
      </c>
      <c r="T417" s="10">
        <v>1</v>
      </c>
      <c r="U417" t="s">
        <v>253</v>
      </c>
    </row>
    <row r="418" spans="1:21" x14ac:dyDescent="0.2">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s="2">
        <v>350.98</v>
      </c>
      <c r="Q418">
        <v>1</v>
      </c>
      <c r="R418" s="2">
        <v>84.235200000000006</v>
      </c>
      <c r="S418" t="s">
        <v>58</v>
      </c>
      <c r="T418" s="10">
        <v>5</v>
      </c>
      <c r="U418" t="s">
        <v>77</v>
      </c>
    </row>
    <row r="419" spans="1:21" x14ac:dyDescent="0.2">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s="2">
        <v>872.32</v>
      </c>
      <c r="Q419">
        <v>4</v>
      </c>
      <c r="R419" s="2">
        <v>244.24959999999999</v>
      </c>
      <c r="S419" t="s">
        <v>70</v>
      </c>
      <c r="T419" s="10">
        <v>2</v>
      </c>
      <c r="U419" t="s">
        <v>77</v>
      </c>
    </row>
    <row r="420" spans="1:21" x14ac:dyDescent="0.2">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s="2">
        <v>141.96</v>
      </c>
      <c r="Q420">
        <v>2</v>
      </c>
      <c r="R420" s="2">
        <v>39.748800000000003</v>
      </c>
      <c r="S420" t="s">
        <v>70</v>
      </c>
      <c r="T420" s="10">
        <v>2</v>
      </c>
      <c r="U420" t="s">
        <v>195</v>
      </c>
    </row>
    <row r="421" spans="1:21" x14ac:dyDescent="0.2">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s="2">
        <v>269.97000000000003</v>
      </c>
      <c r="Q421">
        <v>3</v>
      </c>
      <c r="R421" s="2">
        <v>51.2943</v>
      </c>
      <c r="S421" t="s">
        <v>83</v>
      </c>
      <c r="T421" s="10">
        <v>4</v>
      </c>
      <c r="U421" t="s">
        <v>77</v>
      </c>
    </row>
    <row r="422" spans="1:21" x14ac:dyDescent="0.2">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s="2">
        <v>75.36</v>
      </c>
      <c r="Q422">
        <v>5</v>
      </c>
      <c r="R422" s="2">
        <v>20.724</v>
      </c>
      <c r="S422" t="s">
        <v>58</v>
      </c>
      <c r="T422" s="10">
        <v>5</v>
      </c>
      <c r="U422" t="s">
        <v>59</v>
      </c>
    </row>
    <row r="423" spans="1:21" x14ac:dyDescent="0.2">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s="2">
        <v>289.8</v>
      </c>
      <c r="Q423">
        <v>7</v>
      </c>
      <c r="R423" s="2">
        <v>36.225000000000001</v>
      </c>
      <c r="S423" t="s">
        <v>70</v>
      </c>
      <c r="T423" s="10">
        <v>2</v>
      </c>
      <c r="U423" t="s">
        <v>71</v>
      </c>
    </row>
    <row r="424" spans="1:21" x14ac:dyDescent="0.2">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s="2">
        <v>341.488</v>
      </c>
      <c r="Q424">
        <v>8</v>
      </c>
      <c r="R424" s="2">
        <v>-73.176000000000002</v>
      </c>
      <c r="S424" t="s">
        <v>70</v>
      </c>
      <c r="T424" s="10">
        <v>2</v>
      </c>
      <c r="U424" t="s">
        <v>71</v>
      </c>
    </row>
    <row r="425" spans="1:21" x14ac:dyDescent="0.2">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s="2">
        <v>25.344000000000001</v>
      </c>
      <c r="Q425">
        <v>6</v>
      </c>
      <c r="R425" s="2">
        <v>3.4847999999999999</v>
      </c>
      <c r="S425" t="s">
        <v>70</v>
      </c>
      <c r="T425" s="10">
        <v>2</v>
      </c>
      <c r="U425" t="s">
        <v>71</v>
      </c>
    </row>
    <row r="426" spans="1:21" x14ac:dyDescent="0.2">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s="2">
        <v>17.309999999999999</v>
      </c>
      <c r="Q426">
        <v>3</v>
      </c>
      <c r="R426" s="2">
        <v>5.1929999999999996</v>
      </c>
      <c r="S426" t="s">
        <v>129</v>
      </c>
      <c r="T426" s="10">
        <v>6</v>
      </c>
      <c r="U426" t="s">
        <v>96</v>
      </c>
    </row>
    <row r="427" spans="1:21" x14ac:dyDescent="0.2">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s="2">
        <v>1586.69</v>
      </c>
      <c r="Q427">
        <v>7</v>
      </c>
      <c r="R427" s="2">
        <v>412.5394</v>
      </c>
      <c r="S427" t="s">
        <v>33</v>
      </c>
      <c r="T427" s="10">
        <v>3</v>
      </c>
      <c r="U427" t="s">
        <v>96</v>
      </c>
    </row>
    <row r="428" spans="1:21" x14ac:dyDescent="0.2">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s="2">
        <v>411.8</v>
      </c>
      <c r="Q428">
        <v>2</v>
      </c>
      <c r="R428" s="2">
        <v>70.006</v>
      </c>
      <c r="S428" t="s">
        <v>33</v>
      </c>
      <c r="T428" s="10">
        <v>3</v>
      </c>
      <c r="U428" t="s">
        <v>96</v>
      </c>
    </row>
    <row r="429" spans="1:21" x14ac:dyDescent="0.2">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s="2">
        <v>146.352</v>
      </c>
      <c r="Q429">
        <v>3</v>
      </c>
      <c r="R429" s="2">
        <v>-9.1470000000000002</v>
      </c>
      <c r="S429" t="s">
        <v>83</v>
      </c>
      <c r="T429" s="10">
        <v>4</v>
      </c>
      <c r="U429" t="s">
        <v>48</v>
      </c>
    </row>
    <row r="430" spans="1:21" x14ac:dyDescent="0.2">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s="2">
        <v>710.83199999999999</v>
      </c>
      <c r="Q430">
        <v>3</v>
      </c>
      <c r="R430" s="2">
        <v>-97.739400000000003</v>
      </c>
      <c r="S430" t="s">
        <v>129</v>
      </c>
      <c r="T430" s="10">
        <v>6</v>
      </c>
      <c r="U430" t="s">
        <v>113</v>
      </c>
    </row>
    <row r="431" spans="1:21" x14ac:dyDescent="0.2">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s="2">
        <v>283.92</v>
      </c>
      <c r="Q431">
        <v>5</v>
      </c>
      <c r="R431" s="2">
        <v>-46.137</v>
      </c>
      <c r="S431" t="s">
        <v>58</v>
      </c>
      <c r="T431" s="10">
        <v>5</v>
      </c>
      <c r="U431" t="s">
        <v>34</v>
      </c>
    </row>
    <row r="432" spans="1:21" x14ac:dyDescent="0.2">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s="2">
        <v>58.2</v>
      </c>
      <c r="Q432">
        <v>3</v>
      </c>
      <c r="R432" s="2">
        <v>28.518000000000001</v>
      </c>
      <c r="S432" t="s">
        <v>83</v>
      </c>
      <c r="T432" s="10">
        <v>4</v>
      </c>
      <c r="U432" t="s">
        <v>96</v>
      </c>
    </row>
    <row r="433" spans="1:21" x14ac:dyDescent="0.2">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s="2">
        <v>7.7119999999999997</v>
      </c>
      <c r="Q433">
        <v>2</v>
      </c>
      <c r="R433" s="2">
        <v>1.7352000000000001</v>
      </c>
      <c r="S433" t="s">
        <v>58</v>
      </c>
      <c r="T433" s="10">
        <v>5</v>
      </c>
      <c r="U433" t="s">
        <v>96</v>
      </c>
    </row>
    <row r="434" spans="1:21" x14ac:dyDescent="0.2">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s="2">
        <v>310.44299999999998</v>
      </c>
      <c r="Q434">
        <v>3</v>
      </c>
      <c r="R434" s="2">
        <v>-48.783900000000003</v>
      </c>
      <c r="S434" t="s">
        <v>83</v>
      </c>
      <c r="T434" s="10">
        <v>4</v>
      </c>
      <c r="U434" t="s">
        <v>71</v>
      </c>
    </row>
    <row r="435" spans="1:21" x14ac:dyDescent="0.2">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s="2">
        <v>479.9</v>
      </c>
      <c r="Q435">
        <v>5</v>
      </c>
      <c r="R435" s="2">
        <v>81.582999999999998</v>
      </c>
      <c r="S435" t="s">
        <v>83</v>
      </c>
      <c r="T435" s="10">
        <v>4</v>
      </c>
      <c r="U435" t="s">
        <v>34</v>
      </c>
    </row>
    <row r="436" spans="1:21" x14ac:dyDescent="0.2">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s="2">
        <v>259.13600000000002</v>
      </c>
      <c r="Q436">
        <v>4</v>
      </c>
      <c r="R436" s="2">
        <v>-25.913599999999999</v>
      </c>
      <c r="S436" t="s">
        <v>430</v>
      </c>
      <c r="T436" s="10">
        <v>0</v>
      </c>
      <c r="U436" t="s">
        <v>71</v>
      </c>
    </row>
    <row r="437" spans="1:21" x14ac:dyDescent="0.2">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s="2">
        <v>323.13600000000002</v>
      </c>
      <c r="Q437">
        <v>4</v>
      </c>
      <c r="R437" s="2">
        <v>20.196000000000002</v>
      </c>
      <c r="S437" t="s">
        <v>430</v>
      </c>
      <c r="T437" s="10">
        <v>0</v>
      </c>
      <c r="U437" t="s">
        <v>48</v>
      </c>
    </row>
    <row r="438" spans="1:21" x14ac:dyDescent="0.2">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s="2">
        <v>425.83300000000003</v>
      </c>
      <c r="Q438">
        <v>1</v>
      </c>
      <c r="R438" s="2">
        <v>20.039200000000001</v>
      </c>
      <c r="S438" t="s">
        <v>430</v>
      </c>
      <c r="T438" s="10">
        <v>0</v>
      </c>
      <c r="U438" t="s">
        <v>48</v>
      </c>
    </row>
    <row r="439" spans="1:21" x14ac:dyDescent="0.2">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s="2">
        <v>209.67</v>
      </c>
      <c r="Q439">
        <v>1</v>
      </c>
      <c r="R439" s="2">
        <v>-13.978</v>
      </c>
      <c r="S439" t="s">
        <v>58</v>
      </c>
      <c r="T439" s="10">
        <v>5</v>
      </c>
      <c r="U439" t="s">
        <v>48</v>
      </c>
    </row>
    <row r="440" spans="1:21" x14ac:dyDescent="0.2">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s="2">
        <v>215.976</v>
      </c>
      <c r="Q440">
        <v>3</v>
      </c>
      <c r="R440" s="2">
        <v>-2.6997</v>
      </c>
      <c r="S440" t="s">
        <v>70</v>
      </c>
      <c r="T440" s="10">
        <v>2</v>
      </c>
      <c r="U440" t="s">
        <v>34</v>
      </c>
    </row>
    <row r="441" spans="1:21" x14ac:dyDescent="0.2">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s="2">
        <v>241.96</v>
      </c>
      <c r="Q441">
        <v>2</v>
      </c>
      <c r="R441" s="2">
        <v>41.133200000000002</v>
      </c>
      <c r="S441" t="s">
        <v>70</v>
      </c>
      <c r="T441" s="10">
        <v>2</v>
      </c>
      <c r="U441" t="s">
        <v>77</v>
      </c>
    </row>
    <row r="442" spans="1:21" x14ac:dyDescent="0.2">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s="2">
        <v>64.944000000000003</v>
      </c>
      <c r="Q442">
        <v>3</v>
      </c>
      <c r="R442" s="2">
        <v>6.4943999999999997</v>
      </c>
      <c r="S442" t="s">
        <v>58</v>
      </c>
      <c r="T442" s="10">
        <v>5</v>
      </c>
      <c r="U442" t="s">
        <v>48</v>
      </c>
    </row>
    <row r="443" spans="1:21" x14ac:dyDescent="0.2">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s="2">
        <v>139.86000000000001</v>
      </c>
      <c r="Q443">
        <v>7</v>
      </c>
      <c r="R443" s="2">
        <v>60.139800000000001</v>
      </c>
      <c r="S443" t="s">
        <v>70</v>
      </c>
      <c r="T443" s="10">
        <v>2</v>
      </c>
      <c r="U443" t="s">
        <v>161</v>
      </c>
    </row>
    <row r="444" spans="1:21" x14ac:dyDescent="0.2">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s="2">
        <v>14.76</v>
      </c>
      <c r="Q444">
        <v>5</v>
      </c>
      <c r="R444" s="2">
        <v>-11.439</v>
      </c>
      <c r="S444" t="s">
        <v>58</v>
      </c>
      <c r="T444" s="10">
        <v>5</v>
      </c>
      <c r="U444" t="s">
        <v>96</v>
      </c>
    </row>
    <row r="445" spans="1:21" x14ac:dyDescent="0.2">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s="2">
        <v>991.76400000000001</v>
      </c>
      <c r="Q445">
        <v>3</v>
      </c>
      <c r="R445" s="2">
        <v>-347.11739999999998</v>
      </c>
      <c r="S445" t="s">
        <v>58</v>
      </c>
      <c r="T445" s="10">
        <v>5</v>
      </c>
      <c r="U445" t="s">
        <v>59</v>
      </c>
    </row>
    <row r="446" spans="1:21" x14ac:dyDescent="0.2">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s="2">
        <v>422.05799999999999</v>
      </c>
      <c r="Q446">
        <v>3</v>
      </c>
      <c r="R446" s="2">
        <v>-18.088200000000001</v>
      </c>
      <c r="S446" t="s">
        <v>83</v>
      </c>
      <c r="T446" s="10">
        <v>4</v>
      </c>
      <c r="U446" t="s">
        <v>59</v>
      </c>
    </row>
    <row r="447" spans="1:21" x14ac:dyDescent="0.2">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s="2">
        <v>43.31</v>
      </c>
      <c r="Q447">
        <v>1</v>
      </c>
      <c r="R447" s="2">
        <v>4.3310000000000004</v>
      </c>
      <c r="S447" t="s">
        <v>58</v>
      </c>
      <c r="T447" s="10">
        <v>5</v>
      </c>
      <c r="U447" t="s">
        <v>96</v>
      </c>
    </row>
    <row r="448" spans="1:21" x14ac:dyDescent="0.2">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s="2">
        <v>233.05799999999999</v>
      </c>
      <c r="Q448">
        <v>3</v>
      </c>
      <c r="R448" s="2">
        <v>-53.270400000000002</v>
      </c>
      <c r="S448" t="s">
        <v>47</v>
      </c>
      <c r="T448" s="10">
        <v>7</v>
      </c>
      <c r="U448" t="s">
        <v>34</v>
      </c>
    </row>
    <row r="449" spans="1:21" x14ac:dyDescent="0.2">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s="2">
        <v>22.608000000000001</v>
      </c>
      <c r="Q449">
        <v>3</v>
      </c>
      <c r="R449" s="2">
        <v>-10.1736</v>
      </c>
      <c r="S449" t="s">
        <v>58</v>
      </c>
      <c r="T449" s="10">
        <v>5</v>
      </c>
      <c r="U449" t="s">
        <v>113</v>
      </c>
    </row>
    <row r="450" spans="1:21" x14ac:dyDescent="0.2">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s="2">
        <v>79.384</v>
      </c>
      <c r="Q450">
        <v>1</v>
      </c>
      <c r="R450" s="2">
        <v>29.768999999999998</v>
      </c>
      <c r="S450" t="s">
        <v>430</v>
      </c>
      <c r="T450" s="10">
        <v>0</v>
      </c>
      <c r="U450" t="s">
        <v>161</v>
      </c>
    </row>
    <row r="451" spans="1:21" x14ac:dyDescent="0.2">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s="2">
        <v>139.91999999999999</v>
      </c>
      <c r="Q451">
        <v>5</v>
      </c>
      <c r="R451" s="2">
        <v>-150.41399999999999</v>
      </c>
      <c r="S451" t="s">
        <v>129</v>
      </c>
      <c r="T451" s="10">
        <v>6</v>
      </c>
      <c r="U451" t="s">
        <v>48</v>
      </c>
    </row>
    <row r="452" spans="1:21" x14ac:dyDescent="0.2">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s="2">
        <v>305.31200000000001</v>
      </c>
      <c r="Q452">
        <v>2</v>
      </c>
      <c r="R452" s="2">
        <v>-8.7232000000000003</v>
      </c>
      <c r="S452" t="s">
        <v>129</v>
      </c>
      <c r="T452" s="10">
        <v>6</v>
      </c>
      <c r="U452" t="s">
        <v>34</v>
      </c>
    </row>
    <row r="453" spans="1:21" x14ac:dyDescent="0.2">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s="2">
        <v>442.76400000000001</v>
      </c>
      <c r="Q453">
        <v>4</v>
      </c>
      <c r="R453" s="2">
        <v>59.035200000000003</v>
      </c>
      <c r="S453" t="s">
        <v>83</v>
      </c>
      <c r="T453" s="10">
        <v>4</v>
      </c>
      <c r="U453" t="s">
        <v>161</v>
      </c>
    </row>
    <row r="454" spans="1:21" x14ac:dyDescent="0.2">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s="2">
        <v>63.68</v>
      </c>
      <c r="Q454">
        <v>8</v>
      </c>
      <c r="R454" s="2">
        <v>28.019200000000001</v>
      </c>
      <c r="S454" t="s">
        <v>83</v>
      </c>
      <c r="T454" s="10">
        <v>4</v>
      </c>
      <c r="U454" t="s">
        <v>161</v>
      </c>
    </row>
    <row r="455" spans="1:21" x14ac:dyDescent="0.2">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s="2">
        <v>121.3</v>
      </c>
      <c r="Q455">
        <v>2</v>
      </c>
      <c r="R455" s="2">
        <v>25.472999999999999</v>
      </c>
      <c r="S455" t="s">
        <v>58</v>
      </c>
      <c r="T455" s="10">
        <v>5</v>
      </c>
      <c r="U455" t="s">
        <v>253</v>
      </c>
    </row>
    <row r="456" spans="1:21" x14ac:dyDescent="0.2">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s="2">
        <v>22.2</v>
      </c>
      <c r="Q456">
        <v>6</v>
      </c>
      <c r="R456" s="2">
        <v>9.1020000000000003</v>
      </c>
      <c r="S456" t="s">
        <v>58</v>
      </c>
      <c r="T456" s="10">
        <v>5</v>
      </c>
      <c r="U456" t="s">
        <v>59</v>
      </c>
    </row>
    <row r="457" spans="1:21" x14ac:dyDescent="0.2">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s="2">
        <v>191.82</v>
      </c>
      <c r="Q457">
        <v>3</v>
      </c>
      <c r="R457" s="2">
        <v>74.809799999999996</v>
      </c>
      <c r="S457" t="s">
        <v>129</v>
      </c>
      <c r="T457" s="10">
        <v>6</v>
      </c>
      <c r="U457" t="s">
        <v>77</v>
      </c>
    </row>
    <row r="458" spans="1:21" x14ac:dyDescent="0.2">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s="2">
        <v>20.103999999999999</v>
      </c>
      <c r="Q458">
        <v>1</v>
      </c>
      <c r="R458" s="2">
        <v>1.7591000000000001</v>
      </c>
      <c r="S458" t="s">
        <v>129</v>
      </c>
      <c r="T458" s="10">
        <v>6</v>
      </c>
      <c r="U458" t="s">
        <v>59</v>
      </c>
    </row>
    <row r="459" spans="1:21" x14ac:dyDescent="0.2">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s="2">
        <v>27.42</v>
      </c>
      <c r="Q459">
        <v>1</v>
      </c>
      <c r="R459" s="2">
        <v>11.2422</v>
      </c>
      <c r="S459" t="s">
        <v>83</v>
      </c>
      <c r="T459" s="10">
        <v>4</v>
      </c>
      <c r="U459" t="s">
        <v>34</v>
      </c>
    </row>
    <row r="460" spans="1:21" x14ac:dyDescent="0.2">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s="2">
        <v>108.608</v>
      </c>
      <c r="Q460">
        <v>4</v>
      </c>
      <c r="R460" s="2">
        <v>9.5031999999999996</v>
      </c>
      <c r="S460" t="s">
        <v>123</v>
      </c>
      <c r="T460" s="10">
        <v>1</v>
      </c>
      <c r="U460" t="s">
        <v>48</v>
      </c>
    </row>
    <row r="461" spans="1:21" x14ac:dyDescent="0.2">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s="2">
        <v>70.686000000000007</v>
      </c>
      <c r="Q461">
        <v>1</v>
      </c>
      <c r="R461" s="2">
        <v>-24.235199999999999</v>
      </c>
      <c r="S461" t="s">
        <v>430</v>
      </c>
      <c r="T461" s="10">
        <v>0</v>
      </c>
      <c r="U461" t="s">
        <v>96</v>
      </c>
    </row>
    <row r="462" spans="1:21" x14ac:dyDescent="0.2">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s="2">
        <v>72.293999999999997</v>
      </c>
      <c r="Q462">
        <v>1</v>
      </c>
      <c r="R462" s="2">
        <v>-98.8018</v>
      </c>
      <c r="S462" t="s">
        <v>70</v>
      </c>
      <c r="T462" s="10">
        <v>2</v>
      </c>
      <c r="U462" t="s">
        <v>195</v>
      </c>
    </row>
    <row r="463" spans="1:21" x14ac:dyDescent="0.2">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s="2">
        <v>330.58800000000002</v>
      </c>
      <c r="Q463">
        <v>1</v>
      </c>
      <c r="R463" s="2">
        <v>-115.7058</v>
      </c>
      <c r="S463" t="s">
        <v>83</v>
      </c>
      <c r="T463" s="10">
        <v>4</v>
      </c>
      <c r="U463" t="s">
        <v>48</v>
      </c>
    </row>
    <row r="464" spans="1:21" x14ac:dyDescent="0.2">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s="2">
        <v>526.45000000000005</v>
      </c>
      <c r="Q464">
        <v>5</v>
      </c>
      <c r="R464" s="2">
        <v>31.587</v>
      </c>
      <c r="S464" t="s">
        <v>58</v>
      </c>
      <c r="T464" s="10">
        <v>5</v>
      </c>
      <c r="U464" t="s">
        <v>59</v>
      </c>
    </row>
    <row r="465" spans="1:21" x14ac:dyDescent="0.2">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s="2">
        <v>44.4</v>
      </c>
      <c r="Q465">
        <v>2</v>
      </c>
      <c r="R465" s="2">
        <v>-52.17</v>
      </c>
      <c r="S465" t="s">
        <v>129</v>
      </c>
      <c r="T465" s="10">
        <v>6</v>
      </c>
      <c r="U465" t="s">
        <v>113</v>
      </c>
    </row>
    <row r="466" spans="1:21" x14ac:dyDescent="0.2">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s="2">
        <v>109.48</v>
      </c>
      <c r="Q466">
        <v>2</v>
      </c>
      <c r="R466" s="2">
        <v>33.938800000000001</v>
      </c>
      <c r="S466" t="s">
        <v>58</v>
      </c>
      <c r="T466" s="10">
        <v>5</v>
      </c>
      <c r="U466" t="s">
        <v>77</v>
      </c>
    </row>
    <row r="467" spans="1:21" x14ac:dyDescent="0.2">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s="2">
        <v>1212.96</v>
      </c>
      <c r="Q467">
        <v>7</v>
      </c>
      <c r="R467" s="2">
        <v>90.971999999999994</v>
      </c>
      <c r="S467" t="s">
        <v>33</v>
      </c>
      <c r="T467" s="10">
        <v>3</v>
      </c>
      <c r="U467" t="s">
        <v>59</v>
      </c>
    </row>
    <row r="468" spans="1:21" x14ac:dyDescent="0.2">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s="2">
        <v>359.97</v>
      </c>
      <c r="Q468">
        <v>3</v>
      </c>
      <c r="R468" s="2">
        <v>79.193399999999997</v>
      </c>
      <c r="S468" t="s">
        <v>33</v>
      </c>
      <c r="T468" s="10">
        <v>3</v>
      </c>
      <c r="U468" t="s">
        <v>297</v>
      </c>
    </row>
    <row r="469" spans="1:21" x14ac:dyDescent="0.2">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s="2">
        <v>435.26</v>
      </c>
      <c r="Q469">
        <v>7</v>
      </c>
      <c r="R469" s="2">
        <v>95.757199999999997</v>
      </c>
      <c r="S469" t="s">
        <v>58</v>
      </c>
      <c r="T469" s="10">
        <v>5</v>
      </c>
      <c r="U469" t="s">
        <v>195</v>
      </c>
    </row>
    <row r="470" spans="1:21" x14ac:dyDescent="0.2">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s="2">
        <v>143.43199999999999</v>
      </c>
      <c r="Q470">
        <v>1</v>
      </c>
      <c r="R470" s="2">
        <v>3.5857999999999999</v>
      </c>
      <c r="S470" t="s">
        <v>58</v>
      </c>
      <c r="T470" s="10">
        <v>5</v>
      </c>
      <c r="U470" t="s">
        <v>48</v>
      </c>
    </row>
    <row r="471" spans="1:21" x14ac:dyDescent="0.2">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s="2">
        <v>122.352</v>
      </c>
      <c r="Q471">
        <v>3</v>
      </c>
      <c r="R471" s="2">
        <v>13.7646</v>
      </c>
      <c r="S471" t="s">
        <v>58</v>
      </c>
      <c r="T471" s="10">
        <v>5</v>
      </c>
      <c r="U471" t="s">
        <v>48</v>
      </c>
    </row>
    <row r="472" spans="1:21" x14ac:dyDescent="0.2">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s="2">
        <v>85.98</v>
      </c>
      <c r="Q472">
        <v>1</v>
      </c>
      <c r="R472" s="2">
        <v>22.354800000000001</v>
      </c>
      <c r="S472" t="s">
        <v>83</v>
      </c>
      <c r="T472" s="10">
        <v>4</v>
      </c>
      <c r="U472" t="s">
        <v>59</v>
      </c>
    </row>
    <row r="473" spans="1:21" x14ac:dyDescent="0.2">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s="2">
        <v>97.567999999999998</v>
      </c>
      <c r="Q473">
        <v>2</v>
      </c>
      <c r="R473" s="2">
        <v>-6.0979999999999999</v>
      </c>
      <c r="S473" t="s">
        <v>33</v>
      </c>
      <c r="T473" s="10">
        <v>3</v>
      </c>
      <c r="U473" t="s">
        <v>48</v>
      </c>
    </row>
    <row r="474" spans="1:21" x14ac:dyDescent="0.2">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s="2">
        <v>614.27200000000005</v>
      </c>
      <c r="Q474">
        <v>8</v>
      </c>
      <c r="R474" s="2">
        <v>-23.0352</v>
      </c>
      <c r="S474" t="s">
        <v>33</v>
      </c>
      <c r="T474" s="10">
        <v>3</v>
      </c>
      <c r="U474" t="s">
        <v>48</v>
      </c>
    </row>
    <row r="475" spans="1:21" x14ac:dyDescent="0.2">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s="2">
        <v>199.98</v>
      </c>
      <c r="Q475">
        <v>2</v>
      </c>
      <c r="R475" s="2">
        <v>37.996200000000002</v>
      </c>
      <c r="S475" t="s">
        <v>33</v>
      </c>
      <c r="T475" s="10">
        <v>3</v>
      </c>
      <c r="U475" t="s">
        <v>48</v>
      </c>
    </row>
    <row r="476" spans="1:21" x14ac:dyDescent="0.2">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s="2">
        <v>892.98</v>
      </c>
      <c r="Q476">
        <v>2</v>
      </c>
      <c r="R476" s="2">
        <v>80.368200000000002</v>
      </c>
      <c r="S476" t="s">
        <v>33</v>
      </c>
      <c r="T476" s="10">
        <v>3</v>
      </c>
      <c r="U476" t="s">
        <v>169</v>
      </c>
    </row>
    <row r="477" spans="1:21" x14ac:dyDescent="0.2">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s="2">
        <v>595.38</v>
      </c>
      <c r="Q477">
        <v>6</v>
      </c>
      <c r="R477" s="2">
        <v>297.69</v>
      </c>
      <c r="S477" t="s">
        <v>58</v>
      </c>
      <c r="T477" s="10">
        <v>5</v>
      </c>
      <c r="U477" t="s">
        <v>113</v>
      </c>
    </row>
    <row r="478" spans="1:21" x14ac:dyDescent="0.2">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s="2">
        <v>181.95</v>
      </c>
      <c r="Q478">
        <v>3</v>
      </c>
      <c r="R478" s="2">
        <v>38.209499999999998</v>
      </c>
      <c r="S478" t="s">
        <v>83</v>
      </c>
      <c r="T478" s="10">
        <v>4</v>
      </c>
      <c r="U478" t="s">
        <v>96</v>
      </c>
    </row>
    <row r="479" spans="1:21" x14ac:dyDescent="0.2">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s="2">
        <v>259.7</v>
      </c>
      <c r="Q479">
        <v>5</v>
      </c>
      <c r="R479" s="2">
        <v>106.477</v>
      </c>
      <c r="S479" t="s">
        <v>83</v>
      </c>
      <c r="T479" s="10">
        <v>4</v>
      </c>
      <c r="U479" t="s">
        <v>34</v>
      </c>
    </row>
    <row r="480" spans="1:21" x14ac:dyDescent="0.2">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s="2">
        <v>723.92</v>
      </c>
      <c r="Q480">
        <v>4</v>
      </c>
      <c r="R480" s="2">
        <v>188.2192</v>
      </c>
      <c r="S480" t="s">
        <v>58</v>
      </c>
      <c r="T480" s="10">
        <v>5</v>
      </c>
      <c r="U480" t="s">
        <v>77</v>
      </c>
    </row>
    <row r="481" spans="1:21" x14ac:dyDescent="0.2">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s="2">
        <v>141.37200000000001</v>
      </c>
      <c r="Q481">
        <v>2</v>
      </c>
      <c r="R481" s="2">
        <v>-14.1372</v>
      </c>
      <c r="S481" t="s">
        <v>123</v>
      </c>
      <c r="T481" s="10">
        <v>1</v>
      </c>
      <c r="U481" t="s">
        <v>96</v>
      </c>
    </row>
    <row r="482" spans="1:21" x14ac:dyDescent="0.2">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s="2">
        <v>280.79199999999997</v>
      </c>
      <c r="Q482">
        <v>1</v>
      </c>
      <c r="R482" s="2">
        <v>35.098999999999997</v>
      </c>
      <c r="S482" t="s">
        <v>123</v>
      </c>
      <c r="T482" s="10">
        <v>1</v>
      </c>
      <c r="U482" t="s">
        <v>59</v>
      </c>
    </row>
    <row r="483" spans="1:21" x14ac:dyDescent="0.2">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s="2">
        <v>182.94</v>
      </c>
      <c r="Q483">
        <v>3</v>
      </c>
      <c r="R483" s="2">
        <v>27.440999999999999</v>
      </c>
      <c r="S483" t="s">
        <v>58</v>
      </c>
      <c r="T483" s="10">
        <v>5</v>
      </c>
      <c r="U483" t="s">
        <v>71</v>
      </c>
    </row>
    <row r="484" spans="1:21" x14ac:dyDescent="0.2">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s="2">
        <v>46.384</v>
      </c>
      <c r="Q484">
        <v>1</v>
      </c>
      <c r="R484" s="2">
        <v>1.1596</v>
      </c>
      <c r="S484" t="s">
        <v>83</v>
      </c>
      <c r="T484" s="10">
        <v>4</v>
      </c>
      <c r="U484" t="s">
        <v>77</v>
      </c>
    </row>
    <row r="485" spans="1:21" x14ac:dyDescent="0.2">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s="2">
        <v>547.13599999999997</v>
      </c>
      <c r="Q485">
        <v>4</v>
      </c>
      <c r="R485" s="2">
        <v>-68.391999999999996</v>
      </c>
      <c r="S485" t="s">
        <v>83</v>
      </c>
      <c r="T485" s="10">
        <v>4</v>
      </c>
      <c r="U485" t="s">
        <v>96</v>
      </c>
    </row>
    <row r="486" spans="1:21" x14ac:dyDescent="0.2">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s="2">
        <v>63.2</v>
      </c>
      <c r="Q486">
        <v>5</v>
      </c>
      <c r="R486" s="2">
        <v>23.384</v>
      </c>
      <c r="S486" t="s">
        <v>33</v>
      </c>
      <c r="T486" s="10">
        <v>3</v>
      </c>
      <c r="U486" t="s">
        <v>96</v>
      </c>
    </row>
    <row r="487" spans="1:21" x14ac:dyDescent="0.2">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s="2">
        <v>557.58500000000004</v>
      </c>
      <c r="Q487">
        <v>5</v>
      </c>
      <c r="R487" s="2">
        <v>0</v>
      </c>
      <c r="S487" t="s">
        <v>58</v>
      </c>
      <c r="T487" s="10">
        <v>5</v>
      </c>
      <c r="U487" t="s">
        <v>195</v>
      </c>
    </row>
    <row r="488" spans="1:21" x14ac:dyDescent="0.2">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s="2">
        <v>1552.8309999999999</v>
      </c>
      <c r="Q488">
        <v>7</v>
      </c>
      <c r="R488" s="2">
        <v>200.9546</v>
      </c>
      <c r="S488" t="s">
        <v>70</v>
      </c>
      <c r="T488" s="10">
        <v>2</v>
      </c>
      <c r="U488" t="s">
        <v>253</v>
      </c>
    </row>
    <row r="489" spans="1:21" x14ac:dyDescent="0.2">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s="2">
        <v>1579.7460000000001</v>
      </c>
      <c r="Q489">
        <v>7</v>
      </c>
      <c r="R489" s="2">
        <v>-447.59469999999999</v>
      </c>
      <c r="S489" t="s">
        <v>83</v>
      </c>
      <c r="T489" s="10">
        <v>4</v>
      </c>
      <c r="U489" t="s">
        <v>195</v>
      </c>
    </row>
    <row r="490" spans="1:21" x14ac:dyDescent="0.2">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s="2">
        <v>1071.576</v>
      </c>
      <c r="Q490">
        <v>4</v>
      </c>
      <c r="R490" s="2">
        <v>-553.64760000000001</v>
      </c>
      <c r="S490" t="s">
        <v>83</v>
      </c>
      <c r="T490" s="10">
        <v>4</v>
      </c>
      <c r="U490" t="s">
        <v>195</v>
      </c>
    </row>
    <row r="491" spans="1:21" x14ac:dyDescent="0.2">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s="2">
        <v>613.90800000000002</v>
      </c>
      <c r="Q491">
        <v>3</v>
      </c>
      <c r="R491" s="2">
        <v>-122.7816</v>
      </c>
      <c r="S491" t="s">
        <v>83</v>
      </c>
      <c r="T491" s="10">
        <v>4</v>
      </c>
      <c r="U491" t="s">
        <v>195</v>
      </c>
    </row>
    <row r="492" spans="1:21" x14ac:dyDescent="0.2">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s="2">
        <v>127.88</v>
      </c>
      <c r="Q492">
        <v>2</v>
      </c>
      <c r="R492" s="2">
        <v>40.921599999999998</v>
      </c>
      <c r="S492" t="s">
        <v>58</v>
      </c>
      <c r="T492" s="10">
        <v>5</v>
      </c>
      <c r="U492" t="s">
        <v>195</v>
      </c>
    </row>
    <row r="493" spans="1:21" x14ac:dyDescent="0.2">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s="2">
        <v>120.712</v>
      </c>
      <c r="Q493">
        <v>1</v>
      </c>
      <c r="R493" s="2">
        <v>-18.1068</v>
      </c>
      <c r="S493" t="s">
        <v>70</v>
      </c>
      <c r="T493" s="10">
        <v>2</v>
      </c>
      <c r="U493" t="s">
        <v>34</v>
      </c>
    </row>
    <row r="494" spans="1:21" x14ac:dyDescent="0.2">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s="2">
        <v>532.70399999999995</v>
      </c>
      <c r="Q494">
        <v>6</v>
      </c>
      <c r="R494" s="2">
        <v>-26.635200000000001</v>
      </c>
      <c r="S494" t="s">
        <v>83</v>
      </c>
      <c r="T494" s="10">
        <v>4</v>
      </c>
      <c r="U494" t="s">
        <v>77</v>
      </c>
    </row>
    <row r="495" spans="1:21" x14ac:dyDescent="0.2">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s="2">
        <v>60.287999999999997</v>
      </c>
      <c r="Q495">
        <v>8</v>
      </c>
      <c r="R495" s="2">
        <v>-27.1296</v>
      </c>
      <c r="S495" t="s">
        <v>83</v>
      </c>
      <c r="T495" s="10">
        <v>4</v>
      </c>
      <c r="U495" t="s">
        <v>71</v>
      </c>
    </row>
    <row r="496" spans="1:21" x14ac:dyDescent="0.2">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s="2">
        <v>253.37200000000001</v>
      </c>
      <c r="Q496">
        <v>2</v>
      </c>
      <c r="R496" s="2">
        <v>-14.478400000000001</v>
      </c>
      <c r="S496" t="s">
        <v>83</v>
      </c>
      <c r="T496" s="10">
        <v>4</v>
      </c>
      <c r="U496" t="s">
        <v>71</v>
      </c>
    </row>
    <row r="497" spans="1:21" x14ac:dyDescent="0.2">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s="2">
        <v>54.712000000000003</v>
      </c>
      <c r="Q497">
        <v>7</v>
      </c>
      <c r="R497" s="2">
        <v>11.626300000000001</v>
      </c>
      <c r="S497" t="s">
        <v>83</v>
      </c>
      <c r="T497" s="10">
        <v>4</v>
      </c>
      <c r="U497" t="s">
        <v>161</v>
      </c>
    </row>
    <row r="498" spans="1:21" x14ac:dyDescent="0.2">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s="2">
        <v>113.92</v>
      </c>
      <c r="Q498">
        <v>4</v>
      </c>
      <c r="R498" s="2">
        <v>42.150399999999998</v>
      </c>
      <c r="S498" t="s">
        <v>83</v>
      </c>
      <c r="T498" s="10">
        <v>4</v>
      </c>
      <c r="U498" t="s">
        <v>96</v>
      </c>
    </row>
    <row r="499" spans="1:21" x14ac:dyDescent="0.2">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s="2">
        <v>956.66480000000001</v>
      </c>
      <c r="Q499">
        <v>7</v>
      </c>
      <c r="R499" s="2">
        <v>-225.0976</v>
      </c>
      <c r="S499" t="s">
        <v>129</v>
      </c>
      <c r="T499" s="10">
        <v>6</v>
      </c>
      <c r="U499" t="s">
        <v>77</v>
      </c>
    </row>
    <row r="500" spans="1:21" x14ac:dyDescent="0.2">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s="2">
        <v>211.84</v>
      </c>
      <c r="Q500">
        <v>8</v>
      </c>
      <c r="R500" s="2">
        <v>76.2624</v>
      </c>
      <c r="S500" t="s">
        <v>70</v>
      </c>
      <c r="T500" s="10">
        <v>2</v>
      </c>
      <c r="U500" t="s">
        <v>195</v>
      </c>
    </row>
    <row r="501" spans="1:21" x14ac:dyDescent="0.2">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s="2">
        <v>629.06399999999996</v>
      </c>
      <c r="Q501">
        <v>3</v>
      </c>
      <c r="R501" s="2">
        <v>31.453199999999999</v>
      </c>
      <c r="S501" t="s">
        <v>83</v>
      </c>
      <c r="T501" s="10">
        <v>4</v>
      </c>
      <c r="U501" t="s">
        <v>34</v>
      </c>
    </row>
    <row r="502" spans="1:21" x14ac:dyDescent="0.2">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s="2">
        <v>754.45</v>
      </c>
      <c r="Q502">
        <v>5</v>
      </c>
      <c r="R502" s="2">
        <v>60.356000000000002</v>
      </c>
      <c r="S502" t="s">
        <v>83</v>
      </c>
      <c r="T502" s="10">
        <v>4</v>
      </c>
      <c r="U502" t="s">
        <v>96</v>
      </c>
    </row>
    <row r="503" spans="1:21" x14ac:dyDescent="0.2">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s="2">
        <v>301.95999999999998</v>
      </c>
      <c r="Q503">
        <v>2</v>
      </c>
      <c r="R503" s="2">
        <v>60.392000000000003</v>
      </c>
      <c r="S503" t="s">
        <v>58</v>
      </c>
      <c r="T503" s="10">
        <v>5</v>
      </c>
      <c r="U503" t="s">
        <v>71</v>
      </c>
    </row>
    <row r="504" spans="1:21" x14ac:dyDescent="0.2">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s="2">
        <v>273.06</v>
      </c>
      <c r="Q504">
        <v>2</v>
      </c>
      <c r="R504" s="2">
        <v>-104.673</v>
      </c>
      <c r="S504" t="s">
        <v>58</v>
      </c>
      <c r="T504" s="10">
        <v>5</v>
      </c>
      <c r="U504" t="s">
        <v>96</v>
      </c>
    </row>
    <row r="505" spans="1:21" x14ac:dyDescent="0.2">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s="2">
        <v>12.544</v>
      </c>
      <c r="Q505">
        <v>7</v>
      </c>
      <c r="R505" s="2">
        <v>-9.0944000000000003</v>
      </c>
      <c r="S505" t="s">
        <v>129</v>
      </c>
      <c r="T505" s="10">
        <v>6</v>
      </c>
      <c r="U505" t="s">
        <v>59</v>
      </c>
    </row>
    <row r="506" spans="1:21" x14ac:dyDescent="0.2">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s="2">
        <v>7.4</v>
      </c>
      <c r="Q506">
        <v>2</v>
      </c>
      <c r="R506" s="2">
        <v>3.0339999999999998</v>
      </c>
      <c r="S506" t="s">
        <v>58</v>
      </c>
      <c r="T506" s="10">
        <v>5</v>
      </c>
      <c r="U506" t="s">
        <v>96</v>
      </c>
    </row>
    <row r="507" spans="1:21" x14ac:dyDescent="0.2">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s="2">
        <v>366.786</v>
      </c>
      <c r="Q507">
        <v>7</v>
      </c>
      <c r="R507" s="2">
        <v>65.206400000000002</v>
      </c>
      <c r="S507" t="s">
        <v>47</v>
      </c>
      <c r="T507" s="10">
        <v>7</v>
      </c>
      <c r="U507" t="s">
        <v>195</v>
      </c>
    </row>
    <row r="508" spans="1:21" x14ac:dyDescent="0.2">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s="2">
        <v>545.85</v>
      </c>
      <c r="Q508">
        <v>9</v>
      </c>
      <c r="R508" s="2">
        <v>114.6285</v>
      </c>
      <c r="S508" t="s">
        <v>47</v>
      </c>
      <c r="T508" s="10">
        <v>7</v>
      </c>
      <c r="U508" t="s">
        <v>71</v>
      </c>
    </row>
    <row r="509" spans="1:21" x14ac:dyDescent="0.2">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s="2">
        <v>145.97999999999999</v>
      </c>
      <c r="Q509">
        <v>2</v>
      </c>
      <c r="R509" s="2">
        <v>-99.266400000000004</v>
      </c>
      <c r="S509" t="s">
        <v>70</v>
      </c>
      <c r="T509" s="10">
        <v>2</v>
      </c>
      <c r="U509" t="s">
        <v>34</v>
      </c>
    </row>
    <row r="510" spans="1:21" x14ac:dyDescent="0.2">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s="2">
        <v>7.9039999999999999</v>
      </c>
      <c r="Q510">
        <v>2</v>
      </c>
      <c r="R510" s="2">
        <v>2.1736</v>
      </c>
      <c r="S510" t="s">
        <v>58</v>
      </c>
      <c r="T510" s="10">
        <v>5</v>
      </c>
      <c r="U510" t="s">
        <v>71</v>
      </c>
    </row>
    <row r="511" spans="1:21" x14ac:dyDescent="0.2">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s="2">
        <v>174.286</v>
      </c>
      <c r="Q511">
        <v>2</v>
      </c>
      <c r="R511" s="2">
        <v>-19.918399999999998</v>
      </c>
      <c r="S511" t="s">
        <v>58</v>
      </c>
      <c r="T511" s="10">
        <v>5</v>
      </c>
      <c r="U511" t="s">
        <v>161</v>
      </c>
    </row>
    <row r="512" spans="1:21" x14ac:dyDescent="0.2">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s="2">
        <v>492.83499999999998</v>
      </c>
      <c r="Q512">
        <v>5</v>
      </c>
      <c r="R512" s="2">
        <v>-14.081</v>
      </c>
      <c r="S512" t="s">
        <v>129</v>
      </c>
      <c r="T512" s="10">
        <v>6</v>
      </c>
      <c r="U512" t="s">
        <v>48</v>
      </c>
    </row>
    <row r="513" spans="1:21" x14ac:dyDescent="0.2">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s="2">
        <v>14.272</v>
      </c>
      <c r="Q513">
        <v>8</v>
      </c>
      <c r="R513" s="2">
        <v>4.2816000000000001</v>
      </c>
      <c r="S513" t="s">
        <v>129</v>
      </c>
      <c r="T513" s="10">
        <v>6</v>
      </c>
      <c r="U513" t="s">
        <v>169</v>
      </c>
    </row>
    <row r="514" spans="1:21" x14ac:dyDescent="0.2">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s="2">
        <v>451.13600000000002</v>
      </c>
      <c r="Q514">
        <v>4</v>
      </c>
      <c r="R514" s="2">
        <v>-67.670400000000001</v>
      </c>
      <c r="S514" t="s">
        <v>129</v>
      </c>
      <c r="T514" s="10">
        <v>6</v>
      </c>
      <c r="U514" t="s">
        <v>169</v>
      </c>
    </row>
    <row r="515" spans="1:21" x14ac:dyDescent="0.2">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s="2">
        <v>217.584</v>
      </c>
      <c r="Q515">
        <v>2</v>
      </c>
      <c r="R515" s="2">
        <v>-29.9178</v>
      </c>
      <c r="S515" t="s">
        <v>33</v>
      </c>
      <c r="T515" s="10">
        <v>3</v>
      </c>
      <c r="U515" t="s">
        <v>34</v>
      </c>
    </row>
    <row r="516" spans="1:21" x14ac:dyDescent="0.2">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s="2">
        <v>1322.3520000000001</v>
      </c>
      <c r="Q516">
        <v>3</v>
      </c>
      <c r="R516" s="2">
        <v>-99.176400000000001</v>
      </c>
      <c r="S516" t="s">
        <v>83</v>
      </c>
      <c r="T516" s="10">
        <v>4</v>
      </c>
      <c r="U516" t="s">
        <v>77</v>
      </c>
    </row>
    <row r="517" spans="1:21" x14ac:dyDescent="0.2">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s="2">
        <v>1137.75</v>
      </c>
      <c r="Q517">
        <v>5</v>
      </c>
      <c r="R517" s="2">
        <v>250.30500000000001</v>
      </c>
      <c r="S517" t="s">
        <v>129</v>
      </c>
      <c r="T517" s="10">
        <v>6</v>
      </c>
      <c r="U517" t="s">
        <v>253</v>
      </c>
    </row>
    <row r="518" spans="1:21" x14ac:dyDescent="0.2">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s="2">
        <v>300.93</v>
      </c>
      <c r="Q518">
        <v>5</v>
      </c>
      <c r="R518" s="2">
        <v>-34.392000000000003</v>
      </c>
      <c r="S518" t="s">
        <v>83</v>
      </c>
      <c r="T518" s="10">
        <v>4</v>
      </c>
      <c r="U518" t="s">
        <v>77</v>
      </c>
    </row>
    <row r="519" spans="1:21" x14ac:dyDescent="0.2">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s="2">
        <v>647.84</v>
      </c>
      <c r="Q519">
        <v>8</v>
      </c>
      <c r="R519" s="2">
        <v>32.392000000000003</v>
      </c>
      <c r="S519" t="s">
        <v>129</v>
      </c>
      <c r="T519" s="10">
        <v>6</v>
      </c>
      <c r="U519" t="s">
        <v>59</v>
      </c>
    </row>
    <row r="520" spans="1:21" x14ac:dyDescent="0.2">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s="2">
        <v>77.92</v>
      </c>
      <c r="Q520">
        <v>8</v>
      </c>
      <c r="R520" s="2">
        <v>34.284799999999997</v>
      </c>
      <c r="S520" t="s">
        <v>70</v>
      </c>
      <c r="T520" s="10">
        <v>2</v>
      </c>
      <c r="U520" t="s">
        <v>71</v>
      </c>
    </row>
    <row r="521" spans="1:21" x14ac:dyDescent="0.2">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s="2">
        <v>47.991999999999997</v>
      </c>
      <c r="Q521">
        <v>2</v>
      </c>
      <c r="R521" s="2">
        <v>-2.0568</v>
      </c>
      <c r="S521" t="s">
        <v>129</v>
      </c>
      <c r="T521" s="10">
        <v>6</v>
      </c>
      <c r="U521" t="s">
        <v>34</v>
      </c>
    </row>
    <row r="522" spans="1:21" x14ac:dyDescent="0.2">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s="2">
        <v>129.93</v>
      </c>
      <c r="Q522">
        <v>3</v>
      </c>
      <c r="R522" s="2">
        <v>12.993</v>
      </c>
      <c r="S522" t="s">
        <v>58</v>
      </c>
      <c r="T522" s="10">
        <v>5</v>
      </c>
      <c r="U522" t="s">
        <v>161</v>
      </c>
    </row>
    <row r="523" spans="1:21" x14ac:dyDescent="0.2">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s="2">
        <v>181.98599999999999</v>
      </c>
      <c r="Q523">
        <v>2</v>
      </c>
      <c r="R523" s="2">
        <v>-54.595799999999997</v>
      </c>
      <c r="S523" t="s">
        <v>70</v>
      </c>
      <c r="T523" s="10">
        <v>2</v>
      </c>
      <c r="U523" t="s">
        <v>169</v>
      </c>
    </row>
    <row r="524" spans="1:21" x14ac:dyDescent="0.2">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s="2">
        <v>1348.704</v>
      </c>
      <c r="Q524">
        <v>6</v>
      </c>
      <c r="R524" s="2">
        <v>-219.1644</v>
      </c>
      <c r="S524" t="s">
        <v>430</v>
      </c>
      <c r="T524" s="10">
        <v>0</v>
      </c>
      <c r="U524" t="s">
        <v>71</v>
      </c>
    </row>
    <row r="525" spans="1:21" x14ac:dyDescent="0.2">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s="2">
        <v>700.15200000000004</v>
      </c>
      <c r="Q525">
        <v>3</v>
      </c>
      <c r="R525" s="2">
        <v>78.767099999999999</v>
      </c>
      <c r="S525" t="s">
        <v>430</v>
      </c>
      <c r="T525" s="10">
        <v>0</v>
      </c>
      <c r="U525" t="s">
        <v>71</v>
      </c>
    </row>
    <row r="526" spans="1:21" x14ac:dyDescent="0.2">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s="2">
        <v>111.88800000000001</v>
      </c>
      <c r="Q526">
        <v>7</v>
      </c>
      <c r="R526" s="2">
        <v>22.377600000000001</v>
      </c>
      <c r="S526" t="s">
        <v>83</v>
      </c>
      <c r="T526" s="10">
        <v>4</v>
      </c>
      <c r="U526" t="s">
        <v>113</v>
      </c>
    </row>
    <row r="527" spans="1:21" x14ac:dyDescent="0.2">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s="2">
        <v>173.94</v>
      </c>
      <c r="Q527">
        <v>3</v>
      </c>
      <c r="R527" s="2">
        <v>13.9152</v>
      </c>
      <c r="S527" t="s">
        <v>129</v>
      </c>
      <c r="T527" s="10">
        <v>6</v>
      </c>
      <c r="U527" t="s">
        <v>77</v>
      </c>
    </row>
    <row r="528" spans="1:21" x14ac:dyDescent="0.2">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s="2">
        <v>102.833</v>
      </c>
      <c r="Q528">
        <v>1</v>
      </c>
      <c r="R528" s="2">
        <v>-6.0490000000000004</v>
      </c>
      <c r="S528" t="s">
        <v>83</v>
      </c>
      <c r="T528" s="10">
        <v>4</v>
      </c>
      <c r="U528" t="s">
        <v>113</v>
      </c>
    </row>
    <row r="529" spans="1:21" x14ac:dyDescent="0.2">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s="2">
        <v>821.88</v>
      </c>
      <c r="Q529">
        <v>6</v>
      </c>
      <c r="R529" s="2">
        <v>213.68879999999999</v>
      </c>
      <c r="S529" t="s">
        <v>83</v>
      </c>
      <c r="T529" s="10">
        <v>4</v>
      </c>
      <c r="U529" t="s">
        <v>34</v>
      </c>
    </row>
    <row r="530" spans="1:21" x14ac:dyDescent="0.2">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s="2">
        <v>51.712000000000003</v>
      </c>
      <c r="Q530">
        <v>8</v>
      </c>
      <c r="R530" s="2">
        <v>-32.32</v>
      </c>
      <c r="S530" t="s">
        <v>129</v>
      </c>
      <c r="T530" s="10">
        <v>6</v>
      </c>
      <c r="U530" t="s">
        <v>48</v>
      </c>
    </row>
    <row r="531" spans="1:21" x14ac:dyDescent="0.2">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s="2">
        <v>1406.86</v>
      </c>
      <c r="Q531">
        <v>7</v>
      </c>
      <c r="R531" s="2">
        <v>140.68600000000001</v>
      </c>
      <c r="S531" t="s">
        <v>83</v>
      </c>
      <c r="T531" s="10">
        <v>4</v>
      </c>
      <c r="U531" t="s">
        <v>161</v>
      </c>
    </row>
    <row r="532" spans="1:21" x14ac:dyDescent="0.2">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s="2">
        <v>2665.62</v>
      </c>
      <c r="Q532">
        <v>9</v>
      </c>
      <c r="R532" s="2">
        <v>239.9058</v>
      </c>
      <c r="S532" t="s">
        <v>70</v>
      </c>
      <c r="T532" s="10">
        <v>2</v>
      </c>
      <c r="U532" t="s">
        <v>34</v>
      </c>
    </row>
    <row r="533" spans="1:21" x14ac:dyDescent="0.2">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s="2">
        <v>526.45000000000005</v>
      </c>
      <c r="Q533">
        <v>5</v>
      </c>
      <c r="R533" s="2">
        <v>31.587</v>
      </c>
      <c r="S533" t="s">
        <v>58</v>
      </c>
      <c r="T533" s="10">
        <v>5</v>
      </c>
      <c r="U533" t="s">
        <v>71</v>
      </c>
    </row>
    <row r="534" spans="1:21" x14ac:dyDescent="0.2">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s="2">
        <v>62.82</v>
      </c>
      <c r="Q534">
        <v>3</v>
      </c>
      <c r="R534" s="2">
        <v>30.7818</v>
      </c>
      <c r="S534" t="s">
        <v>58</v>
      </c>
      <c r="T534" s="10">
        <v>5</v>
      </c>
      <c r="U534" t="s">
        <v>169</v>
      </c>
    </row>
    <row r="535" spans="1:21" x14ac:dyDescent="0.2">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s="2">
        <v>12.42</v>
      </c>
      <c r="Q535">
        <v>3</v>
      </c>
      <c r="R535" s="2">
        <v>4.4711999999999996</v>
      </c>
      <c r="S535" t="s">
        <v>58</v>
      </c>
      <c r="T535" s="10">
        <v>5</v>
      </c>
      <c r="U535" t="s">
        <v>169</v>
      </c>
    </row>
    <row r="536" spans="1:21" x14ac:dyDescent="0.2">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s="2">
        <v>22.23</v>
      </c>
      <c r="Q536">
        <v>1</v>
      </c>
      <c r="R536" s="2">
        <v>9.7812000000000001</v>
      </c>
      <c r="S536" t="s">
        <v>129</v>
      </c>
      <c r="T536" s="10">
        <v>6</v>
      </c>
      <c r="U536" t="s">
        <v>59</v>
      </c>
    </row>
    <row r="537" spans="1:21" x14ac:dyDescent="0.2">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s="2">
        <v>14.135999999999999</v>
      </c>
      <c r="Q537">
        <v>2</v>
      </c>
      <c r="R537" s="2">
        <v>-7.7747999999999999</v>
      </c>
      <c r="S537" t="s">
        <v>129</v>
      </c>
      <c r="T537" s="10">
        <v>6</v>
      </c>
      <c r="U537" t="s">
        <v>77</v>
      </c>
    </row>
    <row r="538" spans="1:21" x14ac:dyDescent="0.2">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s="2">
        <v>601.47</v>
      </c>
      <c r="Q538">
        <v>3</v>
      </c>
      <c r="R538" s="2">
        <v>-300.73500000000001</v>
      </c>
      <c r="S538" t="s">
        <v>129</v>
      </c>
      <c r="T538" s="10">
        <v>6</v>
      </c>
      <c r="U538" t="s">
        <v>77</v>
      </c>
    </row>
    <row r="539" spans="1:21" x14ac:dyDescent="0.2">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s="2">
        <v>136.78399999999999</v>
      </c>
      <c r="Q539">
        <v>1</v>
      </c>
      <c r="R539" s="2">
        <v>5.1294000000000004</v>
      </c>
      <c r="S539" t="s">
        <v>430</v>
      </c>
      <c r="T539" s="10">
        <v>0</v>
      </c>
      <c r="U539" t="s">
        <v>59</v>
      </c>
    </row>
    <row r="540" spans="1:21" x14ac:dyDescent="0.2">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s="2">
        <v>61.12</v>
      </c>
      <c r="Q540">
        <v>4</v>
      </c>
      <c r="R540" s="2">
        <v>20.780799999999999</v>
      </c>
      <c r="S540" t="s">
        <v>430</v>
      </c>
      <c r="T540" s="10">
        <v>0</v>
      </c>
      <c r="U540" t="s">
        <v>59</v>
      </c>
    </row>
    <row r="541" spans="1:21" x14ac:dyDescent="0.2">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s="2">
        <v>1218.7349999999999</v>
      </c>
      <c r="Q541">
        <v>5</v>
      </c>
      <c r="R541" s="2">
        <v>-121.87350000000001</v>
      </c>
      <c r="S541" t="s">
        <v>58</v>
      </c>
      <c r="T541" s="10">
        <v>5</v>
      </c>
      <c r="U541" t="s">
        <v>34</v>
      </c>
    </row>
    <row r="542" spans="1:21" x14ac:dyDescent="0.2">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s="2">
        <v>6.0960000000000001</v>
      </c>
      <c r="Q542">
        <v>3</v>
      </c>
      <c r="R542" s="2">
        <v>-3.9624000000000001</v>
      </c>
      <c r="S542" t="s">
        <v>58</v>
      </c>
      <c r="T542" s="10">
        <v>5</v>
      </c>
      <c r="U542" t="s">
        <v>34</v>
      </c>
    </row>
    <row r="543" spans="1:21" x14ac:dyDescent="0.2">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s="2">
        <v>41.567999999999998</v>
      </c>
      <c r="Q543">
        <v>2</v>
      </c>
      <c r="R543" s="2">
        <v>2.5979999999999999</v>
      </c>
      <c r="S543" t="s">
        <v>47</v>
      </c>
      <c r="T543" s="10">
        <v>7</v>
      </c>
      <c r="U543" t="s">
        <v>113</v>
      </c>
    </row>
    <row r="544" spans="1:21" x14ac:dyDescent="0.2">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s="2">
        <v>230.28</v>
      </c>
      <c r="Q544">
        <v>3</v>
      </c>
      <c r="R544" s="2">
        <v>23.027999999999999</v>
      </c>
      <c r="S544" t="s">
        <v>47</v>
      </c>
      <c r="T544" s="10">
        <v>7</v>
      </c>
      <c r="U544" t="s">
        <v>113</v>
      </c>
    </row>
    <row r="545" spans="1:21" x14ac:dyDescent="0.2">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s="2">
        <v>39.96</v>
      </c>
      <c r="Q545">
        <v>2</v>
      </c>
      <c r="R545" s="2">
        <v>17.1828</v>
      </c>
      <c r="S545" t="s">
        <v>58</v>
      </c>
      <c r="T545" s="10">
        <v>5</v>
      </c>
      <c r="U545" t="s">
        <v>161</v>
      </c>
    </row>
    <row r="546" spans="1:21" x14ac:dyDescent="0.2">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s="2">
        <v>42.624000000000002</v>
      </c>
      <c r="Q546">
        <v>2</v>
      </c>
      <c r="R546" s="2">
        <v>4.2624000000000004</v>
      </c>
      <c r="S546" t="s">
        <v>58</v>
      </c>
      <c r="T546" s="10">
        <v>5</v>
      </c>
      <c r="U546" t="s">
        <v>161</v>
      </c>
    </row>
    <row r="547" spans="1:21" x14ac:dyDescent="0.2">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s="2">
        <v>220.96</v>
      </c>
      <c r="Q547">
        <v>1</v>
      </c>
      <c r="R547" s="2">
        <v>24.858000000000001</v>
      </c>
      <c r="S547" t="s">
        <v>58</v>
      </c>
      <c r="T547" s="10">
        <v>5</v>
      </c>
      <c r="U547" t="s">
        <v>161</v>
      </c>
    </row>
    <row r="548" spans="1:21" x14ac:dyDescent="0.2">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s="2">
        <v>4.9279999999999999</v>
      </c>
      <c r="Q548">
        <v>2</v>
      </c>
      <c r="R548" s="2">
        <v>0.73919999999999997</v>
      </c>
      <c r="S548" t="s">
        <v>58</v>
      </c>
      <c r="T548" s="10">
        <v>5</v>
      </c>
      <c r="U548" t="s">
        <v>71</v>
      </c>
    </row>
    <row r="549" spans="1:21" x14ac:dyDescent="0.2">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s="2">
        <v>858.24</v>
      </c>
      <c r="Q549">
        <v>4</v>
      </c>
      <c r="R549" s="2">
        <v>143.04</v>
      </c>
      <c r="S549" t="s">
        <v>129</v>
      </c>
      <c r="T549" s="10">
        <v>6</v>
      </c>
      <c r="U549" t="s">
        <v>59</v>
      </c>
    </row>
    <row r="550" spans="1:21" x14ac:dyDescent="0.2">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s="2">
        <v>18.623999999999999</v>
      </c>
      <c r="Q550">
        <v>8</v>
      </c>
      <c r="R550" s="2">
        <v>6.2855999999999996</v>
      </c>
      <c r="S550" t="s">
        <v>83</v>
      </c>
      <c r="T550" s="10">
        <v>4</v>
      </c>
      <c r="U550" t="s">
        <v>113</v>
      </c>
    </row>
    <row r="551" spans="1:21" x14ac:dyDescent="0.2">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s="2">
        <v>57.69</v>
      </c>
      <c r="Q551">
        <v>3</v>
      </c>
      <c r="R551" s="2">
        <v>23.652899999999999</v>
      </c>
      <c r="S551" t="s">
        <v>58</v>
      </c>
      <c r="T551" s="10">
        <v>5</v>
      </c>
      <c r="U551" t="s">
        <v>77</v>
      </c>
    </row>
    <row r="552" spans="1:21" x14ac:dyDescent="0.2">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s="2">
        <v>821.88</v>
      </c>
      <c r="Q552">
        <v>6</v>
      </c>
      <c r="R552" s="2">
        <v>213.68879999999999</v>
      </c>
      <c r="S552" t="s">
        <v>58</v>
      </c>
      <c r="T552" s="10">
        <v>5</v>
      </c>
      <c r="U552" t="s">
        <v>77</v>
      </c>
    </row>
    <row r="553" spans="1:21" x14ac:dyDescent="0.2">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s="2">
        <v>424.95749999999998</v>
      </c>
      <c r="Q553">
        <v>5</v>
      </c>
      <c r="R553" s="2">
        <v>19.998000000000001</v>
      </c>
      <c r="S553" t="s">
        <v>58</v>
      </c>
      <c r="T553" s="10">
        <v>5</v>
      </c>
      <c r="U553" t="s">
        <v>77</v>
      </c>
    </row>
    <row r="554" spans="1:21" x14ac:dyDescent="0.2">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s="2">
        <v>1292.94</v>
      </c>
      <c r="Q554">
        <v>3</v>
      </c>
      <c r="R554" s="2">
        <v>77.576400000000007</v>
      </c>
      <c r="S554" t="s">
        <v>83</v>
      </c>
      <c r="T554" s="10">
        <v>4</v>
      </c>
      <c r="U554" t="s">
        <v>77</v>
      </c>
    </row>
    <row r="555" spans="1:21" x14ac:dyDescent="0.2">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s="2">
        <v>883.84</v>
      </c>
      <c r="Q555">
        <v>4</v>
      </c>
      <c r="R555" s="2">
        <v>99.432000000000002</v>
      </c>
      <c r="S555" t="s">
        <v>83</v>
      </c>
      <c r="T555" s="10">
        <v>4</v>
      </c>
      <c r="U555" t="s">
        <v>96</v>
      </c>
    </row>
    <row r="556" spans="1:21" x14ac:dyDescent="0.2">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s="2">
        <v>370.62</v>
      </c>
      <c r="Q556">
        <v>3</v>
      </c>
      <c r="R556" s="2">
        <v>-142.071</v>
      </c>
      <c r="S556" t="s">
        <v>33</v>
      </c>
      <c r="T556" s="10">
        <v>3</v>
      </c>
      <c r="U556" t="s">
        <v>161</v>
      </c>
    </row>
    <row r="557" spans="1:21" x14ac:dyDescent="0.2">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s="2">
        <v>40.783999999999999</v>
      </c>
      <c r="Q557">
        <v>1</v>
      </c>
      <c r="R557" s="2">
        <v>4.5881999999999996</v>
      </c>
      <c r="S557" t="s">
        <v>58</v>
      </c>
      <c r="T557" s="10">
        <v>5</v>
      </c>
      <c r="U557" t="s">
        <v>253</v>
      </c>
    </row>
    <row r="558" spans="1:21" x14ac:dyDescent="0.2">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s="2">
        <v>785.88</v>
      </c>
      <c r="Q558">
        <v>6</v>
      </c>
      <c r="R558" s="2">
        <v>212.1876</v>
      </c>
      <c r="S558" t="s">
        <v>33</v>
      </c>
      <c r="T558" s="10">
        <v>3</v>
      </c>
      <c r="U558" t="s">
        <v>77</v>
      </c>
    </row>
    <row r="559" spans="1:21" x14ac:dyDescent="0.2">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s="2">
        <v>109.9</v>
      </c>
      <c r="Q559">
        <v>5</v>
      </c>
      <c r="R559" s="2">
        <v>37.366</v>
      </c>
      <c r="S559" t="s">
        <v>129</v>
      </c>
      <c r="T559" s="10">
        <v>6</v>
      </c>
      <c r="U559" t="s">
        <v>169</v>
      </c>
    </row>
    <row r="560" spans="1:21" x14ac:dyDescent="0.2">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s="2">
        <v>15.384</v>
      </c>
      <c r="Q560">
        <v>1</v>
      </c>
      <c r="R560" s="2">
        <v>4.0382999999999996</v>
      </c>
      <c r="S560" t="s">
        <v>58</v>
      </c>
      <c r="T560" s="10">
        <v>5</v>
      </c>
      <c r="U560" t="s">
        <v>48</v>
      </c>
    </row>
    <row r="561" spans="1:21" x14ac:dyDescent="0.2">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s="2">
        <v>30.768000000000001</v>
      </c>
      <c r="Q561">
        <v>2</v>
      </c>
      <c r="R561" s="2">
        <v>8.0765999999999991</v>
      </c>
      <c r="S561" t="s">
        <v>58</v>
      </c>
      <c r="T561" s="10">
        <v>5</v>
      </c>
      <c r="U561" t="s">
        <v>195</v>
      </c>
    </row>
    <row r="562" spans="1:21" x14ac:dyDescent="0.2">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s="2">
        <v>122.352</v>
      </c>
      <c r="Q562">
        <v>3</v>
      </c>
      <c r="R562" s="2">
        <v>15.294</v>
      </c>
      <c r="S562" t="s">
        <v>58</v>
      </c>
      <c r="T562" s="10">
        <v>5</v>
      </c>
      <c r="U562" t="s">
        <v>195</v>
      </c>
    </row>
    <row r="563" spans="1:21" x14ac:dyDescent="0.2">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s="2">
        <v>227.36</v>
      </c>
      <c r="Q563">
        <v>7</v>
      </c>
      <c r="R563" s="2">
        <v>81.849599999999995</v>
      </c>
      <c r="S563" t="s">
        <v>47</v>
      </c>
      <c r="T563" s="10">
        <v>7</v>
      </c>
      <c r="U563" t="s">
        <v>169</v>
      </c>
    </row>
    <row r="564" spans="1:21" x14ac:dyDescent="0.2">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s="2">
        <v>45.887999999999998</v>
      </c>
      <c r="Q564">
        <v>4</v>
      </c>
      <c r="R564" s="2">
        <v>9.1776</v>
      </c>
      <c r="S564" t="s">
        <v>70</v>
      </c>
      <c r="T564" s="10">
        <v>2</v>
      </c>
      <c r="U564" t="s">
        <v>48</v>
      </c>
    </row>
    <row r="565" spans="1:21" x14ac:dyDescent="0.2">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s="2">
        <v>23.975999999999999</v>
      </c>
      <c r="Q565">
        <v>3</v>
      </c>
      <c r="R565" s="2">
        <v>-14.3856</v>
      </c>
      <c r="S565" t="s">
        <v>70</v>
      </c>
      <c r="T565" s="10">
        <v>2</v>
      </c>
      <c r="U565" t="s">
        <v>96</v>
      </c>
    </row>
    <row r="566" spans="1:21" x14ac:dyDescent="0.2">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s="2">
        <v>350.35199999999998</v>
      </c>
      <c r="Q566">
        <v>4</v>
      </c>
      <c r="R566" s="2">
        <v>-140.14080000000001</v>
      </c>
      <c r="S566" t="s">
        <v>129</v>
      </c>
      <c r="T566" s="10">
        <v>6</v>
      </c>
      <c r="U566" t="s">
        <v>34</v>
      </c>
    </row>
    <row r="567" spans="1:21" x14ac:dyDescent="0.2">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s="2">
        <v>107.53</v>
      </c>
      <c r="Q567">
        <v>1</v>
      </c>
      <c r="R567" s="2">
        <v>21.506</v>
      </c>
      <c r="S567" t="s">
        <v>129</v>
      </c>
      <c r="T567" s="10">
        <v>6</v>
      </c>
      <c r="U567" t="s">
        <v>297</v>
      </c>
    </row>
    <row r="568" spans="1:21" x14ac:dyDescent="0.2">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s="2">
        <v>299.97000000000003</v>
      </c>
      <c r="Q568">
        <v>3</v>
      </c>
      <c r="R568" s="2">
        <v>56.994300000000003</v>
      </c>
      <c r="S568" t="s">
        <v>129</v>
      </c>
      <c r="T568" s="10">
        <v>6</v>
      </c>
      <c r="U568" t="s">
        <v>34</v>
      </c>
    </row>
    <row r="569" spans="1:21" x14ac:dyDescent="0.2">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s="2">
        <v>35.340000000000003</v>
      </c>
      <c r="Q569">
        <v>2</v>
      </c>
      <c r="R569" s="2">
        <v>13.4292</v>
      </c>
      <c r="S569" t="s">
        <v>83</v>
      </c>
      <c r="T569" s="10">
        <v>4</v>
      </c>
      <c r="U569" t="s">
        <v>34</v>
      </c>
    </row>
    <row r="570" spans="1:21" x14ac:dyDescent="0.2">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s="2">
        <v>257.64</v>
      </c>
      <c r="Q570">
        <v>6</v>
      </c>
      <c r="R570" s="2">
        <v>100.4796</v>
      </c>
      <c r="S570" t="s">
        <v>58</v>
      </c>
      <c r="T570" s="10">
        <v>5</v>
      </c>
      <c r="U570" t="s">
        <v>59</v>
      </c>
    </row>
    <row r="571" spans="1:21" x14ac:dyDescent="0.2">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s="2">
        <v>700.05600000000004</v>
      </c>
      <c r="Q571">
        <v>3</v>
      </c>
      <c r="R571" s="2">
        <v>-130.0104</v>
      </c>
      <c r="S571" t="s">
        <v>58</v>
      </c>
      <c r="T571" s="10">
        <v>5</v>
      </c>
      <c r="U571" t="s">
        <v>161</v>
      </c>
    </row>
    <row r="572" spans="1:21" x14ac:dyDescent="0.2">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s="2">
        <v>585.55200000000002</v>
      </c>
      <c r="Q572">
        <v>3</v>
      </c>
      <c r="R572" s="2">
        <v>73.194000000000003</v>
      </c>
      <c r="S572" t="s">
        <v>129</v>
      </c>
      <c r="T572" s="10">
        <v>6</v>
      </c>
      <c r="U572" t="s">
        <v>59</v>
      </c>
    </row>
    <row r="573" spans="1:21" x14ac:dyDescent="0.2">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s="2">
        <v>225.29599999999999</v>
      </c>
      <c r="Q573">
        <v>2</v>
      </c>
      <c r="R573" s="2">
        <v>22.529599999999999</v>
      </c>
      <c r="S573" t="s">
        <v>83</v>
      </c>
      <c r="T573" s="10">
        <v>4</v>
      </c>
      <c r="U573" t="s">
        <v>161</v>
      </c>
    </row>
    <row r="574" spans="1:21" x14ac:dyDescent="0.2">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s="2">
        <v>76.92</v>
      </c>
      <c r="Q574">
        <v>4</v>
      </c>
      <c r="R574" s="2">
        <v>31.537199999999999</v>
      </c>
      <c r="S574" t="s">
        <v>83</v>
      </c>
      <c r="T574" s="10">
        <v>4</v>
      </c>
      <c r="U574" t="s">
        <v>195</v>
      </c>
    </row>
    <row r="575" spans="1:21" x14ac:dyDescent="0.2">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s="2">
        <v>19.103999999999999</v>
      </c>
      <c r="Q575">
        <v>3</v>
      </c>
      <c r="R575" s="2">
        <v>5.7312000000000003</v>
      </c>
      <c r="S575" t="s">
        <v>70</v>
      </c>
      <c r="T575" s="10">
        <v>2</v>
      </c>
      <c r="U575" t="s">
        <v>96</v>
      </c>
    </row>
    <row r="576" spans="1:21" x14ac:dyDescent="0.2">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s="2">
        <v>195.46600000000001</v>
      </c>
      <c r="Q576">
        <v>2</v>
      </c>
      <c r="R576" s="2">
        <v>-13.797599999999999</v>
      </c>
      <c r="S576" t="s">
        <v>70</v>
      </c>
      <c r="T576" s="10">
        <v>2</v>
      </c>
      <c r="U576" t="s">
        <v>71</v>
      </c>
    </row>
    <row r="577" spans="1:21" x14ac:dyDescent="0.2">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s="2">
        <v>23.68</v>
      </c>
      <c r="Q577">
        <v>8</v>
      </c>
      <c r="R577" s="2">
        <v>6.2160000000000002</v>
      </c>
      <c r="S577" t="s">
        <v>58</v>
      </c>
      <c r="T577" s="10">
        <v>5</v>
      </c>
      <c r="U577" t="s">
        <v>113</v>
      </c>
    </row>
    <row r="578" spans="1:21" x14ac:dyDescent="0.2">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s="2">
        <v>601.53599999999994</v>
      </c>
      <c r="Q578">
        <v>4</v>
      </c>
      <c r="R578" s="2">
        <v>0</v>
      </c>
      <c r="S578" t="s">
        <v>70</v>
      </c>
      <c r="T578" s="10">
        <v>2</v>
      </c>
      <c r="U578" t="s">
        <v>77</v>
      </c>
    </row>
    <row r="579" spans="1:21" x14ac:dyDescent="0.2">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s="2">
        <v>58.36</v>
      </c>
      <c r="Q579">
        <v>5</v>
      </c>
      <c r="R579" s="2">
        <v>-24.803000000000001</v>
      </c>
      <c r="S579" t="s">
        <v>83</v>
      </c>
      <c r="T579" s="10">
        <v>4</v>
      </c>
      <c r="U579" t="s">
        <v>96</v>
      </c>
    </row>
    <row r="580" spans="1:21" x14ac:dyDescent="0.2">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s="2">
        <v>39.96</v>
      </c>
      <c r="Q580">
        <v>5</v>
      </c>
      <c r="R580" s="2">
        <v>-23.975999999999999</v>
      </c>
      <c r="S580" t="s">
        <v>83</v>
      </c>
      <c r="T580" s="10">
        <v>4</v>
      </c>
      <c r="U580" t="s">
        <v>96</v>
      </c>
    </row>
    <row r="581" spans="1:21" x14ac:dyDescent="0.2">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s="2">
        <v>308.49900000000002</v>
      </c>
      <c r="Q581">
        <v>3</v>
      </c>
      <c r="R581" s="2">
        <v>-18.146999999999998</v>
      </c>
      <c r="S581" t="s">
        <v>58</v>
      </c>
      <c r="T581" s="10">
        <v>5</v>
      </c>
      <c r="U581" t="s">
        <v>113</v>
      </c>
    </row>
    <row r="582" spans="1:21" x14ac:dyDescent="0.2">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s="2">
        <v>41.37</v>
      </c>
      <c r="Q582">
        <v>3</v>
      </c>
      <c r="R582" s="2">
        <v>17.375399999999999</v>
      </c>
      <c r="S582" t="s">
        <v>58</v>
      </c>
      <c r="T582" s="10">
        <v>5</v>
      </c>
      <c r="U582" t="s">
        <v>34</v>
      </c>
    </row>
    <row r="583" spans="1:21" x14ac:dyDescent="0.2">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s="2">
        <v>47.515999999999998</v>
      </c>
      <c r="Q583">
        <v>2</v>
      </c>
      <c r="R583" s="2">
        <v>-2.0364</v>
      </c>
      <c r="S583" t="s">
        <v>83</v>
      </c>
      <c r="T583" s="10">
        <v>4</v>
      </c>
      <c r="U583" t="s">
        <v>77</v>
      </c>
    </row>
    <row r="584" spans="1:21" x14ac:dyDescent="0.2">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s="2">
        <v>704.9</v>
      </c>
      <c r="Q584">
        <v>5</v>
      </c>
      <c r="R584" s="2">
        <v>56.392000000000003</v>
      </c>
      <c r="S584" t="s">
        <v>70</v>
      </c>
      <c r="T584" s="10">
        <v>2</v>
      </c>
      <c r="U584" t="s">
        <v>71</v>
      </c>
    </row>
    <row r="585" spans="1:21" x14ac:dyDescent="0.2">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s="2">
        <v>561.56799999999998</v>
      </c>
      <c r="Q585">
        <v>2</v>
      </c>
      <c r="R585" s="2">
        <v>28.078399999999998</v>
      </c>
      <c r="S585" t="s">
        <v>70</v>
      </c>
      <c r="T585" s="10">
        <v>2</v>
      </c>
      <c r="U585" t="s">
        <v>71</v>
      </c>
    </row>
    <row r="586" spans="1:21" x14ac:dyDescent="0.2">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s="2">
        <v>185.58</v>
      </c>
      <c r="Q586">
        <v>6</v>
      </c>
      <c r="R586" s="2">
        <v>76.087800000000001</v>
      </c>
      <c r="S586" t="s">
        <v>70</v>
      </c>
      <c r="T586" s="10">
        <v>2</v>
      </c>
      <c r="U586" t="s">
        <v>34</v>
      </c>
    </row>
    <row r="587" spans="1:21" x14ac:dyDescent="0.2">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s="2">
        <v>214.11</v>
      </c>
      <c r="Q587">
        <v>3</v>
      </c>
      <c r="R587" s="2">
        <v>36.398699999999998</v>
      </c>
      <c r="S587" t="s">
        <v>70</v>
      </c>
      <c r="T587" s="10">
        <v>2</v>
      </c>
      <c r="U587" t="s">
        <v>34</v>
      </c>
    </row>
    <row r="588" spans="1:21" x14ac:dyDescent="0.2">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s="2">
        <v>653.54999999999995</v>
      </c>
      <c r="Q588">
        <v>3</v>
      </c>
      <c r="R588" s="2">
        <v>111.1035</v>
      </c>
      <c r="S588" t="s">
        <v>70</v>
      </c>
      <c r="T588" s="10">
        <v>2</v>
      </c>
      <c r="U588" t="s">
        <v>34</v>
      </c>
    </row>
    <row r="589" spans="1:21" x14ac:dyDescent="0.2">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s="2">
        <v>60.74</v>
      </c>
      <c r="Q589">
        <v>1</v>
      </c>
      <c r="R589" s="2">
        <v>15.185</v>
      </c>
      <c r="S589" t="s">
        <v>47</v>
      </c>
      <c r="T589" s="10">
        <v>7</v>
      </c>
      <c r="U589" t="s">
        <v>77</v>
      </c>
    </row>
    <row r="590" spans="1:21" x14ac:dyDescent="0.2">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s="2">
        <v>124.36</v>
      </c>
      <c r="Q590">
        <v>2</v>
      </c>
      <c r="R590" s="2">
        <v>27.359200000000001</v>
      </c>
      <c r="S590" t="s">
        <v>47</v>
      </c>
      <c r="T590" s="10">
        <v>7</v>
      </c>
      <c r="U590" t="s">
        <v>77</v>
      </c>
    </row>
    <row r="591" spans="1:21" x14ac:dyDescent="0.2">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s="2">
        <v>298.77600000000001</v>
      </c>
      <c r="Q591">
        <v>3</v>
      </c>
      <c r="R591" s="2">
        <v>7.4694000000000003</v>
      </c>
      <c r="S591" t="s">
        <v>33</v>
      </c>
      <c r="T591" s="10">
        <v>3</v>
      </c>
      <c r="U591" t="s">
        <v>161</v>
      </c>
    </row>
    <row r="592" spans="1:21" x14ac:dyDescent="0.2">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s="2">
        <v>300.53280000000001</v>
      </c>
      <c r="Q592">
        <v>2</v>
      </c>
      <c r="R592" s="2">
        <v>-97.231200000000001</v>
      </c>
      <c r="S592" t="s">
        <v>58</v>
      </c>
      <c r="T592" s="10">
        <v>5</v>
      </c>
      <c r="U592" t="s">
        <v>77</v>
      </c>
    </row>
    <row r="593" spans="1:21" x14ac:dyDescent="0.2">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s="2">
        <v>1139.92</v>
      </c>
      <c r="Q593">
        <v>4</v>
      </c>
      <c r="R593" s="2">
        <v>284.98</v>
      </c>
      <c r="S593" t="s">
        <v>58</v>
      </c>
      <c r="T593" s="10">
        <v>5</v>
      </c>
      <c r="U593" t="s">
        <v>195</v>
      </c>
    </row>
    <row r="594" spans="1:21" x14ac:dyDescent="0.2">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s="2">
        <v>845.48800000000006</v>
      </c>
      <c r="Q594">
        <v>8</v>
      </c>
      <c r="R594" s="2">
        <v>-12.0784</v>
      </c>
      <c r="S594" t="s">
        <v>83</v>
      </c>
      <c r="T594" s="10">
        <v>4</v>
      </c>
      <c r="U594" t="s">
        <v>96</v>
      </c>
    </row>
    <row r="595" spans="1:21" x14ac:dyDescent="0.2">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s="2">
        <v>56.28</v>
      </c>
      <c r="Q595">
        <v>6</v>
      </c>
      <c r="R595" s="2">
        <v>15.7584</v>
      </c>
      <c r="S595" t="s">
        <v>47</v>
      </c>
      <c r="T595" s="10">
        <v>7</v>
      </c>
      <c r="U595" t="s">
        <v>113</v>
      </c>
    </row>
    <row r="596" spans="1:21" x14ac:dyDescent="0.2">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s="2">
        <v>14.98</v>
      </c>
      <c r="Q596">
        <v>1</v>
      </c>
      <c r="R596" s="2">
        <v>6.8907999999999996</v>
      </c>
      <c r="S596" t="s">
        <v>70</v>
      </c>
      <c r="T596" s="10">
        <v>2</v>
      </c>
      <c r="U596" t="s">
        <v>195</v>
      </c>
    </row>
    <row r="597" spans="1:21" x14ac:dyDescent="0.2">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s="2">
        <v>20.32</v>
      </c>
      <c r="Q597">
        <v>4</v>
      </c>
      <c r="R597" s="2">
        <v>6.9088000000000003</v>
      </c>
      <c r="S597" t="s">
        <v>70</v>
      </c>
      <c r="T597" s="10">
        <v>2</v>
      </c>
      <c r="U597" t="s">
        <v>195</v>
      </c>
    </row>
    <row r="598" spans="1:21" x14ac:dyDescent="0.2">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s="2">
        <v>1603.136</v>
      </c>
      <c r="Q598">
        <v>4</v>
      </c>
      <c r="R598" s="2">
        <v>100.196</v>
      </c>
      <c r="S598" t="s">
        <v>33</v>
      </c>
      <c r="T598" s="10">
        <v>3</v>
      </c>
      <c r="U598" t="s">
        <v>253</v>
      </c>
    </row>
    <row r="599" spans="1:21" x14ac:dyDescent="0.2">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s="2">
        <v>225.29599999999999</v>
      </c>
      <c r="Q599">
        <v>2</v>
      </c>
      <c r="R599" s="2">
        <v>22.529599999999999</v>
      </c>
      <c r="S599" t="s">
        <v>70</v>
      </c>
      <c r="T599" s="10">
        <v>2</v>
      </c>
      <c r="U599" t="s">
        <v>253</v>
      </c>
    </row>
    <row r="600" spans="1:21" x14ac:dyDescent="0.2">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s="2">
        <v>1628.82</v>
      </c>
      <c r="Q600">
        <v>9</v>
      </c>
      <c r="R600" s="2">
        <v>374.62860000000001</v>
      </c>
      <c r="S600" t="s">
        <v>83</v>
      </c>
      <c r="T600" s="10">
        <v>4</v>
      </c>
      <c r="U600" t="s">
        <v>161</v>
      </c>
    </row>
    <row r="601" spans="1:21" x14ac:dyDescent="0.2">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s="2">
        <v>17.088000000000001</v>
      </c>
      <c r="Q601">
        <v>2</v>
      </c>
      <c r="R601" s="2">
        <v>1.0680000000000001</v>
      </c>
      <c r="S601" t="s">
        <v>47</v>
      </c>
      <c r="T601" s="10">
        <v>7</v>
      </c>
      <c r="U601" t="s">
        <v>59</v>
      </c>
    </row>
    <row r="602" spans="1:21" x14ac:dyDescent="0.2">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s="2">
        <v>314.35199999999998</v>
      </c>
      <c r="Q602">
        <v>3</v>
      </c>
      <c r="R602" s="2">
        <v>-35.364600000000003</v>
      </c>
      <c r="S602" t="s">
        <v>83</v>
      </c>
      <c r="T602" s="10">
        <v>4</v>
      </c>
      <c r="U602" t="s">
        <v>195</v>
      </c>
    </row>
    <row r="603" spans="1:21" x14ac:dyDescent="0.2">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s="2">
        <v>153.56800000000001</v>
      </c>
      <c r="Q603">
        <v>2</v>
      </c>
      <c r="R603" s="2">
        <v>-5.7587999999999999</v>
      </c>
      <c r="S603" t="s">
        <v>70</v>
      </c>
      <c r="T603" s="10">
        <v>2</v>
      </c>
      <c r="U603" t="s">
        <v>169</v>
      </c>
    </row>
    <row r="604" spans="1:21" x14ac:dyDescent="0.2">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s="2">
        <v>1013.4880000000001</v>
      </c>
      <c r="Q604">
        <v>7</v>
      </c>
      <c r="R604" s="2">
        <v>76.011600000000001</v>
      </c>
      <c r="S604" t="s">
        <v>70</v>
      </c>
      <c r="T604" s="10">
        <v>2</v>
      </c>
      <c r="U604" t="s">
        <v>169</v>
      </c>
    </row>
    <row r="605" spans="1:21" x14ac:dyDescent="0.2">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s="2">
        <v>6.96</v>
      </c>
      <c r="Q605">
        <v>4</v>
      </c>
      <c r="R605" s="2">
        <v>2.2271999999999998</v>
      </c>
      <c r="S605" t="s">
        <v>58</v>
      </c>
      <c r="T605" s="10">
        <v>5</v>
      </c>
      <c r="U605" t="s">
        <v>34</v>
      </c>
    </row>
    <row r="606" spans="1:21" x14ac:dyDescent="0.2">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s="2">
        <v>307.92</v>
      </c>
      <c r="Q606">
        <v>5</v>
      </c>
      <c r="R606" s="2">
        <v>-34.640999999999998</v>
      </c>
      <c r="S606" t="s">
        <v>83</v>
      </c>
      <c r="T606" s="10">
        <v>4</v>
      </c>
      <c r="U606" t="s">
        <v>48</v>
      </c>
    </row>
    <row r="607" spans="1:21" x14ac:dyDescent="0.2">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s="2">
        <v>51.96</v>
      </c>
      <c r="Q607">
        <v>2</v>
      </c>
      <c r="R607" s="2">
        <v>12.99</v>
      </c>
      <c r="S607" t="s">
        <v>70</v>
      </c>
      <c r="T607" s="10">
        <v>2</v>
      </c>
      <c r="U607" t="s">
        <v>113</v>
      </c>
    </row>
    <row r="608" spans="1:21" x14ac:dyDescent="0.2">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s="2">
        <v>69.08</v>
      </c>
      <c r="Q608">
        <v>11</v>
      </c>
      <c r="R608" s="2">
        <v>29.0136</v>
      </c>
      <c r="S608" t="s">
        <v>129</v>
      </c>
      <c r="T608" s="10">
        <v>6</v>
      </c>
      <c r="U608" t="s">
        <v>48</v>
      </c>
    </row>
    <row r="609" spans="1:21" x14ac:dyDescent="0.2">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s="2">
        <v>408.42200000000003</v>
      </c>
      <c r="Q609">
        <v>2</v>
      </c>
      <c r="R609" s="2">
        <v>-5.8346</v>
      </c>
      <c r="S609" t="s">
        <v>83</v>
      </c>
      <c r="T609" s="10">
        <v>4</v>
      </c>
      <c r="U609" t="s">
        <v>113</v>
      </c>
    </row>
    <row r="610" spans="1:21" x14ac:dyDescent="0.2">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s="2">
        <v>539.65800000000002</v>
      </c>
      <c r="Q610">
        <v>3</v>
      </c>
      <c r="R610" s="2">
        <v>-7.7093999999999996</v>
      </c>
      <c r="S610" t="s">
        <v>83</v>
      </c>
      <c r="T610" s="10">
        <v>4</v>
      </c>
      <c r="U610" t="s">
        <v>59</v>
      </c>
    </row>
    <row r="611" spans="1:21" x14ac:dyDescent="0.2">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s="2">
        <v>14.368</v>
      </c>
      <c r="Q611">
        <v>2</v>
      </c>
      <c r="R611" s="2">
        <v>3.9512</v>
      </c>
      <c r="S611" t="s">
        <v>430</v>
      </c>
      <c r="T611" s="10">
        <v>0</v>
      </c>
      <c r="U611" t="s">
        <v>34</v>
      </c>
    </row>
    <row r="612" spans="1:21" x14ac:dyDescent="0.2">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s="2">
        <v>70.447999999999993</v>
      </c>
      <c r="Q612">
        <v>7</v>
      </c>
      <c r="R612" s="2">
        <v>12.3284</v>
      </c>
      <c r="S612" t="s">
        <v>430</v>
      </c>
      <c r="T612" s="10">
        <v>0</v>
      </c>
      <c r="U612" t="s">
        <v>34</v>
      </c>
    </row>
    <row r="613" spans="1:21" x14ac:dyDescent="0.2">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s="2">
        <v>70.709999999999994</v>
      </c>
      <c r="Q613">
        <v>1</v>
      </c>
      <c r="R613" s="2">
        <v>4.9497</v>
      </c>
      <c r="S613" t="s">
        <v>33</v>
      </c>
      <c r="T613" s="10">
        <v>3</v>
      </c>
      <c r="U613" t="s">
        <v>77</v>
      </c>
    </row>
    <row r="614" spans="1:21" x14ac:dyDescent="0.2">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s="2">
        <v>18.84</v>
      </c>
      <c r="Q614">
        <v>3</v>
      </c>
      <c r="R614" s="2">
        <v>7.9127999999999998</v>
      </c>
      <c r="S614" t="s">
        <v>83</v>
      </c>
      <c r="T614" s="10">
        <v>4</v>
      </c>
      <c r="U614" t="s">
        <v>71</v>
      </c>
    </row>
    <row r="615" spans="1:21" x14ac:dyDescent="0.2">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s="2">
        <v>19.760000000000002</v>
      </c>
      <c r="Q615">
        <v>4</v>
      </c>
      <c r="R615" s="2">
        <v>8.2992000000000008</v>
      </c>
      <c r="S615" t="s">
        <v>129</v>
      </c>
      <c r="T615" s="10">
        <v>6</v>
      </c>
      <c r="U615" t="s">
        <v>34</v>
      </c>
    </row>
    <row r="616" spans="1:21" x14ac:dyDescent="0.2">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s="2">
        <v>144.78399999999999</v>
      </c>
      <c r="Q616">
        <v>1</v>
      </c>
      <c r="R616" s="2">
        <v>10.8588</v>
      </c>
      <c r="S616" t="s">
        <v>430</v>
      </c>
      <c r="T616" s="10">
        <v>0</v>
      </c>
      <c r="U616" t="s">
        <v>253</v>
      </c>
    </row>
    <row r="617" spans="1:21" x14ac:dyDescent="0.2">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s="2">
        <v>90.99</v>
      </c>
      <c r="Q617">
        <v>1</v>
      </c>
      <c r="R617" s="2">
        <v>14.558400000000001</v>
      </c>
      <c r="S617" t="s">
        <v>129</v>
      </c>
      <c r="T617" s="10">
        <v>6</v>
      </c>
      <c r="U617" t="s">
        <v>195</v>
      </c>
    </row>
    <row r="618" spans="1:21" x14ac:dyDescent="0.2">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s="2">
        <v>1526.56</v>
      </c>
      <c r="Q618">
        <v>7</v>
      </c>
      <c r="R618" s="2">
        <v>427.43680000000001</v>
      </c>
      <c r="S618" t="s">
        <v>129</v>
      </c>
      <c r="T618" s="10">
        <v>6</v>
      </c>
      <c r="U618" t="s">
        <v>195</v>
      </c>
    </row>
    <row r="619" spans="1:21" x14ac:dyDescent="0.2">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s="2">
        <v>368.97</v>
      </c>
      <c r="Q619">
        <v>3</v>
      </c>
      <c r="R619" s="2">
        <v>40.5867</v>
      </c>
      <c r="S619" t="s">
        <v>129</v>
      </c>
      <c r="T619" s="10">
        <v>6</v>
      </c>
      <c r="U619" t="s">
        <v>195</v>
      </c>
    </row>
    <row r="620" spans="1:21" x14ac:dyDescent="0.2">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s="2">
        <v>18.7</v>
      </c>
      <c r="Q620">
        <v>1</v>
      </c>
      <c r="R620" s="2">
        <v>7.1059999999999999</v>
      </c>
      <c r="S620" t="s">
        <v>58</v>
      </c>
      <c r="T620" s="10">
        <v>5</v>
      </c>
      <c r="U620" t="s">
        <v>34</v>
      </c>
    </row>
    <row r="621" spans="1:21" x14ac:dyDescent="0.2">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s="2">
        <v>38.29</v>
      </c>
      <c r="Q621">
        <v>7</v>
      </c>
      <c r="R621" s="2">
        <v>16.464700000000001</v>
      </c>
      <c r="S621" t="s">
        <v>123</v>
      </c>
      <c r="T621" s="10">
        <v>1</v>
      </c>
      <c r="U621" t="s">
        <v>34</v>
      </c>
    </row>
    <row r="622" spans="1:21" x14ac:dyDescent="0.2">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s="2">
        <v>26.25</v>
      </c>
      <c r="Q622">
        <v>3</v>
      </c>
      <c r="R622" s="2">
        <v>11.025</v>
      </c>
      <c r="S622" t="s">
        <v>83</v>
      </c>
      <c r="T622" s="10">
        <v>4</v>
      </c>
      <c r="U622" t="s">
        <v>96</v>
      </c>
    </row>
    <row r="623" spans="1:21" x14ac:dyDescent="0.2">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s="2">
        <v>113.88800000000001</v>
      </c>
      <c r="Q623">
        <v>2</v>
      </c>
      <c r="R623" s="2">
        <v>9.9651999999999994</v>
      </c>
      <c r="S623" t="s">
        <v>430</v>
      </c>
      <c r="T623" s="10">
        <v>0</v>
      </c>
      <c r="U623" t="s">
        <v>34</v>
      </c>
    </row>
    <row r="624" spans="1:21" x14ac:dyDescent="0.2">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s="2">
        <v>113.568</v>
      </c>
      <c r="Q624">
        <v>2</v>
      </c>
      <c r="R624" s="2">
        <v>-5.6783999999999999</v>
      </c>
      <c r="S624" t="s">
        <v>430</v>
      </c>
      <c r="T624" s="10">
        <v>0</v>
      </c>
      <c r="U624" t="s">
        <v>34</v>
      </c>
    </row>
    <row r="625" spans="1:21" x14ac:dyDescent="0.2">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s="2">
        <v>191.64599999999999</v>
      </c>
      <c r="Q625">
        <v>3</v>
      </c>
      <c r="R625" s="2">
        <v>31.940999999999999</v>
      </c>
      <c r="S625" t="s">
        <v>47</v>
      </c>
      <c r="T625" s="10">
        <v>7</v>
      </c>
      <c r="U625" t="s">
        <v>59</v>
      </c>
    </row>
    <row r="626" spans="1:21" x14ac:dyDescent="0.2">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s="2">
        <v>81.567999999999998</v>
      </c>
      <c r="Q626">
        <v>2</v>
      </c>
      <c r="R626" s="2">
        <v>9.1763999999999992</v>
      </c>
      <c r="S626" t="s">
        <v>58</v>
      </c>
      <c r="T626" s="10">
        <v>5</v>
      </c>
      <c r="U626" t="s">
        <v>96</v>
      </c>
    </row>
    <row r="627" spans="1:21" x14ac:dyDescent="0.2">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s="2">
        <v>97.183999999999997</v>
      </c>
      <c r="Q627">
        <v>2</v>
      </c>
      <c r="R627" s="2">
        <v>6.0739999999999998</v>
      </c>
      <c r="S627" t="s">
        <v>58</v>
      </c>
      <c r="T627" s="10">
        <v>5</v>
      </c>
      <c r="U627" t="s">
        <v>96</v>
      </c>
    </row>
    <row r="628" spans="1:21" x14ac:dyDescent="0.2">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s="2">
        <v>18.96</v>
      </c>
      <c r="Q628">
        <v>2</v>
      </c>
      <c r="R628" s="2">
        <v>7.5839999999999996</v>
      </c>
      <c r="S628" t="s">
        <v>58</v>
      </c>
      <c r="T628" s="10">
        <v>5</v>
      </c>
      <c r="U628" t="s">
        <v>96</v>
      </c>
    </row>
    <row r="629" spans="1:21" x14ac:dyDescent="0.2">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s="2">
        <v>32.951999999999998</v>
      </c>
      <c r="Q629">
        <v>6</v>
      </c>
      <c r="R629" s="2">
        <v>-19.7712</v>
      </c>
      <c r="S629" t="s">
        <v>83</v>
      </c>
      <c r="T629" s="10">
        <v>4</v>
      </c>
      <c r="U629" t="s">
        <v>96</v>
      </c>
    </row>
    <row r="630" spans="1:21" x14ac:dyDescent="0.2">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s="2">
        <v>28.271999999999998</v>
      </c>
      <c r="Q630">
        <v>2</v>
      </c>
      <c r="R630" s="2">
        <v>6.3612000000000002</v>
      </c>
      <c r="S630" t="s">
        <v>33</v>
      </c>
      <c r="T630" s="10">
        <v>3</v>
      </c>
      <c r="U630" t="s">
        <v>34</v>
      </c>
    </row>
    <row r="631" spans="1:21" x14ac:dyDescent="0.2">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s="2">
        <v>244.006</v>
      </c>
      <c r="Q631">
        <v>2</v>
      </c>
      <c r="R631" s="2">
        <v>-31.372199999999999</v>
      </c>
      <c r="S631" t="s">
        <v>58</v>
      </c>
      <c r="T631" s="10">
        <v>5</v>
      </c>
      <c r="U631" t="s">
        <v>161</v>
      </c>
    </row>
    <row r="632" spans="1:21" x14ac:dyDescent="0.2">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s="2">
        <v>188.55199999999999</v>
      </c>
      <c r="Q632">
        <v>7</v>
      </c>
      <c r="R632" s="2">
        <v>-2.6936</v>
      </c>
      <c r="S632" t="s">
        <v>430</v>
      </c>
      <c r="T632" s="10">
        <v>0</v>
      </c>
      <c r="U632" t="s">
        <v>96</v>
      </c>
    </row>
    <row r="633" spans="1:21" x14ac:dyDescent="0.2">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s="2">
        <v>545.94000000000005</v>
      </c>
      <c r="Q633">
        <v>6</v>
      </c>
      <c r="R633" s="2">
        <v>87.350399999999993</v>
      </c>
      <c r="S633" t="s">
        <v>33</v>
      </c>
      <c r="T633" s="10">
        <v>3</v>
      </c>
      <c r="U633" t="s">
        <v>169</v>
      </c>
    </row>
    <row r="634" spans="1:21" x14ac:dyDescent="0.2">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s="2">
        <v>43.295999999999999</v>
      </c>
      <c r="Q634">
        <v>2</v>
      </c>
      <c r="R634" s="2">
        <v>4.3296000000000001</v>
      </c>
      <c r="S634" t="s">
        <v>58</v>
      </c>
      <c r="T634" s="10">
        <v>5</v>
      </c>
      <c r="U634" t="s">
        <v>59</v>
      </c>
    </row>
    <row r="635" spans="1:21" x14ac:dyDescent="0.2">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s="2">
        <v>123.136</v>
      </c>
      <c r="Q635">
        <v>4</v>
      </c>
      <c r="R635" s="2">
        <v>13.8528</v>
      </c>
      <c r="S635" t="s">
        <v>129</v>
      </c>
      <c r="T635" s="10">
        <v>6</v>
      </c>
      <c r="U635" t="s">
        <v>71</v>
      </c>
    </row>
    <row r="636" spans="1:21" x14ac:dyDescent="0.2">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s="2">
        <v>275.49</v>
      </c>
      <c r="Q636">
        <v>1</v>
      </c>
      <c r="R636" s="2">
        <v>-170.8038</v>
      </c>
      <c r="S636" t="s">
        <v>58</v>
      </c>
      <c r="T636" s="10">
        <v>5</v>
      </c>
      <c r="U636" t="s">
        <v>96</v>
      </c>
    </row>
    <row r="637" spans="1:21" x14ac:dyDescent="0.2">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s="2">
        <v>24.96</v>
      </c>
      <c r="Q637">
        <v>4</v>
      </c>
      <c r="R637" s="2">
        <v>6.24</v>
      </c>
      <c r="S637" t="s">
        <v>58</v>
      </c>
      <c r="T637" s="10">
        <v>5</v>
      </c>
      <c r="U637" t="s">
        <v>161</v>
      </c>
    </row>
    <row r="638" spans="1:21" x14ac:dyDescent="0.2">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s="2">
        <v>3.984</v>
      </c>
      <c r="Q638">
        <v>1</v>
      </c>
      <c r="R638" s="2">
        <v>0.64739999999999998</v>
      </c>
      <c r="S638" t="s">
        <v>83</v>
      </c>
      <c r="T638" s="10">
        <v>4</v>
      </c>
      <c r="U638" t="s">
        <v>59</v>
      </c>
    </row>
    <row r="639" spans="1:21" x14ac:dyDescent="0.2">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s="2">
        <v>191.82</v>
      </c>
      <c r="Q639">
        <v>3</v>
      </c>
      <c r="R639" s="2">
        <v>74.809799999999996</v>
      </c>
      <c r="S639" t="s">
        <v>123</v>
      </c>
      <c r="T639" s="10">
        <v>1</v>
      </c>
      <c r="U639" t="s">
        <v>96</v>
      </c>
    </row>
    <row r="640" spans="1:21" x14ac:dyDescent="0.2">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s="2">
        <v>344.22</v>
      </c>
      <c r="Q640">
        <v>2</v>
      </c>
      <c r="R640" s="2">
        <v>-103.26600000000001</v>
      </c>
      <c r="S640" t="s">
        <v>83</v>
      </c>
      <c r="T640" s="10">
        <v>4</v>
      </c>
      <c r="U640" t="s">
        <v>77</v>
      </c>
    </row>
    <row r="641" spans="1:21" x14ac:dyDescent="0.2">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s="2">
        <v>22.608000000000001</v>
      </c>
      <c r="Q641">
        <v>3</v>
      </c>
      <c r="R641" s="2">
        <v>-10.1736</v>
      </c>
      <c r="S641" t="s">
        <v>47</v>
      </c>
      <c r="T641" s="10">
        <v>7</v>
      </c>
      <c r="U641" t="s">
        <v>253</v>
      </c>
    </row>
    <row r="642" spans="1:21" x14ac:dyDescent="0.2">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s="2">
        <v>66.69</v>
      </c>
      <c r="Q642">
        <v>3</v>
      </c>
      <c r="R642" s="2">
        <v>22.0077</v>
      </c>
      <c r="S642" t="s">
        <v>129</v>
      </c>
      <c r="T642" s="10">
        <v>6</v>
      </c>
      <c r="U642" t="s">
        <v>34</v>
      </c>
    </row>
    <row r="643" spans="1:21" x14ac:dyDescent="0.2">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s="2">
        <v>327.7328</v>
      </c>
      <c r="Q643">
        <v>2</v>
      </c>
      <c r="R643" s="2">
        <v>-14.4588</v>
      </c>
      <c r="S643" t="s">
        <v>129</v>
      </c>
      <c r="T643" s="10">
        <v>6</v>
      </c>
      <c r="U643" t="s">
        <v>34</v>
      </c>
    </row>
    <row r="644" spans="1:21" x14ac:dyDescent="0.2">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s="2">
        <v>254.352</v>
      </c>
      <c r="Q644">
        <v>3</v>
      </c>
      <c r="R644" s="2">
        <v>0</v>
      </c>
      <c r="S644" t="s">
        <v>83</v>
      </c>
      <c r="T644" s="10">
        <v>4</v>
      </c>
      <c r="U644" t="s">
        <v>113</v>
      </c>
    </row>
    <row r="645" spans="1:21" x14ac:dyDescent="0.2">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s="2">
        <v>504.9</v>
      </c>
      <c r="Q645">
        <v>5</v>
      </c>
      <c r="R645" s="2">
        <v>80.784000000000006</v>
      </c>
      <c r="S645" t="s">
        <v>83</v>
      </c>
      <c r="T645" s="10">
        <v>4</v>
      </c>
      <c r="U645" t="s">
        <v>96</v>
      </c>
    </row>
    <row r="646" spans="1:21" x14ac:dyDescent="0.2">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s="2">
        <v>194.32</v>
      </c>
      <c r="Q646">
        <v>4</v>
      </c>
      <c r="R646" s="2">
        <v>31.091200000000001</v>
      </c>
      <c r="S646" t="s">
        <v>129</v>
      </c>
      <c r="T646" s="10">
        <v>6</v>
      </c>
      <c r="U646" t="s">
        <v>77</v>
      </c>
    </row>
    <row r="647" spans="1:21" x14ac:dyDescent="0.2">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s="2">
        <v>195.136</v>
      </c>
      <c r="Q647">
        <v>4</v>
      </c>
      <c r="R647" s="2">
        <v>-12.196</v>
      </c>
      <c r="S647" t="s">
        <v>58</v>
      </c>
      <c r="T647" s="10">
        <v>5</v>
      </c>
      <c r="U647" t="s">
        <v>34</v>
      </c>
    </row>
    <row r="648" spans="1:21" x14ac:dyDescent="0.2">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s="2">
        <v>29.16</v>
      </c>
      <c r="Q648">
        <v>2</v>
      </c>
      <c r="R648" s="2">
        <v>10.789199999999999</v>
      </c>
      <c r="S648" t="s">
        <v>58</v>
      </c>
      <c r="T648" s="10">
        <v>5</v>
      </c>
      <c r="U648" t="s">
        <v>59</v>
      </c>
    </row>
    <row r="649" spans="1:21" x14ac:dyDescent="0.2">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s="2">
        <v>171.28800000000001</v>
      </c>
      <c r="Q649">
        <v>3</v>
      </c>
      <c r="R649" s="2">
        <v>-6.4233000000000002</v>
      </c>
      <c r="S649" t="s">
        <v>58</v>
      </c>
      <c r="T649" s="10">
        <v>5</v>
      </c>
      <c r="U649" t="s">
        <v>48</v>
      </c>
    </row>
    <row r="650" spans="1:21" x14ac:dyDescent="0.2">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s="2">
        <v>16.72</v>
      </c>
      <c r="Q650">
        <v>5</v>
      </c>
      <c r="R650" s="2">
        <v>3.3439999999999999</v>
      </c>
      <c r="S650" t="s">
        <v>83</v>
      </c>
      <c r="T650" s="10">
        <v>4</v>
      </c>
      <c r="U650" t="s">
        <v>161</v>
      </c>
    </row>
    <row r="651" spans="1:21" x14ac:dyDescent="0.2">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s="2">
        <v>2054.2719999999999</v>
      </c>
      <c r="Q651">
        <v>8</v>
      </c>
      <c r="R651" s="2">
        <v>256.78399999999999</v>
      </c>
      <c r="S651" t="s">
        <v>123</v>
      </c>
      <c r="T651" s="10">
        <v>1</v>
      </c>
      <c r="U651" t="s">
        <v>77</v>
      </c>
    </row>
    <row r="652" spans="1:21" x14ac:dyDescent="0.2">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s="2">
        <v>411.8</v>
      </c>
      <c r="Q652">
        <v>2</v>
      </c>
      <c r="R652" s="2">
        <v>70.006</v>
      </c>
      <c r="S652" t="s">
        <v>70</v>
      </c>
      <c r="T652" s="10">
        <v>2</v>
      </c>
      <c r="U652" t="s">
        <v>113</v>
      </c>
    </row>
    <row r="653" spans="1:21" x14ac:dyDescent="0.2">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s="2">
        <v>41.96</v>
      </c>
      <c r="Q653">
        <v>2</v>
      </c>
      <c r="R653" s="2">
        <v>2.9371999999999998</v>
      </c>
      <c r="S653" t="s">
        <v>58</v>
      </c>
      <c r="T653" s="10">
        <v>5</v>
      </c>
      <c r="U653" t="s">
        <v>48</v>
      </c>
    </row>
    <row r="654" spans="1:21" x14ac:dyDescent="0.2">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s="2">
        <v>30.56</v>
      </c>
      <c r="Q654">
        <v>2</v>
      </c>
      <c r="R654" s="2">
        <v>10.3904</v>
      </c>
      <c r="S654" t="s">
        <v>58</v>
      </c>
      <c r="T654" s="10">
        <v>5</v>
      </c>
      <c r="U654" t="s">
        <v>48</v>
      </c>
    </row>
    <row r="655" spans="1:21" x14ac:dyDescent="0.2">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s="2">
        <v>24.367999999999999</v>
      </c>
      <c r="Q655">
        <v>2</v>
      </c>
      <c r="R655" s="2">
        <v>-3.3506</v>
      </c>
      <c r="S655" t="s">
        <v>58</v>
      </c>
      <c r="T655" s="10">
        <v>5</v>
      </c>
      <c r="U655" t="s">
        <v>48</v>
      </c>
    </row>
    <row r="656" spans="1:21" x14ac:dyDescent="0.2">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s="2">
        <v>124.41</v>
      </c>
      <c r="Q656">
        <v>3</v>
      </c>
      <c r="R656" s="2">
        <v>14.9292</v>
      </c>
      <c r="S656" t="s">
        <v>58</v>
      </c>
      <c r="T656" s="10">
        <v>5</v>
      </c>
      <c r="U656" t="s">
        <v>34</v>
      </c>
    </row>
    <row r="657" spans="1:21" x14ac:dyDescent="0.2">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s="2">
        <v>120.666</v>
      </c>
      <c r="Q657">
        <v>2</v>
      </c>
      <c r="R657" s="2">
        <v>18.454799999999999</v>
      </c>
      <c r="S657" t="s">
        <v>58</v>
      </c>
      <c r="T657" s="10">
        <v>5</v>
      </c>
      <c r="U657" t="s">
        <v>48</v>
      </c>
    </row>
    <row r="658" spans="1:21" x14ac:dyDescent="0.2">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s="2">
        <v>16.739999999999998</v>
      </c>
      <c r="Q658">
        <v>5</v>
      </c>
      <c r="R658" s="2">
        <v>-14.228999999999999</v>
      </c>
      <c r="S658" t="s">
        <v>83</v>
      </c>
      <c r="T658" s="10">
        <v>4</v>
      </c>
      <c r="U658" t="s">
        <v>71</v>
      </c>
    </row>
    <row r="659" spans="1:21" x14ac:dyDescent="0.2">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s="2">
        <v>981.37199999999996</v>
      </c>
      <c r="Q659">
        <v>2</v>
      </c>
      <c r="R659" s="2">
        <v>-140.196</v>
      </c>
      <c r="S659" t="s">
        <v>83</v>
      </c>
      <c r="T659" s="10">
        <v>4</v>
      </c>
      <c r="U659" t="s">
        <v>71</v>
      </c>
    </row>
    <row r="660" spans="1:21" x14ac:dyDescent="0.2">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s="2">
        <v>3.984</v>
      </c>
      <c r="Q660">
        <v>2</v>
      </c>
      <c r="R660" s="2">
        <v>-2.6892</v>
      </c>
      <c r="S660" t="s">
        <v>58</v>
      </c>
      <c r="T660" s="10">
        <v>5</v>
      </c>
      <c r="U660" t="s">
        <v>297</v>
      </c>
    </row>
    <row r="661" spans="1:21" x14ac:dyDescent="0.2">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s="2">
        <v>61</v>
      </c>
      <c r="Q661">
        <v>5</v>
      </c>
      <c r="R661" s="2">
        <v>25.62</v>
      </c>
      <c r="S661" t="s">
        <v>70</v>
      </c>
      <c r="T661" s="10">
        <v>2</v>
      </c>
      <c r="U661" t="s">
        <v>195</v>
      </c>
    </row>
    <row r="662" spans="1:21" x14ac:dyDescent="0.2">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s="2">
        <v>220.26560000000001</v>
      </c>
      <c r="Q662">
        <v>4</v>
      </c>
      <c r="R662" s="2">
        <v>-42.1096</v>
      </c>
      <c r="S662" t="s">
        <v>83</v>
      </c>
      <c r="T662" s="10">
        <v>4</v>
      </c>
      <c r="U662" t="s">
        <v>113</v>
      </c>
    </row>
    <row r="663" spans="1:21" x14ac:dyDescent="0.2">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s="2">
        <v>242.352</v>
      </c>
      <c r="Q663">
        <v>3</v>
      </c>
      <c r="R663" s="2">
        <v>9.0882000000000005</v>
      </c>
      <c r="S663" t="s">
        <v>58</v>
      </c>
      <c r="T663" s="10">
        <v>5</v>
      </c>
      <c r="U663" t="s">
        <v>113</v>
      </c>
    </row>
    <row r="664" spans="1:21" x14ac:dyDescent="0.2">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s="2">
        <v>220.98</v>
      </c>
      <c r="Q664">
        <v>1</v>
      </c>
      <c r="R664" s="2">
        <v>50.825400000000002</v>
      </c>
      <c r="S664" t="s">
        <v>58</v>
      </c>
      <c r="T664" s="10">
        <v>5</v>
      </c>
      <c r="U664" t="s">
        <v>96</v>
      </c>
    </row>
    <row r="665" spans="1:21" x14ac:dyDescent="0.2">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s="2">
        <v>532.70399999999995</v>
      </c>
      <c r="Q665">
        <v>6</v>
      </c>
      <c r="R665" s="2">
        <v>-39.952800000000003</v>
      </c>
      <c r="S665" t="s">
        <v>47</v>
      </c>
      <c r="T665" s="10">
        <v>7</v>
      </c>
      <c r="U665" t="s">
        <v>253</v>
      </c>
    </row>
    <row r="666" spans="1:21" x14ac:dyDescent="0.2">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s="2">
        <v>1123.92</v>
      </c>
      <c r="Q666">
        <v>5</v>
      </c>
      <c r="R666" s="2">
        <v>-182.637</v>
      </c>
      <c r="S666" t="s">
        <v>123</v>
      </c>
      <c r="T666" s="10">
        <v>1</v>
      </c>
      <c r="U666" t="s">
        <v>59</v>
      </c>
    </row>
    <row r="667" spans="1:21" x14ac:dyDescent="0.2">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s="2">
        <v>48.671999999999997</v>
      </c>
      <c r="Q667">
        <v>3</v>
      </c>
      <c r="R667" s="2">
        <v>7.3007999999999997</v>
      </c>
      <c r="S667" t="s">
        <v>123</v>
      </c>
      <c r="T667" s="10">
        <v>1</v>
      </c>
      <c r="U667" t="s">
        <v>59</v>
      </c>
    </row>
    <row r="668" spans="1:21" x14ac:dyDescent="0.2">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s="2">
        <v>44.46</v>
      </c>
      <c r="Q668">
        <v>2</v>
      </c>
      <c r="R668" s="2">
        <v>14.671799999999999</v>
      </c>
      <c r="S668" t="s">
        <v>123</v>
      </c>
      <c r="T668" s="10">
        <v>1</v>
      </c>
      <c r="U668" t="s">
        <v>96</v>
      </c>
    </row>
    <row r="669" spans="1:21" x14ac:dyDescent="0.2">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s="2">
        <v>241.56800000000001</v>
      </c>
      <c r="Q669">
        <v>2</v>
      </c>
      <c r="R669" s="2">
        <v>18.117599999999999</v>
      </c>
      <c r="S669" t="s">
        <v>123</v>
      </c>
      <c r="T669" s="10">
        <v>1</v>
      </c>
      <c r="U669" t="s">
        <v>96</v>
      </c>
    </row>
    <row r="670" spans="1:21" x14ac:dyDescent="0.2">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s="2">
        <v>13.28</v>
      </c>
      <c r="Q670">
        <v>2</v>
      </c>
      <c r="R670" s="2">
        <v>6.3743999999999996</v>
      </c>
      <c r="S670" t="s">
        <v>70</v>
      </c>
      <c r="T670" s="10">
        <v>2</v>
      </c>
      <c r="U670" t="s">
        <v>253</v>
      </c>
    </row>
    <row r="671" spans="1:21" x14ac:dyDescent="0.2">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s="2">
        <v>22.847999999999999</v>
      </c>
      <c r="Q671">
        <v>3</v>
      </c>
      <c r="R671" s="2">
        <v>-17.7072</v>
      </c>
      <c r="S671" t="s">
        <v>129</v>
      </c>
      <c r="T671" s="10">
        <v>6</v>
      </c>
      <c r="U671" t="s">
        <v>34</v>
      </c>
    </row>
    <row r="672" spans="1:21" x14ac:dyDescent="0.2">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s="2">
        <v>347.80200000000002</v>
      </c>
      <c r="Q672">
        <v>7</v>
      </c>
      <c r="R672" s="2">
        <v>-24.843</v>
      </c>
      <c r="S672" t="s">
        <v>129</v>
      </c>
      <c r="T672" s="10">
        <v>6</v>
      </c>
      <c r="U672" t="s">
        <v>77</v>
      </c>
    </row>
    <row r="673" spans="1:21" x14ac:dyDescent="0.2">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s="2">
        <v>963.13599999999997</v>
      </c>
      <c r="Q673">
        <v>4</v>
      </c>
      <c r="R673" s="2">
        <v>108.3528</v>
      </c>
      <c r="S673" t="s">
        <v>70</v>
      </c>
      <c r="T673" s="10">
        <v>2</v>
      </c>
      <c r="U673" t="s">
        <v>297</v>
      </c>
    </row>
    <row r="674" spans="1:21" x14ac:dyDescent="0.2">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s="2">
        <v>262.86399999999998</v>
      </c>
      <c r="Q674">
        <v>7</v>
      </c>
      <c r="R674" s="2">
        <v>69.001800000000003</v>
      </c>
      <c r="S674" t="s">
        <v>33</v>
      </c>
      <c r="T674" s="10">
        <v>3</v>
      </c>
      <c r="U674" t="s">
        <v>96</v>
      </c>
    </row>
    <row r="675" spans="1:21" x14ac:dyDescent="0.2">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s="2">
        <v>284.36399999999998</v>
      </c>
      <c r="Q675">
        <v>2</v>
      </c>
      <c r="R675" s="2">
        <v>-75.830399999999997</v>
      </c>
      <c r="S675" t="s">
        <v>83</v>
      </c>
      <c r="T675" s="10">
        <v>4</v>
      </c>
      <c r="U675" t="s">
        <v>253</v>
      </c>
    </row>
    <row r="676" spans="1:21" x14ac:dyDescent="0.2">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s="2">
        <v>67</v>
      </c>
      <c r="Q676">
        <v>5</v>
      </c>
      <c r="R676" s="2">
        <v>32.159999999999997</v>
      </c>
      <c r="S676" t="s">
        <v>70</v>
      </c>
      <c r="T676" s="10">
        <v>2</v>
      </c>
      <c r="U676" t="s">
        <v>48</v>
      </c>
    </row>
    <row r="677" spans="1:21" x14ac:dyDescent="0.2">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s="2">
        <v>390.27199999999999</v>
      </c>
      <c r="Q677">
        <v>8</v>
      </c>
      <c r="R677" s="2">
        <v>-24.391999999999999</v>
      </c>
      <c r="S677" t="s">
        <v>129</v>
      </c>
      <c r="T677" s="10">
        <v>6</v>
      </c>
      <c r="U677" t="s">
        <v>161</v>
      </c>
    </row>
    <row r="678" spans="1:21" x14ac:dyDescent="0.2">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s="2">
        <v>528.42999999999995</v>
      </c>
      <c r="Q678">
        <v>5</v>
      </c>
      <c r="R678" s="2">
        <v>0</v>
      </c>
      <c r="S678" t="s">
        <v>47</v>
      </c>
      <c r="T678" s="10">
        <v>7</v>
      </c>
      <c r="U678" t="s">
        <v>195</v>
      </c>
    </row>
    <row r="679" spans="1:21" x14ac:dyDescent="0.2">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s="2">
        <v>180.58799999999999</v>
      </c>
      <c r="Q679">
        <v>2</v>
      </c>
      <c r="R679" s="2">
        <v>-240.78399999999999</v>
      </c>
      <c r="S679" t="s">
        <v>129</v>
      </c>
      <c r="T679" s="10">
        <v>6</v>
      </c>
      <c r="U679" t="s">
        <v>77</v>
      </c>
    </row>
    <row r="680" spans="1:21" x14ac:dyDescent="0.2">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s="2">
        <v>20.94</v>
      </c>
      <c r="Q680">
        <v>3</v>
      </c>
      <c r="R680" s="2">
        <v>6.0726000000000004</v>
      </c>
      <c r="S680" t="s">
        <v>129</v>
      </c>
      <c r="T680" s="10">
        <v>6</v>
      </c>
      <c r="U680" t="s">
        <v>96</v>
      </c>
    </row>
    <row r="681" spans="1:21" x14ac:dyDescent="0.2">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s="2">
        <v>58.68</v>
      </c>
      <c r="Q681">
        <v>2</v>
      </c>
      <c r="R681" s="2">
        <v>18.190799999999999</v>
      </c>
      <c r="S681" t="s">
        <v>129</v>
      </c>
      <c r="T681" s="10">
        <v>6</v>
      </c>
      <c r="U681" t="s">
        <v>96</v>
      </c>
    </row>
    <row r="682" spans="1:21" x14ac:dyDescent="0.2">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s="2">
        <v>149.232</v>
      </c>
      <c r="Q682">
        <v>3</v>
      </c>
      <c r="R682" s="2">
        <v>3.7307999999999999</v>
      </c>
      <c r="S682" t="s">
        <v>70</v>
      </c>
      <c r="T682" s="10">
        <v>2</v>
      </c>
      <c r="U682" t="s">
        <v>161</v>
      </c>
    </row>
    <row r="683" spans="1:21" x14ac:dyDescent="0.2">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s="2">
        <v>39.880000000000003</v>
      </c>
      <c r="Q683">
        <v>2</v>
      </c>
      <c r="R683" s="2">
        <v>11.166399999999999</v>
      </c>
      <c r="S683" t="s">
        <v>129</v>
      </c>
      <c r="T683" s="10">
        <v>6</v>
      </c>
      <c r="U683" t="s">
        <v>34</v>
      </c>
    </row>
    <row r="684" spans="1:21" x14ac:dyDescent="0.2">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s="2">
        <v>53.2</v>
      </c>
      <c r="Q684">
        <v>5</v>
      </c>
      <c r="R684" s="2">
        <v>14.896000000000001</v>
      </c>
      <c r="S684" t="s">
        <v>129</v>
      </c>
      <c r="T684" s="10">
        <v>6</v>
      </c>
      <c r="U684" t="s">
        <v>34</v>
      </c>
    </row>
    <row r="685" spans="1:21" x14ac:dyDescent="0.2">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s="2">
        <v>114.9</v>
      </c>
      <c r="Q685">
        <v>5</v>
      </c>
      <c r="R685" s="2">
        <v>39.066000000000003</v>
      </c>
      <c r="S685" t="s">
        <v>83</v>
      </c>
      <c r="T685" s="10">
        <v>4</v>
      </c>
      <c r="U685" t="s">
        <v>77</v>
      </c>
    </row>
    <row r="686" spans="1:21" x14ac:dyDescent="0.2">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s="2">
        <v>181.797</v>
      </c>
      <c r="Q686">
        <v>1</v>
      </c>
      <c r="R686" s="2">
        <v>-15.582599999999999</v>
      </c>
      <c r="S686" t="s">
        <v>430</v>
      </c>
      <c r="T686" s="10">
        <v>0</v>
      </c>
      <c r="U686" t="s">
        <v>169</v>
      </c>
    </row>
    <row r="687" spans="1:21" x14ac:dyDescent="0.2">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s="2">
        <v>318.43</v>
      </c>
      <c r="Q687">
        <v>5</v>
      </c>
      <c r="R687" s="2">
        <v>-77.332999999999998</v>
      </c>
      <c r="S687" t="s">
        <v>47</v>
      </c>
      <c r="T687" s="10">
        <v>7</v>
      </c>
      <c r="U687" t="s">
        <v>34</v>
      </c>
    </row>
    <row r="688" spans="1:21" x14ac:dyDescent="0.2">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s="2">
        <v>7.0679999999999996</v>
      </c>
      <c r="Q688">
        <v>3</v>
      </c>
      <c r="R688" s="2">
        <v>-2.8271999999999999</v>
      </c>
      <c r="S688" t="s">
        <v>47</v>
      </c>
      <c r="T688" s="10">
        <v>7</v>
      </c>
      <c r="U688" t="s">
        <v>34</v>
      </c>
    </row>
    <row r="689" spans="1:21" x14ac:dyDescent="0.2">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s="2">
        <v>317.05799999999999</v>
      </c>
      <c r="Q689">
        <v>3</v>
      </c>
      <c r="R689" s="2">
        <v>-18.117599999999999</v>
      </c>
      <c r="S689" t="s">
        <v>83</v>
      </c>
      <c r="T689" s="10">
        <v>4</v>
      </c>
      <c r="U689" t="s">
        <v>96</v>
      </c>
    </row>
    <row r="690" spans="1:21" x14ac:dyDescent="0.2">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s="2">
        <v>113.88800000000001</v>
      </c>
      <c r="Q690">
        <v>2</v>
      </c>
      <c r="R690" s="2">
        <v>9.9651999999999994</v>
      </c>
      <c r="S690" t="s">
        <v>83</v>
      </c>
      <c r="T690" s="10">
        <v>4</v>
      </c>
      <c r="U690" t="s">
        <v>77</v>
      </c>
    </row>
    <row r="691" spans="1:21" x14ac:dyDescent="0.2">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s="2">
        <v>60.311999999999998</v>
      </c>
      <c r="Q691">
        <v>3</v>
      </c>
      <c r="R691" s="2">
        <v>5.2773000000000003</v>
      </c>
      <c r="S691" t="s">
        <v>70</v>
      </c>
      <c r="T691" s="10">
        <v>2</v>
      </c>
      <c r="U691" t="s">
        <v>113</v>
      </c>
    </row>
    <row r="692" spans="1:21" x14ac:dyDescent="0.2">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s="2">
        <v>79.974000000000004</v>
      </c>
      <c r="Q692">
        <v>3</v>
      </c>
      <c r="R692" s="2">
        <v>-29.323799999999999</v>
      </c>
      <c r="S692" t="s">
        <v>58</v>
      </c>
      <c r="T692" s="10">
        <v>5</v>
      </c>
      <c r="U692" t="s">
        <v>96</v>
      </c>
    </row>
    <row r="693" spans="1:21" x14ac:dyDescent="0.2">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s="2">
        <v>203.92</v>
      </c>
      <c r="Q693">
        <v>5</v>
      </c>
      <c r="R693" s="2">
        <v>22.940999999999999</v>
      </c>
      <c r="S693" t="s">
        <v>47</v>
      </c>
      <c r="T693" s="10">
        <v>7</v>
      </c>
      <c r="U693" t="s">
        <v>297</v>
      </c>
    </row>
    <row r="694" spans="1:21" x14ac:dyDescent="0.2">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s="2">
        <v>15.24</v>
      </c>
      <c r="Q694">
        <v>3</v>
      </c>
      <c r="R694" s="2">
        <v>5.1816000000000004</v>
      </c>
      <c r="S694" t="s">
        <v>129</v>
      </c>
      <c r="T694" s="10">
        <v>6</v>
      </c>
      <c r="U694" t="s">
        <v>77</v>
      </c>
    </row>
    <row r="695" spans="1:21" x14ac:dyDescent="0.2">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s="2">
        <v>3.48</v>
      </c>
      <c r="Q695">
        <v>2</v>
      </c>
      <c r="R695" s="2">
        <v>1.1135999999999999</v>
      </c>
      <c r="S695" t="s">
        <v>83</v>
      </c>
      <c r="T695" s="10">
        <v>4</v>
      </c>
      <c r="U695" t="s">
        <v>96</v>
      </c>
    </row>
    <row r="696" spans="1:21" x14ac:dyDescent="0.2">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s="2">
        <v>60.311999999999998</v>
      </c>
      <c r="Q696">
        <v>3</v>
      </c>
      <c r="R696" s="2">
        <v>5.2773000000000003</v>
      </c>
      <c r="S696" t="s">
        <v>83</v>
      </c>
      <c r="T696" s="10">
        <v>4</v>
      </c>
      <c r="U696" t="s">
        <v>34</v>
      </c>
    </row>
    <row r="697" spans="1:21" x14ac:dyDescent="0.2">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s="2">
        <v>86.45</v>
      </c>
      <c r="Q697">
        <v>7</v>
      </c>
      <c r="R697" s="2">
        <v>38.037999999999997</v>
      </c>
      <c r="S697" t="s">
        <v>58</v>
      </c>
      <c r="T697" s="10">
        <v>5</v>
      </c>
      <c r="U697" t="s">
        <v>195</v>
      </c>
    </row>
    <row r="698" spans="1:21" x14ac:dyDescent="0.2">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s="2">
        <v>603.91999999999996</v>
      </c>
      <c r="Q698">
        <v>5</v>
      </c>
      <c r="R698" s="2">
        <v>45.293999999999997</v>
      </c>
      <c r="S698" t="s">
        <v>83</v>
      </c>
      <c r="T698" s="10">
        <v>4</v>
      </c>
      <c r="U698" t="s">
        <v>77</v>
      </c>
    </row>
    <row r="699" spans="1:21" x14ac:dyDescent="0.2">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s="2">
        <v>271.76400000000001</v>
      </c>
      <c r="Q699">
        <v>2</v>
      </c>
      <c r="R699" s="2">
        <v>48.313600000000001</v>
      </c>
      <c r="S699" t="s">
        <v>83</v>
      </c>
      <c r="T699" s="10">
        <v>4</v>
      </c>
      <c r="U699" t="s">
        <v>96</v>
      </c>
    </row>
    <row r="700" spans="1:21" x14ac:dyDescent="0.2">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s="2">
        <v>341.96</v>
      </c>
      <c r="Q700">
        <v>5</v>
      </c>
      <c r="R700" s="2">
        <v>-427.45</v>
      </c>
      <c r="S700" t="s">
        <v>58</v>
      </c>
      <c r="T700" s="10">
        <v>5</v>
      </c>
      <c r="U700" t="s">
        <v>34</v>
      </c>
    </row>
    <row r="701" spans="1:21" x14ac:dyDescent="0.2">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s="2">
        <v>662.88</v>
      </c>
      <c r="Q701">
        <v>3</v>
      </c>
      <c r="R701" s="2">
        <v>74.573999999999998</v>
      </c>
      <c r="S701" t="s">
        <v>58</v>
      </c>
      <c r="T701" s="10">
        <v>5</v>
      </c>
      <c r="U701" t="s">
        <v>96</v>
      </c>
    </row>
    <row r="702" spans="1:21" x14ac:dyDescent="0.2">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s="2">
        <v>128.82</v>
      </c>
      <c r="Q702">
        <v>3</v>
      </c>
      <c r="R702" s="2">
        <v>50.239800000000002</v>
      </c>
      <c r="S702" t="s">
        <v>83</v>
      </c>
      <c r="T702" s="10">
        <v>4</v>
      </c>
      <c r="U702" t="s">
        <v>71</v>
      </c>
    </row>
    <row r="703" spans="1:21" x14ac:dyDescent="0.2">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s="2">
        <v>2.032</v>
      </c>
      <c r="Q703">
        <v>1</v>
      </c>
      <c r="R703" s="2">
        <v>-1.3208</v>
      </c>
      <c r="S703" t="s">
        <v>129</v>
      </c>
      <c r="T703" s="10">
        <v>6</v>
      </c>
      <c r="U703" t="s">
        <v>96</v>
      </c>
    </row>
    <row r="704" spans="1:21" x14ac:dyDescent="0.2">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s="2">
        <v>129.91999999999999</v>
      </c>
      <c r="Q704">
        <v>4</v>
      </c>
      <c r="R704" s="2">
        <v>10.393599999999999</v>
      </c>
      <c r="S704" t="s">
        <v>123</v>
      </c>
      <c r="T704" s="10">
        <v>1</v>
      </c>
      <c r="U704" t="s">
        <v>253</v>
      </c>
    </row>
    <row r="705" spans="1:21" x14ac:dyDescent="0.2">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s="2">
        <v>568.72799999999995</v>
      </c>
      <c r="Q705">
        <v>3</v>
      </c>
      <c r="R705" s="2">
        <v>28.436399999999999</v>
      </c>
      <c r="S705" t="s">
        <v>123</v>
      </c>
      <c r="T705" s="10">
        <v>1</v>
      </c>
      <c r="U705" t="s">
        <v>253</v>
      </c>
    </row>
    <row r="706" spans="1:21" x14ac:dyDescent="0.2">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s="2">
        <v>244.61500000000001</v>
      </c>
      <c r="Q706">
        <v>1</v>
      </c>
      <c r="R706" s="2">
        <v>20.966999999999999</v>
      </c>
      <c r="S706" t="s">
        <v>58</v>
      </c>
      <c r="T706" s="10">
        <v>5</v>
      </c>
      <c r="U706" t="s">
        <v>253</v>
      </c>
    </row>
    <row r="707" spans="1:21" x14ac:dyDescent="0.2">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s="2">
        <v>435.99900000000002</v>
      </c>
      <c r="Q707">
        <v>3</v>
      </c>
      <c r="R707" s="2">
        <v>20.517600000000002</v>
      </c>
      <c r="S707" t="s">
        <v>58</v>
      </c>
      <c r="T707" s="10">
        <v>5</v>
      </c>
      <c r="U707" t="s">
        <v>77</v>
      </c>
    </row>
    <row r="708" spans="1:21" x14ac:dyDescent="0.2">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s="2">
        <v>70.56</v>
      </c>
      <c r="Q708">
        <v>1</v>
      </c>
      <c r="R708" s="2">
        <v>-4.032</v>
      </c>
      <c r="S708" t="s">
        <v>58</v>
      </c>
      <c r="T708" s="10">
        <v>5</v>
      </c>
      <c r="U708" t="s">
        <v>71</v>
      </c>
    </row>
    <row r="709" spans="1:21" x14ac:dyDescent="0.2">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s="2">
        <v>35.28</v>
      </c>
      <c r="Q709">
        <v>3</v>
      </c>
      <c r="R709" s="2">
        <v>11.995200000000001</v>
      </c>
      <c r="S709" t="s">
        <v>83</v>
      </c>
      <c r="T709" s="10">
        <v>4</v>
      </c>
      <c r="U709" t="s">
        <v>59</v>
      </c>
    </row>
    <row r="710" spans="1:21" x14ac:dyDescent="0.2">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s="2">
        <v>9.5519999999999996</v>
      </c>
      <c r="Q710">
        <v>3</v>
      </c>
      <c r="R710" s="2">
        <v>-3.8208000000000002</v>
      </c>
      <c r="S710" t="s">
        <v>70</v>
      </c>
      <c r="T710" s="10">
        <v>2</v>
      </c>
      <c r="U710" t="s">
        <v>71</v>
      </c>
    </row>
    <row r="711" spans="1:21" x14ac:dyDescent="0.2">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s="2">
        <v>290.666</v>
      </c>
      <c r="Q711">
        <v>2</v>
      </c>
      <c r="R711" s="2">
        <v>3.4196</v>
      </c>
      <c r="S711" t="s">
        <v>70</v>
      </c>
      <c r="T711" s="10">
        <v>2</v>
      </c>
      <c r="U711" t="s">
        <v>169</v>
      </c>
    </row>
    <row r="712" spans="1:21" x14ac:dyDescent="0.2">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s="2">
        <v>141.96</v>
      </c>
      <c r="Q712">
        <v>2</v>
      </c>
      <c r="R712" s="2">
        <v>41.168399999999998</v>
      </c>
      <c r="S712" t="s">
        <v>83</v>
      </c>
      <c r="T712" s="10">
        <v>4</v>
      </c>
      <c r="U712" t="s">
        <v>34</v>
      </c>
    </row>
    <row r="713" spans="1:21" x14ac:dyDescent="0.2">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s="2">
        <v>28.44</v>
      </c>
      <c r="Q713">
        <v>3</v>
      </c>
      <c r="R713" s="2">
        <v>11.375999999999999</v>
      </c>
      <c r="S713" t="s">
        <v>129</v>
      </c>
      <c r="T713" s="10">
        <v>6</v>
      </c>
      <c r="U713" t="s">
        <v>96</v>
      </c>
    </row>
    <row r="714" spans="1:21" x14ac:dyDescent="0.2">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s="2">
        <v>364.41</v>
      </c>
      <c r="Q714">
        <v>5</v>
      </c>
      <c r="R714" s="2">
        <v>8.0980000000000008</v>
      </c>
      <c r="S714" t="s">
        <v>129</v>
      </c>
      <c r="T714" s="10">
        <v>6</v>
      </c>
      <c r="U714" t="s">
        <v>96</v>
      </c>
    </row>
    <row r="715" spans="1:21" x14ac:dyDescent="0.2">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s="2">
        <v>361.76400000000001</v>
      </c>
      <c r="Q715">
        <v>2</v>
      </c>
      <c r="R715" s="2">
        <v>68.333200000000005</v>
      </c>
      <c r="S715" t="s">
        <v>129</v>
      </c>
      <c r="T715" s="10">
        <v>6</v>
      </c>
      <c r="U715" t="s">
        <v>96</v>
      </c>
    </row>
    <row r="716" spans="1:21" x14ac:dyDescent="0.2">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s="2">
        <v>24.047999999999998</v>
      </c>
      <c r="Q716">
        <v>9</v>
      </c>
      <c r="R716" s="2">
        <v>7.2144000000000004</v>
      </c>
      <c r="S716" t="s">
        <v>123</v>
      </c>
      <c r="T716" s="10">
        <v>1</v>
      </c>
      <c r="U716" t="s">
        <v>34</v>
      </c>
    </row>
    <row r="717" spans="1:21" x14ac:dyDescent="0.2">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s="2">
        <v>384.17399999999998</v>
      </c>
      <c r="Q717">
        <v>7</v>
      </c>
      <c r="R717" s="2">
        <v>29.880199999999999</v>
      </c>
      <c r="S717" t="s">
        <v>58</v>
      </c>
      <c r="T717" s="10">
        <v>5</v>
      </c>
      <c r="U717" t="s">
        <v>96</v>
      </c>
    </row>
    <row r="718" spans="1:21" x14ac:dyDescent="0.2">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s="2">
        <v>154.76400000000001</v>
      </c>
      <c r="Q718">
        <v>3</v>
      </c>
      <c r="R718" s="2">
        <v>-36.111600000000003</v>
      </c>
      <c r="S718" t="s">
        <v>83</v>
      </c>
      <c r="T718" s="10">
        <v>4</v>
      </c>
      <c r="U718" t="s">
        <v>48</v>
      </c>
    </row>
    <row r="719" spans="1:21" x14ac:dyDescent="0.2">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s="2">
        <v>22.288</v>
      </c>
      <c r="Q719">
        <v>7</v>
      </c>
      <c r="R719" s="2">
        <v>-8.9152000000000005</v>
      </c>
      <c r="S719" t="s">
        <v>123</v>
      </c>
      <c r="T719" s="10">
        <v>1</v>
      </c>
      <c r="U719" t="s">
        <v>161</v>
      </c>
    </row>
    <row r="720" spans="1:21" x14ac:dyDescent="0.2">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s="2">
        <v>65.424000000000007</v>
      </c>
      <c r="Q720">
        <v>4</v>
      </c>
      <c r="R720" s="2">
        <v>-52.339199999999998</v>
      </c>
      <c r="S720" t="s">
        <v>47</v>
      </c>
      <c r="T720" s="10">
        <v>7</v>
      </c>
      <c r="U720" t="s">
        <v>161</v>
      </c>
    </row>
    <row r="721" spans="1:21" x14ac:dyDescent="0.2">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s="2">
        <v>281.37200000000001</v>
      </c>
      <c r="Q721">
        <v>2</v>
      </c>
      <c r="R721" s="2">
        <v>-12.0588</v>
      </c>
      <c r="S721" t="s">
        <v>83</v>
      </c>
      <c r="T721" s="10">
        <v>4</v>
      </c>
      <c r="U721" t="s">
        <v>113</v>
      </c>
    </row>
    <row r="722" spans="1:21" x14ac:dyDescent="0.2">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s="2">
        <v>281.37200000000001</v>
      </c>
      <c r="Q722">
        <v>2</v>
      </c>
      <c r="R722" s="2">
        <v>-12.0588</v>
      </c>
      <c r="S722" t="s">
        <v>83</v>
      </c>
      <c r="T722" s="10">
        <v>4</v>
      </c>
      <c r="U722" t="s">
        <v>113</v>
      </c>
    </row>
    <row r="723" spans="1:21" x14ac:dyDescent="0.2">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s="2">
        <v>22.335999999999999</v>
      </c>
      <c r="Q723">
        <v>4</v>
      </c>
      <c r="R723" s="2">
        <v>7.8175999999999997</v>
      </c>
      <c r="S723" t="s">
        <v>83</v>
      </c>
      <c r="T723" s="10">
        <v>4</v>
      </c>
      <c r="U723" t="s">
        <v>113</v>
      </c>
    </row>
    <row r="724" spans="1:21" x14ac:dyDescent="0.2">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s="2">
        <v>271.76400000000001</v>
      </c>
      <c r="Q724">
        <v>2</v>
      </c>
      <c r="R724" s="2">
        <v>60.392000000000003</v>
      </c>
      <c r="S724" t="s">
        <v>47</v>
      </c>
      <c r="T724" s="10">
        <v>7</v>
      </c>
      <c r="U724" t="s">
        <v>77</v>
      </c>
    </row>
    <row r="725" spans="1:21" x14ac:dyDescent="0.2">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s="2">
        <v>1408.1</v>
      </c>
      <c r="Q725">
        <v>10</v>
      </c>
      <c r="R725" s="2">
        <v>394.26799999999997</v>
      </c>
      <c r="S725" t="s">
        <v>83</v>
      </c>
      <c r="T725" s="10">
        <v>4</v>
      </c>
      <c r="U725" t="s">
        <v>77</v>
      </c>
    </row>
    <row r="726" spans="1:21" x14ac:dyDescent="0.2">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s="2">
        <v>215.148</v>
      </c>
      <c r="Q726">
        <v>2</v>
      </c>
      <c r="R726" s="2">
        <v>-103.98820000000001</v>
      </c>
      <c r="S726" t="s">
        <v>33</v>
      </c>
      <c r="T726" s="10">
        <v>3</v>
      </c>
      <c r="U726" t="s">
        <v>71</v>
      </c>
    </row>
    <row r="727" spans="1:21" x14ac:dyDescent="0.2">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s="2">
        <v>128.9</v>
      </c>
      <c r="Q727">
        <v>2</v>
      </c>
      <c r="R727" s="2">
        <v>15.468</v>
      </c>
      <c r="S727" t="s">
        <v>123</v>
      </c>
      <c r="T727" s="10">
        <v>1</v>
      </c>
      <c r="U727" t="s">
        <v>96</v>
      </c>
    </row>
    <row r="728" spans="1:21" x14ac:dyDescent="0.2">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s="2">
        <v>24.288</v>
      </c>
      <c r="Q728">
        <v>3</v>
      </c>
      <c r="R728" s="2">
        <v>-12.751200000000001</v>
      </c>
      <c r="S728" t="s">
        <v>70</v>
      </c>
      <c r="T728" s="10">
        <v>2</v>
      </c>
      <c r="U728" t="s">
        <v>77</v>
      </c>
    </row>
    <row r="729" spans="1:21" x14ac:dyDescent="0.2">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s="2">
        <v>16.192</v>
      </c>
      <c r="Q729">
        <v>2</v>
      </c>
      <c r="R729" s="2">
        <v>-8.5007999999999999</v>
      </c>
      <c r="S729" t="s">
        <v>430</v>
      </c>
      <c r="T729" s="10">
        <v>0</v>
      </c>
      <c r="U729" t="s">
        <v>48</v>
      </c>
    </row>
    <row r="730" spans="1:21" x14ac:dyDescent="0.2">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s="2">
        <v>251.006</v>
      </c>
      <c r="Q730">
        <v>2</v>
      </c>
      <c r="R730" s="2">
        <v>-68.130200000000002</v>
      </c>
      <c r="S730" t="s">
        <v>430</v>
      </c>
      <c r="T730" s="10">
        <v>0</v>
      </c>
      <c r="U730" t="s">
        <v>48</v>
      </c>
    </row>
    <row r="731" spans="1:21" x14ac:dyDescent="0.2">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s="2">
        <v>22.512</v>
      </c>
      <c r="Q731">
        <v>3</v>
      </c>
      <c r="R731" s="2">
        <v>2.2511999999999999</v>
      </c>
      <c r="S731" t="s">
        <v>70</v>
      </c>
      <c r="T731" s="10">
        <v>2</v>
      </c>
      <c r="U731" t="s">
        <v>77</v>
      </c>
    </row>
    <row r="732" spans="1:21" x14ac:dyDescent="0.2">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s="2">
        <v>361.96</v>
      </c>
      <c r="Q732">
        <v>2</v>
      </c>
      <c r="R732" s="2">
        <v>83.250799999999998</v>
      </c>
      <c r="S732" t="s">
        <v>83</v>
      </c>
      <c r="T732" s="10">
        <v>4</v>
      </c>
      <c r="U732" t="s">
        <v>77</v>
      </c>
    </row>
    <row r="733" spans="1:21" x14ac:dyDescent="0.2">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s="2">
        <v>133.38</v>
      </c>
      <c r="Q733">
        <v>6</v>
      </c>
      <c r="R733" s="2">
        <v>58.687199999999997</v>
      </c>
      <c r="S733" t="s">
        <v>58</v>
      </c>
      <c r="T733" s="10">
        <v>5</v>
      </c>
      <c r="U733" t="s">
        <v>96</v>
      </c>
    </row>
    <row r="734" spans="1:21" x14ac:dyDescent="0.2">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s="2">
        <v>16.739999999999998</v>
      </c>
      <c r="Q734">
        <v>2</v>
      </c>
      <c r="R734" s="2">
        <v>4.3524000000000003</v>
      </c>
      <c r="S734" t="s">
        <v>83</v>
      </c>
      <c r="T734" s="10">
        <v>4</v>
      </c>
      <c r="U734" t="s">
        <v>96</v>
      </c>
    </row>
    <row r="735" spans="1:21" x14ac:dyDescent="0.2">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s="2">
        <v>180.98</v>
      </c>
      <c r="Q735">
        <v>1</v>
      </c>
      <c r="R735" s="2">
        <v>47.0548</v>
      </c>
      <c r="S735" t="s">
        <v>47</v>
      </c>
      <c r="T735" s="10">
        <v>7</v>
      </c>
      <c r="U735" t="s">
        <v>195</v>
      </c>
    </row>
    <row r="736" spans="1:21" x14ac:dyDescent="0.2">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s="2">
        <v>1421.664</v>
      </c>
      <c r="Q736">
        <v>6</v>
      </c>
      <c r="R736" s="2">
        <v>-195.47880000000001</v>
      </c>
      <c r="S736" t="s">
        <v>129</v>
      </c>
      <c r="T736" s="10">
        <v>6</v>
      </c>
      <c r="U736" t="s">
        <v>96</v>
      </c>
    </row>
    <row r="737" spans="1:21" x14ac:dyDescent="0.2">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s="2">
        <v>8.9600000000000009</v>
      </c>
      <c r="Q737">
        <v>2</v>
      </c>
      <c r="R737" s="2">
        <v>2.7776000000000001</v>
      </c>
      <c r="S737" t="s">
        <v>33</v>
      </c>
      <c r="T737" s="10">
        <v>3</v>
      </c>
      <c r="U737" t="s">
        <v>113</v>
      </c>
    </row>
    <row r="738" spans="1:21" x14ac:dyDescent="0.2">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s="2">
        <v>29.12</v>
      </c>
      <c r="Q738">
        <v>4</v>
      </c>
      <c r="R738" s="2">
        <v>12.521599999999999</v>
      </c>
      <c r="S738" t="s">
        <v>70</v>
      </c>
      <c r="T738" s="10">
        <v>2</v>
      </c>
      <c r="U738" t="s">
        <v>253</v>
      </c>
    </row>
    <row r="739" spans="1:21" x14ac:dyDescent="0.2">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s="2">
        <v>1202.94</v>
      </c>
      <c r="Q739">
        <v>3</v>
      </c>
      <c r="R739" s="2">
        <v>300.73500000000001</v>
      </c>
      <c r="S739" t="s">
        <v>70</v>
      </c>
      <c r="T739" s="10">
        <v>2</v>
      </c>
      <c r="U739" t="s">
        <v>253</v>
      </c>
    </row>
    <row r="740" spans="1:21" x14ac:dyDescent="0.2">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s="2">
        <v>408.42200000000003</v>
      </c>
      <c r="Q740">
        <v>2</v>
      </c>
      <c r="R740" s="2">
        <v>-5.8346</v>
      </c>
      <c r="S740" t="s">
        <v>83</v>
      </c>
      <c r="T740" s="10">
        <v>4</v>
      </c>
      <c r="U740" t="s">
        <v>71</v>
      </c>
    </row>
    <row r="741" spans="1:21" x14ac:dyDescent="0.2">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s="2">
        <v>382.11599999999999</v>
      </c>
      <c r="Q741">
        <v>6</v>
      </c>
      <c r="R741" s="2">
        <v>-92.799599999999998</v>
      </c>
      <c r="S741" t="s">
        <v>83</v>
      </c>
      <c r="T741" s="10">
        <v>4</v>
      </c>
      <c r="U741" t="s">
        <v>71</v>
      </c>
    </row>
    <row r="742" spans="1:21" x14ac:dyDescent="0.2">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s="2">
        <v>603.91999999999996</v>
      </c>
      <c r="Q742">
        <v>4</v>
      </c>
      <c r="R742" s="2">
        <v>181.17599999999999</v>
      </c>
      <c r="S742" t="s">
        <v>83</v>
      </c>
      <c r="T742" s="10">
        <v>4</v>
      </c>
      <c r="U742" t="s">
        <v>77</v>
      </c>
    </row>
    <row r="743" spans="1:21" x14ac:dyDescent="0.2">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s="2">
        <v>513.024</v>
      </c>
      <c r="Q743">
        <v>2</v>
      </c>
      <c r="R743" s="2">
        <v>12.8256</v>
      </c>
      <c r="S743" t="s">
        <v>47</v>
      </c>
      <c r="T743" s="10">
        <v>7</v>
      </c>
      <c r="U743" t="s">
        <v>253</v>
      </c>
    </row>
    <row r="744" spans="1:21" x14ac:dyDescent="0.2">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s="2">
        <v>193.06559999999999</v>
      </c>
      <c r="Q744">
        <v>4</v>
      </c>
      <c r="R744" s="2">
        <v>-19.874400000000001</v>
      </c>
      <c r="S744" t="s">
        <v>83</v>
      </c>
      <c r="T744" s="10">
        <v>4</v>
      </c>
      <c r="U744" t="s">
        <v>59</v>
      </c>
    </row>
    <row r="745" spans="1:21" x14ac:dyDescent="0.2">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s="2">
        <v>825.17399999999998</v>
      </c>
      <c r="Q745">
        <v>9</v>
      </c>
      <c r="R745" s="2">
        <v>-117.88200000000001</v>
      </c>
      <c r="S745" t="s">
        <v>70</v>
      </c>
      <c r="T745" s="10">
        <v>2</v>
      </c>
      <c r="U745" t="s">
        <v>77</v>
      </c>
    </row>
    <row r="746" spans="1:21" x14ac:dyDescent="0.2">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s="2">
        <v>796.42499999999995</v>
      </c>
      <c r="Q746">
        <v>7</v>
      </c>
      <c r="R746" s="2">
        <v>-525.64049999999997</v>
      </c>
      <c r="S746" t="s">
        <v>33</v>
      </c>
      <c r="T746" s="10">
        <v>3</v>
      </c>
      <c r="U746" t="s">
        <v>59</v>
      </c>
    </row>
    <row r="747" spans="1:21" x14ac:dyDescent="0.2">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s="2">
        <v>5.3520000000000003</v>
      </c>
      <c r="Q747">
        <v>3</v>
      </c>
      <c r="R747" s="2">
        <v>1.6055999999999999</v>
      </c>
      <c r="S747" t="s">
        <v>70</v>
      </c>
      <c r="T747" s="10">
        <v>2</v>
      </c>
      <c r="U747" t="s">
        <v>77</v>
      </c>
    </row>
    <row r="748" spans="1:21" x14ac:dyDescent="0.2">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s="2">
        <v>99.372</v>
      </c>
      <c r="Q748">
        <v>2</v>
      </c>
      <c r="R748" s="2">
        <v>-7.0979999999999999</v>
      </c>
      <c r="S748" t="s">
        <v>70</v>
      </c>
      <c r="T748" s="10">
        <v>2</v>
      </c>
      <c r="U748" t="s">
        <v>77</v>
      </c>
    </row>
    <row r="749" spans="1:21" x14ac:dyDescent="0.2">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s="2">
        <v>33.94</v>
      </c>
      <c r="Q749">
        <v>1</v>
      </c>
      <c r="R749" s="2">
        <v>9.1638000000000002</v>
      </c>
      <c r="S749" t="s">
        <v>70</v>
      </c>
      <c r="T749" s="10">
        <v>2</v>
      </c>
      <c r="U749" t="s">
        <v>48</v>
      </c>
    </row>
    <row r="750" spans="1:21" x14ac:dyDescent="0.2">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s="2">
        <v>844.11599999999999</v>
      </c>
      <c r="Q750">
        <v>6</v>
      </c>
      <c r="R750" s="2">
        <v>-36.176400000000001</v>
      </c>
      <c r="S750" t="s">
        <v>83</v>
      </c>
      <c r="T750" s="10">
        <v>4</v>
      </c>
      <c r="U750" t="s">
        <v>195</v>
      </c>
    </row>
    <row r="751" spans="1:21" x14ac:dyDescent="0.2">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s="2">
        <v>15.007999999999999</v>
      </c>
      <c r="Q751">
        <v>4</v>
      </c>
      <c r="R751" s="2">
        <v>-12.006399999999999</v>
      </c>
      <c r="S751" t="s">
        <v>58</v>
      </c>
      <c r="T751" s="10">
        <v>5</v>
      </c>
      <c r="U751" t="s">
        <v>77</v>
      </c>
    </row>
    <row r="752" spans="1:21" x14ac:dyDescent="0.2">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s="2">
        <v>2430.08</v>
      </c>
      <c r="Q752">
        <v>8</v>
      </c>
      <c r="R752" s="2">
        <v>388.81279999999998</v>
      </c>
      <c r="S752" t="s">
        <v>83</v>
      </c>
      <c r="T752" s="10">
        <v>4</v>
      </c>
      <c r="U752" t="s">
        <v>71</v>
      </c>
    </row>
    <row r="753" spans="1:21" x14ac:dyDescent="0.2">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s="2">
        <v>801.96</v>
      </c>
      <c r="Q753">
        <v>2</v>
      </c>
      <c r="R753" s="2">
        <v>200.49</v>
      </c>
      <c r="S753" t="s">
        <v>129</v>
      </c>
      <c r="T753" s="10">
        <v>6</v>
      </c>
      <c r="U753" t="s">
        <v>96</v>
      </c>
    </row>
    <row r="754" spans="1:21" x14ac:dyDescent="0.2">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s="2">
        <v>191.96</v>
      </c>
      <c r="Q754">
        <v>2</v>
      </c>
      <c r="R754" s="2">
        <v>32.633200000000002</v>
      </c>
      <c r="S754" t="s">
        <v>129</v>
      </c>
      <c r="T754" s="10">
        <v>6</v>
      </c>
      <c r="U754" t="s">
        <v>96</v>
      </c>
    </row>
    <row r="755" spans="1:21" x14ac:dyDescent="0.2">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s="2">
        <v>17.472000000000001</v>
      </c>
      <c r="Q755">
        <v>3</v>
      </c>
      <c r="R755" s="2">
        <v>5.0232000000000001</v>
      </c>
      <c r="S755" t="s">
        <v>58</v>
      </c>
      <c r="T755" s="10">
        <v>5</v>
      </c>
      <c r="U755" t="s">
        <v>77</v>
      </c>
    </row>
    <row r="756" spans="1:21" x14ac:dyDescent="0.2">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s="2">
        <v>657.93</v>
      </c>
      <c r="Q756">
        <v>5</v>
      </c>
      <c r="R756" s="2">
        <v>-93.99</v>
      </c>
      <c r="S756" t="s">
        <v>47</v>
      </c>
      <c r="T756" s="10">
        <v>7</v>
      </c>
      <c r="U756" t="s">
        <v>34</v>
      </c>
    </row>
    <row r="757" spans="1:21" x14ac:dyDescent="0.2">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s="2">
        <v>25.16</v>
      </c>
      <c r="Q757">
        <v>2</v>
      </c>
      <c r="R757" s="2">
        <v>8.5543999999999993</v>
      </c>
      <c r="S757" t="s">
        <v>129</v>
      </c>
      <c r="T757" s="10">
        <v>6</v>
      </c>
      <c r="U757" t="s">
        <v>253</v>
      </c>
    </row>
    <row r="758" spans="1:21" x14ac:dyDescent="0.2">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s="2">
        <v>91.92</v>
      </c>
      <c r="Q758">
        <v>4</v>
      </c>
      <c r="R758" s="2">
        <v>31.252800000000001</v>
      </c>
      <c r="S758" t="s">
        <v>129</v>
      </c>
      <c r="T758" s="10">
        <v>6</v>
      </c>
      <c r="U758" t="s">
        <v>253</v>
      </c>
    </row>
    <row r="759" spans="1:21" x14ac:dyDescent="0.2">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s="2">
        <v>718.11599999999999</v>
      </c>
      <c r="Q759">
        <v>6</v>
      </c>
      <c r="R759" s="2">
        <v>-71.811599999999999</v>
      </c>
      <c r="S759" t="s">
        <v>70</v>
      </c>
      <c r="T759" s="10">
        <v>2</v>
      </c>
      <c r="U759" t="s">
        <v>34</v>
      </c>
    </row>
    <row r="760" spans="1:21" x14ac:dyDescent="0.2">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s="2">
        <v>142.4</v>
      </c>
      <c r="Q760">
        <v>5</v>
      </c>
      <c r="R760" s="2">
        <v>52.688000000000002</v>
      </c>
      <c r="S760" t="s">
        <v>58</v>
      </c>
      <c r="T760" s="10">
        <v>5</v>
      </c>
      <c r="U760" t="s">
        <v>77</v>
      </c>
    </row>
    <row r="761" spans="1:21" x14ac:dyDescent="0.2">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s="2">
        <v>681.40800000000002</v>
      </c>
      <c r="Q761">
        <v>12</v>
      </c>
      <c r="R761" s="2">
        <v>42.588000000000001</v>
      </c>
      <c r="S761" t="s">
        <v>70</v>
      </c>
      <c r="T761" s="10">
        <v>2</v>
      </c>
      <c r="U761" t="s">
        <v>161</v>
      </c>
    </row>
    <row r="762" spans="1:21" x14ac:dyDescent="0.2">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s="2">
        <v>148.28800000000001</v>
      </c>
      <c r="Q762">
        <v>7</v>
      </c>
      <c r="R762" s="2">
        <v>29.657599999999999</v>
      </c>
      <c r="S762" t="s">
        <v>83</v>
      </c>
      <c r="T762" s="10">
        <v>4</v>
      </c>
      <c r="U762" t="s">
        <v>34</v>
      </c>
    </row>
    <row r="763" spans="1:21" x14ac:dyDescent="0.2">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s="2">
        <v>30.88</v>
      </c>
      <c r="Q763">
        <v>4</v>
      </c>
      <c r="R763" s="2">
        <v>3.86</v>
      </c>
      <c r="S763" t="s">
        <v>58</v>
      </c>
      <c r="T763" s="10">
        <v>5</v>
      </c>
      <c r="U763" t="s">
        <v>195</v>
      </c>
    </row>
    <row r="764" spans="1:21" x14ac:dyDescent="0.2">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s="2">
        <v>6.4080000000000004</v>
      </c>
      <c r="Q764">
        <v>3</v>
      </c>
      <c r="R764" s="2">
        <v>1.4418</v>
      </c>
      <c r="S764" t="s">
        <v>58</v>
      </c>
      <c r="T764" s="10">
        <v>5</v>
      </c>
      <c r="U764" t="s">
        <v>195</v>
      </c>
    </row>
    <row r="765" spans="1:21" x14ac:dyDescent="0.2">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s="2">
        <v>127.372</v>
      </c>
      <c r="Q765">
        <v>2</v>
      </c>
      <c r="R765" s="2">
        <v>-30.933199999999999</v>
      </c>
      <c r="S765" t="s">
        <v>58</v>
      </c>
      <c r="T765" s="10">
        <v>5</v>
      </c>
      <c r="U765" t="s">
        <v>34</v>
      </c>
    </row>
    <row r="766" spans="1:21" x14ac:dyDescent="0.2">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s="2">
        <v>44.46</v>
      </c>
      <c r="Q766">
        <v>2</v>
      </c>
      <c r="R766" s="2">
        <v>14.671799999999999</v>
      </c>
      <c r="S766" t="s">
        <v>83</v>
      </c>
      <c r="T766" s="10">
        <v>4</v>
      </c>
      <c r="U766" t="s">
        <v>96</v>
      </c>
    </row>
    <row r="767" spans="1:21" x14ac:dyDescent="0.2">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s="2">
        <v>181.96</v>
      </c>
      <c r="Q767">
        <v>2</v>
      </c>
      <c r="R767" s="2">
        <v>20.015599999999999</v>
      </c>
      <c r="S767" t="s">
        <v>58</v>
      </c>
      <c r="T767" s="10">
        <v>5</v>
      </c>
      <c r="U767" t="s">
        <v>71</v>
      </c>
    </row>
    <row r="768" spans="1:21" x14ac:dyDescent="0.2">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s="2">
        <v>15.488</v>
      </c>
      <c r="Q768">
        <v>4</v>
      </c>
      <c r="R768" s="2">
        <v>3.6783999999999999</v>
      </c>
      <c r="S768" t="s">
        <v>33</v>
      </c>
      <c r="T768" s="10">
        <v>3</v>
      </c>
      <c r="U768" t="s">
        <v>48</v>
      </c>
    </row>
    <row r="769" spans="1:21" x14ac:dyDescent="0.2">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s="2">
        <v>141.96</v>
      </c>
      <c r="Q769">
        <v>2</v>
      </c>
      <c r="R769" s="2">
        <v>22.7136</v>
      </c>
      <c r="S769" t="s">
        <v>70</v>
      </c>
      <c r="T769" s="10">
        <v>2</v>
      </c>
      <c r="U769" t="s">
        <v>34</v>
      </c>
    </row>
    <row r="770" spans="1:21" x14ac:dyDescent="0.2">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s="2">
        <v>37.93</v>
      </c>
      <c r="Q770">
        <v>1</v>
      </c>
      <c r="R770" s="2">
        <v>6.8273999999999999</v>
      </c>
      <c r="S770" t="s">
        <v>58</v>
      </c>
      <c r="T770" s="10">
        <v>5</v>
      </c>
      <c r="U770" t="s">
        <v>96</v>
      </c>
    </row>
    <row r="771" spans="1:21" x14ac:dyDescent="0.2">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s="2">
        <v>15.167999999999999</v>
      </c>
      <c r="Q771">
        <v>2</v>
      </c>
      <c r="R771" s="2">
        <v>3.7919999999999998</v>
      </c>
      <c r="S771" t="s">
        <v>83</v>
      </c>
      <c r="T771" s="10">
        <v>4</v>
      </c>
      <c r="U771" t="s">
        <v>169</v>
      </c>
    </row>
    <row r="772" spans="1:21" x14ac:dyDescent="0.2">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s="2">
        <v>6.3680000000000003</v>
      </c>
      <c r="Q772">
        <v>2</v>
      </c>
      <c r="R772" s="2">
        <v>-2.5472000000000001</v>
      </c>
      <c r="S772" t="s">
        <v>83</v>
      </c>
      <c r="T772" s="10">
        <v>4</v>
      </c>
      <c r="U772" t="s">
        <v>34</v>
      </c>
    </row>
    <row r="773" spans="1:21" x14ac:dyDescent="0.2">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s="2">
        <v>510.24</v>
      </c>
      <c r="Q773">
        <v>3</v>
      </c>
      <c r="R773" s="2">
        <v>6.3780000000000001</v>
      </c>
      <c r="S773" t="s">
        <v>70</v>
      </c>
      <c r="T773" s="10">
        <v>2</v>
      </c>
      <c r="U773" t="s">
        <v>48</v>
      </c>
    </row>
    <row r="774" spans="1:21" x14ac:dyDescent="0.2">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s="2">
        <v>162.6</v>
      </c>
      <c r="Q774">
        <v>3</v>
      </c>
      <c r="R774" s="2">
        <v>34.146000000000001</v>
      </c>
      <c r="S774" t="s">
        <v>33</v>
      </c>
      <c r="T774" s="10">
        <v>3</v>
      </c>
      <c r="U774" t="s">
        <v>113</v>
      </c>
    </row>
    <row r="775" spans="1:21" x14ac:dyDescent="0.2">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s="2">
        <v>603.91999999999996</v>
      </c>
      <c r="Q775">
        <v>5</v>
      </c>
      <c r="R775" s="2">
        <v>45.293999999999997</v>
      </c>
      <c r="S775" t="s">
        <v>70</v>
      </c>
      <c r="T775" s="10">
        <v>2</v>
      </c>
      <c r="U775" t="s">
        <v>96</v>
      </c>
    </row>
    <row r="776" spans="1:21" x14ac:dyDescent="0.2">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s="2">
        <v>18.920000000000002</v>
      </c>
      <c r="Q776">
        <v>4</v>
      </c>
      <c r="R776" s="2">
        <v>7.3788</v>
      </c>
      <c r="S776" t="s">
        <v>83</v>
      </c>
      <c r="T776" s="10">
        <v>4</v>
      </c>
      <c r="U776" t="s">
        <v>96</v>
      </c>
    </row>
    <row r="777" spans="1:21" x14ac:dyDescent="0.2">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s="2">
        <v>71.97</v>
      </c>
      <c r="Q777">
        <v>3</v>
      </c>
      <c r="R777" s="2">
        <v>16.553100000000001</v>
      </c>
      <c r="S777" t="s">
        <v>58</v>
      </c>
      <c r="T777" s="10">
        <v>5</v>
      </c>
      <c r="U777" t="s">
        <v>195</v>
      </c>
    </row>
    <row r="778" spans="1:21" x14ac:dyDescent="0.2">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s="2">
        <v>368.97</v>
      </c>
      <c r="Q778">
        <v>3</v>
      </c>
      <c r="R778" s="2">
        <v>81.173400000000001</v>
      </c>
      <c r="S778" t="s">
        <v>58</v>
      </c>
      <c r="T778" s="10">
        <v>5</v>
      </c>
      <c r="U778" t="s">
        <v>77</v>
      </c>
    </row>
    <row r="779" spans="1:21" x14ac:dyDescent="0.2">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s="2">
        <v>198.46</v>
      </c>
      <c r="Q779">
        <v>2</v>
      </c>
      <c r="R779" s="2">
        <v>99.23</v>
      </c>
      <c r="S779" t="s">
        <v>70</v>
      </c>
      <c r="T779" s="10">
        <v>2</v>
      </c>
      <c r="U779" t="s">
        <v>253</v>
      </c>
    </row>
    <row r="780" spans="1:21" x14ac:dyDescent="0.2">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s="2">
        <v>230.28</v>
      </c>
      <c r="Q780">
        <v>3</v>
      </c>
      <c r="R780" s="2">
        <v>23.027999999999999</v>
      </c>
      <c r="S780" t="s">
        <v>70</v>
      </c>
      <c r="T780" s="10">
        <v>2</v>
      </c>
      <c r="U780" t="s">
        <v>253</v>
      </c>
    </row>
    <row r="781" spans="1:21" x14ac:dyDescent="0.2">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s="2">
        <v>563.42999999999995</v>
      </c>
      <c r="Q781">
        <v>5</v>
      </c>
      <c r="R781" s="2">
        <v>-56.343000000000004</v>
      </c>
      <c r="S781" t="s">
        <v>33</v>
      </c>
      <c r="T781" s="10">
        <v>3</v>
      </c>
      <c r="U781" t="s">
        <v>195</v>
      </c>
    </row>
    <row r="782" spans="1:21" x14ac:dyDescent="0.2">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s="2">
        <v>24.4</v>
      </c>
      <c r="Q782">
        <v>2</v>
      </c>
      <c r="R782" s="2">
        <v>10.247999999999999</v>
      </c>
      <c r="S782" t="s">
        <v>58</v>
      </c>
      <c r="T782" s="10">
        <v>5</v>
      </c>
      <c r="U782" t="s">
        <v>77</v>
      </c>
    </row>
    <row r="783" spans="1:21" x14ac:dyDescent="0.2">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s="2">
        <v>241.96</v>
      </c>
      <c r="Q783">
        <v>2</v>
      </c>
      <c r="R783" s="2">
        <v>24.196000000000002</v>
      </c>
      <c r="S783" t="s">
        <v>58</v>
      </c>
      <c r="T783" s="10">
        <v>5</v>
      </c>
      <c r="U783" t="s">
        <v>253</v>
      </c>
    </row>
    <row r="784" spans="1:21" x14ac:dyDescent="0.2">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s="2">
        <v>99.372</v>
      </c>
      <c r="Q784">
        <v>2</v>
      </c>
      <c r="R784" s="2">
        <v>-1.4196</v>
      </c>
      <c r="S784" t="s">
        <v>83</v>
      </c>
      <c r="T784" s="10">
        <v>4</v>
      </c>
      <c r="U784" t="s">
        <v>195</v>
      </c>
    </row>
    <row r="785" spans="1:21" x14ac:dyDescent="0.2">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s="2">
        <v>1013.832</v>
      </c>
      <c r="Q785">
        <v>9</v>
      </c>
      <c r="R785" s="2">
        <v>101.3832</v>
      </c>
      <c r="S785" t="s">
        <v>83</v>
      </c>
      <c r="T785" s="10">
        <v>4</v>
      </c>
      <c r="U785" t="s">
        <v>96</v>
      </c>
    </row>
    <row r="786" spans="1:21" x14ac:dyDescent="0.2">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s="2">
        <v>2003.52</v>
      </c>
      <c r="Q786">
        <v>6</v>
      </c>
      <c r="R786" s="2">
        <v>-325.572</v>
      </c>
      <c r="S786" t="s">
        <v>83</v>
      </c>
      <c r="T786" s="10">
        <v>4</v>
      </c>
      <c r="U786" t="s">
        <v>96</v>
      </c>
    </row>
    <row r="787" spans="1:21" x14ac:dyDescent="0.2">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s="2">
        <v>665.88</v>
      </c>
      <c r="Q787">
        <v>6</v>
      </c>
      <c r="R787" s="2">
        <v>106.5408</v>
      </c>
      <c r="S787" t="s">
        <v>58</v>
      </c>
      <c r="T787" s="10">
        <v>5</v>
      </c>
      <c r="U787" t="s">
        <v>161</v>
      </c>
    </row>
    <row r="788" spans="1:21" x14ac:dyDescent="0.2">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s="2">
        <v>333</v>
      </c>
      <c r="Q788">
        <v>3</v>
      </c>
      <c r="R788" s="2">
        <v>-16.649999999999999</v>
      </c>
      <c r="S788" t="s">
        <v>129</v>
      </c>
      <c r="T788" s="10">
        <v>6</v>
      </c>
      <c r="U788" t="s">
        <v>169</v>
      </c>
    </row>
    <row r="789" spans="1:21" x14ac:dyDescent="0.2">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s="2">
        <v>523.76400000000001</v>
      </c>
      <c r="Q789">
        <v>3</v>
      </c>
      <c r="R789" s="2">
        <v>-192.04679999999999</v>
      </c>
      <c r="S789" t="s">
        <v>123</v>
      </c>
      <c r="T789" s="10">
        <v>1</v>
      </c>
      <c r="U789" t="s">
        <v>34</v>
      </c>
    </row>
    <row r="790" spans="1:21" x14ac:dyDescent="0.2">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s="2">
        <v>102.592</v>
      </c>
      <c r="Q790">
        <v>1</v>
      </c>
      <c r="R790" s="2">
        <v>10.2592</v>
      </c>
      <c r="S790" t="s">
        <v>129</v>
      </c>
      <c r="T790" s="10">
        <v>6</v>
      </c>
      <c r="U790" t="s">
        <v>48</v>
      </c>
    </row>
    <row r="791" spans="1:21" x14ac:dyDescent="0.2">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s="2">
        <v>523.91999999999996</v>
      </c>
      <c r="Q791">
        <v>5</v>
      </c>
      <c r="R791" s="2">
        <v>-72.039000000000001</v>
      </c>
      <c r="S791" t="s">
        <v>47</v>
      </c>
      <c r="T791" s="10">
        <v>7</v>
      </c>
      <c r="U791" t="s">
        <v>34</v>
      </c>
    </row>
    <row r="792" spans="1:21" x14ac:dyDescent="0.2">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s="2">
        <v>146.136</v>
      </c>
      <c r="Q792">
        <v>3</v>
      </c>
      <c r="R792" s="2">
        <v>16.440300000000001</v>
      </c>
      <c r="S792" t="s">
        <v>47</v>
      </c>
      <c r="T792" s="10">
        <v>7</v>
      </c>
      <c r="U792" t="s">
        <v>34</v>
      </c>
    </row>
    <row r="793" spans="1:21" x14ac:dyDescent="0.2">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s="2">
        <v>801.96</v>
      </c>
      <c r="Q793">
        <v>2</v>
      </c>
      <c r="R793" s="2">
        <v>200.49</v>
      </c>
      <c r="S793" t="s">
        <v>83</v>
      </c>
      <c r="T793" s="10">
        <v>4</v>
      </c>
      <c r="U793" t="s">
        <v>77</v>
      </c>
    </row>
    <row r="794" spans="1:21" x14ac:dyDescent="0.2">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s="2">
        <v>1056.8599999999999</v>
      </c>
      <c r="Q794">
        <v>7</v>
      </c>
      <c r="R794" s="2">
        <v>306.48939999999999</v>
      </c>
      <c r="S794" t="s">
        <v>83</v>
      </c>
      <c r="T794" s="10">
        <v>4</v>
      </c>
      <c r="U794" t="s">
        <v>77</v>
      </c>
    </row>
    <row r="795" spans="1:21" x14ac:dyDescent="0.2">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s="2">
        <v>314.35199999999998</v>
      </c>
      <c r="Q795">
        <v>3</v>
      </c>
      <c r="R795" s="2">
        <v>-15.717599999999999</v>
      </c>
      <c r="S795" t="s">
        <v>58</v>
      </c>
      <c r="T795" s="10">
        <v>5</v>
      </c>
      <c r="U795" t="s">
        <v>48</v>
      </c>
    </row>
    <row r="796" spans="1:21" x14ac:dyDescent="0.2">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s="2">
        <v>1458.65</v>
      </c>
      <c r="Q796">
        <v>5</v>
      </c>
      <c r="R796" s="2">
        <v>423.00850000000003</v>
      </c>
      <c r="S796" t="s">
        <v>83</v>
      </c>
      <c r="T796" s="10">
        <v>4</v>
      </c>
      <c r="U796" t="s">
        <v>161</v>
      </c>
    </row>
    <row r="797" spans="1:21" x14ac:dyDescent="0.2">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s="2">
        <v>26.64</v>
      </c>
      <c r="Q797">
        <v>1</v>
      </c>
      <c r="R797" s="2">
        <v>7.4592000000000001</v>
      </c>
      <c r="S797" t="s">
        <v>83</v>
      </c>
      <c r="T797" s="10">
        <v>4</v>
      </c>
      <c r="U797" t="s">
        <v>161</v>
      </c>
    </row>
    <row r="798" spans="1:21" x14ac:dyDescent="0.2">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s="2">
        <v>476.8</v>
      </c>
      <c r="Q798">
        <v>2</v>
      </c>
      <c r="R798" s="2">
        <v>119.2</v>
      </c>
      <c r="S798" t="s">
        <v>83</v>
      </c>
      <c r="T798" s="10">
        <v>4</v>
      </c>
      <c r="U798" t="s">
        <v>161</v>
      </c>
    </row>
    <row r="799" spans="1:21" x14ac:dyDescent="0.2">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s="2">
        <v>76.14</v>
      </c>
      <c r="Q799">
        <v>3</v>
      </c>
      <c r="R799" s="2">
        <v>26.649000000000001</v>
      </c>
      <c r="S799" t="s">
        <v>58</v>
      </c>
      <c r="T799" s="10">
        <v>5</v>
      </c>
      <c r="U799" t="s">
        <v>34</v>
      </c>
    </row>
    <row r="800" spans="1:21" x14ac:dyDescent="0.2">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s="2">
        <v>611.05799999999999</v>
      </c>
      <c r="Q800">
        <v>3</v>
      </c>
      <c r="R800" s="2">
        <v>-34.9176</v>
      </c>
      <c r="S800" t="s">
        <v>430</v>
      </c>
      <c r="T800" s="10">
        <v>0</v>
      </c>
      <c r="U800" t="s">
        <v>34</v>
      </c>
    </row>
    <row r="801" spans="1:21" x14ac:dyDescent="0.2">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s="2">
        <v>674.35199999999998</v>
      </c>
      <c r="Q801">
        <v>3</v>
      </c>
      <c r="R801" s="2">
        <v>-109.5822</v>
      </c>
      <c r="S801" t="s">
        <v>47</v>
      </c>
      <c r="T801" s="10">
        <v>7</v>
      </c>
      <c r="U801" t="s">
        <v>71</v>
      </c>
    </row>
    <row r="802" spans="1:21" x14ac:dyDescent="0.2">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s="2">
        <v>134.01</v>
      </c>
      <c r="Q802">
        <v>9</v>
      </c>
      <c r="R802" s="2">
        <v>36.182699999999997</v>
      </c>
      <c r="S802" t="s">
        <v>47</v>
      </c>
      <c r="T802" s="10">
        <v>7</v>
      </c>
      <c r="U802" t="s">
        <v>71</v>
      </c>
    </row>
    <row r="803" spans="1:21" x14ac:dyDescent="0.2">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s="2">
        <v>170.352</v>
      </c>
      <c r="Q803">
        <v>3</v>
      </c>
      <c r="R803" s="2">
        <v>10.647</v>
      </c>
      <c r="S803" t="s">
        <v>83</v>
      </c>
      <c r="T803" s="10">
        <v>4</v>
      </c>
      <c r="U803" t="s">
        <v>59</v>
      </c>
    </row>
    <row r="804" spans="1:21" x14ac:dyDescent="0.2">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s="2">
        <v>616.99800000000005</v>
      </c>
      <c r="Q804">
        <v>6</v>
      </c>
      <c r="R804" s="2">
        <v>-36.293999999999997</v>
      </c>
      <c r="S804" t="s">
        <v>33</v>
      </c>
      <c r="T804" s="10">
        <v>3</v>
      </c>
      <c r="U804" t="s">
        <v>48</v>
      </c>
    </row>
    <row r="805" spans="1:21" x14ac:dyDescent="0.2">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s="2">
        <v>85.3</v>
      </c>
      <c r="Q805">
        <v>2</v>
      </c>
      <c r="R805" s="2">
        <v>14.500999999999999</v>
      </c>
      <c r="S805" t="s">
        <v>430</v>
      </c>
      <c r="T805" s="10">
        <v>0</v>
      </c>
      <c r="U805" t="s">
        <v>77</v>
      </c>
    </row>
    <row r="806" spans="1:21" x14ac:dyDescent="0.2">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s="2">
        <v>4.95</v>
      </c>
      <c r="Q806">
        <v>1</v>
      </c>
      <c r="R806" s="2">
        <v>2.1779999999999999</v>
      </c>
      <c r="S806" t="s">
        <v>83</v>
      </c>
      <c r="T806" s="10">
        <v>4</v>
      </c>
      <c r="U806" t="s">
        <v>59</v>
      </c>
    </row>
    <row r="807" spans="1:21" x14ac:dyDescent="0.2">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s="2">
        <v>480.96</v>
      </c>
      <c r="Q807">
        <v>3</v>
      </c>
      <c r="R807" s="2">
        <v>-269.33760000000001</v>
      </c>
      <c r="S807" t="s">
        <v>58</v>
      </c>
      <c r="T807" s="10">
        <v>5</v>
      </c>
      <c r="U807" t="s">
        <v>297</v>
      </c>
    </row>
    <row r="808" spans="1:21" x14ac:dyDescent="0.2">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s="2">
        <v>151.96</v>
      </c>
      <c r="Q808">
        <v>5</v>
      </c>
      <c r="R808" s="2">
        <v>-182.352</v>
      </c>
      <c r="S808" t="s">
        <v>58</v>
      </c>
      <c r="T808" s="10">
        <v>5</v>
      </c>
      <c r="U808" t="s">
        <v>34</v>
      </c>
    </row>
    <row r="809" spans="1:21" x14ac:dyDescent="0.2">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s="2">
        <v>240.78399999999999</v>
      </c>
      <c r="Q809">
        <v>1</v>
      </c>
      <c r="R809" s="2">
        <v>27.088200000000001</v>
      </c>
      <c r="S809" t="s">
        <v>83</v>
      </c>
      <c r="T809" s="10">
        <v>4</v>
      </c>
      <c r="U809" t="s">
        <v>48</v>
      </c>
    </row>
    <row r="810" spans="1:21" x14ac:dyDescent="0.2">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s="2">
        <v>191.96799999999999</v>
      </c>
      <c r="Q810">
        <v>7</v>
      </c>
      <c r="R810" s="2">
        <v>16.7972</v>
      </c>
      <c r="S810" t="s">
        <v>83</v>
      </c>
      <c r="T810" s="10">
        <v>4</v>
      </c>
      <c r="U810" t="s">
        <v>48</v>
      </c>
    </row>
    <row r="811" spans="1:21" x14ac:dyDescent="0.2">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s="2">
        <v>842.35199999999998</v>
      </c>
      <c r="Q811">
        <v>3</v>
      </c>
      <c r="R811" s="2">
        <v>42.117600000000003</v>
      </c>
      <c r="S811" t="s">
        <v>83</v>
      </c>
      <c r="T811" s="10">
        <v>4</v>
      </c>
      <c r="U811" t="s">
        <v>48</v>
      </c>
    </row>
    <row r="812" spans="1:21" x14ac:dyDescent="0.2">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s="2">
        <v>364.70400000000001</v>
      </c>
      <c r="Q812">
        <v>6</v>
      </c>
      <c r="R812" s="2">
        <v>-36.470399999999998</v>
      </c>
      <c r="S812" t="s">
        <v>58</v>
      </c>
      <c r="T812" s="10">
        <v>5</v>
      </c>
      <c r="U812" t="s">
        <v>59</v>
      </c>
    </row>
    <row r="813" spans="1:21" x14ac:dyDescent="0.2">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s="2">
        <v>40.256</v>
      </c>
      <c r="Q813">
        <v>4</v>
      </c>
      <c r="R813" s="2">
        <v>11.070399999999999</v>
      </c>
      <c r="S813" t="s">
        <v>58</v>
      </c>
      <c r="T813" s="10">
        <v>5</v>
      </c>
      <c r="U813" t="s">
        <v>59</v>
      </c>
    </row>
    <row r="814" spans="1:21" x14ac:dyDescent="0.2">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s="2">
        <v>1684.752</v>
      </c>
      <c r="Q814">
        <v>6</v>
      </c>
      <c r="R814" s="2">
        <v>210.59399999999999</v>
      </c>
      <c r="S814" t="s">
        <v>129</v>
      </c>
      <c r="T814" s="10">
        <v>6</v>
      </c>
      <c r="U814" t="s">
        <v>34</v>
      </c>
    </row>
    <row r="815" spans="1:21" x14ac:dyDescent="0.2">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s="2">
        <v>547.13599999999997</v>
      </c>
      <c r="Q815">
        <v>4</v>
      </c>
      <c r="R815" s="2">
        <v>-68.391999999999996</v>
      </c>
      <c r="S815" t="s">
        <v>58</v>
      </c>
      <c r="T815" s="10">
        <v>5</v>
      </c>
      <c r="U815" t="s">
        <v>113</v>
      </c>
    </row>
    <row r="816" spans="1:21" x14ac:dyDescent="0.2">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s="2">
        <v>7.5839999999999996</v>
      </c>
      <c r="Q816">
        <v>1</v>
      </c>
      <c r="R816" s="2">
        <v>2.37</v>
      </c>
      <c r="S816" t="s">
        <v>58</v>
      </c>
      <c r="T816" s="10">
        <v>5</v>
      </c>
      <c r="U816" t="s">
        <v>113</v>
      </c>
    </row>
    <row r="817" spans="1:21" x14ac:dyDescent="0.2">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s="2">
        <v>352.45</v>
      </c>
      <c r="Q817">
        <v>5</v>
      </c>
      <c r="R817" s="2">
        <v>-211.47</v>
      </c>
      <c r="S817" t="s">
        <v>58</v>
      </c>
      <c r="T817" s="10">
        <v>5</v>
      </c>
      <c r="U817" t="s">
        <v>113</v>
      </c>
    </row>
    <row r="818" spans="1:21" x14ac:dyDescent="0.2">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s="2">
        <v>9.82</v>
      </c>
      <c r="Q818">
        <v>2</v>
      </c>
      <c r="R818" s="2">
        <v>3.2406000000000001</v>
      </c>
      <c r="S818" t="s">
        <v>47</v>
      </c>
      <c r="T818" s="10">
        <v>7</v>
      </c>
      <c r="U818" t="s">
        <v>77</v>
      </c>
    </row>
    <row r="819" spans="1:21" x14ac:dyDescent="0.2">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s="2">
        <v>801.6</v>
      </c>
      <c r="Q819">
        <v>5</v>
      </c>
      <c r="R819" s="2">
        <v>-448.89600000000002</v>
      </c>
      <c r="S819" t="s">
        <v>58</v>
      </c>
      <c r="T819" s="10">
        <v>5</v>
      </c>
      <c r="U819" t="s">
        <v>71</v>
      </c>
    </row>
    <row r="820" spans="1:21" x14ac:dyDescent="0.2">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s="2">
        <v>161.56800000000001</v>
      </c>
      <c r="Q820">
        <v>2</v>
      </c>
      <c r="R820" s="2">
        <v>10.098000000000001</v>
      </c>
      <c r="S820" t="s">
        <v>58</v>
      </c>
      <c r="T820" s="10">
        <v>5</v>
      </c>
      <c r="U820" t="s">
        <v>71</v>
      </c>
    </row>
    <row r="821" spans="1:21" x14ac:dyDescent="0.2">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s="2">
        <v>311.976</v>
      </c>
      <c r="Q821">
        <v>3</v>
      </c>
      <c r="R821" s="2">
        <v>-42.896700000000003</v>
      </c>
      <c r="S821" t="s">
        <v>58</v>
      </c>
      <c r="T821" s="10">
        <v>5</v>
      </c>
      <c r="U821" t="s">
        <v>71</v>
      </c>
    </row>
    <row r="822" spans="1:21" x14ac:dyDescent="0.2">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s="2">
        <v>35.340000000000003</v>
      </c>
      <c r="Q822">
        <v>2</v>
      </c>
      <c r="R822" s="2">
        <v>13.4292</v>
      </c>
      <c r="S822" t="s">
        <v>83</v>
      </c>
      <c r="T822" s="10">
        <v>4</v>
      </c>
      <c r="U822" t="s">
        <v>77</v>
      </c>
    </row>
    <row r="823" spans="1:21" x14ac:dyDescent="0.2">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s="2">
        <v>241.33199999999999</v>
      </c>
      <c r="Q823">
        <v>5</v>
      </c>
      <c r="R823" s="2">
        <v>-14.196</v>
      </c>
      <c r="S823" t="s">
        <v>33</v>
      </c>
      <c r="T823" s="10">
        <v>3</v>
      </c>
      <c r="U823" t="s">
        <v>195</v>
      </c>
    </row>
    <row r="824" spans="1:21" x14ac:dyDescent="0.2">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s="2">
        <v>197.37200000000001</v>
      </c>
      <c r="Q824">
        <v>2</v>
      </c>
      <c r="R824" s="2">
        <v>-25.3764</v>
      </c>
      <c r="S824" t="s">
        <v>83</v>
      </c>
      <c r="T824" s="10">
        <v>4</v>
      </c>
      <c r="U824" t="s">
        <v>59</v>
      </c>
    </row>
    <row r="825" spans="1:21" x14ac:dyDescent="0.2">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s="2">
        <v>1424.9</v>
      </c>
      <c r="Q825">
        <v>5</v>
      </c>
      <c r="R825" s="2">
        <v>356.22500000000002</v>
      </c>
      <c r="S825" t="s">
        <v>430</v>
      </c>
      <c r="T825" s="10">
        <v>0</v>
      </c>
      <c r="U825" t="s">
        <v>96</v>
      </c>
    </row>
    <row r="826" spans="1:21" x14ac:dyDescent="0.2">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s="2">
        <v>14.56</v>
      </c>
      <c r="Q826">
        <v>2</v>
      </c>
      <c r="R826" s="2">
        <v>6.2607999999999997</v>
      </c>
      <c r="S826" t="s">
        <v>58</v>
      </c>
      <c r="T826" s="10">
        <v>5</v>
      </c>
      <c r="U826" t="s">
        <v>161</v>
      </c>
    </row>
    <row r="827" spans="1:21" x14ac:dyDescent="0.2">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s="2">
        <v>255.108</v>
      </c>
      <c r="Q827">
        <v>6</v>
      </c>
      <c r="R827" s="2">
        <v>-18.222000000000001</v>
      </c>
      <c r="S827" t="s">
        <v>83</v>
      </c>
      <c r="T827" s="10">
        <v>4</v>
      </c>
      <c r="U827" t="s">
        <v>34</v>
      </c>
    </row>
    <row r="828" spans="1:21" x14ac:dyDescent="0.2">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s="2">
        <v>5.47</v>
      </c>
      <c r="Q828">
        <v>1</v>
      </c>
      <c r="R828" s="2">
        <v>2.3521000000000001</v>
      </c>
      <c r="S828" t="s">
        <v>58</v>
      </c>
      <c r="T828" s="10">
        <v>5</v>
      </c>
      <c r="U828" t="s">
        <v>113</v>
      </c>
    </row>
    <row r="829" spans="1:21" x14ac:dyDescent="0.2">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s="2">
        <v>22.14</v>
      </c>
      <c r="Q829">
        <v>3</v>
      </c>
      <c r="R829" s="2">
        <v>6.4206000000000003</v>
      </c>
      <c r="S829" t="s">
        <v>47</v>
      </c>
      <c r="T829" s="10">
        <v>7</v>
      </c>
      <c r="U829" t="s">
        <v>59</v>
      </c>
    </row>
    <row r="830" spans="1:21" x14ac:dyDescent="0.2">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s="2">
        <v>44.76</v>
      </c>
      <c r="Q830">
        <v>3</v>
      </c>
      <c r="R830" s="2">
        <v>14.547000000000001</v>
      </c>
      <c r="S830" t="s">
        <v>83</v>
      </c>
      <c r="T830" s="10">
        <v>4</v>
      </c>
      <c r="U830" t="s">
        <v>161</v>
      </c>
    </row>
    <row r="831" spans="1:21" x14ac:dyDescent="0.2">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s="2">
        <v>44.67</v>
      </c>
      <c r="Q831">
        <v>3</v>
      </c>
      <c r="R831" s="2">
        <v>12.0609</v>
      </c>
      <c r="S831" t="s">
        <v>123</v>
      </c>
      <c r="T831" s="10">
        <v>1</v>
      </c>
      <c r="U831" t="s">
        <v>297</v>
      </c>
    </row>
    <row r="832" spans="1:21" x14ac:dyDescent="0.2">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s="2">
        <v>414</v>
      </c>
      <c r="Q832">
        <v>8</v>
      </c>
      <c r="R832" s="2">
        <v>124.2</v>
      </c>
      <c r="S832" t="s">
        <v>83</v>
      </c>
      <c r="T832" s="10">
        <v>4</v>
      </c>
      <c r="U832" t="s">
        <v>195</v>
      </c>
    </row>
    <row r="833" spans="1:21" x14ac:dyDescent="0.2">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s="2">
        <v>39.92</v>
      </c>
      <c r="Q833">
        <v>4</v>
      </c>
      <c r="R833" s="2">
        <v>11.1776</v>
      </c>
      <c r="S833" t="s">
        <v>70</v>
      </c>
      <c r="T833" s="10">
        <v>2</v>
      </c>
      <c r="U833" t="s">
        <v>48</v>
      </c>
    </row>
    <row r="834" spans="1:21" x14ac:dyDescent="0.2">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s="2">
        <v>53.316000000000003</v>
      </c>
      <c r="Q834">
        <v>2</v>
      </c>
      <c r="R834" s="2">
        <v>-19.549199999999999</v>
      </c>
      <c r="S834" t="s">
        <v>83</v>
      </c>
      <c r="T834" s="10">
        <v>4</v>
      </c>
      <c r="U834" t="s">
        <v>96</v>
      </c>
    </row>
    <row r="835" spans="1:21" x14ac:dyDescent="0.2">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s="2">
        <v>22.77</v>
      </c>
      <c r="Q835">
        <v>3</v>
      </c>
      <c r="R835" s="2">
        <v>9.7911000000000001</v>
      </c>
      <c r="S835" t="s">
        <v>58</v>
      </c>
      <c r="T835" s="10">
        <v>5</v>
      </c>
      <c r="U835" t="s">
        <v>96</v>
      </c>
    </row>
    <row r="836" spans="1:21" x14ac:dyDescent="0.2">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s="2">
        <v>287.96800000000002</v>
      </c>
      <c r="Q836">
        <v>4</v>
      </c>
      <c r="R836" s="2">
        <v>-3.5996000000000001</v>
      </c>
      <c r="S836" t="s">
        <v>70</v>
      </c>
      <c r="T836" s="10">
        <v>2</v>
      </c>
      <c r="U836" t="s">
        <v>71</v>
      </c>
    </row>
    <row r="837" spans="1:21" x14ac:dyDescent="0.2">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s="2">
        <v>257.49900000000002</v>
      </c>
      <c r="Q837">
        <v>3</v>
      </c>
      <c r="R837" s="2">
        <v>24.235199999999999</v>
      </c>
      <c r="S837" t="s">
        <v>83</v>
      </c>
      <c r="T837" s="10">
        <v>4</v>
      </c>
      <c r="U837" t="s">
        <v>113</v>
      </c>
    </row>
    <row r="838" spans="1:21" x14ac:dyDescent="0.2">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s="2">
        <v>79.12</v>
      </c>
      <c r="Q838">
        <v>5</v>
      </c>
      <c r="R838" s="2">
        <v>13.846</v>
      </c>
      <c r="S838" t="s">
        <v>58</v>
      </c>
      <c r="T838" s="10">
        <v>5</v>
      </c>
      <c r="U838" t="s">
        <v>113</v>
      </c>
    </row>
    <row r="839" spans="1:21" x14ac:dyDescent="0.2">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s="2">
        <v>52.96</v>
      </c>
      <c r="Q839">
        <v>2</v>
      </c>
      <c r="R839" s="2">
        <v>20.1248</v>
      </c>
      <c r="S839" t="s">
        <v>70</v>
      </c>
      <c r="T839" s="10">
        <v>2</v>
      </c>
      <c r="U839" t="s">
        <v>34</v>
      </c>
    </row>
    <row r="840" spans="1:21" x14ac:dyDescent="0.2">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s="2">
        <v>63.552</v>
      </c>
      <c r="Q840">
        <v>3</v>
      </c>
      <c r="R840" s="2">
        <v>14.299200000000001</v>
      </c>
      <c r="S840" t="s">
        <v>83</v>
      </c>
      <c r="T840" s="10">
        <v>4</v>
      </c>
      <c r="U840" t="s">
        <v>161</v>
      </c>
    </row>
    <row r="841" spans="1:21" x14ac:dyDescent="0.2">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s="2">
        <v>512.94000000000005</v>
      </c>
      <c r="Q841">
        <v>3</v>
      </c>
      <c r="R841" s="2">
        <v>97.458600000000004</v>
      </c>
      <c r="S841" t="s">
        <v>83</v>
      </c>
      <c r="T841" s="10">
        <v>4</v>
      </c>
      <c r="U841" t="s">
        <v>195</v>
      </c>
    </row>
    <row r="842" spans="1:21" x14ac:dyDescent="0.2">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s="2">
        <v>860.93</v>
      </c>
      <c r="Q842">
        <v>7</v>
      </c>
      <c r="R842" s="2">
        <v>189.40459999999999</v>
      </c>
      <c r="S842" t="s">
        <v>83</v>
      </c>
      <c r="T842" s="10">
        <v>4</v>
      </c>
      <c r="U842" t="s">
        <v>195</v>
      </c>
    </row>
    <row r="843" spans="1:21" x14ac:dyDescent="0.2">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s="2">
        <v>373.08</v>
      </c>
      <c r="Q843">
        <v>6</v>
      </c>
      <c r="R843" s="2">
        <v>82.077600000000004</v>
      </c>
      <c r="S843" t="s">
        <v>83</v>
      </c>
      <c r="T843" s="10">
        <v>4</v>
      </c>
      <c r="U843" t="s">
        <v>195</v>
      </c>
    </row>
    <row r="844" spans="1:21" x14ac:dyDescent="0.2">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s="2">
        <v>231.92</v>
      </c>
      <c r="Q844">
        <v>5</v>
      </c>
      <c r="R844" s="2">
        <v>5.798</v>
      </c>
      <c r="S844" t="s">
        <v>33</v>
      </c>
      <c r="T844" s="10">
        <v>3</v>
      </c>
      <c r="U844" t="s">
        <v>71</v>
      </c>
    </row>
    <row r="845" spans="1:21" x14ac:dyDescent="0.2">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s="2">
        <v>63.47</v>
      </c>
      <c r="Q845">
        <v>11</v>
      </c>
      <c r="R845" s="2">
        <v>19.041</v>
      </c>
      <c r="S845" t="s">
        <v>58</v>
      </c>
      <c r="T845" s="10">
        <v>5</v>
      </c>
      <c r="U845" t="s">
        <v>48</v>
      </c>
    </row>
    <row r="846" spans="1:21" x14ac:dyDescent="0.2">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s="2">
        <v>637.89599999999996</v>
      </c>
      <c r="Q846">
        <v>3</v>
      </c>
      <c r="R846" s="2">
        <v>-127.5792</v>
      </c>
      <c r="S846" t="s">
        <v>58</v>
      </c>
      <c r="T846" s="10">
        <v>5</v>
      </c>
      <c r="U846" t="s">
        <v>195</v>
      </c>
    </row>
    <row r="847" spans="1:21" x14ac:dyDescent="0.2">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s="2">
        <v>474.43</v>
      </c>
      <c r="Q847">
        <v>11</v>
      </c>
      <c r="R847" s="2">
        <v>199.26060000000001</v>
      </c>
      <c r="S847" t="s">
        <v>83</v>
      </c>
      <c r="T847" s="10">
        <v>4</v>
      </c>
      <c r="U847" t="s">
        <v>169</v>
      </c>
    </row>
    <row r="848" spans="1:21" x14ac:dyDescent="0.2">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s="2">
        <v>170.05799999999999</v>
      </c>
      <c r="Q848">
        <v>3</v>
      </c>
      <c r="R848" s="2">
        <v>-4.8587999999999996</v>
      </c>
      <c r="S848" t="s">
        <v>58</v>
      </c>
      <c r="T848" s="10">
        <v>5</v>
      </c>
      <c r="U848" t="s">
        <v>59</v>
      </c>
    </row>
    <row r="849" spans="1:21" x14ac:dyDescent="0.2">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s="2">
        <v>853.93</v>
      </c>
      <c r="Q849">
        <v>5</v>
      </c>
      <c r="R849" s="2">
        <v>0</v>
      </c>
      <c r="S849" t="s">
        <v>58</v>
      </c>
      <c r="T849" s="10">
        <v>5</v>
      </c>
      <c r="U849" t="s">
        <v>59</v>
      </c>
    </row>
    <row r="850" spans="1:21" x14ac:dyDescent="0.2">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s="2">
        <v>556.66499999999996</v>
      </c>
      <c r="Q850">
        <v>5</v>
      </c>
      <c r="R850" s="2">
        <v>6.5490000000000004</v>
      </c>
      <c r="S850" t="s">
        <v>123</v>
      </c>
      <c r="T850" s="10">
        <v>1</v>
      </c>
      <c r="U850" t="s">
        <v>48</v>
      </c>
    </row>
    <row r="851" spans="1:21" x14ac:dyDescent="0.2">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s="2">
        <v>232.88</v>
      </c>
      <c r="Q851">
        <v>4</v>
      </c>
      <c r="R851" s="2">
        <v>60.5488</v>
      </c>
      <c r="S851" t="s">
        <v>83</v>
      </c>
      <c r="T851" s="10">
        <v>4</v>
      </c>
      <c r="U851" t="s">
        <v>96</v>
      </c>
    </row>
    <row r="852" spans="1:21" x14ac:dyDescent="0.2">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s="2">
        <v>24.9</v>
      </c>
      <c r="Q852">
        <v>5</v>
      </c>
      <c r="R852" s="2">
        <v>8.2170000000000005</v>
      </c>
      <c r="S852" t="s">
        <v>83</v>
      </c>
      <c r="T852" s="10">
        <v>4</v>
      </c>
      <c r="U852" t="s">
        <v>96</v>
      </c>
    </row>
    <row r="853" spans="1:21" x14ac:dyDescent="0.2">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s="2">
        <v>70.56</v>
      </c>
      <c r="Q853">
        <v>6</v>
      </c>
      <c r="R853" s="2">
        <v>23.990400000000001</v>
      </c>
      <c r="S853" t="s">
        <v>83</v>
      </c>
      <c r="T853" s="10">
        <v>4</v>
      </c>
      <c r="U853" t="s">
        <v>96</v>
      </c>
    </row>
    <row r="854" spans="1:21" x14ac:dyDescent="0.2">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s="2">
        <v>204.85</v>
      </c>
      <c r="Q854">
        <v>5</v>
      </c>
      <c r="R854" s="2">
        <v>57.357999999999997</v>
      </c>
      <c r="S854" t="s">
        <v>58</v>
      </c>
      <c r="T854" s="10">
        <v>5</v>
      </c>
      <c r="U854" t="s">
        <v>59</v>
      </c>
    </row>
    <row r="855" spans="1:21" x14ac:dyDescent="0.2">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s="2">
        <v>276.69</v>
      </c>
      <c r="Q855">
        <v>3</v>
      </c>
      <c r="R855" s="2">
        <v>49.804200000000002</v>
      </c>
      <c r="S855" t="s">
        <v>70</v>
      </c>
      <c r="T855" s="10">
        <v>2</v>
      </c>
      <c r="U855" t="s">
        <v>59</v>
      </c>
    </row>
    <row r="856" spans="1:21" x14ac:dyDescent="0.2">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s="2">
        <v>172.76400000000001</v>
      </c>
      <c r="Q856">
        <v>2</v>
      </c>
      <c r="R856" s="2">
        <v>32.633200000000002</v>
      </c>
      <c r="S856" t="s">
        <v>70</v>
      </c>
      <c r="T856" s="10">
        <v>2</v>
      </c>
      <c r="U856" t="s">
        <v>59</v>
      </c>
    </row>
    <row r="857" spans="1:21" x14ac:dyDescent="0.2">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s="2">
        <v>409.27199999999999</v>
      </c>
      <c r="Q857">
        <v>2</v>
      </c>
      <c r="R857" s="2">
        <v>-81.854399999999998</v>
      </c>
      <c r="S857" t="s">
        <v>83</v>
      </c>
      <c r="T857" s="10">
        <v>4</v>
      </c>
      <c r="U857" t="s">
        <v>77</v>
      </c>
    </row>
    <row r="858" spans="1:21" x14ac:dyDescent="0.2">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s="2">
        <v>67.176000000000002</v>
      </c>
      <c r="Q858">
        <v>1</v>
      </c>
      <c r="R858" s="2">
        <v>-20.152799999999999</v>
      </c>
      <c r="S858" t="s">
        <v>83</v>
      </c>
      <c r="T858" s="10">
        <v>4</v>
      </c>
      <c r="U858" t="s">
        <v>77</v>
      </c>
    </row>
    <row r="859" spans="1:21" x14ac:dyDescent="0.2">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s="2">
        <v>572.16</v>
      </c>
      <c r="Q859">
        <v>3</v>
      </c>
      <c r="R859" s="2">
        <v>35.76</v>
      </c>
      <c r="S859" t="s">
        <v>83</v>
      </c>
      <c r="T859" s="10">
        <v>4</v>
      </c>
      <c r="U859" t="s">
        <v>34</v>
      </c>
    </row>
    <row r="860" spans="1:21" x14ac:dyDescent="0.2">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s="2">
        <v>156.37280000000001</v>
      </c>
      <c r="Q860">
        <v>2</v>
      </c>
      <c r="R860" s="2">
        <v>-52.890799999999999</v>
      </c>
      <c r="S860" t="s">
        <v>33</v>
      </c>
      <c r="T860" s="10">
        <v>3</v>
      </c>
      <c r="U860" t="s">
        <v>253</v>
      </c>
    </row>
    <row r="861" spans="1:21" x14ac:dyDescent="0.2">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s="2">
        <v>220.06399999999999</v>
      </c>
      <c r="Q861">
        <v>4</v>
      </c>
      <c r="R861" s="2">
        <v>55.015999999999998</v>
      </c>
      <c r="S861" t="s">
        <v>58</v>
      </c>
      <c r="T861" s="10">
        <v>5</v>
      </c>
      <c r="U861" t="s">
        <v>34</v>
      </c>
    </row>
    <row r="862" spans="1:21" x14ac:dyDescent="0.2">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s="2">
        <v>339.13600000000002</v>
      </c>
      <c r="Q862">
        <v>4</v>
      </c>
      <c r="R862" s="2">
        <v>0</v>
      </c>
      <c r="S862" t="s">
        <v>58</v>
      </c>
      <c r="T862" s="10">
        <v>5</v>
      </c>
      <c r="U862" t="s">
        <v>34</v>
      </c>
    </row>
    <row r="863" spans="1:21" x14ac:dyDescent="0.2">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s="2">
        <v>638.82000000000005</v>
      </c>
      <c r="Q863">
        <v>9</v>
      </c>
      <c r="R863" s="2">
        <v>172.48140000000001</v>
      </c>
      <c r="S863" t="s">
        <v>47</v>
      </c>
      <c r="T863" s="10">
        <v>7</v>
      </c>
      <c r="U863" t="s">
        <v>253</v>
      </c>
    </row>
    <row r="864" spans="1:21" x14ac:dyDescent="0.2">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s="2">
        <v>15.92</v>
      </c>
      <c r="Q864">
        <v>2</v>
      </c>
      <c r="R864" s="2">
        <v>7.0048000000000004</v>
      </c>
      <c r="S864" t="s">
        <v>430</v>
      </c>
      <c r="T864" s="10">
        <v>0</v>
      </c>
      <c r="U864" t="s">
        <v>96</v>
      </c>
    </row>
    <row r="865" spans="1:21" x14ac:dyDescent="0.2">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s="2">
        <v>27.414000000000001</v>
      </c>
      <c r="Q865">
        <v>3</v>
      </c>
      <c r="R865" s="2">
        <v>-14.1639</v>
      </c>
      <c r="S865" t="s">
        <v>430</v>
      </c>
      <c r="T865" s="10">
        <v>0</v>
      </c>
      <c r="U865" t="s">
        <v>77</v>
      </c>
    </row>
    <row r="866" spans="1:21" x14ac:dyDescent="0.2">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s="2">
        <v>160.97999999999999</v>
      </c>
      <c r="Q866">
        <v>1</v>
      </c>
      <c r="R866" s="2">
        <v>20.927399999999999</v>
      </c>
      <c r="S866" t="s">
        <v>47</v>
      </c>
      <c r="T866" s="10">
        <v>7</v>
      </c>
      <c r="U866" t="s">
        <v>96</v>
      </c>
    </row>
    <row r="867" spans="1:21" x14ac:dyDescent="0.2">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s="2">
        <v>91.031999999999996</v>
      </c>
      <c r="Q867">
        <v>3</v>
      </c>
      <c r="R867" s="2">
        <v>-2.2757999999999998</v>
      </c>
      <c r="S867" t="s">
        <v>83</v>
      </c>
      <c r="T867" s="10">
        <v>4</v>
      </c>
      <c r="U867" t="s">
        <v>71</v>
      </c>
    </row>
    <row r="868" spans="1:21" x14ac:dyDescent="0.2">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s="2">
        <v>79.12</v>
      </c>
      <c r="Q868">
        <v>5</v>
      </c>
      <c r="R868" s="2">
        <v>13.846</v>
      </c>
      <c r="S868" t="s">
        <v>33</v>
      </c>
      <c r="T868" s="10">
        <v>3</v>
      </c>
      <c r="U868" t="s">
        <v>96</v>
      </c>
    </row>
    <row r="869" spans="1:21" x14ac:dyDescent="0.2">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s="2">
        <v>120.78400000000001</v>
      </c>
      <c r="Q869">
        <v>1</v>
      </c>
      <c r="R869" s="2">
        <v>-13.588200000000001</v>
      </c>
      <c r="S869" t="s">
        <v>47</v>
      </c>
      <c r="T869" s="10">
        <v>7</v>
      </c>
      <c r="U869" t="s">
        <v>169</v>
      </c>
    </row>
    <row r="870" spans="1:21" x14ac:dyDescent="0.2">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s="2">
        <v>322.58999999999997</v>
      </c>
      <c r="Q870">
        <v>3</v>
      </c>
      <c r="R870" s="2">
        <v>64.518000000000001</v>
      </c>
      <c r="S870" t="s">
        <v>129</v>
      </c>
      <c r="T870" s="10">
        <v>6</v>
      </c>
      <c r="U870" t="s">
        <v>34</v>
      </c>
    </row>
    <row r="871" spans="1:21" x14ac:dyDescent="0.2">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s="2">
        <v>433.56799999999998</v>
      </c>
      <c r="Q871">
        <v>2</v>
      </c>
      <c r="R871" s="2">
        <v>-65.035200000000003</v>
      </c>
      <c r="S871" t="s">
        <v>70</v>
      </c>
      <c r="T871" s="10">
        <v>2</v>
      </c>
      <c r="U871" t="s">
        <v>48</v>
      </c>
    </row>
    <row r="872" spans="1:21" x14ac:dyDescent="0.2">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s="2">
        <v>81.94</v>
      </c>
      <c r="Q872">
        <v>1</v>
      </c>
      <c r="R872" s="2">
        <v>20.484999999999999</v>
      </c>
      <c r="S872" t="s">
        <v>70</v>
      </c>
      <c r="T872" s="10">
        <v>2</v>
      </c>
      <c r="U872" t="s">
        <v>96</v>
      </c>
    </row>
    <row r="873" spans="1:21" x14ac:dyDescent="0.2">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s="2">
        <v>696.42</v>
      </c>
      <c r="Q873">
        <v>2</v>
      </c>
      <c r="R873" s="2">
        <v>160.17660000000001</v>
      </c>
      <c r="S873" t="s">
        <v>83</v>
      </c>
      <c r="T873" s="10">
        <v>4</v>
      </c>
      <c r="U873" t="s">
        <v>34</v>
      </c>
    </row>
    <row r="874" spans="1:21" x14ac:dyDescent="0.2">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s="2">
        <v>24.7</v>
      </c>
      <c r="Q874">
        <v>5</v>
      </c>
      <c r="R874" s="2">
        <v>10.374000000000001</v>
      </c>
      <c r="S874" t="s">
        <v>129</v>
      </c>
      <c r="T874" s="10">
        <v>6</v>
      </c>
      <c r="U874" t="s">
        <v>113</v>
      </c>
    </row>
    <row r="875" spans="1:21" x14ac:dyDescent="0.2">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s="2">
        <v>14.76</v>
      </c>
      <c r="Q875">
        <v>2</v>
      </c>
      <c r="R875" s="2">
        <v>4.2804000000000002</v>
      </c>
      <c r="S875" t="s">
        <v>70</v>
      </c>
      <c r="T875" s="10">
        <v>2</v>
      </c>
      <c r="U875" t="s">
        <v>48</v>
      </c>
    </row>
    <row r="876" spans="1:21" x14ac:dyDescent="0.2">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s="2">
        <v>17.670000000000002</v>
      </c>
      <c r="Q876">
        <v>3</v>
      </c>
      <c r="R876" s="2">
        <v>7.7747999999999999</v>
      </c>
      <c r="S876" t="s">
        <v>70</v>
      </c>
      <c r="T876" s="10">
        <v>2</v>
      </c>
      <c r="U876" t="s">
        <v>48</v>
      </c>
    </row>
    <row r="877" spans="1:21" x14ac:dyDescent="0.2">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s="2">
        <v>1604.9</v>
      </c>
      <c r="Q877">
        <v>5</v>
      </c>
      <c r="R877" s="2">
        <v>481.47</v>
      </c>
      <c r="S877" t="s">
        <v>70</v>
      </c>
      <c r="T877" s="10">
        <v>2</v>
      </c>
      <c r="U877" t="s">
        <v>48</v>
      </c>
    </row>
    <row r="878" spans="1:21" x14ac:dyDescent="0.2">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s="2">
        <v>385.68599999999998</v>
      </c>
      <c r="Q878">
        <v>1</v>
      </c>
      <c r="R878" s="2">
        <v>-60.607799999999997</v>
      </c>
      <c r="S878" t="s">
        <v>70</v>
      </c>
      <c r="T878" s="10">
        <v>2</v>
      </c>
      <c r="U878" t="s">
        <v>48</v>
      </c>
    </row>
    <row r="879" spans="1:21" x14ac:dyDescent="0.2">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s="2">
        <v>482.66399999999999</v>
      </c>
      <c r="Q879">
        <v>8</v>
      </c>
      <c r="R879" s="2">
        <v>85.176000000000002</v>
      </c>
      <c r="S879" t="s">
        <v>70</v>
      </c>
      <c r="T879" s="10">
        <v>2</v>
      </c>
      <c r="U879" t="s">
        <v>113</v>
      </c>
    </row>
    <row r="880" spans="1:21" x14ac:dyDescent="0.2">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s="2">
        <v>174.42</v>
      </c>
      <c r="Q880">
        <v>3</v>
      </c>
      <c r="R880" s="2">
        <v>41.860799999999998</v>
      </c>
      <c r="S880" t="s">
        <v>70</v>
      </c>
      <c r="T880" s="10">
        <v>2</v>
      </c>
      <c r="U880" t="s">
        <v>59</v>
      </c>
    </row>
    <row r="881" spans="1:21" x14ac:dyDescent="0.2">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s="2">
        <v>94.427999999999997</v>
      </c>
      <c r="Q881">
        <v>3</v>
      </c>
      <c r="R881" s="2">
        <v>-42.492600000000003</v>
      </c>
      <c r="S881" t="s">
        <v>83</v>
      </c>
      <c r="T881" s="10">
        <v>4</v>
      </c>
      <c r="U881" t="s">
        <v>96</v>
      </c>
    </row>
    <row r="882" spans="1:21" x14ac:dyDescent="0.2">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s="2">
        <v>61.584000000000003</v>
      </c>
      <c r="Q882">
        <v>1</v>
      </c>
      <c r="R882" s="2">
        <v>-6.9282000000000004</v>
      </c>
      <c r="S882" t="s">
        <v>58</v>
      </c>
      <c r="T882" s="10">
        <v>5</v>
      </c>
      <c r="U882" t="s">
        <v>169</v>
      </c>
    </row>
    <row r="883" spans="1:21" x14ac:dyDescent="0.2">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s="2">
        <v>332.02800000000002</v>
      </c>
      <c r="Q883">
        <v>9</v>
      </c>
      <c r="R883" s="2">
        <v>-348.62939999999998</v>
      </c>
      <c r="S883" t="s">
        <v>58</v>
      </c>
      <c r="T883" s="10">
        <v>5</v>
      </c>
      <c r="U883" t="s">
        <v>71</v>
      </c>
    </row>
    <row r="884" spans="1:21" x14ac:dyDescent="0.2">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s="2">
        <v>1049.2</v>
      </c>
      <c r="Q884">
        <v>5</v>
      </c>
      <c r="R884" s="2">
        <v>272.79199999999997</v>
      </c>
      <c r="S884" t="s">
        <v>129</v>
      </c>
      <c r="T884" s="10">
        <v>6</v>
      </c>
      <c r="U884" t="s">
        <v>34</v>
      </c>
    </row>
    <row r="885" spans="1:21" x14ac:dyDescent="0.2">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s="2">
        <v>20.9</v>
      </c>
      <c r="Q885">
        <v>5</v>
      </c>
      <c r="R885" s="2">
        <v>7.524</v>
      </c>
      <c r="S885" t="s">
        <v>129</v>
      </c>
      <c r="T885" s="10">
        <v>6</v>
      </c>
      <c r="U885" t="s">
        <v>34</v>
      </c>
    </row>
    <row r="886" spans="1:21" x14ac:dyDescent="0.2">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s="2">
        <v>751.92</v>
      </c>
      <c r="Q886">
        <v>4</v>
      </c>
      <c r="R886" s="2">
        <v>150.38399999999999</v>
      </c>
      <c r="S886" t="s">
        <v>83</v>
      </c>
      <c r="T886" s="10">
        <v>4</v>
      </c>
      <c r="U886" t="s">
        <v>96</v>
      </c>
    </row>
    <row r="887" spans="1:21" x14ac:dyDescent="0.2">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s="2">
        <v>887.10299999999995</v>
      </c>
      <c r="Q887">
        <v>7</v>
      </c>
      <c r="R887" s="2">
        <v>177.42060000000001</v>
      </c>
      <c r="S887" t="s">
        <v>430</v>
      </c>
      <c r="T887" s="10">
        <v>0</v>
      </c>
      <c r="U887" t="s">
        <v>77</v>
      </c>
    </row>
    <row r="888" spans="1:21" x14ac:dyDescent="0.2">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s="2">
        <v>10.476000000000001</v>
      </c>
      <c r="Q888">
        <v>3</v>
      </c>
      <c r="R888" s="2">
        <v>-6.8094000000000001</v>
      </c>
      <c r="S888" t="s">
        <v>33</v>
      </c>
      <c r="T888" s="10">
        <v>3</v>
      </c>
      <c r="U888" t="s">
        <v>48</v>
      </c>
    </row>
    <row r="889" spans="1:21" x14ac:dyDescent="0.2">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s="2">
        <v>196.78399999999999</v>
      </c>
      <c r="Q889">
        <v>2</v>
      </c>
      <c r="R889" s="2">
        <v>-22.138200000000001</v>
      </c>
      <c r="S889" t="s">
        <v>70</v>
      </c>
      <c r="T889" s="10">
        <v>2</v>
      </c>
      <c r="U889" t="s">
        <v>195</v>
      </c>
    </row>
    <row r="890" spans="1:21" x14ac:dyDescent="0.2">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s="2">
        <v>863.12800000000004</v>
      </c>
      <c r="Q890">
        <v>8</v>
      </c>
      <c r="R890" s="2">
        <v>-160.29519999999999</v>
      </c>
      <c r="S890" t="s">
        <v>83</v>
      </c>
      <c r="T890" s="10">
        <v>4</v>
      </c>
      <c r="U890" t="s">
        <v>34</v>
      </c>
    </row>
    <row r="891" spans="1:21" x14ac:dyDescent="0.2">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s="2">
        <v>956.66480000000001</v>
      </c>
      <c r="Q891">
        <v>7</v>
      </c>
      <c r="R891" s="2">
        <v>-225.0976</v>
      </c>
      <c r="S891" t="s">
        <v>83</v>
      </c>
      <c r="T891" s="10">
        <v>4</v>
      </c>
      <c r="U891" t="s">
        <v>34</v>
      </c>
    </row>
    <row r="892" spans="1:21" x14ac:dyDescent="0.2">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s="2">
        <v>871.4</v>
      </c>
      <c r="Q892">
        <v>4</v>
      </c>
      <c r="R892" s="2">
        <v>148.13800000000001</v>
      </c>
      <c r="S892" t="s">
        <v>83</v>
      </c>
      <c r="T892" s="10">
        <v>4</v>
      </c>
      <c r="U892" t="s">
        <v>59</v>
      </c>
    </row>
    <row r="893" spans="1:21" x14ac:dyDescent="0.2">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s="2">
        <v>692.47199999999998</v>
      </c>
      <c r="Q893">
        <v>11</v>
      </c>
      <c r="R893" s="2">
        <v>190.4298</v>
      </c>
      <c r="S893" t="s">
        <v>83</v>
      </c>
      <c r="T893" s="10">
        <v>4</v>
      </c>
      <c r="U893" t="s">
        <v>34</v>
      </c>
    </row>
    <row r="894" spans="1:21" x14ac:dyDescent="0.2">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s="2">
        <v>207.76</v>
      </c>
      <c r="Q894">
        <v>4</v>
      </c>
      <c r="R894" s="2">
        <v>85.181600000000003</v>
      </c>
      <c r="S894" t="s">
        <v>33</v>
      </c>
      <c r="T894" s="10">
        <v>3</v>
      </c>
      <c r="U894" t="s">
        <v>34</v>
      </c>
    </row>
    <row r="895" spans="1:21" x14ac:dyDescent="0.2">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s="2">
        <v>9.9600000000000009</v>
      </c>
      <c r="Q895">
        <v>2</v>
      </c>
      <c r="R895" s="2">
        <v>3.2867999999999999</v>
      </c>
      <c r="S895" t="s">
        <v>83</v>
      </c>
      <c r="T895" s="10">
        <v>4</v>
      </c>
      <c r="U895" t="s">
        <v>113</v>
      </c>
    </row>
    <row r="896" spans="1:21" x14ac:dyDescent="0.2">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s="2">
        <v>69.263999999999996</v>
      </c>
      <c r="Q896">
        <v>2</v>
      </c>
      <c r="R896" s="2">
        <v>14.622400000000001</v>
      </c>
      <c r="S896" t="s">
        <v>83</v>
      </c>
      <c r="T896" s="10">
        <v>4</v>
      </c>
      <c r="U896" t="s">
        <v>34</v>
      </c>
    </row>
    <row r="897" spans="1:21" x14ac:dyDescent="0.2">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s="2">
        <v>246.1328</v>
      </c>
      <c r="Q897">
        <v>2</v>
      </c>
      <c r="R897" s="2">
        <v>-76.011600000000001</v>
      </c>
      <c r="S897" t="s">
        <v>58</v>
      </c>
      <c r="T897" s="10">
        <v>5</v>
      </c>
      <c r="U897" t="s">
        <v>34</v>
      </c>
    </row>
    <row r="898" spans="1:21" x14ac:dyDescent="0.2">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s="2">
        <v>896.32799999999997</v>
      </c>
      <c r="Q898">
        <v>9</v>
      </c>
      <c r="R898" s="2">
        <v>22.408200000000001</v>
      </c>
      <c r="S898" t="s">
        <v>83</v>
      </c>
      <c r="T898" s="10">
        <v>4</v>
      </c>
      <c r="U898" t="s">
        <v>96</v>
      </c>
    </row>
    <row r="899" spans="1:21" x14ac:dyDescent="0.2">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s="2">
        <v>177.22499999999999</v>
      </c>
      <c r="Q899">
        <v>5</v>
      </c>
      <c r="R899" s="2">
        <v>-120.51300000000001</v>
      </c>
      <c r="S899" t="s">
        <v>58</v>
      </c>
      <c r="T899" s="10">
        <v>5</v>
      </c>
      <c r="U899" t="s">
        <v>48</v>
      </c>
    </row>
    <row r="900" spans="1:21" x14ac:dyDescent="0.2">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s="2">
        <v>129.38999999999999</v>
      </c>
      <c r="Q900">
        <v>3</v>
      </c>
      <c r="R900" s="2">
        <v>54.343800000000002</v>
      </c>
      <c r="S900" t="s">
        <v>47</v>
      </c>
      <c r="T900" s="10">
        <v>7</v>
      </c>
      <c r="U900" t="s">
        <v>71</v>
      </c>
    </row>
    <row r="901" spans="1:21" x14ac:dyDescent="0.2">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s="2">
        <v>2.7839999999999998</v>
      </c>
      <c r="Q901">
        <v>2</v>
      </c>
      <c r="R901" s="2">
        <v>0.41760000000000003</v>
      </c>
      <c r="S901" t="s">
        <v>33</v>
      </c>
      <c r="T901" s="10">
        <v>3</v>
      </c>
      <c r="U901" t="s">
        <v>253</v>
      </c>
    </row>
    <row r="902" spans="1:21" x14ac:dyDescent="0.2">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s="2">
        <v>63.92</v>
      </c>
      <c r="Q902">
        <v>4</v>
      </c>
      <c r="R902" s="2">
        <v>3.1960000000000002</v>
      </c>
      <c r="S902" t="s">
        <v>83</v>
      </c>
      <c r="T902" s="10">
        <v>4</v>
      </c>
      <c r="U902" t="s">
        <v>48</v>
      </c>
    </row>
    <row r="903" spans="1:21" x14ac:dyDescent="0.2">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s="2">
        <v>573.72799999999995</v>
      </c>
      <c r="Q903">
        <v>4</v>
      </c>
      <c r="R903" s="2">
        <v>-64.544399999999996</v>
      </c>
      <c r="S903" t="s">
        <v>47</v>
      </c>
      <c r="T903" s="10">
        <v>7</v>
      </c>
      <c r="U903" t="s">
        <v>34</v>
      </c>
    </row>
    <row r="904" spans="1:21" x14ac:dyDescent="0.2">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s="2">
        <v>82.38</v>
      </c>
      <c r="Q904">
        <v>6</v>
      </c>
      <c r="R904" s="2">
        <v>25.537800000000001</v>
      </c>
      <c r="S904" t="s">
        <v>83</v>
      </c>
      <c r="T904" s="10">
        <v>4</v>
      </c>
      <c r="U904" t="s">
        <v>96</v>
      </c>
    </row>
    <row r="905" spans="1:21" x14ac:dyDescent="0.2">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s="2">
        <v>14.368</v>
      </c>
      <c r="Q905">
        <v>2</v>
      </c>
      <c r="R905" s="2">
        <v>3.9512</v>
      </c>
      <c r="S905" t="s">
        <v>83</v>
      </c>
      <c r="T905" s="10">
        <v>4</v>
      </c>
      <c r="U905" t="s">
        <v>96</v>
      </c>
    </row>
    <row r="906" spans="1:21" x14ac:dyDescent="0.2">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s="2">
        <v>631.78200000000004</v>
      </c>
      <c r="Q906">
        <v>2</v>
      </c>
      <c r="R906" s="2">
        <v>140.39599999999999</v>
      </c>
      <c r="S906" t="s">
        <v>47</v>
      </c>
      <c r="T906" s="10">
        <v>7</v>
      </c>
      <c r="U906" t="s">
        <v>77</v>
      </c>
    </row>
    <row r="907" spans="1:21" x14ac:dyDescent="0.2">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s="2">
        <v>60.72</v>
      </c>
      <c r="Q907">
        <v>3</v>
      </c>
      <c r="R907" s="2">
        <v>26.1096</v>
      </c>
      <c r="S907" t="s">
        <v>47</v>
      </c>
      <c r="T907" s="10">
        <v>7</v>
      </c>
      <c r="U907" t="s">
        <v>77</v>
      </c>
    </row>
    <row r="908" spans="1:21" x14ac:dyDescent="0.2">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s="2">
        <v>77.72</v>
      </c>
      <c r="Q908">
        <v>1</v>
      </c>
      <c r="R908" s="2">
        <v>-66.061999999999998</v>
      </c>
      <c r="S908" t="s">
        <v>430</v>
      </c>
      <c r="T908" s="10">
        <v>0</v>
      </c>
      <c r="U908" t="s">
        <v>96</v>
      </c>
    </row>
    <row r="909" spans="1:21" x14ac:dyDescent="0.2">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s="2">
        <v>520.46400000000006</v>
      </c>
      <c r="Q909">
        <v>2</v>
      </c>
      <c r="R909" s="2">
        <v>-14.8704</v>
      </c>
      <c r="S909" t="s">
        <v>430</v>
      </c>
      <c r="T909" s="10">
        <v>0</v>
      </c>
      <c r="U909" t="s">
        <v>96</v>
      </c>
    </row>
    <row r="910" spans="1:21" x14ac:dyDescent="0.2">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s="2">
        <v>303.25</v>
      </c>
      <c r="Q910">
        <v>5</v>
      </c>
      <c r="R910" s="2">
        <v>63.682499999999997</v>
      </c>
      <c r="S910" t="s">
        <v>58</v>
      </c>
      <c r="T910" s="10">
        <v>5</v>
      </c>
      <c r="U910" t="s">
        <v>113</v>
      </c>
    </row>
    <row r="911" spans="1:21" x14ac:dyDescent="0.2">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s="2">
        <v>1487.04</v>
      </c>
      <c r="Q911">
        <v>5</v>
      </c>
      <c r="R911" s="2">
        <v>148.70400000000001</v>
      </c>
      <c r="S911" t="s">
        <v>58</v>
      </c>
      <c r="T911" s="10">
        <v>5</v>
      </c>
      <c r="U911" t="s">
        <v>113</v>
      </c>
    </row>
    <row r="912" spans="1:21" x14ac:dyDescent="0.2">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s="2">
        <v>253.17599999999999</v>
      </c>
      <c r="Q912">
        <v>3</v>
      </c>
      <c r="R912" s="2">
        <v>-31.646999999999998</v>
      </c>
      <c r="S912" t="s">
        <v>58</v>
      </c>
      <c r="T912" s="10">
        <v>5</v>
      </c>
      <c r="U912" t="s">
        <v>48</v>
      </c>
    </row>
    <row r="913" spans="1:21" x14ac:dyDescent="0.2">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s="2">
        <v>384.94400000000002</v>
      </c>
      <c r="Q913">
        <v>4</v>
      </c>
      <c r="R913" s="2">
        <v>-126.4816</v>
      </c>
      <c r="S913" t="s">
        <v>47</v>
      </c>
      <c r="T913" s="10">
        <v>7</v>
      </c>
      <c r="U913" t="s">
        <v>71</v>
      </c>
    </row>
    <row r="914" spans="1:21" x14ac:dyDescent="0.2">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s="2">
        <v>913.43</v>
      </c>
      <c r="Q914">
        <v>5</v>
      </c>
      <c r="R914" s="2">
        <v>-52.195999999999998</v>
      </c>
      <c r="S914" t="s">
        <v>47</v>
      </c>
      <c r="T914" s="10">
        <v>7</v>
      </c>
      <c r="U914" t="s">
        <v>71</v>
      </c>
    </row>
    <row r="915" spans="1:21" x14ac:dyDescent="0.2">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s="2">
        <v>183.96799999999999</v>
      </c>
      <c r="Q915">
        <v>2</v>
      </c>
      <c r="R915" s="2">
        <v>-25.2956</v>
      </c>
      <c r="S915" t="s">
        <v>70</v>
      </c>
      <c r="T915" s="10">
        <v>2</v>
      </c>
      <c r="U915" t="s">
        <v>34</v>
      </c>
    </row>
    <row r="916" spans="1:21" x14ac:dyDescent="0.2">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s="2">
        <v>172.18600000000001</v>
      </c>
      <c r="Q916">
        <v>2</v>
      </c>
      <c r="R916" s="2">
        <v>-46.736199999999997</v>
      </c>
      <c r="S916" t="s">
        <v>83</v>
      </c>
      <c r="T916" s="10">
        <v>4</v>
      </c>
      <c r="U916" t="s">
        <v>71</v>
      </c>
    </row>
    <row r="917" spans="1:21" x14ac:dyDescent="0.2">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s="2">
        <v>69.007999999999996</v>
      </c>
      <c r="Q917">
        <v>2</v>
      </c>
      <c r="R917" s="2">
        <v>12.0764</v>
      </c>
      <c r="S917" t="s">
        <v>83</v>
      </c>
      <c r="T917" s="10">
        <v>4</v>
      </c>
      <c r="U917" t="s">
        <v>71</v>
      </c>
    </row>
    <row r="918" spans="1:21" x14ac:dyDescent="0.2">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s="2">
        <v>971.5</v>
      </c>
      <c r="Q918">
        <v>5</v>
      </c>
      <c r="R918" s="2">
        <v>252.59</v>
      </c>
      <c r="S918" t="s">
        <v>430</v>
      </c>
      <c r="T918" s="10">
        <v>0</v>
      </c>
      <c r="U918" t="s">
        <v>195</v>
      </c>
    </row>
    <row r="919" spans="1:21" x14ac:dyDescent="0.2">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s="2">
        <v>190.84800000000001</v>
      </c>
      <c r="Q919">
        <v>3</v>
      </c>
      <c r="R919" s="2">
        <v>-21.470400000000001</v>
      </c>
      <c r="S919" t="s">
        <v>47</v>
      </c>
      <c r="T919" s="10">
        <v>7</v>
      </c>
      <c r="U919" t="s">
        <v>96</v>
      </c>
    </row>
    <row r="920" spans="1:21" x14ac:dyDescent="0.2">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s="2">
        <v>302.94</v>
      </c>
      <c r="Q920">
        <v>3</v>
      </c>
      <c r="R920" s="2">
        <v>75.734999999999999</v>
      </c>
      <c r="S920" t="s">
        <v>123</v>
      </c>
      <c r="T920" s="10">
        <v>1</v>
      </c>
      <c r="U920" t="s">
        <v>161</v>
      </c>
    </row>
    <row r="921" spans="1:21" x14ac:dyDescent="0.2">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s="2">
        <v>1805.88</v>
      </c>
      <c r="Q921">
        <v>6</v>
      </c>
      <c r="R921" s="2">
        <v>523.70519999999999</v>
      </c>
      <c r="S921" t="s">
        <v>129</v>
      </c>
      <c r="T921" s="10">
        <v>6</v>
      </c>
      <c r="U921" t="s">
        <v>195</v>
      </c>
    </row>
    <row r="922" spans="1:21" x14ac:dyDescent="0.2">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s="2">
        <v>24.1</v>
      </c>
      <c r="Q922">
        <v>5</v>
      </c>
      <c r="R922" s="2">
        <v>9.1579999999999995</v>
      </c>
      <c r="S922" t="s">
        <v>58</v>
      </c>
      <c r="T922" s="10">
        <v>5</v>
      </c>
      <c r="U922" t="s">
        <v>34</v>
      </c>
    </row>
    <row r="923" spans="1:21" x14ac:dyDescent="0.2">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s="2">
        <v>842.94</v>
      </c>
      <c r="Q923">
        <v>3</v>
      </c>
      <c r="R923" s="2">
        <v>160.15860000000001</v>
      </c>
      <c r="S923" t="s">
        <v>58</v>
      </c>
      <c r="T923" s="10">
        <v>5</v>
      </c>
      <c r="U923" t="s">
        <v>34</v>
      </c>
    </row>
    <row r="924" spans="1:21" x14ac:dyDescent="0.2">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s="2">
        <v>12.56</v>
      </c>
      <c r="Q924">
        <v>2</v>
      </c>
      <c r="R924" s="2">
        <v>4.0191999999999997</v>
      </c>
      <c r="S924" t="s">
        <v>83</v>
      </c>
      <c r="T924" s="10">
        <v>4</v>
      </c>
      <c r="U924" t="s">
        <v>59</v>
      </c>
    </row>
    <row r="925" spans="1:21" x14ac:dyDescent="0.2">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s="2">
        <v>25.4</v>
      </c>
      <c r="Q925">
        <v>5</v>
      </c>
      <c r="R925" s="2">
        <v>8.6359999999999992</v>
      </c>
      <c r="S925" t="s">
        <v>70</v>
      </c>
      <c r="T925" s="10">
        <v>2</v>
      </c>
      <c r="U925" t="s">
        <v>71</v>
      </c>
    </row>
    <row r="926" spans="1:21" x14ac:dyDescent="0.2">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s="2">
        <v>1279.165</v>
      </c>
      <c r="Q926">
        <v>5</v>
      </c>
      <c r="R926" s="2">
        <v>225.73500000000001</v>
      </c>
      <c r="S926" t="s">
        <v>70</v>
      </c>
      <c r="T926" s="10">
        <v>2</v>
      </c>
      <c r="U926" t="s">
        <v>71</v>
      </c>
    </row>
    <row r="927" spans="1:21" x14ac:dyDescent="0.2">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s="2">
        <v>129.56800000000001</v>
      </c>
      <c r="Q927">
        <v>2</v>
      </c>
      <c r="R927" s="2">
        <v>-12.956799999999999</v>
      </c>
      <c r="S927" t="s">
        <v>58</v>
      </c>
      <c r="T927" s="10">
        <v>5</v>
      </c>
      <c r="U927" t="s">
        <v>77</v>
      </c>
    </row>
    <row r="928" spans="1:21" x14ac:dyDescent="0.2">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s="2">
        <v>32.776000000000003</v>
      </c>
      <c r="Q928">
        <v>1</v>
      </c>
      <c r="R928" s="2">
        <v>3.2776000000000001</v>
      </c>
      <c r="S928" t="s">
        <v>33</v>
      </c>
      <c r="T928" s="10">
        <v>3</v>
      </c>
      <c r="U928" t="s">
        <v>77</v>
      </c>
    </row>
    <row r="929" spans="1:21" x14ac:dyDescent="0.2">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s="2">
        <v>321.56799999999998</v>
      </c>
      <c r="Q929">
        <v>2</v>
      </c>
      <c r="R929" s="2">
        <v>-16.078399999999998</v>
      </c>
      <c r="S929" t="s">
        <v>47</v>
      </c>
      <c r="T929" s="10">
        <v>7</v>
      </c>
      <c r="U929" t="s">
        <v>34</v>
      </c>
    </row>
    <row r="930" spans="1:21" x14ac:dyDescent="0.2">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s="2">
        <v>128.05799999999999</v>
      </c>
      <c r="Q930">
        <v>3</v>
      </c>
      <c r="R930" s="2">
        <v>-23.7822</v>
      </c>
      <c r="S930" t="s">
        <v>83</v>
      </c>
      <c r="T930" s="10">
        <v>4</v>
      </c>
      <c r="U930" t="s">
        <v>161</v>
      </c>
    </row>
    <row r="931" spans="1:21" x14ac:dyDescent="0.2">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s="2">
        <v>63.686</v>
      </c>
      <c r="Q931">
        <v>1</v>
      </c>
      <c r="R931" s="2">
        <v>-15.4666</v>
      </c>
      <c r="S931" t="s">
        <v>430</v>
      </c>
      <c r="T931" s="10">
        <v>0</v>
      </c>
      <c r="U931" t="s">
        <v>77</v>
      </c>
    </row>
    <row r="932" spans="1:21" x14ac:dyDescent="0.2">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s="2">
        <v>344.22</v>
      </c>
      <c r="Q932">
        <v>2</v>
      </c>
      <c r="R932" s="2">
        <v>-189.321</v>
      </c>
      <c r="S932" t="s">
        <v>430</v>
      </c>
      <c r="T932" s="10">
        <v>0</v>
      </c>
      <c r="U932" t="s">
        <v>77</v>
      </c>
    </row>
    <row r="933" spans="1:21" x14ac:dyDescent="0.2">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s="2">
        <v>21.248000000000001</v>
      </c>
      <c r="Q933">
        <v>4</v>
      </c>
      <c r="R933" s="2">
        <v>7.4367999999999999</v>
      </c>
      <c r="S933" t="s">
        <v>430</v>
      </c>
      <c r="T933" s="10">
        <v>0</v>
      </c>
      <c r="U933" t="s">
        <v>77</v>
      </c>
    </row>
    <row r="934" spans="1:21" x14ac:dyDescent="0.2">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s="2">
        <v>248.98</v>
      </c>
      <c r="Q934">
        <v>2</v>
      </c>
      <c r="R934" s="2">
        <v>54.775599999999997</v>
      </c>
      <c r="S934" t="s">
        <v>430</v>
      </c>
      <c r="T934" s="10">
        <v>0</v>
      </c>
      <c r="U934" t="s">
        <v>48</v>
      </c>
    </row>
    <row r="935" spans="1:21" x14ac:dyDescent="0.2">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s="2">
        <v>418.29599999999999</v>
      </c>
      <c r="Q935">
        <v>3</v>
      </c>
      <c r="R935" s="2">
        <v>5.2286999999999999</v>
      </c>
      <c r="S935" t="s">
        <v>47</v>
      </c>
      <c r="T935" s="10">
        <v>7</v>
      </c>
      <c r="U935" t="s">
        <v>253</v>
      </c>
    </row>
    <row r="936" spans="1:21" x14ac:dyDescent="0.2">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s="2">
        <v>8.1280000000000001</v>
      </c>
      <c r="Q936">
        <v>2</v>
      </c>
      <c r="R936" s="2">
        <v>1.4224000000000001</v>
      </c>
      <c r="S936" t="s">
        <v>70</v>
      </c>
      <c r="T936" s="10">
        <v>2</v>
      </c>
      <c r="U936" t="s">
        <v>96</v>
      </c>
    </row>
    <row r="937" spans="1:21" x14ac:dyDescent="0.2">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s="2">
        <v>909.72</v>
      </c>
      <c r="Q937">
        <v>6</v>
      </c>
      <c r="R937" s="2">
        <v>-51.984000000000002</v>
      </c>
      <c r="S937" t="s">
        <v>70</v>
      </c>
      <c r="T937" s="10">
        <v>2</v>
      </c>
      <c r="U937" t="s">
        <v>96</v>
      </c>
    </row>
    <row r="938" spans="1:21" x14ac:dyDescent="0.2">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s="2">
        <v>917.92349999999999</v>
      </c>
      <c r="Q938">
        <v>9</v>
      </c>
      <c r="R938" s="2">
        <v>75.593699999999998</v>
      </c>
      <c r="S938" t="s">
        <v>58</v>
      </c>
      <c r="T938" s="10">
        <v>5</v>
      </c>
      <c r="U938" t="s">
        <v>59</v>
      </c>
    </row>
    <row r="939" spans="1:21" x14ac:dyDescent="0.2">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s="2">
        <v>23.99</v>
      </c>
      <c r="Q939">
        <v>1</v>
      </c>
      <c r="R939" s="2">
        <v>5.5176999999999996</v>
      </c>
      <c r="S939" t="s">
        <v>58</v>
      </c>
      <c r="T939" s="10">
        <v>5</v>
      </c>
      <c r="U939" t="s">
        <v>96</v>
      </c>
    </row>
    <row r="940" spans="1:21" x14ac:dyDescent="0.2">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s="2">
        <v>171.28800000000001</v>
      </c>
      <c r="Q940">
        <v>3</v>
      </c>
      <c r="R940" s="2">
        <v>-6.4233000000000002</v>
      </c>
      <c r="S940" t="s">
        <v>129</v>
      </c>
      <c r="T940" s="10">
        <v>6</v>
      </c>
      <c r="U940" t="s">
        <v>161</v>
      </c>
    </row>
    <row r="941" spans="1:21" x14ac:dyDescent="0.2">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s="2">
        <v>37.299999999999997</v>
      </c>
      <c r="Q941">
        <v>2</v>
      </c>
      <c r="R941" s="2">
        <v>17.158000000000001</v>
      </c>
      <c r="S941" t="s">
        <v>83</v>
      </c>
      <c r="T941" s="10">
        <v>4</v>
      </c>
      <c r="U941" t="s">
        <v>34</v>
      </c>
    </row>
    <row r="942" spans="1:21" x14ac:dyDescent="0.2">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s="2">
        <v>290.98</v>
      </c>
      <c r="Q942">
        <v>1</v>
      </c>
      <c r="R942" s="2">
        <v>75.654799999999994</v>
      </c>
      <c r="S942" t="s">
        <v>58</v>
      </c>
      <c r="T942" s="10">
        <v>5</v>
      </c>
      <c r="U942" t="s">
        <v>48</v>
      </c>
    </row>
    <row r="943" spans="1:21" x14ac:dyDescent="0.2">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s="2">
        <v>20.32</v>
      </c>
      <c r="Q943">
        <v>4</v>
      </c>
      <c r="R943" s="2">
        <v>6.9088000000000003</v>
      </c>
      <c r="S943" t="s">
        <v>129</v>
      </c>
      <c r="T943" s="10">
        <v>6</v>
      </c>
      <c r="U943" t="s">
        <v>297</v>
      </c>
    </row>
    <row r="944" spans="1:21" x14ac:dyDescent="0.2">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s="2">
        <v>89.34</v>
      </c>
      <c r="Q944">
        <v>6</v>
      </c>
      <c r="R944" s="2">
        <v>24.1218</v>
      </c>
      <c r="S944" t="s">
        <v>83</v>
      </c>
      <c r="T944" s="10">
        <v>4</v>
      </c>
      <c r="U944" t="s">
        <v>34</v>
      </c>
    </row>
    <row r="945" spans="1:21" x14ac:dyDescent="0.2">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s="2">
        <v>39.08</v>
      </c>
      <c r="Q945">
        <v>4</v>
      </c>
      <c r="R945" s="2">
        <v>14.4596</v>
      </c>
      <c r="S945" t="s">
        <v>129</v>
      </c>
      <c r="T945" s="10">
        <v>6</v>
      </c>
      <c r="U945" t="s">
        <v>71</v>
      </c>
    </row>
    <row r="946" spans="1:21" x14ac:dyDescent="0.2">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s="2">
        <v>408.00599999999997</v>
      </c>
      <c r="Q946">
        <v>2</v>
      </c>
      <c r="R946" s="2">
        <v>72.534400000000005</v>
      </c>
      <c r="S946" t="s">
        <v>33</v>
      </c>
      <c r="T946" s="10">
        <v>3</v>
      </c>
      <c r="U946" t="s">
        <v>34</v>
      </c>
    </row>
    <row r="947" spans="1:21" x14ac:dyDescent="0.2">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s="2">
        <v>122.352</v>
      </c>
      <c r="Q947">
        <v>3</v>
      </c>
      <c r="R947" s="2">
        <v>13.7646</v>
      </c>
      <c r="S947" t="s">
        <v>430</v>
      </c>
      <c r="T947" s="10">
        <v>0</v>
      </c>
      <c r="U947" t="s">
        <v>48</v>
      </c>
    </row>
    <row r="948" spans="1:21" x14ac:dyDescent="0.2">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s="2">
        <v>15.84</v>
      </c>
      <c r="Q948">
        <v>3</v>
      </c>
      <c r="R948" s="2">
        <v>4.9104000000000001</v>
      </c>
      <c r="S948" t="s">
        <v>83</v>
      </c>
      <c r="T948" s="10">
        <v>4</v>
      </c>
      <c r="U948" t="s">
        <v>71</v>
      </c>
    </row>
    <row r="949" spans="1:21" x14ac:dyDescent="0.2">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s="2">
        <v>493.92</v>
      </c>
      <c r="Q949">
        <v>7</v>
      </c>
      <c r="R949" s="2">
        <v>-28.224</v>
      </c>
      <c r="S949" t="s">
        <v>33</v>
      </c>
      <c r="T949" s="10">
        <v>3</v>
      </c>
      <c r="U949" t="s">
        <v>297</v>
      </c>
    </row>
    <row r="950" spans="1:21" x14ac:dyDescent="0.2">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s="2">
        <v>383.60700000000003</v>
      </c>
      <c r="Q950">
        <v>9</v>
      </c>
      <c r="R950" s="2">
        <v>-5.4801000000000002</v>
      </c>
      <c r="S950" t="s">
        <v>58</v>
      </c>
      <c r="T950" s="10">
        <v>5</v>
      </c>
      <c r="U950" t="s">
        <v>71</v>
      </c>
    </row>
    <row r="951" spans="1:21" x14ac:dyDescent="0.2">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s="2">
        <v>7.76</v>
      </c>
      <c r="Q951">
        <v>1</v>
      </c>
      <c r="R951" s="2">
        <v>-2.1339999999999999</v>
      </c>
      <c r="S951" t="s">
        <v>58</v>
      </c>
      <c r="T951" s="10">
        <v>5</v>
      </c>
      <c r="U951" t="s">
        <v>71</v>
      </c>
    </row>
    <row r="952" spans="1:21" x14ac:dyDescent="0.2">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s="2">
        <v>351.21600000000001</v>
      </c>
      <c r="Q952">
        <v>3</v>
      </c>
      <c r="R952" s="2">
        <v>4.3902000000000001</v>
      </c>
      <c r="S952" t="s">
        <v>83</v>
      </c>
      <c r="T952" s="10">
        <v>4</v>
      </c>
      <c r="U952" t="s">
        <v>71</v>
      </c>
    </row>
    <row r="953" spans="1:21" x14ac:dyDescent="0.2">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s="2">
        <v>230.28</v>
      </c>
      <c r="Q953">
        <v>3</v>
      </c>
      <c r="R953" s="2">
        <v>23.027999999999999</v>
      </c>
      <c r="S953" t="s">
        <v>129</v>
      </c>
      <c r="T953" s="10">
        <v>6</v>
      </c>
      <c r="U953" t="s">
        <v>96</v>
      </c>
    </row>
    <row r="954" spans="1:21" x14ac:dyDescent="0.2">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s="2">
        <v>127.869</v>
      </c>
      <c r="Q954">
        <v>3</v>
      </c>
      <c r="R954" s="2">
        <v>-9.1334999999999997</v>
      </c>
      <c r="S954" t="s">
        <v>33</v>
      </c>
      <c r="T954" s="10">
        <v>3</v>
      </c>
      <c r="U954" t="s">
        <v>161</v>
      </c>
    </row>
    <row r="955" spans="1:21" x14ac:dyDescent="0.2">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s="2">
        <v>36.4</v>
      </c>
      <c r="Q955">
        <v>5</v>
      </c>
      <c r="R955" s="2">
        <v>13.832000000000001</v>
      </c>
      <c r="S955" t="s">
        <v>58</v>
      </c>
      <c r="T955" s="10">
        <v>5</v>
      </c>
      <c r="U955" t="s">
        <v>96</v>
      </c>
    </row>
    <row r="956" spans="1:21" x14ac:dyDescent="0.2">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s="2">
        <v>419.13600000000002</v>
      </c>
      <c r="Q956">
        <v>4</v>
      </c>
      <c r="R956" s="2">
        <v>-57.6312</v>
      </c>
      <c r="S956" t="s">
        <v>83</v>
      </c>
      <c r="T956" s="10">
        <v>4</v>
      </c>
      <c r="U956" t="s">
        <v>77</v>
      </c>
    </row>
    <row r="957" spans="1:21" x14ac:dyDescent="0.2">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s="2">
        <v>76.14</v>
      </c>
      <c r="Q957">
        <v>3</v>
      </c>
      <c r="R957" s="2">
        <v>26.649000000000001</v>
      </c>
      <c r="S957" t="s">
        <v>70</v>
      </c>
      <c r="T957" s="10">
        <v>2</v>
      </c>
      <c r="U957" t="s">
        <v>113</v>
      </c>
    </row>
    <row r="958" spans="1:21" x14ac:dyDescent="0.2">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s="2">
        <v>33.479999999999997</v>
      </c>
      <c r="Q958">
        <v>4</v>
      </c>
      <c r="R958" s="2">
        <v>8.7048000000000005</v>
      </c>
      <c r="S958" t="s">
        <v>129</v>
      </c>
      <c r="T958" s="10">
        <v>6</v>
      </c>
      <c r="U958" t="s">
        <v>96</v>
      </c>
    </row>
    <row r="959" spans="1:21" x14ac:dyDescent="0.2">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s="2">
        <v>25.632000000000001</v>
      </c>
      <c r="Q959">
        <v>3</v>
      </c>
      <c r="R959" s="2">
        <v>3.8448000000000002</v>
      </c>
      <c r="S959" t="s">
        <v>33</v>
      </c>
      <c r="T959" s="10">
        <v>3</v>
      </c>
      <c r="U959" t="s">
        <v>77</v>
      </c>
    </row>
    <row r="960" spans="1:21" x14ac:dyDescent="0.2">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s="2">
        <v>25.02</v>
      </c>
      <c r="Q960">
        <v>3</v>
      </c>
      <c r="R960" s="2">
        <v>10.5084</v>
      </c>
      <c r="S960" t="s">
        <v>70</v>
      </c>
      <c r="T960" s="10">
        <v>2</v>
      </c>
      <c r="U960" t="s">
        <v>34</v>
      </c>
    </row>
    <row r="961" spans="1:21" x14ac:dyDescent="0.2">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s="2">
        <v>146.352</v>
      </c>
      <c r="Q961">
        <v>3</v>
      </c>
      <c r="R961" s="2">
        <v>-5.4882</v>
      </c>
      <c r="S961" t="s">
        <v>58</v>
      </c>
      <c r="T961" s="10">
        <v>5</v>
      </c>
      <c r="U961" t="s">
        <v>96</v>
      </c>
    </row>
    <row r="962" spans="1:21" x14ac:dyDescent="0.2">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s="2">
        <v>902.71199999999999</v>
      </c>
      <c r="Q962">
        <v>3</v>
      </c>
      <c r="R962" s="2">
        <v>33.851700000000001</v>
      </c>
      <c r="S962" t="s">
        <v>58</v>
      </c>
      <c r="T962" s="10">
        <v>5</v>
      </c>
      <c r="U962" t="s">
        <v>96</v>
      </c>
    </row>
    <row r="963" spans="1:21" x14ac:dyDescent="0.2">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s="2">
        <v>150.97999999999999</v>
      </c>
      <c r="Q963">
        <v>1</v>
      </c>
      <c r="R963" s="2">
        <v>43.784199999999998</v>
      </c>
      <c r="S963" t="s">
        <v>83</v>
      </c>
      <c r="T963" s="10">
        <v>4</v>
      </c>
      <c r="U963" t="s">
        <v>71</v>
      </c>
    </row>
    <row r="964" spans="1:21" x14ac:dyDescent="0.2">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s="2">
        <v>47.12</v>
      </c>
      <c r="Q964">
        <v>8</v>
      </c>
      <c r="R964" s="2">
        <v>20.732800000000001</v>
      </c>
      <c r="S964" t="s">
        <v>58</v>
      </c>
      <c r="T964" s="10">
        <v>5</v>
      </c>
      <c r="U964" t="s">
        <v>34</v>
      </c>
    </row>
    <row r="965" spans="1:21" x14ac:dyDescent="0.2">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s="2">
        <v>542.94000000000005</v>
      </c>
      <c r="Q965">
        <v>3</v>
      </c>
      <c r="R965" s="2">
        <v>141.1644</v>
      </c>
      <c r="S965" t="s">
        <v>58</v>
      </c>
      <c r="T965" s="10">
        <v>5</v>
      </c>
      <c r="U965" t="s">
        <v>77</v>
      </c>
    </row>
    <row r="966" spans="1:21" x14ac:dyDescent="0.2">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s="2">
        <v>14.135999999999999</v>
      </c>
      <c r="Q966">
        <v>3</v>
      </c>
      <c r="R966" s="2">
        <v>4.2408000000000001</v>
      </c>
      <c r="S966" t="s">
        <v>58</v>
      </c>
      <c r="T966" s="10">
        <v>5</v>
      </c>
      <c r="U966" t="s">
        <v>77</v>
      </c>
    </row>
    <row r="967" spans="1:21" x14ac:dyDescent="0.2">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s="2">
        <v>17.14</v>
      </c>
      <c r="Q967">
        <v>2</v>
      </c>
      <c r="R967" s="2">
        <v>6.1703999999999999</v>
      </c>
      <c r="S967" t="s">
        <v>430</v>
      </c>
      <c r="T967" s="10">
        <v>0</v>
      </c>
      <c r="U967" t="s">
        <v>48</v>
      </c>
    </row>
    <row r="968" spans="1:21" x14ac:dyDescent="0.2">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s="2">
        <v>123.96</v>
      </c>
      <c r="Q968">
        <v>3</v>
      </c>
      <c r="R968" s="2">
        <v>11.1564</v>
      </c>
      <c r="S968" t="s">
        <v>58</v>
      </c>
      <c r="T968" s="10">
        <v>5</v>
      </c>
      <c r="U968" t="s">
        <v>253</v>
      </c>
    </row>
    <row r="969" spans="1:21" x14ac:dyDescent="0.2">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s="2">
        <v>586.39800000000002</v>
      </c>
      <c r="Q969">
        <v>6</v>
      </c>
      <c r="R969" s="2">
        <v>34.494</v>
      </c>
      <c r="S969" t="s">
        <v>58</v>
      </c>
      <c r="T969" s="10">
        <v>5</v>
      </c>
      <c r="U969" t="s">
        <v>253</v>
      </c>
    </row>
    <row r="970" spans="1:21" x14ac:dyDescent="0.2">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s="2">
        <v>579.13599999999997</v>
      </c>
      <c r="Q970">
        <v>4</v>
      </c>
      <c r="R970" s="2">
        <v>-28.956800000000001</v>
      </c>
      <c r="S970" t="s">
        <v>70</v>
      </c>
      <c r="T970" s="10">
        <v>2</v>
      </c>
      <c r="U970" t="s">
        <v>48</v>
      </c>
    </row>
    <row r="971" spans="1:21" x14ac:dyDescent="0.2">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s="2">
        <v>145.76400000000001</v>
      </c>
      <c r="Q971">
        <v>2</v>
      </c>
      <c r="R971" s="2">
        <v>-8.0980000000000008</v>
      </c>
      <c r="S971" t="s">
        <v>83</v>
      </c>
      <c r="T971" s="10">
        <v>4</v>
      </c>
      <c r="U971" t="s">
        <v>253</v>
      </c>
    </row>
    <row r="972" spans="1:21" x14ac:dyDescent="0.2">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s="2">
        <v>434.64600000000002</v>
      </c>
      <c r="Q972">
        <v>3</v>
      </c>
      <c r="R972" s="2">
        <v>62.782200000000003</v>
      </c>
      <c r="S972" t="s">
        <v>58</v>
      </c>
      <c r="T972" s="10">
        <v>5</v>
      </c>
      <c r="U972" t="s">
        <v>113</v>
      </c>
    </row>
    <row r="973" spans="1:21" x14ac:dyDescent="0.2">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s="2">
        <v>844.11599999999999</v>
      </c>
      <c r="Q973">
        <v>6</v>
      </c>
      <c r="R973" s="2">
        <v>-36.176400000000001</v>
      </c>
      <c r="S973" t="s">
        <v>83</v>
      </c>
      <c r="T973" s="10">
        <v>4</v>
      </c>
      <c r="U973" t="s">
        <v>161</v>
      </c>
    </row>
    <row r="974" spans="1:21" x14ac:dyDescent="0.2">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s="2">
        <v>79.92</v>
      </c>
      <c r="Q974">
        <v>4</v>
      </c>
      <c r="R974" s="2">
        <v>34.365600000000001</v>
      </c>
      <c r="S974" t="s">
        <v>47</v>
      </c>
      <c r="T974" s="10">
        <v>7</v>
      </c>
      <c r="U974" t="s">
        <v>169</v>
      </c>
    </row>
    <row r="975" spans="1:21" x14ac:dyDescent="0.2">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s="2">
        <v>623.46479999999997</v>
      </c>
      <c r="Q975">
        <v>7</v>
      </c>
      <c r="R975" s="2">
        <v>-119.1918</v>
      </c>
      <c r="S975" t="s">
        <v>58</v>
      </c>
      <c r="T975" s="10">
        <v>5</v>
      </c>
      <c r="U975" t="s">
        <v>161</v>
      </c>
    </row>
    <row r="976" spans="1:21" x14ac:dyDescent="0.2">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s="2">
        <v>272.94</v>
      </c>
      <c r="Q976">
        <v>3</v>
      </c>
      <c r="R976" s="2">
        <v>30.023399999999999</v>
      </c>
      <c r="S976" t="s">
        <v>129</v>
      </c>
      <c r="T976" s="10">
        <v>6</v>
      </c>
      <c r="U976" t="s">
        <v>71</v>
      </c>
    </row>
    <row r="977" spans="1:21" x14ac:dyDescent="0.2">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s="2">
        <v>15.007999999999999</v>
      </c>
      <c r="Q977">
        <v>2</v>
      </c>
      <c r="R977" s="2">
        <v>1.5007999999999999</v>
      </c>
      <c r="S977" t="s">
        <v>70</v>
      </c>
      <c r="T977" s="10">
        <v>2</v>
      </c>
      <c r="U977" t="s">
        <v>195</v>
      </c>
    </row>
    <row r="978" spans="1:21" x14ac:dyDescent="0.2">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s="2">
        <v>241.92</v>
      </c>
      <c r="Q978">
        <v>4</v>
      </c>
      <c r="R978" s="2">
        <v>-56.448</v>
      </c>
      <c r="S978" t="s">
        <v>58</v>
      </c>
      <c r="T978" s="10">
        <v>5</v>
      </c>
      <c r="U978" t="s">
        <v>253</v>
      </c>
    </row>
    <row r="979" spans="1:21" x14ac:dyDescent="0.2">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s="2">
        <v>163.88</v>
      </c>
      <c r="Q979">
        <v>4</v>
      </c>
      <c r="R979" s="2">
        <v>-81.94</v>
      </c>
      <c r="S979" t="s">
        <v>58</v>
      </c>
      <c r="T979" s="10">
        <v>5</v>
      </c>
      <c r="U979" t="s">
        <v>253</v>
      </c>
    </row>
    <row r="980" spans="1:21" x14ac:dyDescent="0.2">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s="2">
        <v>51.968000000000004</v>
      </c>
      <c r="Q980">
        <v>2</v>
      </c>
      <c r="R980" s="2">
        <v>10.393599999999999</v>
      </c>
      <c r="S980" t="s">
        <v>70</v>
      </c>
      <c r="T980" s="10">
        <v>2</v>
      </c>
      <c r="U980" t="s">
        <v>96</v>
      </c>
    </row>
    <row r="981" spans="1:21" x14ac:dyDescent="0.2">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s="2">
        <v>242.352</v>
      </c>
      <c r="Q981">
        <v>3</v>
      </c>
      <c r="R981" s="2">
        <v>-42.4116</v>
      </c>
      <c r="S981" t="s">
        <v>70</v>
      </c>
      <c r="T981" s="10">
        <v>2</v>
      </c>
      <c r="U981" t="s">
        <v>96</v>
      </c>
    </row>
    <row r="982" spans="1:21" x14ac:dyDescent="0.2">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s="2">
        <v>302.94</v>
      </c>
      <c r="Q982">
        <v>3</v>
      </c>
      <c r="R982" s="2">
        <v>48.470399999999998</v>
      </c>
      <c r="S982" t="s">
        <v>430</v>
      </c>
      <c r="T982" s="10">
        <v>0</v>
      </c>
      <c r="U982" t="s">
        <v>96</v>
      </c>
    </row>
    <row r="983" spans="1:21" x14ac:dyDescent="0.2">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s="2">
        <v>142.36000000000001</v>
      </c>
      <c r="Q983">
        <v>2</v>
      </c>
      <c r="R983" s="2">
        <v>38.437199999999997</v>
      </c>
      <c r="S983" t="s">
        <v>430</v>
      </c>
      <c r="T983" s="10">
        <v>0</v>
      </c>
      <c r="U983" t="s">
        <v>96</v>
      </c>
    </row>
    <row r="984" spans="1:21" x14ac:dyDescent="0.2">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s="2">
        <v>546.66</v>
      </c>
      <c r="Q984">
        <v>9</v>
      </c>
      <c r="R984" s="2">
        <v>136.66499999999999</v>
      </c>
      <c r="S984" t="s">
        <v>430</v>
      </c>
      <c r="T984" s="10">
        <v>0</v>
      </c>
      <c r="U984" t="s">
        <v>96</v>
      </c>
    </row>
    <row r="985" spans="1:21" x14ac:dyDescent="0.2">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s="2">
        <v>212.13</v>
      </c>
      <c r="Q985">
        <v>3</v>
      </c>
      <c r="R985" s="2">
        <v>14.8491</v>
      </c>
      <c r="S985" t="s">
        <v>430</v>
      </c>
      <c r="T985" s="10">
        <v>0</v>
      </c>
      <c r="U985" t="s">
        <v>96</v>
      </c>
    </row>
    <row r="986" spans="1:21" x14ac:dyDescent="0.2">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s="2">
        <v>7.9960000000000004</v>
      </c>
      <c r="Q986">
        <v>1</v>
      </c>
      <c r="R986" s="2">
        <v>-6.9965000000000002</v>
      </c>
      <c r="S986" t="s">
        <v>129</v>
      </c>
      <c r="T986" s="10">
        <v>6</v>
      </c>
      <c r="U986" t="s">
        <v>161</v>
      </c>
    </row>
    <row r="987" spans="1:21" x14ac:dyDescent="0.2">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s="2">
        <v>173.24</v>
      </c>
      <c r="Q987">
        <v>4</v>
      </c>
      <c r="R987" s="2">
        <v>17.324000000000002</v>
      </c>
      <c r="S987" t="s">
        <v>123</v>
      </c>
      <c r="T987" s="10">
        <v>1</v>
      </c>
      <c r="U987" t="s">
        <v>161</v>
      </c>
    </row>
    <row r="988" spans="1:21" x14ac:dyDescent="0.2">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s="2">
        <v>56.567999999999998</v>
      </c>
      <c r="Q988">
        <v>2</v>
      </c>
      <c r="R988" s="2">
        <v>-74.952600000000004</v>
      </c>
      <c r="S988" t="s">
        <v>58</v>
      </c>
      <c r="T988" s="10">
        <v>5</v>
      </c>
      <c r="U988" t="s">
        <v>96</v>
      </c>
    </row>
    <row r="989" spans="1:21" x14ac:dyDescent="0.2">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s="2">
        <v>521.96</v>
      </c>
      <c r="Q989">
        <v>2</v>
      </c>
      <c r="R989" s="2">
        <v>88.733199999999997</v>
      </c>
      <c r="S989" t="s">
        <v>83</v>
      </c>
      <c r="T989" s="10">
        <v>4</v>
      </c>
      <c r="U989" t="s">
        <v>96</v>
      </c>
    </row>
    <row r="990" spans="1:21" x14ac:dyDescent="0.2">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s="2">
        <v>268.935</v>
      </c>
      <c r="Q990">
        <v>3</v>
      </c>
      <c r="R990" s="2">
        <v>-209.76929999999999</v>
      </c>
      <c r="S990" t="s">
        <v>83</v>
      </c>
      <c r="T990" s="10">
        <v>4</v>
      </c>
      <c r="U990" t="s">
        <v>59</v>
      </c>
    </row>
    <row r="991" spans="1:21" x14ac:dyDescent="0.2">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s="2">
        <v>275.952</v>
      </c>
      <c r="Q991">
        <v>3</v>
      </c>
      <c r="R991" s="2">
        <v>-37.943399999999997</v>
      </c>
      <c r="S991" t="s">
        <v>83</v>
      </c>
      <c r="T991" s="10">
        <v>4</v>
      </c>
      <c r="U991" t="s">
        <v>34</v>
      </c>
    </row>
    <row r="992" spans="1:21" x14ac:dyDescent="0.2">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s="2">
        <v>19.920000000000002</v>
      </c>
      <c r="Q992">
        <v>3</v>
      </c>
      <c r="R992" s="2">
        <v>9.5616000000000003</v>
      </c>
      <c r="S992" t="s">
        <v>70</v>
      </c>
      <c r="T992" s="10">
        <v>2</v>
      </c>
      <c r="U992" t="s">
        <v>195</v>
      </c>
    </row>
    <row r="993" spans="1:21" x14ac:dyDescent="0.2">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s="2">
        <v>658.74599999999998</v>
      </c>
      <c r="Q993">
        <v>3</v>
      </c>
      <c r="R993" s="2">
        <v>146.38800000000001</v>
      </c>
      <c r="S993" t="s">
        <v>58</v>
      </c>
      <c r="T993" s="10">
        <v>5</v>
      </c>
      <c r="U993" t="s">
        <v>113</v>
      </c>
    </row>
    <row r="994" spans="1:21" x14ac:dyDescent="0.2">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s="2">
        <v>35.543999999999997</v>
      </c>
      <c r="Q994">
        <v>1</v>
      </c>
      <c r="R994" s="2">
        <v>-0.88859999999999995</v>
      </c>
      <c r="S994" t="s">
        <v>129</v>
      </c>
      <c r="T994" s="10">
        <v>6</v>
      </c>
      <c r="U994" t="s">
        <v>297</v>
      </c>
    </row>
    <row r="995" spans="1:21" x14ac:dyDescent="0.2">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s="2">
        <v>35.28</v>
      </c>
      <c r="Q995">
        <v>3</v>
      </c>
      <c r="R995" s="2">
        <v>11.995200000000001</v>
      </c>
      <c r="S995" t="s">
        <v>430</v>
      </c>
      <c r="T995" s="10">
        <v>0</v>
      </c>
      <c r="U995" t="s">
        <v>195</v>
      </c>
    </row>
    <row r="996" spans="1:21" x14ac:dyDescent="0.2">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s="2">
        <v>209.56800000000001</v>
      </c>
      <c r="Q996">
        <v>2</v>
      </c>
      <c r="R996" s="2">
        <v>-23.5764</v>
      </c>
      <c r="S996" t="s">
        <v>83</v>
      </c>
      <c r="T996" s="10">
        <v>4</v>
      </c>
      <c r="U996" t="s">
        <v>34</v>
      </c>
    </row>
    <row r="997" spans="1:21" x14ac:dyDescent="0.2">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s="2">
        <v>6.4640000000000004</v>
      </c>
      <c r="Q997">
        <v>1</v>
      </c>
      <c r="R997" s="2">
        <v>-4.04</v>
      </c>
      <c r="S997" t="s">
        <v>83</v>
      </c>
      <c r="T997" s="10">
        <v>4</v>
      </c>
      <c r="U997" t="s">
        <v>34</v>
      </c>
    </row>
    <row r="998" spans="1:21" x14ac:dyDescent="0.2">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s="2">
        <v>63.881999999999998</v>
      </c>
      <c r="Q998">
        <v>1</v>
      </c>
      <c r="R998" s="2">
        <v>10.647</v>
      </c>
      <c r="S998" t="s">
        <v>70</v>
      </c>
      <c r="T998" s="10">
        <v>2</v>
      </c>
      <c r="U998" t="s">
        <v>71</v>
      </c>
    </row>
    <row r="999" spans="1:21" x14ac:dyDescent="0.2">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s="2">
        <v>683.14400000000001</v>
      </c>
      <c r="Q999">
        <v>4</v>
      </c>
      <c r="R999" s="2">
        <v>0</v>
      </c>
      <c r="S999" t="s">
        <v>58</v>
      </c>
      <c r="T999" s="10">
        <v>5</v>
      </c>
      <c r="U999" t="s">
        <v>34</v>
      </c>
    </row>
    <row r="1000" spans="1:21" x14ac:dyDescent="0.2">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s="2">
        <v>69.575999999999993</v>
      </c>
      <c r="Q1000">
        <v>4</v>
      </c>
      <c r="R1000" s="2">
        <v>-143.79040000000001</v>
      </c>
      <c r="S1000" t="s">
        <v>58</v>
      </c>
      <c r="T1000" s="10">
        <v>5</v>
      </c>
      <c r="U1000" t="s">
        <v>96</v>
      </c>
    </row>
    <row r="1001" spans="1:21" x14ac:dyDescent="0.2">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s="2">
        <v>52.415999999999997</v>
      </c>
      <c r="Q1001">
        <v>9</v>
      </c>
      <c r="R1001" s="2">
        <v>15.069599999999999</v>
      </c>
      <c r="S1001" t="s">
        <v>58</v>
      </c>
      <c r="T1001" s="10">
        <v>5</v>
      </c>
      <c r="U1001" t="s">
        <v>96</v>
      </c>
    </row>
    <row r="1002" spans="1:21" x14ac:dyDescent="0.2">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s="2">
        <v>54.92</v>
      </c>
      <c r="Q1002">
        <v>5</v>
      </c>
      <c r="R1002" s="2">
        <v>10.984</v>
      </c>
      <c r="S1002" t="s">
        <v>58</v>
      </c>
      <c r="T1002" s="10">
        <v>5</v>
      </c>
      <c r="U1002" t="s">
        <v>96</v>
      </c>
    </row>
    <row r="1003" spans="1:21" x14ac:dyDescent="0.2">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s="2">
        <v>364.95</v>
      </c>
      <c r="Q1003">
        <v>5</v>
      </c>
      <c r="R1003" s="2">
        <v>-248.166</v>
      </c>
      <c r="S1003" t="s">
        <v>58</v>
      </c>
      <c r="T1003" s="10">
        <v>5</v>
      </c>
      <c r="U1003" t="s">
        <v>96</v>
      </c>
    </row>
    <row r="1004" spans="1:21" x14ac:dyDescent="0.2">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s="2">
        <v>43.13</v>
      </c>
      <c r="Q1004">
        <v>1</v>
      </c>
      <c r="R1004" s="2">
        <v>18.114599999999999</v>
      </c>
      <c r="S1004" t="s">
        <v>47</v>
      </c>
      <c r="T1004" s="10">
        <v>7</v>
      </c>
      <c r="U1004" t="s">
        <v>195</v>
      </c>
    </row>
    <row r="1005" spans="1:21" x14ac:dyDescent="0.2">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s="2">
        <v>30.192</v>
      </c>
      <c r="Q1005">
        <v>3</v>
      </c>
      <c r="R1005" s="2">
        <v>8.3027999999999995</v>
      </c>
      <c r="S1005" t="s">
        <v>58</v>
      </c>
      <c r="T1005" s="10">
        <v>5</v>
      </c>
      <c r="U1005" t="s">
        <v>161</v>
      </c>
    </row>
    <row r="1006" spans="1:21" x14ac:dyDescent="0.2">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s="2">
        <v>91.007999999999996</v>
      </c>
      <c r="Q1006">
        <v>9</v>
      </c>
      <c r="R1006" s="2">
        <v>19.339200000000002</v>
      </c>
      <c r="S1006" t="s">
        <v>83</v>
      </c>
      <c r="T1006" s="10">
        <v>4</v>
      </c>
      <c r="U1006" t="s">
        <v>71</v>
      </c>
    </row>
    <row r="1007" spans="1:21" x14ac:dyDescent="0.2">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s="2">
        <v>380.05799999999999</v>
      </c>
      <c r="Q1007">
        <v>3</v>
      </c>
      <c r="R1007" s="2">
        <v>-21.717600000000001</v>
      </c>
      <c r="S1007" t="s">
        <v>58</v>
      </c>
      <c r="T1007" s="10">
        <v>5</v>
      </c>
      <c r="U1007" t="s">
        <v>34</v>
      </c>
    </row>
    <row r="1008" spans="1:21" x14ac:dyDescent="0.2">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s="2">
        <v>48.576000000000001</v>
      </c>
      <c r="Q1008">
        <v>3</v>
      </c>
      <c r="R1008" s="2">
        <v>9.7151999999999994</v>
      </c>
      <c r="S1008" t="s">
        <v>58</v>
      </c>
      <c r="T1008" s="10">
        <v>5</v>
      </c>
      <c r="U1008" t="s">
        <v>34</v>
      </c>
    </row>
    <row r="1009" spans="1:21" x14ac:dyDescent="0.2">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s="2">
        <v>127.554</v>
      </c>
      <c r="Q1009">
        <v>3</v>
      </c>
      <c r="R1009" s="2">
        <v>-9.1110000000000007</v>
      </c>
      <c r="S1009" t="s">
        <v>58</v>
      </c>
      <c r="T1009" s="10">
        <v>5</v>
      </c>
      <c r="U1009" t="s">
        <v>34</v>
      </c>
    </row>
    <row r="1010" spans="1:21" x14ac:dyDescent="0.2">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s="2">
        <v>77.951999999999998</v>
      </c>
      <c r="Q1010">
        <v>3</v>
      </c>
      <c r="R1010" s="2">
        <v>15.590400000000001</v>
      </c>
      <c r="S1010" t="s">
        <v>58</v>
      </c>
      <c r="T1010" s="10">
        <v>5</v>
      </c>
      <c r="U1010" t="s">
        <v>34</v>
      </c>
    </row>
    <row r="1011" spans="1:21" x14ac:dyDescent="0.2">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s="2">
        <v>27.58</v>
      </c>
      <c r="Q1011">
        <v>2</v>
      </c>
      <c r="R1011" s="2">
        <v>11.583600000000001</v>
      </c>
      <c r="S1011" t="s">
        <v>58</v>
      </c>
      <c r="T1011" s="10">
        <v>5</v>
      </c>
      <c r="U1011" t="s">
        <v>34</v>
      </c>
    </row>
    <row r="1012" spans="1:21" x14ac:dyDescent="0.2">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s="2">
        <v>975.92</v>
      </c>
      <c r="Q1012">
        <v>5</v>
      </c>
      <c r="R1012" s="2">
        <v>121.99</v>
      </c>
      <c r="S1012" t="s">
        <v>129</v>
      </c>
      <c r="T1012" s="10">
        <v>6</v>
      </c>
      <c r="U1012" t="s">
        <v>77</v>
      </c>
    </row>
    <row r="1013" spans="1:21" x14ac:dyDescent="0.2">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s="2">
        <v>12.54</v>
      </c>
      <c r="Q1013">
        <v>3</v>
      </c>
      <c r="R1013" s="2">
        <v>4.5144000000000002</v>
      </c>
      <c r="S1013" t="s">
        <v>33</v>
      </c>
      <c r="T1013" s="10">
        <v>3</v>
      </c>
      <c r="U1013" t="s">
        <v>96</v>
      </c>
    </row>
    <row r="1014" spans="1:21" x14ac:dyDescent="0.2">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s="2">
        <v>9.24</v>
      </c>
      <c r="Q1014">
        <v>3</v>
      </c>
      <c r="R1014" s="2">
        <v>4.4352</v>
      </c>
      <c r="S1014" t="s">
        <v>33</v>
      </c>
      <c r="T1014" s="10">
        <v>3</v>
      </c>
      <c r="U1014" t="s">
        <v>96</v>
      </c>
    </row>
    <row r="1015" spans="1:21" x14ac:dyDescent="0.2">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s="2">
        <v>77.599999999999994</v>
      </c>
      <c r="Q1015">
        <v>4</v>
      </c>
      <c r="R1015" s="2">
        <v>38.024000000000001</v>
      </c>
      <c r="S1015" t="s">
        <v>83</v>
      </c>
      <c r="T1015" s="10">
        <v>4</v>
      </c>
      <c r="U1015" t="s">
        <v>169</v>
      </c>
    </row>
    <row r="1016" spans="1:21" x14ac:dyDescent="0.2">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s="2">
        <v>464.85</v>
      </c>
      <c r="Q1016">
        <v>9</v>
      </c>
      <c r="R1016" s="2">
        <v>92.97</v>
      </c>
      <c r="S1016" t="s">
        <v>83</v>
      </c>
      <c r="T1016" s="10">
        <v>4</v>
      </c>
      <c r="U1016" t="s">
        <v>169</v>
      </c>
    </row>
    <row r="1017" spans="1:21" x14ac:dyDescent="0.2">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s="2">
        <v>2404.7040000000002</v>
      </c>
      <c r="Q1017">
        <v>6</v>
      </c>
      <c r="R1017" s="2">
        <v>150.29400000000001</v>
      </c>
      <c r="S1017" t="s">
        <v>58</v>
      </c>
      <c r="T1017" s="10">
        <v>5</v>
      </c>
      <c r="U1017" t="s">
        <v>34</v>
      </c>
    </row>
    <row r="1018" spans="1:21" x14ac:dyDescent="0.2">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s="2">
        <v>975.92</v>
      </c>
      <c r="Q1018">
        <v>4</v>
      </c>
      <c r="R1018" s="2">
        <v>292.77600000000001</v>
      </c>
      <c r="S1018" t="s">
        <v>33</v>
      </c>
      <c r="T1018" s="10">
        <v>3</v>
      </c>
      <c r="U1018" t="s">
        <v>34</v>
      </c>
    </row>
    <row r="1019" spans="1:21" x14ac:dyDescent="0.2">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s="2">
        <v>182.67</v>
      </c>
      <c r="Q1019">
        <v>3</v>
      </c>
      <c r="R1019" s="2">
        <v>52.974299999999999</v>
      </c>
      <c r="S1019" t="s">
        <v>33</v>
      </c>
      <c r="T1019" s="10">
        <v>3</v>
      </c>
      <c r="U1019" t="s">
        <v>34</v>
      </c>
    </row>
    <row r="1020" spans="1:21" x14ac:dyDescent="0.2">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s="2">
        <v>183.37200000000001</v>
      </c>
      <c r="Q1020">
        <v>2</v>
      </c>
      <c r="R1020" s="2">
        <v>-7.8587999999999996</v>
      </c>
      <c r="S1020" t="s">
        <v>70</v>
      </c>
      <c r="T1020" s="10">
        <v>2</v>
      </c>
      <c r="U1020" t="s">
        <v>48</v>
      </c>
    </row>
    <row r="1021" spans="1:21" x14ac:dyDescent="0.2">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s="2">
        <v>674.05799999999999</v>
      </c>
      <c r="Q1021">
        <v>3</v>
      </c>
      <c r="R1021" s="2">
        <v>-19.258800000000001</v>
      </c>
      <c r="S1021" t="s">
        <v>70</v>
      </c>
      <c r="T1021" s="10">
        <v>2</v>
      </c>
      <c r="U1021" t="s">
        <v>96</v>
      </c>
    </row>
    <row r="1022" spans="1:21" x14ac:dyDescent="0.2">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s="2">
        <v>254.05799999999999</v>
      </c>
      <c r="Q1022">
        <v>3</v>
      </c>
      <c r="R1022" s="2">
        <v>-32.6646</v>
      </c>
      <c r="S1022" t="s">
        <v>70</v>
      </c>
      <c r="T1022" s="10">
        <v>2</v>
      </c>
      <c r="U1022" t="s">
        <v>48</v>
      </c>
    </row>
    <row r="1023" spans="1:21" x14ac:dyDescent="0.2">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s="2">
        <v>173.94</v>
      </c>
      <c r="Q1023">
        <v>3</v>
      </c>
      <c r="R1023" s="2">
        <v>38.266800000000003</v>
      </c>
      <c r="S1023" t="s">
        <v>58</v>
      </c>
      <c r="T1023" s="10">
        <v>5</v>
      </c>
      <c r="U1023" t="s">
        <v>169</v>
      </c>
    </row>
    <row r="1024" spans="1:21" x14ac:dyDescent="0.2">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s="2">
        <v>91.275000000000006</v>
      </c>
      <c r="Q1024">
        <v>1</v>
      </c>
      <c r="R1024" s="2">
        <v>-67.543499999999995</v>
      </c>
      <c r="S1024" t="s">
        <v>83</v>
      </c>
      <c r="T1024" s="10">
        <v>4</v>
      </c>
      <c r="U1024" t="s">
        <v>48</v>
      </c>
    </row>
    <row r="1025" spans="1:21" x14ac:dyDescent="0.2">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s="2">
        <v>897.15</v>
      </c>
      <c r="Q1025">
        <v>3</v>
      </c>
      <c r="R1025" s="2">
        <v>251.202</v>
      </c>
      <c r="S1025" t="s">
        <v>58</v>
      </c>
      <c r="T1025" s="10">
        <v>5</v>
      </c>
      <c r="U1025" t="s">
        <v>96</v>
      </c>
    </row>
    <row r="1026" spans="1:21" x14ac:dyDescent="0.2">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s="2">
        <v>333.99900000000002</v>
      </c>
      <c r="Q1026">
        <v>3</v>
      </c>
      <c r="R1026" s="2">
        <v>3.9293999999999998</v>
      </c>
      <c r="S1026" t="s">
        <v>58</v>
      </c>
      <c r="T1026" s="10">
        <v>5</v>
      </c>
      <c r="U1026" t="s">
        <v>169</v>
      </c>
    </row>
    <row r="1027" spans="1:21" x14ac:dyDescent="0.2">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s="2">
        <v>1268.82</v>
      </c>
      <c r="Q1027">
        <v>9</v>
      </c>
      <c r="R1027" s="2">
        <v>266.4522</v>
      </c>
      <c r="S1027" t="s">
        <v>47</v>
      </c>
      <c r="T1027" s="10">
        <v>7</v>
      </c>
      <c r="U1027" t="s">
        <v>297</v>
      </c>
    </row>
    <row r="1028" spans="1:21" x14ac:dyDescent="0.2">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s="2">
        <v>283.92</v>
      </c>
      <c r="Q1028">
        <v>4</v>
      </c>
      <c r="R1028" s="2">
        <v>82.336799999999997</v>
      </c>
      <c r="S1028" t="s">
        <v>47</v>
      </c>
      <c r="T1028" s="10">
        <v>7</v>
      </c>
      <c r="U1028" t="s">
        <v>297</v>
      </c>
    </row>
    <row r="1029" spans="1:21" x14ac:dyDescent="0.2">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s="2">
        <v>18.84</v>
      </c>
      <c r="Q1029">
        <v>3</v>
      </c>
      <c r="R1029" s="2">
        <v>6.0288000000000004</v>
      </c>
      <c r="S1029" t="s">
        <v>58</v>
      </c>
      <c r="T1029" s="10">
        <v>5</v>
      </c>
      <c r="U1029" t="s">
        <v>34</v>
      </c>
    </row>
    <row r="1030" spans="1:21" x14ac:dyDescent="0.2">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s="2">
        <v>37.4</v>
      </c>
      <c r="Q1030">
        <v>2</v>
      </c>
      <c r="R1030" s="2">
        <v>14.212</v>
      </c>
      <c r="S1030" t="s">
        <v>83</v>
      </c>
      <c r="T1030" s="10">
        <v>4</v>
      </c>
      <c r="U1030" t="s">
        <v>59</v>
      </c>
    </row>
    <row r="1031" spans="1:21" x14ac:dyDescent="0.2">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s="2">
        <v>48.712000000000003</v>
      </c>
      <c r="Q1031">
        <v>1</v>
      </c>
      <c r="R1031" s="2">
        <v>5.4801000000000002</v>
      </c>
      <c r="S1031" t="s">
        <v>123</v>
      </c>
      <c r="T1031" s="10">
        <v>1</v>
      </c>
      <c r="U1031" t="s">
        <v>195</v>
      </c>
    </row>
    <row r="1032" spans="1:21" x14ac:dyDescent="0.2">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s="2">
        <v>110.98</v>
      </c>
      <c r="Q1032">
        <v>1</v>
      </c>
      <c r="R1032" s="2">
        <v>15.5372</v>
      </c>
      <c r="S1032" t="s">
        <v>33</v>
      </c>
      <c r="T1032" s="10">
        <v>3</v>
      </c>
      <c r="U1032" t="s">
        <v>253</v>
      </c>
    </row>
    <row r="1033" spans="1:21" x14ac:dyDescent="0.2">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s="2">
        <v>207.98400000000001</v>
      </c>
      <c r="Q1033">
        <v>2</v>
      </c>
      <c r="R1033" s="2">
        <v>-28.597799999999999</v>
      </c>
      <c r="S1033" t="s">
        <v>33</v>
      </c>
      <c r="T1033" s="10">
        <v>3</v>
      </c>
      <c r="U1033" t="s">
        <v>34</v>
      </c>
    </row>
    <row r="1034" spans="1:21" x14ac:dyDescent="0.2">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s="2">
        <v>35.567999999999998</v>
      </c>
      <c r="Q1034">
        <v>2</v>
      </c>
      <c r="R1034" s="2">
        <v>5.7797999999999998</v>
      </c>
      <c r="S1034" t="s">
        <v>33</v>
      </c>
      <c r="T1034" s="10">
        <v>3</v>
      </c>
      <c r="U1034" t="s">
        <v>34</v>
      </c>
    </row>
    <row r="1035" spans="1:21" x14ac:dyDescent="0.2">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s="2">
        <v>1325.76</v>
      </c>
      <c r="Q1035">
        <v>6</v>
      </c>
      <c r="R1035" s="2">
        <v>149.148</v>
      </c>
      <c r="S1035" t="s">
        <v>83</v>
      </c>
      <c r="T1035" s="10">
        <v>4</v>
      </c>
      <c r="U1035" t="s">
        <v>113</v>
      </c>
    </row>
    <row r="1036" spans="1:21" x14ac:dyDescent="0.2">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s="2">
        <v>20.32</v>
      </c>
      <c r="Q1036">
        <v>5</v>
      </c>
      <c r="R1036" s="2">
        <v>3.556</v>
      </c>
      <c r="S1036" t="s">
        <v>47</v>
      </c>
      <c r="T1036" s="10">
        <v>7</v>
      </c>
      <c r="U1036" t="s">
        <v>96</v>
      </c>
    </row>
    <row r="1037" spans="1:21" x14ac:dyDescent="0.2">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s="2">
        <v>209.97900000000001</v>
      </c>
      <c r="Q1037">
        <v>7</v>
      </c>
      <c r="R1037" s="2">
        <v>-356.96429999999998</v>
      </c>
      <c r="S1037" t="s">
        <v>70</v>
      </c>
      <c r="T1037" s="10">
        <v>2</v>
      </c>
      <c r="U1037" t="s">
        <v>161</v>
      </c>
    </row>
    <row r="1038" spans="1:21" x14ac:dyDescent="0.2">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s="2">
        <v>35.167999999999999</v>
      </c>
      <c r="Q1038">
        <v>7</v>
      </c>
      <c r="R1038" s="2">
        <v>9.6712000000000007</v>
      </c>
      <c r="S1038" t="s">
        <v>58</v>
      </c>
      <c r="T1038" s="10">
        <v>5</v>
      </c>
      <c r="U1038" t="s">
        <v>34</v>
      </c>
    </row>
    <row r="1039" spans="1:21" x14ac:dyDescent="0.2">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s="2">
        <v>10.11</v>
      </c>
      <c r="Q1039">
        <v>3</v>
      </c>
      <c r="R1039" s="2">
        <v>3.2351999999999999</v>
      </c>
      <c r="S1039" t="s">
        <v>33</v>
      </c>
      <c r="T1039" s="10">
        <v>3</v>
      </c>
      <c r="U1039" t="s">
        <v>34</v>
      </c>
    </row>
    <row r="1040" spans="1:21" x14ac:dyDescent="0.2">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s="2">
        <v>39.92</v>
      </c>
      <c r="Q1040">
        <v>4</v>
      </c>
      <c r="R1040" s="2">
        <v>11.1776</v>
      </c>
      <c r="S1040" t="s">
        <v>129</v>
      </c>
      <c r="T1040" s="10">
        <v>6</v>
      </c>
      <c r="U1040" t="s">
        <v>96</v>
      </c>
    </row>
    <row r="1041" spans="1:21" x14ac:dyDescent="0.2">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s="2">
        <v>302.67</v>
      </c>
      <c r="Q1041">
        <v>3</v>
      </c>
      <c r="R1041" s="2">
        <v>72.640799999999999</v>
      </c>
      <c r="S1041" t="s">
        <v>58</v>
      </c>
      <c r="T1041" s="10">
        <v>5</v>
      </c>
      <c r="U1041" t="s">
        <v>71</v>
      </c>
    </row>
    <row r="1042" spans="1:21" x14ac:dyDescent="0.2">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s="2">
        <v>212.94</v>
      </c>
      <c r="Q1042">
        <v>3</v>
      </c>
      <c r="R1042" s="2">
        <v>25.552800000000001</v>
      </c>
      <c r="S1042" t="s">
        <v>47</v>
      </c>
      <c r="T1042" s="10">
        <v>7</v>
      </c>
      <c r="U1042" t="s">
        <v>96</v>
      </c>
    </row>
    <row r="1043" spans="1:21" x14ac:dyDescent="0.2">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s="2">
        <v>687.4</v>
      </c>
      <c r="Q1043">
        <v>5</v>
      </c>
      <c r="R1043" s="2">
        <v>48.118000000000002</v>
      </c>
      <c r="S1043" t="s">
        <v>83</v>
      </c>
      <c r="T1043" s="10">
        <v>4</v>
      </c>
      <c r="U1043" t="s">
        <v>253</v>
      </c>
    </row>
    <row r="1044" spans="1:21" x14ac:dyDescent="0.2">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s="2">
        <v>653.54999999999995</v>
      </c>
      <c r="Q1044">
        <v>3</v>
      </c>
      <c r="R1044" s="2">
        <v>111.1035</v>
      </c>
      <c r="S1044" t="s">
        <v>129</v>
      </c>
      <c r="T1044" s="10">
        <v>6</v>
      </c>
      <c r="U1044" t="s">
        <v>113</v>
      </c>
    </row>
    <row r="1045" spans="1:21" x14ac:dyDescent="0.2">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s="2">
        <v>199.83600000000001</v>
      </c>
      <c r="Q1045">
        <v>4</v>
      </c>
      <c r="R1045" s="2">
        <v>-37.112400000000001</v>
      </c>
      <c r="S1045" t="s">
        <v>123</v>
      </c>
      <c r="T1045" s="10">
        <v>1</v>
      </c>
      <c r="U1045" t="s">
        <v>71</v>
      </c>
    </row>
    <row r="1046" spans="1:21" x14ac:dyDescent="0.2">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s="2">
        <v>467.46</v>
      </c>
      <c r="Q1046">
        <v>9</v>
      </c>
      <c r="R1046" s="2">
        <v>191.65860000000001</v>
      </c>
      <c r="S1046" t="s">
        <v>33</v>
      </c>
      <c r="T1046" s="10">
        <v>3</v>
      </c>
      <c r="U1046" t="s">
        <v>34</v>
      </c>
    </row>
    <row r="1047" spans="1:21" x14ac:dyDescent="0.2">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s="2">
        <v>1352.3976</v>
      </c>
      <c r="Q1047">
        <v>9</v>
      </c>
      <c r="R1047" s="2">
        <v>-437.54039999999998</v>
      </c>
      <c r="S1047" t="s">
        <v>58</v>
      </c>
      <c r="T1047" s="10">
        <v>5</v>
      </c>
      <c r="U1047" t="s">
        <v>169</v>
      </c>
    </row>
    <row r="1048" spans="1:21" x14ac:dyDescent="0.2">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s="2">
        <v>123.96</v>
      </c>
      <c r="Q1048">
        <v>3</v>
      </c>
      <c r="R1048" s="2">
        <v>11.1564</v>
      </c>
      <c r="S1048" t="s">
        <v>83</v>
      </c>
      <c r="T1048" s="10">
        <v>4</v>
      </c>
      <c r="U1048" t="s">
        <v>161</v>
      </c>
    </row>
    <row r="1049" spans="1:21" x14ac:dyDescent="0.2">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s="2">
        <v>1781.682</v>
      </c>
      <c r="Q1049">
        <v>7</v>
      </c>
      <c r="R1049" s="2">
        <v>-653.28340000000003</v>
      </c>
      <c r="S1049" t="s">
        <v>47</v>
      </c>
      <c r="T1049" s="10">
        <v>7</v>
      </c>
      <c r="U1049" t="s">
        <v>34</v>
      </c>
    </row>
    <row r="1050" spans="1:21" x14ac:dyDescent="0.2">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s="2">
        <v>53.88</v>
      </c>
      <c r="Q1050">
        <v>6</v>
      </c>
      <c r="R1050" s="2">
        <v>22.6296</v>
      </c>
      <c r="S1050" t="s">
        <v>83</v>
      </c>
      <c r="T1050" s="10">
        <v>4</v>
      </c>
      <c r="U1050" t="s">
        <v>253</v>
      </c>
    </row>
    <row r="1051" spans="1:21" x14ac:dyDescent="0.2">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s="2">
        <v>744.1</v>
      </c>
      <c r="Q1051">
        <v>5</v>
      </c>
      <c r="R1051" s="2">
        <v>-95.67</v>
      </c>
      <c r="S1051" t="s">
        <v>70</v>
      </c>
      <c r="T1051" s="10">
        <v>2</v>
      </c>
      <c r="U1051" t="s">
        <v>113</v>
      </c>
    </row>
    <row r="1052" spans="1:21" x14ac:dyDescent="0.2">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s="2">
        <v>401.59</v>
      </c>
      <c r="Q1052">
        <v>2</v>
      </c>
      <c r="R1052" s="2">
        <v>-131.95099999999999</v>
      </c>
      <c r="S1052" t="s">
        <v>70</v>
      </c>
      <c r="T1052" s="10">
        <v>2</v>
      </c>
      <c r="U1052" t="s">
        <v>113</v>
      </c>
    </row>
    <row r="1053" spans="1:21" x14ac:dyDescent="0.2">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s="2">
        <v>359.49900000000002</v>
      </c>
      <c r="Q1053">
        <v>3</v>
      </c>
      <c r="R1053" s="2">
        <v>-29.605799999999999</v>
      </c>
      <c r="S1053" t="s">
        <v>83</v>
      </c>
      <c r="T1053" s="10">
        <v>4</v>
      </c>
      <c r="U1053" t="s">
        <v>34</v>
      </c>
    </row>
    <row r="1054" spans="1:21" x14ac:dyDescent="0.2">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s="2">
        <v>214.95</v>
      </c>
      <c r="Q1054">
        <v>5</v>
      </c>
      <c r="R1054" s="2">
        <v>-120.372</v>
      </c>
      <c r="S1054" t="s">
        <v>83</v>
      </c>
      <c r="T1054" s="10">
        <v>4</v>
      </c>
      <c r="U1054" t="s">
        <v>96</v>
      </c>
    </row>
    <row r="1055" spans="1:21" x14ac:dyDescent="0.2">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s="2">
        <v>10.776</v>
      </c>
      <c r="Q1055">
        <v>3</v>
      </c>
      <c r="R1055" s="2">
        <v>-4.8491999999999997</v>
      </c>
      <c r="S1055" t="s">
        <v>83</v>
      </c>
      <c r="T1055" s="10">
        <v>4</v>
      </c>
      <c r="U1055" t="s">
        <v>96</v>
      </c>
    </row>
    <row r="1056" spans="1:21" x14ac:dyDescent="0.2">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s="2">
        <v>186.304</v>
      </c>
      <c r="Q1056">
        <v>4</v>
      </c>
      <c r="R1056" s="2">
        <v>13.972799999999999</v>
      </c>
      <c r="S1056" t="s">
        <v>129</v>
      </c>
      <c r="T1056" s="10">
        <v>6</v>
      </c>
      <c r="U1056" t="s">
        <v>96</v>
      </c>
    </row>
    <row r="1057" spans="1:21" x14ac:dyDescent="0.2">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s="2">
        <v>17.495999999999999</v>
      </c>
      <c r="Q1057">
        <v>9</v>
      </c>
      <c r="R1057" s="2">
        <v>-7.4358000000000004</v>
      </c>
      <c r="S1057" t="s">
        <v>430</v>
      </c>
      <c r="T1057" s="10">
        <v>0</v>
      </c>
      <c r="U1057" t="s">
        <v>34</v>
      </c>
    </row>
    <row r="1058" spans="1:21" x14ac:dyDescent="0.2">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s="2">
        <v>464.29199999999997</v>
      </c>
      <c r="Q1058">
        <v>9</v>
      </c>
      <c r="R1058" s="2">
        <v>-108.3348</v>
      </c>
      <c r="S1058" t="s">
        <v>430</v>
      </c>
      <c r="T1058" s="10">
        <v>0</v>
      </c>
      <c r="U1058" t="s">
        <v>77</v>
      </c>
    </row>
    <row r="1059" spans="1:21" x14ac:dyDescent="0.2">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s="2">
        <v>101.12</v>
      </c>
      <c r="Q1059">
        <v>8</v>
      </c>
      <c r="R1059" s="2">
        <v>37.414400000000001</v>
      </c>
      <c r="S1059" t="s">
        <v>47</v>
      </c>
      <c r="T1059" s="10">
        <v>7</v>
      </c>
      <c r="U1059" t="s">
        <v>96</v>
      </c>
    </row>
    <row r="1060" spans="1:21" x14ac:dyDescent="0.2">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s="2">
        <v>30.36</v>
      </c>
      <c r="Q1060">
        <v>4</v>
      </c>
      <c r="R1060" s="2">
        <v>13.0548</v>
      </c>
      <c r="S1060" t="s">
        <v>83</v>
      </c>
      <c r="T1060" s="10">
        <v>4</v>
      </c>
      <c r="U1060" t="s">
        <v>34</v>
      </c>
    </row>
    <row r="1061" spans="1:21" x14ac:dyDescent="0.2">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s="2">
        <v>1317.492</v>
      </c>
      <c r="Q1061">
        <v>6</v>
      </c>
      <c r="R1061" s="2">
        <v>292.77600000000001</v>
      </c>
      <c r="S1061" t="s">
        <v>83</v>
      </c>
      <c r="T1061" s="10">
        <v>4</v>
      </c>
      <c r="U1061" t="s">
        <v>113</v>
      </c>
    </row>
    <row r="1062" spans="1:21" x14ac:dyDescent="0.2">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s="2">
        <v>86.26</v>
      </c>
      <c r="Q1062">
        <v>2</v>
      </c>
      <c r="R1062" s="2">
        <v>29.328399999999998</v>
      </c>
      <c r="S1062" t="s">
        <v>58</v>
      </c>
      <c r="T1062" s="10">
        <v>5</v>
      </c>
      <c r="U1062" t="s">
        <v>297</v>
      </c>
    </row>
    <row r="1063" spans="1:21" x14ac:dyDescent="0.2">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s="2">
        <v>8.5440000000000005</v>
      </c>
      <c r="Q1063">
        <v>4</v>
      </c>
      <c r="R1063" s="2">
        <v>1.9224000000000001</v>
      </c>
      <c r="S1063" t="s">
        <v>47</v>
      </c>
      <c r="T1063" s="10">
        <v>7</v>
      </c>
      <c r="U1063" t="s">
        <v>96</v>
      </c>
    </row>
    <row r="1064" spans="1:21" x14ac:dyDescent="0.2">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s="2">
        <v>842.37599999999998</v>
      </c>
      <c r="Q1064">
        <v>3</v>
      </c>
      <c r="R1064" s="2">
        <v>105.297</v>
      </c>
      <c r="S1064" t="s">
        <v>47</v>
      </c>
      <c r="T1064" s="10">
        <v>7</v>
      </c>
      <c r="U1064" t="s">
        <v>96</v>
      </c>
    </row>
    <row r="1065" spans="1:21" x14ac:dyDescent="0.2">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s="2">
        <v>212.94</v>
      </c>
      <c r="Q1065">
        <v>3</v>
      </c>
      <c r="R1065" s="2">
        <v>34.070399999999999</v>
      </c>
      <c r="S1065" t="s">
        <v>123</v>
      </c>
      <c r="T1065" s="10">
        <v>1</v>
      </c>
      <c r="U1065" t="s">
        <v>253</v>
      </c>
    </row>
    <row r="1066" spans="1:21" x14ac:dyDescent="0.2">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s="2">
        <v>569.05799999999999</v>
      </c>
      <c r="Q1066">
        <v>3</v>
      </c>
      <c r="R1066" s="2">
        <v>-178.8468</v>
      </c>
      <c r="S1066" t="s">
        <v>83</v>
      </c>
      <c r="T1066" s="10">
        <v>4</v>
      </c>
      <c r="U1066" t="s">
        <v>59</v>
      </c>
    </row>
    <row r="1067" spans="1:21" x14ac:dyDescent="0.2">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s="2">
        <v>14.224</v>
      </c>
      <c r="Q1067">
        <v>2</v>
      </c>
      <c r="R1067" s="2">
        <v>-10.3124</v>
      </c>
      <c r="S1067" t="s">
        <v>83</v>
      </c>
      <c r="T1067" s="10">
        <v>4</v>
      </c>
      <c r="U1067" t="s">
        <v>59</v>
      </c>
    </row>
    <row r="1068" spans="1:21" x14ac:dyDescent="0.2">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s="2">
        <v>1367.84</v>
      </c>
      <c r="Q1068">
        <v>8</v>
      </c>
      <c r="R1068" s="2">
        <v>259.88959999999997</v>
      </c>
      <c r="S1068" t="s">
        <v>129</v>
      </c>
      <c r="T1068" s="10">
        <v>6</v>
      </c>
      <c r="U1068" t="s">
        <v>71</v>
      </c>
    </row>
    <row r="1069" spans="1:21" x14ac:dyDescent="0.2">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s="2">
        <v>301.95999999999998</v>
      </c>
      <c r="Q1069">
        <v>2</v>
      </c>
      <c r="R1069" s="2">
        <v>33.215600000000002</v>
      </c>
      <c r="S1069" t="s">
        <v>58</v>
      </c>
      <c r="T1069" s="10">
        <v>5</v>
      </c>
      <c r="U1069" t="s">
        <v>34</v>
      </c>
    </row>
    <row r="1070" spans="1:21" x14ac:dyDescent="0.2">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s="2">
        <v>170.352</v>
      </c>
      <c r="Q1070">
        <v>3</v>
      </c>
      <c r="R1070" s="2">
        <v>-17.0352</v>
      </c>
      <c r="S1070" t="s">
        <v>58</v>
      </c>
      <c r="T1070" s="10">
        <v>5</v>
      </c>
      <c r="U1070" t="s">
        <v>71</v>
      </c>
    </row>
    <row r="1071" spans="1:21" x14ac:dyDescent="0.2">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s="2">
        <v>563.94000000000005</v>
      </c>
      <c r="Q1071">
        <v>3</v>
      </c>
      <c r="R1071" s="2">
        <v>112.788</v>
      </c>
      <c r="S1071" t="s">
        <v>129</v>
      </c>
      <c r="T1071" s="10">
        <v>6</v>
      </c>
      <c r="U1071" t="s">
        <v>34</v>
      </c>
    </row>
    <row r="1072" spans="1:21" x14ac:dyDescent="0.2">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s="2">
        <v>3504.9</v>
      </c>
      <c r="Q1072">
        <v>5</v>
      </c>
      <c r="R1072" s="2">
        <v>700.98</v>
      </c>
      <c r="S1072" t="s">
        <v>70</v>
      </c>
      <c r="T1072" s="10">
        <v>2</v>
      </c>
      <c r="U1072" t="s">
        <v>161</v>
      </c>
    </row>
    <row r="1073" spans="1:21" x14ac:dyDescent="0.2">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s="2">
        <v>328.39920000000001</v>
      </c>
      <c r="Q1073">
        <v>3</v>
      </c>
      <c r="R1073" s="2">
        <v>-91.758600000000001</v>
      </c>
      <c r="S1073" t="s">
        <v>58</v>
      </c>
      <c r="T1073" s="10">
        <v>5</v>
      </c>
      <c r="U1073" t="s">
        <v>48</v>
      </c>
    </row>
    <row r="1074" spans="1:21" x14ac:dyDescent="0.2">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s="2">
        <v>37.68</v>
      </c>
      <c r="Q1074">
        <v>2</v>
      </c>
      <c r="R1074" s="2">
        <v>15.8256</v>
      </c>
      <c r="S1074" t="s">
        <v>129</v>
      </c>
      <c r="T1074" s="10">
        <v>6</v>
      </c>
      <c r="U1074" t="s">
        <v>113</v>
      </c>
    </row>
    <row r="1075" spans="1:21" x14ac:dyDescent="0.2">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s="2">
        <v>1516.2</v>
      </c>
      <c r="Q1075">
        <v>7</v>
      </c>
      <c r="R1075" s="2">
        <v>394.21199999999999</v>
      </c>
      <c r="S1075" t="s">
        <v>58</v>
      </c>
      <c r="T1075" s="10">
        <v>5</v>
      </c>
      <c r="U1075" t="s">
        <v>77</v>
      </c>
    </row>
    <row r="1076" spans="1:21" x14ac:dyDescent="0.2">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s="2">
        <v>397.6</v>
      </c>
      <c r="Q1076">
        <v>5</v>
      </c>
      <c r="R1076" s="2">
        <v>43.735999999999997</v>
      </c>
      <c r="S1076" t="s">
        <v>33</v>
      </c>
      <c r="T1076" s="10">
        <v>3</v>
      </c>
      <c r="U1076" t="s">
        <v>34</v>
      </c>
    </row>
    <row r="1077" spans="1:21" x14ac:dyDescent="0.2">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s="2">
        <v>104.23</v>
      </c>
      <c r="Q1077">
        <v>7</v>
      </c>
      <c r="R1077" s="2">
        <v>28.142099999999999</v>
      </c>
      <c r="S1077" t="s">
        <v>83</v>
      </c>
      <c r="T1077" s="10">
        <v>4</v>
      </c>
      <c r="U1077" t="s">
        <v>253</v>
      </c>
    </row>
    <row r="1078" spans="1:21" x14ac:dyDescent="0.2">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s="2">
        <v>498.26</v>
      </c>
      <c r="Q1078">
        <v>7</v>
      </c>
      <c r="R1078" s="2">
        <v>134.53020000000001</v>
      </c>
      <c r="S1078" t="s">
        <v>430</v>
      </c>
      <c r="T1078" s="10">
        <v>0</v>
      </c>
      <c r="U1078" t="s">
        <v>77</v>
      </c>
    </row>
    <row r="1079" spans="1:21" x14ac:dyDescent="0.2">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s="2">
        <v>212.94</v>
      </c>
      <c r="Q1079">
        <v>3</v>
      </c>
      <c r="R1079" s="2">
        <v>57.4938</v>
      </c>
      <c r="S1079" t="s">
        <v>129</v>
      </c>
      <c r="T1079" s="10">
        <v>6</v>
      </c>
      <c r="U1079" t="s">
        <v>59</v>
      </c>
    </row>
    <row r="1080" spans="1:21" x14ac:dyDescent="0.2">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s="2">
        <v>353.56799999999998</v>
      </c>
      <c r="Q1080">
        <v>2</v>
      </c>
      <c r="R1080" s="2">
        <v>-44.195999999999998</v>
      </c>
      <c r="S1080" t="s">
        <v>58</v>
      </c>
      <c r="T1080" s="10">
        <v>5</v>
      </c>
      <c r="U1080" t="s">
        <v>59</v>
      </c>
    </row>
    <row r="1081" spans="1:21" x14ac:dyDescent="0.2">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s="2">
        <v>697.16</v>
      </c>
      <c r="Q1081">
        <v>5</v>
      </c>
      <c r="R1081" s="2">
        <v>8.7144999999999992</v>
      </c>
      <c r="S1081" t="s">
        <v>33</v>
      </c>
      <c r="T1081" s="10">
        <v>3</v>
      </c>
      <c r="U1081" t="s">
        <v>195</v>
      </c>
    </row>
    <row r="1082" spans="1:21" x14ac:dyDescent="0.2">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s="2">
        <v>30.93</v>
      </c>
      <c r="Q1082">
        <v>1</v>
      </c>
      <c r="R1082" s="2">
        <v>12.6813</v>
      </c>
      <c r="S1082" t="s">
        <v>33</v>
      </c>
      <c r="T1082" s="10">
        <v>3</v>
      </c>
      <c r="U1082" t="s">
        <v>195</v>
      </c>
    </row>
    <row r="1083" spans="1:21" x14ac:dyDescent="0.2">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s="2">
        <v>605.34</v>
      </c>
      <c r="Q1083">
        <v>6</v>
      </c>
      <c r="R1083" s="2">
        <v>145.2816</v>
      </c>
      <c r="S1083" t="s">
        <v>83</v>
      </c>
      <c r="T1083" s="10">
        <v>4</v>
      </c>
      <c r="U1083" t="s">
        <v>48</v>
      </c>
    </row>
    <row r="1084" spans="1:21" x14ac:dyDescent="0.2">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s="2">
        <v>210.00800000000001</v>
      </c>
      <c r="Q1084">
        <v>1</v>
      </c>
      <c r="R1084" s="2">
        <v>2.6251000000000002</v>
      </c>
      <c r="S1084" t="s">
        <v>123</v>
      </c>
      <c r="T1084" s="10">
        <v>1</v>
      </c>
      <c r="U1084" t="s">
        <v>253</v>
      </c>
    </row>
    <row r="1085" spans="1:21" x14ac:dyDescent="0.2">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s="2">
        <v>164.22</v>
      </c>
      <c r="Q1085">
        <v>3</v>
      </c>
      <c r="R1085" s="2">
        <v>50.908200000000001</v>
      </c>
      <c r="S1085" t="s">
        <v>83</v>
      </c>
      <c r="T1085" s="10">
        <v>4</v>
      </c>
      <c r="U1085" t="s">
        <v>77</v>
      </c>
    </row>
    <row r="1086" spans="1:21" x14ac:dyDescent="0.2">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s="2">
        <v>362.94</v>
      </c>
      <c r="Q1086">
        <v>3</v>
      </c>
      <c r="R1086" s="2">
        <v>36.293999999999997</v>
      </c>
      <c r="S1086" t="s">
        <v>83</v>
      </c>
      <c r="T1086" s="10">
        <v>4</v>
      </c>
      <c r="U1086" t="s">
        <v>77</v>
      </c>
    </row>
    <row r="1087" spans="1:21" x14ac:dyDescent="0.2">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s="2">
        <v>136.464</v>
      </c>
      <c r="Q1087">
        <v>2</v>
      </c>
      <c r="R1087" s="2">
        <v>15.3522</v>
      </c>
      <c r="S1087" t="s">
        <v>70</v>
      </c>
      <c r="T1087" s="10">
        <v>2</v>
      </c>
      <c r="U1087" t="s">
        <v>253</v>
      </c>
    </row>
    <row r="1088" spans="1:21" x14ac:dyDescent="0.2">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s="2">
        <v>99.372</v>
      </c>
      <c r="Q1088">
        <v>2</v>
      </c>
      <c r="R1088" s="2">
        <v>-7.0979999999999999</v>
      </c>
      <c r="S1088" t="s">
        <v>70</v>
      </c>
      <c r="T1088" s="10">
        <v>2</v>
      </c>
      <c r="U1088" t="s">
        <v>195</v>
      </c>
    </row>
    <row r="1089" spans="1:21" x14ac:dyDescent="0.2">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s="2">
        <v>33.567999999999998</v>
      </c>
      <c r="Q1089">
        <v>2</v>
      </c>
      <c r="R1089" s="2">
        <v>-5.4547999999999996</v>
      </c>
      <c r="S1089" t="s">
        <v>70</v>
      </c>
      <c r="T1089" s="10">
        <v>2</v>
      </c>
      <c r="U1089" t="s">
        <v>195</v>
      </c>
    </row>
    <row r="1090" spans="1:21" x14ac:dyDescent="0.2">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s="2">
        <v>200.79499999999999</v>
      </c>
      <c r="Q1090">
        <v>1</v>
      </c>
      <c r="R1090" s="2">
        <v>-22.948</v>
      </c>
      <c r="S1090" t="s">
        <v>33</v>
      </c>
      <c r="T1090" s="10">
        <v>3</v>
      </c>
      <c r="U1090" t="s">
        <v>77</v>
      </c>
    </row>
    <row r="1091" spans="1:21" x14ac:dyDescent="0.2">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s="2">
        <v>32.36</v>
      </c>
      <c r="Q1091">
        <v>4</v>
      </c>
      <c r="R1091" s="2">
        <v>11.6496</v>
      </c>
      <c r="S1091" t="s">
        <v>430</v>
      </c>
      <c r="T1091" s="10">
        <v>0</v>
      </c>
      <c r="U1091" t="s">
        <v>77</v>
      </c>
    </row>
    <row r="1092" spans="1:21" x14ac:dyDescent="0.2">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s="2">
        <v>27.92</v>
      </c>
      <c r="Q1092">
        <v>4</v>
      </c>
      <c r="R1092" s="2">
        <v>8.0968</v>
      </c>
      <c r="S1092" t="s">
        <v>430</v>
      </c>
      <c r="T1092" s="10">
        <v>0</v>
      </c>
      <c r="U1092" t="s">
        <v>169</v>
      </c>
    </row>
    <row r="1093" spans="1:21" x14ac:dyDescent="0.2">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s="2">
        <v>399.67200000000003</v>
      </c>
      <c r="Q1093">
        <v>7</v>
      </c>
      <c r="R1093" s="2">
        <v>-14.9877</v>
      </c>
      <c r="S1093" t="s">
        <v>430</v>
      </c>
      <c r="T1093" s="10">
        <v>0</v>
      </c>
      <c r="U1093" t="s">
        <v>169</v>
      </c>
    </row>
    <row r="1094" spans="1:21" x14ac:dyDescent="0.2">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s="2">
        <v>715.2</v>
      </c>
      <c r="Q1094">
        <v>3</v>
      </c>
      <c r="R1094" s="2">
        <v>178.8</v>
      </c>
      <c r="S1094" t="s">
        <v>70</v>
      </c>
      <c r="T1094" s="10">
        <v>2</v>
      </c>
      <c r="U1094" t="s">
        <v>34</v>
      </c>
    </row>
    <row r="1095" spans="1:21" x14ac:dyDescent="0.2">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s="2">
        <v>340.11599999999999</v>
      </c>
      <c r="Q1095">
        <v>6</v>
      </c>
      <c r="R1095" s="2">
        <v>-9.7175999999999991</v>
      </c>
      <c r="S1095" t="s">
        <v>83</v>
      </c>
      <c r="T1095" s="10">
        <v>4</v>
      </c>
      <c r="U1095" t="s">
        <v>77</v>
      </c>
    </row>
    <row r="1096" spans="1:21" x14ac:dyDescent="0.2">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s="2">
        <v>6.16</v>
      </c>
      <c r="Q1096">
        <v>2</v>
      </c>
      <c r="R1096" s="2">
        <v>2.9567999999999999</v>
      </c>
      <c r="S1096" t="s">
        <v>58</v>
      </c>
      <c r="T1096" s="10">
        <v>5</v>
      </c>
      <c r="U1096" t="s">
        <v>77</v>
      </c>
    </row>
    <row r="1097" spans="1:21" x14ac:dyDescent="0.2">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s="2">
        <v>89.991</v>
      </c>
      <c r="Q1097">
        <v>3</v>
      </c>
      <c r="R1097" s="2">
        <v>-152.9847</v>
      </c>
      <c r="S1097" t="s">
        <v>123</v>
      </c>
      <c r="T1097" s="10">
        <v>1</v>
      </c>
      <c r="U1097" t="s">
        <v>161</v>
      </c>
    </row>
    <row r="1098" spans="1:21" x14ac:dyDescent="0.2">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s="2">
        <v>966.7</v>
      </c>
      <c r="Q1098">
        <v>5</v>
      </c>
      <c r="R1098" s="2">
        <v>-13.81</v>
      </c>
      <c r="S1098" t="s">
        <v>47</v>
      </c>
      <c r="T1098" s="10">
        <v>7</v>
      </c>
      <c r="U1098" t="s">
        <v>77</v>
      </c>
    </row>
    <row r="1099" spans="1:21" x14ac:dyDescent="0.2">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s="2">
        <v>51.588000000000001</v>
      </c>
      <c r="Q1099">
        <v>1</v>
      </c>
      <c r="R1099" s="2">
        <v>-15.4764</v>
      </c>
      <c r="S1099" t="s">
        <v>83</v>
      </c>
      <c r="T1099" s="10">
        <v>4</v>
      </c>
      <c r="U1099" t="s">
        <v>96</v>
      </c>
    </row>
    <row r="1100" spans="1:21" x14ac:dyDescent="0.2">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s="2">
        <v>14.89</v>
      </c>
      <c r="Q1100">
        <v>1</v>
      </c>
      <c r="R1100" s="2">
        <v>4.0202999999999998</v>
      </c>
      <c r="S1100" t="s">
        <v>83</v>
      </c>
      <c r="T1100" s="10">
        <v>4</v>
      </c>
      <c r="U1100" t="s">
        <v>71</v>
      </c>
    </row>
    <row r="1101" spans="1:21" x14ac:dyDescent="0.2">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s="2">
        <v>2275.5</v>
      </c>
      <c r="Q1101">
        <v>10</v>
      </c>
      <c r="R1101" s="2">
        <v>386.83499999999998</v>
      </c>
      <c r="S1101" t="s">
        <v>83</v>
      </c>
      <c r="T1101" s="10">
        <v>4</v>
      </c>
      <c r="U1101" t="s">
        <v>161</v>
      </c>
    </row>
    <row r="1102" spans="1:21" x14ac:dyDescent="0.2">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s="2">
        <v>37.295999999999999</v>
      </c>
      <c r="Q1102">
        <v>2</v>
      </c>
      <c r="R1102" s="2">
        <v>-1.0656000000000001</v>
      </c>
      <c r="S1102" t="s">
        <v>83</v>
      </c>
      <c r="T1102" s="10">
        <v>4</v>
      </c>
      <c r="U1102" t="s">
        <v>34</v>
      </c>
    </row>
    <row r="1103" spans="1:21" x14ac:dyDescent="0.2">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s="2">
        <v>8.5440000000000005</v>
      </c>
      <c r="Q1103">
        <v>2</v>
      </c>
      <c r="R1103" s="2">
        <v>-7.476</v>
      </c>
      <c r="S1103" t="s">
        <v>70</v>
      </c>
      <c r="T1103" s="10">
        <v>2</v>
      </c>
      <c r="U1103" t="s">
        <v>77</v>
      </c>
    </row>
    <row r="1104" spans="1:21" x14ac:dyDescent="0.2">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s="2">
        <v>68.95</v>
      </c>
      <c r="Q1104">
        <v>5</v>
      </c>
      <c r="R1104" s="2">
        <v>28.959</v>
      </c>
      <c r="S1104" t="s">
        <v>58</v>
      </c>
      <c r="T1104" s="10">
        <v>5</v>
      </c>
      <c r="U1104" t="s">
        <v>297</v>
      </c>
    </row>
    <row r="1105" spans="1:21" x14ac:dyDescent="0.2">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s="2">
        <v>191.05799999999999</v>
      </c>
      <c r="Q1105">
        <v>3</v>
      </c>
      <c r="R1105" s="2">
        <v>-46.399799999999999</v>
      </c>
      <c r="S1105" t="s">
        <v>70</v>
      </c>
      <c r="T1105" s="10">
        <v>2</v>
      </c>
      <c r="U1105" t="s">
        <v>34</v>
      </c>
    </row>
    <row r="1106" spans="1:21" x14ac:dyDescent="0.2">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s="2">
        <v>64.959999999999994</v>
      </c>
      <c r="Q1106">
        <v>2</v>
      </c>
      <c r="R1106" s="2">
        <v>21.436800000000002</v>
      </c>
      <c r="S1106" t="s">
        <v>58</v>
      </c>
      <c r="T1106" s="10">
        <v>5</v>
      </c>
      <c r="U1106" t="s">
        <v>113</v>
      </c>
    </row>
    <row r="1107" spans="1:21" x14ac:dyDescent="0.2">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s="2">
        <v>187.05600000000001</v>
      </c>
      <c r="Q1107">
        <v>9</v>
      </c>
      <c r="R1107" s="2">
        <v>11.691000000000001</v>
      </c>
      <c r="S1107" t="s">
        <v>129</v>
      </c>
      <c r="T1107" s="10">
        <v>6</v>
      </c>
      <c r="U1107" t="s">
        <v>161</v>
      </c>
    </row>
    <row r="1108" spans="1:21" x14ac:dyDescent="0.2">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s="2">
        <v>11.808</v>
      </c>
      <c r="Q1108">
        <v>2</v>
      </c>
      <c r="R1108" s="2">
        <v>1.3284</v>
      </c>
      <c r="S1108" t="s">
        <v>33</v>
      </c>
      <c r="T1108" s="10">
        <v>3</v>
      </c>
      <c r="U1108" t="s">
        <v>48</v>
      </c>
    </row>
    <row r="1109" spans="1:21" x14ac:dyDescent="0.2">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s="2">
        <v>9.6560000000000006</v>
      </c>
      <c r="Q1109">
        <v>1</v>
      </c>
      <c r="R1109" s="2">
        <v>1.5690999999999999</v>
      </c>
      <c r="S1109" t="s">
        <v>33</v>
      </c>
      <c r="T1109" s="10">
        <v>3</v>
      </c>
      <c r="U1109" t="s">
        <v>48</v>
      </c>
    </row>
    <row r="1110" spans="1:21" x14ac:dyDescent="0.2">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s="2">
        <v>2314.116</v>
      </c>
      <c r="Q1110">
        <v>7</v>
      </c>
      <c r="R1110" s="2">
        <v>-1002.7836</v>
      </c>
      <c r="S1110" t="s">
        <v>33</v>
      </c>
      <c r="T1110" s="10">
        <v>3</v>
      </c>
      <c r="U1110" t="s">
        <v>48</v>
      </c>
    </row>
    <row r="1111" spans="1:21" x14ac:dyDescent="0.2">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s="2">
        <v>19.760000000000002</v>
      </c>
      <c r="Q1111">
        <v>2</v>
      </c>
      <c r="R1111" s="2">
        <v>5.9279999999999999</v>
      </c>
      <c r="S1111" t="s">
        <v>33</v>
      </c>
      <c r="T1111" s="10">
        <v>3</v>
      </c>
      <c r="U1111" t="s">
        <v>48</v>
      </c>
    </row>
    <row r="1112" spans="1:21" x14ac:dyDescent="0.2">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s="2">
        <v>25.08</v>
      </c>
      <c r="Q1112">
        <v>6</v>
      </c>
      <c r="R1112" s="2">
        <v>9.0288000000000004</v>
      </c>
      <c r="S1112" t="s">
        <v>58</v>
      </c>
      <c r="T1112" s="10">
        <v>5</v>
      </c>
      <c r="U1112" t="s">
        <v>96</v>
      </c>
    </row>
    <row r="1113" spans="1:21" x14ac:dyDescent="0.2">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s="2">
        <v>63.94</v>
      </c>
      <c r="Q1113">
        <v>1</v>
      </c>
      <c r="R1113" s="2">
        <v>24.936599999999999</v>
      </c>
      <c r="S1113" t="s">
        <v>83</v>
      </c>
      <c r="T1113" s="10">
        <v>4</v>
      </c>
      <c r="U1113" t="s">
        <v>77</v>
      </c>
    </row>
    <row r="1114" spans="1:21" x14ac:dyDescent="0.2">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s="2">
        <v>10.68</v>
      </c>
      <c r="Q1114">
        <v>4</v>
      </c>
      <c r="R1114" s="2">
        <v>4.0583999999999998</v>
      </c>
      <c r="S1114" t="s">
        <v>129</v>
      </c>
      <c r="T1114" s="10">
        <v>6</v>
      </c>
      <c r="U1114" t="s">
        <v>253</v>
      </c>
    </row>
    <row r="1115" spans="1:21" x14ac:dyDescent="0.2">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s="2">
        <v>279.45600000000002</v>
      </c>
      <c r="Q1115">
        <v>6</v>
      </c>
      <c r="R1115" s="2">
        <v>20.959199999999999</v>
      </c>
      <c r="S1115" t="s">
        <v>129</v>
      </c>
      <c r="T1115" s="10">
        <v>6</v>
      </c>
      <c r="U1115" t="s">
        <v>161</v>
      </c>
    </row>
    <row r="1116" spans="1:21" x14ac:dyDescent="0.2">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s="2">
        <v>198.27199999999999</v>
      </c>
      <c r="Q1116">
        <v>8</v>
      </c>
      <c r="R1116" s="2">
        <v>-32.219200000000001</v>
      </c>
      <c r="S1116" t="s">
        <v>83</v>
      </c>
      <c r="T1116" s="10">
        <v>4</v>
      </c>
      <c r="U1116" t="s">
        <v>113</v>
      </c>
    </row>
    <row r="1117" spans="1:21" x14ac:dyDescent="0.2">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s="2">
        <v>70.56</v>
      </c>
      <c r="Q1117">
        <v>6</v>
      </c>
      <c r="R1117" s="2">
        <v>23.990400000000001</v>
      </c>
      <c r="S1117" t="s">
        <v>83</v>
      </c>
      <c r="T1117" s="10">
        <v>4</v>
      </c>
      <c r="U1117" t="s">
        <v>96</v>
      </c>
    </row>
    <row r="1118" spans="1:21" x14ac:dyDescent="0.2">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s="2">
        <v>273.95999999999998</v>
      </c>
      <c r="Q1118">
        <v>2</v>
      </c>
      <c r="R1118" s="2">
        <v>71.229600000000005</v>
      </c>
      <c r="S1118" t="s">
        <v>83</v>
      </c>
      <c r="T1118" s="10">
        <v>4</v>
      </c>
      <c r="U1118" t="s">
        <v>113</v>
      </c>
    </row>
    <row r="1119" spans="1:21" x14ac:dyDescent="0.2">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s="2">
        <v>306.89999999999998</v>
      </c>
      <c r="Q1119">
        <v>3</v>
      </c>
      <c r="R1119" s="2">
        <v>79.793999999999997</v>
      </c>
      <c r="S1119" t="s">
        <v>83</v>
      </c>
      <c r="T1119" s="10">
        <v>4</v>
      </c>
      <c r="U1119" t="s">
        <v>113</v>
      </c>
    </row>
    <row r="1120" spans="1:21" x14ac:dyDescent="0.2">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s="2">
        <v>347.36099999999999</v>
      </c>
      <c r="Q1120">
        <v>7</v>
      </c>
      <c r="R1120" s="2">
        <v>-69.472200000000001</v>
      </c>
      <c r="S1120" t="s">
        <v>129</v>
      </c>
      <c r="T1120" s="10">
        <v>6</v>
      </c>
      <c r="U1120" t="s">
        <v>48</v>
      </c>
    </row>
    <row r="1121" spans="1:21" x14ac:dyDescent="0.2">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s="2">
        <v>1025.8800000000001</v>
      </c>
      <c r="Q1121">
        <v>6</v>
      </c>
      <c r="R1121" s="2">
        <v>235.95240000000001</v>
      </c>
      <c r="S1121" t="s">
        <v>129</v>
      </c>
      <c r="T1121" s="10">
        <v>6</v>
      </c>
      <c r="U1121" t="s">
        <v>34</v>
      </c>
    </row>
    <row r="1122" spans="1:21" x14ac:dyDescent="0.2">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s="2">
        <v>63.2</v>
      </c>
      <c r="Q1122">
        <v>5</v>
      </c>
      <c r="R1122" s="2">
        <v>23.384</v>
      </c>
      <c r="S1122" t="s">
        <v>430</v>
      </c>
      <c r="T1122" s="10">
        <v>0</v>
      </c>
      <c r="U1122" t="s">
        <v>77</v>
      </c>
    </row>
    <row r="1123" spans="1:21" x14ac:dyDescent="0.2">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s="2">
        <v>556.66499999999996</v>
      </c>
      <c r="Q1123">
        <v>5</v>
      </c>
      <c r="R1123" s="2">
        <v>6.5490000000000004</v>
      </c>
      <c r="S1123" t="s">
        <v>58</v>
      </c>
      <c r="T1123" s="10">
        <v>5</v>
      </c>
      <c r="U1123" t="s">
        <v>113</v>
      </c>
    </row>
    <row r="1124" spans="1:21" x14ac:dyDescent="0.2">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s="2">
        <v>111.9</v>
      </c>
      <c r="Q1124">
        <v>6</v>
      </c>
      <c r="R1124" s="2">
        <v>51.473999999999997</v>
      </c>
      <c r="S1124" t="s">
        <v>33</v>
      </c>
      <c r="T1124" s="10">
        <v>3</v>
      </c>
      <c r="U1124" t="s">
        <v>96</v>
      </c>
    </row>
    <row r="1125" spans="1:21" x14ac:dyDescent="0.2">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s="2">
        <v>599.16499999999996</v>
      </c>
      <c r="Q1125">
        <v>5</v>
      </c>
      <c r="R1125" s="2">
        <v>35.244999999999997</v>
      </c>
      <c r="S1125" t="s">
        <v>430</v>
      </c>
      <c r="T1125" s="10">
        <v>0</v>
      </c>
      <c r="U1125" t="s">
        <v>59</v>
      </c>
    </row>
    <row r="1126" spans="1:21" x14ac:dyDescent="0.2">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s="2">
        <v>31.984000000000002</v>
      </c>
      <c r="Q1126">
        <v>2</v>
      </c>
      <c r="R1126" s="2">
        <v>1.9990000000000001</v>
      </c>
      <c r="S1126" t="s">
        <v>70</v>
      </c>
      <c r="T1126" s="10">
        <v>2</v>
      </c>
      <c r="U1126" t="s">
        <v>77</v>
      </c>
    </row>
    <row r="1127" spans="1:21" x14ac:dyDescent="0.2">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s="2">
        <v>19.52</v>
      </c>
      <c r="Q1127">
        <v>2</v>
      </c>
      <c r="R1127" s="2">
        <v>5.3680000000000003</v>
      </c>
      <c r="S1127" t="s">
        <v>33</v>
      </c>
      <c r="T1127" s="10">
        <v>3</v>
      </c>
      <c r="U1127" t="s">
        <v>71</v>
      </c>
    </row>
    <row r="1128" spans="1:21" x14ac:dyDescent="0.2">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s="2">
        <v>213.21600000000001</v>
      </c>
      <c r="Q1128">
        <v>3</v>
      </c>
      <c r="R1128" s="2">
        <v>15.991199999999999</v>
      </c>
      <c r="S1128" t="s">
        <v>33</v>
      </c>
      <c r="T1128" s="10">
        <v>3</v>
      </c>
      <c r="U1128" t="s">
        <v>71</v>
      </c>
    </row>
    <row r="1129" spans="1:21" x14ac:dyDescent="0.2">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s="2">
        <v>40.56</v>
      </c>
      <c r="Q1129">
        <v>2</v>
      </c>
      <c r="R1129" s="2">
        <v>12.979200000000001</v>
      </c>
      <c r="S1129" t="s">
        <v>47</v>
      </c>
      <c r="T1129" s="10">
        <v>7</v>
      </c>
      <c r="U1129" t="s">
        <v>77</v>
      </c>
    </row>
    <row r="1130" spans="1:21" x14ac:dyDescent="0.2">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s="2">
        <v>68.459999999999994</v>
      </c>
      <c r="Q1130">
        <v>2</v>
      </c>
      <c r="R1130" s="2">
        <v>20.538</v>
      </c>
      <c r="S1130" t="s">
        <v>83</v>
      </c>
      <c r="T1130" s="10">
        <v>4</v>
      </c>
      <c r="U1130" t="s">
        <v>96</v>
      </c>
    </row>
    <row r="1131" spans="1:21" x14ac:dyDescent="0.2">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s="2">
        <v>1478.2719999999999</v>
      </c>
      <c r="Q1131">
        <v>8</v>
      </c>
      <c r="R1131" s="2">
        <v>92.391999999999996</v>
      </c>
      <c r="S1131" t="s">
        <v>70</v>
      </c>
      <c r="T1131" s="10">
        <v>2</v>
      </c>
      <c r="U1131" t="s">
        <v>77</v>
      </c>
    </row>
    <row r="1132" spans="1:21" x14ac:dyDescent="0.2">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s="2">
        <v>9.24</v>
      </c>
      <c r="Q1132">
        <v>3</v>
      </c>
      <c r="R1132" s="2">
        <v>4.4352</v>
      </c>
      <c r="S1132" t="s">
        <v>129</v>
      </c>
      <c r="T1132" s="10">
        <v>6</v>
      </c>
      <c r="U1132" t="s">
        <v>77</v>
      </c>
    </row>
    <row r="1133" spans="1:21" x14ac:dyDescent="0.2">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s="2">
        <v>181.47</v>
      </c>
      <c r="Q1133">
        <v>5</v>
      </c>
      <c r="R1133" s="2">
        <v>-320.59699999999998</v>
      </c>
      <c r="S1133" t="s">
        <v>123</v>
      </c>
      <c r="T1133" s="10">
        <v>1</v>
      </c>
      <c r="U1133" t="s">
        <v>169</v>
      </c>
    </row>
    <row r="1134" spans="1:21" x14ac:dyDescent="0.2">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s="2">
        <v>122.352</v>
      </c>
      <c r="Q1134">
        <v>3</v>
      </c>
      <c r="R1134" s="2">
        <v>13.7646</v>
      </c>
      <c r="S1134" t="s">
        <v>58</v>
      </c>
      <c r="T1134" s="10">
        <v>5</v>
      </c>
      <c r="U1134" t="s">
        <v>59</v>
      </c>
    </row>
    <row r="1135" spans="1:21" x14ac:dyDescent="0.2">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s="2">
        <v>585.55200000000002</v>
      </c>
      <c r="Q1135">
        <v>3</v>
      </c>
      <c r="R1135" s="2">
        <v>73.194000000000003</v>
      </c>
      <c r="S1135" t="s">
        <v>123</v>
      </c>
      <c r="T1135" s="10">
        <v>1</v>
      </c>
      <c r="U1135" t="s">
        <v>77</v>
      </c>
    </row>
    <row r="1136" spans="1:21" x14ac:dyDescent="0.2">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s="2">
        <v>13.36</v>
      </c>
      <c r="Q1136">
        <v>5</v>
      </c>
      <c r="R1136" s="2">
        <v>4.008</v>
      </c>
      <c r="S1136" t="s">
        <v>83</v>
      </c>
      <c r="T1136" s="10">
        <v>4</v>
      </c>
      <c r="U1136" t="s">
        <v>96</v>
      </c>
    </row>
    <row r="1137" spans="1:21" x14ac:dyDescent="0.2">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s="2">
        <v>102.018</v>
      </c>
      <c r="Q1137">
        <v>7</v>
      </c>
      <c r="R1137" s="2">
        <v>-183.63239999999999</v>
      </c>
      <c r="S1137" t="s">
        <v>83</v>
      </c>
      <c r="T1137" s="10">
        <v>4</v>
      </c>
      <c r="U1137" t="s">
        <v>96</v>
      </c>
    </row>
    <row r="1138" spans="1:21" x14ac:dyDescent="0.2">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s="2">
        <v>419.13600000000002</v>
      </c>
      <c r="Q1138">
        <v>4</v>
      </c>
      <c r="R1138" s="2">
        <v>-68.1096</v>
      </c>
      <c r="S1138" t="s">
        <v>58</v>
      </c>
      <c r="T1138" s="10">
        <v>5</v>
      </c>
      <c r="U1138" t="s">
        <v>169</v>
      </c>
    </row>
    <row r="1139" spans="1:21" x14ac:dyDescent="0.2">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s="2">
        <v>218.352</v>
      </c>
      <c r="Q1139">
        <v>3</v>
      </c>
      <c r="R1139" s="2">
        <v>-19.105799999999999</v>
      </c>
      <c r="S1139" t="s">
        <v>33</v>
      </c>
      <c r="T1139" s="10">
        <v>3</v>
      </c>
      <c r="U1139" t="s">
        <v>113</v>
      </c>
    </row>
    <row r="1140" spans="1:21" x14ac:dyDescent="0.2">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s="2">
        <v>411.33199999999999</v>
      </c>
      <c r="Q1140">
        <v>4</v>
      </c>
      <c r="R1140" s="2">
        <v>-4.8391999999999999</v>
      </c>
      <c r="S1140" t="s">
        <v>430</v>
      </c>
      <c r="T1140" s="10">
        <v>0</v>
      </c>
      <c r="U1140" t="s">
        <v>34</v>
      </c>
    </row>
    <row r="1141" spans="1:21" x14ac:dyDescent="0.2">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s="2">
        <v>664.14599999999996</v>
      </c>
      <c r="Q1141">
        <v>6</v>
      </c>
      <c r="R1141" s="2">
        <v>88.552800000000005</v>
      </c>
      <c r="S1141" t="s">
        <v>33</v>
      </c>
      <c r="T1141" s="10">
        <v>3</v>
      </c>
      <c r="U1141" t="s">
        <v>71</v>
      </c>
    </row>
    <row r="1142" spans="1:21" x14ac:dyDescent="0.2">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s="2">
        <v>3.3119999999999998</v>
      </c>
      <c r="Q1142">
        <v>1</v>
      </c>
      <c r="R1142" s="2">
        <v>0.66239999999999999</v>
      </c>
      <c r="S1142" t="s">
        <v>83</v>
      </c>
      <c r="T1142" s="10">
        <v>4</v>
      </c>
      <c r="U1142" t="s">
        <v>34</v>
      </c>
    </row>
    <row r="1143" spans="1:21" x14ac:dyDescent="0.2">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s="2">
        <v>145.9</v>
      </c>
      <c r="Q1143">
        <v>5</v>
      </c>
      <c r="R1143" s="2">
        <v>62.737000000000002</v>
      </c>
      <c r="S1143" t="s">
        <v>83</v>
      </c>
      <c r="T1143" s="10">
        <v>4</v>
      </c>
      <c r="U1143" t="s">
        <v>48</v>
      </c>
    </row>
    <row r="1144" spans="1:21" x14ac:dyDescent="0.2">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s="2">
        <v>239.96</v>
      </c>
      <c r="Q1144">
        <v>10</v>
      </c>
      <c r="R1144" s="2">
        <v>-10.284000000000001</v>
      </c>
      <c r="S1144" t="s">
        <v>58</v>
      </c>
      <c r="T1144" s="10">
        <v>5</v>
      </c>
      <c r="U1144" t="s">
        <v>96</v>
      </c>
    </row>
    <row r="1145" spans="1:21" x14ac:dyDescent="0.2">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s="2">
        <v>54.768000000000001</v>
      </c>
      <c r="Q1145">
        <v>2</v>
      </c>
      <c r="R1145" s="2">
        <v>6.8460000000000001</v>
      </c>
      <c r="S1145" t="s">
        <v>58</v>
      </c>
      <c r="T1145" s="10">
        <v>5</v>
      </c>
      <c r="U1145" t="s">
        <v>96</v>
      </c>
    </row>
    <row r="1146" spans="1:21" x14ac:dyDescent="0.2">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s="2">
        <v>181.98599999999999</v>
      </c>
      <c r="Q1146">
        <v>2</v>
      </c>
      <c r="R1146" s="2">
        <v>-54.595799999999997</v>
      </c>
      <c r="S1146" t="s">
        <v>83</v>
      </c>
      <c r="T1146" s="10">
        <v>4</v>
      </c>
      <c r="U1146" t="s">
        <v>161</v>
      </c>
    </row>
    <row r="1147" spans="1:21" x14ac:dyDescent="0.2">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s="2">
        <v>455.97</v>
      </c>
      <c r="Q1147">
        <v>6</v>
      </c>
      <c r="R1147" s="2">
        <v>-218.8656</v>
      </c>
      <c r="S1147" t="s">
        <v>129</v>
      </c>
      <c r="T1147" s="10">
        <v>6</v>
      </c>
      <c r="U1147" t="s">
        <v>96</v>
      </c>
    </row>
    <row r="1148" spans="1:21" x14ac:dyDescent="0.2">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s="2">
        <v>25.16</v>
      </c>
      <c r="Q1148">
        <v>2</v>
      </c>
      <c r="R1148" s="2">
        <v>10.5672</v>
      </c>
      <c r="S1148" t="s">
        <v>123</v>
      </c>
      <c r="T1148" s="10">
        <v>1</v>
      </c>
      <c r="U1148" t="s">
        <v>77</v>
      </c>
    </row>
    <row r="1149" spans="1:21" x14ac:dyDescent="0.2">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s="2">
        <v>67.993200000000002</v>
      </c>
      <c r="Q1149">
        <v>1</v>
      </c>
      <c r="R1149" s="2">
        <v>-12.998699999999999</v>
      </c>
      <c r="S1149" t="s">
        <v>83</v>
      </c>
      <c r="T1149" s="10">
        <v>4</v>
      </c>
      <c r="U1149" t="s">
        <v>34</v>
      </c>
    </row>
    <row r="1150" spans="1:21" x14ac:dyDescent="0.2">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s="2">
        <v>10.16</v>
      </c>
      <c r="Q1150">
        <v>2</v>
      </c>
      <c r="R1150" s="2">
        <v>3.4544000000000001</v>
      </c>
      <c r="S1150" t="s">
        <v>83</v>
      </c>
      <c r="T1150" s="10">
        <v>4</v>
      </c>
      <c r="U1150" t="s">
        <v>48</v>
      </c>
    </row>
    <row r="1151" spans="1:21" x14ac:dyDescent="0.2">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s="2">
        <v>6.16</v>
      </c>
      <c r="Q1151">
        <v>2</v>
      </c>
      <c r="R1151" s="2">
        <v>1.9712000000000001</v>
      </c>
      <c r="S1151" t="s">
        <v>83</v>
      </c>
      <c r="T1151" s="10">
        <v>4</v>
      </c>
      <c r="U1151" t="s">
        <v>96</v>
      </c>
    </row>
    <row r="1152" spans="1:21" x14ac:dyDescent="0.2">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s="2">
        <v>89.768000000000001</v>
      </c>
      <c r="Q1152">
        <v>1</v>
      </c>
      <c r="R1152" s="2">
        <v>-2.5648</v>
      </c>
      <c r="S1152" t="s">
        <v>430</v>
      </c>
      <c r="T1152" s="10">
        <v>0</v>
      </c>
      <c r="U1152" t="s">
        <v>195</v>
      </c>
    </row>
    <row r="1153" spans="1:21" x14ac:dyDescent="0.2">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s="2">
        <v>383.64</v>
      </c>
      <c r="Q1153">
        <v>6</v>
      </c>
      <c r="R1153" s="2">
        <v>122.76479999999999</v>
      </c>
      <c r="S1153" t="s">
        <v>83</v>
      </c>
      <c r="T1153" s="10">
        <v>4</v>
      </c>
      <c r="U1153" t="s">
        <v>96</v>
      </c>
    </row>
    <row r="1154" spans="1:21" x14ac:dyDescent="0.2">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s="2">
        <v>243.92</v>
      </c>
      <c r="Q1154">
        <v>5</v>
      </c>
      <c r="R1154" s="2">
        <v>-15.244999999999999</v>
      </c>
      <c r="S1154" t="s">
        <v>58</v>
      </c>
      <c r="T1154" s="10">
        <v>5</v>
      </c>
      <c r="U1154" t="s">
        <v>77</v>
      </c>
    </row>
    <row r="1155" spans="1:21" x14ac:dyDescent="0.2">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s="2">
        <v>19.98</v>
      </c>
      <c r="Q1155">
        <v>1</v>
      </c>
      <c r="R1155" s="2">
        <v>8.5914000000000001</v>
      </c>
      <c r="S1155" t="s">
        <v>83</v>
      </c>
      <c r="T1155" s="10">
        <v>4</v>
      </c>
      <c r="U1155" t="s">
        <v>48</v>
      </c>
    </row>
    <row r="1156" spans="1:21" x14ac:dyDescent="0.2">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s="2">
        <v>6.16</v>
      </c>
      <c r="Q1156">
        <v>2</v>
      </c>
      <c r="R1156" s="2">
        <v>1.9712000000000001</v>
      </c>
      <c r="S1156" t="s">
        <v>83</v>
      </c>
      <c r="T1156" s="10">
        <v>4</v>
      </c>
      <c r="U1156" t="s">
        <v>96</v>
      </c>
    </row>
    <row r="1157" spans="1:21" x14ac:dyDescent="0.2">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s="2">
        <v>245.98</v>
      </c>
      <c r="Q1157">
        <v>2</v>
      </c>
      <c r="R1157" s="2">
        <v>27.0578</v>
      </c>
      <c r="S1157" t="s">
        <v>58</v>
      </c>
      <c r="T1157" s="10">
        <v>5</v>
      </c>
      <c r="U1157" t="s">
        <v>48</v>
      </c>
    </row>
    <row r="1158" spans="1:21" x14ac:dyDescent="0.2">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s="2">
        <v>17.088000000000001</v>
      </c>
      <c r="Q1158">
        <v>2</v>
      </c>
      <c r="R1158" s="2">
        <v>1.0680000000000001</v>
      </c>
      <c r="S1158" t="s">
        <v>58</v>
      </c>
      <c r="T1158" s="10">
        <v>5</v>
      </c>
      <c r="U1158" t="s">
        <v>77</v>
      </c>
    </row>
    <row r="1159" spans="1:21" x14ac:dyDescent="0.2">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s="2">
        <v>98.391999999999996</v>
      </c>
      <c r="Q1159">
        <v>1</v>
      </c>
      <c r="R1159" s="2">
        <v>-11.069100000000001</v>
      </c>
      <c r="S1159" t="s">
        <v>58</v>
      </c>
      <c r="T1159" s="10">
        <v>5</v>
      </c>
      <c r="U1159" t="s">
        <v>77</v>
      </c>
    </row>
    <row r="1160" spans="1:21" x14ac:dyDescent="0.2">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s="2">
        <v>19.52</v>
      </c>
      <c r="Q1160">
        <v>2</v>
      </c>
      <c r="R1160" s="2">
        <v>5.3680000000000003</v>
      </c>
      <c r="S1160" t="s">
        <v>83</v>
      </c>
      <c r="T1160" s="10">
        <v>4</v>
      </c>
      <c r="U1160" t="s">
        <v>59</v>
      </c>
    </row>
    <row r="1161" spans="1:21" x14ac:dyDescent="0.2">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s="2">
        <v>201.96</v>
      </c>
      <c r="Q1161">
        <v>2</v>
      </c>
      <c r="R1161" s="2">
        <v>50.49</v>
      </c>
      <c r="S1161" t="s">
        <v>58</v>
      </c>
      <c r="T1161" s="10">
        <v>5</v>
      </c>
      <c r="U1161" t="s">
        <v>77</v>
      </c>
    </row>
    <row r="1162" spans="1:21" x14ac:dyDescent="0.2">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s="2">
        <v>68.64</v>
      </c>
      <c r="Q1162">
        <v>11</v>
      </c>
      <c r="R1162" s="2">
        <v>17.16</v>
      </c>
      <c r="S1162" t="s">
        <v>58</v>
      </c>
      <c r="T1162" s="10">
        <v>5</v>
      </c>
      <c r="U1162" t="s">
        <v>77</v>
      </c>
    </row>
    <row r="1163" spans="1:21" x14ac:dyDescent="0.2">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s="2">
        <v>6.16</v>
      </c>
      <c r="Q1163">
        <v>2</v>
      </c>
      <c r="R1163" s="2">
        <v>2.9567999999999999</v>
      </c>
      <c r="S1163" t="s">
        <v>70</v>
      </c>
      <c r="T1163" s="10">
        <v>2</v>
      </c>
      <c r="U1163" t="s">
        <v>77</v>
      </c>
    </row>
    <row r="1164" spans="1:21" x14ac:dyDescent="0.2">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s="2">
        <v>2348.8200000000002</v>
      </c>
      <c r="Q1164">
        <v>9</v>
      </c>
      <c r="R1164" s="2">
        <v>399.29939999999999</v>
      </c>
      <c r="S1164" t="s">
        <v>70</v>
      </c>
      <c r="T1164" s="10">
        <v>2</v>
      </c>
      <c r="U1164" t="s">
        <v>77</v>
      </c>
    </row>
    <row r="1165" spans="1:21" x14ac:dyDescent="0.2">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s="2">
        <v>273.55200000000002</v>
      </c>
      <c r="Q1165">
        <v>3</v>
      </c>
      <c r="R1165" s="2">
        <v>-13.6776</v>
      </c>
      <c r="S1165" t="s">
        <v>58</v>
      </c>
      <c r="T1165" s="10">
        <v>5</v>
      </c>
      <c r="U1165" t="s">
        <v>59</v>
      </c>
    </row>
    <row r="1166" spans="1:21" x14ac:dyDescent="0.2">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s="2">
        <v>815.29200000000003</v>
      </c>
      <c r="Q1166">
        <v>9</v>
      </c>
      <c r="R1166" s="2">
        <v>-339.70499999999998</v>
      </c>
      <c r="S1166" t="s">
        <v>70</v>
      </c>
      <c r="T1166" s="10">
        <v>2</v>
      </c>
      <c r="U1166" t="s">
        <v>253</v>
      </c>
    </row>
    <row r="1167" spans="1:21" x14ac:dyDescent="0.2">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s="2">
        <v>1256.22</v>
      </c>
      <c r="Q1167">
        <v>6</v>
      </c>
      <c r="R1167" s="2">
        <v>75.373199999999997</v>
      </c>
      <c r="S1167" t="s">
        <v>83</v>
      </c>
      <c r="T1167" s="10">
        <v>4</v>
      </c>
      <c r="U1167" t="s">
        <v>297</v>
      </c>
    </row>
    <row r="1168" spans="1:21" x14ac:dyDescent="0.2">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s="2">
        <v>60.84</v>
      </c>
      <c r="Q1168">
        <v>3</v>
      </c>
      <c r="R1168" s="2">
        <v>23.119199999999999</v>
      </c>
      <c r="S1168" t="s">
        <v>47</v>
      </c>
      <c r="T1168" s="10">
        <v>7</v>
      </c>
      <c r="U1168" t="s">
        <v>195</v>
      </c>
    </row>
    <row r="1169" spans="1:21" x14ac:dyDescent="0.2">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s="2">
        <v>1325.76</v>
      </c>
      <c r="Q1169">
        <v>6</v>
      </c>
      <c r="R1169" s="2">
        <v>149.148</v>
      </c>
      <c r="S1169" t="s">
        <v>129</v>
      </c>
      <c r="T1169" s="10">
        <v>6</v>
      </c>
      <c r="U1169" t="s">
        <v>96</v>
      </c>
    </row>
    <row r="1170" spans="1:21" x14ac:dyDescent="0.2">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s="2">
        <v>572.16</v>
      </c>
      <c r="Q1170">
        <v>3</v>
      </c>
      <c r="R1170" s="2">
        <v>35.76</v>
      </c>
      <c r="S1170" t="s">
        <v>129</v>
      </c>
      <c r="T1170" s="10">
        <v>6</v>
      </c>
      <c r="U1170" t="s">
        <v>96</v>
      </c>
    </row>
    <row r="1171" spans="1:21" x14ac:dyDescent="0.2">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s="2">
        <v>7.04</v>
      </c>
      <c r="Q1171">
        <v>4</v>
      </c>
      <c r="R1171" s="2">
        <v>3.0975999999999999</v>
      </c>
      <c r="S1171" t="s">
        <v>83</v>
      </c>
      <c r="T1171" s="10">
        <v>4</v>
      </c>
      <c r="U1171" t="s">
        <v>113</v>
      </c>
    </row>
    <row r="1172" spans="1:21" x14ac:dyDescent="0.2">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s="2">
        <v>74.45</v>
      </c>
      <c r="Q1172">
        <v>5</v>
      </c>
      <c r="R1172" s="2">
        <v>20.101500000000001</v>
      </c>
      <c r="S1172" t="s">
        <v>58</v>
      </c>
      <c r="T1172" s="10">
        <v>5</v>
      </c>
      <c r="U1172" t="s">
        <v>113</v>
      </c>
    </row>
    <row r="1173" spans="1:21" x14ac:dyDescent="0.2">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s="2">
        <v>192.22</v>
      </c>
      <c r="Q1173">
        <v>14</v>
      </c>
      <c r="R1173" s="2">
        <v>69.199200000000005</v>
      </c>
      <c r="S1173" t="s">
        <v>58</v>
      </c>
      <c r="T1173" s="10">
        <v>5</v>
      </c>
      <c r="U1173" t="s">
        <v>169</v>
      </c>
    </row>
    <row r="1174" spans="1:21" x14ac:dyDescent="0.2">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s="2">
        <v>1194.165</v>
      </c>
      <c r="Q1174">
        <v>5</v>
      </c>
      <c r="R1174" s="2">
        <v>210.73500000000001</v>
      </c>
      <c r="S1174" t="s">
        <v>70</v>
      </c>
      <c r="T1174" s="10">
        <v>2</v>
      </c>
      <c r="U1174" t="s">
        <v>71</v>
      </c>
    </row>
    <row r="1175" spans="1:21" x14ac:dyDescent="0.2">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s="2">
        <v>377.45</v>
      </c>
      <c r="Q1175">
        <v>5</v>
      </c>
      <c r="R1175" s="2">
        <v>-264.21499999999997</v>
      </c>
      <c r="S1175" t="s">
        <v>33</v>
      </c>
      <c r="T1175" s="10">
        <v>3</v>
      </c>
      <c r="U1175" t="s">
        <v>96</v>
      </c>
    </row>
    <row r="1176" spans="1:21" x14ac:dyDescent="0.2">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s="2">
        <v>21.44</v>
      </c>
      <c r="Q1176">
        <v>2</v>
      </c>
      <c r="R1176" s="2">
        <v>7.5039999999999996</v>
      </c>
      <c r="S1176" t="s">
        <v>47</v>
      </c>
      <c r="T1176" s="10">
        <v>7</v>
      </c>
      <c r="U1176" t="s">
        <v>77</v>
      </c>
    </row>
    <row r="1177" spans="1:21" x14ac:dyDescent="0.2">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s="2">
        <v>355.36</v>
      </c>
      <c r="Q1177">
        <v>4</v>
      </c>
      <c r="R1177" s="2">
        <v>92.393600000000006</v>
      </c>
      <c r="S1177" t="s">
        <v>70</v>
      </c>
      <c r="T1177" s="10">
        <v>2</v>
      </c>
      <c r="U1177" t="s">
        <v>59</v>
      </c>
    </row>
    <row r="1178" spans="1:21" x14ac:dyDescent="0.2">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s="2">
        <v>38.975999999999999</v>
      </c>
      <c r="Q1178">
        <v>3</v>
      </c>
      <c r="R1178" s="2">
        <v>-50.668799999999997</v>
      </c>
      <c r="S1178" t="s">
        <v>47</v>
      </c>
      <c r="T1178" s="10">
        <v>7</v>
      </c>
      <c r="U1178" t="s">
        <v>96</v>
      </c>
    </row>
    <row r="1179" spans="1:21" x14ac:dyDescent="0.2">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s="2">
        <v>129.88800000000001</v>
      </c>
      <c r="Q1179">
        <v>6</v>
      </c>
      <c r="R1179" s="2">
        <v>12.988799999999999</v>
      </c>
      <c r="S1179" t="s">
        <v>430</v>
      </c>
      <c r="T1179" s="10">
        <v>0</v>
      </c>
      <c r="U1179" t="s">
        <v>71</v>
      </c>
    </row>
    <row r="1180" spans="1:21" x14ac:dyDescent="0.2">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s="2">
        <v>275.05799999999999</v>
      </c>
      <c r="Q1180">
        <v>3</v>
      </c>
      <c r="R1180" s="2">
        <v>-90.376199999999997</v>
      </c>
      <c r="S1180" t="s">
        <v>58</v>
      </c>
      <c r="T1180" s="10">
        <v>5</v>
      </c>
      <c r="U1180" t="s">
        <v>96</v>
      </c>
    </row>
    <row r="1181" spans="1:21" x14ac:dyDescent="0.2">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s="2">
        <v>542.94000000000005</v>
      </c>
      <c r="Q1181">
        <v>3</v>
      </c>
      <c r="R1181" s="2">
        <v>141.1644</v>
      </c>
      <c r="S1181" t="s">
        <v>129</v>
      </c>
      <c r="T1181" s="10">
        <v>6</v>
      </c>
      <c r="U1181" t="s">
        <v>96</v>
      </c>
    </row>
    <row r="1182" spans="1:21" x14ac:dyDescent="0.2">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s="2">
        <v>71.087999999999994</v>
      </c>
      <c r="Q1182">
        <v>2</v>
      </c>
      <c r="R1182" s="2">
        <v>-1.7771999999999999</v>
      </c>
      <c r="S1182" t="s">
        <v>70</v>
      </c>
      <c r="T1182" s="10">
        <v>2</v>
      </c>
      <c r="U1182" t="s">
        <v>161</v>
      </c>
    </row>
    <row r="1183" spans="1:21" x14ac:dyDescent="0.2">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s="2">
        <v>136.53</v>
      </c>
      <c r="Q1183">
        <v>1</v>
      </c>
      <c r="R1183" s="2">
        <v>-52.336500000000001</v>
      </c>
      <c r="S1183" t="s">
        <v>47</v>
      </c>
      <c r="T1183" s="10">
        <v>7</v>
      </c>
      <c r="U1183" t="s">
        <v>96</v>
      </c>
    </row>
    <row r="1184" spans="1:21" x14ac:dyDescent="0.2">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s="2">
        <v>79.44</v>
      </c>
      <c r="Q1184">
        <v>3</v>
      </c>
      <c r="R1184" s="2">
        <v>30.187200000000001</v>
      </c>
      <c r="S1184" t="s">
        <v>47</v>
      </c>
      <c r="T1184" s="10">
        <v>7</v>
      </c>
      <c r="U1184" t="s">
        <v>161</v>
      </c>
    </row>
    <row r="1185" spans="1:21" x14ac:dyDescent="0.2">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s="2">
        <v>127.764</v>
      </c>
      <c r="Q1185">
        <v>2</v>
      </c>
      <c r="R1185" s="2">
        <v>21.294</v>
      </c>
      <c r="S1185" t="s">
        <v>47</v>
      </c>
      <c r="T1185" s="10">
        <v>7</v>
      </c>
      <c r="U1185" t="s">
        <v>161</v>
      </c>
    </row>
    <row r="1186" spans="1:21" x14ac:dyDescent="0.2">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s="2">
        <v>459.92</v>
      </c>
      <c r="Q1186">
        <v>4</v>
      </c>
      <c r="R1186" s="2">
        <v>41.392800000000001</v>
      </c>
      <c r="S1186" t="s">
        <v>58</v>
      </c>
      <c r="T1186" s="10">
        <v>5</v>
      </c>
      <c r="U1186" t="s">
        <v>96</v>
      </c>
    </row>
    <row r="1187" spans="1:21" x14ac:dyDescent="0.2">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s="2">
        <v>638.82000000000005</v>
      </c>
      <c r="Q1187">
        <v>9</v>
      </c>
      <c r="R1187" s="2">
        <v>185.2578</v>
      </c>
      <c r="S1187" t="s">
        <v>33</v>
      </c>
      <c r="T1187" s="10">
        <v>3</v>
      </c>
      <c r="U1187" t="s">
        <v>59</v>
      </c>
    </row>
    <row r="1188" spans="1:21" x14ac:dyDescent="0.2">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s="2">
        <v>25.16</v>
      </c>
      <c r="Q1188">
        <v>2</v>
      </c>
      <c r="R1188" s="2">
        <v>8.5543999999999993</v>
      </c>
      <c r="S1188" t="s">
        <v>33</v>
      </c>
      <c r="T1188" s="10">
        <v>3</v>
      </c>
      <c r="U1188" t="s">
        <v>59</v>
      </c>
    </row>
    <row r="1189" spans="1:21" x14ac:dyDescent="0.2">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s="2">
        <v>19.3</v>
      </c>
      <c r="Q1189">
        <v>2</v>
      </c>
      <c r="R1189" s="2">
        <v>5.79</v>
      </c>
      <c r="S1189" t="s">
        <v>58</v>
      </c>
      <c r="T1189" s="10">
        <v>5</v>
      </c>
      <c r="U1189" t="s">
        <v>169</v>
      </c>
    </row>
    <row r="1190" spans="1:21" x14ac:dyDescent="0.2">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s="2">
        <v>26.48</v>
      </c>
      <c r="Q1190">
        <v>1</v>
      </c>
      <c r="R1190" s="2">
        <v>10.0624</v>
      </c>
      <c r="S1190" t="s">
        <v>33</v>
      </c>
      <c r="T1190" s="10">
        <v>3</v>
      </c>
      <c r="U1190" t="s">
        <v>195</v>
      </c>
    </row>
    <row r="1191" spans="1:21" x14ac:dyDescent="0.2">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s="2">
        <v>21.56</v>
      </c>
      <c r="Q1191">
        <v>7</v>
      </c>
      <c r="R1191" s="2">
        <v>6.8992000000000004</v>
      </c>
      <c r="S1191" t="s">
        <v>33</v>
      </c>
      <c r="T1191" s="10">
        <v>3</v>
      </c>
      <c r="U1191" t="s">
        <v>195</v>
      </c>
    </row>
    <row r="1192" spans="1:21" x14ac:dyDescent="0.2">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s="2">
        <v>355.45499999999998</v>
      </c>
      <c r="Q1192">
        <v>3</v>
      </c>
      <c r="R1192" s="2">
        <v>-184.8366</v>
      </c>
      <c r="S1192" t="s">
        <v>129</v>
      </c>
      <c r="T1192" s="10">
        <v>6</v>
      </c>
      <c r="U1192" t="s">
        <v>161</v>
      </c>
    </row>
    <row r="1193" spans="1:21" x14ac:dyDescent="0.2">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s="2">
        <v>866.4</v>
      </c>
      <c r="Q1193">
        <v>4</v>
      </c>
      <c r="R1193" s="2">
        <v>225.26400000000001</v>
      </c>
      <c r="S1193" t="s">
        <v>47</v>
      </c>
      <c r="T1193" s="10">
        <v>7</v>
      </c>
      <c r="U1193" t="s">
        <v>297</v>
      </c>
    </row>
    <row r="1194" spans="1:21" x14ac:dyDescent="0.2">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s="2">
        <v>46.152000000000001</v>
      </c>
      <c r="Q1194">
        <v>3</v>
      </c>
      <c r="R1194" s="2">
        <v>12.1149</v>
      </c>
      <c r="S1194" t="s">
        <v>58</v>
      </c>
      <c r="T1194" s="10">
        <v>5</v>
      </c>
      <c r="U1194" t="s">
        <v>253</v>
      </c>
    </row>
    <row r="1195" spans="1:21" x14ac:dyDescent="0.2">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s="2">
        <v>54.92</v>
      </c>
      <c r="Q1195">
        <v>4</v>
      </c>
      <c r="R1195" s="2">
        <v>19.7712</v>
      </c>
      <c r="S1195" t="s">
        <v>33</v>
      </c>
      <c r="T1195" s="10">
        <v>3</v>
      </c>
      <c r="U1195" t="s">
        <v>253</v>
      </c>
    </row>
    <row r="1196" spans="1:21" x14ac:dyDescent="0.2">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s="2">
        <v>1448.82</v>
      </c>
      <c r="Q1196">
        <v>10</v>
      </c>
      <c r="R1196" s="2">
        <v>209.274</v>
      </c>
      <c r="S1196" t="s">
        <v>70</v>
      </c>
      <c r="T1196" s="10">
        <v>2</v>
      </c>
      <c r="U1196" t="s">
        <v>34</v>
      </c>
    </row>
    <row r="1197" spans="1:21" x14ac:dyDescent="0.2">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s="2">
        <v>14.91</v>
      </c>
      <c r="Q1197">
        <v>3</v>
      </c>
      <c r="R1197" s="2">
        <v>4.6220999999999997</v>
      </c>
      <c r="S1197" t="s">
        <v>83</v>
      </c>
      <c r="T1197" s="10">
        <v>4</v>
      </c>
      <c r="U1197" t="s">
        <v>77</v>
      </c>
    </row>
    <row r="1198" spans="1:21" x14ac:dyDescent="0.2">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s="2">
        <v>638.28800000000001</v>
      </c>
      <c r="Q1198">
        <v>7</v>
      </c>
      <c r="R1198" s="2">
        <v>-31.914400000000001</v>
      </c>
      <c r="S1198" t="s">
        <v>83</v>
      </c>
      <c r="T1198" s="10">
        <v>4</v>
      </c>
      <c r="U1198" t="s">
        <v>113</v>
      </c>
    </row>
    <row r="1199" spans="1:21" x14ac:dyDescent="0.2">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s="2">
        <v>112.648</v>
      </c>
      <c r="Q1199">
        <v>1</v>
      </c>
      <c r="R1199" s="2">
        <v>11.264799999999999</v>
      </c>
      <c r="S1199" t="s">
        <v>47</v>
      </c>
      <c r="T1199" s="10">
        <v>7</v>
      </c>
      <c r="U1199" t="s">
        <v>34</v>
      </c>
    </row>
    <row r="1200" spans="1:21" x14ac:dyDescent="0.2">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s="2">
        <v>217.76400000000001</v>
      </c>
      <c r="Q1200">
        <v>6</v>
      </c>
      <c r="R1200" s="2">
        <v>-384.71640000000002</v>
      </c>
      <c r="S1200" t="s">
        <v>129</v>
      </c>
      <c r="T1200" s="10">
        <v>6</v>
      </c>
      <c r="U1200" t="s">
        <v>48</v>
      </c>
    </row>
    <row r="1201" spans="1:21" x14ac:dyDescent="0.2">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s="2">
        <v>12.32</v>
      </c>
      <c r="Q1201">
        <v>5</v>
      </c>
      <c r="R1201" s="2">
        <v>1.8480000000000001</v>
      </c>
      <c r="S1201" t="s">
        <v>83</v>
      </c>
      <c r="T1201" s="10">
        <v>4</v>
      </c>
      <c r="U1201" t="s">
        <v>113</v>
      </c>
    </row>
    <row r="1202" spans="1:21" x14ac:dyDescent="0.2">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s="2">
        <v>72.784000000000006</v>
      </c>
      <c r="Q1202">
        <v>1</v>
      </c>
      <c r="R1202" s="2">
        <v>0</v>
      </c>
      <c r="S1202" t="s">
        <v>33</v>
      </c>
      <c r="T1202" s="10">
        <v>3</v>
      </c>
      <c r="U1202" t="s">
        <v>77</v>
      </c>
    </row>
    <row r="1203" spans="1:21" x14ac:dyDescent="0.2">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s="2">
        <v>51.75</v>
      </c>
      <c r="Q1203">
        <v>1</v>
      </c>
      <c r="R1203" s="2">
        <v>15.525</v>
      </c>
      <c r="S1203" t="s">
        <v>33</v>
      </c>
      <c r="T1203" s="10">
        <v>3</v>
      </c>
      <c r="U1203" t="s">
        <v>77</v>
      </c>
    </row>
    <row r="1204" spans="1:21" x14ac:dyDescent="0.2">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s="2">
        <v>117.36</v>
      </c>
      <c r="Q1204">
        <v>4</v>
      </c>
      <c r="R1204" s="2">
        <v>36.381599999999999</v>
      </c>
      <c r="S1204" t="s">
        <v>83</v>
      </c>
      <c r="T1204" s="10">
        <v>4</v>
      </c>
      <c r="U1204" t="s">
        <v>77</v>
      </c>
    </row>
    <row r="1205" spans="1:21" x14ac:dyDescent="0.2">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s="2">
        <v>421.37200000000001</v>
      </c>
      <c r="Q1205">
        <v>2</v>
      </c>
      <c r="R1205" s="2">
        <v>-6.0195999999999996</v>
      </c>
      <c r="S1205" t="s">
        <v>58</v>
      </c>
      <c r="T1205" s="10">
        <v>5</v>
      </c>
      <c r="U1205" t="s">
        <v>253</v>
      </c>
    </row>
    <row r="1206" spans="1:21" x14ac:dyDescent="0.2">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s="2">
        <v>205.9992</v>
      </c>
      <c r="Q1206">
        <v>3</v>
      </c>
      <c r="R1206" s="2">
        <v>-27.264600000000002</v>
      </c>
      <c r="S1206" t="s">
        <v>129</v>
      </c>
      <c r="T1206" s="10">
        <v>6</v>
      </c>
      <c r="U1206" t="s">
        <v>34</v>
      </c>
    </row>
    <row r="1207" spans="1:21" x14ac:dyDescent="0.2">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s="2">
        <v>132.22399999999999</v>
      </c>
      <c r="Q1207">
        <v>4</v>
      </c>
      <c r="R1207" s="2">
        <v>-18.180800000000001</v>
      </c>
      <c r="S1207" t="s">
        <v>58</v>
      </c>
      <c r="T1207" s="10">
        <v>5</v>
      </c>
      <c r="U1207" t="s">
        <v>297</v>
      </c>
    </row>
    <row r="1208" spans="1:21" x14ac:dyDescent="0.2">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s="2">
        <v>91.96</v>
      </c>
      <c r="Q1208">
        <v>2</v>
      </c>
      <c r="R1208" s="2">
        <v>15.6332</v>
      </c>
      <c r="S1208" t="s">
        <v>83</v>
      </c>
      <c r="T1208" s="10">
        <v>4</v>
      </c>
      <c r="U1208" t="s">
        <v>195</v>
      </c>
    </row>
    <row r="1209" spans="1:21" x14ac:dyDescent="0.2">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s="2">
        <v>285.48</v>
      </c>
      <c r="Q1209">
        <v>5</v>
      </c>
      <c r="R1209" s="2">
        <v>-10.705500000000001</v>
      </c>
      <c r="S1209" t="s">
        <v>129</v>
      </c>
      <c r="T1209" s="10">
        <v>6</v>
      </c>
      <c r="U1209" t="s">
        <v>161</v>
      </c>
    </row>
    <row r="1210" spans="1:21" x14ac:dyDescent="0.2">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s="2">
        <v>90.801000000000002</v>
      </c>
      <c r="Q1210">
        <v>1</v>
      </c>
      <c r="R1210" s="2">
        <v>14.124599999999999</v>
      </c>
      <c r="S1210" t="s">
        <v>33</v>
      </c>
      <c r="T1210" s="10">
        <v>3</v>
      </c>
      <c r="U1210" t="s">
        <v>77</v>
      </c>
    </row>
    <row r="1211" spans="1:21" x14ac:dyDescent="0.2">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s="2">
        <v>181.76400000000001</v>
      </c>
      <c r="Q1211">
        <v>2</v>
      </c>
      <c r="R1211" s="2">
        <v>-8.0784000000000002</v>
      </c>
      <c r="S1211" t="s">
        <v>33</v>
      </c>
      <c r="T1211" s="10">
        <v>3</v>
      </c>
      <c r="U1211" t="s">
        <v>77</v>
      </c>
    </row>
    <row r="1212" spans="1:21" x14ac:dyDescent="0.2">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s="2">
        <v>581.96</v>
      </c>
      <c r="Q1212">
        <v>2</v>
      </c>
      <c r="R1212" s="2">
        <v>104.75279999999999</v>
      </c>
      <c r="S1212" t="s">
        <v>83</v>
      </c>
      <c r="T1212" s="10">
        <v>4</v>
      </c>
      <c r="U1212" t="s">
        <v>96</v>
      </c>
    </row>
    <row r="1213" spans="1:21" x14ac:dyDescent="0.2">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s="2">
        <v>29.98</v>
      </c>
      <c r="Q1213">
        <v>1</v>
      </c>
      <c r="R1213" s="2">
        <v>8.0945999999999998</v>
      </c>
      <c r="S1213" t="s">
        <v>83</v>
      </c>
      <c r="T1213" s="10">
        <v>4</v>
      </c>
      <c r="U1213" t="s">
        <v>96</v>
      </c>
    </row>
    <row r="1214" spans="1:21" x14ac:dyDescent="0.2">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s="2">
        <v>363.92</v>
      </c>
      <c r="Q1214">
        <v>5</v>
      </c>
      <c r="R1214" s="2">
        <v>0</v>
      </c>
      <c r="S1214" t="s">
        <v>58</v>
      </c>
      <c r="T1214" s="10">
        <v>5</v>
      </c>
      <c r="U1214" t="s">
        <v>71</v>
      </c>
    </row>
    <row r="1215" spans="1:21" x14ac:dyDescent="0.2">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s="2">
        <v>47.98</v>
      </c>
      <c r="Q1215">
        <v>2</v>
      </c>
      <c r="R1215" s="2">
        <v>11.035399999999999</v>
      </c>
      <c r="S1215" t="s">
        <v>83</v>
      </c>
      <c r="T1215" s="10">
        <v>4</v>
      </c>
      <c r="U1215" t="s">
        <v>77</v>
      </c>
    </row>
    <row r="1216" spans="1:21" x14ac:dyDescent="0.2">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s="2">
        <v>80.959999999999994</v>
      </c>
      <c r="Q1216">
        <v>4</v>
      </c>
      <c r="R1216" s="2">
        <v>29.145600000000002</v>
      </c>
      <c r="S1216" t="s">
        <v>83</v>
      </c>
      <c r="T1216" s="10">
        <v>4</v>
      </c>
      <c r="U1216" t="s">
        <v>34</v>
      </c>
    </row>
    <row r="1217" spans="1:21" x14ac:dyDescent="0.2">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s="2">
        <v>225.56800000000001</v>
      </c>
      <c r="Q1217">
        <v>2</v>
      </c>
      <c r="R1217" s="2">
        <v>2.8195999999999999</v>
      </c>
      <c r="S1217" t="s">
        <v>83</v>
      </c>
      <c r="T1217" s="10">
        <v>4</v>
      </c>
      <c r="U1217" t="s">
        <v>34</v>
      </c>
    </row>
    <row r="1218" spans="1:21" x14ac:dyDescent="0.2">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s="2">
        <v>36.6</v>
      </c>
      <c r="Q1218">
        <v>3</v>
      </c>
      <c r="R1218" s="2">
        <v>15.372</v>
      </c>
      <c r="S1218" t="s">
        <v>83</v>
      </c>
      <c r="T1218" s="10">
        <v>4</v>
      </c>
      <c r="U1218" t="s">
        <v>34</v>
      </c>
    </row>
    <row r="1219" spans="1:21" x14ac:dyDescent="0.2">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s="2">
        <v>29.22</v>
      </c>
      <c r="Q1219">
        <v>3</v>
      </c>
      <c r="R1219" s="2">
        <v>12.8568</v>
      </c>
      <c r="S1219" t="s">
        <v>83</v>
      </c>
      <c r="T1219" s="10">
        <v>4</v>
      </c>
      <c r="U1219" t="s">
        <v>34</v>
      </c>
    </row>
    <row r="1220" spans="1:21" x14ac:dyDescent="0.2">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s="2">
        <v>14.76</v>
      </c>
      <c r="Q1220">
        <v>5</v>
      </c>
      <c r="R1220" s="2">
        <v>-11.439</v>
      </c>
      <c r="S1220" t="s">
        <v>129</v>
      </c>
      <c r="T1220" s="10">
        <v>6</v>
      </c>
      <c r="U1220" t="s">
        <v>253</v>
      </c>
    </row>
    <row r="1221" spans="1:21" x14ac:dyDescent="0.2">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s="2">
        <v>239.666</v>
      </c>
      <c r="Q1221">
        <v>2</v>
      </c>
      <c r="R1221" s="2">
        <v>14.098000000000001</v>
      </c>
      <c r="S1221" t="s">
        <v>83</v>
      </c>
      <c r="T1221" s="10">
        <v>4</v>
      </c>
      <c r="U1221" t="s">
        <v>77</v>
      </c>
    </row>
    <row r="1222" spans="1:21" x14ac:dyDescent="0.2">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s="2">
        <v>301.95999999999998</v>
      </c>
      <c r="Q1222">
        <v>2</v>
      </c>
      <c r="R1222" s="2">
        <v>45.293999999999997</v>
      </c>
      <c r="S1222" t="s">
        <v>47</v>
      </c>
      <c r="T1222" s="10">
        <v>7</v>
      </c>
      <c r="U1222" t="s">
        <v>34</v>
      </c>
    </row>
    <row r="1223" spans="1:21" x14ac:dyDescent="0.2">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s="2">
        <v>1133.3499999999999</v>
      </c>
      <c r="Q1223">
        <v>5</v>
      </c>
      <c r="R1223" s="2">
        <v>294.67099999999999</v>
      </c>
      <c r="S1223" t="s">
        <v>70</v>
      </c>
      <c r="T1223" s="10">
        <v>2</v>
      </c>
      <c r="U1223" t="s">
        <v>253</v>
      </c>
    </row>
    <row r="1224" spans="1:21" x14ac:dyDescent="0.2">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s="2">
        <v>1603.136</v>
      </c>
      <c r="Q1224">
        <v>4</v>
      </c>
      <c r="R1224" s="2">
        <v>100.196</v>
      </c>
      <c r="S1224" t="s">
        <v>58</v>
      </c>
      <c r="T1224" s="10">
        <v>5</v>
      </c>
      <c r="U1224" t="s">
        <v>34</v>
      </c>
    </row>
    <row r="1225" spans="1:21" x14ac:dyDescent="0.2">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s="2">
        <v>1293.4880000000001</v>
      </c>
      <c r="Q1225">
        <v>7</v>
      </c>
      <c r="R1225" s="2">
        <v>80.843000000000004</v>
      </c>
      <c r="S1225" t="s">
        <v>430</v>
      </c>
      <c r="T1225" s="10">
        <v>0</v>
      </c>
      <c r="U1225" t="s">
        <v>59</v>
      </c>
    </row>
    <row r="1226" spans="1:21" x14ac:dyDescent="0.2">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s="2">
        <v>127.95</v>
      </c>
      <c r="Q1226">
        <v>3</v>
      </c>
      <c r="R1226" s="2">
        <v>21.7515</v>
      </c>
      <c r="S1226" t="s">
        <v>83</v>
      </c>
      <c r="T1226" s="10">
        <v>4</v>
      </c>
      <c r="U1226" t="s">
        <v>77</v>
      </c>
    </row>
    <row r="1227" spans="1:21" x14ac:dyDescent="0.2">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s="2">
        <v>801.56799999999998</v>
      </c>
      <c r="Q1227">
        <v>2</v>
      </c>
      <c r="R1227" s="2">
        <v>50.097999999999999</v>
      </c>
      <c r="S1227" t="s">
        <v>83</v>
      </c>
      <c r="T1227" s="10">
        <v>4</v>
      </c>
      <c r="U1227" t="s">
        <v>77</v>
      </c>
    </row>
    <row r="1228" spans="1:21" x14ac:dyDescent="0.2">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s="2">
        <v>885.52800000000002</v>
      </c>
      <c r="Q1228">
        <v>9</v>
      </c>
      <c r="R1228" s="2">
        <v>-99.621899999999997</v>
      </c>
      <c r="S1228" t="s">
        <v>83</v>
      </c>
      <c r="T1228" s="10">
        <v>4</v>
      </c>
      <c r="U1228" t="s">
        <v>77</v>
      </c>
    </row>
    <row r="1229" spans="1:21" x14ac:dyDescent="0.2">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s="2">
        <v>28.28</v>
      </c>
      <c r="Q1229">
        <v>2</v>
      </c>
      <c r="R1229" s="2">
        <v>7.3528000000000002</v>
      </c>
      <c r="S1229" t="s">
        <v>70</v>
      </c>
      <c r="T1229" s="10">
        <v>2</v>
      </c>
      <c r="U1229" t="s">
        <v>195</v>
      </c>
    </row>
    <row r="1230" spans="1:21" x14ac:dyDescent="0.2">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s="2">
        <v>71.12</v>
      </c>
      <c r="Q1230">
        <v>4</v>
      </c>
      <c r="R1230" s="2">
        <v>22.0472</v>
      </c>
      <c r="S1230" t="s">
        <v>129</v>
      </c>
      <c r="T1230" s="10">
        <v>6</v>
      </c>
      <c r="U1230" t="s">
        <v>113</v>
      </c>
    </row>
    <row r="1231" spans="1:21" x14ac:dyDescent="0.2">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s="2">
        <v>31.56</v>
      </c>
      <c r="Q1231">
        <v>3</v>
      </c>
      <c r="R1231" s="2">
        <v>10.4148</v>
      </c>
      <c r="S1231" t="s">
        <v>58</v>
      </c>
      <c r="T1231" s="10">
        <v>5</v>
      </c>
      <c r="U1231" t="s">
        <v>34</v>
      </c>
    </row>
    <row r="1232" spans="1:21" x14ac:dyDescent="0.2">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s="2">
        <v>14.52</v>
      </c>
      <c r="Q1232">
        <v>3</v>
      </c>
      <c r="R1232" s="2">
        <v>5.6627999999999998</v>
      </c>
      <c r="S1232" t="s">
        <v>58</v>
      </c>
      <c r="T1232" s="10">
        <v>5</v>
      </c>
      <c r="U1232" t="s">
        <v>96</v>
      </c>
    </row>
    <row r="1233" spans="1:21" x14ac:dyDescent="0.2">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s="2">
        <v>199.76400000000001</v>
      </c>
      <c r="Q1233">
        <v>2</v>
      </c>
      <c r="R1233" s="2">
        <v>8.8783999999999992</v>
      </c>
      <c r="S1233" t="s">
        <v>129</v>
      </c>
      <c r="T1233" s="10">
        <v>6</v>
      </c>
      <c r="U1233" t="s">
        <v>77</v>
      </c>
    </row>
    <row r="1234" spans="1:21" x14ac:dyDescent="0.2">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s="2">
        <v>4228.7039999999997</v>
      </c>
      <c r="Q1234">
        <v>6</v>
      </c>
      <c r="R1234" s="2">
        <v>158.57640000000001</v>
      </c>
      <c r="S1234" t="s">
        <v>129</v>
      </c>
      <c r="T1234" s="10">
        <v>6</v>
      </c>
      <c r="U1234" t="s">
        <v>77</v>
      </c>
    </row>
    <row r="1235" spans="1:21" x14ac:dyDescent="0.2">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s="2">
        <v>2003.92</v>
      </c>
      <c r="Q1235">
        <v>5</v>
      </c>
      <c r="R1235" s="2">
        <v>-25.048999999999999</v>
      </c>
      <c r="S1235" t="s">
        <v>129</v>
      </c>
      <c r="T1235" s="10">
        <v>6</v>
      </c>
      <c r="U1235" t="s">
        <v>77</v>
      </c>
    </row>
    <row r="1236" spans="1:21" x14ac:dyDescent="0.2">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s="2">
        <v>313.17599999999999</v>
      </c>
      <c r="Q1236">
        <v>2</v>
      </c>
      <c r="R1236" s="2">
        <v>-120.0508</v>
      </c>
      <c r="S1236" t="s">
        <v>83</v>
      </c>
      <c r="T1236" s="10">
        <v>4</v>
      </c>
      <c r="U1236" t="s">
        <v>34</v>
      </c>
    </row>
    <row r="1237" spans="1:21" x14ac:dyDescent="0.2">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s="2">
        <v>1215.92</v>
      </c>
      <c r="Q1237">
        <v>8</v>
      </c>
      <c r="R1237" s="2">
        <v>316.13920000000002</v>
      </c>
      <c r="S1237" t="s">
        <v>83</v>
      </c>
      <c r="T1237" s="10">
        <v>4</v>
      </c>
      <c r="U1237" t="s">
        <v>113</v>
      </c>
    </row>
    <row r="1238" spans="1:21" x14ac:dyDescent="0.2">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s="2">
        <v>8.92</v>
      </c>
      <c r="Q1238">
        <v>4</v>
      </c>
      <c r="R1238" s="2">
        <v>3.9247999999999998</v>
      </c>
      <c r="S1238" t="s">
        <v>83</v>
      </c>
      <c r="T1238" s="10">
        <v>4</v>
      </c>
      <c r="U1238" t="s">
        <v>48</v>
      </c>
    </row>
    <row r="1239" spans="1:21" x14ac:dyDescent="0.2">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s="2">
        <v>87.21</v>
      </c>
      <c r="Q1239">
        <v>3</v>
      </c>
      <c r="R1239" s="2">
        <v>-45.349200000000003</v>
      </c>
      <c r="S1239" t="s">
        <v>70</v>
      </c>
      <c r="T1239" s="10">
        <v>2</v>
      </c>
      <c r="U1239" t="s">
        <v>71</v>
      </c>
    </row>
    <row r="1240" spans="1:21" x14ac:dyDescent="0.2">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s="2">
        <v>25.4</v>
      </c>
      <c r="Q1240">
        <v>5</v>
      </c>
      <c r="R1240" s="2">
        <v>8.6359999999999992</v>
      </c>
      <c r="S1240" t="s">
        <v>430</v>
      </c>
      <c r="T1240" s="10">
        <v>0</v>
      </c>
      <c r="U1240" t="s">
        <v>71</v>
      </c>
    </row>
    <row r="1241" spans="1:21" x14ac:dyDescent="0.2">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s="2">
        <v>6.28</v>
      </c>
      <c r="Q1241">
        <v>1</v>
      </c>
      <c r="R1241" s="2">
        <v>2.6375999999999999</v>
      </c>
      <c r="S1241" t="s">
        <v>83</v>
      </c>
      <c r="T1241" s="10">
        <v>4</v>
      </c>
      <c r="U1241" t="s">
        <v>253</v>
      </c>
    </row>
    <row r="1242" spans="1:21" x14ac:dyDescent="0.2">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s="2">
        <v>23.968</v>
      </c>
      <c r="Q1242">
        <v>2</v>
      </c>
      <c r="R1242" s="2">
        <v>7.7896000000000001</v>
      </c>
      <c r="S1242" t="s">
        <v>83</v>
      </c>
      <c r="T1242" s="10">
        <v>4</v>
      </c>
      <c r="U1242" t="s">
        <v>34</v>
      </c>
    </row>
    <row r="1243" spans="1:21" x14ac:dyDescent="0.2">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s="2">
        <v>521.96</v>
      </c>
      <c r="Q1243">
        <v>4</v>
      </c>
      <c r="R1243" s="2">
        <v>-250.54079999999999</v>
      </c>
      <c r="S1243" t="s">
        <v>83</v>
      </c>
      <c r="T1243" s="10">
        <v>4</v>
      </c>
      <c r="U1243" t="s">
        <v>34</v>
      </c>
    </row>
    <row r="1244" spans="1:21" x14ac:dyDescent="0.2">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s="2">
        <v>770.35199999999998</v>
      </c>
      <c r="Q1244">
        <v>3</v>
      </c>
      <c r="R1244" s="2">
        <v>77.035200000000003</v>
      </c>
      <c r="S1244" t="s">
        <v>33</v>
      </c>
      <c r="T1244" s="10">
        <v>3</v>
      </c>
      <c r="U1244" t="s">
        <v>195</v>
      </c>
    </row>
    <row r="1245" spans="1:21" x14ac:dyDescent="0.2">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s="2">
        <v>21.12</v>
      </c>
      <c r="Q1245">
        <v>4</v>
      </c>
      <c r="R1245" s="2">
        <v>6.5472000000000001</v>
      </c>
      <c r="S1245" t="s">
        <v>58</v>
      </c>
      <c r="T1245" s="10">
        <v>5</v>
      </c>
      <c r="U1245" t="s">
        <v>297</v>
      </c>
    </row>
    <row r="1246" spans="1:21" x14ac:dyDescent="0.2">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s="2">
        <v>43.02</v>
      </c>
      <c r="Q1246">
        <v>3</v>
      </c>
      <c r="R1246" s="2">
        <v>15.4872</v>
      </c>
      <c r="S1246" t="s">
        <v>70</v>
      </c>
      <c r="T1246" s="10">
        <v>2</v>
      </c>
      <c r="U1246" t="s">
        <v>71</v>
      </c>
    </row>
    <row r="1247" spans="1:21" x14ac:dyDescent="0.2">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s="2">
        <v>240.78399999999999</v>
      </c>
      <c r="Q1247">
        <v>1</v>
      </c>
      <c r="R1247" s="2">
        <v>30.097999999999999</v>
      </c>
      <c r="S1247" t="s">
        <v>58</v>
      </c>
      <c r="T1247" s="10">
        <v>5</v>
      </c>
      <c r="U1247" t="s">
        <v>297</v>
      </c>
    </row>
    <row r="1248" spans="1:21" x14ac:dyDescent="0.2">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s="2">
        <v>429.9</v>
      </c>
      <c r="Q1248">
        <v>5</v>
      </c>
      <c r="R1248" s="2">
        <v>111.774</v>
      </c>
      <c r="S1248" t="s">
        <v>129</v>
      </c>
      <c r="T1248" s="10">
        <v>6</v>
      </c>
      <c r="U1248" t="s">
        <v>77</v>
      </c>
    </row>
    <row r="1249" spans="1:21" x14ac:dyDescent="0.2">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s="2">
        <v>161.96</v>
      </c>
      <c r="Q1249">
        <v>2</v>
      </c>
      <c r="R1249" s="2">
        <v>45.348799999999997</v>
      </c>
      <c r="S1249" t="s">
        <v>129</v>
      </c>
      <c r="T1249" s="10">
        <v>6</v>
      </c>
      <c r="U1249" t="s">
        <v>77</v>
      </c>
    </row>
    <row r="1250" spans="1:21" x14ac:dyDescent="0.2">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s="2">
        <v>185.58</v>
      </c>
      <c r="Q1250">
        <v>6</v>
      </c>
      <c r="R1250" s="2">
        <v>76.087800000000001</v>
      </c>
      <c r="S1250" t="s">
        <v>129</v>
      </c>
      <c r="T1250" s="10">
        <v>6</v>
      </c>
      <c r="U1250" t="s">
        <v>71</v>
      </c>
    </row>
    <row r="1251" spans="1:21" x14ac:dyDescent="0.2">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s="2">
        <v>504.9</v>
      </c>
      <c r="Q1251">
        <v>5</v>
      </c>
      <c r="R1251" s="2">
        <v>126.22499999999999</v>
      </c>
      <c r="S1251" t="s">
        <v>129</v>
      </c>
      <c r="T1251" s="10">
        <v>6</v>
      </c>
      <c r="U1251" t="s">
        <v>71</v>
      </c>
    </row>
    <row r="1252" spans="1:21" x14ac:dyDescent="0.2">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s="2">
        <v>184.75200000000001</v>
      </c>
      <c r="Q1252">
        <v>3</v>
      </c>
      <c r="R1252" s="2">
        <v>-20.784600000000001</v>
      </c>
      <c r="S1252" t="s">
        <v>129</v>
      </c>
      <c r="T1252" s="10">
        <v>6</v>
      </c>
      <c r="U1252" t="s">
        <v>77</v>
      </c>
    </row>
    <row r="1253" spans="1:21" x14ac:dyDescent="0.2">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s="2">
        <v>458.43</v>
      </c>
      <c r="Q1253">
        <v>5</v>
      </c>
      <c r="R1253" s="2">
        <v>-137.529</v>
      </c>
      <c r="S1253" t="s">
        <v>430</v>
      </c>
      <c r="T1253" s="10">
        <v>0</v>
      </c>
      <c r="U1253" t="s">
        <v>96</v>
      </c>
    </row>
    <row r="1254" spans="1:21" x14ac:dyDescent="0.2">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s="2">
        <v>328.59</v>
      </c>
      <c r="Q1254">
        <v>3</v>
      </c>
      <c r="R1254" s="2">
        <v>-147.8655</v>
      </c>
      <c r="S1254" t="s">
        <v>430</v>
      </c>
      <c r="T1254" s="10">
        <v>0</v>
      </c>
      <c r="U1254" t="s">
        <v>96</v>
      </c>
    </row>
    <row r="1255" spans="1:21" x14ac:dyDescent="0.2">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s="2">
        <v>338.35199999999998</v>
      </c>
      <c r="Q1255">
        <v>3</v>
      </c>
      <c r="R1255" s="2">
        <v>4.2294</v>
      </c>
      <c r="S1255" t="s">
        <v>83</v>
      </c>
      <c r="T1255" s="10">
        <v>4</v>
      </c>
      <c r="U1255" t="s">
        <v>96</v>
      </c>
    </row>
    <row r="1256" spans="1:21" x14ac:dyDescent="0.2">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s="2">
        <v>87.96</v>
      </c>
      <c r="Q1256">
        <v>3</v>
      </c>
      <c r="R1256" s="2">
        <v>7.6965000000000003</v>
      </c>
      <c r="S1256" t="s">
        <v>83</v>
      </c>
      <c r="T1256" s="10">
        <v>4</v>
      </c>
      <c r="U1256" t="s">
        <v>96</v>
      </c>
    </row>
    <row r="1257" spans="1:21" x14ac:dyDescent="0.2">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s="2">
        <v>19.760000000000002</v>
      </c>
      <c r="Q1257">
        <v>4</v>
      </c>
      <c r="R1257" s="2">
        <v>8.2992000000000008</v>
      </c>
      <c r="S1257" t="s">
        <v>83</v>
      </c>
      <c r="T1257" s="10">
        <v>4</v>
      </c>
      <c r="U1257" t="s">
        <v>77</v>
      </c>
    </row>
    <row r="1258" spans="1:21" x14ac:dyDescent="0.2">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s="2">
        <v>109.764</v>
      </c>
      <c r="Q1258">
        <v>2</v>
      </c>
      <c r="R1258" s="2">
        <v>8.5372000000000003</v>
      </c>
      <c r="S1258" t="s">
        <v>58</v>
      </c>
      <c r="T1258" s="10">
        <v>5</v>
      </c>
      <c r="U1258" t="s">
        <v>34</v>
      </c>
    </row>
    <row r="1259" spans="1:21" x14ac:dyDescent="0.2">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s="2">
        <v>127.95</v>
      </c>
      <c r="Q1259">
        <v>3</v>
      </c>
      <c r="R1259" s="2">
        <v>21.7515</v>
      </c>
      <c r="S1259" t="s">
        <v>70</v>
      </c>
      <c r="T1259" s="10">
        <v>2</v>
      </c>
      <c r="U1259" t="s">
        <v>113</v>
      </c>
    </row>
    <row r="1260" spans="1:21" x14ac:dyDescent="0.2">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s="2">
        <v>91.96</v>
      </c>
      <c r="Q1260">
        <v>2</v>
      </c>
      <c r="R1260" s="2">
        <v>15.6332</v>
      </c>
      <c r="S1260" t="s">
        <v>129</v>
      </c>
      <c r="T1260" s="10">
        <v>6</v>
      </c>
      <c r="U1260" t="s">
        <v>113</v>
      </c>
    </row>
    <row r="1261" spans="1:21" x14ac:dyDescent="0.2">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s="2">
        <v>33.11</v>
      </c>
      <c r="Q1261">
        <v>7</v>
      </c>
      <c r="R1261" s="2">
        <v>12.9129</v>
      </c>
      <c r="S1261" t="s">
        <v>129</v>
      </c>
      <c r="T1261" s="10">
        <v>6</v>
      </c>
      <c r="U1261" t="s">
        <v>113</v>
      </c>
    </row>
    <row r="1262" spans="1:21" x14ac:dyDescent="0.2">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s="2">
        <v>239.24</v>
      </c>
      <c r="Q1262">
        <v>1</v>
      </c>
      <c r="R1262" s="2">
        <v>23.923999999999999</v>
      </c>
      <c r="S1262" t="s">
        <v>430</v>
      </c>
      <c r="T1262" s="10">
        <v>0</v>
      </c>
      <c r="U1262" t="s">
        <v>71</v>
      </c>
    </row>
    <row r="1263" spans="1:21" x14ac:dyDescent="0.2">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s="2">
        <v>21.12</v>
      </c>
      <c r="Q1263">
        <v>4</v>
      </c>
      <c r="R1263" s="2">
        <v>6.5472000000000001</v>
      </c>
      <c r="S1263" t="s">
        <v>47</v>
      </c>
      <c r="T1263" s="10">
        <v>7</v>
      </c>
      <c r="U1263" t="s">
        <v>96</v>
      </c>
    </row>
    <row r="1264" spans="1:21" x14ac:dyDescent="0.2">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s="2">
        <v>15.24</v>
      </c>
      <c r="Q1264">
        <v>3</v>
      </c>
      <c r="R1264" s="2">
        <v>5.1816000000000004</v>
      </c>
      <c r="S1264" t="s">
        <v>83</v>
      </c>
      <c r="T1264" s="10">
        <v>4</v>
      </c>
      <c r="U1264" t="s">
        <v>96</v>
      </c>
    </row>
    <row r="1265" spans="1:21" x14ac:dyDescent="0.2">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s="2">
        <v>42.6</v>
      </c>
      <c r="Q1265">
        <v>3</v>
      </c>
      <c r="R1265" s="2">
        <v>16.614000000000001</v>
      </c>
      <c r="S1265" t="s">
        <v>83</v>
      </c>
      <c r="T1265" s="10">
        <v>4</v>
      </c>
      <c r="U1265" t="s">
        <v>77</v>
      </c>
    </row>
    <row r="1266" spans="1:21" x14ac:dyDescent="0.2">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s="2">
        <v>14.368</v>
      </c>
      <c r="Q1266">
        <v>2</v>
      </c>
      <c r="R1266" s="2">
        <v>3.9512</v>
      </c>
      <c r="S1266" t="s">
        <v>83</v>
      </c>
      <c r="T1266" s="10">
        <v>4</v>
      </c>
      <c r="U1266" t="s">
        <v>297</v>
      </c>
    </row>
    <row r="1267" spans="1:21" x14ac:dyDescent="0.2">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s="2">
        <v>314.35199999999998</v>
      </c>
      <c r="Q1267">
        <v>3</v>
      </c>
      <c r="R1267" s="2">
        <v>-35.364600000000003</v>
      </c>
      <c r="S1267" t="s">
        <v>58</v>
      </c>
      <c r="T1267" s="10">
        <v>5</v>
      </c>
      <c r="U1267" t="s">
        <v>161</v>
      </c>
    </row>
    <row r="1268" spans="1:21" x14ac:dyDescent="0.2">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s="2">
        <v>238.15199999999999</v>
      </c>
      <c r="Q1268">
        <v>3</v>
      </c>
      <c r="R1268" s="2">
        <v>89.307000000000002</v>
      </c>
      <c r="S1268" t="s">
        <v>58</v>
      </c>
      <c r="T1268" s="10">
        <v>5</v>
      </c>
      <c r="U1268" t="s">
        <v>77</v>
      </c>
    </row>
    <row r="1269" spans="1:21" x14ac:dyDescent="0.2">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s="2">
        <v>692.94</v>
      </c>
      <c r="Q1269">
        <v>3</v>
      </c>
      <c r="R1269" s="2">
        <v>173.23500000000001</v>
      </c>
      <c r="S1269" t="s">
        <v>47</v>
      </c>
      <c r="T1269" s="10">
        <v>7</v>
      </c>
      <c r="U1269" t="s">
        <v>59</v>
      </c>
    </row>
    <row r="1270" spans="1:21" x14ac:dyDescent="0.2">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s="2">
        <v>28</v>
      </c>
      <c r="Q1270">
        <v>4</v>
      </c>
      <c r="R1270" s="2">
        <v>7.7</v>
      </c>
      <c r="S1270" t="s">
        <v>33</v>
      </c>
      <c r="T1270" s="10">
        <v>3</v>
      </c>
      <c r="U1270" t="s">
        <v>77</v>
      </c>
    </row>
    <row r="1271" spans="1:21" x14ac:dyDescent="0.2">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s="2">
        <v>518.27200000000005</v>
      </c>
      <c r="Q1271">
        <v>8</v>
      </c>
      <c r="R1271" s="2">
        <v>-97.176000000000002</v>
      </c>
      <c r="S1271" t="s">
        <v>83</v>
      </c>
      <c r="T1271" s="10">
        <v>4</v>
      </c>
      <c r="U1271" t="s">
        <v>161</v>
      </c>
    </row>
    <row r="1272" spans="1:21" x14ac:dyDescent="0.2">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s="2">
        <v>6.98</v>
      </c>
      <c r="Q1272">
        <v>1</v>
      </c>
      <c r="R1272" s="2">
        <v>3.3504</v>
      </c>
      <c r="S1272" t="s">
        <v>83</v>
      </c>
      <c r="T1272" s="10">
        <v>4</v>
      </c>
      <c r="U1272" t="s">
        <v>161</v>
      </c>
    </row>
    <row r="1273" spans="1:21" x14ac:dyDescent="0.2">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s="2">
        <v>191.82</v>
      </c>
      <c r="Q1273">
        <v>3</v>
      </c>
      <c r="R1273" s="2">
        <v>61.382399999999997</v>
      </c>
      <c r="S1273" t="s">
        <v>129</v>
      </c>
      <c r="T1273" s="10">
        <v>6</v>
      </c>
      <c r="U1273" t="s">
        <v>77</v>
      </c>
    </row>
    <row r="1274" spans="1:21" x14ac:dyDescent="0.2">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s="2">
        <v>25.16</v>
      </c>
      <c r="Q1274">
        <v>5</v>
      </c>
      <c r="R1274" s="2">
        <v>-11.321999999999999</v>
      </c>
      <c r="S1274" t="s">
        <v>430</v>
      </c>
      <c r="T1274" s="10">
        <v>0</v>
      </c>
      <c r="U1274" t="s">
        <v>297</v>
      </c>
    </row>
    <row r="1275" spans="1:21" x14ac:dyDescent="0.2">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s="2">
        <v>29.22</v>
      </c>
      <c r="Q1275">
        <v>3</v>
      </c>
      <c r="R1275" s="2">
        <v>12.8568</v>
      </c>
      <c r="S1275" t="s">
        <v>83</v>
      </c>
      <c r="T1275" s="10">
        <v>4</v>
      </c>
      <c r="U1275" t="s">
        <v>96</v>
      </c>
    </row>
    <row r="1276" spans="1:21" x14ac:dyDescent="0.2">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s="2">
        <v>272.64600000000002</v>
      </c>
      <c r="Q1276">
        <v>3</v>
      </c>
      <c r="R1276" s="2">
        <v>18.176400000000001</v>
      </c>
      <c r="S1276" t="s">
        <v>129</v>
      </c>
      <c r="T1276" s="10">
        <v>6</v>
      </c>
      <c r="U1276" t="s">
        <v>77</v>
      </c>
    </row>
    <row r="1277" spans="1:21" x14ac:dyDescent="0.2">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s="2">
        <v>80.991</v>
      </c>
      <c r="Q1277">
        <v>1</v>
      </c>
      <c r="R1277" s="2">
        <v>8.0991</v>
      </c>
      <c r="S1277" t="s">
        <v>129</v>
      </c>
      <c r="T1277" s="10">
        <v>6</v>
      </c>
      <c r="U1277" t="s">
        <v>77</v>
      </c>
    </row>
    <row r="1278" spans="1:21" x14ac:dyDescent="0.2">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s="2">
        <v>2888.127</v>
      </c>
      <c r="Q1278">
        <v>11</v>
      </c>
      <c r="R1278" s="2">
        <v>609.71569999999997</v>
      </c>
      <c r="S1278" t="s">
        <v>129</v>
      </c>
      <c r="T1278" s="10">
        <v>6</v>
      </c>
      <c r="U1278" t="s">
        <v>77</v>
      </c>
    </row>
    <row r="1279" spans="1:21" x14ac:dyDescent="0.2">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s="2">
        <v>2254.41</v>
      </c>
      <c r="Q1279">
        <v>5</v>
      </c>
      <c r="R1279" s="2">
        <v>375.73500000000001</v>
      </c>
      <c r="S1279" t="s">
        <v>129</v>
      </c>
      <c r="T1279" s="10">
        <v>6</v>
      </c>
      <c r="U1279" t="s">
        <v>77</v>
      </c>
    </row>
    <row r="1280" spans="1:21" x14ac:dyDescent="0.2">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s="2">
        <v>314.53199999999998</v>
      </c>
      <c r="Q1280">
        <v>2</v>
      </c>
      <c r="R1280" s="2">
        <v>-83.875200000000007</v>
      </c>
      <c r="S1280" t="s">
        <v>70</v>
      </c>
      <c r="T1280" s="10">
        <v>2</v>
      </c>
      <c r="U1280" t="s">
        <v>253</v>
      </c>
    </row>
    <row r="1281" spans="1:21" x14ac:dyDescent="0.2">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s="2">
        <v>1474.8019999999999</v>
      </c>
      <c r="Q1281">
        <v>7</v>
      </c>
      <c r="R1281" s="2">
        <v>-21.0686</v>
      </c>
      <c r="S1281" t="s">
        <v>83</v>
      </c>
      <c r="T1281" s="10">
        <v>4</v>
      </c>
      <c r="U1281" t="s">
        <v>34</v>
      </c>
    </row>
    <row r="1282" spans="1:21" x14ac:dyDescent="0.2">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s="2">
        <v>1537.0740000000001</v>
      </c>
      <c r="Q1282">
        <v>9</v>
      </c>
      <c r="R1282" s="2">
        <v>0</v>
      </c>
      <c r="S1282" t="s">
        <v>83</v>
      </c>
      <c r="T1282" s="10">
        <v>4</v>
      </c>
      <c r="U1282" t="s">
        <v>34</v>
      </c>
    </row>
    <row r="1283" spans="1:21" x14ac:dyDescent="0.2">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s="2">
        <v>449.37200000000001</v>
      </c>
      <c r="Q1283">
        <v>2</v>
      </c>
      <c r="R1283" s="2">
        <v>-12.8392</v>
      </c>
      <c r="S1283" t="s">
        <v>83</v>
      </c>
      <c r="T1283" s="10">
        <v>4</v>
      </c>
      <c r="U1283" t="s">
        <v>34</v>
      </c>
    </row>
    <row r="1284" spans="1:21" x14ac:dyDescent="0.2">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s="2">
        <v>409.21600000000001</v>
      </c>
      <c r="Q1284">
        <v>8</v>
      </c>
      <c r="R1284" s="2">
        <v>61.382399999999997</v>
      </c>
      <c r="S1284" t="s">
        <v>129</v>
      </c>
      <c r="T1284" s="10">
        <v>6</v>
      </c>
      <c r="U1284" t="s">
        <v>77</v>
      </c>
    </row>
    <row r="1285" spans="1:21" x14ac:dyDescent="0.2">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s="2">
        <v>72.587999999999994</v>
      </c>
      <c r="Q1285">
        <v>2</v>
      </c>
      <c r="R1285" s="2">
        <v>-128.2388</v>
      </c>
      <c r="S1285" t="s">
        <v>129</v>
      </c>
      <c r="T1285" s="10">
        <v>6</v>
      </c>
      <c r="U1285" t="s">
        <v>77</v>
      </c>
    </row>
    <row r="1286" spans="1:21" x14ac:dyDescent="0.2">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s="2">
        <v>327.99599999999998</v>
      </c>
      <c r="Q1286">
        <v>6</v>
      </c>
      <c r="R1286" s="2">
        <v>54.665999999999997</v>
      </c>
      <c r="S1286" t="s">
        <v>129</v>
      </c>
      <c r="T1286" s="10">
        <v>6</v>
      </c>
      <c r="U1286" t="s">
        <v>195</v>
      </c>
    </row>
    <row r="1287" spans="1:21" x14ac:dyDescent="0.2">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s="2">
        <v>767.21400000000006</v>
      </c>
      <c r="Q1287">
        <v>14</v>
      </c>
      <c r="R1287" s="2">
        <v>161.9674</v>
      </c>
      <c r="S1287" t="s">
        <v>83</v>
      </c>
      <c r="T1287" s="10">
        <v>4</v>
      </c>
      <c r="U1287" t="s">
        <v>96</v>
      </c>
    </row>
    <row r="1288" spans="1:21" x14ac:dyDescent="0.2">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s="2">
        <v>161.28</v>
      </c>
      <c r="Q1288">
        <v>2</v>
      </c>
      <c r="R1288" s="2">
        <v>12.096</v>
      </c>
      <c r="S1288" t="s">
        <v>33</v>
      </c>
      <c r="T1288" s="10">
        <v>3</v>
      </c>
      <c r="U1288" t="s">
        <v>253</v>
      </c>
    </row>
    <row r="1289" spans="1:21" x14ac:dyDescent="0.2">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s="2">
        <v>205.666</v>
      </c>
      <c r="Q1289">
        <v>2</v>
      </c>
      <c r="R1289" s="2">
        <v>-12.098000000000001</v>
      </c>
      <c r="S1289" t="s">
        <v>58</v>
      </c>
      <c r="T1289" s="10">
        <v>5</v>
      </c>
      <c r="U1289" t="s">
        <v>195</v>
      </c>
    </row>
    <row r="1290" spans="1:21" x14ac:dyDescent="0.2">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s="2">
        <v>340.70400000000001</v>
      </c>
      <c r="Q1290">
        <v>6</v>
      </c>
      <c r="R1290" s="2">
        <v>-34.070399999999999</v>
      </c>
      <c r="S1290" t="s">
        <v>33</v>
      </c>
      <c r="T1290" s="10">
        <v>3</v>
      </c>
      <c r="U1290" t="s">
        <v>96</v>
      </c>
    </row>
    <row r="1291" spans="1:21" x14ac:dyDescent="0.2">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s="2">
        <v>354.9</v>
      </c>
      <c r="Q1291">
        <v>5</v>
      </c>
      <c r="R1291" s="2">
        <v>88.724999999999994</v>
      </c>
      <c r="S1291" t="s">
        <v>33</v>
      </c>
      <c r="T1291" s="10">
        <v>3</v>
      </c>
      <c r="U1291" t="s">
        <v>113</v>
      </c>
    </row>
    <row r="1292" spans="1:21" x14ac:dyDescent="0.2">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s="2">
        <v>1198.33</v>
      </c>
      <c r="Q1292">
        <v>10</v>
      </c>
      <c r="R1292" s="2">
        <v>70.489999999999995</v>
      </c>
      <c r="S1292" t="s">
        <v>33</v>
      </c>
      <c r="T1292" s="10">
        <v>3</v>
      </c>
      <c r="U1292" t="s">
        <v>195</v>
      </c>
    </row>
    <row r="1293" spans="1:21" x14ac:dyDescent="0.2">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s="2">
        <v>51.968000000000004</v>
      </c>
      <c r="Q1293">
        <v>2</v>
      </c>
      <c r="R1293" s="2">
        <v>10.393599999999999</v>
      </c>
      <c r="S1293" t="s">
        <v>33</v>
      </c>
      <c r="T1293" s="10">
        <v>3</v>
      </c>
      <c r="U1293" t="s">
        <v>113</v>
      </c>
    </row>
    <row r="1294" spans="1:21" x14ac:dyDescent="0.2">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s="2">
        <v>42.408000000000001</v>
      </c>
      <c r="Q1294">
        <v>3</v>
      </c>
      <c r="R1294" s="2">
        <v>9.5418000000000003</v>
      </c>
      <c r="S1294" t="s">
        <v>33</v>
      </c>
      <c r="T1294" s="10">
        <v>3</v>
      </c>
      <c r="U1294" t="s">
        <v>113</v>
      </c>
    </row>
    <row r="1295" spans="1:21" x14ac:dyDescent="0.2">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s="2">
        <v>4.992</v>
      </c>
      <c r="Q1295">
        <v>3</v>
      </c>
      <c r="R1295" s="2">
        <v>1.3728</v>
      </c>
      <c r="S1295" t="s">
        <v>70</v>
      </c>
      <c r="T1295" s="10">
        <v>2</v>
      </c>
      <c r="U1295" t="s">
        <v>195</v>
      </c>
    </row>
    <row r="1296" spans="1:21" x14ac:dyDescent="0.2">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s="2">
        <v>20.015999999999998</v>
      </c>
      <c r="Q1296">
        <v>3</v>
      </c>
      <c r="R1296" s="2">
        <v>5.5044000000000004</v>
      </c>
      <c r="S1296" t="s">
        <v>70</v>
      </c>
      <c r="T1296" s="10">
        <v>2</v>
      </c>
      <c r="U1296" t="s">
        <v>195</v>
      </c>
    </row>
    <row r="1297" spans="1:21" x14ac:dyDescent="0.2">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s="2">
        <v>1690.04</v>
      </c>
      <c r="Q1297">
        <v>4</v>
      </c>
      <c r="R1297" s="2">
        <v>422.51</v>
      </c>
      <c r="S1297" t="s">
        <v>58</v>
      </c>
      <c r="T1297" s="10">
        <v>5</v>
      </c>
      <c r="U1297" t="s">
        <v>77</v>
      </c>
    </row>
    <row r="1298" spans="1:21" x14ac:dyDescent="0.2">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s="2">
        <v>403.92</v>
      </c>
      <c r="Q1298">
        <v>5</v>
      </c>
      <c r="R1298" s="2">
        <v>25.245000000000001</v>
      </c>
      <c r="S1298" t="s">
        <v>70</v>
      </c>
      <c r="T1298" s="10">
        <v>2</v>
      </c>
      <c r="U1298" t="s">
        <v>96</v>
      </c>
    </row>
    <row r="1299" spans="1:21" x14ac:dyDescent="0.2">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s="2">
        <v>799.56</v>
      </c>
      <c r="Q1299">
        <v>9</v>
      </c>
      <c r="R1299" s="2">
        <v>207.88560000000001</v>
      </c>
      <c r="S1299" t="s">
        <v>83</v>
      </c>
      <c r="T1299" s="10">
        <v>4</v>
      </c>
      <c r="U1299" t="s">
        <v>96</v>
      </c>
    </row>
    <row r="1300" spans="1:21" x14ac:dyDescent="0.2">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s="2">
        <v>563.91999999999996</v>
      </c>
      <c r="Q1300">
        <v>5</v>
      </c>
      <c r="R1300" s="2">
        <v>7.0490000000000004</v>
      </c>
      <c r="S1300" t="s">
        <v>47</v>
      </c>
      <c r="T1300" s="10">
        <v>7</v>
      </c>
      <c r="U1300" t="s">
        <v>96</v>
      </c>
    </row>
    <row r="1301" spans="1:21" x14ac:dyDescent="0.2">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s="2">
        <v>7.7119999999999997</v>
      </c>
      <c r="Q1301">
        <v>2</v>
      </c>
      <c r="R1301" s="2">
        <v>1.7352000000000001</v>
      </c>
      <c r="S1301" t="s">
        <v>70</v>
      </c>
      <c r="T1301" s="10">
        <v>2</v>
      </c>
      <c r="U1301" t="s">
        <v>96</v>
      </c>
    </row>
    <row r="1302" spans="1:21" x14ac:dyDescent="0.2">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s="2">
        <v>56.686</v>
      </c>
      <c r="Q1302">
        <v>1</v>
      </c>
      <c r="R1302" s="2">
        <v>-14.5764</v>
      </c>
      <c r="S1302" t="s">
        <v>83</v>
      </c>
      <c r="T1302" s="10">
        <v>4</v>
      </c>
      <c r="U1302" t="s">
        <v>48</v>
      </c>
    </row>
    <row r="1303" spans="1:21" x14ac:dyDescent="0.2">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s="2">
        <v>65.94</v>
      </c>
      <c r="Q1303">
        <v>3</v>
      </c>
      <c r="R1303" s="2">
        <v>22.419599999999999</v>
      </c>
      <c r="S1303" t="s">
        <v>47</v>
      </c>
      <c r="T1303" s="10">
        <v>7</v>
      </c>
      <c r="U1303" t="s">
        <v>253</v>
      </c>
    </row>
    <row r="1304" spans="1:21" x14ac:dyDescent="0.2">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s="2">
        <v>68.16</v>
      </c>
      <c r="Q1304">
        <v>3</v>
      </c>
      <c r="R1304" s="2">
        <v>27.945599999999999</v>
      </c>
      <c r="S1304" t="s">
        <v>58</v>
      </c>
      <c r="T1304" s="10">
        <v>5</v>
      </c>
      <c r="U1304" t="s">
        <v>34</v>
      </c>
    </row>
    <row r="1305" spans="1:21" x14ac:dyDescent="0.2">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s="2">
        <v>72.703999999999994</v>
      </c>
      <c r="Q1305">
        <v>4</v>
      </c>
      <c r="R1305" s="2">
        <v>19.084800000000001</v>
      </c>
      <c r="S1305" t="s">
        <v>83</v>
      </c>
      <c r="T1305" s="10">
        <v>4</v>
      </c>
      <c r="U1305" t="s">
        <v>96</v>
      </c>
    </row>
    <row r="1306" spans="1:21" x14ac:dyDescent="0.2">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s="2">
        <v>66.293999999999997</v>
      </c>
      <c r="Q1306">
        <v>1</v>
      </c>
      <c r="R1306" s="2">
        <v>-103.86060000000001</v>
      </c>
      <c r="S1306" t="s">
        <v>83</v>
      </c>
      <c r="T1306" s="10">
        <v>4</v>
      </c>
      <c r="U1306" t="s">
        <v>48</v>
      </c>
    </row>
    <row r="1307" spans="1:21" x14ac:dyDescent="0.2">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s="2">
        <v>291.16800000000001</v>
      </c>
      <c r="Q1307">
        <v>4</v>
      </c>
      <c r="R1307" s="2">
        <v>-14.558400000000001</v>
      </c>
      <c r="S1307" t="s">
        <v>83</v>
      </c>
      <c r="T1307" s="10">
        <v>4</v>
      </c>
      <c r="U1307" t="s">
        <v>48</v>
      </c>
    </row>
    <row r="1308" spans="1:21" x14ac:dyDescent="0.2">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s="2">
        <v>177.56800000000001</v>
      </c>
      <c r="Q1308">
        <v>2</v>
      </c>
      <c r="R1308" s="2">
        <v>8.8783999999999992</v>
      </c>
      <c r="S1308" t="s">
        <v>430</v>
      </c>
      <c r="T1308" s="10">
        <v>0</v>
      </c>
      <c r="U1308" t="s">
        <v>77</v>
      </c>
    </row>
    <row r="1309" spans="1:21" x14ac:dyDescent="0.2">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s="2">
        <v>166.5</v>
      </c>
      <c r="Q1309">
        <v>3</v>
      </c>
      <c r="R1309" s="2">
        <v>21.645</v>
      </c>
      <c r="S1309" t="s">
        <v>83</v>
      </c>
      <c r="T1309" s="10">
        <v>4</v>
      </c>
      <c r="U1309" t="s">
        <v>96</v>
      </c>
    </row>
    <row r="1310" spans="1:21" x14ac:dyDescent="0.2">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s="2">
        <v>247.44</v>
      </c>
      <c r="Q1310">
        <v>8</v>
      </c>
      <c r="R1310" s="2">
        <v>101.4504</v>
      </c>
      <c r="S1310" t="s">
        <v>33</v>
      </c>
      <c r="T1310" s="10">
        <v>3</v>
      </c>
      <c r="U1310" t="s">
        <v>161</v>
      </c>
    </row>
    <row r="1311" spans="1:21" x14ac:dyDescent="0.2">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s="2">
        <v>22.14</v>
      </c>
      <c r="Q1311">
        <v>3</v>
      </c>
      <c r="R1311" s="2">
        <v>6.4206000000000003</v>
      </c>
      <c r="S1311" t="s">
        <v>58</v>
      </c>
      <c r="T1311" s="10">
        <v>5</v>
      </c>
      <c r="U1311" t="s">
        <v>34</v>
      </c>
    </row>
    <row r="1312" spans="1:21" x14ac:dyDescent="0.2">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s="2">
        <v>6.24</v>
      </c>
      <c r="Q1312">
        <v>3</v>
      </c>
      <c r="R1312" s="2">
        <v>2.6208</v>
      </c>
      <c r="S1312" t="s">
        <v>129</v>
      </c>
      <c r="T1312" s="10">
        <v>6</v>
      </c>
      <c r="U1312" t="s">
        <v>161</v>
      </c>
    </row>
    <row r="1313" spans="1:21" x14ac:dyDescent="0.2">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s="2">
        <v>21.36</v>
      </c>
      <c r="Q1313">
        <v>8</v>
      </c>
      <c r="R1313" s="2">
        <v>8.1167999999999996</v>
      </c>
      <c r="S1313" t="s">
        <v>129</v>
      </c>
      <c r="T1313" s="10">
        <v>6</v>
      </c>
      <c r="U1313" t="s">
        <v>77</v>
      </c>
    </row>
    <row r="1314" spans="1:21" x14ac:dyDescent="0.2">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s="2">
        <v>1159.056</v>
      </c>
      <c r="Q1314">
        <v>9</v>
      </c>
      <c r="R1314" s="2">
        <v>43.464599999999997</v>
      </c>
      <c r="S1314" t="s">
        <v>83</v>
      </c>
      <c r="T1314" s="10">
        <v>4</v>
      </c>
      <c r="U1314" t="s">
        <v>96</v>
      </c>
    </row>
    <row r="1315" spans="1:21" x14ac:dyDescent="0.2">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s="2">
        <v>12.42</v>
      </c>
      <c r="Q1315">
        <v>3</v>
      </c>
      <c r="R1315" s="2">
        <v>4.4711999999999996</v>
      </c>
      <c r="S1315" t="s">
        <v>58</v>
      </c>
      <c r="T1315" s="10">
        <v>5</v>
      </c>
      <c r="U1315" t="s">
        <v>71</v>
      </c>
    </row>
    <row r="1316" spans="1:21" x14ac:dyDescent="0.2">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s="2">
        <v>24.75</v>
      </c>
      <c r="Q1316">
        <v>5</v>
      </c>
      <c r="R1316" s="2">
        <v>10.89</v>
      </c>
      <c r="S1316" t="s">
        <v>58</v>
      </c>
      <c r="T1316" s="10">
        <v>5</v>
      </c>
      <c r="U1316" t="s">
        <v>71</v>
      </c>
    </row>
    <row r="1317" spans="1:21" x14ac:dyDescent="0.2">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s="2">
        <v>63.823999999999998</v>
      </c>
      <c r="Q1317">
        <v>2</v>
      </c>
      <c r="R1317" s="2">
        <v>9.5736000000000008</v>
      </c>
      <c r="S1317" t="s">
        <v>129</v>
      </c>
      <c r="T1317" s="10">
        <v>6</v>
      </c>
      <c r="U1317" t="s">
        <v>34</v>
      </c>
    </row>
    <row r="1318" spans="1:21" x14ac:dyDescent="0.2">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s="2">
        <v>563.24</v>
      </c>
      <c r="Q1318">
        <v>5</v>
      </c>
      <c r="R1318" s="2">
        <v>56.323999999999998</v>
      </c>
      <c r="S1318" t="s">
        <v>83</v>
      </c>
      <c r="T1318" s="10">
        <v>4</v>
      </c>
      <c r="U1318" t="s">
        <v>77</v>
      </c>
    </row>
    <row r="1319" spans="1:21" x14ac:dyDescent="0.2">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s="2">
        <v>661.17600000000004</v>
      </c>
      <c r="Q1319">
        <v>2</v>
      </c>
      <c r="R1319" s="2">
        <v>-231.41159999999999</v>
      </c>
      <c r="S1319" t="s">
        <v>58</v>
      </c>
      <c r="T1319" s="10">
        <v>5</v>
      </c>
      <c r="U1319" t="s">
        <v>48</v>
      </c>
    </row>
    <row r="1320" spans="1:21" x14ac:dyDescent="0.2">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s="2">
        <v>502.488</v>
      </c>
      <c r="Q1320">
        <v>3</v>
      </c>
      <c r="R1320" s="2">
        <v>-87.935400000000001</v>
      </c>
      <c r="S1320" t="s">
        <v>83</v>
      </c>
      <c r="T1320" s="10">
        <v>4</v>
      </c>
      <c r="U1320" t="s">
        <v>71</v>
      </c>
    </row>
    <row r="1321" spans="1:21" x14ac:dyDescent="0.2">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s="2">
        <v>915.13599999999997</v>
      </c>
      <c r="Q1321">
        <v>4</v>
      </c>
      <c r="R1321" s="2">
        <v>102.9528</v>
      </c>
      <c r="S1321" t="s">
        <v>58</v>
      </c>
      <c r="T1321" s="10">
        <v>5</v>
      </c>
      <c r="U1321" t="s">
        <v>195</v>
      </c>
    </row>
    <row r="1322" spans="1:21" x14ac:dyDescent="0.2">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s="2">
        <v>327.76</v>
      </c>
      <c r="Q1322">
        <v>8</v>
      </c>
      <c r="R1322" s="2">
        <v>91.772800000000004</v>
      </c>
      <c r="S1322" t="s">
        <v>58</v>
      </c>
      <c r="T1322" s="10">
        <v>5</v>
      </c>
      <c r="U1322" t="s">
        <v>195</v>
      </c>
    </row>
    <row r="1323" spans="1:21" x14ac:dyDescent="0.2">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s="2">
        <v>701.96</v>
      </c>
      <c r="Q1323">
        <v>2</v>
      </c>
      <c r="R1323" s="2">
        <v>168.47040000000001</v>
      </c>
      <c r="S1323" t="s">
        <v>33</v>
      </c>
      <c r="T1323" s="10">
        <v>3</v>
      </c>
      <c r="U1323" t="s">
        <v>96</v>
      </c>
    </row>
    <row r="1324" spans="1:21" x14ac:dyDescent="0.2">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s="2">
        <v>25.83</v>
      </c>
      <c r="Q1324">
        <v>3</v>
      </c>
      <c r="R1324" s="2">
        <v>9.5571000000000002</v>
      </c>
      <c r="S1324" t="s">
        <v>33</v>
      </c>
      <c r="T1324" s="10">
        <v>3</v>
      </c>
      <c r="U1324" t="s">
        <v>34</v>
      </c>
    </row>
    <row r="1325" spans="1:21" x14ac:dyDescent="0.2">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s="2">
        <v>104.78400000000001</v>
      </c>
      <c r="Q1325">
        <v>1</v>
      </c>
      <c r="R1325" s="2">
        <v>-14.4078</v>
      </c>
      <c r="S1325" t="s">
        <v>70</v>
      </c>
      <c r="T1325" s="10">
        <v>2</v>
      </c>
      <c r="U1325" t="s">
        <v>34</v>
      </c>
    </row>
    <row r="1326" spans="1:21" x14ac:dyDescent="0.2">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s="2">
        <v>650.35199999999998</v>
      </c>
      <c r="Q1326">
        <v>3</v>
      </c>
      <c r="R1326" s="2">
        <v>-97.552800000000005</v>
      </c>
      <c r="S1326" t="s">
        <v>70</v>
      </c>
      <c r="T1326" s="10">
        <v>2</v>
      </c>
      <c r="U1326" t="s">
        <v>34</v>
      </c>
    </row>
    <row r="1327" spans="1:21" x14ac:dyDescent="0.2">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s="2">
        <v>127.95</v>
      </c>
      <c r="Q1327">
        <v>3</v>
      </c>
      <c r="R1327" s="2">
        <v>21.7515</v>
      </c>
      <c r="S1327" t="s">
        <v>58</v>
      </c>
      <c r="T1327" s="10">
        <v>5</v>
      </c>
      <c r="U1327" t="s">
        <v>77</v>
      </c>
    </row>
    <row r="1328" spans="1:21" x14ac:dyDescent="0.2">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s="2">
        <v>272.94</v>
      </c>
      <c r="Q1328">
        <v>3</v>
      </c>
      <c r="R1328" s="2">
        <v>30.023399999999999</v>
      </c>
      <c r="S1328" t="s">
        <v>129</v>
      </c>
      <c r="T1328" s="10">
        <v>6</v>
      </c>
      <c r="U1328" t="s">
        <v>169</v>
      </c>
    </row>
    <row r="1329" spans="1:21" x14ac:dyDescent="0.2">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s="2">
        <v>14.73</v>
      </c>
      <c r="Q1329">
        <v>3</v>
      </c>
      <c r="R1329" s="2">
        <v>4.8609</v>
      </c>
      <c r="S1329" t="s">
        <v>129</v>
      </c>
      <c r="T1329" s="10">
        <v>6</v>
      </c>
      <c r="U1329" t="s">
        <v>169</v>
      </c>
    </row>
    <row r="1330" spans="1:21" x14ac:dyDescent="0.2">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s="2">
        <v>47.04</v>
      </c>
      <c r="Q1330">
        <v>4</v>
      </c>
      <c r="R1330" s="2">
        <v>15.993600000000001</v>
      </c>
      <c r="S1330" t="s">
        <v>47</v>
      </c>
      <c r="T1330" s="10">
        <v>7</v>
      </c>
      <c r="U1330" t="s">
        <v>253</v>
      </c>
    </row>
    <row r="1331" spans="1:21" x14ac:dyDescent="0.2">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s="2">
        <v>221.38200000000001</v>
      </c>
      <c r="Q1331">
        <v>2</v>
      </c>
      <c r="R1331" s="2">
        <v>2.4598</v>
      </c>
      <c r="S1331" t="s">
        <v>83</v>
      </c>
      <c r="T1331" s="10">
        <v>4</v>
      </c>
      <c r="U1331" t="s">
        <v>48</v>
      </c>
    </row>
    <row r="1332" spans="1:21" x14ac:dyDescent="0.2">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s="2">
        <v>108.4</v>
      </c>
      <c r="Q1332">
        <v>5</v>
      </c>
      <c r="R1332" s="2">
        <v>-105.69</v>
      </c>
      <c r="S1332" t="s">
        <v>58</v>
      </c>
      <c r="T1332" s="10">
        <v>5</v>
      </c>
      <c r="U1332" t="s">
        <v>77</v>
      </c>
    </row>
    <row r="1333" spans="1:21" x14ac:dyDescent="0.2">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s="2">
        <v>38.08</v>
      </c>
      <c r="Q1333">
        <v>5</v>
      </c>
      <c r="R1333" s="2">
        <v>-29.512</v>
      </c>
      <c r="S1333" t="s">
        <v>83</v>
      </c>
      <c r="T1333" s="10">
        <v>4</v>
      </c>
      <c r="U1333" t="s">
        <v>48</v>
      </c>
    </row>
    <row r="1334" spans="1:21" x14ac:dyDescent="0.2">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s="2">
        <v>113.568</v>
      </c>
      <c r="Q1334">
        <v>2</v>
      </c>
      <c r="R1334" s="2">
        <v>12.776400000000001</v>
      </c>
      <c r="S1334" t="s">
        <v>430</v>
      </c>
      <c r="T1334" s="10">
        <v>0</v>
      </c>
      <c r="U1334" t="s">
        <v>34</v>
      </c>
    </row>
    <row r="1335" spans="1:21" x14ac:dyDescent="0.2">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s="2">
        <v>83.92</v>
      </c>
      <c r="Q1335">
        <v>4</v>
      </c>
      <c r="R1335" s="2">
        <v>21.819199999999999</v>
      </c>
      <c r="S1335" t="s">
        <v>70</v>
      </c>
      <c r="T1335" s="10">
        <v>2</v>
      </c>
      <c r="U1335" t="s">
        <v>48</v>
      </c>
    </row>
    <row r="1336" spans="1:21" x14ac:dyDescent="0.2">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s="2">
        <v>561.58399999999995</v>
      </c>
      <c r="Q1336">
        <v>2</v>
      </c>
      <c r="R1336" s="2">
        <v>70.197999999999993</v>
      </c>
      <c r="S1336" t="s">
        <v>83</v>
      </c>
      <c r="T1336" s="10">
        <v>4</v>
      </c>
      <c r="U1336" t="s">
        <v>113</v>
      </c>
    </row>
    <row r="1337" spans="1:21" x14ac:dyDescent="0.2">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s="2">
        <v>14.76</v>
      </c>
      <c r="Q1337">
        <v>2</v>
      </c>
      <c r="R1337" s="2">
        <v>4.2804000000000002</v>
      </c>
      <c r="S1337" t="s">
        <v>47</v>
      </c>
      <c r="T1337" s="10">
        <v>7</v>
      </c>
      <c r="U1337" t="s">
        <v>96</v>
      </c>
    </row>
    <row r="1338" spans="1:21" x14ac:dyDescent="0.2">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s="2">
        <v>299.97500000000002</v>
      </c>
      <c r="Q1338">
        <v>5</v>
      </c>
      <c r="R1338" s="2">
        <v>-167.98599999999999</v>
      </c>
      <c r="S1338" t="s">
        <v>83</v>
      </c>
      <c r="T1338" s="10">
        <v>4</v>
      </c>
      <c r="U1338" t="s">
        <v>195</v>
      </c>
    </row>
    <row r="1339" spans="1:21" x14ac:dyDescent="0.2">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s="2">
        <v>396.92</v>
      </c>
      <c r="Q1339">
        <v>4</v>
      </c>
      <c r="R1339" s="2">
        <v>198.46</v>
      </c>
      <c r="S1339" t="s">
        <v>58</v>
      </c>
      <c r="T1339" s="10">
        <v>5</v>
      </c>
      <c r="U1339" t="s">
        <v>96</v>
      </c>
    </row>
    <row r="1340" spans="1:21" x14ac:dyDescent="0.2">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s="2">
        <v>241.96</v>
      </c>
      <c r="Q1340">
        <v>2</v>
      </c>
      <c r="R1340" s="2">
        <v>33.874400000000001</v>
      </c>
      <c r="S1340" t="s">
        <v>123</v>
      </c>
      <c r="T1340" s="10">
        <v>1</v>
      </c>
      <c r="U1340" t="s">
        <v>161</v>
      </c>
    </row>
    <row r="1341" spans="1:21" x14ac:dyDescent="0.2">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s="2">
        <v>8.01</v>
      </c>
      <c r="Q1341">
        <v>3</v>
      </c>
      <c r="R1341" s="2">
        <v>3.0438000000000001</v>
      </c>
      <c r="S1341" t="s">
        <v>123</v>
      </c>
      <c r="T1341" s="10">
        <v>1</v>
      </c>
      <c r="U1341" t="s">
        <v>161</v>
      </c>
    </row>
    <row r="1342" spans="1:21" x14ac:dyDescent="0.2">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s="2">
        <v>569.56799999999998</v>
      </c>
      <c r="Q1342">
        <v>2</v>
      </c>
      <c r="R1342" s="2">
        <v>7.1196000000000002</v>
      </c>
      <c r="S1342" t="s">
        <v>70</v>
      </c>
      <c r="T1342" s="10">
        <v>2</v>
      </c>
      <c r="U1342" t="s">
        <v>253</v>
      </c>
    </row>
    <row r="1343" spans="1:21" x14ac:dyDescent="0.2">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s="2">
        <v>899.43</v>
      </c>
      <c r="Q1343">
        <v>5</v>
      </c>
      <c r="R1343" s="2">
        <v>-12.849</v>
      </c>
      <c r="S1343" t="s">
        <v>123</v>
      </c>
      <c r="T1343" s="10">
        <v>1</v>
      </c>
      <c r="U1343" t="s">
        <v>161</v>
      </c>
    </row>
    <row r="1344" spans="1:21" x14ac:dyDescent="0.2">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s="2">
        <v>368.97</v>
      </c>
      <c r="Q1344">
        <v>3</v>
      </c>
      <c r="R1344" s="2">
        <v>81.173400000000001</v>
      </c>
      <c r="S1344" t="s">
        <v>58</v>
      </c>
      <c r="T1344" s="10">
        <v>5</v>
      </c>
      <c r="U1344" t="s">
        <v>48</v>
      </c>
    </row>
    <row r="1345" spans="1:21" x14ac:dyDescent="0.2">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s="2">
        <v>454.27199999999999</v>
      </c>
      <c r="Q1345">
        <v>8</v>
      </c>
      <c r="R1345" s="2">
        <v>-73.819199999999995</v>
      </c>
      <c r="S1345" t="s">
        <v>33</v>
      </c>
      <c r="T1345" s="10">
        <v>3</v>
      </c>
      <c r="U1345" t="s">
        <v>48</v>
      </c>
    </row>
    <row r="1346" spans="1:21" x14ac:dyDescent="0.2">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s="2">
        <v>945.03599999999994</v>
      </c>
      <c r="Q1346">
        <v>6</v>
      </c>
      <c r="R1346" s="2">
        <v>-299.26139999999998</v>
      </c>
      <c r="S1346" t="s">
        <v>83</v>
      </c>
      <c r="T1346" s="10">
        <v>4</v>
      </c>
      <c r="U1346" t="s">
        <v>34</v>
      </c>
    </row>
    <row r="1347" spans="1:21" x14ac:dyDescent="0.2">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s="2">
        <v>410.35199999999998</v>
      </c>
      <c r="Q1347">
        <v>3</v>
      </c>
      <c r="R1347" s="2">
        <v>-51.293999999999997</v>
      </c>
      <c r="S1347" t="s">
        <v>83</v>
      </c>
      <c r="T1347" s="10">
        <v>4</v>
      </c>
      <c r="U1347" t="s">
        <v>34</v>
      </c>
    </row>
    <row r="1348" spans="1:21" x14ac:dyDescent="0.2">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s="2">
        <v>35</v>
      </c>
      <c r="Q1348">
        <v>4</v>
      </c>
      <c r="R1348" s="2">
        <v>14.7</v>
      </c>
      <c r="S1348" t="s">
        <v>70</v>
      </c>
      <c r="T1348" s="10">
        <v>2</v>
      </c>
      <c r="U1348" t="s">
        <v>161</v>
      </c>
    </row>
    <row r="1349" spans="1:21" x14ac:dyDescent="0.2">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s="2">
        <v>974.98800000000006</v>
      </c>
      <c r="Q1349">
        <v>4</v>
      </c>
      <c r="R1349" s="2">
        <v>-97.498800000000003</v>
      </c>
      <c r="S1349" t="s">
        <v>58</v>
      </c>
      <c r="T1349" s="10">
        <v>5</v>
      </c>
      <c r="U1349" t="s">
        <v>96</v>
      </c>
    </row>
    <row r="1350" spans="1:21" x14ac:dyDescent="0.2">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s="2">
        <v>589.41</v>
      </c>
      <c r="Q1350">
        <v>5</v>
      </c>
      <c r="R1350" s="2">
        <v>-6.5490000000000004</v>
      </c>
      <c r="S1350" t="s">
        <v>70</v>
      </c>
      <c r="T1350" s="10">
        <v>2</v>
      </c>
      <c r="U1350" t="s">
        <v>48</v>
      </c>
    </row>
    <row r="1351" spans="1:21" x14ac:dyDescent="0.2">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s="2">
        <v>82.26</v>
      </c>
      <c r="Q1351">
        <v>3</v>
      </c>
      <c r="R1351" s="2">
        <v>33.726599999999998</v>
      </c>
      <c r="S1351" t="s">
        <v>47</v>
      </c>
      <c r="T1351" s="10">
        <v>7</v>
      </c>
      <c r="U1351" t="s">
        <v>48</v>
      </c>
    </row>
    <row r="1352" spans="1:21" x14ac:dyDescent="0.2">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s="2">
        <v>103.5</v>
      </c>
      <c r="Q1352">
        <v>5</v>
      </c>
      <c r="R1352" s="2">
        <v>-77.625</v>
      </c>
      <c r="S1352" t="s">
        <v>70</v>
      </c>
      <c r="T1352" s="10">
        <v>2</v>
      </c>
      <c r="U1352" t="s">
        <v>195</v>
      </c>
    </row>
    <row r="1353" spans="1:21" x14ac:dyDescent="0.2">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s="2">
        <v>36.96</v>
      </c>
      <c r="Q1353">
        <v>7</v>
      </c>
      <c r="R1353" s="2">
        <v>11.457599999999999</v>
      </c>
      <c r="S1353" t="s">
        <v>33</v>
      </c>
      <c r="T1353" s="10">
        <v>3</v>
      </c>
      <c r="U1353" t="s">
        <v>71</v>
      </c>
    </row>
    <row r="1354" spans="1:21" x14ac:dyDescent="0.2">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s="2">
        <v>261.95999999999998</v>
      </c>
      <c r="Q1354">
        <v>2</v>
      </c>
      <c r="R1354" s="2">
        <v>23.5764</v>
      </c>
      <c r="S1354" t="s">
        <v>33</v>
      </c>
      <c r="T1354" s="10">
        <v>3</v>
      </c>
      <c r="U1354" t="s">
        <v>161</v>
      </c>
    </row>
    <row r="1355" spans="1:21" x14ac:dyDescent="0.2">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s="2">
        <v>13.28</v>
      </c>
      <c r="Q1355">
        <v>2</v>
      </c>
      <c r="R1355" s="2">
        <v>6.3743999999999996</v>
      </c>
      <c r="S1355" t="s">
        <v>129</v>
      </c>
      <c r="T1355" s="10">
        <v>6</v>
      </c>
      <c r="U1355" t="s">
        <v>77</v>
      </c>
    </row>
    <row r="1356" spans="1:21" x14ac:dyDescent="0.2">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s="2">
        <v>72.42</v>
      </c>
      <c r="Q1356">
        <v>6</v>
      </c>
      <c r="R1356" s="2">
        <v>23.898599999999998</v>
      </c>
      <c r="S1356" t="s">
        <v>129</v>
      </c>
      <c r="T1356" s="10">
        <v>6</v>
      </c>
      <c r="U1356" t="s">
        <v>96</v>
      </c>
    </row>
    <row r="1357" spans="1:21" x14ac:dyDescent="0.2">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s="2">
        <v>61.96</v>
      </c>
      <c r="Q1357">
        <v>4</v>
      </c>
      <c r="R1357" s="2">
        <v>-53.285600000000002</v>
      </c>
      <c r="S1357" t="s">
        <v>123</v>
      </c>
      <c r="T1357" s="10">
        <v>1</v>
      </c>
      <c r="U1357" t="s">
        <v>169</v>
      </c>
    </row>
    <row r="1358" spans="1:21" x14ac:dyDescent="0.2">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s="2">
        <v>241.56800000000001</v>
      </c>
      <c r="Q1358">
        <v>2</v>
      </c>
      <c r="R1358" s="2">
        <v>0</v>
      </c>
      <c r="S1358" t="s">
        <v>47</v>
      </c>
      <c r="T1358" s="10">
        <v>7</v>
      </c>
      <c r="U1358" t="s">
        <v>59</v>
      </c>
    </row>
    <row r="1359" spans="1:21" x14ac:dyDescent="0.2">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s="2">
        <v>384.76799999999997</v>
      </c>
      <c r="Q1359">
        <v>2</v>
      </c>
      <c r="R1359" s="2">
        <v>-115.43040000000001</v>
      </c>
      <c r="S1359" t="s">
        <v>129</v>
      </c>
      <c r="T1359" s="10">
        <v>6</v>
      </c>
      <c r="U1359" t="s">
        <v>59</v>
      </c>
    </row>
    <row r="1360" spans="1:21" x14ac:dyDescent="0.2">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s="2">
        <v>103.93600000000001</v>
      </c>
      <c r="Q1360">
        <v>4</v>
      </c>
      <c r="R1360" s="2">
        <v>16.889600000000002</v>
      </c>
      <c r="S1360" t="s">
        <v>83</v>
      </c>
      <c r="T1360" s="10">
        <v>4</v>
      </c>
      <c r="U1360" t="s">
        <v>77</v>
      </c>
    </row>
    <row r="1361" spans="1:21" x14ac:dyDescent="0.2">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s="2">
        <v>289.56799999999998</v>
      </c>
      <c r="Q1361">
        <v>2</v>
      </c>
      <c r="R1361" s="2">
        <v>10.8588</v>
      </c>
      <c r="S1361" t="s">
        <v>58</v>
      </c>
      <c r="T1361" s="10">
        <v>5</v>
      </c>
      <c r="U1361" t="s">
        <v>34</v>
      </c>
    </row>
    <row r="1362" spans="1:21" x14ac:dyDescent="0.2">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s="2">
        <v>20.94</v>
      </c>
      <c r="Q1362">
        <v>3</v>
      </c>
      <c r="R1362" s="2">
        <v>6.0726000000000004</v>
      </c>
      <c r="S1362" t="s">
        <v>83</v>
      </c>
      <c r="T1362" s="10">
        <v>4</v>
      </c>
      <c r="U1362" t="s">
        <v>71</v>
      </c>
    </row>
    <row r="1363" spans="1:21" x14ac:dyDescent="0.2">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s="2">
        <v>332.83199999999999</v>
      </c>
      <c r="Q1363">
        <v>4</v>
      </c>
      <c r="R1363" s="2">
        <v>-24.962399999999999</v>
      </c>
      <c r="S1363" t="s">
        <v>70</v>
      </c>
      <c r="T1363" s="10">
        <v>2</v>
      </c>
      <c r="U1363" t="s">
        <v>48</v>
      </c>
    </row>
    <row r="1364" spans="1:21" x14ac:dyDescent="0.2">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s="2">
        <v>218.352</v>
      </c>
      <c r="Q1364">
        <v>3</v>
      </c>
      <c r="R1364" s="2">
        <v>0</v>
      </c>
      <c r="S1364" t="s">
        <v>83</v>
      </c>
      <c r="T1364" s="10">
        <v>4</v>
      </c>
      <c r="U1364" t="s">
        <v>77</v>
      </c>
    </row>
    <row r="1365" spans="1:21" x14ac:dyDescent="0.2">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s="2">
        <v>529.9</v>
      </c>
      <c r="Q1365">
        <v>5</v>
      </c>
      <c r="R1365" s="2">
        <v>105.98</v>
      </c>
      <c r="S1365" t="s">
        <v>83</v>
      </c>
      <c r="T1365" s="10">
        <v>4</v>
      </c>
      <c r="U1365" t="s">
        <v>77</v>
      </c>
    </row>
    <row r="1366" spans="1:21" x14ac:dyDescent="0.2">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s="2">
        <v>302.67</v>
      </c>
      <c r="Q1366">
        <v>3</v>
      </c>
      <c r="R1366" s="2">
        <v>72.640799999999999</v>
      </c>
      <c r="S1366" t="s">
        <v>70</v>
      </c>
      <c r="T1366" s="10">
        <v>2</v>
      </c>
      <c r="U1366" t="s">
        <v>169</v>
      </c>
    </row>
    <row r="1367" spans="1:21" x14ac:dyDescent="0.2">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s="2">
        <v>4007.84</v>
      </c>
      <c r="Q1367">
        <v>10</v>
      </c>
      <c r="R1367" s="2">
        <v>-50.097999999999999</v>
      </c>
      <c r="S1367" t="s">
        <v>58</v>
      </c>
      <c r="T1367" s="10">
        <v>5</v>
      </c>
      <c r="U1367" t="s">
        <v>34</v>
      </c>
    </row>
    <row r="1368" spans="1:21" x14ac:dyDescent="0.2">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s="2">
        <v>328.59</v>
      </c>
      <c r="Q1368">
        <v>3</v>
      </c>
      <c r="R1368" s="2">
        <v>-147.8655</v>
      </c>
      <c r="S1368" t="s">
        <v>33</v>
      </c>
      <c r="T1368" s="10">
        <v>3</v>
      </c>
      <c r="U1368" t="s">
        <v>48</v>
      </c>
    </row>
    <row r="1369" spans="1:21" x14ac:dyDescent="0.2">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s="2">
        <v>291.10000000000002</v>
      </c>
      <c r="Q1369">
        <v>5</v>
      </c>
      <c r="R1369" s="2">
        <v>75.686000000000007</v>
      </c>
      <c r="S1369" t="s">
        <v>58</v>
      </c>
      <c r="T1369" s="10">
        <v>5</v>
      </c>
      <c r="U1369" t="s">
        <v>48</v>
      </c>
    </row>
    <row r="1370" spans="1:21" x14ac:dyDescent="0.2">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s="2">
        <v>139.91999999999999</v>
      </c>
      <c r="Q1370">
        <v>2</v>
      </c>
      <c r="R1370" s="2">
        <v>23.7864</v>
      </c>
      <c r="S1370" t="s">
        <v>33</v>
      </c>
      <c r="T1370" s="10">
        <v>3</v>
      </c>
      <c r="U1370" t="s">
        <v>34</v>
      </c>
    </row>
    <row r="1371" spans="1:21" x14ac:dyDescent="0.2">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s="2">
        <v>634.11599999999999</v>
      </c>
      <c r="Q1371">
        <v>6</v>
      </c>
      <c r="R1371" s="2">
        <v>-172.1172</v>
      </c>
      <c r="S1371" t="s">
        <v>83</v>
      </c>
      <c r="T1371" s="10">
        <v>4</v>
      </c>
      <c r="U1371" t="s">
        <v>195</v>
      </c>
    </row>
    <row r="1372" spans="1:21" x14ac:dyDescent="0.2">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s="2">
        <v>155.88</v>
      </c>
      <c r="Q1372">
        <v>6</v>
      </c>
      <c r="R1372" s="2">
        <v>38.97</v>
      </c>
      <c r="S1372" t="s">
        <v>70</v>
      </c>
      <c r="T1372" s="10">
        <v>2</v>
      </c>
      <c r="U1372" t="s">
        <v>71</v>
      </c>
    </row>
    <row r="1373" spans="1:21" x14ac:dyDescent="0.2">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s="2">
        <v>327.56400000000002</v>
      </c>
      <c r="Q1373">
        <v>4</v>
      </c>
      <c r="R1373" s="2">
        <v>21.837599999999998</v>
      </c>
      <c r="S1373" t="s">
        <v>70</v>
      </c>
      <c r="T1373" s="10">
        <v>2</v>
      </c>
      <c r="U1373" t="s">
        <v>34</v>
      </c>
    </row>
    <row r="1374" spans="1:21" x14ac:dyDescent="0.2">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s="2">
        <v>1522.6379999999999</v>
      </c>
      <c r="Q1374">
        <v>9</v>
      </c>
      <c r="R1374" s="2">
        <v>169.18199999999999</v>
      </c>
      <c r="S1374" t="s">
        <v>58</v>
      </c>
      <c r="T1374" s="10">
        <v>5</v>
      </c>
      <c r="U1374" t="s">
        <v>59</v>
      </c>
    </row>
    <row r="1375" spans="1:21" x14ac:dyDescent="0.2">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s="2">
        <v>194.25</v>
      </c>
      <c r="Q1375">
        <v>2</v>
      </c>
      <c r="R1375" s="2">
        <v>-38.85</v>
      </c>
      <c r="S1375" t="s">
        <v>58</v>
      </c>
      <c r="T1375" s="10">
        <v>5</v>
      </c>
      <c r="U1375" t="s">
        <v>161</v>
      </c>
    </row>
    <row r="1376" spans="1:21" x14ac:dyDescent="0.2">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s="2">
        <v>872.32</v>
      </c>
      <c r="Q1376">
        <v>4</v>
      </c>
      <c r="R1376" s="2">
        <v>244.24959999999999</v>
      </c>
      <c r="S1376" t="s">
        <v>58</v>
      </c>
      <c r="T1376" s="10">
        <v>5</v>
      </c>
      <c r="U1376" t="s">
        <v>161</v>
      </c>
    </row>
    <row r="1377" spans="1:21" x14ac:dyDescent="0.2">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s="2">
        <v>317.05799999999999</v>
      </c>
      <c r="Q1377">
        <v>3</v>
      </c>
      <c r="R1377" s="2">
        <v>-18.117599999999999</v>
      </c>
      <c r="S1377" t="s">
        <v>83</v>
      </c>
      <c r="T1377" s="10">
        <v>4</v>
      </c>
      <c r="U1377" t="s">
        <v>113</v>
      </c>
    </row>
    <row r="1378" spans="1:21" x14ac:dyDescent="0.2">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s="2">
        <v>170.352</v>
      </c>
      <c r="Q1378">
        <v>3</v>
      </c>
      <c r="R1378" s="2">
        <v>-17.0352</v>
      </c>
      <c r="S1378" t="s">
        <v>58</v>
      </c>
      <c r="T1378" s="10">
        <v>5</v>
      </c>
      <c r="U1378" t="s">
        <v>195</v>
      </c>
    </row>
    <row r="1379" spans="1:21" x14ac:dyDescent="0.2">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s="2">
        <v>101.94</v>
      </c>
      <c r="Q1379">
        <v>3</v>
      </c>
      <c r="R1379" s="2">
        <v>30.582000000000001</v>
      </c>
      <c r="S1379" t="s">
        <v>430</v>
      </c>
      <c r="T1379" s="10">
        <v>0</v>
      </c>
      <c r="U1379" t="s">
        <v>48</v>
      </c>
    </row>
    <row r="1380" spans="1:21" x14ac:dyDescent="0.2">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s="2">
        <v>8.8000000000000007</v>
      </c>
      <c r="Q1380">
        <v>5</v>
      </c>
      <c r="R1380" s="2">
        <v>3.8719999999999999</v>
      </c>
      <c r="S1380" t="s">
        <v>129</v>
      </c>
      <c r="T1380" s="10">
        <v>6</v>
      </c>
      <c r="U1380" t="s">
        <v>71</v>
      </c>
    </row>
    <row r="1381" spans="1:21" x14ac:dyDescent="0.2">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s="2">
        <v>302.94</v>
      </c>
      <c r="Q1381">
        <v>3</v>
      </c>
      <c r="R1381" s="2">
        <v>69.676199999999994</v>
      </c>
      <c r="S1381" t="s">
        <v>129</v>
      </c>
      <c r="T1381" s="10">
        <v>6</v>
      </c>
      <c r="U1381" t="s">
        <v>71</v>
      </c>
    </row>
    <row r="1382" spans="1:21" x14ac:dyDescent="0.2">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s="2">
        <v>60.72</v>
      </c>
      <c r="Q1382">
        <v>3</v>
      </c>
      <c r="R1382" s="2">
        <v>23.680800000000001</v>
      </c>
      <c r="S1382" t="s">
        <v>58</v>
      </c>
      <c r="T1382" s="10">
        <v>5</v>
      </c>
      <c r="U1382" t="s">
        <v>96</v>
      </c>
    </row>
    <row r="1383" spans="1:21" x14ac:dyDescent="0.2">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s="2">
        <v>239.84</v>
      </c>
      <c r="Q1383">
        <v>8</v>
      </c>
      <c r="R1383" s="2">
        <v>64.756799999999998</v>
      </c>
      <c r="S1383" t="s">
        <v>58</v>
      </c>
      <c r="T1383" s="10">
        <v>5</v>
      </c>
      <c r="U1383" t="s">
        <v>96</v>
      </c>
    </row>
    <row r="1384" spans="1:21" x14ac:dyDescent="0.2">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s="2">
        <v>484.70400000000001</v>
      </c>
      <c r="Q1384">
        <v>6</v>
      </c>
      <c r="R1384" s="2">
        <v>-84.8232</v>
      </c>
      <c r="S1384" t="s">
        <v>58</v>
      </c>
      <c r="T1384" s="10">
        <v>5</v>
      </c>
      <c r="U1384" t="s">
        <v>161</v>
      </c>
    </row>
    <row r="1385" spans="1:21" x14ac:dyDescent="0.2">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s="2">
        <v>191.96</v>
      </c>
      <c r="Q1385">
        <v>2</v>
      </c>
      <c r="R1385" s="2">
        <v>51.8292</v>
      </c>
      <c r="S1385" t="s">
        <v>47</v>
      </c>
      <c r="T1385" s="10">
        <v>7</v>
      </c>
      <c r="U1385" t="s">
        <v>113</v>
      </c>
    </row>
    <row r="1386" spans="1:21" x14ac:dyDescent="0.2">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s="2">
        <v>209.88</v>
      </c>
      <c r="Q1386">
        <v>3</v>
      </c>
      <c r="R1386" s="2">
        <v>35.679600000000001</v>
      </c>
      <c r="S1386" t="s">
        <v>47</v>
      </c>
      <c r="T1386" s="10">
        <v>7</v>
      </c>
      <c r="U1386" t="s">
        <v>113</v>
      </c>
    </row>
    <row r="1387" spans="1:21" x14ac:dyDescent="0.2">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s="2">
        <v>239.666</v>
      </c>
      <c r="Q1387">
        <v>2</v>
      </c>
      <c r="R1387" s="2">
        <v>14.098000000000001</v>
      </c>
      <c r="S1387" t="s">
        <v>70</v>
      </c>
      <c r="T1387" s="10">
        <v>2</v>
      </c>
      <c r="U1387" t="s">
        <v>59</v>
      </c>
    </row>
    <row r="1388" spans="1:21" x14ac:dyDescent="0.2">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s="2">
        <v>212.94</v>
      </c>
      <c r="Q1388">
        <v>3</v>
      </c>
      <c r="R1388" s="2">
        <v>53.234999999999999</v>
      </c>
      <c r="S1388" t="s">
        <v>58</v>
      </c>
      <c r="T1388" s="10">
        <v>5</v>
      </c>
      <c r="U1388" t="s">
        <v>169</v>
      </c>
    </row>
    <row r="1389" spans="1:21" x14ac:dyDescent="0.2">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s="2">
        <v>41.88</v>
      </c>
      <c r="Q1389">
        <v>6</v>
      </c>
      <c r="R1389" s="2">
        <v>12.145200000000001</v>
      </c>
      <c r="S1389" t="s">
        <v>33</v>
      </c>
      <c r="T1389" s="10">
        <v>3</v>
      </c>
      <c r="U1389" t="s">
        <v>77</v>
      </c>
    </row>
    <row r="1390" spans="1:21" x14ac:dyDescent="0.2">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s="2">
        <v>102.438</v>
      </c>
      <c r="Q1390">
        <v>1</v>
      </c>
      <c r="R1390" s="2">
        <v>-13.1706</v>
      </c>
      <c r="S1390" t="s">
        <v>83</v>
      </c>
      <c r="T1390" s="10">
        <v>4</v>
      </c>
      <c r="U1390" t="s">
        <v>169</v>
      </c>
    </row>
    <row r="1391" spans="1:21" x14ac:dyDescent="0.2">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s="2">
        <v>199.304</v>
      </c>
      <c r="Q1391">
        <v>4</v>
      </c>
      <c r="R1391" s="2">
        <v>-8.5416000000000007</v>
      </c>
      <c r="S1391" t="s">
        <v>83</v>
      </c>
      <c r="T1391" s="10">
        <v>4</v>
      </c>
      <c r="U1391" t="s">
        <v>169</v>
      </c>
    </row>
    <row r="1392" spans="1:21" x14ac:dyDescent="0.2">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s="2">
        <v>698.35199999999998</v>
      </c>
      <c r="Q1392">
        <v>3</v>
      </c>
      <c r="R1392" s="2">
        <v>52.376399999999997</v>
      </c>
      <c r="S1392" t="s">
        <v>58</v>
      </c>
      <c r="T1392" s="10">
        <v>5</v>
      </c>
      <c r="U1392" t="s">
        <v>96</v>
      </c>
    </row>
    <row r="1393" spans="1:21" x14ac:dyDescent="0.2">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s="2">
        <v>1747.25</v>
      </c>
      <c r="Q1393">
        <v>5</v>
      </c>
      <c r="R1393" s="2">
        <v>629.01</v>
      </c>
      <c r="S1393" t="s">
        <v>58</v>
      </c>
      <c r="T1393" s="10">
        <v>5</v>
      </c>
      <c r="U1393" t="s">
        <v>96</v>
      </c>
    </row>
    <row r="1394" spans="1:21" x14ac:dyDescent="0.2">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s="2">
        <v>1421.664</v>
      </c>
      <c r="Q1394">
        <v>8</v>
      </c>
      <c r="R1394" s="2">
        <v>-734.52639999999997</v>
      </c>
      <c r="S1394" t="s">
        <v>70</v>
      </c>
      <c r="T1394" s="10">
        <v>2</v>
      </c>
      <c r="U1394" t="s">
        <v>48</v>
      </c>
    </row>
    <row r="1395" spans="1:21" x14ac:dyDescent="0.2">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s="2">
        <v>564.19500000000005</v>
      </c>
      <c r="Q1395">
        <v>3</v>
      </c>
      <c r="R1395" s="2">
        <v>-304.6653</v>
      </c>
      <c r="S1395" t="s">
        <v>129</v>
      </c>
      <c r="T1395" s="10">
        <v>6</v>
      </c>
      <c r="U1395" t="s">
        <v>96</v>
      </c>
    </row>
    <row r="1396" spans="1:21" x14ac:dyDescent="0.2">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s="2">
        <v>21.184000000000001</v>
      </c>
      <c r="Q1396">
        <v>2</v>
      </c>
      <c r="R1396" s="2">
        <v>-11.651199999999999</v>
      </c>
      <c r="S1396" t="s">
        <v>33</v>
      </c>
      <c r="T1396" s="10">
        <v>3</v>
      </c>
      <c r="U1396" t="s">
        <v>77</v>
      </c>
    </row>
    <row r="1397" spans="1:21" x14ac:dyDescent="0.2">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s="2">
        <v>213.43</v>
      </c>
      <c r="Q1397">
        <v>5</v>
      </c>
      <c r="R1397" s="2">
        <v>-39.637</v>
      </c>
      <c r="S1397" t="s">
        <v>33</v>
      </c>
      <c r="T1397" s="10">
        <v>3</v>
      </c>
      <c r="U1397" t="s">
        <v>77</v>
      </c>
    </row>
    <row r="1398" spans="1:21" x14ac:dyDescent="0.2">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s="2">
        <v>68.703999999999994</v>
      </c>
      <c r="Q1398">
        <v>2</v>
      </c>
      <c r="R1398" s="2">
        <v>16.3172</v>
      </c>
      <c r="S1398" t="s">
        <v>47</v>
      </c>
      <c r="T1398" s="10">
        <v>7</v>
      </c>
      <c r="U1398" t="s">
        <v>297</v>
      </c>
    </row>
    <row r="1399" spans="1:21" x14ac:dyDescent="0.2">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s="2">
        <v>386.91</v>
      </c>
      <c r="Q1399">
        <v>9</v>
      </c>
      <c r="R1399" s="2">
        <v>-185.71680000000001</v>
      </c>
      <c r="S1399" t="s">
        <v>47</v>
      </c>
      <c r="T1399" s="10">
        <v>7</v>
      </c>
      <c r="U1399" t="s">
        <v>297</v>
      </c>
    </row>
    <row r="1400" spans="1:21" x14ac:dyDescent="0.2">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s="2">
        <v>356.85</v>
      </c>
      <c r="Q1400">
        <v>5</v>
      </c>
      <c r="R1400" s="2">
        <v>60.664499999999997</v>
      </c>
      <c r="S1400" t="s">
        <v>129</v>
      </c>
      <c r="T1400" s="10">
        <v>6</v>
      </c>
      <c r="U1400" t="s">
        <v>48</v>
      </c>
    </row>
    <row r="1401" spans="1:21" x14ac:dyDescent="0.2">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s="2">
        <v>42.85</v>
      </c>
      <c r="Q1401">
        <v>5</v>
      </c>
      <c r="R1401" s="2">
        <v>15.426</v>
      </c>
      <c r="S1401" t="s">
        <v>70</v>
      </c>
      <c r="T1401" s="10">
        <v>2</v>
      </c>
      <c r="U1401" t="s">
        <v>161</v>
      </c>
    </row>
    <row r="1402" spans="1:21" x14ac:dyDescent="0.2">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s="2">
        <v>67.959999999999994</v>
      </c>
      <c r="Q1402">
        <v>4</v>
      </c>
      <c r="R1402" s="2">
        <v>12.232799999999999</v>
      </c>
      <c r="S1402" t="s">
        <v>47</v>
      </c>
      <c r="T1402" s="10">
        <v>7</v>
      </c>
      <c r="U1402" t="s">
        <v>77</v>
      </c>
    </row>
    <row r="1403" spans="1:21" x14ac:dyDescent="0.2">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s="2">
        <v>46.872</v>
      </c>
      <c r="Q1403">
        <v>7</v>
      </c>
      <c r="R1403" s="2">
        <v>3.5154000000000001</v>
      </c>
      <c r="S1403" t="s">
        <v>83</v>
      </c>
      <c r="T1403" s="10">
        <v>4</v>
      </c>
      <c r="U1403" t="s">
        <v>48</v>
      </c>
    </row>
    <row r="1404" spans="1:21" x14ac:dyDescent="0.2">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s="2">
        <v>20.04</v>
      </c>
      <c r="Q1404">
        <v>6</v>
      </c>
      <c r="R1404" s="2">
        <v>8.8176000000000005</v>
      </c>
      <c r="S1404" t="s">
        <v>58</v>
      </c>
      <c r="T1404" s="10">
        <v>5</v>
      </c>
      <c r="U1404" t="s">
        <v>34</v>
      </c>
    </row>
    <row r="1405" spans="1:21" x14ac:dyDescent="0.2">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s="2">
        <v>41.552</v>
      </c>
      <c r="Q1405">
        <v>2</v>
      </c>
      <c r="R1405" s="2">
        <v>-19.737200000000001</v>
      </c>
      <c r="S1405" t="s">
        <v>58</v>
      </c>
      <c r="T1405" s="10">
        <v>5</v>
      </c>
      <c r="U1405" t="s">
        <v>96</v>
      </c>
    </row>
    <row r="1406" spans="1:21" x14ac:dyDescent="0.2">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s="2">
        <v>225.29599999999999</v>
      </c>
      <c r="Q1406">
        <v>2</v>
      </c>
      <c r="R1406" s="2">
        <v>22.529599999999999</v>
      </c>
      <c r="S1406" t="s">
        <v>83</v>
      </c>
      <c r="T1406" s="10">
        <v>4</v>
      </c>
      <c r="U1406" t="s">
        <v>71</v>
      </c>
    </row>
    <row r="1407" spans="1:21" x14ac:dyDescent="0.2">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s="2">
        <v>163.136</v>
      </c>
      <c r="Q1407">
        <v>4</v>
      </c>
      <c r="R1407" s="2">
        <v>20.391999999999999</v>
      </c>
      <c r="S1407" t="s">
        <v>83</v>
      </c>
      <c r="T1407" s="10">
        <v>4</v>
      </c>
      <c r="U1407" t="s">
        <v>161</v>
      </c>
    </row>
    <row r="1408" spans="1:21" x14ac:dyDescent="0.2">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s="2">
        <v>883.84</v>
      </c>
      <c r="Q1408">
        <v>4</v>
      </c>
      <c r="R1408" s="2">
        <v>99.432000000000002</v>
      </c>
      <c r="S1408" t="s">
        <v>58</v>
      </c>
      <c r="T1408" s="10">
        <v>5</v>
      </c>
      <c r="U1408" t="s">
        <v>34</v>
      </c>
    </row>
    <row r="1409" spans="1:21" x14ac:dyDescent="0.2">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s="2">
        <v>230.352</v>
      </c>
      <c r="Q1409">
        <v>3</v>
      </c>
      <c r="R1409" s="2">
        <v>20.155799999999999</v>
      </c>
      <c r="S1409" t="s">
        <v>58</v>
      </c>
      <c r="T1409" s="10">
        <v>5</v>
      </c>
      <c r="U1409" t="s">
        <v>34</v>
      </c>
    </row>
    <row r="1410" spans="1:21" x14ac:dyDescent="0.2">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s="2">
        <v>266.35199999999998</v>
      </c>
      <c r="Q1410">
        <v>6</v>
      </c>
      <c r="R1410" s="2">
        <v>-292.98719999999997</v>
      </c>
      <c r="S1410" t="s">
        <v>430</v>
      </c>
      <c r="T1410" s="10">
        <v>0</v>
      </c>
      <c r="U1410" t="s">
        <v>96</v>
      </c>
    </row>
    <row r="1411" spans="1:21" x14ac:dyDescent="0.2">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s="2">
        <v>56.328000000000003</v>
      </c>
      <c r="Q1411">
        <v>3</v>
      </c>
      <c r="R1411" s="2">
        <v>-26.755800000000001</v>
      </c>
      <c r="S1411" t="s">
        <v>430</v>
      </c>
      <c r="T1411" s="10">
        <v>0</v>
      </c>
      <c r="U1411" t="s">
        <v>96</v>
      </c>
    </row>
    <row r="1412" spans="1:21" x14ac:dyDescent="0.2">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s="2">
        <v>159.91999999999999</v>
      </c>
      <c r="Q1412">
        <v>4</v>
      </c>
      <c r="R1412" s="2">
        <v>31.984000000000002</v>
      </c>
      <c r="S1412" t="s">
        <v>47</v>
      </c>
      <c r="T1412" s="10">
        <v>7</v>
      </c>
      <c r="U1412" t="s">
        <v>113</v>
      </c>
    </row>
    <row r="1413" spans="1:21" x14ac:dyDescent="0.2">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s="2">
        <v>50.496000000000002</v>
      </c>
      <c r="Q1413">
        <v>6</v>
      </c>
      <c r="R1413" s="2">
        <v>8.2056000000000004</v>
      </c>
      <c r="S1413" t="s">
        <v>58</v>
      </c>
      <c r="T1413" s="10">
        <v>5</v>
      </c>
      <c r="U1413" t="s">
        <v>34</v>
      </c>
    </row>
    <row r="1414" spans="1:21" x14ac:dyDescent="0.2">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s="2">
        <v>643.13599999999997</v>
      </c>
      <c r="Q1414">
        <v>4</v>
      </c>
      <c r="R1414" s="2">
        <v>56.2744</v>
      </c>
      <c r="S1414" t="s">
        <v>70</v>
      </c>
      <c r="T1414" s="10">
        <v>2</v>
      </c>
      <c r="U1414" t="s">
        <v>59</v>
      </c>
    </row>
    <row r="1415" spans="1:21" x14ac:dyDescent="0.2">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s="2">
        <v>359.77199999999999</v>
      </c>
      <c r="Q1415">
        <v>2</v>
      </c>
      <c r="R1415" s="2">
        <v>-5.1395999999999997</v>
      </c>
      <c r="S1415" t="s">
        <v>58</v>
      </c>
      <c r="T1415" s="10">
        <v>5</v>
      </c>
      <c r="U1415" t="s">
        <v>161</v>
      </c>
    </row>
    <row r="1416" spans="1:21" x14ac:dyDescent="0.2">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s="2">
        <v>122.136</v>
      </c>
      <c r="Q1416">
        <v>3</v>
      </c>
      <c r="R1416" s="2">
        <v>-13.7403</v>
      </c>
      <c r="S1416" t="s">
        <v>58</v>
      </c>
      <c r="T1416" s="10">
        <v>5</v>
      </c>
      <c r="U1416" t="s">
        <v>71</v>
      </c>
    </row>
    <row r="1417" spans="1:21" x14ac:dyDescent="0.2">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s="2">
        <v>121.96</v>
      </c>
      <c r="Q1417">
        <v>2</v>
      </c>
      <c r="R1417" s="2">
        <v>20.7332</v>
      </c>
      <c r="S1417" t="s">
        <v>70</v>
      </c>
      <c r="T1417" s="10">
        <v>2</v>
      </c>
      <c r="U1417" t="s">
        <v>59</v>
      </c>
    </row>
    <row r="1418" spans="1:21" x14ac:dyDescent="0.2">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s="2">
        <v>47.4</v>
      </c>
      <c r="Q1418">
        <v>5</v>
      </c>
      <c r="R1418" s="2">
        <v>18.96</v>
      </c>
      <c r="S1418" t="s">
        <v>83</v>
      </c>
      <c r="T1418" s="10">
        <v>4</v>
      </c>
      <c r="U1418" t="s">
        <v>77</v>
      </c>
    </row>
    <row r="1419" spans="1:21" x14ac:dyDescent="0.2">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s="2">
        <v>512.96</v>
      </c>
      <c r="Q1419">
        <v>4</v>
      </c>
      <c r="R1419" s="2">
        <v>143.62880000000001</v>
      </c>
      <c r="S1419" t="s">
        <v>83</v>
      </c>
      <c r="T1419" s="10">
        <v>4</v>
      </c>
      <c r="U1419" t="s">
        <v>77</v>
      </c>
    </row>
    <row r="1420" spans="1:21" x14ac:dyDescent="0.2">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s="2">
        <v>253.76400000000001</v>
      </c>
      <c r="Q1420">
        <v>2</v>
      </c>
      <c r="R1420" s="2">
        <v>31.015599999999999</v>
      </c>
      <c r="S1420" t="s">
        <v>70</v>
      </c>
      <c r="T1420" s="10">
        <v>2</v>
      </c>
      <c r="U1420" t="s">
        <v>71</v>
      </c>
    </row>
    <row r="1421" spans="1:21" x14ac:dyDescent="0.2">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s="2">
        <v>317.05799999999999</v>
      </c>
      <c r="Q1421">
        <v>3</v>
      </c>
      <c r="R1421" s="2">
        <v>-18.117599999999999</v>
      </c>
      <c r="S1421" t="s">
        <v>83</v>
      </c>
      <c r="T1421" s="10">
        <v>4</v>
      </c>
      <c r="U1421" t="s">
        <v>113</v>
      </c>
    </row>
    <row r="1422" spans="1:21" x14ac:dyDescent="0.2">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s="2">
        <v>14.56</v>
      </c>
      <c r="Q1422">
        <v>5</v>
      </c>
      <c r="R1422" s="2">
        <v>-6.1879999999999997</v>
      </c>
      <c r="S1422" t="s">
        <v>83</v>
      </c>
      <c r="T1422" s="10">
        <v>4</v>
      </c>
      <c r="U1422" t="s">
        <v>113</v>
      </c>
    </row>
    <row r="1423" spans="1:21" x14ac:dyDescent="0.2">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s="2">
        <v>344.94</v>
      </c>
      <c r="Q1423">
        <v>3</v>
      </c>
      <c r="R1423" s="2">
        <v>31.044599999999999</v>
      </c>
      <c r="S1423" t="s">
        <v>58</v>
      </c>
      <c r="T1423" s="10">
        <v>5</v>
      </c>
      <c r="U1423" t="s">
        <v>77</v>
      </c>
    </row>
    <row r="1424" spans="1:21" x14ac:dyDescent="0.2">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s="2">
        <v>14.76</v>
      </c>
      <c r="Q1424">
        <v>2</v>
      </c>
      <c r="R1424" s="2">
        <v>4.2804000000000002</v>
      </c>
      <c r="S1424" t="s">
        <v>58</v>
      </c>
      <c r="T1424" s="10">
        <v>5</v>
      </c>
      <c r="U1424" t="s">
        <v>77</v>
      </c>
    </row>
    <row r="1425" spans="1:21" x14ac:dyDescent="0.2">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s="2">
        <v>20.096</v>
      </c>
      <c r="Q1425">
        <v>4</v>
      </c>
      <c r="R1425" s="2">
        <v>3.0144000000000002</v>
      </c>
      <c r="S1425" t="s">
        <v>33</v>
      </c>
      <c r="T1425" s="10">
        <v>3</v>
      </c>
      <c r="U1425" t="s">
        <v>71</v>
      </c>
    </row>
    <row r="1426" spans="1:21" x14ac:dyDescent="0.2">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s="2">
        <v>138.58799999999999</v>
      </c>
      <c r="Q1426">
        <v>1</v>
      </c>
      <c r="R1426" s="2">
        <v>-34.646999999999998</v>
      </c>
      <c r="S1426" t="s">
        <v>33</v>
      </c>
      <c r="T1426" s="10">
        <v>3</v>
      </c>
      <c r="U1426" t="s">
        <v>71</v>
      </c>
    </row>
    <row r="1427" spans="1:21" x14ac:dyDescent="0.2">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s="2">
        <v>129.93</v>
      </c>
      <c r="Q1427">
        <v>3</v>
      </c>
      <c r="R1427" s="2">
        <v>12.993</v>
      </c>
      <c r="S1427" t="s">
        <v>47</v>
      </c>
      <c r="T1427" s="10">
        <v>7</v>
      </c>
      <c r="U1427" t="s">
        <v>77</v>
      </c>
    </row>
    <row r="1428" spans="1:21" x14ac:dyDescent="0.2">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s="2">
        <v>9.98</v>
      </c>
      <c r="Q1428">
        <v>1</v>
      </c>
      <c r="R1428" s="2">
        <v>2.7944</v>
      </c>
      <c r="S1428" t="s">
        <v>58</v>
      </c>
      <c r="T1428" s="10">
        <v>5</v>
      </c>
      <c r="U1428" t="s">
        <v>34</v>
      </c>
    </row>
    <row r="1429" spans="1:21" x14ac:dyDescent="0.2">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s="2">
        <v>34.503999999999998</v>
      </c>
      <c r="Q1429">
        <v>2</v>
      </c>
      <c r="R1429" s="2">
        <v>-15.5268</v>
      </c>
      <c r="S1429" t="s">
        <v>83</v>
      </c>
      <c r="T1429" s="10">
        <v>4</v>
      </c>
      <c r="U1429" t="s">
        <v>34</v>
      </c>
    </row>
    <row r="1430" spans="1:21" x14ac:dyDescent="0.2">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s="2">
        <v>20.103999999999999</v>
      </c>
      <c r="Q1430">
        <v>2</v>
      </c>
      <c r="R1430" s="2">
        <v>-16.585799999999999</v>
      </c>
      <c r="S1430" t="s">
        <v>430</v>
      </c>
      <c r="T1430" s="10">
        <v>0</v>
      </c>
      <c r="U1430" t="s">
        <v>253</v>
      </c>
    </row>
    <row r="1431" spans="1:21" x14ac:dyDescent="0.2">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s="2">
        <v>7.88</v>
      </c>
      <c r="Q1431">
        <v>5</v>
      </c>
      <c r="R1431" s="2">
        <v>-3.94</v>
      </c>
      <c r="S1431" t="s">
        <v>430</v>
      </c>
      <c r="T1431" s="10">
        <v>0</v>
      </c>
      <c r="U1431" t="s">
        <v>253</v>
      </c>
    </row>
    <row r="1432" spans="1:21" x14ac:dyDescent="0.2">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s="2">
        <v>35.445</v>
      </c>
      <c r="Q1432">
        <v>1</v>
      </c>
      <c r="R1432" s="2">
        <v>-24.102599999999999</v>
      </c>
      <c r="S1432" t="s">
        <v>47</v>
      </c>
      <c r="T1432" s="10">
        <v>7</v>
      </c>
      <c r="U1432" t="s">
        <v>96</v>
      </c>
    </row>
    <row r="1433" spans="1:21" x14ac:dyDescent="0.2">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s="2">
        <v>47.968000000000004</v>
      </c>
      <c r="Q1433">
        <v>2</v>
      </c>
      <c r="R1433" s="2">
        <v>4.1971999999999996</v>
      </c>
      <c r="S1433" t="s">
        <v>47</v>
      </c>
      <c r="T1433" s="10">
        <v>7</v>
      </c>
      <c r="U1433" t="s">
        <v>96</v>
      </c>
    </row>
    <row r="1434" spans="1:21" x14ac:dyDescent="0.2">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s="2">
        <v>22.38</v>
      </c>
      <c r="Q1434">
        <v>3</v>
      </c>
      <c r="R1434" s="2">
        <v>-7.8330000000000002</v>
      </c>
      <c r="S1434" t="s">
        <v>58</v>
      </c>
      <c r="T1434" s="10">
        <v>5</v>
      </c>
      <c r="U1434" t="s">
        <v>195</v>
      </c>
    </row>
    <row r="1435" spans="1:21" x14ac:dyDescent="0.2">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s="2">
        <v>113.372</v>
      </c>
      <c r="Q1435">
        <v>2</v>
      </c>
      <c r="R1435" s="2">
        <v>-29.152799999999999</v>
      </c>
      <c r="S1435" t="s">
        <v>123</v>
      </c>
      <c r="T1435" s="10">
        <v>1</v>
      </c>
      <c r="U1435" t="s">
        <v>77</v>
      </c>
    </row>
    <row r="1436" spans="1:21" x14ac:dyDescent="0.2">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s="2">
        <v>127.93600000000001</v>
      </c>
      <c r="Q1436">
        <v>8</v>
      </c>
      <c r="R1436" s="2">
        <v>4.7976000000000001</v>
      </c>
      <c r="S1436" t="s">
        <v>123</v>
      </c>
      <c r="T1436" s="10">
        <v>1</v>
      </c>
      <c r="U1436" t="s">
        <v>77</v>
      </c>
    </row>
    <row r="1437" spans="1:21" x14ac:dyDescent="0.2">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s="2">
        <v>6.24</v>
      </c>
      <c r="Q1437">
        <v>3</v>
      </c>
      <c r="R1437" s="2">
        <v>2.6208</v>
      </c>
      <c r="S1437" t="s">
        <v>83</v>
      </c>
      <c r="T1437" s="10">
        <v>4</v>
      </c>
      <c r="U1437" t="s">
        <v>59</v>
      </c>
    </row>
    <row r="1438" spans="1:21" x14ac:dyDescent="0.2">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s="2">
        <v>7.968</v>
      </c>
      <c r="Q1438">
        <v>3</v>
      </c>
      <c r="R1438" s="2">
        <v>-2.3904000000000001</v>
      </c>
      <c r="S1438" t="s">
        <v>83</v>
      </c>
      <c r="T1438" s="10">
        <v>4</v>
      </c>
      <c r="U1438" t="s">
        <v>96</v>
      </c>
    </row>
    <row r="1439" spans="1:21" x14ac:dyDescent="0.2">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s="2">
        <v>113.372</v>
      </c>
      <c r="Q1439">
        <v>2</v>
      </c>
      <c r="R1439" s="2">
        <v>-3.2391999999999999</v>
      </c>
      <c r="S1439" t="s">
        <v>83</v>
      </c>
      <c r="T1439" s="10">
        <v>4</v>
      </c>
      <c r="U1439" t="s">
        <v>96</v>
      </c>
    </row>
    <row r="1440" spans="1:21" x14ac:dyDescent="0.2">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s="2">
        <v>2.96</v>
      </c>
      <c r="Q1440">
        <v>2</v>
      </c>
      <c r="R1440" s="2">
        <v>-1.4059999999999999</v>
      </c>
      <c r="S1440" t="s">
        <v>83</v>
      </c>
      <c r="T1440" s="10">
        <v>4</v>
      </c>
      <c r="U1440" t="s">
        <v>96</v>
      </c>
    </row>
    <row r="1441" spans="1:21" x14ac:dyDescent="0.2">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s="2">
        <v>358.58</v>
      </c>
      <c r="Q1441">
        <v>2</v>
      </c>
      <c r="R1441" s="2">
        <v>39.443800000000003</v>
      </c>
      <c r="S1441" t="s">
        <v>83</v>
      </c>
      <c r="T1441" s="10">
        <v>4</v>
      </c>
      <c r="U1441" t="s">
        <v>71</v>
      </c>
    </row>
    <row r="1442" spans="1:21" x14ac:dyDescent="0.2">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s="2">
        <v>146.04</v>
      </c>
      <c r="Q1442">
        <v>1</v>
      </c>
      <c r="R1442" s="2">
        <v>-12.778499999999999</v>
      </c>
      <c r="S1442" t="s">
        <v>430</v>
      </c>
      <c r="T1442" s="10">
        <v>0</v>
      </c>
      <c r="U1442" t="s">
        <v>77</v>
      </c>
    </row>
    <row r="1443" spans="1:21" x14ac:dyDescent="0.2">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s="2">
        <v>22.72</v>
      </c>
      <c r="Q1443">
        <v>1</v>
      </c>
      <c r="R1443" s="2">
        <v>9.3152000000000008</v>
      </c>
      <c r="S1443" t="s">
        <v>58</v>
      </c>
      <c r="T1443" s="10">
        <v>5</v>
      </c>
      <c r="U1443" t="s">
        <v>48</v>
      </c>
    </row>
    <row r="1444" spans="1:21" x14ac:dyDescent="0.2">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s="2">
        <v>1059.1199999999999</v>
      </c>
      <c r="Q1444">
        <v>4</v>
      </c>
      <c r="R1444" s="2">
        <v>307.14479999999998</v>
      </c>
      <c r="S1444" t="s">
        <v>58</v>
      </c>
      <c r="T1444" s="10">
        <v>5</v>
      </c>
      <c r="U1444" t="s">
        <v>77</v>
      </c>
    </row>
    <row r="1445" spans="1:21" x14ac:dyDescent="0.2">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s="2">
        <v>478.48</v>
      </c>
      <c r="Q1445">
        <v>2</v>
      </c>
      <c r="R1445" s="2">
        <v>47.847999999999999</v>
      </c>
      <c r="S1445" t="s">
        <v>129</v>
      </c>
      <c r="T1445" s="10">
        <v>6</v>
      </c>
      <c r="U1445" t="s">
        <v>71</v>
      </c>
    </row>
    <row r="1446" spans="1:21" x14ac:dyDescent="0.2">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s="2">
        <v>59.92</v>
      </c>
      <c r="Q1446">
        <v>4</v>
      </c>
      <c r="R1446" s="2">
        <v>27.563199999999998</v>
      </c>
      <c r="S1446" t="s">
        <v>58</v>
      </c>
      <c r="T1446" s="10">
        <v>5</v>
      </c>
      <c r="U1446" t="s">
        <v>113</v>
      </c>
    </row>
    <row r="1447" spans="1:21" x14ac:dyDescent="0.2">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s="2">
        <v>1565.88</v>
      </c>
      <c r="Q1447">
        <v>6</v>
      </c>
      <c r="R1447" s="2">
        <v>407.12880000000001</v>
      </c>
      <c r="S1447" t="s">
        <v>83</v>
      </c>
      <c r="T1447" s="10">
        <v>4</v>
      </c>
      <c r="U1447" t="s">
        <v>169</v>
      </c>
    </row>
    <row r="1448" spans="1:21" x14ac:dyDescent="0.2">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s="2">
        <v>218.352</v>
      </c>
      <c r="Q1448">
        <v>3</v>
      </c>
      <c r="R1448" s="2">
        <v>-19.105799999999999</v>
      </c>
      <c r="S1448" t="s">
        <v>58</v>
      </c>
      <c r="T1448" s="10">
        <v>5</v>
      </c>
      <c r="U1448" t="s">
        <v>113</v>
      </c>
    </row>
    <row r="1449" spans="1:21" x14ac:dyDescent="0.2">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s="2">
        <v>2887.056</v>
      </c>
      <c r="Q1449">
        <v>9</v>
      </c>
      <c r="R1449" s="2">
        <v>180.441</v>
      </c>
      <c r="S1449" t="s">
        <v>47</v>
      </c>
      <c r="T1449" s="10">
        <v>7</v>
      </c>
      <c r="U1449" t="s">
        <v>253</v>
      </c>
    </row>
    <row r="1450" spans="1:21" x14ac:dyDescent="0.2">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s="2">
        <v>1652.94</v>
      </c>
      <c r="Q1450">
        <v>3</v>
      </c>
      <c r="R1450" s="2">
        <v>314.05860000000001</v>
      </c>
      <c r="S1450" t="s">
        <v>58</v>
      </c>
      <c r="T1450" s="10">
        <v>5</v>
      </c>
      <c r="U1450" t="s">
        <v>77</v>
      </c>
    </row>
    <row r="1451" spans="1:21" x14ac:dyDescent="0.2">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s="2">
        <v>131.376</v>
      </c>
      <c r="Q1451">
        <v>6</v>
      </c>
      <c r="R1451" s="2">
        <v>-95.247600000000006</v>
      </c>
      <c r="S1451" t="s">
        <v>430</v>
      </c>
      <c r="T1451" s="10">
        <v>0</v>
      </c>
      <c r="U1451" t="s">
        <v>48</v>
      </c>
    </row>
    <row r="1452" spans="1:21" x14ac:dyDescent="0.2">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s="2">
        <v>2003.92</v>
      </c>
      <c r="Q1452">
        <v>5</v>
      </c>
      <c r="R1452" s="2">
        <v>125.245</v>
      </c>
      <c r="S1452" t="s">
        <v>83</v>
      </c>
      <c r="T1452" s="10">
        <v>4</v>
      </c>
      <c r="U1452" t="s">
        <v>96</v>
      </c>
    </row>
    <row r="1453" spans="1:21" x14ac:dyDescent="0.2">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s="2">
        <v>1913.4</v>
      </c>
      <c r="Q1453">
        <v>9</v>
      </c>
      <c r="R1453" s="2">
        <v>401.81400000000002</v>
      </c>
      <c r="S1453" t="s">
        <v>83</v>
      </c>
      <c r="T1453" s="10">
        <v>4</v>
      </c>
      <c r="U1453" t="s">
        <v>96</v>
      </c>
    </row>
    <row r="1454" spans="1:21" x14ac:dyDescent="0.2">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s="2">
        <v>2567.84</v>
      </c>
      <c r="Q1454">
        <v>8</v>
      </c>
      <c r="R1454" s="2">
        <v>770.35199999999998</v>
      </c>
      <c r="S1454" t="s">
        <v>83</v>
      </c>
      <c r="T1454" s="10">
        <v>4</v>
      </c>
      <c r="U1454" t="s">
        <v>161</v>
      </c>
    </row>
    <row r="1455" spans="1:21" x14ac:dyDescent="0.2">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s="2">
        <v>20.32</v>
      </c>
      <c r="Q1455">
        <v>4</v>
      </c>
      <c r="R1455" s="2">
        <v>6.9088000000000003</v>
      </c>
      <c r="S1455" t="s">
        <v>83</v>
      </c>
      <c r="T1455" s="10">
        <v>4</v>
      </c>
      <c r="U1455" t="s">
        <v>77</v>
      </c>
    </row>
    <row r="1456" spans="1:21" x14ac:dyDescent="0.2">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s="2">
        <v>602.65099999999995</v>
      </c>
      <c r="Q1456">
        <v>7</v>
      </c>
      <c r="R1456" s="2">
        <v>-163.57669999999999</v>
      </c>
      <c r="S1456" t="s">
        <v>70</v>
      </c>
      <c r="T1456" s="10">
        <v>2</v>
      </c>
      <c r="U1456" t="s">
        <v>161</v>
      </c>
    </row>
    <row r="1457" spans="1:21" x14ac:dyDescent="0.2">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s="2">
        <v>14.76</v>
      </c>
      <c r="Q1457">
        <v>2</v>
      </c>
      <c r="R1457" s="2">
        <v>4.2804000000000002</v>
      </c>
      <c r="S1457" t="s">
        <v>58</v>
      </c>
      <c r="T1457" s="10">
        <v>5</v>
      </c>
      <c r="U1457" t="s">
        <v>96</v>
      </c>
    </row>
    <row r="1458" spans="1:21" x14ac:dyDescent="0.2">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s="2">
        <v>115.96</v>
      </c>
      <c r="Q1458">
        <v>2</v>
      </c>
      <c r="R1458" s="2">
        <v>25.511199999999999</v>
      </c>
      <c r="S1458" t="s">
        <v>83</v>
      </c>
      <c r="T1458" s="10">
        <v>4</v>
      </c>
      <c r="U1458" t="s">
        <v>71</v>
      </c>
    </row>
    <row r="1459" spans="1:21" x14ac:dyDescent="0.2">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s="2">
        <v>1403.92</v>
      </c>
      <c r="Q1459">
        <v>5</v>
      </c>
      <c r="R1459" s="2">
        <v>70.195999999999998</v>
      </c>
      <c r="S1459" t="s">
        <v>58</v>
      </c>
      <c r="T1459" s="10">
        <v>5</v>
      </c>
      <c r="U1459" t="s">
        <v>96</v>
      </c>
    </row>
    <row r="1460" spans="1:21" x14ac:dyDescent="0.2">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s="2">
        <v>681.40800000000002</v>
      </c>
      <c r="Q1460">
        <v>12</v>
      </c>
      <c r="R1460" s="2">
        <v>42.588000000000001</v>
      </c>
      <c r="S1460" t="s">
        <v>83</v>
      </c>
      <c r="T1460" s="10">
        <v>4</v>
      </c>
      <c r="U1460" t="s">
        <v>34</v>
      </c>
    </row>
    <row r="1461" spans="1:21" x14ac:dyDescent="0.2">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s="2">
        <v>31.984000000000002</v>
      </c>
      <c r="Q1461">
        <v>2</v>
      </c>
      <c r="R1461" s="2">
        <v>1.1994</v>
      </c>
      <c r="S1461" t="s">
        <v>83</v>
      </c>
      <c r="T1461" s="10">
        <v>4</v>
      </c>
      <c r="U1461" t="s">
        <v>71</v>
      </c>
    </row>
    <row r="1462" spans="1:21" x14ac:dyDescent="0.2">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s="2">
        <v>84.272000000000006</v>
      </c>
      <c r="Q1462">
        <v>2</v>
      </c>
      <c r="R1462" s="2">
        <v>-75.844800000000006</v>
      </c>
      <c r="S1462" t="s">
        <v>70</v>
      </c>
      <c r="T1462" s="10">
        <v>2</v>
      </c>
      <c r="U1462" t="s">
        <v>77</v>
      </c>
    </row>
    <row r="1463" spans="1:21" x14ac:dyDescent="0.2">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s="2">
        <v>523.91999999999996</v>
      </c>
      <c r="Q1463">
        <v>5</v>
      </c>
      <c r="R1463" s="2">
        <v>-26.196000000000002</v>
      </c>
      <c r="S1463" t="s">
        <v>83</v>
      </c>
      <c r="T1463" s="10">
        <v>4</v>
      </c>
      <c r="U1463" t="s">
        <v>77</v>
      </c>
    </row>
    <row r="1464" spans="1:21" x14ac:dyDescent="0.2">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s="2">
        <v>128.05799999999999</v>
      </c>
      <c r="Q1464">
        <v>3</v>
      </c>
      <c r="R1464" s="2">
        <v>-23.7822</v>
      </c>
      <c r="S1464" t="s">
        <v>83</v>
      </c>
      <c r="T1464" s="10">
        <v>4</v>
      </c>
      <c r="U1464" t="s">
        <v>113</v>
      </c>
    </row>
    <row r="1465" spans="1:21" x14ac:dyDescent="0.2">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s="2">
        <v>79.974000000000004</v>
      </c>
      <c r="Q1465">
        <v>3</v>
      </c>
      <c r="R1465" s="2">
        <v>-29.323799999999999</v>
      </c>
      <c r="S1465" t="s">
        <v>430</v>
      </c>
      <c r="T1465" s="10">
        <v>0</v>
      </c>
      <c r="U1465" t="s">
        <v>34</v>
      </c>
    </row>
    <row r="1466" spans="1:21" x14ac:dyDescent="0.2">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s="2">
        <v>51.75</v>
      </c>
      <c r="Q1466">
        <v>1</v>
      </c>
      <c r="R1466" s="2">
        <v>15.525</v>
      </c>
      <c r="S1466" t="s">
        <v>58</v>
      </c>
      <c r="T1466" s="10">
        <v>5</v>
      </c>
      <c r="U1466" t="s">
        <v>71</v>
      </c>
    </row>
    <row r="1467" spans="1:21" x14ac:dyDescent="0.2">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s="2">
        <v>24.85</v>
      </c>
      <c r="Q1467">
        <v>5</v>
      </c>
      <c r="R1467" s="2">
        <v>7.7035</v>
      </c>
      <c r="S1467" t="s">
        <v>33</v>
      </c>
      <c r="T1467" s="10">
        <v>3</v>
      </c>
      <c r="U1467" t="s">
        <v>169</v>
      </c>
    </row>
    <row r="1468" spans="1:21" x14ac:dyDescent="0.2">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s="2">
        <v>621.76</v>
      </c>
      <c r="Q1468">
        <v>4</v>
      </c>
      <c r="R1468" s="2">
        <v>46.631999999999998</v>
      </c>
      <c r="S1468" t="s">
        <v>83</v>
      </c>
      <c r="T1468" s="10">
        <v>4</v>
      </c>
      <c r="U1468" t="s">
        <v>59</v>
      </c>
    </row>
    <row r="1469" spans="1:21" x14ac:dyDescent="0.2">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s="2">
        <v>186.54</v>
      </c>
      <c r="Q1469">
        <v>3</v>
      </c>
      <c r="R1469" s="2">
        <v>41.038800000000002</v>
      </c>
      <c r="S1469" t="s">
        <v>58</v>
      </c>
      <c r="T1469" s="10">
        <v>5</v>
      </c>
      <c r="U1469" t="s">
        <v>34</v>
      </c>
    </row>
    <row r="1470" spans="1:21" x14ac:dyDescent="0.2">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s="2">
        <v>366.74400000000003</v>
      </c>
      <c r="Q1470">
        <v>4</v>
      </c>
      <c r="R1470" s="2">
        <v>-110.0232</v>
      </c>
      <c r="S1470" t="s">
        <v>83</v>
      </c>
      <c r="T1470" s="10">
        <v>4</v>
      </c>
      <c r="U1470" t="s">
        <v>195</v>
      </c>
    </row>
    <row r="1471" spans="1:21" x14ac:dyDescent="0.2">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s="2">
        <v>289.24</v>
      </c>
      <c r="Q1471">
        <v>7</v>
      </c>
      <c r="R1471" s="2">
        <v>26.031600000000001</v>
      </c>
      <c r="S1471" t="s">
        <v>70</v>
      </c>
      <c r="T1471" s="10">
        <v>2</v>
      </c>
      <c r="U1471" t="s">
        <v>253</v>
      </c>
    </row>
    <row r="1472" spans="1:21" x14ac:dyDescent="0.2">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s="2">
        <v>205.16399999999999</v>
      </c>
      <c r="Q1472">
        <v>2</v>
      </c>
      <c r="R1472" s="2">
        <v>13.6776</v>
      </c>
      <c r="S1472" t="s">
        <v>83</v>
      </c>
      <c r="T1472" s="10">
        <v>4</v>
      </c>
      <c r="U1472" t="s">
        <v>34</v>
      </c>
    </row>
    <row r="1473" spans="1:21" x14ac:dyDescent="0.2">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s="2">
        <v>8.5440000000000005</v>
      </c>
      <c r="Q1473">
        <v>2</v>
      </c>
      <c r="R1473" s="2">
        <v>-7.476</v>
      </c>
      <c r="S1473" t="s">
        <v>129</v>
      </c>
      <c r="T1473" s="10">
        <v>6</v>
      </c>
      <c r="U1473" t="s">
        <v>96</v>
      </c>
    </row>
    <row r="1474" spans="1:21" x14ac:dyDescent="0.2">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s="2">
        <v>598.45799999999997</v>
      </c>
      <c r="Q1474">
        <v>3</v>
      </c>
      <c r="R1474" s="2">
        <v>-42.747</v>
      </c>
      <c r="S1474" t="s">
        <v>83</v>
      </c>
      <c r="T1474" s="10">
        <v>4</v>
      </c>
      <c r="U1474" t="s">
        <v>253</v>
      </c>
    </row>
    <row r="1475" spans="1:21" x14ac:dyDescent="0.2">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s="2">
        <v>25.984000000000002</v>
      </c>
      <c r="Q1475">
        <v>1</v>
      </c>
      <c r="R1475" s="2">
        <v>-3.8976000000000002</v>
      </c>
      <c r="S1475" t="s">
        <v>83</v>
      </c>
      <c r="T1475" s="10">
        <v>4</v>
      </c>
      <c r="U1475" t="s">
        <v>253</v>
      </c>
    </row>
    <row r="1476" spans="1:21" x14ac:dyDescent="0.2">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s="2">
        <v>148.25700000000001</v>
      </c>
      <c r="Q1476">
        <v>3</v>
      </c>
      <c r="R1476" s="2">
        <v>15.697800000000001</v>
      </c>
      <c r="S1476" t="s">
        <v>70</v>
      </c>
      <c r="T1476" s="10">
        <v>2</v>
      </c>
      <c r="U1476" t="s">
        <v>96</v>
      </c>
    </row>
    <row r="1477" spans="1:21" x14ac:dyDescent="0.2">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s="2">
        <v>4.2240000000000002</v>
      </c>
      <c r="Q1477">
        <v>3</v>
      </c>
      <c r="R1477" s="2">
        <v>1.2672000000000001</v>
      </c>
      <c r="S1477" t="s">
        <v>83</v>
      </c>
      <c r="T1477" s="10">
        <v>4</v>
      </c>
      <c r="U1477" t="s">
        <v>253</v>
      </c>
    </row>
    <row r="1478" spans="1:21" x14ac:dyDescent="0.2">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s="2">
        <v>245.64599999999999</v>
      </c>
      <c r="Q1478">
        <v>3</v>
      </c>
      <c r="R1478" s="2">
        <v>8.1882000000000001</v>
      </c>
      <c r="S1478" t="s">
        <v>58</v>
      </c>
      <c r="T1478" s="10">
        <v>5</v>
      </c>
      <c r="U1478" t="s">
        <v>34</v>
      </c>
    </row>
    <row r="1479" spans="1:21" x14ac:dyDescent="0.2">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s="2">
        <v>523.39200000000005</v>
      </c>
      <c r="Q1479">
        <v>3</v>
      </c>
      <c r="R1479" s="2">
        <v>52.339199999999998</v>
      </c>
      <c r="S1479" t="s">
        <v>83</v>
      </c>
      <c r="T1479" s="10">
        <v>4</v>
      </c>
      <c r="U1479" t="s">
        <v>34</v>
      </c>
    </row>
    <row r="1480" spans="1:21" x14ac:dyDescent="0.2">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s="2">
        <v>124.36</v>
      </c>
      <c r="Q1480">
        <v>2</v>
      </c>
      <c r="R1480" s="2">
        <v>27.359200000000001</v>
      </c>
      <c r="S1480" t="s">
        <v>129</v>
      </c>
      <c r="T1480" s="10">
        <v>6</v>
      </c>
      <c r="U1480" t="s">
        <v>96</v>
      </c>
    </row>
    <row r="1481" spans="1:21" x14ac:dyDescent="0.2">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s="2">
        <v>198.744</v>
      </c>
      <c r="Q1481">
        <v>4</v>
      </c>
      <c r="R1481" s="2">
        <v>-14.196</v>
      </c>
      <c r="S1481" t="s">
        <v>58</v>
      </c>
      <c r="T1481" s="10">
        <v>5</v>
      </c>
      <c r="U1481" t="s">
        <v>71</v>
      </c>
    </row>
    <row r="1482" spans="1:21" x14ac:dyDescent="0.2">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s="2">
        <v>99.591999999999999</v>
      </c>
      <c r="Q1482">
        <v>1</v>
      </c>
      <c r="R1482" s="2">
        <v>2.4897999999999998</v>
      </c>
      <c r="S1482" t="s">
        <v>83</v>
      </c>
      <c r="T1482" s="10">
        <v>4</v>
      </c>
      <c r="U1482" t="s">
        <v>113</v>
      </c>
    </row>
    <row r="1483" spans="1:21" x14ac:dyDescent="0.2">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s="2">
        <v>363.92</v>
      </c>
      <c r="Q1483">
        <v>5</v>
      </c>
      <c r="R1483" s="2">
        <v>-31.843</v>
      </c>
      <c r="S1483" t="s">
        <v>430</v>
      </c>
      <c r="T1483" s="10">
        <v>0</v>
      </c>
      <c r="U1483" t="s">
        <v>96</v>
      </c>
    </row>
    <row r="1484" spans="1:21" x14ac:dyDescent="0.2">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s="2">
        <v>892.13599999999997</v>
      </c>
      <c r="Q1484">
        <v>7</v>
      </c>
      <c r="R1484" s="2">
        <v>111.517</v>
      </c>
      <c r="S1484" t="s">
        <v>430</v>
      </c>
      <c r="T1484" s="10">
        <v>0</v>
      </c>
      <c r="U1484" t="s">
        <v>96</v>
      </c>
    </row>
    <row r="1485" spans="1:21" x14ac:dyDescent="0.2">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s="2">
        <v>472.51799999999997</v>
      </c>
      <c r="Q1485">
        <v>3</v>
      </c>
      <c r="R1485" s="2">
        <v>-149.63069999999999</v>
      </c>
      <c r="S1485" t="s">
        <v>83</v>
      </c>
      <c r="T1485" s="10">
        <v>4</v>
      </c>
      <c r="U1485" t="s">
        <v>77</v>
      </c>
    </row>
    <row r="1486" spans="1:21" x14ac:dyDescent="0.2">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s="2">
        <v>760.11599999999999</v>
      </c>
      <c r="Q1486">
        <v>6</v>
      </c>
      <c r="R1486" s="2">
        <v>-43.435200000000002</v>
      </c>
      <c r="S1486" t="s">
        <v>70</v>
      </c>
      <c r="T1486" s="10">
        <v>2</v>
      </c>
      <c r="U1486" t="s">
        <v>59</v>
      </c>
    </row>
    <row r="1487" spans="1:21" x14ac:dyDescent="0.2">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s="2">
        <v>38.783999999999999</v>
      </c>
      <c r="Q1487">
        <v>3</v>
      </c>
      <c r="R1487" s="2">
        <v>7.2720000000000002</v>
      </c>
      <c r="S1487" t="s">
        <v>70</v>
      </c>
      <c r="T1487" s="10">
        <v>2</v>
      </c>
      <c r="U1487" t="s">
        <v>59</v>
      </c>
    </row>
    <row r="1488" spans="1:21" x14ac:dyDescent="0.2">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s="2">
        <v>1685.88</v>
      </c>
      <c r="Q1488">
        <v>6</v>
      </c>
      <c r="R1488" s="2">
        <v>320.31720000000001</v>
      </c>
      <c r="S1488" t="s">
        <v>123</v>
      </c>
      <c r="T1488" s="10">
        <v>1</v>
      </c>
      <c r="U1488" t="s">
        <v>161</v>
      </c>
    </row>
    <row r="1489" spans="1:21" x14ac:dyDescent="0.2">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s="2">
        <v>141.96</v>
      </c>
      <c r="Q1489">
        <v>2</v>
      </c>
      <c r="R1489" s="2">
        <v>41.168399999999998</v>
      </c>
      <c r="S1489" t="s">
        <v>47</v>
      </c>
      <c r="T1489" s="10">
        <v>7</v>
      </c>
      <c r="U1489" t="s">
        <v>96</v>
      </c>
    </row>
    <row r="1490" spans="1:21" x14ac:dyDescent="0.2">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s="2">
        <v>10.02</v>
      </c>
      <c r="Q1490">
        <v>3</v>
      </c>
      <c r="R1490" s="2">
        <v>4.4088000000000003</v>
      </c>
      <c r="S1490" t="s">
        <v>47</v>
      </c>
      <c r="T1490" s="10">
        <v>7</v>
      </c>
      <c r="U1490" t="s">
        <v>253</v>
      </c>
    </row>
    <row r="1491" spans="1:21" x14ac:dyDescent="0.2">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s="2">
        <v>19.920000000000002</v>
      </c>
      <c r="Q1491">
        <v>4</v>
      </c>
      <c r="R1491" s="2">
        <v>6.5735999999999999</v>
      </c>
      <c r="S1491" t="s">
        <v>129</v>
      </c>
      <c r="T1491" s="10">
        <v>6</v>
      </c>
      <c r="U1491" t="s">
        <v>34</v>
      </c>
    </row>
    <row r="1492" spans="1:21" x14ac:dyDescent="0.2">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s="2">
        <v>257.94</v>
      </c>
      <c r="Q1492">
        <v>3</v>
      </c>
      <c r="R1492" s="2">
        <v>67.064400000000006</v>
      </c>
      <c r="S1492" t="s">
        <v>58</v>
      </c>
      <c r="T1492" s="10">
        <v>5</v>
      </c>
      <c r="U1492" t="s">
        <v>34</v>
      </c>
    </row>
    <row r="1493" spans="1:21" x14ac:dyDescent="0.2">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s="2">
        <v>27.46</v>
      </c>
      <c r="Q1493">
        <v>2</v>
      </c>
      <c r="R1493" s="2">
        <v>9.8856000000000002</v>
      </c>
      <c r="S1493" t="s">
        <v>58</v>
      </c>
      <c r="T1493" s="10">
        <v>5</v>
      </c>
      <c r="U1493" t="s">
        <v>34</v>
      </c>
    </row>
    <row r="1494" spans="1:21" x14ac:dyDescent="0.2">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s="2">
        <v>828.6</v>
      </c>
      <c r="Q1494">
        <v>3</v>
      </c>
      <c r="R1494" s="2">
        <v>240.29400000000001</v>
      </c>
      <c r="S1494" t="s">
        <v>58</v>
      </c>
      <c r="T1494" s="10">
        <v>5</v>
      </c>
      <c r="U1494" t="s">
        <v>34</v>
      </c>
    </row>
    <row r="1495" spans="1:21" x14ac:dyDescent="0.2">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s="2">
        <v>290.35199999999998</v>
      </c>
      <c r="Q1495">
        <v>3</v>
      </c>
      <c r="R1495" s="2">
        <v>-36.293999999999997</v>
      </c>
      <c r="S1495" t="s">
        <v>47</v>
      </c>
      <c r="T1495" s="10">
        <v>7</v>
      </c>
      <c r="U1495" t="s">
        <v>34</v>
      </c>
    </row>
    <row r="1496" spans="1:21" x14ac:dyDescent="0.2">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s="2">
        <v>135.30000000000001</v>
      </c>
      <c r="Q1496">
        <v>5</v>
      </c>
      <c r="R1496" s="2">
        <v>37.884</v>
      </c>
      <c r="S1496" t="s">
        <v>430</v>
      </c>
      <c r="T1496" s="10">
        <v>0</v>
      </c>
      <c r="U1496" t="s">
        <v>77</v>
      </c>
    </row>
    <row r="1497" spans="1:21" x14ac:dyDescent="0.2">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s="2">
        <v>111.15</v>
      </c>
      <c r="Q1497">
        <v>5</v>
      </c>
      <c r="R1497" s="2">
        <v>48.905999999999999</v>
      </c>
      <c r="S1497" t="s">
        <v>58</v>
      </c>
      <c r="T1497" s="10">
        <v>5</v>
      </c>
      <c r="U1497" t="s">
        <v>34</v>
      </c>
    </row>
    <row r="1498" spans="1:21" x14ac:dyDescent="0.2">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s="2">
        <v>154.76400000000001</v>
      </c>
      <c r="Q1498">
        <v>3</v>
      </c>
      <c r="R1498" s="2">
        <v>-46.429200000000002</v>
      </c>
      <c r="S1498" t="s">
        <v>58</v>
      </c>
      <c r="T1498" s="10">
        <v>5</v>
      </c>
      <c r="U1498" t="s">
        <v>195</v>
      </c>
    </row>
    <row r="1499" spans="1:21" x14ac:dyDescent="0.2">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s="2">
        <v>141.96</v>
      </c>
      <c r="Q1499">
        <v>2</v>
      </c>
      <c r="R1499" s="2">
        <v>35.49</v>
      </c>
      <c r="S1499" t="s">
        <v>83</v>
      </c>
      <c r="T1499" s="10">
        <v>4</v>
      </c>
      <c r="U1499" t="s">
        <v>96</v>
      </c>
    </row>
    <row r="1500" spans="1:21" x14ac:dyDescent="0.2">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s="2">
        <v>182.55</v>
      </c>
      <c r="Q1500">
        <v>2</v>
      </c>
      <c r="R1500" s="2">
        <v>-135.08699999999999</v>
      </c>
      <c r="S1500" t="s">
        <v>33</v>
      </c>
      <c r="T1500" s="10">
        <v>3</v>
      </c>
      <c r="U1500" t="s">
        <v>96</v>
      </c>
    </row>
    <row r="1501" spans="1:21" x14ac:dyDescent="0.2">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s="2">
        <v>275.88</v>
      </c>
      <c r="Q1501">
        <v>6</v>
      </c>
      <c r="R1501" s="2">
        <v>46.8996</v>
      </c>
      <c r="S1501" t="s">
        <v>70</v>
      </c>
      <c r="T1501" s="10">
        <v>2</v>
      </c>
      <c r="U1501" t="s">
        <v>96</v>
      </c>
    </row>
    <row r="1502" spans="1:21" x14ac:dyDescent="0.2">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s="2">
        <v>717.72</v>
      </c>
      <c r="Q1502">
        <v>3</v>
      </c>
      <c r="R1502" s="2">
        <v>71.772000000000006</v>
      </c>
      <c r="S1502" t="s">
        <v>70</v>
      </c>
      <c r="T1502" s="10">
        <v>2</v>
      </c>
      <c r="U1502" t="s">
        <v>71</v>
      </c>
    </row>
    <row r="1503" spans="1:21" x14ac:dyDescent="0.2">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s="2">
        <v>170.352</v>
      </c>
      <c r="Q1503">
        <v>3</v>
      </c>
      <c r="R1503" s="2">
        <v>19.1646</v>
      </c>
      <c r="S1503" t="s">
        <v>70</v>
      </c>
      <c r="T1503" s="10">
        <v>2</v>
      </c>
      <c r="U1503" t="s">
        <v>71</v>
      </c>
    </row>
    <row r="1504" spans="1:21" x14ac:dyDescent="0.2">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s="2">
        <v>145.76400000000001</v>
      </c>
      <c r="Q1504">
        <v>2</v>
      </c>
      <c r="R1504" s="2">
        <v>3.2391999999999999</v>
      </c>
      <c r="S1504" t="s">
        <v>129</v>
      </c>
      <c r="T1504" s="10">
        <v>6</v>
      </c>
      <c r="U1504" t="s">
        <v>48</v>
      </c>
    </row>
    <row r="1505" spans="1:21" x14ac:dyDescent="0.2">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s="2">
        <v>908.82</v>
      </c>
      <c r="Q1505">
        <v>9</v>
      </c>
      <c r="R1505" s="2">
        <v>227.20500000000001</v>
      </c>
      <c r="S1505" t="s">
        <v>70</v>
      </c>
      <c r="T1505" s="10">
        <v>2</v>
      </c>
      <c r="U1505" t="s">
        <v>113</v>
      </c>
    </row>
    <row r="1506" spans="1:21" x14ac:dyDescent="0.2">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s="2">
        <v>74.591999999999999</v>
      </c>
      <c r="Q1506">
        <v>4</v>
      </c>
      <c r="R1506" s="2">
        <v>-2.1312000000000002</v>
      </c>
      <c r="S1506" t="s">
        <v>47</v>
      </c>
      <c r="T1506" s="10">
        <v>7</v>
      </c>
      <c r="U1506" t="s">
        <v>253</v>
      </c>
    </row>
    <row r="1507" spans="1:21" x14ac:dyDescent="0.2">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s="2">
        <v>16.783999999999999</v>
      </c>
      <c r="Q1507">
        <v>2</v>
      </c>
      <c r="R1507" s="2">
        <v>-22.238800000000001</v>
      </c>
      <c r="S1507" t="s">
        <v>47</v>
      </c>
      <c r="T1507" s="10">
        <v>7</v>
      </c>
      <c r="U1507" t="s">
        <v>253</v>
      </c>
    </row>
    <row r="1508" spans="1:21" x14ac:dyDescent="0.2">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s="2">
        <v>674.35199999999998</v>
      </c>
      <c r="Q1508">
        <v>3</v>
      </c>
      <c r="R1508" s="2">
        <v>-8.4293999999999993</v>
      </c>
      <c r="S1508" t="s">
        <v>33</v>
      </c>
      <c r="T1508" s="10">
        <v>3</v>
      </c>
      <c r="U1508" t="s">
        <v>34</v>
      </c>
    </row>
    <row r="1509" spans="1:21" x14ac:dyDescent="0.2">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s="2">
        <v>19.54</v>
      </c>
      <c r="Q1509">
        <v>2</v>
      </c>
      <c r="R1509" s="2">
        <v>7.2298</v>
      </c>
      <c r="S1509" t="s">
        <v>83</v>
      </c>
      <c r="T1509" s="10">
        <v>4</v>
      </c>
      <c r="U1509" t="s">
        <v>34</v>
      </c>
    </row>
    <row r="1510" spans="1:21" x14ac:dyDescent="0.2">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s="2">
        <v>331.02300000000002</v>
      </c>
      <c r="Q1510">
        <v>7</v>
      </c>
      <c r="R1510" s="2">
        <v>-114.35339999999999</v>
      </c>
      <c r="S1510" t="s">
        <v>129</v>
      </c>
      <c r="T1510" s="10">
        <v>6</v>
      </c>
      <c r="U1510" t="s">
        <v>34</v>
      </c>
    </row>
    <row r="1511" spans="1:21" x14ac:dyDescent="0.2">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s="2">
        <v>756.8</v>
      </c>
      <c r="Q1511">
        <v>5</v>
      </c>
      <c r="R1511" s="2">
        <v>75.680000000000007</v>
      </c>
      <c r="S1511" t="s">
        <v>430</v>
      </c>
      <c r="T1511" s="10">
        <v>0</v>
      </c>
      <c r="U1511" t="s">
        <v>48</v>
      </c>
    </row>
    <row r="1512" spans="1:21" x14ac:dyDescent="0.2">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s="2">
        <v>8.7360000000000007</v>
      </c>
      <c r="Q1512">
        <v>3</v>
      </c>
      <c r="R1512" s="2">
        <v>-4.8048000000000002</v>
      </c>
      <c r="S1512" t="s">
        <v>83</v>
      </c>
      <c r="T1512" s="10">
        <v>4</v>
      </c>
      <c r="U1512" t="s">
        <v>96</v>
      </c>
    </row>
    <row r="1513" spans="1:21" x14ac:dyDescent="0.2">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s="2">
        <v>17.46</v>
      </c>
      <c r="Q1513">
        <v>2</v>
      </c>
      <c r="R1513" s="2">
        <v>5.9363999999999999</v>
      </c>
      <c r="S1513" t="s">
        <v>83</v>
      </c>
      <c r="T1513" s="10">
        <v>4</v>
      </c>
      <c r="U1513" t="s">
        <v>48</v>
      </c>
    </row>
    <row r="1514" spans="1:21" x14ac:dyDescent="0.2">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s="2">
        <v>30.8</v>
      </c>
      <c r="Q1514">
        <v>4</v>
      </c>
      <c r="R1514" s="2">
        <v>10.164</v>
      </c>
      <c r="S1514" t="s">
        <v>83</v>
      </c>
      <c r="T1514" s="10">
        <v>4</v>
      </c>
      <c r="U1514" t="s">
        <v>71</v>
      </c>
    </row>
    <row r="1515" spans="1:21" x14ac:dyDescent="0.2">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s="2">
        <v>113.6</v>
      </c>
      <c r="Q1515">
        <v>8</v>
      </c>
      <c r="R1515" s="2">
        <v>44.304000000000002</v>
      </c>
      <c r="S1515" t="s">
        <v>83</v>
      </c>
      <c r="T1515" s="10">
        <v>4</v>
      </c>
      <c r="U1515" t="s">
        <v>195</v>
      </c>
    </row>
    <row r="1516" spans="1:21" x14ac:dyDescent="0.2">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s="2">
        <v>43.96</v>
      </c>
      <c r="Q1516">
        <v>7</v>
      </c>
      <c r="R1516" s="2">
        <v>18.463200000000001</v>
      </c>
      <c r="S1516" t="s">
        <v>129</v>
      </c>
      <c r="T1516" s="10">
        <v>6</v>
      </c>
      <c r="U1516" t="s">
        <v>96</v>
      </c>
    </row>
    <row r="1517" spans="1:21" x14ac:dyDescent="0.2">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s="2">
        <v>66.36</v>
      </c>
      <c r="Q1517">
        <v>7</v>
      </c>
      <c r="R1517" s="2">
        <v>26.544</v>
      </c>
      <c r="S1517" t="s">
        <v>70</v>
      </c>
      <c r="T1517" s="10">
        <v>2</v>
      </c>
      <c r="U1517" t="s">
        <v>113</v>
      </c>
    </row>
    <row r="1518" spans="1:21" x14ac:dyDescent="0.2">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s="2">
        <v>24.14</v>
      </c>
      <c r="Q1518">
        <v>2</v>
      </c>
      <c r="R1518" s="2">
        <v>7.9661999999999997</v>
      </c>
      <c r="S1518" t="s">
        <v>70</v>
      </c>
      <c r="T1518" s="10">
        <v>2</v>
      </c>
      <c r="U1518" t="s">
        <v>113</v>
      </c>
    </row>
    <row r="1519" spans="1:21" x14ac:dyDescent="0.2">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s="2">
        <v>4416.174</v>
      </c>
      <c r="Q1519">
        <v>9</v>
      </c>
      <c r="R1519" s="2">
        <v>-630.88199999999995</v>
      </c>
      <c r="S1519" t="s">
        <v>58</v>
      </c>
      <c r="T1519" s="10">
        <v>5</v>
      </c>
      <c r="U1519" t="s">
        <v>253</v>
      </c>
    </row>
    <row r="1520" spans="1:21" x14ac:dyDescent="0.2">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s="2">
        <v>302.45</v>
      </c>
      <c r="Q1520">
        <v>5</v>
      </c>
      <c r="R1520" s="2">
        <v>-199.61699999999999</v>
      </c>
      <c r="S1520" t="s">
        <v>58</v>
      </c>
      <c r="T1520" s="10">
        <v>5</v>
      </c>
      <c r="U1520" t="s">
        <v>195</v>
      </c>
    </row>
    <row r="1521" spans="1:21" x14ac:dyDescent="0.2">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s="2">
        <v>47.4</v>
      </c>
      <c r="Q1521">
        <v>5</v>
      </c>
      <c r="R1521" s="2">
        <v>21.33</v>
      </c>
      <c r="S1521" t="s">
        <v>58</v>
      </c>
      <c r="T1521" s="10">
        <v>5</v>
      </c>
      <c r="U1521" t="s">
        <v>161</v>
      </c>
    </row>
    <row r="1522" spans="1:21" x14ac:dyDescent="0.2">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s="2">
        <v>155.37200000000001</v>
      </c>
      <c r="Q1522">
        <v>2</v>
      </c>
      <c r="R1522" s="2">
        <v>-35.513599999999997</v>
      </c>
      <c r="S1522" t="s">
        <v>33</v>
      </c>
      <c r="T1522" s="10">
        <v>3</v>
      </c>
      <c r="U1522" t="s">
        <v>34</v>
      </c>
    </row>
    <row r="1523" spans="1:21" x14ac:dyDescent="0.2">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s="2">
        <v>315.77600000000001</v>
      </c>
      <c r="Q1523">
        <v>8</v>
      </c>
      <c r="R1523" s="2">
        <v>31.5776</v>
      </c>
      <c r="S1523" t="s">
        <v>129</v>
      </c>
      <c r="T1523" s="10">
        <v>6</v>
      </c>
      <c r="U1523" t="s">
        <v>169</v>
      </c>
    </row>
    <row r="1524" spans="1:21" x14ac:dyDescent="0.2">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s="2">
        <v>273.666</v>
      </c>
      <c r="Q1524">
        <v>2</v>
      </c>
      <c r="R1524" s="2">
        <v>-12.878399999999999</v>
      </c>
      <c r="S1524" t="s">
        <v>129</v>
      </c>
      <c r="T1524" s="10">
        <v>6</v>
      </c>
      <c r="U1524" t="s">
        <v>77</v>
      </c>
    </row>
    <row r="1525" spans="1:21" x14ac:dyDescent="0.2">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s="2">
        <v>63.98</v>
      </c>
      <c r="Q1525">
        <v>7</v>
      </c>
      <c r="R1525" s="2">
        <v>21.7532</v>
      </c>
      <c r="S1525" t="s">
        <v>83</v>
      </c>
      <c r="T1525" s="10">
        <v>4</v>
      </c>
      <c r="U1525" t="s">
        <v>34</v>
      </c>
    </row>
    <row r="1526" spans="1:21" x14ac:dyDescent="0.2">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s="2">
        <v>66.111999999999995</v>
      </c>
      <c r="Q1526">
        <v>2</v>
      </c>
      <c r="R1526" s="2">
        <v>-9.0904000000000007</v>
      </c>
      <c r="S1526" t="s">
        <v>83</v>
      </c>
      <c r="T1526" s="10">
        <v>4</v>
      </c>
      <c r="U1526" t="s">
        <v>77</v>
      </c>
    </row>
    <row r="1527" spans="1:21" x14ac:dyDescent="0.2">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s="2">
        <v>57.69</v>
      </c>
      <c r="Q1527">
        <v>3</v>
      </c>
      <c r="R1527" s="2">
        <v>23.652899999999999</v>
      </c>
      <c r="S1527" t="s">
        <v>58</v>
      </c>
      <c r="T1527" s="10">
        <v>5</v>
      </c>
      <c r="U1527" t="s">
        <v>59</v>
      </c>
    </row>
    <row r="1528" spans="1:21" x14ac:dyDescent="0.2">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s="2">
        <v>59.99</v>
      </c>
      <c r="Q1528">
        <v>7</v>
      </c>
      <c r="R1528" s="2">
        <v>21.596399999999999</v>
      </c>
      <c r="S1528" t="s">
        <v>129</v>
      </c>
      <c r="T1528" s="10">
        <v>6</v>
      </c>
      <c r="U1528" t="s">
        <v>169</v>
      </c>
    </row>
    <row r="1529" spans="1:21" x14ac:dyDescent="0.2">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s="2">
        <v>20.239999999999998</v>
      </c>
      <c r="Q1529">
        <v>1</v>
      </c>
      <c r="R1529" s="2">
        <v>7.8936000000000002</v>
      </c>
      <c r="S1529" t="s">
        <v>58</v>
      </c>
      <c r="T1529" s="10">
        <v>5</v>
      </c>
      <c r="U1529" t="s">
        <v>161</v>
      </c>
    </row>
    <row r="1530" spans="1:21" x14ac:dyDescent="0.2">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s="2">
        <v>292.10000000000002</v>
      </c>
      <c r="Q1530">
        <v>4</v>
      </c>
      <c r="R1530" s="2">
        <v>-175.26</v>
      </c>
      <c r="S1530" t="s">
        <v>33</v>
      </c>
      <c r="T1530" s="10">
        <v>3</v>
      </c>
      <c r="U1530" t="s">
        <v>34</v>
      </c>
    </row>
    <row r="1531" spans="1:21" x14ac:dyDescent="0.2">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s="2">
        <v>8.5440000000000005</v>
      </c>
      <c r="Q1531">
        <v>2</v>
      </c>
      <c r="R1531" s="2">
        <v>-7.476</v>
      </c>
      <c r="S1531" t="s">
        <v>33</v>
      </c>
      <c r="T1531" s="10">
        <v>3</v>
      </c>
      <c r="U1531" t="s">
        <v>34</v>
      </c>
    </row>
    <row r="1532" spans="1:21" x14ac:dyDescent="0.2">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s="2">
        <v>424.11599999999999</v>
      </c>
      <c r="Q1532">
        <v>6</v>
      </c>
      <c r="R1532" s="2">
        <v>-30.294</v>
      </c>
      <c r="S1532" t="s">
        <v>33</v>
      </c>
      <c r="T1532" s="10">
        <v>3</v>
      </c>
      <c r="U1532" t="s">
        <v>34</v>
      </c>
    </row>
    <row r="1533" spans="1:21" x14ac:dyDescent="0.2">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s="2">
        <v>97.183999999999997</v>
      </c>
      <c r="Q1533">
        <v>2</v>
      </c>
      <c r="R1533" s="2">
        <v>6.0739999999999998</v>
      </c>
      <c r="S1533" t="s">
        <v>83</v>
      </c>
      <c r="T1533" s="10">
        <v>4</v>
      </c>
      <c r="U1533" t="s">
        <v>77</v>
      </c>
    </row>
    <row r="1534" spans="1:21" x14ac:dyDescent="0.2">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s="2">
        <v>890.84100000000001</v>
      </c>
      <c r="Q1534">
        <v>3</v>
      </c>
      <c r="R1534" s="2">
        <v>-152.71559999999999</v>
      </c>
      <c r="S1534" t="s">
        <v>83</v>
      </c>
      <c r="T1534" s="10">
        <v>4</v>
      </c>
      <c r="U1534" t="s">
        <v>195</v>
      </c>
    </row>
    <row r="1535" spans="1:21" x14ac:dyDescent="0.2">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s="2">
        <v>113.88800000000001</v>
      </c>
      <c r="Q1535">
        <v>2</v>
      </c>
      <c r="R1535" s="2">
        <v>9.9651999999999994</v>
      </c>
      <c r="S1535" t="s">
        <v>70</v>
      </c>
      <c r="T1535" s="10">
        <v>2</v>
      </c>
      <c r="U1535" t="s">
        <v>34</v>
      </c>
    </row>
    <row r="1536" spans="1:21" x14ac:dyDescent="0.2">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s="2">
        <v>142.18199999999999</v>
      </c>
      <c r="Q1536">
        <v>1</v>
      </c>
      <c r="R1536" s="2">
        <v>-37.915199999999999</v>
      </c>
      <c r="S1536" t="s">
        <v>83</v>
      </c>
      <c r="T1536" s="10">
        <v>4</v>
      </c>
      <c r="U1536" t="s">
        <v>48</v>
      </c>
    </row>
    <row r="1537" spans="1:21" x14ac:dyDescent="0.2">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s="2">
        <v>135.30000000000001</v>
      </c>
      <c r="Q1537">
        <v>5</v>
      </c>
      <c r="R1537" s="2">
        <v>37.884</v>
      </c>
      <c r="S1537" t="s">
        <v>33</v>
      </c>
      <c r="T1537" s="10">
        <v>3</v>
      </c>
      <c r="U1537" t="s">
        <v>34</v>
      </c>
    </row>
    <row r="1538" spans="1:21" x14ac:dyDescent="0.2">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s="2">
        <v>41.96</v>
      </c>
      <c r="Q1538">
        <v>2</v>
      </c>
      <c r="R1538" s="2">
        <v>10.909599999999999</v>
      </c>
      <c r="S1538" t="s">
        <v>33</v>
      </c>
      <c r="T1538" s="10">
        <v>3</v>
      </c>
      <c r="U1538" t="s">
        <v>96</v>
      </c>
    </row>
    <row r="1539" spans="1:21" x14ac:dyDescent="0.2">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s="2">
        <v>111</v>
      </c>
      <c r="Q1539">
        <v>2</v>
      </c>
      <c r="R1539" s="2">
        <v>14.43</v>
      </c>
      <c r="S1539" t="s">
        <v>129</v>
      </c>
      <c r="T1539" s="10">
        <v>6</v>
      </c>
      <c r="U1539" t="s">
        <v>195</v>
      </c>
    </row>
    <row r="1540" spans="1:21" x14ac:dyDescent="0.2">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s="2">
        <v>22.751999999999999</v>
      </c>
      <c r="Q1540">
        <v>6</v>
      </c>
      <c r="R1540" s="2">
        <v>-8.532</v>
      </c>
      <c r="S1540" t="s">
        <v>123</v>
      </c>
      <c r="T1540" s="10">
        <v>1</v>
      </c>
      <c r="U1540" t="s">
        <v>34</v>
      </c>
    </row>
    <row r="1541" spans="1:21" x14ac:dyDescent="0.2">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s="2">
        <v>67.36</v>
      </c>
      <c r="Q1541">
        <v>2</v>
      </c>
      <c r="R1541" s="2">
        <v>10.103999999999999</v>
      </c>
      <c r="S1541" t="s">
        <v>129</v>
      </c>
      <c r="T1541" s="10">
        <v>6</v>
      </c>
      <c r="U1541" t="s">
        <v>113</v>
      </c>
    </row>
    <row r="1542" spans="1:21" x14ac:dyDescent="0.2">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s="2">
        <v>54.527999999999999</v>
      </c>
      <c r="Q1542">
        <v>3</v>
      </c>
      <c r="R1542" s="2">
        <v>14.313599999999999</v>
      </c>
      <c r="S1542" t="s">
        <v>129</v>
      </c>
      <c r="T1542" s="10">
        <v>6</v>
      </c>
      <c r="U1542" t="s">
        <v>113</v>
      </c>
    </row>
    <row r="1543" spans="1:21" x14ac:dyDescent="0.2">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s="2">
        <v>449.56799999999998</v>
      </c>
      <c r="Q1543">
        <v>2</v>
      </c>
      <c r="R1543" s="2">
        <v>56.195999999999998</v>
      </c>
      <c r="S1543" t="s">
        <v>58</v>
      </c>
      <c r="T1543" s="10">
        <v>5</v>
      </c>
      <c r="U1543" t="s">
        <v>96</v>
      </c>
    </row>
    <row r="1544" spans="1:21" x14ac:dyDescent="0.2">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s="2">
        <v>192.18600000000001</v>
      </c>
      <c r="Q1544">
        <v>3</v>
      </c>
      <c r="R1544" s="2">
        <v>36.3018</v>
      </c>
      <c r="S1544" t="s">
        <v>33</v>
      </c>
      <c r="T1544" s="10">
        <v>3</v>
      </c>
      <c r="U1544" t="s">
        <v>96</v>
      </c>
    </row>
    <row r="1545" spans="1:21" x14ac:dyDescent="0.2">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s="2">
        <v>67.88</v>
      </c>
      <c r="Q1545">
        <v>2</v>
      </c>
      <c r="R1545" s="2">
        <v>18.3276</v>
      </c>
      <c r="S1545" t="s">
        <v>129</v>
      </c>
      <c r="T1545" s="10">
        <v>6</v>
      </c>
      <c r="U1545" t="s">
        <v>71</v>
      </c>
    </row>
    <row r="1546" spans="1:21" x14ac:dyDescent="0.2">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s="2">
        <v>25.71</v>
      </c>
      <c r="Q1546">
        <v>3</v>
      </c>
      <c r="R1546" s="2">
        <v>9.2555999999999994</v>
      </c>
      <c r="S1546" t="s">
        <v>129</v>
      </c>
      <c r="T1546" s="10">
        <v>6</v>
      </c>
      <c r="U1546" t="s">
        <v>71</v>
      </c>
    </row>
    <row r="1547" spans="1:21" x14ac:dyDescent="0.2">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s="2">
        <v>721.875</v>
      </c>
      <c r="Q1547">
        <v>6</v>
      </c>
      <c r="R1547" s="2">
        <v>-420</v>
      </c>
      <c r="S1547" t="s">
        <v>129</v>
      </c>
      <c r="T1547" s="10">
        <v>6</v>
      </c>
      <c r="U1547" t="s">
        <v>96</v>
      </c>
    </row>
    <row r="1548" spans="1:21" x14ac:dyDescent="0.2">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s="2">
        <v>64.784000000000006</v>
      </c>
      <c r="Q1548">
        <v>1</v>
      </c>
      <c r="R1548" s="2">
        <v>-12.147</v>
      </c>
      <c r="S1548" t="s">
        <v>129</v>
      </c>
      <c r="T1548" s="10">
        <v>6</v>
      </c>
      <c r="U1548" t="s">
        <v>96</v>
      </c>
    </row>
    <row r="1549" spans="1:21" x14ac:dyDescent="0.2">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s="2">
        <v>169.56800000000001</v>
      </c>
      <c r="Q1549">
        <v>2</v>
      </c>
      <c r="R1549" s="2">
        <v>0</v>
      </c>
      <c r="S1549" t="s">
        <v>58</v>
      </c>
      <c r="T1549" s="10">
        <v>5</v>
      </c>
      <c r="U1549" t="s">
        <v>48</v>
      </c>
    </row>
    <row r="1550" spans="1:21" x14ac:dyDescent="0.2">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s="2">
        <v>523.76400000000001</v>
      </c>
      <c r="Q1550">
        <v>3</v>
      </c>
      <c r="R1550" s="2">
        <v>-192.04679999999999</v>
      </c>
      <c r="S1550" t="s">
        <v>83</v>
      </c>
      <c r="T1550" s="10">
        <v>4</v>
      </c>
      <c r="U1550" t="s">
        <v>96</v>
      </c>
    </row>
    <row r="1551" spans="1:21" x14ac:dyDescent="0.2">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s="2">
        <v>194.352</v>
      </c>
      <c r="Q1551">
        <v>3</v>
      </c>
      <c r="R1551" s="2">
        <v>-36.441000000000003</v>
      </c>
      <c r="S1551" t="s">
        <v>70</v>
      </c>
      <c r="T1551" s="10">
        <v>2</v>
      </c>
      <c r="U1551" t="s">
        <v>113</v>
      </c>
    </row>
    <row r="1552" spans="1:21" x14ac:dyDescent="0.2">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s="2">
        <v>347.80200000000002</v>
      </c>
      <c r="Q1552">
        <v>7</v>
      </c>
      <c r="R1552" s="2">
        <v>-24.843</v>
      </c>
      <c r="S1552" t="s">
        <v>129</v>
      </c>
      <c r="T1552" s="10">
        <v>6</v>
      </c>
      <c r="U1552" t="s">
        <v>34</v>
      </c>
    </row>
    <row r="1553" spans="1:21" x14ac:dyDescent="0.2">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s="2">
        <v>1336.44</v>
      </c>
      <c r="Q1553">
        <v>14</v>
      </c>
      <c r="R1553" s="2">
        <v>387.56760000000003</v>
      </c>
      <c r="S1553" t="s">
        <v>58</v>
      </c>
      <c r="T1553" s="10">
        <v>5</v>
      </c>
      <c r="U1553" t="s">
        <v>77</v>
      </c>
    </row>
    <row r="1554" spans="1:21" x14ac:dyDescent="0.2">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s="2">
        <v>390.36799999999999</v>
      </c>
      <c r="Q1554">
        <v>2</v>
      </c>
      <c r="R1554" s="2">
        <v>48.795999999999999</v>
      </c>
      <c r="S1554" t="s">
        <v>83</v>
      </c>
      <c r="T1554" s="10">
        <v>4</v>
      </c>
      <c r="U1554" t="s">
        <v>34</v>
      </c>
    </row>
    <row r="1555" spans="1:21" x14ac:dyDescent="0.2">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s="2">
        <v>101.52</v>
      </c>
      <c r="Q1555">
        <v>5</v>
      </c>
      <c r="R1555" s="2">
        <v>19.035</v>
      </c>
      <c r="S1555" t="s">
        <v>83</v>
      </c>
      <c r="T1555" s="10">
        <v>4</v>
      </c>
      <c r="U1555" t="s">
        <v>34</v>
      </c>
    </row>
    <row r="1556" spans="1:21" x14ac:dyDescent="0.2">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s="2">
        <v>313.17599999999999</v>
      </c>
      <c r="Q1556">
        <v>2</v>
      </c>
      <c r="R1556" s="2">
        <v>-120.0508</v>
      </c>
      <c r="S1556" t="s">
        <v>58</v>
      </c>
      <c r="T1556" s="10">
        <v>5</v>
      </c>
      <c r="U1556" t="s">
        <v>96</v>
      </c>
    </row>
    <row r="1557" spans="1:21" x14ac:dyDescent="0.2">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s="2">
        <v>866.64599999999996</v>
      </c>
      <c r="Q1557">
        <v>3</v>
      </c>
      <c r="R1557" s="2">
        <v>173.32919999999999</v>
      </c>
      <c r="S1557" t="s">
        <v>58</v>
      </c>
      <c r="T1557" s="10">
        <v>5</v>
      </c>
      <c r="U1557" t="s">
        <v>96</v>
      </c>
    </row>
    <row r="1558" spans="1:21" x14ac:dyDescent="0.2">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s="2">
        <v>43.13</v>
      </c>
      <c r="Q1558">
        <v>1</v>
      </c>
      <c r="R1558" s="2">
        <v>14.664199999999999</v>
      </c>
      <c r="S1558" t="s">
        <v>58</v>
      </c>
      <c r="T1558" s="10">
        <v>5</v>
      </c>
      <c r="U1558" t="s">
        <v>77</v>
      </c>
    </row>
    <row r="1559" spans="1:21" x14ac:dyDescent="0.2">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s="2">
        <v>509.95749999999998</v>
      </c>
      <c r="Q1559">
        <v>5</v>
      </c>
      <c r="R1559" s="2">
        <v>41.996499999999997</v>
      </c>
      <c r="S1559" t="s">
        <v>58</v>
      </c>
      <c r="T1559" s="10">
        <v>5</v>
      </c>
      <c r="U1559" t="s">
        <v>161</v>
      </c>
    </row>
    <row r="1560" spans="1:21" x14ac:dyDescent="0.2">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s="2">
        <v>122.91</v>
      </c>
      <c r="Q1560">
        <v>3</v>
      </c>
      <c r="R1560" s="2">
        <v>34.4148</v>
      </c>
      <c r="S1560" t="s">
        <v>58</v>
      </c>
      <c r="T1560" s="10">
        <v>5</v>
      </c>
      <c r="U1560" t="s">
        <v>161</v>
      </c>
    </row>
    <row r="1561" spans="1:21" x14ac:dyDescent="0.2">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s="2">
        <v>97.567999999999998</v>
      </c>
      <c r="Q1561">
        <v>2</v>
      </c>
      <c r="R1561" s="2">
        <v>-6.0979999999999999</v>
      </c>
      <c r="S1561" t="s">
        <v>58</v>
      </c>
      <c r="T1561" s="10">
        <v>5</v>
      </c>
      <c r="U1561" t="s">
        <v>161</v>
      </c>
    </row>
    <row r="1562" spans="1:21" x14ac:dyDescent="0.2">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s="2">
        <v>722.35199999999998</v>
      </c>
      <c r="Q1562">
        <v>3</v>
      </c>
      <c r="R1562" s="2">
        <v>81.264600000000002</v>
      </c>
      <c r="S1562" t="s">
        <v>58</v>
      </c>
      <c r="T1562" s="10">
        <v>5</v>
      </c>
      <c r="U1562" t="s">
        <v>161</v>
      </c>
    </row>
    <row r="1563" spans="1:21" x14ac:dyDescent="0.2">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s="2">
        <v>167.84</v>
      </c>
      <c r="Q1563">
        <v>8</v>
      </c>
      <c r="R1563" s="2">
        <v>11.748799999999999</v>
      </c>
      <c r="S1563" t="s">
        <v>47</v>
      </c>
      <c r="T1563" s="10">
        <v>7</v>
      </c>
      <c r="U1563" t="s">
        <v>161</v>
      </c>
    </row>
    <row r="1564" spans="1:21" x14ac:dyDescent="0.2">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s="2">
        <v>172.11</v>
      </c>
      <c r="Q1564">
        <v>1</v>
      </c>
      <c r="R1564" s="2">
        <v>-94.660499999999999</v>
      </c>
      <c r="S1564" t="s">
        <v>83</v>
      </c>
      <c r="T1564" s="10">
        <v>4</v>
      </c>
      <c r="U1564" t="s">
        <v>113</v>
      </c>
    </row>
    <row r="1565" spans="1:21" x14ac:dyDescent="0.2">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s="2">
        <v>13.592000000000001</v>
      </c>
      <c r="Q1565">
        <v>1</v>
      </c>
      <c r="R1565" s="2">
        <v>-0.33979999999999999</v>
      </c>
      <c r="S1565" t="s">
        <v>83</v>
      </c>
      <c r="T1565" s="10">
        <v>4</v>
      </c>
      <c r="U1565" t="s">
        <v>161</v>
      </c>
    </row>
    <row r="1566" spans="1:21" x14ac:dyDescent="0.2">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s="2">
        <v>386.68</v>
      </c>
      <c r="Q1566">
        <v>2</v>
      </c>
      <c r="R1566" s="2">
        <v>-5.524</v>
      </c>
      <c r="S1566" t="s">
        <v>70</v>
      </c>
      <c r="T1566" s="10">
        <v>2</v>
      </c>
      <c r="U1566" t="s">
        <v>195</v>
      </c>
    </row>
    <row r="1567" spans="1:21" x14ac:dyDescent="0.2">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s="2">
        <v>36.671999999999997</v>
      </c>
      <c r="Q1567">
        <v>3</v>
      </c>
      <c r="R1567" s="2">
        <v>6.4176000000000002</v>
      </c>
      <c r="S1567" t="s">
        <v>83</v>
      </c>
      <c r="T1567" s="10">
        <v>4</v>
      </c>
      <c r="U1567" t="s">
        <v>113</v>
      </c>
    </row>
    <row r="1568" spans="1:21" x14ac:dyDescent="0.2">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s="2">
        <v>85.245999999999995</v>
      </c>
      <c r="Q1568">
        <v>2</v>
      </c>
      <c r="R1568" s="2">
        <v>-6.0890000000000004</v>
      </c>
      <c r="S1568" t="s">
        <v>70</v>
      </c>
      <c r="T1568" s="10">
        <v>2</v>
      </c>
      <c r="U1568" t="s">
        <v>59</v>
      </c>
    </row>
    <row r="1569" spans="1:21" x14ac:dyDescent="0.2">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s="2">
        <v>32.712000000000003</v>
      </c>
      <c r="Q1569">
        <v>2</v>
      </c>
      <c r="R1569" s="2">
        <v>-26.169599999999999</v>
      </c>
      <c r="S1569" t="s">
        <v>70</v>
      </c>
      <c r="T1569" s="10">
        <v>2</v>
      </c>
      <c r="U1569" t="s">
        <v>59</v>
      </c>
    </row>
    <row r="1570" spans="1:21" x14ac:dyDescent="0.2">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s="2">
        <v>46.9</v>
      </c>
      <c r="Q1570">
        <v>5</v>
      </c>
      <c r="R1570" s="2">
        <v>13.132</v>
      </c>
      <c r="S1570" t="s">
        <v>33</v>
      </c>
      <c r="T1570" s="10">
        <v>3</v>
      </c>
      <c r="U1570" t="s">
        <v>195</v>
      </c>
    </row>
    <row r="1571" spans="1:21" x14ac:dyDescent="0.2">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s="2">
        <v>236.52799999999999</v>
      </c>
      <c r="Q1571">
        <v>2</v>
      </c>
      <c r="R1571" s="2">
        <v>-2.9565999999999999</v>
      </c>
      <c r="S1571" t="s">
        <v>83</v>
      </c>
      <c r="T1571" s="10">
        <v>4</v>
      </c>
      <c r="U1571" t="s">
        <v>77</v>
      </c>
    </row>
    <row r="1572" spans="1:21" x14ac:dyDescent="0.2">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s="2">
        <v>22.2</v>
      </c>
      <c r="Q1572">
        <v>1</v>
      </c>
      <c r="R1572" s="2">
        <v>-26.085000000000001</v>
      </c>
      <c r="S1572" t="s">
        <v>83</v>
      </c>
      <c r="T1572" s="10">
        <v>4</v>
      </c>
      <c r="U1572" t="s">
        <v>297</v>
      </c>
    </row>
    <row r="1573" spans="1:21" x14ac:dyDescent="0.2">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s="2">
        <v>88.92</v>
      </c>
      <c r="Q1573">
        <v>5</v>
      </c>
      <c r="R1573" s="2">
        <v>14.4495</v>
      </c>
      <c r="S1573" t="s">
        <v>33</v>
      </c>
      <c r="T1573" s="10">
        <v>3</v>
      </c>
      <c r="U1573" t="s">
        <v>34</v>
      </c>
    </row>
    <row r="1574" spans="1:21" x14ac:dyDescent="0.2">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s="2">
        <v>318.43</v>
      </c>
      <c r="Q1574">
        <v>5</v>
      </c>
      <c r="R1574" s="2">
        <v>-77.332999999999998</v>
      </c>
      <c r="S1574" t="s">
        <v>58</v>
      </c>
      <c r="T1574" s="10">
        <v>5</v>
      </c>
      <c r="U1574" t="s">
        <v>77</v>
      </c>
    </row>
    <row r="1575" spans="1:21" x14ac:dyDescent="0.2">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s="2">
        <v>1196.8599999999999</v>
      </c>
      <c r="Q1575">
        <v>7</v>
      </c>
      <c r="R1575" s="2">
        <v>119.68600000000001</v>
      </c>
      <c r="S1575" t="s">
        <v>70</v>
      </c>
      <c r="T1575" s="10">
        <v>2</v>
      </c>
      <c r="U1575" t="s">
        <v>113</v>
      </c>
    </row>
    <row r="1576" spans="1:21" x14ac:dyDescent="0.2">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s="2">
        <v>523.26</v>
      </c>
      <c r="Q1576">
        <v>9</v>
      </c>
      <c r="R1576" s="2">
        <v>125.58240000000001</v>
      </c>
      <c r="S1576" t="s">
        <v>70</v>
      </c>
      <c r="T1576" s="10">
        <v>2</v>
      </c>
      <c r="U1576" t="s">
        <v>113</v>
      </c>
    </row>
    <row r="1577" spans="1:21" x14ac:dyDescent="0.2">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s="2">
        <v>34.92</v>
      </c>
      <c r="Q1577">
        <v>4</v>
      </c>
      <c r="R1577" s="2">
        <v>11.8728</v>
      </c>
      <c r="S1577" t="s">
        <v>83</v>
      </c>
      <c r="T1577" s="10">
        <v>4</v>
      </c>
      <c r="U1577" t="s">
        <v>34</v>
      </c>
    </row>
    <row r="1578" spans="1:21" x14ac:dyDescent="0.2">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s="2">
        <v>14.56</v>
      </c>
      <c r="Q1578">
        <v>2</v>
      </c>
      <c r="R1578" s="2">
        <v>6.2607999999999997</v>
      </c>
      <c r="S1578" t="s">
        <v>58</v>
      </c>
      <c r="T1578" s="10">
        <v>5</v>
      </c>
      <c r="U1578" t="s">
        <v>77</v>
      </c>
    </row>
    <row r="1579" spans="1:21" x14ac:dyDescent="0.2">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s="2">
        <v>2573.8200000000002</v>
      </c>
      <c r="Q1579">
        <v>9</v>
      </c>
      <c r="R1579" s="2">
        <v>746.40779999999995</v>
      </c>
      <c r="S1579" t="s">
        <v>83</v>
      </c>
      <c r="T1579" s="10">
        <v>4</v>
      </c>
      <c r="U1579" t="s">
        <v>169</v>
      </c>
    </row>
    <row r="1580" spans="1:21" x14ac:dyDescent="0.2">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s="2">
        <v>445.80200000000002</v>
      </c>
      <c r="Q1580">
        <v>7</v>
      </c>
      <c r="R1580" s="2">
        <v>-108.2662</v>
      </c>
      <c r="S1580" t="s">
        <v>70</v>
      </c>
      <c r="T1580" s="10">
        <v>2</v>
      </c>
      <c r="U1580" t="s">
        <v>96</v>
      </c>
    </row>
    <row r="1581" spans="1:21" x14ac:dyDescent="0.2">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s="2">
        <v>1053.164</v>
      </c>
      <c r="Q1581">
        <v>4</v>
      </c>
      <c r="R1581" s="2">
        <v>-105.3164</v>
      </c>
      <c r="S1581" t="s">
        <v>58</v>
      </c>
      <c r="T1581" s="10">
        <v>5</v>
      </c>
      <c r="U1581" t="s">
        <v>96</v>
      </c>
    </row>
    <row r="1582" spans="1:21" x14ac:dyDescent="0.2">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s="2">
        <v>106.68</v>
      </c>
      <c r="Q1582">
        <v>6</v>
      </c>
      <c r="R1582" s="2">
        <v>33.070799999999998</v>
      </c>
      <c r="S1582" t="s">
        <v>129</v>
      </c>
      <c r="T1582" s="10">
        <v>6</v>
      </c>
      <c r="U1582" t="s">
        <v>77</v>
      </c>
    </row>
    <row r="1583" spans="1:21" x14ac:dyDescent="0.2">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s="2">
        <v>512.19000000000005</v>
      </c>
      <c r="Q1583">
        <v>5</v>
      </c>
      <c r="R1583" s="2">
        <v>-65.852999999999994</v>
      </c>
      <c r="S1583" t="s">
        <v>58</v>
      </c>
      <c r="T1583" s="10">
        <v>5</v>
      </c>
      <c r="U1583" t="s">
        <v>77</v>
      </c>
    </row>
    <row r="1584" spans="1:21" x14ac:dyDescent="0.2">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s="2">
        <v>276.69</v>
      </c>
      <c r="Q1584">
        <v>3</v>
      </c>
      <c r="R1584" s="2">
        <v>49.804200000000002</v>
      </c>
      <c r="S1584" t="s">
        <v>83</v>
      </c>
      <c r="T1584" s="10">
        <v>4</v>
      </c>
      <c r="U1584" t="s">
        <v>71</v>
      </c>
    </row>
    <row r="1585" spans="1:21" x14ac:dyDescent="0.2">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s="2">
        <v>18.84</v>
      </c>
      <c r="Q1585">
        <v>3</v>
      </c>
      <c r="R1585" s="2">
        <v>7.9127999999999998</v>
      </c>
      <c r="S1585" t="s">
        <v>83</v>
      </c>
      <c r="T1585" s="10">
        <v>4</v>
      </c>
      <c r="U1585" t="s">
        <v>71</v>
      </c>
    </row>
    <row r="1586" spans="1:21" x14ac:dyDescent="0.2">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s="2">
        <v>396.92</v>
      </c>
      <c r="Q1586">
        <v>5</v>
      </c>
      <c r="R1586" s="2">
        <v>148.845</v>
      </c>
      <c r="S1586" t="s">
        <v>83</v>
      </c>
      <c r="T1586" s="10">
        <v>4</v>
      </c>
      <c r="U1586" t="s">
        <v>71</v>
      </c>
    </row>
    <row r="1587" spans="1:21" x14ac:dyDescent="0.2">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s="2">
        <v>85.245999999999995</v>
      </c>
      <c r="Q1587">
        <v>2</v>
      </c>
      <c r="R1587" s="2">
        <v>-1.2178</v>
      </c>
      <c r="S1587" t="s">
        <v>129</v>
      </c>
      <c r="T1587" s="10">
        <v>6</v>
      </c>
      <c r="U1587" t="s">
        <v>77</v>
      </c>
    </row>
    <row r="1588" spans="1:21" x14ac:dyDescent="0.2">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s="2">
        <v>1487.04</v>
      </c>
      <c r="Q1588">
        <v>5</v>
      </c>
      <c r="R1588" s="2">
        <v>148.70400000000001</v>
      </c>
      <c r="S1588" t="s">
        <v>129</v>
      </c>
      <c r="T1588" s="10">
        <v>6</v>
      </c>
      <c r="U1588" t="s">
        <v>77</v>
      </c>
    </row>
    <row r="1589" spans="1:21" x14ac:dyDescent="0.2">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s="2">
        <v>9.24</v>
      </c>
      <c r="Q1589">
        <v>3</v>
      </c>
      <c r="R1589" s="2">
        <v>2.9567999999999999</v>
      </c>
      <c r="S1589" t="s">
        <v>430</v>
      </c>
      <c r="T1589" s="10">
        <v>0</v>
      </c>
      <c r="U1589" t="s">
        <v>77</v>
      </c>
    </row>
    <row r="1590" spans="1:21" x14ac:dyDescent="0.2">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s="2">
        <v>266.35199999999998</v>
      </c>
      <c r="Q1590">
        <v>3</v>
      </c>
      <c r="R1590" s="2">
        <v>-13.317600000000001</v>
      </c>
      <c r="S1590" t="s">
        <v>70</v>
      </c>
      <c r="T1590" s="10">
        <v>2</v>
      </c>
      <c r="U1590" t="s">
        <v>59</v>
      </c>
    </row>
    <row r="1591" spans="1:21" x14ac:dyDescent="0.2">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s="2">
        <v>483.13600000000002</v>
      </c>
      <c r="Q1591">
        <v>4</v>
      </c>
      <c r="R1591" s="2">
        <v>54.352800000000002</v>
      </c>
      <c r="S1591" t="s">
        <v>70</v>
      </c>
      <c r="T1591" s="10">
        <v>2</v>
      </c>
      <c r="U1591" t="s">
        <v>59</v>
      </c>
    </row>
    <row r="1592" spans="1:21" x14ac:dyDescent="0.2">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s="2">
        <v>196.78399999999999</v>
      </c>
      <c r="Q1592">
        <v>2</v>
      </c>
      <c r="R1592" s="2">
        <v>-22.138200000000001</v>
      </c>
      <c r="S1592" t="s">
        <v>83</v>
      </c>
      <c r="T1592" s="10">
        <v>4</v>
      </c>
      <c r="U1592" t="s">
        <v>297</v>
      </c>
    </row>
    <row r="1593" spans="1:21" x14ac:dyDescent="0.2">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s="2">
        <v>231.92</v>
      </c>
      <c r="Q1593">
        <v>5</v>
      </c>
      <c r="R1593" s="2">
        <v>5.798</v>
      </c>
      <c r="S1593" t="s">
        <v>83</v>
      </c>
      <c r="T1593" s="10">
        <v>4</v>
      </c>
      <c r="U1593" t="s">
        <v>297</v>
      </c>
    </row>
    <row r="1594" spans="1:21" x14ac:dyDescent="0.2">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s="2">
        <v>13.592000000000001</v>
      </c>
      <c r="Q1594">
        <v>2</v>
      </c>
      <c r="R1594" s="2">
        <v>-14.271599999999999</v>
      </c>
      <c r="S1594" t="s">
        <v>58</v>
      </c>
      <c r="T1594" s="10">
        <v>5</v>
      </c>
      <c r="U1594" t="s">
        <v>96</v>
      </c>
    </row>
    <row r="1595" spans="1:21" x14ac:dyDescent="0.2">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s="2">
        <v>242.352</v>
      </c>
      <c r="Q1595">
        <v>8</v>
      </c>
      <c r="R1595" s="2">
        <v>-363.52800000000002</v>
      </c>
      <c r="S1595" t="s">
        <v>83</v>
      </c>
      <c r="T1595" s="10">
        <v>4</v>
      </c>
      <c r="U1595" t="s">
        <v>96</v>
      </c>
    </row>
    <row r="1596" spans="1:21" x14ac:dyDescent="0.2">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s="2">
        <v>508.70400000000001</v>
      </c>
      <c r="Q1596">
        <v>6</v>
      </c>
      <c r="R1596" s="2">
        <v>0</v>
      </c>
      <c r="S1596" t="s">
        <v>83</v>
      </c>
      <c r="T1596" s="10">
        <v>4</v>
      </c>
      <c r="U1596" t="s">
        <v>96</v>
      </c>
    </row>
    <row r="1597" spans="1:21" x14ac:dyDescent="0.2">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s="2">
        <v>906.68</v>
      </c>
      <c r="Q1597">
        <v>5</v>
      </c>
      <c r="R1597" s="2">
        <v>68.001000000000005</v>
      </c>
      <c r="S1597" t="s">
        <v>83</v>
      </c>
      <c r="T1597" s="10">
        <v>4</v>
      </c>
      <c r="U1597" t="s">
        <v>96</v>
      </c>
    </row>
    <row r="1598" spans="1:21" x14ac:dyDescent="0.2">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s="2">
        <v>21.204000000000001</v>
      </c>
      <c r="Q1598">
        <v>3</v>
      </c>
      <c r="R1598" s="2">
        <v>-11.6622</v>
      </c>
      <c r="S1598" t="s">
        <v>70</v>
      </c>
      <c r="T1598" s="10">
        <v>2</v>
      </c>
      <c r="U1598" t="s">
        <v>77</v>
      </c>
    </row>
    <row r="1599" spans="1:21" x14ac:dyDescent="0.2">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s="2">
        <v>349.96499999999997</v>
      </c>
      <c r="Q1599">
        <v>7</v>
      </c>
      <c r="R1599" s="2">
        <v>-216.97829999999999</v>
      </c>
      <c r="S1599" t="s">
        <v>83</v>
      </c>
      <c r="T1599" s="10">
        <v>4</v>
      </c>
      <c r="U1599" t="s">
        <v>161</v>
      </c>
    </row>
    <row r="1600" spans="1:21" x14ac:dyDescent="0.2">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s="2">
        <v>31.68</v>
      </c>
      <c r="Q1600">
        <v>6</v>
      </c>
      <c r="R1600" s="2">
        <v>9.8208000000000002</v>
      </c>
      <c r="S1600" t="s">
        <v>83</v>
      </c>
      <c r="T1600" s="10">
        <v>4</v>
      </c>
      <c r="U1600" t="s">
        <v>34</v>
      </c>
    </row>
    <row r="1601" spans="1:21" x14ac:dyDescent="0.2">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s="2">
        <v>170.786</v>
      </c>
      <c r="Q1601">
        <v>1</v>
      </c>
      <c r="R1601" s="2">
        <v>0</v>
      </c>
      <c r="S1601" t="s">
        <v>70</v>
      </c>
      <c r="T1601" s="10">
        <v>2</v>
      </c>
      <c r="U1601" t="s">
        <v>96</v>
      </c>
    </row>
    <row r="1602" spans="1:21" x14ac:dyDescent="0.2">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s="2">
        <v>198.744</v>
      </c>
      <c r="Q1602">
        <v>4</v>
      </c>
      <c r="R1602" s="2">
        <v>0</v>
      </c>
      <c r="S1602" t="s">
        <v>83</v>
      </c>
      <c r="T1602" s="10">
        <v>4</v>
      </c>
      <c r="U1602" t="s">
        <v>77</v>
      </c>
    </row>
    <row r="1603" spans="1:21" x14ac:dyDescent="0.2">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s="2">
        <v>435.16800000000001</v>
      </c>
      <c r="Q1603">
        <v>4</v>
      </c>
      <c r="R1603" s="2">
        <v>-59.835599999999999</v>
      </c>
      <c r="S1603" t="s">
        <v>70</v>
      </c>
      <c r="T1603" s="10">
        <v>2</v>
      </c>
      <c r="U1603" t="s">
        <v>169</v>
      </c>
    </row>
    <row r="1604" spans="1:21" x14ac:dyDescent="0.2">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s="2">
        <v>48.58</v>
      </c>
      <c r="Q1604">
        <v>1</v>
      </c>
      <c r="R1604" s="2">
        <v>7.7728000000000002</v>
      </c>
      <c r="S1604" t="s">
        <v>70</v>
      </c>
      <c r="T1604" s="10">
        <v>2</v>
      </c>
      <c r="U1604" t="s">
        <v>169</v>
      </c>
    </row>
    <row r="1605" spans="1:21" x14ac:dyDescent="0.2">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s="2">
        <v>591.32000000000005</v>
      </c>
      <c r="Q1605">
        <v>4</v>
      </c>
      <c r="R1605" s="2">
        <v>112.35080000000001</v>
      </c>
      <c r="S1605" t="s">
        <v>58</v>
      </c>
      <c r="T1605" s="10">
        <v>5</v>
      </c>
      <c r="U1605" t="s">
        <v>48</v>
      </c>
    </row>
    <row r="1606" spans="1:21" x14ac:dyDescent="0.2">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s="2">
        <v>563.94000000000005</v>
      </c>
      <c r="Q1606">
        <v>3</v>
      </c>
      <c r="R1606" s="2">
        <v>112.788</v>
      </c>
      <c r="S1606" t="s">
        <v>33</v>
      </c>
      <c r="T1606" s="10">
        <v>3</v>
      </c>
      <c r="U1606" t="s">
        <v>96</v>
      </c>
    </row>
    <row r="1607" spans="1:21" x14ac:dyDescent="0.2">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s="2">
        <v>127.764</v>
      </c>
      <c r="Q1607">
        <v>2</v>
      </c>
      <c r="R1607" s="2">
        <v>2.8391999999999999</v>
      </c>
      <c r="S1607" t="s">
        <v>58</v>
      </c>
      <c r="T1607" s="10">
        <v>5</v>
      </c>
      <c r="U1607" t="s">
        <v>113</v>
      </c>
    </row>
    <row r="1608" spans="1:21" x14ac:dyDescent="0.2">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s="2">
        <v>17.309999999999999</v>
      </c>
      <c r="Q1608">
        <v>3</v>
      </c>
      <c r="R1608" s="2">
        <v>5.1929999999999996</v>
      </c>
      <c r="S1608" t="s">
        <v>129</v>
      </c>
      <c r="T1608" s="10">
        <v>6</v>
      </c>
      <c r="U1608" t="s">
        <v>34</v>
      </c>
    </row>
    <row r="1609" spans="1:21" x14ac:dyDescent="0.2">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s="2">
        <v>58.247999999999998</v>
      </c>
      <c r="Q1609">
        <v>9</v>
      </c>
      <c r="R1609" s="2">
        <v>11.6496</v>
      </c>
      <c r="S1609" t="s">
        <v>83</v>
      </c>
      <c r="T1609" s="10">
        <v>4</v>
      </c>
      <c r="U1609" t="s">
        <v>77</v>
      </c>
    </row>
    <row r="1610" spans="1:21" x14ac:dyDescent="0.2">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s="2">
        <v>71.245999999999995</v>
      </c>
      <c r="Q1610">
        <v>2</v>
      </c>
      <c r="R1610" s="2">
        <v>-19.338200000000001</v>
      </c>
      <c r="S1610" t="s">
        <v>83</v>
      </c>
      <c r="T1610" s="10">
        <v>4</v>
      </c>
      <c r="U1610" t="s">
        <v>77</v>
      </c>
    </row>
    <row r="1611" spans="1:21" x14ac:dyDescent="0.2">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s="2">
        <v>887.27099999999996</v>
      </c>
      <c r="Q1611">
        <v>3</v>
      </c>
      <c r="R1611" s="2">
        <v>-63.3765</v>
      </c>
      <c r="S1611" t="s">
        <v>83</v>
      </c>
      <c r="T1611" s="10">
        <v>4</v>
      </c>
      <c r="U1611" t="s">
        <v>77</v>
      </c>
    </row>
    <row r="1612" spans="1:21" x14ac:dyDescent="0.2">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s="2">
        <v>25.175999999999998</v>
      </c>
      <c r="Q1612">
        <v>3</v>
      </c>
      <c r="R1612" s="2">
        <v>-33.358199999999997</v>
      </c>
      <c r="S1612" t="s">
        <v>83</v>
      </c>
      <c r="T1612" s="10">
        <v>4</v>
      </c>
      <c r="U1612" t="s">
        <v>161</v>
      </c>
    </row>
    <row r="1613" spans="1:21" x14ac:dyDescent="0.2">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s="2">
        <v>5.5839999999999996</v>
      </c>
      <c r="Q1613">
        <v>2</v>
      </c>
      <c r="R1613" s="2">
        <v>-1.6752</v>
      </c>
      <c r="S1613" t="s">
        <v>83</v>
      </c>
      <c r="T1613" s="10">
        <v>4</v>
      </c>
      <c r="U1613" t="s">
        <v>161</v>
      </c>
    </row>
    <row r="1614" spans="1:21" x14ac:dyDescent="0.2">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s="2">
        <v>14.91</v>
      </c>
      <c r="Q1614">
        <v>3</v>
      </c>
      <c r="R1614" s="2">
        <v>4.6220999999999997</v>
      </c>
      <c r="S1614" t="s">
        <v>83</v>
      </c>
      <c r="T1614" s="10">
        <v>4</v>
      </c>
      <c r="U1614" t="s">
        <v>253</v>
      </c>
    </row>
    <row r="1615" spans="1:21" x14ac:dyDescent="0.2">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s="2">
        <v>189.57599999999999</v>
      </c>
      <c r="Q1615">
        <v>1</v>
      </c>
      <c r="R1615" s="2">
        <v>9.4787999999999997</v>
      </c>
      <c r="S1615" t="s">
        <v>70</v>
      </c>
      <c r="T1615" s="10">
        <v>2</v>
      </c>
      <c r="U1615" t="s">
        <v>48</v>
      </c>
    </row>
    <row r="1616" spans="1:21" x14ac:dyDescent="0.2">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s="2">
        <v>725.34400000000005</v>
      </c>
      <c r="Q1616">
        <v>4</v>
      </c>
      <c r="R1616" s="2">
        <v>54.400799999999997</v>
      </c>
      <c r="S1616" t="s">
        <v>83</v>
      </c>
      <c r="T1616" s="10">
        <v>4</v>
      </c>
      <c r="U1616" t="s">
        <v>34</v>
      </c>
    </row>
    <row r="1617" spans="1:21" x14ac:dyDescent="0.2">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s="2">
        <v>75.33</v>
      </c>
      <c r="Q1617">
        <v>9</v>
      </c>
      <c r="R1617" s="2">
        <v>19.585799999999999</v>
      </c>
      <c r="S1617" t="s">
        <v>83</v>
      </c>
      <c r="T1617" s="10">
        <v>4</v>
      </c>
      <c r="U1617" t="s">
        <v>161</v>
      </c>
    </row>
    <row r="1618" spans="1:21" x14ac:dyDescent="0.2">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s="2">
        <v>127.30200000000001</v>
      </c>
      <c r="Q1618">
        <v>7</v>
      </c>
      <c r="R1618" s="2">
        <v>-9.093</v>
      </c>
      <c r="S1618" t="s">
        <v>70</v>
      </c>
      <c r="T1618" s="10">
        <v>2</v>
      </c>
      <c r="U1618" t="s">
        <v>195</v>
      </c>
    </row>
    <row r="1619" spans="1:21" x14ac:dyDescent="0.2">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s="2">
        <v>1207.8399999999999</v>
      </c>
      <c r="Q1619">
        <v>8</v>
      </c>
      <c r="R1619" s="2">
        <v>314.03840000000002</v>
      </c>
      <c r="S1619" t="s">
        <v>33</v>
      </c>
      <c r="T1619" s="10">
        <v>3</v>
      </c>
      <c r="U1619" t="s">
        <v>96</v>
      </c>
    </row>
    <row r="1620" spans="1:21" x14ac:dyDescent="0.2">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s="2">
        <v>300.98</v>
      </c>
      <c r="Q1620">
        <v>1</v>
      </c>
      <c r="R1620" s="2">
        <v>87.284199999999998</v>
      </c>
      <c r="S1620" t="s">
        <v>33</v>
      </c>
      <c r="T1620" s="10">
        <v>3</v>
      </c>
      <c r="U1620" t="s">
        <v>96</v>
      </c>
    </row>
    <row r="1621" spans="1:21" x14ac:dyDescent="0.2">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s="2">
        <v>258.75</v>
      </c>
      <c r="Q1621">
        <v>3</v>
      </c>
      <c r="R1621" s="2">
        <v>77.625</v>
      </c>
      <c r="S1621" t="s">
        <v>33</v>
      </c>
      <c r="T1621" s="10">
        <v>3</v>
      </c>
      <c r="U1621" t="s">
        <v>96</v>
      </c>
    </row>
    <row r="1622" spans="1:21" x14ac:dyDescent="0.2">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s="2">
        <v>441.96</v>
      </c>
      <c r="Q1622">
        <v>2</v>
      </c>
      <c r="R1622" s="2">
        <v>101.6508</v>
      </c>
      <c r="S1622" t="s">
        <v>129</v>
      </c>
      <c r="T1622" s="10">
        <v>6</v>
      </c>
      <c r="U1622" t="s">
        <v>195</v>
      </c>
    </row>
    <row r="1623" spans="1:21" x14ac:dyDescent="0.2">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s="2">
        <v>892.22400000000005</v>
      </c>
      <c r="Q1623">
        <v>3</v>
      </c>
      <c r="R1623" s="2">
        <v>89.222399999999993</v>
      </c>
      <c r="S1623" t="s">
        <v>129</v>
      </c>
      <c r="T1623" s="10">
        <v>6</v>
      </c>
      <c r="U1623" t="s">
        <v>113</v>
      </c>
    </row>
    <row r="1624" spans="1:21" x14ac:dyDescent="0.2">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s="2">
        <v>1352.0319999999999</v>
      </c>
      <c r="Q1624">
        <v>4</v>
      </c>
      <c r="R1624" s="2">
        <v>84.501999999999995</v>
      </c>
      <c r="S1624" t="s">
        <v>123</v>
      </c>
      <c r="T1624" s="10">
        <v>1</v>
      </c>
      <c r="U1624" t="s">
        <v>195</v>
      </c>
    </row>
    <row r="1625" spans="1:21" x14ac:dyDescent="0.2">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s="2">
        <v>1548.99</v>
      </c>
      <c r="Q1625">
        <v>9</v>
      </c>
      <c r="R1625" s="2">
        <v>-464.697</v>
      </c>
      <c r="S1625" t="s">
        <v>83</v>
      </c>
      <c r="T1625" s="10">
        <v>4</v>
      </c>
      <c r="U1625" t="s">
        <v>96</v>
      </c>
    </row>
    <row r="1626" spans="1:21" x14ac:dyDescent="0.2">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s="2">
        <v>80.959999999999994</v>
      </c>
      <c r="Q1626">
        <v>4</v>
      </c>
      <c r="R1626" s="2">
        <v>29.145600000000002</v>
      </c>
      <c r="S1626" t="s">
        <v>70</v>
      </c>
      <c r="T1626" s="10">
        <v>2</v>
      </c>
      <c r="U1626" t="s">
        <v>34</v>
      </c>
    </row>
    <row r="1627" spans="1:21" x14ac:dyDescent="0.2">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s="2">
        <v>187.76</v>
      </c>
      <c r="Q1627">
        <v>4</v>
      </c>
      <c r="R1627" s="2">
        <v>76.9816</v>
      </c>
      <c r="S1627" t="s">
        <v>430</v>
      </c>
      <c r="T1627" s="10">
        <v>0</v>
      </c>
      <c r="U1627" t="s">
        <v>113</v>
      </c>
    </row>
    <row r="1628" spans="1:21" x14ac:dyDescent="0.2">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s="2">
        <v>76.727999999999994</v>
      </c>
      <c r="Q1628">
        <v>3</v>
      </c>
      <c r="R1628" s="2">
        <v>-53.709600000000002</v>
      </c>
      <c r="S1628" t="s">
        <v>58</v>
      </c>
      <c r="T1628" s="10">
        <v>5</v>
      </c>
      <c r="U1628" t="s">
        <v>169</v>
      </c>
    </row>
    <row r="1629" spans="1:21" x14ac:dyDescent="0.2">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s="2">
        <v>129.91999999999999</v>
      </c>
      <c r="Q1629">
        <v>4</v>
      </c>
      <c r="R1629" s="2">
        <v>10.393599999999999</v>
      </c>
      <c r="S1629" t="s">
        <v>83</v>
      </c>
      <c r="T1629" s="10">
        <v>4</v>
      </c>
      <c r="U1629" t="s">
        <v>48</v>
      </c>
    </row>
    <row r="1630" spans="1:21" x14ac:dyDescent="0.2">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s="2">
        <v>170.98</v>
      </c>
      <c r="Q1630">
        <v>1</v>
      </c>
      <c r="R1630" s="2">
        <v>32.486199999999997</v>
      </c>
      <c r="S1630" t="s">
        <v>70</v>
      </c>
      <c r="T1630" s="10">
        <v>2</v>
      </c>
      <c r="U1630" t="s">
        <v>34</v>
      </c>
    </row>
    <row r="1631" spans="1:21" x14ac:dyDescent="0.2">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s="2">
        <v>38.97</v>
      </c>
      <c r="Q1631">
        <v>3</v>
      </c>
      <c r="R1631" s="2">
        <v>4.6764000000000001</v>
      </c>
      <c r="S1631" t="s">
        <v>70</v>
      </c>
      <c r="T1631" s="10">
        <v>2</v>
      </c>
      <c r="U1631" t="s">
        <v>34</v>
      </c>
    </row>
    <row r="1632" spans="1:21" x14ac:dyDescent="0.2">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s="2">
        <v>446.06799999999998</v>
      </c>
      <c r="Q1632">
        <v>4</v>
      </c>
      <c r="R1632" s="2">
        <v>0</v>
      </c>
      <c r="S1632" t="s">
        <v>70</v>
      </c>
      <c r="T1632" s="10">
        <v>2</v>
      </c>
      <c r="U1632" t="s">
        <v>34</v>
      </c>
    </row>
    <row r="1633" spans="1:21" x14ac:dyDescent="0.2">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s="2">
        <v>341.96</v>
      </c>
      <c r="Q1633">
        <v>2</v>
      </c>
      <c r="R1633" s="2">
        <v>78.650800000000004</v>
      </c>
      <c r="S1633" t="s">
        <v>47</v>
      </c>
      <c r="T1633" s="10">
        <v>7</v>
      </c>
      <c r="U1633" t="s">
        <v>96</v>
      </c>
    </row>
    <row r="1634" spans="1:21" x14ac:dyDescent="0.2">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s="2">
        <v>605.88</v>
      </c>
      <c r="Q1634">
        <v>6</v>
      </c>
      <c r="R1634" s="2">
        <v>151.47</v>
      </c>
      <c r="S1634" t="s">
        <v>47</v>
      </c>
      <c r="T1634" s="10">
        <v>7</v>
      </c>
      <c r="U1634" t="s">
        <v>96</v>
      </c>
    </row>
    <row r="1635" spans="1:21" x14ac:dyDescent="0.2">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s="2">
        <v>1568.61</v>
      </c>
      <c r="Q1635">
        <v>9</v>
      </c>
      <c r="R1635" s="2">
        <v>329.40809999999999</v>
      </c>
      <c r="S1635" t="s">
        <v>83</v>
      </c>
      <c r="T1635" s="10">
        <v>4</v>
      </c>
      <c r="U1635" t="s">
        <v>34</v>
      </c>
    </row>
    <row r="1636" spans="1:21" x14ac:dyDescent="0.2">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s="2">
        <v>872.94</v>
      </c>
      <c r="Q1636">
        <v>3</v>
      </c>
      <c r="R1636" s="2">
        <v>157.1292</v>
      </c>
      <c r="S1636" t="s">
        <v>70</v>
      </c>
      <c r="T1636" s="10">
        <v>2</v>
      </c>
      <c r="U1636" t="s">
        <v>71</v>
      </c>
    </row>
    <row r="1637" spans="1:21" x14ac:dyDescent="0.2">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s="2">
        <v>167.88800000000001</v>
      </c>
      <c r="Q1637">
        <v>7</v>
      </c>
      <c r="R1637" s="2">
        <v>14.690200000000001</v>
      </c>
      <c r="S1637" t="s">
        <v>430</v>
      </c>
      <c r="T1637" s="10">
        <v>0</v>
      </c>
      <c r="U1637" t="s">
        <v>195</v>
      </c>
    </row>
    <row r="1638" spans="1:21" x14ac:dyDescent="0.2">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s="2">
        <v>526.58199999999999</v>
      </c>
      <c r="Q1638">
        <v>2</v>
      </c>
      <c r="R1638" s="2">
        <v>-52.658200000000001</v>
      </c>
      <c r="S1638" t="s">
        <v>83</v>
      </c>
      <c r="T1638" s="10">
        <v>4</v>
      </c>
      <c r="U1638" t="s">
        <v>96</v>
      </c>
    </row>
    <row r="1639" spans="1:21" x14ac:dyDescent="0.2">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s="2">
        <v>447.84</v>
      </c>
      <c r="Q1639">
        <v>4</v>
      </c>
      <c r="R1639" s="2">
        <v>98.524799999999999</v>
      </c>
      <c r="S1639" t="s">
        <v>47</v>
      </c>
      <c r="T1639" s="10">
        <v>7</v>
      </c>
      <c r="U1639" t="s">
        <v>253</v>
      </c>
    </row>
    <row r="1640" spans="1:21" x14ac:dyDescent="0.2">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s="2">
        <v>77.951999999999998</v>
      </c>
      <c r="Q1640">
        <v>3</v>
      </c>
      <c r="R1640" s="2">
        <v>15.590400000000001</v>
      </c>
      <c r="S1640" t="s">
        <v>70</v>
      </c>
      <c r="T1640" s="10">
        <v>2</v>
      </c>
      <c r="U1640" t="s">
        <v>48</v>
      </c>
    </row>
    <row r="1641" spans="1:21" x14ac:dyDescent="0.2">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s="2">
        <v>179.886</v>
      </c>
      <c r="Q1641">
        <v>1</v>
      </c>
      <c r="R1641" s="2">
        <v>-2.5697999999999999</v>
      </c>
      <c r="S1641" t="s">
        <v>83</v>
      </c>
      <c r="T1641" s="10">
        <v>4</v>
      </c>
      <c r="U1641" t="s">
        <v>77</v>
      </c>
    </row>
    <row r="1642" spans="1:21" x14ac:dyDescent="0.2">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s="2">
        <v>291.13600000000002</v>
      </c>
      <c r="Q1642">
        <v>4</v>
      </c>
      <c r="R1642" s="2">
        <v>-25.474399999999999</v>
      </c>
      <c r="S1642" t="s">
        <v>129</v>
      </c>
      <c r="T1642" s="10">
        <v>6</v>
      </c>
      <c r="U1642" t="s">
        <v>59</v>
      </c>
    </row>
    <row r="1643" spans="1:21" x14ac:dyDescent="0.2">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s="2">
        <v>60.84</v>
      </c>
      <c r="Q1643">
        <v>3</v>
      </c>
      <c r="R1643" s="2">
        <v>19.468800000000002</v>
      </c>
      <c r="S1643" t="s">
        <v>129</v>
      </c>
      <c r="T1643" s="10">
        <v>6</v>
      </c>
      <c r="U1643" t="s">
        <v>59</v>
      </c>
    </row>
    <row r="1644" spans="1:21" x14ac:dyDescent="0.2">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s="2">
        <v>17.088000000000001</v>
      </c>
      <c r="Q1644">
        <v>2</v>
      </c>
      <c r="R1644" s="2">
        <v>1.0680000000000001</v>
      </c>
      <c r="S1644" t="s">
        <v>33</v>
      </c>
      <c r="T1644" s="10">
        <v>3</v>
      </c>
      <c r="U1644" t="s">
        <v>34</v>
      </c>
    </row>
    <row r="1645" spans="1:21" x14ac:dyDescent="0.2">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s="2">
        <v>154.94999999999999</v>
      </c>
      <c r="Q1645">
        <v>3</v>
      </c>
      <c r="R1645" s="2">
        <v>30.99</v>
      </c>
      <c r="S1645" t="s">
        <v>33</v>
      </c>
      <c r="T1645" s="10">
        <v>3</v>
      </c>
      <c r="U1645" t="s">
        <v>34</v>
      </c>
    </row>
    <row r="1646" spans="1:21" x14ac:dyDescent="0.2">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s="2">
        <v>1779.9</v>
      </c>
      <c r="Q1646">
        <v>5</v>
      </c>
      <c r="R1646" s="2">
        <v>373.779</v>
      </c>
      <c r="S1646" t="s">
        <v>430</v>
      </c>
      <c r="T1646" s="10">
        <v>0</v>
      </c>
      <c r="U1646" t="s">
        <v>253</v>
      </c>
    </row>
    <row r="1647" spans="1:21" x14ac:dyDescent="0.2">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s="2">
        <v>876.3</v>
      </c>
      <c r="Q1647">
        <v>10</v>
      </c>
      <c r="R1647" s="2">
        <v>-292.10000000000002</v>
      </c>
      <c r="S1647" t="s">
        <v>70</v>
      </c>
      <c r="T1647" s="10">
        <v>2</v>
      </c>
      <c r="U1647" t="s">
        <v>34</v>
      </c>
    </row>
    <row r="1648" spans="1:21" x14ac:dyDescent="0.2">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s="2">
        <v>22.608000000000001</v>
      </c>
      <c r="Q1648">
        <v>3</v>
      </c>
      <c r="R1648" s="2">
        <v>-10.1736</v>
      </c>
      <c r="S1648" t="s">
        <v>33</v>
      </c>
      <c r="T1648" s="10">
        <v>3</v>
      </c>
      <c r="U1648" t="s">
        <v>161</v>
      </c>
    </row>
    <row r="1649" spans="1:21" x14ac:dyDescent="0.2">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s="2">
        <v>207.846</v>
      </c>
      <c r="Q1649">
        <v>3</v>
      </c>
      <c r="R1649" s="2">
        <v>2.3094000000000001</v>
      </c>
      <c r="S1649" t="s">
        <v>33</v>
      </c>
      <c r="T1649" s="10">
        <v>3</v>
      </c>
      <c r="U1649" t="s">
        <v>195</v>
      </c>
    </row>
    <row r="1650" spans="1:21" x14ac:dyDescent="0.2">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s="2">
        <v>40.479999999999997</v>
      </c>
      <c r="Q1650">
        <v>2</v>
      </c>
      <c r="R1650" s="2">
        <v>14.572800000000001</v>
      </c>
      <c r="S1650" t="s">
        <v>58</v>
      </c>
      <c r="T1650" s="10">
        <v>5</v>
      </c>
      <c r="U1650" t="s">
        <v>195</v>
      </c>
    </row>
    <row r="1651" spans="1:21" x14ac:dyDescent="0.2">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s="2">
        <v>550.43100000000004</v>
      </c>
      <c r="Q1651">
        <v>3</v>
      </c>
      <c r="R1651" s="2">
        <v>-47.1798</v>
      </c>
      <c r="S1651" t="s">
        <v>123</v>
      </c>
      <c r="T1651" s="10">
        <v>1</v>
      </c>
      <c r="U1651" t="s">
        <v>297</v>
      </c>
    </row>
    <row r="1652" spans="1:21" x14ac:dyDescent="0.2">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s="2">
        <v>10.56</v>
      </c>
      <c r="Q1652">
        <v>6</v>
      </c>
      <c r="R1652" s="2">
        <v>4.6463999999999999</v>
      </c>
      <c r="S1652" t="s">
        <v>123</v>
      </c>
      <c r="T1652" s="10">
        <v>1</v>
      </c>
      <c r="U1652" t="s">
        <v>297</v>
      </c>
    </row>
    <row r="1653" spans="1:21" x14ac:dyDescent="0.2">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s="2">
        <v>1497.6659999999999</v>
      </c>
      <c r="Q1653">
        <v>2</v>
      </c>
      <c r="R1653" s="2">
        <v>140.95679999999999</v>
      </c>
      <c r="S1653" t="s">
        <v>70</v>
      </c>
      <c r="T1653" s="10">
        <v>2</v>
      </c>
      <c r="U1653" t="s">
        <v>59</v>
      </c>
    </row>
    <row r="1654" spans="1:21" x14ac:dyDescent="0.2">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s="2">
        <v>232.88</v>
      </c>
      <c r="Q1654">
        <v>5</v>
      </c>
      <c r="R1654" s="2">
        <v>17.466000000000001</v>
      </c>
      <c r="S1654" t="s">
        <v>47</v>
      </c>
      <c r="T1654" s="10">
        <v>7</v>
      </c>
      <c r="U1654" t="s">
        <v>161</v>
      </c>
    </row>
    <row r="1655" spans="1:21" x14ac:dyDescent="0.2">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s="2">
        <v>90.882000000000005</v>
      </c>
      <c r="Q1655">
        <v>1</v>
      </c>
      <c r="R1655" s="2">
        <v>15.147</v>
      </c>
      <c r="S1655" t="s">
        <v>83</v>
      </c>
      <c r="T1655" s="10">
        <v>4</v>
      </c>
      <c r="U1655" t="s">
        <v>297</v>
      </c>
    </row>
    <row r="1656" spans="1:21" x14ac:dyDescent="0.2">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s="2">
        <v>63.936</v>
      </c>
      <c r="Q1656">
        <v>3</v>
      </c>
      <c r="R1656" s="2">
        <v>6.3936000000000002</v>
      </c>
      <c r="S1656" t="s">
        <v>58</v>
      </c>
      <c r="T1656" s="10">
        <v>5</v>
      </c>
      <c r="U1656" t="s">
        <v>113</v>
      </c>
    </row>
    <row r="1657" spans="1:21" x14ac:dyDescent="0.2">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s="2">
        <v>241.56800000000001</v>
      </c>
      <c r="Q1657">
        <v>2</v>
      </c>
      <c r="R1657" s="2">
        <v>-15.098000000000001</v>
      </c>
      <c r="S1657" t="s">
        <v>83</v>
      </c>
      <c r="T1657" s="10">
        <v>4</v>
      </c>
      <c r="U1657" t="s">
        <v>113</v>
      </c>
    </row>
    <row r="1658" spans="1:21" x14ac:dyDescent="0.2">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s="2">
        <v>307.13600000000002</v>
      </c>
      <c r="Q1658">
        <v>4</v>
      </c>
      <c r="R1658" s="2">
        <v>-11.5176</v>
      </c>
      <c r="S1658" t="s">
        <v>58</v>
      </c>
      <c r="T1658" s="10">
        <v>5</v>
      </c>
      <c r="U1658" t="s">
        <v>77</v>
      </c>
    </row>
    <row r="1659" spans="1:21" x14ac:dyDescent="0.2">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s="2">
        <v>1184.72</v>
      </c>
      <c r="Q1659">
        <v>4</v>
      </c>
      <c r="R1659" s="2">
        <v>106.62479999999999</v>
      </c>
      <c r="S1659" t="s">
        <v>58</v>
      </c>
      <c r="T1659" s="10">
        <v>5</v>
      </c>
      <c r="U1659" t="s">
        <v>195</v>
      </c>
    </row>
    <row r="1660" spans="1:21" x14ac:dyDescent="0.2">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s="2">
        <v>124.404</v>
      </c>
      <c r="Q1660">
        <v>4</v>
      </c>
      <c r="R1660" s="2">
        <v>-21.3264</v>
      </c>
      <c r="S1660" t="s">
        <v>83</v>
      </c>
      <c r="T1660" s="10">
        <v>4</v>
      </c>
      <c r="U1660" t="s">
        <v>71</v>
      </c>
    </row>
    <row r="1661" spans="1:21" x14ac:dyDescent="0.2">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s="2">
        <v>16.192</v>
      </c>
      <c r="Q1661">
        <v>2</v>
      </c>
      <c r="R1661" s="2">
        <v>-6.8815999999999997</v>
      </c>
      <c r="S1661" t="s">
        <v>83</v>
      </c>
      <c r="T1661" s="10">
        <v>4</v>
      </c>
      <c r="U1661" t="s">
        <v>297</v>
      </c>
    </row>
    <row r="1662" spans="1:21" x14ac:dyDescent="0.2">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s="2">
        <v>441.92</v>
      </c>
      <c r="Q1662">
        <v>2</v>
      </c>
      <c r="R1662" s="2">
        <v>49.716000000000001</v>
      </c>
      <c r="S1662" t="s">
        <v>58</v>
      </c>
      <c r="T1662" s="10">
        <v>5</v>
      </c>
      <c r="U1662" t="s">
        <v>71</v>
      </c>
    </row>
    <row r="1663" spans="1:21" x14ac:dyDescent="0.2">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s="2">
        <v>127.764</v>
      </c>
      <c r="Q1663">
        <v>6</v>
      </c>
      <c r="R1663" s="2">
        <v>-191.64599999999999</v>
      </c>
      <c r="S1663" t="s">
        <v>58</v>
      </c>
      <c r="T1663" s="10">
        <v>5</v>
      </c>
      <c r="U1663" t="s">
        <v>71</v>
      </c>
    </row>
    <row r="1664" spans="1:21" x14ac:dyDescent="0.2">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s="2">
        <v>915.13599999999997</v>
      </c>
      <c r="Q1664">
        <v>4</v>
      </c>
      <c r="R1664" s="2">
        <v>102.9528</v>
      </c>
      <c r="S1664" t="s">
        <v>83</v>
      </c>
      <c r="T1664" s="10">
        <v>4</v>
      </c>
      <c r="U1664" t="s">
        <v>48</v>
      </c>
    </row>
    <row r="1665" spans="1:21" x14ac:dyDescent="0.2">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s="2">
        <v>242.17599999999999</v>
      </c>
      <c r="Q1665">
        <v>4</v>
      </c>
      <c r="R1665" s="2">
        <v>-302.72000000000003</v>
      </c>
      <c r="S1665" t="s">
        <v>58</v>
      </c>
      <c r="T1665" s="10">
        <v>5</v>
      </c>
      <c r="U1665" t="s">
        <v>34</v>
      </c>
    </row>
    <row r="1666" spans="1:21" x14ac:dyDescent="0.2">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s="2">
        <v>337.17599999999999</v>
      </c>
      <c r="Q1666">
        <v>2</v>
      </c>
      <c r="R1666" s="2">
        <v>-118.0116</v>
      </c>
      <c r="S1666" t="s">
        <v>47</v>
      </c>
      <c r="T1666" s="10">
        <v>7</v>
      </c>
      <c r="U1666" t="s">
        <v>59</v>
      </c>
    </row>
    <row r="1667" spans="1:21" x14ac:dyDescent="0.2">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s="2">
        <v>23.376000000000001</v>
      </c>
      <c r="Q1667">
        <v>3</v>
      </c>
      <c r="R1667" s="2">
        <v>7.0128000000000004</v>
      </c>
      <c r="S1667" t="s">
        <v>33</v>
      </c>
      <c r="T1667" s="10">
        <v>3</v>
      </c>
      <c r="U1667" t="s">
        <v>96</v>
      </c>
    </row>
    <row r="1668" spans="1:21" x14ac:dyDescent="0.2">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s="2">
        <v>16.72</v>
      </c>
      <c r="Q1668">
        <v>5</v>
      </c>
      <c r="R1668" s="2">
        <v>3.3439999999999999</v>
      </c>
      <c r="S1668" t="s">
        <v>33</v>
      </c>
      <c r="T1668" s="10">
        <v>3</v>
      </c>
      <c r="U1668" t="s">
        <v>96</v>
      </c>
    </row>
    <row r="1669" spans="1:21" x14ac:dyDescent="0.2">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s="2">
        <v>16.192</v>
      </c>
      <c r="Q1669">
        <v>1</v>
      </c>
      <c r="R1669" s="2">
        <v>4.6551999999999998</v>
      </c>
      <c r="S1669" t="s">
        <v>33</v>
      </c>
      <c r="T1669" s="10">
        <v>3</v>
      </c>
      <c r="U1669" t="s">
        <v>96</v>
      </c>
    </row>
    <row r="1670" spans="1:21" x14ac:dyDescent="0.2">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s="2">
        <v>343.85</v>
      </c>
      <c r="Q1670">
        <v>5</v>
      </c>
      <c r="R1670" s="2">
        <v>137.54</v>
      </c>
      <c r="S1670" t="s">
        <v>83</v>
      </c>
      <c r="T1670" s="10">
        <v>4</v>
      </c>
      <c r="U1670" t="s">
        <v>96</v>
      </c>
    </row>
    <row r="1671" spans="1:21" x14ac:dyDescent="0.2">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s="2">
        <v>31.984000000000002</v>
      </c>
      <c r="Q1671">
        <v>1</v>
      </c>
      <c r="R1671" s="2">
        <v>0</v>
      </c>
      <c r="S1671" t="s">
        <v>58</v>
      </c>
      <c r="T1671" s="10">
        <v>5</v>
      </c>
      <c r="U1671" t="s">
        <v>253</v>
      </c>
    </row>
    <row r="1672" spans="1:21" x14ac:dyDescent="0.2">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s="2">
        <v>423.64800000000002</v>
      </c>
      <c r="Q1672">
        <v>2</v>
      </c>
      <c r="R1672" s="2">
        <v>47.660400000000003</v>
      </c>
      <c r="S1672" t="s">
        <v>58</v>
      </c>
      <c r="T1672" s="10">
        <v>5</v>
      </c>
      <c r="U1672" t="s">
        <v>253</v>
      </c>
    </row>
    <row r="1673" spans="1:21" x14ac:dyDescent="0.2">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s="2">
        <v>268.70400000000001</v>
      </c>
      <c r="Q1673">
        <v>3</v>
      </c>
      <c r="R1673" s="2">
        <v>6.7176</v>
      </c>
      <c r="S1673" t="s">
        <v>83</v>
      </c>
      <c r="T1673" s="10">
        <v>4</v>
      </c>
      <c r="U1673" t="s">
        <v>96</v>
      </c>
    </row>
    <row r="1674" spans="1:21" x14ac:dyDescent="0.2">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s="2">
        <v>205.666</v>
      </c>
      <c r="Q1674">
        <v>2</v>
      </c>
      <c r="R1674" s="2">
        <v>-12.098000000000001</v>
      </c>
      <c r="S1674" t="s">
        <v>83</v>
      </c>
      <c r="T1674" s="10">
        <v>4</v>
      </c>
      <c r="U1674" t="s">
        <v>96</v>
      </c>
    </row>
    <row r="1675" spans="1:21" x14ac:dyDescent="0.2">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s="2">
        <v>30.344000000000001</v>
      </c>
      <c r="Q1675">
        <v>2</v>
      </c>
      <c r="R1675" s="2">
        <v>-31.8612</v>
      </c>
      <c r="S1675" t="s">
        <v>70</v>
      </c>
      <c r="T1675" s="10">
        <v>2</v>
      </c>
      <c r="U1675" t="s">
        <v>113</v>
      </c>
    </row>
    <row r="1676" spans="1:21" x14ac:dyDescent="0.2">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s="2">
        <v>344.37200000000001</v>
      </c>
      <c r="Q1676">
        <v>4</v>
      </c>
      <c r="R1676" s="2">
        <v>-93.472399999999993</v>
      </c>
      <c r="S1676" t="s">
        <v>83</v>
      </c>
      <c r="T1676" s="10">
        <v>4</v>
      </c>
      <c r="U1676" t="s">
        <v>34</v>
      </c>
    </row>
    <row r="1677" spans="1:21" x14ac:dyDescent="0.2">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s="2">
        <v>50.97</v>
      </c>
      <c r="Q1677">
        <v>3</v>
      </c>
      <c r="R1677" s="2">
        <v>9.1745999999999999</v>
      </c>
      <c r="S1677" t="s">
        <v>83</v>
      </c>
      <c r="T1677" s="10">
        <v>4</v>
      </c>
      <c r="U1677" t="s">
        <v>34</v>
      </c>
    </row>
    <row r="1678" spans="1:21" x14ac:dyDescent="0.2">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s="2">
        <v>298.11599999999999</v>
      </c>
      <c r="Q1678">
        <v>6</v>
      </c>
      <c r="R1678" s="2">
        <v>-4.2587999999999999</v>
      </c>
      <c r="S1678" t="s">
        <v>70</v>
      </c>
      <c r="T1678" s="10">
        <v>2</v>
      </c>
      <c r="U1678" t="s">
        <v>71</v>
      </c>
    </row>
    <row r="1679" spans="1:21" x14ac:dyDescent="0.2">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s="2">
        <v>230.28</v>
      </c>
      <c r="Q1679">
        <v>3</v>
      </c>
      <c r="R1679" s="2">
        <v>23.027999999999999</v>
      </c>
      <c r="S1679" t="s">
        <v>58</v>
      </c>
      <c r="T1679" s="10">
        <v>5</v>
      </c>
      <c r="U1679" t="s">
        <v>71</v>
      </c>
    </row>
    <row r="1680" spans="1:21" x14ac:dyDescent="0.2">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s="2">
        <v>81.424000000000007</v>
      </c>
      <c r="Q1680">
        <v>2</v>
      </c>
      <c r="R1680" s="2">
        <v>-9.1601999999999997</v>
      </c>
      <c r="S1680" t="s">
        <v>33</v>
      </c>
      <c r="T1680" s="10">
        <v>3</v>
      </c>
      <c r="U1680" t="s">
        <v>96</v>
      </c>
    </row>
    <row r="1681" spans="1:21" x14ac:dyDescent="0.2">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s="2">
        <v>362.25</v>
      </c>
      <c r="Q1681">
        <v>6</v>
      </c>
      <c r="R1681" s="2">
        <v>0</v>
      </c>
      <c r="S1681" t="s">
        <v>83</v>
      </c>
      <c r="T1681" s="10">
        <v>4</v>
      </c>
      <c r="U1681" t="s">
        <v>195</v>
      </c>
    </row>
    <row r="1682" spans="1:21" x14ac:dyDescent="0.2">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s="2">
        <v>63.552</v>
      </c>
      <c r="Q1682">
        <v>6</v>
      </c>
      <c r="R1682" s="2">
        <v>-34.953600000000002</v>
      </c>
      <c r="S1682" t="s">
        <v>83</v>
      </c>
      <c r="T1682" s="10">
        <v>4</v>
      </c>
      <c r="U1682" t="s">
        <v>195</v>
      </c>
    </row>
    <row r="1683" spans="1:21" x14ac:dyDescent="0.2">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s="2">
        <v>435.16800000000001</v>
      </c>
      <c r="Q1683">
        <v>4</v>
      </c>
      <c r="R1683" s="2">
        <v>-59.835599999999999</v>
      </c>
      <c r="S1683" t="s">
        <v>58</v>
      </c>
      <c r="T1683" s="10">
        <v>5</v>
      </c>
      <c r="U1683" t="s">
        <v>48</v>
      </c>
    </row>
    <row r="1684" spans="1:21" x14ac:dyDescent="0.2">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s="2">
        <v>72.900000000000006</v>
      </c>
      <c r="Q1684">
        <v>5</v>
      </c>
      <c r="R1684" s="2">
        <v>26.972999999999999</v>
      </c>
      <c r="S1684" t="s">
        <v>58</v>
      </c>
      <c r="T1684" s="10">
        <v>5</v>
      </c>
      <c r="U1684" t="s">
        <v>48</v>
      </c>
    </row>
    <row r="1685" spans="1:21" x14ac:dyDescent="0.2">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s="2">
        <v>206.352</v>
      </c>
      <c r="Q1685">
        <v>3</v>
      </c>
      <c r="R1685" s="2">
        <v>5.1588000000000003</v>
      </c>
      <c r="S1685" t="s">
        <v>58</v>
      </c>
      <c r="T1685" s="10">
        <v>5</v>
      </c>
      <c r="U1685" t="s">
        <v>48</v>
      </c>
    </row>
    <row r="1686" spans="1:21" x14ac:dyDescent="0.2">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s="2">
        <v>90.882000000000005</v>
      </c>
      <c r="Q1686">
        <v>3</v>
      </c>
      <c r="R1686" s="2">
        <v>-190.85220000000001</v>
      </c>
      <c r="S1686" t="s">
        <v>70</v>
      </c>
      <c r="T1686" s="10">
        <v>2</v>
      </c>
      <c r="U1686" t="s">
        <v>48</v>
      </c>
    </row>
    <row r="1687" spans="1:21" x14ac:dyDescent="0.2">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s="2">
        <v>120.78400000000001</v>
      </c>
      <c r="Q1687">
        <v>1</v>
      </c>
      <c r="R1687" s="2">
        <v>13.588200000000001</v>
      </c>
      <c r="S1687" t="s">
        <v>70</v>
      </c>
      <c r="T1687" s="10">
        <v>2</v>
      </c>
      <c r="U1687" t="s">
        <v>48</v>
      </c>
    </row>
    <row r="1688" spans="1:21" x14ac:dyDescent="0.2">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s="2">
        <v>254.352</v>
      </c>
      <c r="Q1688">
        <v>3</v>
      </c>
      <c r="R1688" s="2">
        <v>0</v>
      </c>
      <c r="S1688" t="s">
        <v>83</v>
      </c>
      <c r="T1688" s="10">
        <v>4</v>
      </c>
      <c r="U1688" t="s">
        <v>253</v>
      </c>
    </row>
    <row r="1689" spans="1:21" x14ac:dyDescent="0.2">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s="2">
        <v>254.9</v>
      </c>
      <c r="Q1689">
        <v>5</v>
      </c>
      <c r="R1689" s="2">
        <v>76.47</v>
      </c>
      <c r="S1689" t="s">
        <v>33</v>
      </c>
      <c r="T1689" s="10">
        <v>3</v>
      </c>
      <c r="U1689" t="s">
        <v>77</v>
      </c>
    </row>
    <row r="1690" spans="1:21" x14ac:dyDescent="0.2">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s="2">
        <v>145.76400000000001</v>
      </c>
      <c r="Q1690">
        <v>6</v>
      </c>
      <c r="R1690" s="2">
        <v>-247.7988</v>
      </c>
      <c r="S1690" t="s">
        <v>33</v>
      </c>
      <c r="T1690" s="10">
        <v>3</v>
      </c>
      <c r="U1690" t="s">
        <v>34</v>
      </c>
    </row>
    <row r="1691" spans="1:21" x14ac:dyDescent="0.2">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s="2">
        <v>1673.184</v>
      </c>
      <c r="Q1691">
        <v>12</v>
      </c>
      <c r="R1691" s="2">
        <v>20.9148</v>
      </c>
      <c r="S1691" t="s">
        <v>70</v>
      </c>
      <c r="T1691" s="10">
        <v>2</v>
      </c>
      <c r="U1691" t="s">
        <v>34</v>
      </c>
    </row>
    <row r="1692" spans="1:21" x14ac:dyDescent="0.2">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s="2">
        <v>12.18</v>
      </c>
      <c r="Q1692">
        <v>7</v>
      </c>
      <c r="R1692" s="2">
        <v>3.8976000000000002</v>
      </c>
      <c r="S1692" t="s">
        <v>33</v>
      </c>
      <c r="T1692" s="10">
        <v>3</v>
      </c>
      <c r="U1692" t="s">
        <v>161</v>
      </c>
    </row>
    <row r="1693" spans="1:21" x14ac:dyDescent="0.2">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s="2">
        <v>45.84</v>
      </c>
      <c r="Q1693">
        <v>3</v>
      </c>
      <c r="R1693" s="2">
        <v>15.585599999999999</v>
      </c>
      <c r="S1693" t="s">
        <v>70</v>
      </c>
      <c r="T1693" s="10">
        <v>2</v>
      </c>
      <c r="U1693" t="s">
        <v>96</v>
      </c>
    </row>
    <row r="1694" spans="1:21" x14ac:dyDescent="0.2">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s="2">
        <v>9.82</v>
      </c>
      <c r="Q1694">
        <v>2</v>
      </c>
      <c r="R1694" s="2">
        <v>3.2406000000000001</v>
      </c>
      <c r="S1694" t="s">
        <v>70</v>
      </c>
      <c r="T1694" s="10">
        <v>2</v>
      </c>
      <c r="U1694" t="s">
        <v>96</v>
      </c>
    </row>
    <row r="1695" spans="1:21" x14ac:dyDescent="0.2">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s="2">
        <v>1323.9</v>
      </c>
      <c r="Q1695">
        <v>5</v>
      </c>
      <c r="R1695" s="2">
        <v>383.93099999999998</v>
      </c>
      <c r="S1695" t="s">
        <v>47</v>
      </c>
      <c r="T1695" s="10">
        <v>7</v>
      </c>
      <c r="U1695" t="s">
        <v>34</v>
      </c>
    </row>
    <row r="1696" spans="1:21" x14ac:dyDescent="0.2">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s="2">
        <v>18.84</v>
      </c>
      <c r="Q1696">
        <v>3</v>
      </c>
      <c r="R1696" s="2">
        <v>6.0288000000000004</v>
      </c>
      <c r="S1696" t="s">
        <v>430</v>
      </c>
      <c r="T1696" s="10">
        <v>0</v>
      </c>
      <c r="U1696" t="s">
        <v>161</v>
      </c>
    </row>
    <row r="1697" spans="1:21" x14ac:dyDescent="0.2">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s="2">
        <v>60.671999999999997</v>
      </c>
      <c r="Q1697">
        <v>6</v>
      </c>
      <c r="R1697" s="2">
        <v>12.892799999999999</v>
      </c>
      <c r="S1697" t="s">
        <v>70</v>
      </c>
      <c r="T1697" s="10">
        <v>2</v>
      </c>
      <c r="U1697" t="s">
        <v>77</v>
      </c>
    </row>
    <row r="1698" spans="1:21" x14ac:dyDescent="0.2">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s="2">
        <v>657.93</v>
      </c>
      <c r="Q1698">
        <v>5</v>
      </c>
      <c r="R1698" s="2">
        <v>-93.99</v>
      </c>
      <c r="S1698" t="s">
        <v>83</v>
      </c>
      <c r="T1698" s="10">
        <v>4</v>
      </c>
      <c r="U1698" t="s">
        <v>71</v>
      </c>
    </row>
    <row r="1699" spans="1:21" x14ac:dyDescent="0.2">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s="2">
        <v>210.68</v>
      </c>
      <c r="Q1699">
        <v>2</v>
      </c>
      <c r="R1699" s="2">
        <v>50.563200000000002</v>
      </c>
      <c r="S1699" t="s">
        <v>83</v>
      </c>
      <c r="T1699" s="10">
        <v>4</v>
      </c>
      <c r="U1699" t="s">
        <v>77</v>
      </c>
    </row>
    <row r="1700" spans="1:21" x14ac:dyDescent="0.2">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s="2">
        <v>23.076000000000001</v>
      </c>
      <c r="Q1700">
        <v>3</v>
      </c>
      <c r="R1700" s="2">
        <v>-10.9611</v>
      </c>
      <c r="S1700" t="s">
        <v>83</v>
      </c>
      <c r="T1700" s="10">
        <v>4</v>
      </c>
      <c r="U1700" t="s">
        <v>169</v>
      </c>
    </row>
    <row r="1701" spans="1:21" x14ac:dyDescent="0.2">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s="2">
        <v>75.384</v>
      </c>
      <c r="Q1701">
        <v>9</v>
      </c>
      <c r="R1701" s="2">
        <v>-20.730599999999999</v>
      </c>
      <c r="S1701" t="s">
        <v>33</v>
      </c>
      <c r="T1701" s="10">
        <v>3</v>
      </c>
      <c r="U1701" t="s">
        <v>59</v>
      </c>
    </row>
    <row r="1702" spans="1:21" x14ac:dyDescent="0.2">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s="2">
        <v>435.99900000000002</v>
      </c>
      <c r="Q1702">
        <v>3</v>
      </c>
      <c r="R1702" s="2">
        <v>5.1294000000000004</v>
      </c>
      <c r="S1702" t="s">
        <v>70</v>
      </c>
      <c r="T1702" s="10">
        <v>2</v>
      </c>
      <c r="U1702" t="s">
        <v>59</v>
      </c>
    </row>
    <row r="1703" spans="1:21" x14ac:dyDescent="0.2">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s="2">
        <v>388.70400000000001</v>
      </c>
      <c r="Q1703">
        <v>6</v>
      </c>
      <c r="R1703" s="2">
        <v>38.870399999999997</v>
      </c>
      <c r="S1703" t="s">
        <v>83</v>
      </c>
      <c r="T1703" s="10">
        <v>4</v>
      </c>
      <c r="U1703" t="s">
        <v>253</v>
      </c>
    </row>
    <row r="1704" spans="1:21" x14ac:dyDescent="0.2">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s="2">
        <v>26.72</v>
      </c>
      <c r="Q1704">
        <v>1</v>
      </c>
      <c r="R1704" s="2">
        <v>11.7568</v>
      </c>
      <c r="S1704" t="s">
        <v>83</v>
      </c>
      <c r="T1704" s="10">
        <v>4</v>
      </c>
      <c r="U1704" t="s">
        <v>195</v>
      </c>
    </row>
    <row r="1705" spans="1:21" x14ac:dyDescent="0.2">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s="2">
        <v>21.184000000000001</v>
      </c>
      <c r="Q1705">
        <v>1</v>
      </c>
      <c r="R1705" s="2">
        <v>4.7664</v>
      </c>
      <c r="S1705" t="s">
        <v>83</v>
      </c>
      <c r="T1705" s="10">
        <v>4</v>
      </c>
      <c r="U1705" t="s">
        <v>77</v>
      </c>
    </row>
    <row r="1706" spans="1:21" x14ac:dyDescent="0.2">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s="2">
        <v>307.666</v>
      </c>
      <c r="Q1706">
        <v>2</v>
      </c>
      <c r="R1706" s="2">
        <v>28.956800000000001</v>
      </c>
      <c r="S1706" t="s">
        <v>47</v>
      </c>
      <c r="T1706" s="10">
        <v>7</v>
      </c>
      <c r="U1706" t="s">
        <v>253</v>
      </c>
    </row>
    <row r="1707" spans="1:21" x14ac:dyDescent="0.2">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s="2">
        <v>4.16</v>
      </c>
      <c r="Q1707">
        <v>2</v>
      </c>
      <c r="R1707" s="2">
        <v>1.7472000000000001</v>
      </c>
      <c r="S1707" t="s">
        <v>47</v>
      </c>
      <c r="T1707" s="10">
        <v>7</v>
      </c>
      <c r="U1707" t="s">
        <v>253</v>
      </c>
    </row>
    <row r="1708" spans="1:21" x14ac:dyDescent="0.2">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s="2">
        <v>16.02</v>
      </c>
      <c r="Q1708">
        <v>6</v>
      </c>
      <c r="R1708" s="2">
        <v>6.0876000000000001</v>
      </c>
      <c r="S1708" t="s">
        <v>83</v>
      </c>
      <c r="T1708" s="10">
        <v>4</v>
      </c>
      <c r="U1708" t="s">
        <v>48</v>
      </c>
    </row>
    <row r="1709" spans="1:21" x14ac:dyDescent="0.2">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s="2">
        <v>141.41999999999999</v>
      </c>
      <c r="Q1709">
        <v>5</v>
      </c>
      <c r="R1709" s="2">
        <v>-187.38149999999999</v>
      </c>
      <c r="S1709" t="s">
        <v>83</v>
      </c>
      <c r="T1709" s="10">
        <v>4</v>
      </c>
      <c r="U1709" t="s">
        <v>169</v>
      </c>
    </row>
    <row r="1710" spans="1:21" x14ac:dyDescent="0.2">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s="2">
        <v>310.74400000000003</v>
      </c>
      <c r="Q1710">
        <v>4</v>
      </c>
      <c r="R1710" s="2">
        <v>-26.635200000000001</v>
      </c>
      <c r="S1710" t="s">
        <v>83</v>
      </c>
      <c r="T1710" s="10">
        <v>4</v>
      </c>
      <c r="U1710" t="s">
        <v>169</v>
      </c>
    </row>
    <row r="1711" spans="1:21" x14ac:dyDescent="0.2">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s="2">
        <v>27.42</v>
      </c>
      <c r="Q1711">
        <v>3</v>
      </c>
      <c r="R1711" s="2">
        <v>9.3228000000000009</v>
      </c>
      <c r="S1711" t="s">
        <v>129</v>
      </c>
      <c r="T1711" s="10">
        <v>6</v>
      </c>
      <c r="U1711" t="s">
        <v>59</v>
      </c>
    </row>
    <row r="1712" spans="1:21" x14ac:dyDescent="0.2">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s="2">
        <v>61.1</v>
      </c>
      <c r="Q1712">
        <v>5</v>
      </c>
      <c r="R1712" s="2">
        <v>18.329999999999998</v>
      </c>
      <c r="S1712" t="s">
        <v>129</v>
      </c>
      <c r="T1712" s="10">
        <v>6</v>
      </c>
      <c r="U1712" t="s">
        <v>48</v>
      </c>
    </row>
    <row r="1713" spans="1:21" x14ac:dyDescent="0.2">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s="2">
        <v>23.88</v>
      </c>
      <c r="Q1713">
        <v>3</v>
      </c>
      <c r="R1713" s="2">
        <v>10.507199999999999</v>
      </c>
      <c r="S1713" t="s">
        <v>58</v>
      </c>
      <c r="T1713" s="10">
        <v>5</v>
      </c>
      <c r="U1713" t="s">
        <v>71</v>
      </c>
    </row>
    <row r="1714" spans="1:21" x14ac:dyDescent="0.2">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s="2">
        <v>89.066400000000002</v>
      </c>
      <c r="Q1714">
        <v>1</v>
      </c>
      <c r="R1714" s="2">
        <v>-17.0274</v>
      </c>
      <c r="S1714" t="s">
        <v>70</v>
      </c>
      <c r="T1714" s="10">
        <v>2</v>
      </c>
      <c r="U1714" t="s">
        <v>297</v>
      </c>
    </row>
    <row r="1715" spans="1:21" x14ac:dyDescent="0.2">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s="2">
        <v>215.54400000000001</v>
      </c>
      <c r="Q1715">
        <v>4</v>
      </c>
      <c r="R1715" s="2">
        <v>-58.504800000000003</v>
      </c>
      <c r="S1715" t="s">
        <v>47</v>
      </c>
      <c r="T1715" s="10">
        <v>7</v>
      </c>
      <c r="U1715" t="s">
        <v>96</v>
      </c>
    </row>
    <row r="1716" spans="1:21" x14ac:dyDescent="0.2">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s="2">
        <v>127.386</v>
      </c>
      <c r="Q1716">
        <v>2</v>
      </c>
      <c r="R1716" s="2">
        <v>-25.4772</v>
      </c>
      <c r="S1716" t="s">
        <v>58</v>
      </c>
      <c r="T1716" s="10">
        <v>5</v>
      </c>
      <c r="U1716" t="s">
        <v>34</v>
      </c>
    </row>
    <row r="1717" spans="1:21" x14ac:dyDescent="0.2">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s="2">
        <v>248.43</v>
      </c>
      <c r="Q1717">
        <v>5</v>
      </c>
      <c r="R1717" s="2">
        <v>-17.745000000000001</v>
      </c>
      <c r="S1717" t="s">
        <v>70</v>
      </c>
      <c r="T1717" s="10">
        <v>2</v>
      </c>
      <c r="U1717" t="s">
        <v>96</v>
      </c>
    </row>
    <row r="1718" spans="1:21" x14ac:dyDescent="0.2">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s="2">
        <v>85.245999999999995</v>
      </c>
      <c r="Q1718">
        <v>2</v>
      </c>
      <c r="R1718" s="2">
        <v>-1.2178</v>
      </c>
      <c r="S1718" t="s">
        <v>70</v>
      </c>
      <c r="T1718" s="10">
        <v>2</v>
      </c>
      <c r="U1718" t="s">
        <v>96</v>
      </c>
    </row>
    <row r="1719" spans="1:21" x14ac:dyDescent="0.2">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s="2">
        <v>148.02000000000001</v>
      </c>
      <c r="Q1719">
        <v>3</v>
      </c>
      <c r="R1719" s="2">
        <v>41.445599999999999</v>
      </c>
      <c r="S1719" t="s">
        <v>129</v>
      </c>
      <c r="T1719" s="10">
        <v>6</v>
      </c>
      <c r="U1719" t="s">
        <v>253</v>
      </c>
    </row>
    <row r="1720" spans="1:21" x14ac:dyDescent="0.2">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s="2">
        <v>526.34400000000005</v>
      </c>
      <c r="Q1720">
        <v>4</v>
      </c>
      <c r="R1720" s="2">
        <v>-75.191999999999993</v>
      </c>
      <c r="S1720" t="s">
        <v>58</v>
      </c>
      <c r="T1720" s="10">
        <v>5</v>
      </c>
      <c r="U1720" t="s">
        <v>71</v>
      </c>
    </row>
    <row r="1721" spans="1:21" x14ac:dyDescent="0.2">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s="2">
        <v>41.96</v>
      </c>
      <c r="Q1721">
        <v>2</v>
      </c>
      <c r="R1721" s="2">
        <v>10.909599999999999</v>
      </c>
      <c r="S1721" t="s">
        <v>58</v>
      </c>
      <c r="T1721" s="10">
        <v>5</v>
      </c>
      <c r="U1721" t="s">
        <v>34</v>
      </c>
    </row>
    <row r="1722" spans="1:21" x14ac:dyDescent="0.2">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s="2">
        <v>451.15199999999999</v>
      </c>
      <c r="Q1722">
        <v>3</v>
      </c>
      <c r="R1722" s="2">
        <v>0</v>
      </c>
      <c r="S1722" t="s">
        <v>58</v>
      </c>
      <c r="T1722" s="10">
        <v>5</v>
      </c>
      <c r="U1722" t="s">
        <v>34</v>
      </c>
    </row>
    <row r="1723" spans="1:21" x14ac:dyDescent="0.2">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s="2">
        <v>161.56800000000001</v>
      </c>
      <c r="Q1723">
        <v>2</v>
      </c>
      <c r="R1723" s="2">
        <v>-28.2744</v>
      </c>
      <c r="S1723" t="s">
        <v>58</v>
      </c>
      <c r="T1723" s="10">
        <v>5</v>
      </c>
      <c r="U1723" t="s">
        <v>77</v>
      </c>
    </row>
    <row r="1724" spans="1:21" x14ac:dyDescent="0.2">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s="2">
        <v>64.959999999999994</v>
      </c>
      <c r="Q1724">
        <v>5</v>
      </c>
      <c r="R1724" s="2">
        <v>-43.847999999999999</v>
      </c>
      <c r="S1724" t="s">
        <v>129</v>
      </c>
      <c r="T1724" s="10">
        <v>6</v>
      </c>
      <c r="U1724" t="s">
        <v>253</v>
      </c>
    </row>
    <row r="1725" spans="1:21" x14ac:dyDescent="0.2">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s="2">
        <v>72.78</v>
      </c>
      <c r="Q1725">
        <v>3</v>
      </c>
      <c r="R1725" s="2">
        <v>-70.960499999999996</v>
      </c>
      <c r="S1725" t="s">
        <v>58</v>
      </c>
      <c r="T1725" s="10">
        <v>5</v>
      </c>
      <c r="U1725" t="s">
        <v>48</v>
      </c>
    </row>
    <row r="1726" spans="1:21" x14ac:dyDescent="0.2">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s="2">
        <v>562.29250000000002</v>
      </c>
      <c r="Q1726">
        <v>7</v>
      </c>
      <c r="R1726" s="2">
        <v>-255.58750000000001</v>
      </c>
      <c r="S1726" t="s">
        <v>83</v>
      </c>
      <c r="T1726" s="10">
        <v>4</v>
      </c>
      <c r="U1726" t="s">
        <v>253</v>
      </c>
    </row>
    <row r="1727" spans="1:21" x14ac:dyDescent="0.2">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s="2">
        <v>56.52</v>
      </c>
      <c r="Q1727">
        <v>9</v>
      </c>
      <c r="R1727" s="2">
        <v>21.477599999999999</v>
      </c>
      <c r="S1727" t="s">
        <v>83</v>
      </c>
      <c r="T1727" s="10">
        <v>4</v>
      </c>
      <c r="U1727" t="s">
        <v>34</v>
      </c>
    </row>
    <row r="1728" spans="1:21" x14ac:dyDescent="0.2">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s="2">
        <v>557.72799999999995</v>
      </c>
      <c r="Q1728">
        <v>4</v>
      </c>
      <c r="R1728" s="2">
        <v>6.9715999999999996</v>
      </c>
      <c r="S1728" t="s">
        <v>58</v>
      </c>
      <c r="T1728" s="10">
        <v>5</v>
      </c>
      <c r="U1728" t="s">
        <v>297</v>
      </c>
    </row>
    <row r="1729" spans="1:21" x14ac:dyDescent="0.2">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s="2">
        <v>141.96</v>
      </c>
      <c r="Q1729">
        <v>2</v>
      </c>
      <c r="R1729" s="2">
        <v>39.748800000000003</v>
      </c>
      <c r="S1729" t="s">
        <v>33</v>
      </c>
      <c r="T1729" s="10">
        <v>3</v>
      </c>
      <c r="U1729" t="s">
        <v>169</v>
      </c>
    </row>
    <row r="1730" spans="1:21" x14ac:dyDescent="0.2">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s="2">
        <v>239.37200000000001</v>
      </c>
      <c r="Q1730">
        <v>2</v>
      </c>
      <c r="R1730" s="2">
        <v>-23.937200000000001</v>
      </c>
      <c r="S1730" t="s">
        <v>58</v>
      </c>
      <c r="T1730" s="10">
        <v>5</v>
      </c>
      <c r="U1730" t="s">
        <v>48</v>
      </c>
    </row>
    <row r="1731" spans="1:21" x14ac:dyDescent="0.2">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s="2">
        <v>227.96</v>
      </c>
      <c r="Q1731">
        <v>2</v>
      </c>
      <c r="R1731" s="2">
        <v>36.473599999999998</v>
      </c>
      <c r="S1731" t="s">
        <v>83</v>
      </c>
      <c r="T1731" s="10">
        <v>4</v>
      </c>
      <c r="U1731" t="s">
        <v>297</v>
      </c>
    </row>
    <row r="1732" spans="1:21" x14ac:dyDescent="0.2">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s="2">
        <v>96.96</v>
      </c>
      <c r="Q1732">
        <v>6</v>
      </c>
      <c r="R1732" s="2">
        <v>33.936</v>
      </c>
      <c r="S1732" t="s">
        <v>83</v>
      </c>
      <c r="T1732" s="10">
        <v>4</v>
      </c>
      <c r="U1732" t="s">
        <v>34</v>
      </c>
    </row>
    <row r="1733" spans="1:21" x14ac:dyDescent="0.2">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s="2">
        <v>512.49900000000002</v>
      </c>
      <c r="Q1733">
        <v>3</v>
      </c>
      <c r="R1733" s="2">
        <v>-30.146999999999998</v>
      </c>
      <c r="S1733" t="s">
        <v>83</v>
      </c>
      <c r="T1733" s="10">
        <v>4</v>
      </c>
      <c r="U1733" t="s">
        <v>34</v>
      </c>
    </row>
    <row r="1734" spans="1:21" x14ac:dyDescent="0.2">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s="2">
        <v>863.12800000000004</v>
      </c>
      <c r="Q1734">
        <v>7</v>
      </c>
      <c r="R1734" s="2">
        <v>-32.3673</v>
      </c>
      <c r="S1734" t="s">
        <v>58</v>
      </c>
      <c r="T1734" s="10">
        <v>5</v>
      </c>
      <c r="U1734" t="s">
        <v>71</v>
      </c>
    </row>
    <row r="1735" spans="1:21" x14ac:dyDescent="0.2">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s="2">
        <v>2036.86</v>
      </c>
      <c r="Q1735">
        <v>7</v>
      </c>
      <c r="R1735" s="2">
        <v>366.63479999999998</v>
      </c>
      <c r="S1735" t="s">
        <v>47</v>
      </c>
      <c r="T1735" s="10">
        <v>7</v>
      </c>
      <c r="U1735" t="s">
        <v>34</v>
      </c>
    </row>
    <row r="1736" spans="1:21" x14ac:dyDescent="0.2">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s="2">
        <v>449.56799999999998</v>
      </c>
      <c r="Q1736">
        <v>2</v>
      </c>
      <c r="R1736" s="2">
        <v>-73.0548</v>
      </c>
      <c r="S1736" t="s">
        <v>47</v>
      </c>
      <c r="T1736" s="10">
        <v>7</v>
      </c>
      <c r="U1736" t="s">
        <v>34</v>
      </c>
    </row>
    <row r="1737" spans="1:21" x14ac:dyDescent="0.2">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s="2">
        <v>277.5</v>
      </c>
      <c r="Q1737">
        <v>4</v>
      </c>
      <c r="R1737" s="2">
        <v>-188.7</v>
      </c>
      <c r="S1737" t="s">
        <v>83</v>
      </c>
      <c r="T1737" s="10">
        <v>4</v>
      </c>
      <c r="U1737" t="s">
        <v>253</v>
      </c>
    </row>
    <row r="1738" spans="1:21" x14ac:dyDescent="0.2">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s="2">
        <v>1252.704</v>
      </c>
      <c r="Q1738">
        <v>8</v>
      </c>
      <c r="R1738" s="2">
        <v>-480.20319999999998</v>
      </c>
      <c r="S1738" t="s">
        <v>83</v>
      </c>
      <c r="T1738" s="10">
        <v>4</v>
      </c>
      <c r="U1738" t="s">
        <v>34</v>
      </c>
    </row>
    <row r="1739" spans="1:21" x14ac:dyDescent="0.2">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s="2">
        <v>22.608000000000001</v>
      </c>
      <c r="Q1739">
        <v>3</v>
      </c>
      <c r="R1739" s="2">
        <v>-10.1736</v>
      </c>
      <c r="S1739" t="s">
        <v>83</v>
      </c>
      <c r="T1739" s="10">
        <v>4</v>
      </c>
      <c r="U1739" t="s">
        <v>161</v>
      </c>
    </row>
    <row r="1740" spans="1:21" x14ac:dyDescent="0.2">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s="2">
        <v>1.8919999999999999</v>
      </c>
      <c r="Q1740">
        <v>1</v>
      </c>
      <c r="R1740" s="2">
        <v>-0.99329999999999996</v>
      </c>
      <c r="S1740" t="s">
        <v>83</v>
      </c>
      <c r="T1740" s="10">
        <v>4</v>
      </c>
      <c r="U1740" t="s">
        <v>161</v>
      </c>
    </row>
    <row r="1741" spans="1:21" x14ac:dyDescent="0.2">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s="2">
        <v>170.072</v>
      </c>
      <c r="Q1741">
        <v>4</v>
      </c>
      <c r="R1741" s="2">
        <v>-12.148</v>
      </c>
      <c r="S1741" t="s">
        <v>83</v>
      </c>
      <c r="T1741" s="10">
        <v>4</v>
      </c>
      <c r="U1741" t="s">
        <v>77</v>
      </c>
    </row>
    <row r="1742" spans="1:21" x14ac:dyDescent="0.2">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s="2">
        <v>187.76</v>
      </c>
      <c r="Q1742">
        <v>4</v>
      </c>
      <c r="R1742" s="2">
        <v>76.9816</v>
      </c>
      <c r="S1742" t="s">
        <v>83</v>
      </c>
      <c r="T1742" s="10">
        <v>4</v>
      </c>
      <c r="U1742" t="s">
        <v>34</v>
      </c>
    </row>
    <row r="1743" spans="1:21" x14ac:dyDescent="0.2">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s="2">
        <v>335.74400000000003</v>
      </c>
      <c r="Q1743">
        <v>2</v>
      </c>
      <c r="R1743" s="2">
        <v>25.180800000000001</v>
      </c>
      <c r="S1743" t="s">
        <v>33</v>
      </c>
      <c r="T1743" s="10">
        <v>3</v>
      </c>
      <c r="U1743" t="s">
        <v>34</v>
      </c>
    </row>
    <row r="1744" spans="1:21" x14ac:dyDescent="0.2">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s="2">
        <v>11.82</v>
      </c>
      <c r="Q1744">
        <v>3</v>
      </c>
      <c r="R1744" s="2">
        <v>4.7279999999999998</v>
      </c>
      <c r="S1744" t="s">
        <v>430</v>
      </c>
      <c r="T1744" s="10">
        <v>0</v>
      </c>
      <c r="U1744" t="s">
        <v>34</v>
      </c>
    </row>
    <row r="1745" spans="1:21" x14ac:dyDescent="0.2">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s="2">
        <v>577.76400000000001</v>
      </c>
      <c r="Q1745">
        <v>2</v>
      </c>
      <c r="R1745" s="2">
        <v>115.5528</v>
      </c>
      <c r="S1745" t="s">
        <v>430</v>
      </c>
      <c r="T1745" s="10">
        <v>0</v>
      </c>
      <c r="U1745" t="s">
        <v>34</v>
      </c>
    </row>
    <row r="1746" spans="1:21" x14ac:dyDescent="0.2">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s="2">
        <v>191.5155</v>
      </c>
      <c r="Q1746">
        <v>1</v>
      </c>
      <c r="R1746" s="2">
        <v>-76.606200000000001</v>
      </c>
      <c r="S1746" t="s">
        <v>83</v>
      </c>
      <c r="T1746" s="10">
        <v>4</v>
      </c>
      <c r="U1746" t="s">
        <v>113</v>
      </c>
    </row>
    <row r="1747" spans="1:21" x14ac:dyDescent="0.2">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s="2">
        <v>44.46</v>
      </c>
      <c r="Q1747">
        <v>5</v>
      </c>
      <c r="R1747" s="2">
        <v>-17.783999999999999</v>
      </c>
      <c r="S1747" t="s">
        <v>58</v>
      </c>
      <c r="T1747" s="10">
        <v>5</v>
      </c>
      <c r="U1747" t="s">
        <v>34</v>
      </c>
    </row>
    <row r="1748" spans="1:21" x14ac:dyDescent="0.2">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s="2">
        <v>31.776</v>
      </c>
      <c r="Q1748">
        <v>3</v>
      </c>
      <c r="R1748" s="2">
        <v>-19.0656</v>
      </c>
      <c r="S1748" t="s">
        <v>83</v>
      </c>
      <c r="T1748" s="10">
        <v>4</v>
      </c>
      <c r="U1748" t="s">
        <v>48</v>
      </c>
    </row>
    <row r="1749" spans="1:21" x14ac:dyDescent="0.2">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s="2">
        <v>82.64</v>
      </c>
      <c r="Q1749">
        <v>2</v>
      </c>
      <c r="R1749" s="2">
        <v>7.4375999999999998</v>
      </c>
      <c r="S1749" t="s">
        <v>83</v>
      </c>
      <c r="T1749" s="10">
        <v>4</v>
      </c>
      <c r="U1749" t="s">
        <v>113</v>
      </c>
    </row>
    <row r="1750" spans="1:21" x14ac:dyDescent="0.2">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s="2">
        <v>1266.8599999999999</v>
      </c>
      <c r="Q1750">
        <v>7</v>
      </c>
      <c r="R1750" s="2">
        <v>291.37779999999998</v>
      </c>
      <c r="S1750" t="s">
        <v>70</v>
      </c>
      <c r="T1750" s="10">
        <v>2</v>
      </c>
      <c r="U1750" t="s">
        <v>59</v>
      </c>
    </row>
    <row r="1751" spans="1:21" x14ac:dyDescent="0.2">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s="2">
        <v>933.26199999999994</v>
      </c>
      <c r="Q1751">
        <v>4</v>
      </c>
      <c r="R1751" s="2">
        <v>-458.14679999999998</v>
      </c>
      <c r="S1751" t="s">
        <v>58</v>
      </c>
      <c r="T1751" s="10">
        <v>5</v>
      </c>
      <c r="U1751" t="s">
        <v>161</v>
      </c>
    </row>
    <row r="1752" spans="1:21" x14ac:dyDescent="0.2">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s="2">
        <v>2803.92</v>
      </c>
      <c r="Q1752">
        <v>5</v>
      </c>
      <c r="R1752" s="2">
        <v>0</v>
      </c>
      <c r="S1752" t="s">
        <v>58</v>
      </c>
      <c r="T1752" s="10">
        <v>5</v>
      </c>
      <c r="U1752" t="s">
        <v>161</v>
      </c>
    </row>
    <row r="1753" spans="1:21" x14ac:dyDescent="0.2">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s="2">
        <v>43.936</v>
      </c>
      <c r="Q1753">
        <v>4</v>
      </c>
      <c r="R1753" s="2">
        <v>6.0411999999999999</v>
      </c>
      <c r="S1753" t="s">
        <v>430</v>
      </c>
      <c r="T1753" s="10">
        <v>0</v>
      </c>
      <c r="U1753" t="s">
        <v>48</v>
      </c>
    </row>
    <row r="1754" spans="1:21" x14ac:dyDescent="0.2">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s="2">
        <v>85.44</v>
      </c>
      <c r="Q1754">
        <v>3</v>
      </c>
      <c r="R1754" s="2">
        <v>31.6128</v>
      </c>
      <c r="S1754" t="s">
        <v>83</v>
      </c>
      <c r="T1754" s="10">
        <v>4</v>
      </c>
      <c r="U1754" t="s">
        <v>253</v>
      </c>
    </row>
    <row r="1755" spans="1:21" x14ac:dyDescent="0.2">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s="2">
        <v>4.7119999999999997</v>
      </c>
      <c r="Q1755">
        <v>2</v>
      </c>
      <c r="R1755" s="2">
        <v>-1.8848</v>
      </c>
      <c r="S1755" t="s">
        <v>83</v>
      </c>
      <c r="T1755" s="10">
        <v>4</v>
      </c>
      <c r="U1755" t="s">
        <v>195</v>
      </c>
    </row>
    <row r="1756" spans="1:21" x14ac:dyDescent="0.2">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s="2">
        <v>69.375</v>
      </c>
      <c r="Q1756">
        <v>1</v>
      </c>
      <c r="R1756" s="2">
        <v>-47.174999999999997</v>
      </c>
      <c r="S1756" t="s">
        <v>47</v>
      </c>
      <c r="T1756" s="10">
        <v>7</v>
      </c>
      <c r="U1756" t="s">
        <v>169</v>
      </c>
    </row>
    <row r="1757" spans="1:21" x14ac:dyDescent="0.2">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s="2">
        <v>2563.056</v>
      </c>
      <c r="Q1757">
        <v>8</v>
      </c>
      <c r="R1757" s="2">
        <v>313.26240000000001</v>
      </c>
      <c r="S1757" t="s">
        <v>129</v>
      </c>
      <c r="T1757" s="10">
        <v>6</v>
      </c>
      <c r="U1757" t="s">
        <v>96</v>
      </c>
    </row>
    <row r="1758" spans="1:21" x14ac:dyDescent="0.2">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s="2">
        <v>387.13600000000002</v>
      </c>
      <c r="Q1758">
        <v>4</v>
      </c>
      <c r="R1758" s="2">
        <v>4.8391999999999999</v>
      </c>
      <c r="S1758" t="s">
        <v>58</v>
      </c>
      <c r="T1758" s="10">
        <v>5</v>
      </c>
      <c r="U1758" t="s">
        <v>48</v>
      </c>
    </row>
    <row r="1759" spans="1:21" x14ac:dyDescent="0.2">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s="2">
        <v>207</v>
      </c>
      <c r="Q1759">
        <v>3</v>
      </c>
      <c r="R1759" s="2">
        <v>25.875</v>
      </c>
      <c r="S1759" t="s">
        <v>123</v>
      </c>
      <c r="T1759" s="10">
        <v>1</v>
      </c>
      <c r="U1759" t="s">
        <v>161</v>
      </c>
    </row>
    <row r="1760" spans="1:21" x14ac:dyDescent="0.2">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s="2">
        <v>51.756</v>
      </c>
      <c r="Q1760">
        <v>3</v>
      </c>
      <c r="R1760" s="2">
        <v>-33.641399999999997</v>
      </c>
      <c r="S1760" t="s">
        <v>58</v>
      </c>
      <c r="T1760" s="10">
        <v>5</v>
      </c>
      <c r="U1760" t="s">
        <v>96</v>
      </c>
    </row>
    <row r="1761" spans="1:21" x14ac:dyDescent="0.2">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s="2">
        <v>4.9279999999999999</v>
      </c>
      <c r="Q1761">
        <v>2</v>
      </c>
      <c r="R1761" s="2">
        <v>0.73919999999999997</v>
      </c>
      <c r="S1761" t="s">
        <v>129</v>
      </c>
      <c r="T1761" s="10">
        <v>6</v>
      </c>
      <c r="U1761" t="s">
        <v>71</v>
      </c>
    </row>
    <row r="1762" spans="1:21" x14ac:dyDescent="0.2">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s="2">
        <v>362.35199999999998</v>
      </c>
      <c r="Q1762">
        <v>3</v>
      </c>
      <c r="R1762" s="2">
        <v>45.293999999999997</v>
      </c>
      <c r="S1762" t="s">
        <v>129</v>
      </c>
      <c r="T1762" s="10">
        <v>6</v>
      </c>
      <c r="U1762" t="s">
        <v>71</v>
      </c>
    </row>
    <row r="1763" spans="1:21" x14ac:dyDescent="0.2">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s="2">
        <v>486.36799999999999</v>
      </c>
      <c r="Q1763">
        <v>4</v>
      </c>
      <c r="R1763" s="2">
        <v>36.477600000000002</v>
      </c>
      <c r="S1763" t="s">
        <v>129</v>
      </c>
      <c r="T1763" s="10">
        <v>6</v>
      </c>
      <c r="U1763" t="s">
        <v>34</v>
      </c>
    </row>
    <row r="1764" spans="1:21" x14ac:dyDescent="0.2">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s="2">
        <v>376.50900000000001</v>
      </c>
      <c r="Q1764">
        <v>3</v>
      </c>
      <c r="R1764" s="2">
        <v>-43.029600000000002</v>
      </c>
      <c r="S1764" t="s">
        <v>129</v>
      </c>
      <c r="T1764" s="10">
        <v>6</v>
      </c>
      <c r="U1764" t="s">
        <v>195</v>
      </c>
    </row>
    <row r="1765" spans="1:21" x14ac:dyDescent="0.2">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s="2">
        <v>62.72</v>
      </c>
      <c r="Q1765">
        <v>4</v>
      </c>
      <c r="R1765" s="2">
        <v>24.460799999999999</v>
      </c>
      <c r="S1765" t="s">
        <v>58</v>
      </c>
      <c r="T1765" s="10">
        <v>5</v>
      </c>
      <c r="U1765" t="s">
        <v>169</v>
      </c>
    </row>
    <row r="1766" spans="1:21" x14ac:dyDescent="0.2">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s="2">
        <v>512.35799999999995</v>
      </c>
      <c r="Q1766">
        <v>3</v>
      </c>
      <c r="R1766" s="2">
        <v>-14.6388</v>
      </c>
      <c r="S1766" t="s">
        <v>83</v>
      </c>
      <c r="T1766" s="10">
        <v>4</v>
      </c>
      <c r="U1766" t="s">
        <v>71</v>
      </c>
    </row>
    <row r="1767" spans="1:21" x14ac:dyDescent="0.2">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s="2">
        <v>354.9</v>
      </c>
      <c r="Q1767">
        <v>5</v>
      </c>
      <c r="R1767" s="2">
        <v>88.724999999999994</v>
      </c>
      <c r="S1767" t="s">
        <v>33</v>
      </c>
      <c r="T1767" s="10">
        <v>3</v>
      </c>
      <c r="U1767" t="s">
        <v>195</v>
      </c>
    </row>
    <row r="1768" spans="1:21" x14ac:dyDescent="0.2">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s="2">
        <v>436.70400000000001</v>
      </c>
      <c r="Q1768">
        <v>6</v>
      </c>
      <c r="R1768" s="2">
        <v>-38.211599999999997</v>
      </c>
      <c r="S1768" t="s">
        <v>83</v>
      </c>
      <c r="T1768" s="10">
        <v>4</v>
      </c>
      <c r="U1768" t="s">
        <v>113</v>
      </c>
    </row>
    <row r="1769" spans="1:21" x14ac:dyDescent="0.2">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s="2">
        <v>32.951999999999998</v>
      </c>
      <c r="Q1769">
        <v>3</v>
      </c>
      <c r="R1769" s="2">
        <v>6.5903999999999998</v>
      </c>
      <c r="S1769" t="s">
        <v>83</v>
      </c>
      <c r="T1769" s="10">
        <v>4</v>
      </c>
      <c r="U1769" t="s">
        <v>195</v>
      </c>
    </row>
    <row r="1770" spans="1:21" x14ac:dyDescent="0.2">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s="2">
        <v>218.376</v>
      </c>
      <c r="Q1770">
        <v>3</v>
      </c>
      <c r="R1770" s="2">
        <v>-10.918799999999999</v>
      </c>
      <c r="S1770" t="s">
        <v>83</v>
      </c>
      <c r="T1770" s="10">
        <v>4</v>
      </c>
      <c r="U1770" t="s">
        <v>195</v>
      </c>
    </row>
    <row r="1771" spans="1:21" x14ac:dyDescent="0.2">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s="2">
        <v>31.4</v>
      </c>
      <c r="Q1771">
        <v>5</v>
      </c>
      <c r="R1771" s="2">
        <v>13.188000000000001</v>
      </c>
      <c r="S1771" t="s">
        <v>83</v>
      </c>
      <c r="T1771" s="10">
        <v>4</v>
      </c>
      <c r="U1771" t="s">
        <v>113</v>
      </c>
    </row>
    <row r="1772" spans="1:21" x14ac:dyDescent="0.2">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s="2">
        <v>9.48</v>
      </c>
      <c r="Q1772">
        <v>1</v>
      </c>
      <c r="R1772" s="2">
        <v>3.7919999999999998</v>
      </c>
      <c r="S1772" t="s">
        <v>83</v>
      </c>
      <c r="T1772" s="10">
        <v>4</v>
      </c>
      <c r="U1772" t="s">
        <v>113</v>
      </c>
    </row>
    <row r="1773" spans="1:21" x14ac:dyDescent="0.2">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s="2">
        <v>24.3</v>
      </c>
      <c r="Q1773">
        <v>5</v>
      </c>
      <c r="R1773" s="2">
        <v>10.449</v>
      </c>
      <c r="S1773" t="s">
        <v>83</v>
      </c>
      <c r="T1773" s="10">
        <v>4</v>
      </c>
      <c r="U1773" t="s">
        <v>113</v>
      </c>
    </row>
    <row r="1774" spans="1:21" x14ac:dyDescent="0.2">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s="2">
        <v>32.448</v>
      </c>
      <c r="Q1774">
        <v>2</v>
      </c>
      <c r="R1774" s="2">
        <v>7.3007999999999997</v>
      </c>
      <c r="S1774" t="s">
        <v>58</v>
      </c>
      <c r="T1774" s="10">
        <v>5</v>
      </c>
      <c r="U1774" t="s">
        <v>161</v>
      </c>
    </row>
    <row r="1775" spans="1:21" x14ac:dyDescent="0.2">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s="2">
        <v>373.47</v>
      </c>
      <c r="Q1775">
        <v>5</v>
      </c>
      <c r="R1775" s="2">
        <v>-112.041</v>
      </c>
      <c r="S1775" t="s">
        <v>58</v>
      </c>
      <c r="T1775" s="10">
        <v>5</v>
      </c>
      <c r="U1775" t="s">
        <v>161</v>
      </c>
    </row>
    <row r="1776" spans="1:21" x14ac:dyDescent="0.2">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s="2">
        <v>186.54</v>
      </c>
      <c r="Q1776">
        <v>3</v>
      </c>
      <c r="R1776" s="2">
        <v>41.038800000000002</v>
      </c>
      <c r="S1776" t="s">
        <v>83</v>
      </c>
      <c r="T1776" s="10">
        <v>4</v>
      </c>
      <c r="U1776" t="s">
        <v>253</v>
      </c>
    </row>
    <row r="1777" spans="1:21" x14ac:dyDescent="0.2">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s="2">
        <v>913.43</v>
      </c>
      <c r="Q1777">
        <v>5</v>
      </c>
      <c r="R1777" s="2">
        <v>-169.637</v>
      </c>
      <c r="S1777" t="s">
        <v>70</v>
      </c>
      <c r="T1777" s="10">
        <v>2</v>
      </c>
      <c r="U1777" t="s">
        <v>169</v>
      </c>
    </row>
    <row r="1778" spans="1:21" x14ac:dyDescent="0.2">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s="2">
        <v>902.71199999999999</v>
      </c>
      <c r="Q1778">
        <v>3</v>
      </c>
      <c r="R1778" s="2">
        <v>33.851700000000001</v>
      </c>
      <c r="S1778" t="s">
        <v>58</v>
      </c>
      <c r="T1778" s="10">
        <v>5</v>
      </c>
      <c r="U1778" t="s">
        <v>59</v>
      </c>
    </row>
    <row r="1779" spans="1:21" x14ac:dyDescent="0.2">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s="2">
        <v>120.666</v>
      </c>
      <c r="Q1779">
        <v>2</v>
      </c>
      <c r="R1779" s="2">
        <v>21.294</v>
      </c>
      <c r="S1779" t="s">
        <v>83</v>
      </c>
      <c r="T1779" s="10">
        <v>4</v>
      </c>
      <c r="U1779" t="s">
        <v>48</v>
      </c>
    </row>
    <row r="1780" spans="1:21" x14ac:dyDescent="0.2">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s="2">
        <v>82.26</v>
      </c>
      <c r="Q1780">
        <v>3</v>
      </c>
      <c r="R1780" s="2">
        <v>33.726599999999998</v>
      </c>
      <c r="S1780" t="s">
        <v>47</v>
      </c>
      <c r="T1780" s="10">
        <v>7</v>
      </c>
      <c r="U1780" t="s">
        <v>34</v>
      </c>
    </row>
    <row r="1781" spans="1:21" x14ac:dyDescent="0.2">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s="2">
        <v>241.5</v>
      </c>
      <c r="Q1781">
        <v>4</v>
      </c>
      <c r="R1781" s="2">
        <v>0</v>
      </c>
      <c r="S1781" t="s">
        <v>47</v>
      </c>
      <c r="T1781" s="10">
        <v>7</v>
      </c>
      <c r="U1781" t="s">
        <v>297</v>
      </c>
    </row>
    <row r="1782" spans="1:21" x14ac:dyDescent="0.2">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s="2">
        <v>27.46</v>
      </c>
      <c r="Q1782">
        <v>2</v>
      </c>
      <c r="R1782" s="2">
        <v>9.8856000000000002</v>
      </c>
      <c r="S1782" t="s">
        <v>47</v>
      </c>
      <c r="T1782" s="10">
        <v>7</v>
      </c>
      <c r="U1782" t="s">
        <v>96</v>
      </c>
    </row>
    <row r="1783" spans="1:21" x14ac:dyDescent="0.2">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s="2">
        <v>111.15</v>
      </c>
      <c r="Q1783">
        <v>5</v>
      </c>
      <c r="R1783" s="2">
        <v>48.905999999999999</v>
      </c>
      <c r="S1783" t="s">
        <v>58</v>
      </c>
      <c r="T1783" s="10">
        <v>5</v>
      </c>
      <c r="U1783" t="s">
        <v>96</v>
      </c>
    </row>
    <row r="1784" spans="1:21" x14ac:dyDescent="0.2">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s="2">
        <v>366.00900000000001</v>
      </c>
      <c r="Q1784">
        <v>3</v>
      </c>
      <c r="R1784" s="2">
        <v>-47.058300000000003</v>
      </c>
      <c r="S1784" t="s">
        <v>58</v>
      </c>
      <c r="T1784" s="10">
        <v>5</v>
      </c>
      <c r="U1784" t="s">
        <v>96</v>
      </c>
    </row>
    <row r="1785" spans="1:21" x14ac:dyDescent="0.2">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s="2">
        <v>155.37200000000001</v>
      </c>
      <c r="Q1785">
        <v>2</v>
      </c>
      <c r="R1785" s="2">
        <v>-35.513599999999997</v>
      </c>
      <c r="S1785" t="s">
        <v>58</v>
      </c>
      <c r="T1785" s="10">
        <v>5</v>
      </c>
      <c r="U1785" t="s">
        <v>34</v>
      </c>
    </row>
    <row r="1786" spans="1:21" x14ac:dyDescent="0.2">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s="2">
        <v>164.64599999999999</v>
      </c>
      <c r="Q1786">
        <v>3</v>
      </c>
      <c r="R1786" s="2">
        <v>12.8058</v>
      </c>
      <c r="S1786" t="s">
        <v>83</v>
      </c>
      <c r="T1786" s="10">
        <v>4</v>
      </c>
      <c r="U1786" t="s">
        <v>96</v>
      </c>
    </row>
    <row r="1787" spans="1:21" x14ac:dyDescent="0.2">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s="2">
        <v>83.92</v>
      </c>
      <c r="Q1787">
        <v>4</v>
      </c>
      <c r="R1787" s="2">
        <v>5.8743999999999996</v>
      </c>
      <c r="S1787" t="s">
        <v>83</v>
      </c>
      <c r="T1787" s="10">
        <v>4</v>
      </c>
      <c r="U1787" t="s">
        <v>71</v>
      </c>
    </row>
    <row r="1788" spans="1:21" x14ac:dyDescent="0.2">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s="2">
        <v>39.979999999999997</v>
      </c>
      <c r="Q1788">
        <v>2</v>
      </c>
      <c r="R1788" s="2">
        <v>9.1953999999999994</v>
      </c>
      <c r="S1788" t="s">
        <v>83</v>
      </c>
      <c r="T1788" s="10">
        <v>4</v>
      </c>
      <c r="U1788" t="s">
        <v>71</v>
      </c>
    </row>
    <row r="1789" spans="1:21" x14ac:dyDescent="0.2">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s="2">
        <v>630.024</v>
      </c>
      <c r="Q1789">
        <v>4</v>
      </c>
      <c r="R1789" s="2">
        <v>-199.5076</v>
      </c>
      <c r="S1789" t="s">
        <v>430</v>
      </c>
      <c r="T1789" s="10">
        <v>0</v>
      </c>
      <c r="U1789" t="s">
        <v>34</v>
      </c>
    </row>
    <row r="1790" spans="1:21" x14ac:dyDescent="0.2">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s="2">
        <v>933.40800000000002</v>
      </c>
      <c r="Q1790">
        <v>4</v>
      </c>
      <c r="R1790" s="2">
        <v>-173.34719999999999</v>
      </c>
      <c r="S1790" t="s">
        <v>83</v>
      </c>
      <c r="T1790" s="10">
        <v>4</v>
      </c>
      <c r="U1790" t="s">
        <v>195</v>
      </c>
    </row>
    <row r="1791" spans="1:21" x14ac:dyDescent="0.2">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s="2">
        <v>286.85000000000002</v>
      </c>
      <c r="Q1791">
        <v>1</v>
      </c>
      <c r="R1791" s="2">
        <v>63.106999999999999</v>
      </c>
      <c r="S1791" t="s">
        <v>70</v>
      </c>
      <c r="T1791" s="10">
        <v>2</v>
      </c>
      <c r="U1791" t="s">
        <v>161</v>
      </c>
    </row>
    <row r="1792" spans="1:21" x14ac:dyDescent="0.2">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s="2">
        <v>40.479999999999997</v>
      </c>
      <c r="Q1792">
        <v>2</v>
      </c>
      <c r="R1792" s="2">
        <v>17.406400000000001</v>
      </c>
      <c r="S1792" t="s">
        <v>83</v>
      </c>
      <c r="T1792" s="10">
        <v>4</v>
      </c>
      <c r="U1792" t="s">
        <v>48</v>
      </c>
    </row>
    <row r="1793" spans="1:21" x14ac:dyDescent="0.2">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s="2">
        <v>2154.9</v>
      </c>
      <c r="Q1793">
        <v>5</v>
      </c>
      <c r="R1793" s="2">
        <v>129.29400000000001</v>
      </c>
      <c r="S1793" t="s">
        <v>83</v>
      </c>
      <c r="T1793" s="10">
        <v>4</v>
      </c>
      <c r="U1793" t="s">
        <v>48</v>
      </c>
    </row>
    <row r="1794" spans="1:21" x14ac:dyDescent="0.2">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s="2">
        <v>303.92</v>
      </c>
      <c r="Q1794">
        <v>5</v>
      </c>
      <c r="R1794" s="2">
        <v>-30.391999999999999</v>
      </c>
      <c r="S1794" t="s">
        <v>70</v>
      </c>
      <c r="T1794" s="10">
        <v>2</v>
      </c>
      <c r="U1794" t="s">
        <v>96</v>
      </c>
    </row>
    <row r="1795" spans="1:21" x14ac:dyDescent="0.2">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s="2">
        <v>274.2</v>
      </c>
      <c r="Q1795">
        <v>10</v>
      </c>
      <c r="R1795" s="2">
        <v>112.422</v>
      </c>
      <c r="S1795" t="s">
        <v>58</v>
      </c>
      <c r="T1795" s="10">
        <v>5</v>
      </c>
      <c r="U1795" t="s">
        <v>34</v>
      </c>
    </row>
    <row r="1796" spans="1:21" x14ac:dyDescent="0.2">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s="2">
        <v>9.9600000000000009</v>
      </c>
      <c r="Q1796">
        <v>5</v>
      </c>
      <c r="R1796" s="2">
        <v>-6.7229999999999999</v>
      </c>
      <c r="S1796" t="s">
        <v>83</v>
      </c>
      <c r="T1796" s="10">
        <v>4</v>
      </c>
      <c r="U1796" t="s">
        <v>77</v>
      </c>
    </row>
    <row r="1797" spans="1:21" x14ac:dyDescent="0.2">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s="2">
        <v>240.744</v>
      </c>
      <c r="Q1797">
        <v>4</v>
      </c>
      <c r="R1797" s="2">
        <v>-13.7568</v>
      </c>
      <c r="S1797" t="s">
        <v>123</v>
      </c>
      <c r="T1797" s="10">
        <v>1</v>
      </c>
      <c r="U1797" t="s">
        <v>48</v>
      </c>
    </row>
    <row r="1798" spans="1:21" x14ac:dyDescent="0.2">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s="2">
        <v>35</v>
      </c>
      <c r="Q1798">
        <v>4</v>
      </c>
      <c r="R1798" s="2">
        <v>14.7</v>
      </c>
      <c r="S1798" t="s">
        <v>123</v>
      </c>
      <c r="T1798" s="10">
        <v>1</v>
      </c>
      <c r="U1798" t="s">
        <v>48</v>
      </c>
    </row>
    <row r="1799" spans="1:21" x14ac:dyDescent="0.2">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s="2">
        <v>210.68</v>
      </c>
      <c r="Q1799">
        <v>2</v>
      </c>
      <c r="R1799" s="2">
        <v>50.563200000000002</v>
      </c>
      <c r="S1799" t="s">
        <v>123</v>
      </c>
      <c r="T1799" s="10">
        <v>1</v>
      </c>
      <c r="U1799" t="s">
        <v>48</v>
      </c>
    </row>
    <row r="1800" spans="1:21" x14ac:dyDescent="0.2">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s="2">
        <v>637.89599999999996</v>
      </c>
      <c r="Q1800">
        <v>3</v>
      </c>
      <c r="R1800" s="2">
        <v>-127.5792</v>
      </c>
      <c r="S1800" t="s">
        <v>123</v>
      </c>
      <c r="T1800" s="10">
        <v>1</v>
      </c>
      <c r="U1800" t="s">
        <v>48</v>
      </c>
    </row>
    <row r="1801" spans="1:21" x14ac:dyDescent="0.2">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s="2">
        <v>344.37200000000001</v>
      </c>
      <c r="Q1801">
        <v>4</v>
      </c>
      <c r="R1801" s="2">
        <v>-93.472399999999993</v>
      </c>
      <c r="S1801" t="s">
        <v>58</v>
      </c>
      <c r="T1801" s="10">
        <v>5</v>
      </c>
      <c r="U1801" t="s">
        <v>113</v>
      </c>
    </row>
    <row r="1802" spans="1:21" x14ac:dyDescent="0.2">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s="2">
        <v>127.88</v>
      </c>
      <c r="Q1802">
        <v>5</v>
      </c>
      <c r="R1802" s="2">
        <v>-67.137</v>
      </c>
      <c r="S1802" t="s">
        <v>58</v>
      </c>
      <c r="T1802" s="10">
        <v>5</v>
      </c>
      <c r="U1802" t="s">
        <v>113</v>
      </c>
    </row>
    <row r="1803" spans="1:21" x14ac:dyDescent="0.2">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s="2">
        <v>106.869</v>
      </c>
      <c r="Q1803">
        <v>3</v>
      </c>
      <c r="R1803" s="2">
        <v>-29.007300000000001</v>
      </c>
      <c r="S1803" t="s">
        <v>58</v>
      </c>
      <c r="T1803" s="10">
        <v>5</v>
      </c>
      <c r="U1803" t="s">
        <v>161</v>
      </c>
    </row>
    <row r="1804" spans="1:21" x14ac:dyDescent="0.2">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s="2">
        <v>2678.94</v>
      </c>
      <c r="Q1804">
        <v>6</v>
      </c>
      <c r="R1804" s="2">
        <v>241.1046</v>
      </c>
      <c r="S1804" t="s">
        <v>129</v>
      </c>
      <c r="T1804" s="10">
        <v>6</v>
      </c>
      <c r="U1804" t="s">
        <v>34</v>
      </c>
    </row>
    <row r="1805" spans="1:21" x14ac:dyDescent="0.2">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s="2">
        <v>387.13600000000002</v>
      </c>
      <c r="Q1805">
        <v>4</v>
      </c>
      <c r="R1805" s="2">
        <v>-14.5176</v>
      </c>
      <c r="S1805" t="s">
        <v>83</v>
      </c>
      <c r="T1805" s="10">
        <v>4</v>
      </c>
      <c r="U1805" t="s">
        <v>113</v>
      </c>
    </row>
    <row r="1806" spans="1:21" x14ac:dyDescent="0.2">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s="2">
        <v>77.951999999999998</v>
      </c>
      <c r="Q1806">
        <v>3</v>
      </c>
      <c r="R1806" s="2">
        <v>-11.6928</v>
      </c>
      <c r="S1806" t="s">
        <v>83</v>
      </c>
      <c r="T1806" s="10">
        <v>4</v>
      </c>
      <c r="U1806" t="s">
        <v>113</v>
      </c>
    </row>
    <row r="1807" spans="1:21" x14ac:dyDescent="0.2">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s="2">
        <v>199.8</v>
      </c>
      <c r="Q1807">
        <v>10</v>
      </c>
      <c r="R1807" s="2">
        <v>71.927999999999997</v>
      </c>
      <c r="S1807" t="s">
        <v>430</v>
      </c>
      <c r="T1807" s="10">
        <v>0</v>
      </c>
      <c r="U1807" t="s">
        <v>77</v>
      </c>
    </row>
    <row r="1808" spans="1:21" x14ac:dyDescent="0.2">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s="2">
        <v>18.690000000000001</v>
      </c>
      <c r="Q1808">
        <v>7</v>
      </c>
      <c r="R1808" s="2">
        <v>7.1021999999999998</v>
      </c>
      <c r="S1808" t="s">
        <v>70</v>
      </c>
      <c r="T1808" s="10">
        <v>2</v>
      </c>
      <c r="U1808" t="s">
        <v>297</v>
      </c>
    </row>
    <row r="1809" spans="1:21" x14ac:dyDescent="0.2">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s="2">
        <v>184.75200000000001</v>
      </c>
      <c r="Q1809">
        <v>3</v>
      </c>
      <c r="R1809" s="2">
        <v>-20.784600000000001</v>
      </c>
      <c r="S1809" t="s">
        <v>70</v>
      </c>
      <c r="T1809" s="10">
        <v>2</v>
      </c>
      <c r="U1809" t="s">
        <v>195</v>
      </c>
    </row>
    <row r="1810" spans="1:21" x14ac:dyDescent="0.2">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s="2">
        <v>366.74400000000003</v>
      </c>
      <c r="Q1810">
        <v>4</v>
      </c>
      <c r="R1810" s="2">
        <v>-110.0232</v>
      </c>
      <c r="S1810" t="s">
        <v>83</v>
      </c>
      <c r="T1810" s="10">
        <v>4</v>
      </c>
      <c r="U1810" t="s">
        <v>161</v>
      </c>
    </row>
    <row r="1811" spans="1:21" x14ac:dyDescent="0.2">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s="2">
        <v>73.784000000000006</v>
      </c>
      <c r="Q1811">
        <v>2</v>
      </c>
      <c r="R1811" s="2">
        <v>-77.473200000000006</v>
      </c>
      <c r="S1811" t="s">
        <v>129</v>
      </c>
      <c r="T1811" s="10">
        <v>6</v>
      </c>
      <c r="U1811" t="s">
        <v>297</v>
      </c>
    </row>
    <row r="1812" spans="1:21" x14ac:dyDescent="0.2">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s="2">
        <v>30.335999999999999</v>
      </c>
      <c r="Q1812">
        <v>6</v>
      </c>
      <c r="R1812" s="2">
        <v>-17.443200000000001</v>
      </c>
      <c r="S1812" t="s">
        <v>33</v>
      </c>
      <c r="T1812" s="10">
        <v>3</v>
      </c>
      <c r="U1812" t="s">
        <v>59</v>
      </c>
    </row>
    <row r="1813" spans="1:21" x14ac:dyDescent="0.2">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s="2">
        <v>12.99</v>
      </c>
      <c r="Q1813">
        <v>1</v>
      </c>
      <c r="R1813" s="2">
        <v>1.5588</v>
      </c>
      <c r="S1813" t="s">
        <v>129</v>
      </c>
      <c r="T1813" s="10">
        <v>6</v>
      </c>
      <c r="U1813" t="s">
        <v>96</v>
      </c>
    </row>
    <row r="1814" spans="1:21" x14ac:dyDescent="0.2">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s="2">
        <v>182.22</v>
      </c>
      <c r="Q1814">
        <v>3</v>
      </c>
      <c r="R1814" s="2">
        <v>45.555</v>
      </c>
      <c r="S1814" t="s">
        <v>129</v>
      </c>
      <c r="T1814" s="10">
        <v>6</v>
      </c>
      <c r="U1814" t="s">
        <v>96</v>
      </c>
    </row>
    <row r="1815" spans="1:21" x14ac:dyDescent="0.2">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s="2">
        <v>302.94</v>
      </c>
      <c r="Q1815">
        <v>3</v>
      </c>
      <c r="R1815" s="2">
        <v>18.176400000000001</v>
      </c>
      <c r="S1815" t="s">
        <v>129</v>
      </c>
      <c r="T1815" s="10">
        <v>6</v>
      </c>
      <c r="U1815" t="s">
        <v>96</v>
      </c>
    </row>
    <row r="1816" spans="1:21" x14ac:dyDescent="0.2">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s="2">
        <v>54.991999999999997</v>
      </c>
      <c r="Q1816">
        <v>14</v>
      </c>
      <c r="R1816" s="2">
        <v>8.9361999999999995</v>
      </c>
      <c r="S1816" t="s">
        <v>83</v>
      </c>
      <c r="T1816" s="10">
        <v>4</v>
      </c>
      <c r="U1816" t="s">
        <v>169</v>
      </c>
    </row>
    <row r="1817" spans="1:21" x14ac:dyDescent="0.2">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s="2">
        <v>51.264000000000003</v>
      </c>
      <c r="Q1817">
        <v>6</v>
      </c>
      <c r="R1817" s="2">
        <v>7.6896000000000004</v>
      </c>
      <c r="S1817" t="s">
        <v>430</v>
      </c>
      <c r="T1817" s="10">
        <v>0</v>
      </c>
      <c r="U1817" t="s">
        <v>195</v>
      </c>
    </row>
    <row r="1818" spans="1:21" x14ac:dyDescent="0.2">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s="2">
        <v>241.42400000000001</v>
      </c>
      <c r="Q1818">
        <v>2</v>
      </c>
      <c r="R1818" s="2">
        <v>-36.2136</v>
      </c>
      <c r="S1818" t="s">
        <v>47</v>
      </c>
      <c r="T1818" s="10">
        <v>7</v>
      </c>
      <c r="U1818" t="s">
        <v>34</v>
      </c>
    </row>
    <row r="1819" spans="1:21" x14ac:dyDescent="0.2">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s="2">
        <v>389.97</v>
      </c>
      <c r="Q1819">
        <v>3</v>
      </c>
      <c r="R1819" s="2">
        <v>35.097299999999997</v>
      </c>
      <c r="S1819" t="s">
        <v>129</v>
      </c>
      <c r="T1819" s="10">
        <v>6</v>
      </c>
      <c r="U1819" t="s">
        <v>34</v>
      </c>
    </row>
    <row r="1820" spans="1:21" x14ac:dyDescent="0.2">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s="2">
        <v>422.625</v>
      </c>
      <c r="Q1820">
        <v>7</v>
      </c>
      <c r="R1820" s="2">
        <v>0</v>
      </c>
      <c r="S1820" t="s">
        <v>123</v>
      </c>
      <c r="T1820" s="10">
        <v>1</v>
      </c>
      <c r="U1820" t="s">
        <v>96</v>
      </c>
    </row>
    <row r="1821" spans="1:21" x14ac:dyDescent="0.2">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s="2">
        <v>20.239999999999998</v>
      </c>
      <c r="Q1821">
        <v>1</v>
      </c>
      <c r="R1821" s="2">
        <v>8.7032000000000007</v>
      </c>
      <c r="S1821" t="s">
        <v>83</v>
      </c>
      <c r="T1821" s="10">
        <v>4</v>
      </c>
      <c r="U1821" t="s">
        <v>195</v>
      </c>
    </row>
    <row r="1822" spans="1:21" x14ac:dyDescent="0.2">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s="2">
        <v>39.92</v>
      </c>
      <c r="Q1822">
        <v>4</v>
      </c>
      <c r="R1822" s="2">
        <v>11.1776</v>
      </c>
      <c r="S1822" t="s">
        <v>83</v>
      </c>
      <c r="T1822" s="10">
        <v>4</v>
      </c>
      <c r="U1822" t="s">
        <v>195</v>
      </c>
    </row>
    <row r="1823" spans="1:21" x14ac:dyDescent="0.2">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s="2">
        <v>24.64</v>
      </c>
      <c r="Q1823">
        <v>4</v>
      </c>
      <c r="R1823" s="2">
        <v>4.0039999999999996</v>
      </c>
      <c r="S1823" t="s">
        <v>123</v>
      </c>
      <c r="T1823" s="10">
        <v>1</v>
      </c>
      <c r="U1823" t="s">
        <v>77</v>
      </c>
    </row>
    <row r="1824" spans="1:21" x14ac:dyDescent="0.2">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s="2">
        <v>1056.8599999999999</v>
      </c>
      <c r="Q1824">
        <v>7</v>
      </c>
      <c r="R1824" s="2">
        <v>158.529</v>
      </c>
      <c r="S1824" t="s">
        <v>70</v>
      </c>
      <c r="T1824" s="10">
        <v>2</v>
      </c>
      <c r="U1824" t="s">
        <v>96</v>
      </c>
    </row>
    <row r="1825" spans="1:21" x14ac:dyDescent="0.2">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s="2">
        <v>2.3279999999999998</v>
      </c>
      <c r="Q1825">
        <v>2</v>
      </c>
      <c r="R1825" s="2">
        <v>-0.75660000000000005</v>
      </c>
      <c r="S1825" t="s">
        <v>33</v>
      </c>
      <c r="T1825" s="10">
        <v>3</v>
      </c>
      <c r="U1825" t="s">
        <v>96</v>
      </c>
    </row>
    <row r="1826" spans="1:21" x14ac:dyDescent="0.2">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s="2">
        <v>1454.9</v>
      </c>
      <c r="Q1826">
        <v>5</v>
      </c>
      <c r="R1826" s="2">
        <v>378.274</v>
      </c>
      <c r="S1826" t="s">
        <v>83</v>
      </c>
      <c r="T1826" s="10">
        <v>4</v>
      </c>
      <c r="U1826" t="s">
        <v>113</v>
      </c>
    </row>
    <row r="1827" spans="1:21" x14ac:dyDescent="0.2">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s="2">
        <v>220.70400000000001</v>
      </c>
      <c r="Q1827">
        <v>6</v>
      </c>
      <c r="R1827" s="2">
        <v>-8.2764000000000006</v>
      </c>
      <c r="S1827" t="s">
        <v>83</v>
      </c>
      <c r="T1827" s="10">
        <v>4</v>
      </c>
      <c r="U1827" t="s">
        <v>113</v>
      </c>
    </row>
    <row r="1828" spans="1:21" x14ac:dyDescent="0.2">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s="2">
        <v>102.3</v>
      </c>
      <c r="Q1828">
        <v>1</v>
      </c>
      <c r="R1828" s="2">
        <v>26.597999999999999</v>
      </c>
      <c r="S1828" t="s">
        <v>123</v>
      </c>
      <c r="T1828" s="10">
        <v>1</v>
      </c>
      <c r="U1828" t="s">
        <v>71</v>
      </c>
    </row>
    <row r="1829" spans="1:21" x14ac:dyDescent="0.2">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s="2">
        <v>607.52</v>
      </c>
      <c r="Q1829">
        <v>2</v>
      </c>
      <c r="R1829" s="2">
        <v>97.203199999999995</v>
      </c>
      <c r="S1829" t="s">
        <v>83</v>
      </c>
      <c r="T1829" s="10">
        <v>4</v>
      </c>
      <c r="U1829" t="s">
        <v>96</v>
      </c>
    </row>
    <row r="1830" spans="1:21" x14ac:dyDescent="0.2">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s="2">
        <v>10.332000000000001</v>
      </c>
      <c r="Q1830">
        <v>3</v>
      </c>
      <c r="R1830" s="2">
        <v>-5.9409000000000001</v>
      </c>
      <c r="S1830" t="s">
        <v>70</v>
      </c>
      <c r="T1830" s="10">
        <v>2</v>
      </c>
      <c r="U1830" t="s">
        <v>161</v>
      </c>
    </row>
    <row r="1831" spans="1:21" x14ac:dyDescent="0.2">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s="2">
        <v>11.664</v>
      </c>
      <c r="Q1831">
        <v>3</v>
      </c>
      <c r="R1831" s="2">
        <v>3.3534000000000002</v>
      </c>
      <c r="S1831" t="s">
        <v>33</v>
      </c>
      <c r="T1831" s="10">
        <v>3</v>
      </c>
      <c r="U1831" t="s">
        <v>113</v>
      </c>
    </row>
    <row r="1832" spans="1:21" x14ac:dyDescent="0.2">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s="2">
        <v>56.96</v>
      </c>
      <c r="Q1832">
        <v>2</v>
      </c>
      <c r="R1832" s="2">
        <v>21.075199999999999</v>
      </c>
      <c r="S1832" t="s">
        <v>58</v>
      </c>
      <c r="T1832" s="10">
        <v>5</v>
      </c>
      <c r="U1832" t="s">
        <v>59</v>
      </c>
    </row>
    <row r="1833" spans="1:21" x14ac:dyDescent="0.2">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s="2">
        <v>353.56799999999998</v>
      </c>
      <c r="Q1833">
        <v>2</v>
      </c>
      <c r="R1833" s="2">
        <v>-44.195999999999998</v>
      </c>
      <c r="S1833" t="s">
        <v>58</v>
      </c>
      <c r="T1833" s="10">
        <v>5</v>
      </c>
      <c r="U1833" t="s">
        <v>59</v>
      </c>
    </row>
    <row r="1834" spans="1:21" x14ac:dyDescent="0.2">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s="2">
        <v>13.96</v>
      </c>
      <c r="Q1834">
        <v>2</v>
      </c>
      <c r="R1834" s="2">
        <v>6.7008000000000001</v>
      </c>
      <c r="S1834" t="s">
        <v>58</v>
      </c>
      <c r="T1834" s="10">
        <v>5</v>
      </c>
      <c r="U1834" t="s">
        <v>59</v>
      </c>
    </row>
    <row r="1835" spans="1:21" x14ac:dyDescent="0.2">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s="2">
        <v>399.67200000000003</v>
      </c>
      <c r="Q1835">
        <v>7</v>
      </c>
      <c r="R1835" s="2">
        <v>-14.9877</v>
      </c>
      <c r="S1835" t="s">
        <v>58</v>
      </c>
      <c r="T1835" s="10">
        <v>5</v>
      </c>
      <c r="U1835" t="s">
        <v>195</v>
      </c>
    </row>
    <row r="1836" spans="1:21" x14ac:dyDescent="0.2">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s="2">
        <v>30.56</v>
      </c>
      <c r="Q1836">
        <v>5</v>
      </c>
      <c r="R1836" s="2">
        <v>-19.864000000000001</v>
      </c>
      <c r="S1836" t="s">
        <v>33</v>
      </c>
      <c r="T1836" s="10">
        <v>3</v>
      </c>
      <c r="U1836" t="s">
        <v>34</v>
      </c>
    </row>
    <row r="1837" spans="1:21" x14ac:dyDescent="0.2">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s="2">
        <v>481.17599999999999</v>
      </c>
      <c r="Q1837">
        <v>2</v>
      </c>
      <c r="R1837" s="2">
        <v>-120.294</v>
      </c>
      <c r="S1837" t="s">
        <v>58</v>
      </c>
      <c r="T1837" s="10">
        <v>5</v>
      </c>
      <c r="U1837" t="s">
        <v>77</v>
      </c>
    </row>
    <row r="1838" spans="1:21" x14ac:dyDescent="0.2">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s="2">
        <v>177.45</v>
      </c>
      <c r="Q1838">
        <v>5</v>
      </c>
      <c r="R1838" s="2">
        <v>-78.078000000000003</v>
      </c>
      <c r="S1838" t="s">
        <v>123</v>
      </c>
      <c r="T1838" s="10">
        <v>1</v>
      </c>
      <c r="U1838" t="s">
        <v>71</v>
      </c>
    </row>
    <row r="1839" spans="1:21" x14ac:dyDescent="0.2">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s="2">
        <v>130.97999999999999</v>
      </c>
      <c r="Q1839">
        <v>2</v>
      </c>
      <c r="R1839" s="2">
        <v>-89.066400000000002</v>
      </c>
      <c r="S1839" t="s">
        <v>83</v>
      </c>
      <c r="T1839" s="10">
        <v>4</v>
      </c>
      <c r="U1839" t="s">
        <v>253</v>
      </c>
    </row>
    <row r="1840" spans="1:21" x14ac:dyDescent="0.2">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s="2">
        <v>139.58000000000001</v>
      </c>
      <c r="Q1840">
        <v>7</v>
      </c>
      <c r="R1840" s="2">
        <v>39.0824</v>
      </c>
      <c r="S1840" t="s">
        <v>58</v>
      </c>
      <c r="T1840" s="10">
        <v>5</v>
      </c>
      <c r="U1840" t="s">
        <v>113</v>
      </c>
    </row>
    <row r="1841" spans="1:21" x14ac:dyDescent="0.2">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s="2">
        <v>4.7119999999999997</v>
      </c>
      <c r="Q1841">
        <v>1</v>
      </c>
      <c r="R1841" s="2">
        <v>1.4136</v>
      </c>
      <c r="S1841" t="s">
        <v>47</v>
      </c>
      <c r="T1841" s="10">
        <v>7</v>
      </c>
      <c r="U1841" t="s">
        <v>34</v>
      </c>
    </row>
    <row r="1842" spans="1:21" x14ac:dyDescent="0.2">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s="2">
        <v>194.352</v>
      </c>
      <c r="Q1842">
        <v>3</v>
      </c>
      <c r="R1842" s="2">
        <v>19.435199999999998</v>
      </c>
      <c r="S1842" t="s">
        <v>83</v>
      </c>
      <c r="T1842" s="10">
        <v>4</v>
      </c>
      <c r="U1842" t="s">
        <v>34</v>
      </c>
    </row>
    <row r="1843" spans="1:21" x14ac:dyDescent="0.2">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s="2">
        <v>97.424000000000007</v>
      </c>
      <c r="Q1843">
        <v>2</v>
      </c>
      <c r="R1843" s="2">
        <v>10.9602</v>
      </c>
      <c r="S1843" t="s">
        <v>33</v>
      </c>
      <c r="T1843" s="10">
        <v>3</v>
      </c>
      <c r="U1843" t="s">
        <v>96</v>
      </c>
    </row>
    <row r="1844" spans="1:21" x14ac:dyDescent="0.2">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s="2">
        <v>14.19</v>
      </c>
      <c r="Q1844">
        <v>3</v>
      </c>
      <c r="R1844" s="2">
        <v>5.5340999999999996</v>
      </c>
      <c r="S1844" t="s">
        <v>430</v>
      </c>
      <c r="T1844" s="10">
        <v>0</v>
      </c>
      <c r="U1844" t="s">
        <v>77</v>
      </c>
    </row>
    <row r="1845" spans="1:21" x14ac:dyDescent="0.2">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s="2">
        <v>723.92</v>
      </c>
      <c r="Q1845">
        <v>5</v>
      </c>
      <c r="R1845" s="2">
        <v>-81.441000000000003</v>
      </c>
      <c r="S1845" t="s">
        <v>58</v>
      </c>
      <c r="T1845" s="10">
        <v>5</v>
      </c>
      <c r="U1845" t="s">
        <v>34</v>
      </c>
    </row>
    <row r="1846" spans="1:21" x14ac:dyDescent="0.2">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s="2">
        <v>21.968</v>
      </c>
      <c r="Q1846">
        <v>4</v>
      </c>
      <c r="R1846" s="2">
        <v>-15.9268</v>
      </c>
      <c r="S1846" t="s">
        <v>58</v>
      </c>
      <c r="T1846" s="10">
        <v>5</v>
      </c>
      <c r="U1846" t="s">
        <v>161</v>
      </c>
    </row>
    <row r="1847" spans="1:21" x14ac:dyDescent="0.2">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s="2">
        <v>94.2</v>
      </c>
      <c r="Q1847">
        <v>5</v>
      </c>
      <c r="R1847" s="2">
        <v>39.564</v>
      </c>
      <c r="S1847" t="s">
        <v>70</v>
      </c>
      <c r="T1847" s="10">
        <v>2</v>
      </c>
      <c r="U1847" t="s">
        <v>195</v>
      </c>
    </row>
    <row r="1848" spans="1:21" x14ac:dyDescent="0.2">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s="2">
        <v>182.352</v>
      </c>
      <c r="Q1848">
        <v>3</v>
      </c>
      <c r="R1848" s="2">
        <v>-18.235199999999999</v>
      </c>
      <c r="S1848" t="s">
        <v>58</v>
      </c>
      <c r="T1848" s="10">
        <v>5</v>
      </c>
      <c r="U1848" t="s">
        <v>96</v>
      </c>
    </row>
    <row r="1849" spans="1:21" x14ac:dyDescent="0.2">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s="2">
        <v>600.55799999999999</v>
      </c>
      <c r="Q1849">
        <v>3</v>
      </c>
      <c r="R1849" s="2">
        <v>-8.5793999999999997</v>
      </c>
      <c r="S1849" t="s">
        <v>58</v>
      </c>
      <c r="T1849" s="10">
        <v>5</v>
      </c>
      <c r="U1849" t="s">
        <v>297</v>
      </c>
    </row>
    <row r="1850" spans="1:21" x14ac:dyDescent="0.2">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s="2">
        <v>7.6920000000000002</v>
      </c>
      <c r="Q1850">
        <v>1</v>
      </c>
      <c r="R1850" s="2">
        <v>-3.6537000000000002</v>
      </c>
      <c r="S1850" t="s">
        <v>58</v>
      </c>
      <c r="T1850" s="10">
        <v>5</v>
      </c>
      <c r="U1850" t="s">
        <v>297</v>
      </c>
    </row>
    <row r="1851" spans="1:21" x14ac:dyDescent="0.2">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s="2">
        <v>517.40499999999997</v>
      </c>
      <c r="Q1851">
        <v>5</v>
      </c>
      <c r="R1851" s="2">
        <v>-81.3065</v>
      </c>
      <c r="S1851" t="s">
        <v>70</v>
      </c>
      <c r="T1851" s="10">
        <v>2</v>
      </c>
      <c r="U1851" t="s">
        <v>48</v>
      </c>
    </row>
    <row r="1852" spans="1:21" x14ac:dyDescent="0.2">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s="2">
        <v>300.904</v>
      </c>
      <c r="Q1852">
        <v>1</v>
      </c>
      <c r="R1852" s="2">
        <v>11.283899999999999</v>
      </c>
      <c r="S1852" t="s">
        <v>70</v>
      </c>
      <c r="T1852" s="10">
        <v>2</v>
      </c>
      <c r="U1852" t="s">
        <v>77</v>
      </c>
    </row>
    <row r="1853" spans="1:21" x14ac:dyDescent="0.2">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s="2">
        <v>31.167999999999999</v>
      </c>
      <c r="Q1853">
        <v>4</v>
      </c>
      <c r="R1853" s="2">
        <v>9.3504000000000005</v>
      </c>
      <c r="S1853" t="s">
        <v>58</v>
      </c>
      <c r="T1853" s="10">
        <v>5</v>
      </c>
      <c r="U1853" t="s">
        <v>59</v>
      </c>
    </row>
    <row r="1854" spans="1:21" x14ac:dyDescent="0.2">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s="2">
        <v>120.96</v>
      </c>
      <c r="Q1854">
        <v>2</v>
      </c>
      <c r="R1854" s="2">
        <v>-28.224</v>
      </c>
      <c r="S1854" t="s">
        <v>58</v>
      </c>
      <c r="T1854" s="10">
        <v>5</v>
      </c>
      <c r="U1854" t="s">
        <v>59</v>
      </c>
    </row>
    <row r="1855" spans="1:21" x14ac:dyDescent="0.2">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s="2">
        <v>172.76400000000001</v>
      </c>
      <c r="Q1855">
        <v>2</v>
      </c>
      <c r="R1855" s="2">
        <v>13.437200000000001</v>
      </c>
      <c r="S1855" t="s">
        <v>58</v>
      </c>
      <c r="T1855" s="10">
        <v>5</v>
      </c>
      <c r="U1855" t="s">
        <v>77</v>
      </c>
    </row>
    <row r="1856" spans="1:21" x14ac:dyDescent="0.2">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s="2">
        <v>305.97449999999998</v>
      </c>
      <c r="Q1856">
        <v>3</v>
      </c>
      <c r="R1856" s="2">
        <v>25.197900000000001</v>
      </c>
      <c r="S1856" t="s">
        <v>70</v>
      </c>
      <c r="T1856" s="10">
        <v>2</v>
      </c>
      <c r="U1856" t="s">
        <v>34</v>
      </c>
    </row>
    <row r="1857" spans="1:21" x14ac:dyDescent="0.2">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s="2">
        <v>626.35199999999998</v>
      </c>
      <c r="Q1857">
        <v>3</v>
      </c>
      <c r="R1857" s="2">
        <v>-23.488199999999999</v>
      </c>
      <c r="S1857" t="s">
        <v>83</v>
      </c>
      <c r="T1857" s="10">
        <v>4</v>
      </c>
      <c r="U1857" t="s">
        <v>195</v>
      </c>
    </row>
    <row r="1858" spans="1:21" x14ac:dyDescent="0.2">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s="2">
        <v>359.49900000000002</v>
      </c>
      <c r="Q1858">
        <v>3</v>
      </c>
      <c r="R1858" s="2">
        <v>-29.605799999999999</v>
      </c>
      <c r="S1858" t="s">
        <v>83</v>
      </c>
      <c r="T1858" s="10">
        <v>4</v>
      </c>
      <c r="U1858" t="s">
        <v>96</v>
      </c>
    </row>
    <row r="1859" spans="1:21" x14ac:dyDescent="0.2">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s="2">
        <v>6.984</v>
      </c>
      <c r="Q1859">
        <v>2</v>
      </c>
      <c r="R1859" s="2">
        <v>-4.5396000000000001</v>
      </c>
      <c r="S1859" t="s">
        <v>83</v>
      </c>
      <c r="T1859" s="10">
        <v>4</v>
      </c>
      <c r="U1859" t="s">
        <v>59</v>
      </c>
    </row>
    <row r="1860" spans="1:21" x14ac:dyDescent="0.2">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s="2">
        <v>379.37200000000001</v>
      </c>
      <c r="Q1860">
        <v>2</v>
      </c>
      <c r="R1860" s="2">
        <v>-119.2312</v>
      </c>
      <c r="S1860" t="s">
        <v>83</v>
      </c>
      <c r="T1860" s="10">
        <v>4</v>
      </c>
      <c r="U1860" t="s">
        <v>59</v>
      </c>
    </row>
    <row r="1861" spans="1:21" x14ac:dyDescent="0.2">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s="2">
        <v>53.351999999999997</v>
      </c>
      <c r="Q1861">
        <v>3</v>
      </c>
      <c r="R1861" s="2">
        <v>16.005600000000001</v>
      </c>
      <c r="S1861" t="s">
        <v>83</v>
      </c>
      <c r="T1861" s="10">
        <v>4</v>
      </c>
      <c r="U1861" t="s">
        <v>96</v>
      </c>
    </row>
    <row r="1862" spans="1:21" x14ac:dyDescent="0.2">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s="2">
        <v>131.10400000000001</v>
      </c>
      <c r="Q1862">
        <v>2</v>
      </c>
      <c r="R1862" s="2">
        <v>8.1940000000000008</v>
      </c>
      <c r="S1862" t="s">
        <v>83</v>
      </c>
      <c r="T1862" s="10">
        <v>4</v>
      </c>
      <c r="U1862" t="s">
        <v>96</v>
      </c>
    </row>
    <row r="1863" spans="1:21" x14ac:dyDescent="0.2">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s="2">
        <v>126.3</v>
      </c>
      <c r="Q1863">
        <v>3</v>
      </c>
      <c r="R1863" s="2">
        <v>40.415999999999997</v>
      </c>
      <c r="S1863" t="s">
        <v>70</v>
      </c>
      <c r="T1863" s="10">
        <v>2</v>
      </c>
      <c r="U1863" t="s">
        <v>59</v>
      </c>
    </row>
    <row r="1864" spans="1:21" x14ac:dyDescent="0.2">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s="2">
        <v>11.032</v>
      </c>
      <c r="Q1864">
        <v>1</v>
      </c>
      <c r="R1864" s="2">
        <v>3.0337999999999998</v>
      </c>
      <c r="S1864" t="s">
        <v>70</v>
      </c>
      <c r="T1864" s="10">
        <v>2</v>
      </c>
      <c r="U1864" t="s">
        <v>48</v>
      </c>
    </row>
    <row r="1865" spans="1:21" x14ac:dyDescent="0.2">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s="2">
        <v>210.58</v>
      </c>
      <c r="Q1865">
        <v>2</v>
      </c>
      <c r="R1865" s="2">
        <v>12.6348</v>
      </c>
      <c r="S1865" t="s">
        <v>58</v>
      </c>
      <c r="T1865" s="10">
        <v>5</v>
      </c>
      <c r="U1865" t="s">
        <v>297</v>
      </c>
    </row>
    <row r="1866" spans="1:21" x14ac:dyDescent="0.2">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s="2">
        <v>27.42</v>
      </c>
      <c r="Q1866">
        <v>3</v>
      </c>
      <c r="R1866" s="2">
        <v>9.3228000000000009</v>
      </c>
      <c r="S1866" t="s">
        <v>83</v>
      </c>
      <c r="T1866" s="10">
        <v>4</v>
      </c>
      <c r="U1866" t="s">
        <v>71</v>
      </c>
    </row>
    <row r="1867" spans="1:21" x14ac:dyDescent="0.2">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s="2">
        <v>83.135999999999996</v>
      </c>
      <c r="Q1867">
        <v>4</v>
      </c>
      <c r="R1867" s="2">
        <v>5.1959999999999997</v>
      </c>
      <c r="S1867" t="s">
        <v>123</v>
      </c>
      <c r="T1867" s="10">
        <v>1</v>
      </c>
      <c r="U1867" t="s">
        <v>77</v>
      </c>
    </row>
    <row r="1868" spans="1:21" x14ac:dyDescent="0.2">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s="2">
        <v>528.42999999999995</v>
      </c>
      <c r="Q1868">
        <v>5</v>
      </c>
      <c r="R1868" s="2">
        <v>0</v>
      </c>
      <c r="S1868" t="s">
        <v>123</v>
      </c>
      <c r="T1868" s="10">
        <v>1</v>
      </c>
      <c r="U1868" t="s">
        <v>71</v>
      </c>
    </row>
    <row r="1869" spans="1:21" x14ac:dyDescent="0.2">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s="2">
        <v>287.976</v>
      </c>
      <c r="Q1869">
        <v>3</v>
      </c>
      <c r="R1869" s="2">
        <v>7.1993999999999998</v>
      </c>
      <c r="S1869" t="s">
        <v>58</v>
      </c>
      <c r="T1869" s="10">
        <v>5</v>
      </c>
      <c r="U1869" t="s">
        <v>96</v>
      </c>
    </row>
    <row r="1870" spans="1:21" x14ac:dyDescent="0.2">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s="2">
        <v>1227.9983999999999</v>
      </c>
      <c r="Q1870">
        <v>6</v>
      </c>
      <c r="R1870" s="2">
        <v>-36.117600000000003</v>
      </c>
      <c r="S1870" t="s">
        <v>33</v>
      </c>
      <c r="T1870" s="10">
        <v>3</v>
      </c>
      <c r="U1870" t="s">
        <v>195</v>
      </c>
    </row>
    <row r="1871" spans="1:21" x14ac:dyDescent="0.2">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s="2">
        <v>1128.3900000000001</v>
      </c>
      <c r="Q1871">
        <v>3</v>
      </c>
      <c r="R1871" s="2">
        <v>259.52969999999999</v>
      </c>
      <c r="S1871" t="s">
        <v>58</v>
      </c>
      <c r="T1871" s="10">
        <v>5</v>
      </c>
      <c r="U1871" t="s">
        <v>77</v>
      </c>
    </row>
    <row r="1872" spans="1:21" x14ac:dyDescent="0.2">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s="2">
        <v>698.35199999999998</v>
      </c>
      <c r="Q1872">
        <v>3</v>
      </c>
      <c r="R1872" s="2">
        <v>52.376399999999997</v>
      </c>
      <c r="S1872" t="s">
        <v>83</v>
      </c>
      <c r="T1872" s="10">
        <v>4</v>
      </c>
      <c r="U1872" t="s">
        <v>59</v>
      </c>
    </row>
    <row r="1873" spans="1:21" x14ac:dyDescent="0.2">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s="2">
        <v>77.727999999999994</v>
      </c>
      <c r="Q1873">
        <v>2</v>
      </c>
      <c r="R1873" s="2">
        <v>-3.8864000000000001</v>
      </c>
      <c r="S1873" t="s">
        <v>83</v>
      </c>
      <c r="T1873" s="10">
        <v>4</v>
      </c>
      <c r="U1873" t="s">
        <v>59</v>
      </c>
    </row>
    <row r="1874" spans="1:21" x14ac:dyDescent="0.2">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s="2">
        <v>341.96</v>
      </c>
      <c r="Q1874">
        <v>2</v>
      </c>
      <c r="R1874" s="2">
        <v>54.7136</v>
      </c>
      <c r="S1874" t="s">
        <v>70</v>
      </c>
      <c r="T1874" s="10">
        <v>2</v>
      </c>
      <c r="U1874" t="s">
        <v>34</v>
      </c>
    </row>
    <row r="1875" spans="1:21" x14ac:dyDescent="0.2">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s="2">
        <v>40.479999999999997</v>
      </c>
      <c r="Q1875">
        <v>2</v>
      </c>
      <c r="R1875" s="2">
        <v>14.572800000000001</v>
      </c>
      <c r="S1875" t="s">
        <v>83</v>
      </c>
      <c r="T1875" s="10">
        <v>4</v>
      </c>
      <c r="U1875" t="s">
        <v>77</v>
      </c>
    </row>
    <row r="1876" spans="1:21" x14ac:dyDescent="0.2">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s="2">
        <v>266.35199999999998</v>
      </c>
      <c r="Q1876">
        <v>3</v>
      </c>
      <c r="R1876" s="2">
        <v>13.317600000000001</v>
      </c>
      <c r="S1876" t="s">
        <v>58</v>
      </c>
      <c r="T1876" s="10">
        <v>5</v>
      </c>
      <c r="U1876" t="s">
        <v>71</v>
      </c>
    </row>
    <row r="1877" spans="1:21" x14ac:dyDescent="0.2">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s="2">
        <v>39.96</v>
      </c>
      <c r="Q1877">
        <v>2</v>
      </c>
      <c r="R1877" s="2">
        <v>14.3856</v>
      </c>
      <c r="S1877" t="s">
        <v>83</v>
      </c>
      <c r="T1877" s="10">
        <v>4</v>
      </c>
      <c r="U1877" t="s">
        <v>34</v>
      </c>
    </row>
    <row r="1878" spans="1:21" x14ac:dyDescent="0.2">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s="2">
        <v>159.84</v>
      </c>
      <c r="Q1878">
        <v>10</v>
      </c>
      <c r="R1878" s="2">
        <v>45.954000000000001</v>
      </c>
      <c r="S1878" t="s">
        <v>70</v>
      </c>
      <c r="T1878" s="10">
        <v>2</v>
      </c>
      <c r="U1878" t="s">
        <v>71</v>
      </c>
    </row>
    <row r="1879" spans="1:21" x14ac:dyDescent="0.2">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s="2">
        <v>8.92</v>
      </c>
      <c r="Q1879">
        <v>4</v>
      </c>
      <c r="R1879" s="2">
        <v>3.9247999999999998</v>
      </c>
      <c r="S1879" t="s">
        <v>47</v>
      </c>
      <c r="T1879" s="10">
        <v>7</v>
      </c>
      <c r="U1879" t="s">
        <v>77</v>
      </c>
    </row>
    <row r="1880" spans="1:21" x14ac:dyDescent="0.2">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s="2">
        <v>493.43</v>
      </c>
      <c r="Q1880">
        <v>5</v>
      </c>
      <c r="R1880" s="2">
        <v>-70.489999999999995</v>
      </c>
      <c r="S1880" t="s">
        <v>33</v>
      </c>
      <c r="T1880" s="10">
        <v>3</v>
      </c>
      <c r="U1880" t="s">
        <v>77</v>
      </c>
    </row>
    <row r="1881" spans="1:21" x14ac:dyDescent="0.2">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s="2">
        <v>70.680000000000007</v>
      </c>
      <c r="Q1881">
        <v>12</v>
      </c>
      <c r="R1881" s="2">
        <v>31.0992</v>
      </c>
      <c r="S1881" t="s">
        <v>58</v>
      </c>
      <c r="T1881" s="10">
        <v>5</v>
      </c>
      <c r="U1881" t="s">
        <v>96</v>
      </c>
    </row>
    <row r="1882" spans="1:21" x14ac:dyDescent="0.2">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s="2">
        <v>629.64</v>
      </c>
      <c r="Q1882">
        <v>9</v>
      </c>
      <c r="R1882" s="2">
        <v>107.03879999999999</v>
      </c>
      <c r="S1882" t="s">
        <v>129</v>
      </c>
      <c r="T1882" s="10">
        <v>6</v>
      </c>
      <c r="U1882" t="s">
        <v>96</v>
      </c>
    </row>
    <row r="1883" spans="1:21" x14ac:dyDescent="0.2">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s="2">
        <v>121.78</v>
      </c>
      <c r="Q1883">
        <v>2</v>
      </c>
      <c r="R1883" s="2">
        <v>30.445</v>
      </c>
      <c r="S1883" t="s">
        <v>70</v>
      </c>
      <c r="T1883" s="10">
        <v>2</v>
      </c>
      <c r="U1883" t="s">
        <v>77</v>
      </c>
    </row>
    <row r="1884" spans="1:21" x14ac:dyDescent="0.2">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s="2">
        <v>2676.672</v>
      </c>
      <c r="Q1884">
        <v>9</v>
      </c>
      <c r="R1884" s="2">
        <v>267.66719999999998</v>
      </c>
      <c r="S1884" t="s">
        <v>58</v>
      </c>
      <c r="T1884" s="10">
        <v>5</v>
      </c>
      <c r="U1884" t="s">
        <v>96</v>
      </c>
    </row>
    <row r="1885" spans="1:21" x14ac:dyDescent="0.2">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s="2">
        <v>489.23</v>
      </c>
      <c r="Q1885">
        <v>2</v>
      </c>
      <c r="R1885" s="2">
        <v>41.933999999999997</v>
      </c>
      <c r="S1885" t="s">
        <v>47</v>
      </c>
      <c r="T1885" s="10">
        <v>7</v>
      </c>
      <c r="U1885" t="s">
        <v>253</v>
      </c>
    </row>
    <row r="1886" spans="1:21" x14ac:dyDescent="0.2">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s="2">
        <v>312.02999999999997</v>
      </c>
      <c r="Q1886">
        <v>3</v>
      </c>
      <c r="R1886" s="2">
        <v>43.684199999999997</v>
      </c>
      <c r="S1886" t="s">
        <v>47</v>
      </c>
      <c r="T1886" s="10">
        <v>7</v>
      </c>
      <c r="U1886" t="s">
        <v>253</v>
      </c>
    </row>
    <row r="1887" spans="1:21" x14ac:dyDescent="0.2">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s="2">
        <v>32.064</v>
      </c>
      <c r="Q1887">
        <v>3</v>
      </c>
      <c r="R1887" s="2">
        <v>-12.8256</v>
      </c>
      <c r="S1887" t="s">
        <v>83</v>
      </c>
      <c r="T1887" s="10">
        <v>4</v>
      </c>
      <c r="U1887" t="s">
        <v>161</v>
      </c>
    </row>
    <row r="1888" spans="1:21" x14ac:dyDescent="0.2">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s="2">
        <v>191.07900000000001</v>
      </c>
      <c r="Q1888">
        <v>3</v>
      </c>
      <c r="R1888" s="2">
        <v>-38.215800000000002</v>
      </c>
      <c r="S1888" t="s">
        <v>83</v>
      </c>
      <c r="T1888" s="10">
        <v>4</v>
      </c>
      <c r="U1888" t="s">
        <v>161</v>
      </c>
    </row>
    <row r="1889" spans="1:21" x14ac:dyDescent="0.2">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s="2">
        <v>177.68</v>
      </c>
      <c r="Q1889">
        <v>2</v>
      </c>
      <c r="R1889" s="2">
        <v>46.196800000000003</v>
      </c>
      <c r="S1889" t="s">
        <v>129</v>
      </c>
      <c r="T1889" s="10">
        <v>6</v>
      </c>
      <c r="U1889" t="s">
        <v>113</v>
      </c>
    </row>
    <row r="1890" spans="1:21" x14ac:dyDescent="0.2">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s="2">
        <v>11.568</v>
      </c>
      <c r="Q1890">
        <v>3</v>
      </c>
      <c r="R1890" s="2">
        <v>2.6027999999999998</v>
      </c>
      <c r="S1890" t="s">
        <v>83</v>
      </c>
      <c r="T1890" s="10">
        <v>4</v>
      </c>
      <c r="U1890" t="s">
        <v>48</v>
      </c>
    </row>
    <row r="1891" spans="1:21" x14ac:dyDescent="0.2">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s="2">
        <v>626.1</v>
      </c>
      <c r="Q1891">
        <v>3</v>
      </c>
      <c r="R1891" s="2">
        <v>-538.44600000000003</v>
      </c>
      <c r="S1891" t="s">
        <v>83</v>
      </c>
      <c r="T1891" s="10">
        <v>4</v>
      </c>
      <c r="U1891" t="s">
        <v>169</v>
      </c>
    </row>
    <row r="1892" spans="1:21" x14ac:dyDescent="0.2">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s="2">
        <v>609.98</v>
      </c>
      <c r="Q1892">
        <v>4</v>
      </c>
      <c r="R1892" s="2">
        <v>-113.282</v>
      </c>
      <c r="S1892" t="s">
        <v>83</v>
      </c>
      <c r="T1892" s="10">
        <v>4</v>
      </c>
      <c r="U1892" t="s">
        <v>113</v>
      </c>
    </row>
    <row r="1893" spans="1:21" x14ac:dyDescent="0.2">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s="2">
        <v>211.37200000000001</v>
      </c>
      <c r="Q1893">
        <v>2</v>
      </c>
      <c r="R1893" s="2">
        <v>-45.293999999999997</v>
      </c>
      <c r="S1893" t="s">
        <v>83</v>
      </c>
      <c r="T1893" s="10">
        <v>4</v>
      </c>
      <c r="U1893" t="s">
        <v>113</v>
      </c>
    </row>
    <row r="1894" spans="1:21" x14ac:dyDescent="0.2">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s="2">
        <v>99.95</v>
      </c>
      <c r="Q1894">
        <v>5</v>
      </c>
      <c r="R1894" s="2">
        <v>22.988499999999998</v>
      </c>
      <c r="S1894" t="s">
        <v>129</v>
      </c>
      <c r="T1894" s="10">
        <v>6</v>
      </c>
      <c r="U1894" t="s">
        <v>96</v>
      </c>
    </row>
    <row r="1895" spans="1:21" x14ac:dyDescent="0.2">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s="2">
        <v>16.739999999999998</v>
      </c>
      <c r="Q1895">
        <v>2</v>
      </c>
      <c r="R1895" s="2">
        <v>4.3524000000000003</v>
      </c>
      <c r="S1895" t="s">
        <v>58</v>
      </c>
      <c r="T1895" s="10">
        <v>5</v>
      </c>
      <c r="U1895" t="s">
        <v>195</v>
      </c>
    </row>
    <row r="1896" spans="1:21" x14ac:dyDescent="0.2">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s="2">
        <v>239.358</v>
      </c>
      <c r="Q1896">
        <v>3</v>
      </c>
      <c r="R1896" s="2">
        <v>-47.871600000000001</v>
      </c>
      <c r="S1896" t="s">
        <v>129</v>
      </c>
      <c r="T1896" s="10">
        <v>6</v>
      </c>
      <c r="U1896" t="s">
        <v>48</v>
      </c>
    </row>
    <row r="1897" spans="1:21" x14ac:dyDescent="0.2">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s="2">
        <v>934.95600000000002</v>
      </c>
      <c r="Q1897">
        <v>6</v>
      </c>
      <c r="R1897" s="2">
        <v>-249.32159999999999</v>
      </c>
      <c r="S1897" t="s">
        <v>129</v>
      </c>
      <c r="T1897" s="10">
        <v>6</v>
      </c>
      <c r="U1897" t="s">
        <v>96</v>
      </c>
    </row>
    <row r="1898" spans="1:21" x14ac:dyDescent="0.2">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s="2">
        <v>155.45599999999999</v>
      </c>
      <c r="Q1898">
        <v>4</v>
      </c>
      <c r="R1898" s="2">
        <v>-7.7728000000000002</v>
      </c>
      <c r="S1898" t="s">
        <v>70</v>
      </c>
      <c r="T1898" s="10">
        <v>2</v>
      </c>
      <c r="U1898" t="s">
        <v>253</v>
      </c>
    </row>
    <row r="1899" spans="1:21" x14ac:dyDescent="0.2">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s="2">
        <v>21</v>
      </c>
      <c r="Q1899">
        <v>3</v>
      </c>
      <c r="R1899" s="2">
        <v>5.7750000000000004</v>
      </c>
      <c r="S1899" t="s">
        <v>33</v>
      </c>
      <c r="T1899" s="10">
        <v>3</v>
      </c>
      <c r="U1899" t="s">
        <v>96</v>
      </c>
    </row>
    <row r="1900" spans="1:21" x14ac:dyDescent="0.2">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s="2">
        <v>853.93</v>
      </c>
      <c r="Q1900">
        <v>5</v>
      </c>
      <c r="R1900" s="2">
        <v>-24.398</v>
      </c>
      <c r="S1900" t="s">
        <v>58</v>
      </c>
      <c r="T1900" s="10">
        <v>5</v>
      </c>
      <c r="U1900" t="s">
        <v>34</v>
      </c>
    </row>
    <row r="1901" spans="1:21" x14ac:dyDescent="0.2">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s="2">
        <v>273.95999999999998</v>
      </c>
      <c r="Q1901">
        <v>2</v>
      </c>
      <c r="R1901" s="2">
        <v>71.229600000000005</v>
      </c>
      <c r="S1901" t="s">
        <v>70</v>
      </c>
      <c r="T1901" s="10">
        <v>2</v>
      </c>
      <c r="U1901" t="s">
        <v>34</v>
      </c>
    </row>
    <row r="1902" spans="1:21" x14ac:dyDescent="0.2">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s="2">
        <v>756.8</v>
      </c>
      <c r="Q1902">
        <v>5</v>
      </c>
      <c r="R1902" s="2">
        <v>75.680000000000007</v>
      </c>
      <c r="S1902" t="s">
        <v>70</v>
      </c>
      <c r="T1902" s="10">
        <v>2</v>
      </c>
      <c r="U1902" t="s">
        <v>34</v>
      </c>
    </row>
    <row r="1903" spans="1:21" x14ac:dyDescent="0.2">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s="2">
        <v>470.15499999999997</v>
      </c>
      <c r="Q1903">
        <v>7</v>
      </c>
      <c r="R1903" s="2">
        <v>-13.433</v>
      </c>
      <c r="S1903" t="s">
        <v>83</v>
      </c>
      <c r="T1903" s="10">
        <v>4</v>
      </c>
      <c r="U1903" t="s">
        <v>34</v>
      </c>
    </row>
    <row r="1904" spans="1:21" x14ac:dyDescent="0.2">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s="2">
        <v>271.76400000000001</v>
      </c>
      <c r="Q1904">
        <v>2</v>
      </c>
      <c r="R1904" s="2">
        <v>60.392000000000003</v>
      </c>
      <c r="S1904" t="s">
        <v>83</v>
      </c>
      <c r="T1904" s="10">
        <v>4</v>
      </c>
      <c r="U1904" t="s">
        <v>195</v>
      </c>
    </row>
    <row r="1905" spans="1:21" x14ac:dyDescent="0.2">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s="2">
        <v>344.98099999999999</v>
      </c>
      <c r="Q1905">
        <v>7</v>
      </c>
      <c r="R1905" s="2">
        <v>28.4102</v>
      </c>
      <c r="S1905" t="s">
        <v>70</v>
      </c>
      <c r="T1905" s="10">
        <v>2</v>
      </c>
      <c r="U1905" t="s">
        <v>113</v>
      </c>
    </row>
    <row r="1906" spans="1:21" x14ac:dyDescent="0.2">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s="2">
        <v>127.785</v>
      </c>
      <c r="Q1906">
        <v>1</v>
      </c>
      <c r="R1906" s="2">
        <v>-31.0335</v>
      </c>
      <c r="S1906" t="s">
        <v>33</v>
      </c>
      <c r="T1906" s="10">
        <v>3</v>
      </c>
      <c r="U1906" t="s">
        <v>34</v>
      </c>
    </row>
    <row r="1907" spans="1:21" x14ac:dyDescent="0.2">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s="2">
        <v>159.04</v>
      </c>
      <c r="Q1907">
        <v>5</v>
      </c>
      <c r="R1907" s="2">
        <v>-194.82400000000001</v>
      </c>
      <c r="S1907" t="s">
        <v>129</v>
      </c>
      <c r="T1907" s="10">
        <v>6</v>
      </c>
      <c r="U1907" t="s">
        <v>195</v>
      </c>
    </row>
    <row r="1908" spans="1:21" x14ac:dyDescent="0.2">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s="2">
        <v>145.97999999999999</v>
      </c>
      <c r="Q1908">
        <v>2</v>
      </c>
      <c r="R1908" s="2">
        <v>-99.266400000000004</v>
      </c>
      <c r="S1908" t="s">
        <v>129</v>
      </c>
      <c r="T1908" s="10">
        <v>6</v>
      </c>
      <c r="U1908" t="s">
        <v>195</v>
      </c>
    </row>
    <row r="1909" spans="1:21" x14ac:dyDescent="0.2">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s="2">
        <v>77.951999999999998</v>
      </c>
      <c r="Q1909">
        <v>3</v>
      </c>
      <c r="R1909" s="2">
        <v>12.667199999999999</v>
      </c>
      <c r="S1909" t="s">
        <v>83</v>
      </c>
      <c r="T1909" s="10">
        <v>4</v>
      </c>
      <c r="U1909" t="s">
        <v>96</v>
      </c>
    </row>
    <row r="1910" spans="1:21" x14ac:dyDescent="0.2">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s="2">
        <v>9.68</v>
      </c>
      <c r="Q1910">
        <v>2</v>
      </c>
      <c r="R1910" s="2">
        <v>3.7751999999999999</v>
      </c>
      <c r="S1910" t="s">
        <v>129</v>
      </c>
      <c r="T1910" s="10">
        <v>6</v>
      </c>
      <c r="U1910" t="s">
        <v>96</v>
      </c>
    </row>
    <row r="1911" spans="1:21" x14ac:dyDescent="0.2">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s="2">
        <v>1875.258</v>
      </c>
      <c r="Q1911">
        <v>7</v>
      </c>
      <c r="R1911" s="2">
        <v>-968.88329999999996</v>
      </c>
      <c r="S1911" t="s">
        <v>58</v>
      </c>
      <c r="T1911" s="10">
        <v>5</v>
      </c>
      <c r="U1911" t="s">
        <v>48</v>
      </c>
    </row>
    <row r="1912" spans="1:21" x14ac:dyDescent="0.2">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s="2">
        <v>458.43</v>
      </c>
      <c r="Q1912">
        <v>5</v>
      </c>
      <c r="R1912" s="2">
        <v>-124.431</v>
      </c>
      <c r="S1912" t="s">
        <v>83</v>
      </c>
      <c r="T1912" s="10">
        <v>4</v>
      </c>
      <c r="U1912" t="s">
        <v>161</v>
      </c>
    </row>
    <row r="1913" spans="1:21" x14ac:dyDescent="0.2">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s="2">
        <v>5.82</v>
      </c>
      <c r="Q1913">
        <v>2</v>
      </c>
      <c r="R1913" s="2">
        <v>2.7353999999999998</v>
      </c>
      <c r="S1913" t="s">
        <v>430</v>
      </c>
      <c r="T1913" s="10">
        <v>0</v>
      </c>
      <c r="U1913" t="s">
        <v>34</v>
      </c>
    </row>
    <row r="1914" spans="1:21" x14ac:dyDescent="0.2">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s="2">
        <v>135.80000000000001</v>
      </c>
      <c r="Q1914">
        <v>7</v>
      </c>
      <c r="R1914" s="2">
        <v>66.542000000000002</v>
      </c>
      <c r="S1914" t="s">
        <v>123</v>
      </c>
      <c r="T1914" s="10">
        <v>1</v>
      </c>
      <c r="U1914" t="s">
        <v>297</v>
      </c>
    </row>
    <row r="1915" spans="1:21" x14ac:dyDescent="0.2">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s="2">
        <v>29.46</v>
      </c>
      <c r="Q1915">
        <v>6</v>
      </c>
      <c r="R1915" s="2">
        <v>9.7218</v>
      </c>
      <c r="S1915" t="s">
        <v>70</v>
      </c>
      <c r="T1915" s="10">
        <v>2</v>
      </c>
      <c r="U1915" t="s">
        <v>96</v>
      </c>
    </row>
    <row r="1916" spans="1:21" x14ac:dyDescent="0.2">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s="2">
        <v>98.328000000000003</v>
      </c>
      <c r="Q1916">
        <v>3</v>
      </c>
      <c r="R1916" s="2">
        <v>9.8328000000000007</v>
      </c>
      <c r="S1916" t="s">
        <v>123</v>
      </c>
      <c r="T1916" s="10">
        <v>1</v>
      </c>
      <c r="U1916" t="s">
        <v>253</v>
      </c>
    </row>
    <row r="1917" spans="1:21" x14ac:dyDescent="0.2">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s="2">
        <v>117.88200000000001</v>
      </c>
      <c r="Q1917">
        <v>1</v>
      </c>
      <c r="R1917" s="2">
        <v>1.3098000000000001</v>
      </c>
      <c r="S1917" t="s">
        <v>33</v>
      </c>
      <c r="T1917" s="10">
        <v>3</v>
      </c>
      <c r="U1917" t="s">
        <v>59</v>
      </c>
    </row>
    <row r="1918" spans="1:21" x14ac:dyDescent="0.2">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s="2">
        <v>37.74</v>
      </c>
      <c r="Q1918">
        <v>3</v>
      </c>
      <c r="R1918" s="2">
        <v>12.8316</v>
      </c>
      <c r="S1918" t="s">
        <v>129</v>
      </c>
      <c r="T1918" s="10">
        <v>6</v>
      </c>
      <c r="U1918" t="s">
        <v>59</v>
      </c>
    </row>
    <row r="1919" spans="1:21" x14ac:dyDescent="0.2">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s="2">
        <v>14.82</v>
      </c>
      <c r="Q1919">
        <v>3</v>
      </c>
      <c r="R1919" s="2">
        <v>6.2244000000000002</v>
      </c>
      <c r="S1919" t="s">
        <v>58</v>
      </c>
      <c r="T1919" s="10">
        <v>5</v>
      </c>
      <c r="U1919" t="s">
        <v>77</v>
      </c>
    </row>
    <row r="1920" spans="1:21" x14ac:dyDescent="0.2">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s="2">
        <v>191.82</v>
      </c>
      <c r="Q1920">
        <v>3</v>
      </c>
      <c r="R1920" s="2">
        <v>61.382399999999997</v>
      </c>
      <c r="S1920" t="s">
        <v>58</v>
      </c>
      <c r="T1920" s="10">
        <v>5</v>
      </c>
      <c r="U1920" t="s">
        <v>77</v>
      </c>
    </row>
    <row r="1921" spans="1:21" x14ac:dyDescent="0.2">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s="2">
        <v>283.56</v>
      </c>
      <c r="Q1921">
        <v>4</v>
      </c>
      <c r="R1921" s="2">
        <v>45.369599999999998</v>
      </c>
      <c r="S1921" t="s">
        <v>430</v>
      </c>
      <c r="T1921" s="10">
        <v>0</v>
      </c>
      <c r="U1921" t="s">
        <v>77</v>
      </c>
    </row>
    <row r="1922" spans="1:21" x14ac:dyDescent="0.2">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s="2">
        <v>487.96</v>
      </c>
      <c r="Q1922">
        <v>2</v>
      </c>
      <c r="R1922" s="2">
        <v>146.38800000000001</v>
      </c>
      <c r="S1922" t="s">
        <v>83</v>
      </c>
      <c r="T1922" s="10">
        <v>4</v>
      </c>
      <c r="U1922" t="s">
        <v>59</v>
      </c>
    </row>
    <row r="1923" spans="1:21" x14ac:dyDescent="0.2">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s="2">
        <v>73.915000000000006</v>
      </c>
      <c r="Q1923">
        <v>1</v>
      </c>
      <c r="R1923" s="2">
        <v>-45.827300000000001</v>
      </c>
      <c r="S1923" t="s">
        <v>58</v>
      </c>
      <c r="T1923" s="10">
        <v>5</v>
      </c>
      <c r="U1923" t="s">
        <v>77</v>
      </c>
    </row>
    <row r="1924" spans="1:21" x14ac:dyDescent="0.2">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s="2">
        <v>337.08800000000002</v>
      </c>
      <c r="Q1924">
        <v>4</v>
      </c>
      <c r="R1924" s="2">
        <v>16.854399999999998</v>
      </c>
      <c r="S1924" t="s">
        <v>58</v>
      </c>
      <c r="T1924" s="10">
        <v>5</v>
      </c>
      <c r="U1924" t="s">
        <v>77</v>
      </c>
    </row>
    <row r="1925" spans="1:21" x14ac:dyDescent="0.2">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s="2">
        <v>2621.3220000000001</v>
      </c>
      <c r="Q1925">
        <v>11</v>
      </c>
      <c r="R1925" s="2">
        <v>553.39020000000005</v>
      </c>
      <c r="S1925" t="s">
        <v>70</v>
      </c>
      <c r="T1925" s="10">
        <v>2</v>
      </c>
      <c r="U1925" t="s">
        <v>34</v>
      </c>
    </row>
    <row r="1926" spans="1:21" x14ac:dyDescent="0.2">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s="2">
        <v>74.760000000000005</v>
      </c>
      <c r="Q1926">
        <v>7</v>
      </c>
      <c r="R1926" s="2">
        <v>23.923200000000001</v>
      </c>
      <c r="S1926" t="s">
        <v>83</v>
      </c>
      <c r="T1926" s="10">
        <v>4</v>
      </c>
      <c r="U1926" t="s">
        <v>48</v>
      </c>
    </row>
    <row r="1927" spans="1:21" x14ac:dyDescent="0.2">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s="2">
        <v>364.77600000000001</v>
      </c>
      <c r="Q1927">
        <v>3</v>
      </c>
      <c r="R1927" s="2">
        <v>27.3582</v>
      </c>
      <c r="S1927" t="s">
        <v>83</v>
      </c>
      <c r="T1927" s="10">
        <v>4</v>
      </c>
      <c r="U1927" t="s">
        <v>48</v>
      </c>
    </row>
    <row r="1928" spans="1:21" x14ac:dyDescent="0.2">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s="2">
        <v>1115.17</v>
      </c>
      <c r="Q1928">
        <v>7</v>
      </c>
      <c r="R1928" s="2">
        <v>334.55099999999999</v>
      </c>
      <c r="S1928" t="s">
        <v>83</v>
      </c>
      <c r="T1928" s="10">
        <v>4</v>
      </c>
      <c r="U1928" t="s">
        <v>59</v>
      </c>
    </row>
    <row r="1929" spans="1:21" x14ac:dyDescent="0.2">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s="2">
        <v>215.976</v>
      </c>
      <c r="Q1929">
        <v>3</v>
      </c>
      <c r="R1929" s="2">
        <v>-2.6997</v>
      </c>
      <c r="S1929" t="s">
        <v>33</v>
      </c>
      <c r="T1929" s="10">
        <v>3</v>
      </c>
      <c r="U1929" t="s">
        <v>77</v>
      </c>
    </row>
    <row r="1930" spans="1:21" x14ac:dyDescent="0.2">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s="2">
        <v>11.352</v>
      </c>
      <c r="Q1930">
        <v>3</v>
      </c>
      <c r="R1930" s="2">
        <v>2.6960999999999999</v>
      </c>
      <c r="S1930" t="s">
        <v>123</v>
      </c>
      <c r="T1930" s="10">
        <v>1</v>
      </c>
      <c r="U1930" t="s">
        <v>96</v>
      </c>
    </row>
    <row r="1931" spans="1:21" x14ac:dyDescent="0.2">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s="2">
        <v>318.08</v>
      </c>
      <c r="Q1931">
        <v>4</v>
      </c>
      <c r="R1931" s="2">
        <v>34.988799999999998</v>
      </c>
      <c r="S1931" t="s">
        <v>47</v>
      </c>
      <c r="T1931" s="10">
        <v>7</v>
      </c>
      <c r="U1931" t="s">
        <v>297</v>
      </c>
    </row>
    <row r="1932" spans="1:21" x14ac:dyDescent="0.2">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s="2">
        <v>454.96499999999997</v>
      </c>
      <c r="Q1932">
        <v>5</v>
      </c>
      <c r="R1932" s="2">
        <v>-136.48949999999999</v>
      </c>
      <c r="S1932" t="s">
        <v>83</v>
      </c>
      <c r="T1932" s="10">
        <v>4</v>
      </c>
      <c r="U1932" t="s">
        <v>77</v>
      </c>
    </row>
    <row r="1933" spans="1:21" x14ac:dyDescent="0.2">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s="2">
        <v>482.94</v>
      </c>
      <c r="Q1933">
        <v>6</v>
      </c>
      <c r="R1933" s="2">
        <v>-376.69319999999999</v>
      </c>
      <c r="S1933" t="s">
        <v>58</v>
      </c>
      <c r="T1933" s="10">
        <v>5</v>
      </c>
      <c r="U1933" t="s">
        <v>59</v>
      </c>
    </row>
    <row r="1934" spans="1:21" x14ac:dyDescent="0.2">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s="2">
        <v>64.959999999999994</v>
      </c>
      <c r="Q1934">
        <v>5</v>
      </c>
      <c r="R1934" s="2">
        <v>-84.447999999999993</v>
      </c>
      <c r="S1934" t="s">
        <v>58</v>
      </c>
      <c r="T1934" s="10">
        <v>5</v>
      </c>
      <c r="U1934" t="s">
        <v>34</v>
      </c>
    </row>
    <row r="1935" spans="1:21" x14ac:dyDescent="0.2">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s="2">
        <v>31.968</v>
      </c>
      <c r="Q1935">
        <v>2</v>
      </c>
      <c r="R1935" s="2">
        <v>6.3936000000000002</v>
      </c>
      <c r="S1935" t="s">
        <v>58</v>
      </c>
      <c r="T1935" s="10">
        <v>5</v>
      </c>
      <c r="U1935" t="s">
        <v>169</v>
      </c>
    </row>
    <row r="1936" spans="1:21" x14ac:dyDescent="0.2">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s="2">
        <v>887.27099999999996</v>
      </c>
      <c r="Q1936">
        <v>3</v>
      </c>
      <c r="R1936" s="2">
        <v>-63.3765</v>
      </c>
      <c r="S1936" t="s">
        <v>58</v>
      </c>
      <c r="T1936" s="10">
        <v>5</v>
      </c>
      <c r="U1936" t="s">
        <v>169</v>
      </c>
    </row>
    <row r="1937" spans="1:21" x14ac:dyDescent="0.2">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s="2">
        <v>9.5519999999999996</v>
      </c>
      <c r="Q1937">
        <v>3</v>
      </c>
      <c r="R1937" s="2">
        <v>-3.8208000000000002</v>
      </c>
      <c r="S1937" t="s">
        <v>70</v>
      </c>
      <c r="T1937" s="10">
        <v>2</v>
      </c>
      <c r="U1937" t="s">
        <v>253</v>
      </c>
    </row>
    <row r="1938" spans="1:21" x14ac:dyDescent="0.2">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s="2">
        <v>5.3440000000000003</v>
      </c>
      <c r="Q1938">
        <v>4</v>
      </c>
      <c r="R1938" s="2">
        <v>-2.1375999999999999</v>
      </c>
      <c r="S1938" t="s">
        <v>70</v>
      </c>
      <c r="T1938" s="10">
        <v>2</v>
      </c>
      <c r="U1938" t="s">
        <v>253</v>
      </c>
    </row>
    <row r="1939" spans="1:21" x14ac:dyDescent="0.2">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s="2">
        <v>301.47000000000003</v>
      </c>
      <c r="Q1939">
        <v>3</v>
      </c>
      <c r="R1939" s="2">
        <v>-241.17599999999999</v>
      </c>
      <c r="S1939" t="s">
        <v>70</v>
      </c>
      <c r="T1939" s="10">
        <v>2</v>
      </c>
      <c r="U1939" t="s">
        <v>195</v>
      </c>
    </row>
    <row r="1940" spans="1:21" x14ac:dyDescent="0.2">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s="2">
        <v>27.46</v>
      </c>
      <c r="Q1940">
        <v>2</v>
      </c>
      <c r="R1940" s="2">
        <v>9.8856000000000002</v>
      </c>
      <c r="S1940" t="s">
        <v>83</v>
      </c>
      <c r="T1940" s="10">
        <v>4</v>
      </c>
      <c r="U1940" t="s">
        <v>161</v>
      </c>
    </row>
    <row r="1941" spans="1:21" x14ac:dyDescent="0.2">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s="2">
        <v>19.312000000000001</v>
      </c>
      <c r="Q1941">
        <v>2</v>
      </c>
      <c r="R1941" s="2">
        <v>3.1381999999999999</v>
      </c>
      <c r="S1941" t="s">
        <v>70</v>
      </c>
      <c r="T1941" s="10">
        <v>2</v>
      </c>
      <c r="U1941" t="s">
        <v>253</v>
      </c>
    </row>
    <row r="1942" spans="1:21" x14ac:dyDescent="0.2">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s="2">
        <v>405.86</v>
      </c>
      <c r="Q1942">
        <v>7</v>
      </c>
      <c r="R1942" s="2">
        <v>32.468800000000002</v>
      </c>
      <c r="S1942" t="s">
        <v>83</v>
      </c>
      <c r="T1942" s="10">
        <v>4</v>
      </c>
      <c r="U1942" t="s">
        <v>96</v>
      </c>
    </row>
    <row r="1943" spans="1:21" x14ac:dyDescent="0.2">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s="2">
        <v>680.01</v>
      </c>
      <c r="Q1943">
        <v>3</v>
      </c>
      <c r="R1943" s="2">
        <v>176.80260000000001</v>
      </c>
      <c r="S1943" t="s">
        <v>83</v>
      </c>
      <c r="T1943" s="10">
        <v>4</v>
      </c>
      <c r="U1943" t="s">
        <v>96</v>
      </c>
    </row>
    <row r="1944" spans="1:21" x14ac:dyDescent="0.2">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s="2">
        <v>31.96</v>
      </c>
      <c r="Q1944">
        <v>2</v>
      </c>
      <c r="R1944" s="2">
        <v>1.5980000000000001</v>
      </c>
      <c r="S1944" t="s">
        <v>430</v>
      </c>
      <c r="T1944" s="10">
        <v>0</v>
      </c>
      <c r="U1944" t="s">
        <v>96</v>
      </c>
    </row>
    <row r="1945" spans="1:21" x14ac:dyDescent="0.2">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s="2">
        <v>51.75</v>
      </c>
      <c r="Q1945">
        <v>1</v>
      </c>
      <c r="R1945" s="2">
        <v>15.525</v>
      </c>
      <c r="S1945" t="s">
        <v>83</v>
      </c>
      <c r="T1945" s="10">
        <v>4</v>
      </c>
      <c r="U1945" t="s">
        <v>253</v>
      </c>
    </row>
    <row r="1946" spans="1:21" x14ac:dyDescent="0.2">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s="2">
        <v>207.184</v>
      </c>
      <c r="Q1946">
        <v>1</v>
      </c>
      <c r="R1946" s="2">
        <v>25.898</v>
      </c>
      <c r="S1946" t="s">
        <v>83</v>
      </c>
      <c r="T1946" s="10">
        <v>4</v>
      </c>
      <c r="U1946" t="s">
        <v>253</v>
      </c>
    </row>
    <row r="1947" spans="1:21" x14ac:dyDescent="0.2">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s="2">
        <v>256.78399999999999</v>
      </c>
      <c r="Q1947">
        <v>1</v>
      </c>
      <c r="R1947" s="2">
        <v>32.097999999999999</v>
      </c>
      <c r="S1947" t="s">
        <v>58</v>
      </c>
      <c r="T1947" s="10">
        <v>5</v>
      </c>
      <c r="U1947" t="s">
        <v>161</v>
      </c>
    </row>
    <row r="1948" spans="1:21" x14ac:dyDescent="0.2">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s="2">
        <v>120.98</v>
      </c>
      <c r="Q1948">
        <v>1</v>
      </c>
      <c r="R1948" s="2">
        <v>12.098000000000001</v>
      </c>
      <c r="S1948" t="s">
        <v>33</v>
      </c>
      <c r="T1948" s="10">
        <v>3</v>
      </c>
      <c r="U1948" t="s">
        <v>48</v>
      </c>
    </row>
    <row r="1949" spans="1:21" x14ac:dyDescent="0.2">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s="2">
        <v>39.880000000000003</v>
      </c>
      <c r="Q1949">
        <v>2</v>
      </c>
      <c r="R1949" s="2">
        <v>11.166399999999999</v>
      </c>
      <c r="S1949" t="s">
        <v>47</v>
      </c>
      <c r="T1949" s="10">
        <v>7</v>
      </c>
      <c r="U1949" t="s">
        <v>96</v>
      </c>
    </row>
    <row r="1950" spans="1:21" x14ac:dyDescent="0.2">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s="2">
        <v>79.44</v>
      </c>
      <c r="Q1950">
        <v>3</v>
      </c>
      <c r="R1950" s="2">
        <v>28.598400000000002</v>
      </c>
      <c r="S1950" t="s">
        <v>47</v>
      </c>
      <c r="T1950" s="10">
        <v>7</v>
      </c>
      <c r="U1950" t="s">
        <v>96</v>
      </c>
    </row>
    <row r="1951" spans="1:21" x14ac:dyDescent="0.2">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s="2">
        <v>301.47000000000003</v>
      </c>
      <c r="Q1951">
        <v>3</v>
      </c>
      <c r="R1951" s="2">
        <v>-204.99959999999999</v>
      </c>
      <c r="S1951" t="s">
        <v>83</v>
      </c>
      <c r="T1951" s="10">
        <v>4</v>
      </c>
      <c r="U1951" t="s">
        <v>253</v>
      </c>
    </row>
    <row r="1952" spans="1:21" x14ac:dyDescent="0.2">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s="2">
        <v>1504.52</v>
      </c>
      <c r="Q1952">
        <v>4</v>
      </c>
      <c r="R1952" s="2">
        <v>346.03960000000001</v>
      </c>
      <c r="S1952" t="s">
        <v>123</v>
      </c>
      <c r="T1952" s="10">
        <v>1</v>
      </c>
      <c r="U1952" t="s">
        <v>48</v>
      </c>
    </row>
    <row r="1953" spans="1:21" x14ac:dyDescent="0.2">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s="2">
        <v>94.68</v>
      </c>
      <c r="Q1953">
        <v>9</v>
      </c>
      <c r="R1953" s="2">
        <v>31.244399999999999</v>
      </c>
      <c r="S1953" t="s">
        <v>83</v>
      </c>
      <c r="T1953" s="10">
        <v>4</v>
      </c>
      <c r="U1953" t="s">
        <v>77</v>
      </c>
    </row>
    <row r="1954" spans="1:21" x14ac:dyDescent="0.2">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s="2">
        <v>568.72799999999995</v>
      </c>
      <c r="Q1954">
        <v>3</v>
      </c>
      <c r="R1954" s="2">
        <v>28.436399999999999</v>
      </c>
      <c r="S1954" t="s">
        <v>83</v>
      </c>
      <c r="T1954" s="10">
        <v>4</v>
      </c>
      <c r="U1954" t="s">
        <v>77</v>
      </c>
    </row>
    <row r="1955" spans="1:21" x14ac:dyDescent="0.2">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s="2">
        <v>147.56800000000001</v>
      </c>
      <c r="Q1955">
        <v>2</v>
      </c>
      <c r="R1955" s="2">
        <v>-3.6892</v>
      </c>
      <c r="S1955" t="s">
        <v>33</v>
      </c>
      <c r="T1955" s="10">
        <v>3</v>
      </c>
      <c r="U1955" t="s">
        <v>297</v>
      </c>
    </row>
    <row r="1956" spans="1:21" x14ac:dyDescent="0.2">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s="2">
        <v>119.833</v>
      </c>
      <c r="Q1956">
        <v>1</v>
      </c>
      <c r="R1956" s="2">
        <v>7.0490000000000004</v>
      </c>
      <c r="S1956" t="s">
        <v>58</v>
      </c>
      <c r="T1956" s="10">
        <v>5</v>
      </c>
      <c r="U1956" t="s">
        <v>71</v>
      </c>
    </row>
    <row r="1957" spans="1:21" x14ac:dyDescent="0.2">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s="2">
        <v>60.89</v>
      </c>
      <c r="Q1957">
        <v>1</v>
      </c>
      <c r="R1957" s="2">
        <v>15.2225</v>
      </c>
      <c r="S1957" t="s">
        <v>83</v>
      </c>
      <c r="T1957" s="10">
        <v>4</v>
      </c>
      <c r="U1957" t="s">
        <v>297</v>
      </c>
    </row>
    <row r="1958" spans="1:21" x14ac:dyDescent="0.2">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s="2">
        <v>332.94</v>
      </c>
      <c r="Q1958">
        <v>3</v>
      </c>
      <c r="R1958" s="2">
        <v>53.270400000000002</v>
      </c>
      <c r="S1958" t="s">
        <v>83</v>
      </c>
      <c r="T1958" s="10">
        <v>4</v>
      </c>
      <c r="U1958" t="s">
        <v>297</v>
      </c>
    </row>
    <row r="1959" spans="1:21" x14ac:dyDescent="0.2">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s="2">
        <v>215.976</v>
      </c>
      <c r="Q1959">
        <v>3</v>
      </c>
      <c r="R1959" s="2">
        <v>-2.6997</v>
      </c>
      <c r="S1959" t="s">
        <v>430</v>
      </c>
      <c r="T1959" s="10">
        <v>0</v>
      </c>
      <c r="U1959" t="s">
        <v>77</v>
      </c>
    </row>
    <row r="1960" spans="1:21" x14ac:dyDescent="0.2">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s="2">
        <v>389.97</v>
      </c>
      <c r="Q1960">
        <v>3</v>
      </c>
      <c r="R1960" s="2">
        <v>35.097299999999997</v>
      </c>
      <c r="S1960" t="s">
        <v>83</v>
      </c>
      <c r="T1960" s="10">
        <v>4</v>
      </c>
      <c r="U1960" t="s">
        <v>48</v>
      </c>
    </row>
    <row r="1961" spans="1:21" x14ac:dyDescent="0.2">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s="2">
        <v>14.56</v>
      </c>
      <c r="Q1961">
        <v>2</v>
      </c>
      <c r="R1961" s="2">
        <v>5.5327999999999999</v>
      </c>
      <c r="S1961" t="s">
        <v>123</v>
      </c>
      <c r="T1961" s="10">
        <v>1</v>
      </c>
      <c r="U1961" t="s">
        <v>297</v>
      </c>
    </row>
    <row r="1962" spans="1:21" x14ac:dyDescent="0.2">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s="2">
        <v>102.58199999999999</v>
      </c>
      <c r="Q1962">
        <v>1</v>
      </c>
      <c r="R1962" s="2">
        <v>6.8388</v>
      </c>
      <c r="S1962" t="s">
        <v>430</v>
      </c>
      <c r="T1962" s="10">
        <v>0</v>
      </c>
      <c r="U1962" t="s">
        <v>77</v>
      </c>
    </row>
    <row r="1963" spans="1:21" x14ac:dyDescent="0.2">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s="2">
        <v>10.02</v>
      </c>
      <c r="Q1963">
        <v>3</v>
      </c>
      <c r="R1963" s="2">
        <v>4.4088000000000003</v>
      </c>
      <c r="S1963" t="s">
        <v>58</v>
      </c>
      <c r="T1963" s="10">
        <v>5</v>
      </c>
      <c r="U1963" t="s">
        <v>161</v>
      </c>
    </row>
    <row r="1964" spans="1:21" x14ac:dyDescent="0.2">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s="2">
        <v>398.97199999999998</v>
      </c>
      <c r="Q1964">
        <v>2</v>
      </c>
      <c r="R1964" s="2">
        <v>-28.498000000000001</v>
      </c>
      <c r="S1964" t="s">
        <v>83</v>
      </c>
      <c r="T1964" s="10">
        <v>4</v>
      </c>
      <c r="U1964" t="s">
        <v>96</v>
      </c>
    </row>
    <row r="1965" spans="1:21" x14ac:dyDescent="0.2">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s="2">
        <v>163.88</v>
      </c>
      <c r="Q1965">
        <v>2</v>
      </c>
      <c r="R1965" s="2">
        <v>40.97</v>
      </c>
      <c r="S1965" t="s">
        <v>83</v>
      </c>
      <c r="T1965" s="10">
        <v>4</v>
      </c>
      <c r="U1965" t="s">
        <v>77</v>
      </c>
    </row>
    <row r="1966" spans="1:21" x14ac:dyDescent="0.2">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s="2">
        <v>392.94</v>
      </c>
      <c r="Q1966">
        <v>3</v>
      </c>
      <c r="R1966" s="2">
        <v>43.223399999999998</v>
      </c>
      <c r="S1966" t="s">
        <v>58</v>
      </c>
      <c r="T1966" s="10">
        <v>5</v>
      </c>
      <c r="U1966" t="s">
        <v>34</v>
      </c>
    </row>
    <row r="1967" spans="1:21" x14ac:dyDescent="0.2">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s="2">
        <v>18.175999999999998</v>
      </c>
      <c r="Q1967">
        <v>1</v>
      </c>
      <c r="R1967" s="2">
        <v>4.7712000000000003</v>
      </c>
      <c r="S1967" t="s">
        <v>33</v>
      </c>
      <c r="T1967" s="10">
        <v>3</v>
      </c>
      <c r="U1967" t="s">
        <v>34</v>
      </c>
    </row>
    <row r="1968" spans="1:21" x14ac:dyDescent="0.2">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s="2">
        <v>457.48500000000001</v>
      </c>
      <c r="Q1968">
        <v>3</v>
      </c>
      <c r="R1968" s="2">
        <v>-84.961500000000001</v>
      </c>
      <c r="S1968" t="s">
        <v>47</v>
      </c>
      <c r="T1968" s="10">
        <v>7</v>
      </c>
      <c r="U1968" t="s">
        <v>59</v>
      </c>
    </row>
    <row r="1969" spans="1:21" x14ac:dyDescent="0.2">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s="2">
        <v>1079.316</v>
      </c>
      <c r="Q1969">
        <v>6</v>
      </c>
      <c r="R1969" s="2">
        <v>-15.418799999999999</v>
      </c>
      <c r="S1969" t="s">
        <v>33</v>
      </c>
      <c r="T1969" s="10">
        <v>3</v>
      </c>
      <c r="U1969" t="s">
        <v>34</v>
      </c>
    </row>
    <row r="1970" spans="1:21" x14ac:dyDescent="0.2">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s="2">
        <v>115.96</v>
      </c>
      <c r="Q1970">
        <v>4</v>
      </c>
      <c r="R1970" s="2">
        <v>-64.937600000000003</v>
      </c>
      <c r="S1970" t="s">
        <v>83</v>
      </c>
      <c r="T1970" s="10">
        <v>4</v>
      </c>
      <c r="U1970" t="s">
        <v>161</v>
      </c>
    </row>
    <row r="1971" spans="1:21" x14ac:dyDescent="0.2">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s="2">
        <v>56.686</v>
      </c>
      <c r="Q1971">
        <v>1</v>
      </c>
      <c r="R1971" s="2">
        <v>-20.245000000000001</v>
      </c>
      <c r="S1971" t="s">
        <v>83</v>
      </c>
      <c r="T1971" s="10">
        <v>4</v>
      </c>
      <c r="U1971" t="s">
        <v>113</v>
      </c>
    </row>
    <row r="1972" spans="1:21" x14ac:dyDescent="0.2">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s="2">
        <v>163.76400000000001</v>
      </c>
      <c r="Q1972">
        <v>2</v>
      </c>
      <c r="R1972" s="2">
        <v>25.474399999999999</v>
      </c>
      <c r="S1972" t="s">
        <v>58</v>
      </c>
      <c r="T1972" s="10">
        <v>5</v>
      </c>
      <c r="U1972" t="s">
        <v>71</v>
      </c>
    </row>
    <row r="1973" spans="1:21" x14ac:dyDescent="0.2">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s="2">
        <v>183.92</v>
      </c>
      <c r="Q1973">
        <v>4</v>
      </c>
      <c r="R1973" s="2">
        <v>31.266400000000001</v>
      </c>
      <c r="S1973" t="s">
        <v>58</v>
      </c>
      <c r="T1973" s="10">
        <v>5</v>
      </c>
      <c r="U1973" t="s">
        <v>71</v>
      </c>
    </row>
    <row r="1974" spans="1:21" x14ac:dyDescent="0.2">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s="2">
        <v>11.375999999999999</v>
      </c>
      <c r="Q1974">
        <v>3</v>
      </c>
      <c r="R1974" s="2">
        <v>-5.6879999999999997</v>
      </c>
      <c r="S1974" t="s">
        <v>83</v>
      </c>
      <c r="T1974" s="10">
        <v>4</v>
      </c>
      <c r="U1974" t="s">
        <v>34</v>
      </c>
    </row>
    <row r="1975" spans="1:21" x14ac:dyDescent="0.2">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s="2">
        <v>66.111999999999995</v>
      </c>
      <c r="Q1975">
        <v>4</v>
      </c>
      <c r="R1975" s="2">
        <v>-84.2928</v>
      </c>
      <c r="S1975" t="s">
        <v>83</v>
      </c>
      <c r="T1975" s="10">
        <v>4</v>
      </c>
      <c r="U1975" t="s">
        <v>34</v>
      </c>
    </row>
    <row r="1976" spans="1:21" x14ac:dyDescent="0.2">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s="2">
        <v>594.81600000000003</v>
      </c>
      <c r="Q1976">
        <v>2</v>
      </c>
      <c r="R1976" s="2">
        <v>59.4816</v>
      </c>
      <c r="S1976" t="s">
        <v>129</v>
      </c>
      <c r="T1976" s="10">
        <v>6</v>
      </c>
      <c r="U1976" t="s">
        <v>77</v>
      </c>
    </row>
    <row r="1977" spans="1:21" x14ac:dyDescent="0.2">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s="2">
        <v>80.959999999999994</v>
      </c>
      <c r="Q1977">
        <v>4</v>
      </c>
      <c r="R1977" s="2">
        <v>34.812800000000003</v>
      </c>
      <c r="S1977" t="s">
        <v>33</v>
      </c>
      <c r="T1977" s="10">
        <v>3</v>
      </c>
      <c r="U1977" t="s">
        <v>77</v>
      </c>
    </row>
    <row r="1978" spans="1:21" x14ac:dyDescent="0.2">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s="2">
        <v>314.35199999999998</v>
      </c>
      <c r="Q1978">
        <v>3</v>
      </c>
      <c r="R1978" s="2">
        <v>-15.717599999999999</v>
      </c>
      <c r="S1978" t="s">
        <v>123</v>
      </c>
      <c r="T1978" s="10">
        <v>1</v>
      </c>
      <c r="U1978" t="s">
        <v>161</v>
      </c>
    </row>
    <row r="1979" spans="1:21" x14ac:dyDescent="0.2">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s="2">
        <v>455.97</v>
      </c>
      <c r="Q1979">
        <v>5</v>
      </c>
      <c r="R1979" s="2">
        <v>-106.393</v>
      </c>
      <c r="S1979" t="s">
        <v>33</v>
      </c>
      <c r="T1979" s="10">
        <v>3</v>
      </c>
      <c r="U1979" t="s">
        <v>297</v>
      </c>
    </row>
    <row r="1980" spans="1:21" x14ac:dyDescent="0.2">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s="2">
        <v>30.143999999999998</v>
      </c>
      <c r="Q1980">
        <v>2</v>
      </c>
      <c r="R1980" s="2">
        <v>8.2896000000000001</v>
      </c>
      <c r="S1980" t="s">
        <v>33</v>
      </c>
      <c r="T1980" s="10">
        <v>3</v>
      </c>
      <c r="U1980" t="s">
        <v>297</v>
      </c>
    </row>
    <row r="1981" spans="1:21" x14ac:dyDescent="0.2">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s="2">
        <v>899.43</v>
      </c>
      <c r="Q1981">
        <v>5</v>
      </c>
      <c r="R1981" s="2">
        <v>-12.849</v>
      </c>
      <c r="S1981" t="s">
        <v>33</v>
      </c>
      <c r="T1981" s="10">
        <v>3</v>
      </c>
      <c r="U1981" t="s">
        <v>297</v>
      </c>
    </row>
    <row r="1982" spans="1:21" x14ac:dyDescent="0.2">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s="2">
        <v>842.72</v>
      </c>
      <c r="Q1982">
        <v>8</v>
      </c>
      <c r="R1982" s="2">
        <v>202.25280000000001</v>
      </c>
      <c r="S1982" t="s">
        <v>129</v>
      </c>
      <c r="T1982" s="10">
        <v>6</v>
      </c>
      <c r="U1982" t="s">
        <v>96</v>
      </c>
    </row>
    <row r="1983" spans="1:21" x14ac:dyDescent="0.2">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s="2">
        <v>41.96</v>
      </c>
      <c r="Q1983">
        <v>2</v>
      </c>
      <c r="R1983" s="2">
        <v>10.909599999999999</v>
      </c>
      <c r="S1983" t="s">
        <v>129</v>
      </c>
      <c r="T1983" s="10">
        <v>6</v>
      </c>
      <c r="U1983" t="s">
        <v>96</v>
      </c>
    </row>
    <row r="1984" spans="1:21" x14ac:dyDescent="0.2">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s="2">
        <v>184.75200000000001</v>
      </c>
      <c r="Q1984">
        <v>3</v>
      </c>
      <c r="R1984" s="2">
        <v>-20.784600000000001</v>
      </c>
      <c r="S1984" t="s">
        <v>83</v>
      </c>
      <c r="T1984" s="10">
        <v>4</v>
      </c>
      <c r="U1984" t="s">
        <v>77</v>
      </c>
    </row>
    <row r="1985" spans="1:21" x14ac:dyDescent="0.2">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s="2">
        <v>520.46400000000006</v>
      </c>
      <c r="Q1985">
        <v>2</v>
      </c>
      <c r="R1985" s="2">
        <v>-14.8704</v>
      </c>
      <c r="S1985" t="s">
        <v>70</v>
      </c>
      <c r="T1985" s="10">
        <v>2</v>
      </c>
      <c r="U1985" t="s">
        <v>77</v>
      </c>
    </row>
    <row r="1986" spans="1:21" x14ac:dyDescent="0.2">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s="2">
        <v>313.72199999999998</v>
      </c>
      <c r="Q1986">
        <v>3</v>
      </c>
      <c r="R1986" s="2">
        <v>-99.345299999999995</v>
      </c>
      <c r="S1986" t="s">
        <v>33</v>
      </c>
      <c r="T1986" s="10">
        <v>3</v>
      </c>
      <c r="U1986" t="s">
        <v>169</v>
      </c>
    </row>
    <row r="1987" spans="1:21" x14ac:dyDescent="0.2">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s="2">
        <v>45.98</v>
      </c>
      <c r="Q1987">
        <v>1</v>
      </c>
      <c r="R1987" s="2">
        <v>7.8166000000000002</v>
      </c>
      <c r="S1987" t="s">
        <v>33</v>
      </c>
      <c r="T1987" s="10">
        <v>3</v>
      </c>
      <c r="U1987" t="s">
        <v>169</v>
      </c>
    </row>
    <row r="1988" spans="1:21" x14ac:dyDescent="0.2">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s="2">
        <v>22.14</v>
      </c>
      <c r="Q1988">
        <v>3</v>
      </c>
      <c r="R1988" s="2">
        <v>6.4206000000000003</v>
      </c>
      <c r="S1988" t="s">
        <v>83</v>
      </c>
      <c r="T1988" s="10">
        <v>4</v>
      </c>
      <c r="U1988" t="s">
        <v>195</v>
      </c>
    </row>
    <row r="1989" spans="1:21" x14ac:dyDescent="0.2">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s="2">
        <v>272.97000000000003</v>
      </c>
      <c r="Q1989">
        <v>3</v>
      </c>
      <c r="R1989" s="2">
        <v>43.675199999999997</v>
      </c>
      <c r="S1989" t="s">
        <v>70</v>
      </c>
      <c r="T1989" s="10">
        <v>2</v>
      </c>
      <c r="U1989" t="s">
        <v>34</v>
      </c>
    </row>
    <row r="1990" spans="1:21" x14ac:dyDescent="0.2">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s="2">
        <v>41.567999999999998</v>
      </c>
      <c r="Q1990">
        <v>4</v>
      </c>
      <c r="R1990" s="2">
        <v>-4.1567999999999996</v>
      </c>
      <c r="S1990" t="s">
        <v>70</v>
      </c>
      <c r="T1990" s="10">
        <v>2</v>
      </c>
      <c r="U1990" t="s">
        <v>161</v>
      </c>
    </row>
    <row r="1991" spans="1:21" x14ac:dyDescent="0.2">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s="2">
        <v>317.05799999999999</v>
      </c>
      <c r="Q1991">
        <v>3</v>
      </c>
      <c r="R1991" s="2">
        <v>-86.058599999999998</v>
      </c>
      <c r="S1991" t="s">
        <v>70</v>
      </c>
      <c r="T1991" s="10">
        <v>2</v>
      </c>
      <c r="U1991" t="s">
        <v>161</v>
      </c>
    </row>
    <row r="1992" spans="1:21" x14ac:dyDescent="0.2">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s="2">
        <v>64.784000000000006</v>
      </c>
      <c r="Q1992">
        <v>1</v>
      </c>
      <c r="R1992" s="2">
        <v>6.4783999999999997</v>
      </c>
      <c r="S1992" t="s">
        <v>83</v>
      </c>
      <c r="T1992" s="10">
        <v>4</v>
      </c>
      <c r="U1992" t="s">
        <v>96</v>
      </c>
    </row>
    <row r="1993" spans="1:21" x14ac:dyDescent="0.2">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s="2">
        <v>120.57599999999999</v>
      </c>
      <c r="Q1993">
        <v>8</v>
      </c>
      <c r="R1993" s="2">
        <v>33.1584</v>
      </c>
      <c r="S1993" t="s">
        <v>83</v>
      </c>
      <c r="T1993" s="10">
        <v>4</v>
      </c>
      <c r="U1993" t="s">
        <v>253</v>
      </c>
    </row>
    <row r="1994" spans="1:21" x14ac:dyDescent="0.2">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s="2">
        <v>582.33600000000001</v>
      </c>
      <c r="Q1994">
        <v>8</v>
      </c>
      <c r="R1994" s="2">
        <v>-29.116800000000001</v>
      </c>
      <c r="S1994" t="s">
        <v>430</v>
      </c>
      <c r="T1994" s="10">
        <v>0</v>
      </c>
      <c r="U1994" t="s">
        <v>48</v>
      </c>
    </row>
    <row r="1995" spans="1:21" x14ac:dyDescent="0.2">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s="2">
        <v>631.78200000000004</v>
      </c>
      <c r="Q1995">
        <v>2</v>
      </c>
      <c r="R1995" s="2">
        <v>140.39599999999999</v>
      </c>
      <c r="S1995" t="s">
        <v>33</v>
      </c>
      <c r="T1995" s="10">
        <v>3</v>
      </c>
      <c r="U1995" t="s">
        <v>77</v>
      </c>
    </row>
    <row r="1996" spans="1:21" x14ac:dyDescent="0.2">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s="2">
        <v>801.56799999999998</v>
      </c>
      <c r="Q1996">
        <v>2</v>
      </c>
      <c r="R1996" s="2">
        <v>-10.019600000000001</v>
      </c>
      <c r="S1996" t="s">
        <v>33</v>
      </c>
      <c r="T1996" s="10">
        <v>3</v>
      </c>
      <c r="U1996" t="s">
        <v>77</v>
      </c>
    </row>
    <row r="1997" spans="1:21" x14ac:dyDescent="0.2">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s="2">
        <v>4.2720000000000002</v>
      </c>
      <c r="Q1997">
        <v>2</v>
      </c>
      <c r="R1997" s="2">
        <v>0.96120000000000005</v>
      </c>
      <c r="S1997" t="s">
        <v>83</v>
      </c>
      <c r="T1997" s="10">
        <v>4</v>
      </c>
      <c r="U1997" t="s">
        <v>59</v>
      </c>
    </row>
    <row r="1998" spans="1:21" x14ac:dyDescent="0.2">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s="2">
        <v>209.148</v>
      </c>
      <c r="Q1998">
        <v>2</v>
      </c>
      <c r="R1998" s="2">
        <v>-66.230199999999996</v>
      </c>
      <c r="S1998" t="s">
        <v>58</v>
      </c>
      <c r="T1998" s="10">
        <v>5</v>
      </c>
      <c r="U1998" t="s">
        <v>253</v>
      </c>
    </row>
    <row r="1999" spans="1:21" x14ac:dyDescent="0.2">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s="2">
        <v>12.07</v>
      </c>
      <c r="Q1999">
        <v>1</v>
      </c>
      <c r="R1999" s="2">
        <v>3.9830999999999999</v>
      </c>
      <c r="S1999" t="s">
        <v>70</v>
      </c>
      <c r="T1999" s="10">
        <v>2</v>
      </c>
      <c r="U1999" t="s">
        <v>77</v>
      </c>
    </row>
    <row r="2000" spans="1:21" x14ac:dyDescent="0.2">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s="2">
        <v>87.92</v>
      </c>
      <c r="Q2000">
        <v>5</v>
      </c>
      <c r="R2000" s="2">
        <v>15.385999999999999</v>
      </c>
      <c r="S2000" t="s">
        <v>33</v>
      </c>
      <c r="T2000" s="10">
        <v>3</v>
      </c>
      <c r="U2000" t="s">
        <v>96</v>
      </c>
    </row>
    <row r="2001" spans="1:21" x14ac:dyDescent="0.2">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s="2">
        <v>2803.92</v>
      </c>
      <c r="Q2001">
        <v>5</v>
      </c>
      <c r="R2001" s="2">
        <v>0</v>
      </c>
      <c r="S2001" t="s">
        <v>70</v>
      </c>
      <c r="T2001" s="10">
        <v>2</v>
      </c>
      <c r="U2001" t="s">
        <v>169</v>
      </c>
    </row>
    <row r="2002" spans="1:21" x14ac:dyDescent="0.2">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s="2">
        <v>10.11</v>
      </c>
      <c r="Q2002">
        <v>3</v>
      </c>
      <c r="R2002" s="2">
        <v>3.2351999999999999</v>
      </c>
      <c r="S2002" t="s">
        <v>83</v>
      </c>
      <c r="T2002" s="10">
        <v>4</v>
      </c>
      <c r="U2002" t="s">
        <v>48</v>
      </c>
    </row>
    <row r="2003" spans="1:21" x14ac:dyDescent="0.2">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s="2">
        <v>3785.2919999999999</v>
      </c>
      <c r="Q2003">
        <v>6</v>
      </c>
      <c r="R2003" s="2">
        <v>420.58800000000002</v>
      </c>
      <c r="S2003" t="s">
        <v>58</v>
      </c>
      <c r="T2003" s="10">
        <v>5</v>
      </c>
      <c r="U2003" t="s">
        <v>77</v>
      </c>
    </row>
    <row r="2004" spans="1:21" x14ac:dyDescent="0.2">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s="2">
        <v>199.9</v>
      </c>
      <c r="Q2004">
        <v>5</v>
      </c>
      <c r="R2004" s="2">
        <v>39.979999999999997</v>
      </c>
      <c r="S2004" t="s">
        <v>83</v>
      </c>
      <c r="T2004" s="10">
        <v>4</v>
      </c>
      <c r="U2004" t="s">
        <v>34</v>
      </c>
    </row>
    <row r="2005" spans="1:21" x14ac:dyDescent="0.2">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s="2">
        <v>1212.96</v>
      </c>
      <c r="Q2005">
        <v>8</v>
      </c>
      <c r="R2005" s="2">
        <v>-69.311999999999998</v>
      </c>
      <c r="S2005" t="s">
        <v>58</v>
      </c>
      <c r="T2005" s="10">
        <v>5</v>
      </c>
      <c r="U2005" t="s">
        <v>161</v>
      </c>
    </row>
    <row r="2006" spans="1:21" x14ac:dyDescent="0.2">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s="2">
        <v>103.48099999999999</v>
      </c>
      <c r="Q2006">
        <v>1</v>
      </c>
      <c r="R2006" s="2">
        <v>-16.261299999999999</v>
      </c>
      <c r="S2006" t="s">
        <v>83</v>
      </c>
      <c r="T2006" s="10">
        <v>4</v>
      </c>
      <c r="U2006" t="s">
        <v>253</v>
      </c>
    </row>
    <row r="2007" spans="1:21" x14ac:dyDescent="0.2">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s="2">
        <v>477.3</v>
      </c>
      <c r="Q2007">
        <v>5</v>
      </c>
      <c r="R2007" s="2">
        <v>138.417</v>
      </c>
      <c r="S2007" t="s">
        <v>47</v>
      </c>
      <c r="T2007" s="10">
        <v>7</v>
      </c>
      <c r="U2007" t="s">
        <v>161</v>
      </c>
    </row>
    <row r="2008" spans="1:21" x14ac:dyDescent="0.2">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s="2">
        <v>701.96</v>
      </c>
      <c r="Q2008">
        <v>2</v>
      </c>
      <c r="R2008" s="2">
        <v>168.47040000000001</v>
      </c>
      <c r="S2008" t="s">
        <v>58</v>
      </c>
      <c r="T2008" s="10">
        <v>5</v>
      </c>
      <c r="U2008" t="s">
        <v>34</v>
      </c>
    </row>
    <row r="2009" spans="1:21" x14ac:dyDescent="0.2">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s="2">
        <v>31.96</v>
      </c>
      <c r="Q2009">
        <v>2</v>
      </c>
      <c r="R2009" s="2">
        <v>1.5980000000000001</v>
      </c>
      <c r="S2009" t="s">
        <v>83</v>
      </c>
      <c r="T2009" s="10">
        <v>4</v>
      </c>
      <c r="U2009" t="s">
        <v>34</v>
      </c>
    </row>
    <row r="2010" spans="1:21" x14ac:dyDescent="0.2">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s="2">
        <v>166.5</v>
      </c>
      <c r="Q2010">
        <v>2</v>
      </c>
      <c r="R2010" s="2">
        <v>-66.599999999999994</v>
      </c>
      <c r="S2010" t="s">
        <v>58</v>
      </c>
      <c r="T2010" s="10">
        <v>5</v>
      </c>
      <c r="U2010" t="s">
        <v>34</v>
      </c>
    </row>
    <row r="2011" spans="1:21" x14ac:dyDescent="0.2">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s="2">
        <v>128.124</v>
      </c>
      <c r="Q2011">
        <v>2</v>
      </c>
      <c r="R2011" s="2">
        <v>24.2012</v>
      </c>
      <c r="S2011" t="s">
        <v>58</v>
      </c>
      <c r="T2011" s="10">
        <v>5</v>
      </c>
      <c r="U2011" t="s">
        <v>34</v>
      </c>
    </row>
    <row r="2012" spans="1:21" x14ac:dyDescent="0.2">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s="2">
        <v>101.4</v>
      </c>
      <c r="Q2012">
        <v>5</v>
      </c>
      <c r="R2012" s="2">
        <v>38.531999999999996</v>
      </c>
      <c r="S2012" t="s">
        <v>58</v>
      </c>
      <c r="T2012" s="10">
        <v>5</v>
      </c>
      <c r="U2012" t="s">
        <v>34</v>
      </c>
    </row>
    <row r="2013" spans="1:21" x14ac:dyDescent="0.2">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s="2">
        <v>51.56</v>
      </c>
      <c r="Q2013">
        <v>2</v>
      </c>
      <c r="R2013" s="2">
        <v>-61.872</v>
      </c>
      <c r="S2013" t="s">
        <v>58</v>
      </c>
      <c r="T2013" s="10">
        <v>5</v>
      </c>
      <c r="U2013" t="s">
        <v>161</v>
      </c>
    </row>
    <row r="2014" spans="1:21" x14ac:dyDescent="0.2">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s="2">
        <v>781.86400000000003</v>
      </c>
      <c r="Q2014">
        <v>10</v>
      </c>
      <c r="R2014" s="2">
        <v>-137.976</v>
      </c>
      <c r="S2014" t="s">
        <v>70</v>
      </c>
      <c r="T2014" s="10">
        <v>2</v>
      </c>
      <c r="U2014" t="s">
        <v>96</v>
      </c>
    </row>
    <row r="2015" spans="1:21" x14ac:dyDescent="0.2">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s="2">
        <v>673.34400000000005</v>
      </c>
      <c r="Q2015">
        <v>3</v>
      </c>
      <c r="R2015" s="2">
        <v>-76.953599999999994</v>
      </c>
      <c r="S2015" t="s">
        <v>430</v>
      </c>
      <c r="T2015" s="10">
        <v>0</v>
      </c>
      <c r="U2015" t="s">
        <v>48</v>
      </c>
    </row>
    <row r="2016" spans="1:21" x14ac:dyDescent="0.2">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s="2">
        <v>1592.85</v>
      </c>
      <c r="Q2016">
        <v>7</v>
      </c>
      <c r="R2016" s="2">
        <v>350.42700000000002</v>
      </c>
      <c r="S2016" t="s">
        <v>58</v>
      </c>
      <c r="T2016" s="10">
        <v>5</v>
      </c>
      <c r="U2016" t="s">
        <v>169</v>
      </c>
    </row>
    <row r="2017" spans="1:21" x14ac:dyDescent="0.2">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s="2">
        <v>26.94</v>
      </c>
      <c r="Q2017">
        <v>3</v>
      </c>
      <c r="R2017" s="2">
        <v>11.3148</v>
      </c>
      <c r="S2017" t="s">
        <v>83</v>
      </c>
      <c r="T2017" s="10">
        <v>4</v>
      </c>
      <c r="U2017" t="s">
        <v>161</v>
      </c>
    </row>
    <row r="2018" spans="1:21" x14ac:dyDescent="0.2">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s="2">
        <v>32.04</v>
      </c>
      <c r="Q2018">
        <v>3</v>
      </c>
      <c r="R2018" s="2">
        <v>8.01</v>
      </c>
      <c r="S2018" t="s">
        <v>83</v>
      </c>
      <c r="T2018" s="10">
        <v>4</v>
      </c>
      <c r="U2018" t="s">
        <v>34</v>
      </c>
    </row>
    <row r="2019" spans="1:21" x14ac:dyDescent="0.2">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s="2">
        <v>204.66640000000001</v>
      </c>
      <c r="Q2019">
        <v>1</v>
      </c>
      <c r="R2019" s="2">
        <v>-6.0195999999999996</v>
      </c>
      <c r="S2019" t="s">
        <v>83</v>
      </c>
      <c r="T2019" s="10">
        <v>4</v>
      </c>
      <c r="U2019" t="s">
        <v>161</v>
      </c>
    </row>
    <row r="2020" spans="1:21" x14ac:dyDescent="0.2">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s="2">
        <v>199.9</v>
      </c>
      <c r="Q2020">
        <v>5</v>
      </c>
      <c r="R2020" s="2">
        <v>39.979999999999997</v>
      </c>
      <c r="S2020" t="s">
        <v>123</v>
      </c>
      <c r="T2020" s="10">
        <v>1</v>
      </c>
      <c r="U2020" t="s">
        <v>96</v>
      </c>
    </row>
    <row r="2021" spans="1:21" x14ac:dyDescent="0.2">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s="2">
        <v>427.64400000000001</v>
      </c>
      <c r="Q2021">
        <v>14</v>
      </c>
      <c r="R2021" s="2">
        <v>80.777199999999993</v>
      </c>
      <c r="S2021" t="s">
        <v>83</v>
      </c>
      <c r="T2021" s="10">
        <v>4</v>
      </c>
      <c r="U2021" t="s">
        <v>48</v>
      </c>
    </row>
    <row r="2022" spans="1:21" x14ac:dyDescent="0.2">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s="2">
        <v>8.8559999999999999</v>
      </c>
      <c r="Q2022">
        <v>3</v>
      </c>
      <c r="R2022" s="2">
        <v>-6.8634000000000004</v>
      </c>
      <c r="S2022" t="s">
        <v>70</v>
      </c>
      <c r="T2022" s="10">
        <v>2</v>
      </c>
      <c r="U2022" t="s">
        <v>59</v>
      </c>
    </row>
    <row r="2023" spans="1:21" x14ac:dyDescent="0.2">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s="2">
        <v>477.666</v>
      </c>
      <c r="Q2023">
        <v>2</v>
      </c>
      <c r="R2023" s="2">
        <v>84.293999999999997</v>
      </c>
      <c r="S2023" t="s">
        <v>70</v>
      </c>
      <c r="T2023" s="10">
        <v>2</v>
      </c>
      <c r="U2023" t="s">
        <v>77</v>
      </c>
    </row>
    <row r="2024" spans="1:21" x14ac:dyDescent="0.2">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s="2">
        <v>191.96799999999999</v>
      </c>
      <c r="Q2024">
        <v>7</v>
      </c>
      <c r="R2024" s="2">
        <v>16.7972</v>
      </c>
      <c r="S2024" t="s">
        <v>58</v>
      </c>
      <c r="T2024" s="10">
        <v>5</v>
      </c>
      <c r="U2024" t="s">
        <v>161</v>
      </c>
    </row>
    <row r="2025" spans="1:21" x14ac:dyDescent="0.2">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s="2">
        <v>369.19920000000002</v>
      </c>
      <c r="Q2025">
        <v>3</v>
      </c>
      <c r="R2025" s="2">
        <v>-114.01739999999999</v>
      </c>
      <c r="S2025" t="s">
        <v>83</v>
      </c>
      <c r="T2025" s="10">
        <v>4</v>
      </c>
      <c r="U2025" t="s">
        <v>253</v>
      </c>
    </row>
    <row r="2026" spans="1:21" x14ac:dyDescent="0.2">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s="2">
        <v>68.432000000000002</v>
      </c>
      <c r="Q2026">
        <v>7</v>
      </c>
      <c r="R2026" s="2">
        <v>8.5540000000000003</v>
      </c>
      <c r="S2026" t="s">
        <v>58</v>
      </c>
      <c r="T2026" s="10">
        <v>5</v>
      </c>
      <c r="U2026" t="s">
        <v>77</v>
      </c>
    </row>
    <row r="2027" spans="1:21" x14ac:dyDescent="0.2">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s="2">
        <v>71.12</v>
      </c>
      <c r="Q2027">
        <v>5</v>
      </c>
      <c r="R2027" s="2">
        <v>9.7789999999999999</v>
      </c>
      <c r="S2027" t="s">
        <v>83</v>
      </c>
      <c r="T2027" s="10">
        <v>4</v>
      </c>
      <c r="U2027" t="s">
        <v>34</v>
      </c>
    </row>
    <row r="2028" spans="1:21" x14ac:dyDescent="0.2">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s="2">
        <v>5.3120000000000003</v>
      </c>
      <c r="Q2028">
        <v>2</v>
      </c>
      <c r="R2028" s="2">
        <v>-1.5935999999999999</v>
      </c>
      <c r="S2028" t="s">
        <v>70</v>
      </c>
      <c r="T2028" s="10">
        <v>2</v>
      </c>
      <c r="U2028" t="s">
        <v>48</v>
      </c>
    </row>
    <row r="2029" spans="1:21" x14ac:dyDescent="0.2">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s="2">
        <v>51.968000000000004</v>
      </c>
      <c r="Q2029">
        <v>2</v>
      </c>
      <c r="R2029" s="2">
        <v>10.393599999999999</v>
      </c>
      <c r="S2029" t="s">
        <v>70</v>
      </c>
      <c r="T2029" s="10">
        <v>2</v>
      </c>
      <c r="U2029" t="s">
        <v>161</v>
      </c>
    </row>
    <row r="2030" spans="1:21" x14ac:dyDescent="0.2">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s="2">
        <v>1125.4880000000001</v>
      </c>
      <c r="Q2030">
        <v>7</v>
      </c>
      <c r="R2030" s="2">
        <v>98.480199999999996</v>
      </c>
      <c r="S2030" t="s">
        <v>430</v>
      </c>
      <c r="T2030" s="10">
        <v>0</v>
      </c>
      <c r="U2030" t="s">
        <v>195</v>
      </c>
    </row>
    <row r="2031" spans="1:21" x14ac:dyDescent="0.2">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s="2">
        <v>31.56</v>
      </c>
      <c r="Q2031">
        <v>3</v>
      </c>
      <c r="R2031" s="2">
        <v>10.4148</v>
      </c>
      <c r="S2031" t="s">
        <v>430</v>
      </c>
      <c r="T2031" s="10">
        <v>0</v>
      </c>
      <c r="U2031" t="s">
        <v>253</v>
      </c>
    </row>
    <row r="2032" spans="1:21" x14ac:dyDescent="0.2">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s="2">
        <v>105.68600000000001</v>
      </c>
      <c r="Q2032">
        <v>1</v>
      </c>
      <c r="R2032" s="2">
        <v>-28.686199999999999</v>
      </c>
      <c r="S2032" t="s">
        <v>70</v>
      </c>
      <c r="T2032" s="10">
        <v>2</v>
      </c>
      <c r="U2032" t="s">
        <v>161</v>
      </c>
    </row>
    <row r="2033" spans="1:21" x14ac:dyDescent="0.2">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s="2">
        <v>104.93</v>
      </c>
      <c r="Q2033">
        <v>5</v>
      </c>
      <c r="R2033" s="2">
        <v>-4.4969999999999999</v>
      </c>
      <c r="S2033" t="s">
        <v>70</v>
      </c>
      <c r="T2033" s="10">
        <v>2</v>
      </c>
      <c r="U2033" t="s">
        <v>161</v>
      </c>
    </row>
    <row r="2034" spans="1:21" x14ac:dyDescent="0.2">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s="2">
        <v>589.41</v>
      </c>
      <c r="Q2034">
        <v>5</v>
      </c>
      <c r="R2034" s="2">
        <v>-6.5490000000000004</v>
      </c>
      <c r="S2034" t="s">
        <v>70</v>
      </c>
      <c r="T2034" s="10">
        <v>2</v>
      </c>
      <c r="U2034" t="s">
        <v>77</v>
      </c>
    </row>
    <row r="2035" spans="1:21" x14ac:dyDescent="0.2">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s="2">
        <v>400.78399999999999</v>
      </c>
      <c r="Q2035">
        <v>1</v>
      </c>
      <c r="R2035" s="2">
        <v>-5.0098000000000003</v>
      </c>
      <c r="S2035" t="s">
        <v>70</v>
      </c>
      <c r="T2035" s="10">
        <v>2</v>
      </c>
      <c r="U2035" t="s">
        <v>59</v>
      </c>
    </row>
    <row r="2036" spans="1:21" x14ac:dyDescent="0.2">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s="2">
        <v>24.7</v>
      </c>
      <c r="Q2036">
        <v>5</v>
      </c>
      <c r="R2036" s="2">
        <v>-9.8800000000000008</v>
      </c>
      <c r="S2036" t="s">
        <v>83</v>
      </c>
      <c r="T2036" s="10">
        <v>4</v>
      </c>
      <c r="U2036" t="s">
        <v>71</v>
      </c>
    </row>
    <row r="2037" spans="1:21" x14ac:dyDescent="0.2">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s="2">
        <v>302.72000000000003</v>
      </c>
      <c r="Q2037">
        <v>5</v>
      </c>
      <c r="R2037" s="2">
        <v>-378.4</v>
      </c>
      <c r="S2037" t="s">
        <v>83</v>
      </c>
      <c r="T2037" s="10">
        <v>4</v>
      </c>
      <c r="U2037" t="s">
        <v>71</v>
      </c>
    </row>
    <row r="2038" spans="1:21" x14ac:dyDescent="0.2">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s="2">
        <v>60.84</v>
      </c>
      <c r="Q2038">
        <v>3</v>
      </c>
      <c r="R2038" s="2">
        <v>19.468800000000002</v>
      </c>
      <c r="S2038" t="s">
        <v>83</v>
      </c>
      <c r="T2038" s="10">
        <v>4</v>
      </c>
      <c r="U2038" t="s">
        <v>77</v>
      </c>
    </row>
    <row r="2039" spans="1:21" x14ac:dyDescent="0.2">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s="2">
        <v>376.86599999999999</v>
      </c>
      <c r="Q2039">
        <v>3</v>
      </c>
      <c r="R2039" s="2">
        <v>-213.5574</v>
      </c>
      <c r="S2039" t="s">
        <v>129</v>
      </c>
      <c r="T2039" s="10">
        <v>6</v>
      </c>
      <c r="U2039" t="s">
        <v>59</v>
      </c>
    </row>
    <row r="2040" spans="1:21" x14ac:dyDescent="0.2">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s="2">
        <v>282.83999999999997</v>
      </c>
      <c r="Q2040">
        <v>4</v>
      </c>
      <c r="R2040" s="2">
        <v>19.7988</v>
      </c>
      <c r="S2040" t="s">
        <v>33</v>
      </c>
      <c r="T2040" s="10">
        <v>3</v>
      </c>
      <c r="U2040" t="s">
        <v>161</v>
      </c>
    </row>
    <row r="2041" spans="1:21" x14ac:dyDescent="0.2">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s="2">
        <v>307.31400000000002</v>
      </c>
      <c r="Q2041">
        <v>3</v>
      </c>
      <c r="R2041" s="2">
        <v>-39.511800000000001</v>
      </c>
      <c r="S2041" t="s">
        <v>123</v>
      </c>
      <c r="T2041" s="10">
        <v>1</v>
      </c>
      <c r="U2041" t="s">
        <v>59</v>
      </c>
    </row>
    <row r="2042" spans="1:21" x14ac:dyDescent="0.2">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s="2">
        <v>409.99919999999997</v>
      </c>
      <c r="Q2042">
        <v>3</v>
      </c>
      <c r="R2042" s="2">
        <v>-96.470399999999998</v>
      </c>
      <c r="S2042" t="s">
        <v>123</v>
      </c>
      <c r="T2042" s="10">
        <v>1</v>
      </c>
      <c r="U2042" t="s">
        <v>59</v>
      </c>
    </row>
    <row r="2043" spans="1:21" x14ac:dyDescent="0.2">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s="2">
        <v>1628.82</v>
      </c>
      <c r="Q2043">
        <v>9</v>
      </c>
      <c r="R2043" s="2">
        <v>260.6112</v>
      </c>
      <c r="S2043" t="s">
        <v>33</v>
      </c>
      <c r="T2043" s="10">
        <v>3</v>
      </c>
      <c r="U2043" t="s">
        <v>48</v>
      </c>
    </row>
    <row r="2044" spans="1:21" x14ac:dyDescent="0.2">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s="2">
        <v>137.54</v>
      </c>
      <c r="Q2044">
        <v>2</v>
      </c>
      <c r="R2044" s="2">
        <v>55.015999999999998</v>
      </c>
      <c r="S2044" t="s">
        <v>47</v>
      </c>
      <c r="T2044" s="10">
        <v>7</v>
      </c>
      <c r="U2044" t="s">
        <v>34</v>
      </c>
    </row>
    <row r="2045" spans="1:21" x14ac:dyDescent="0.2">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s="2">
        <v>730.2</v>
      </c>
      <c r="Q2045">
        <v>4</v>
      </c>
      <c r="R2045" s="2">
        <v>94.926000000000002</v>
      </c>
      <c r="S2045" t="s">
        <v>47</v>
      </c>
      <c r="T2045" s="10">
        <v>7</v>
      </c>
      <c r="U2045" t="s">
        <v>34</v>
      </c>
    </row>
    <row r="2046" spans="1:21" x14ac:dyDescent="0.2">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s="2">
        <v>4297.6440000000002</v>
      </c>
      <c r="Q2046">
        <v>13</v>
      </c>
      <c r="R2046" s="2">
        <v>-1862.3124</v>
      </c>
      <c r="S2046" t="s">
        <v>33</v>
      </c>
      <c r="T2046" s="10">
        <v>3</v>
      </c>
      <c r="U2046" t="s">
        <v>169</v>
      </c>
    </row>
    <row r="2047" spans="1:21" x14ac:dyDescent="0.2">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s="2">
        <v>436.70400000000001</v>
      </c>
      <c r="Q2047">
        <v>6</v>
      </c>
      <c r="R2047" s="2">
        <v>21.8352</v>
      </c>
      <c r="S2047" t="s">
        <v>58</v>
      </c>
      <c r="T2047" s="10">
        <v>5</v>
      </c>
      <c r="U2047" t="s">
        <v>195</v>
      </c>
    </row>
    <row r="2048" spans="1:21" x14ac:dyDescent="0.2">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s="2">
        <v>481.56799999999998</v>
      </c>
      <c r="Q2048">
        <v>2</v>
      </c>
      <c r="R2048" s="2">
        <v>54.176400000000001</v>
      </c>
      <c r="S2048" t="s">
        <v>58</v>
      </c>
      <c r="T2048" s="10">
        <v>5</v>
      </c>
      <c r="U2048" t="s">
        <v>195</v>
      </c>
    </row>
    <row r="2049" spans="1:21" x14ac:dyDescent="0.2">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s="2">
        <v>3406.6640000000002</v>
      </c>
      <c r="Q2049">
        <v>8</v>
      </c>
      <c r="R2049" s="2">
        <v>160.31360000000001</v>
      </c>
      <c r="S2049" t="s">
        <v>83</v>
      </c>
      <c r="T2049" s="10">
        <v>4</v>
      </c>
      <c r="U2049" t="s">
        <v>34</v>
      </c>
    </row>
    <row r="2050" spans="1:21" x14ac:dyDescent="0.2">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s="2">
        <v>595.38</v>
      </c>
      <c r="Q2050">
        <v>6</v>
      </c>
      <c r="R2050" s="2">
        <v>297.69</v>
      </c>
      <c r="S2050" t="s">
        <v>83</v>
      </c>
      <c r="T2050" s="10">
        <v>4</v>
      </c>
      <c r="U2050" t="s">
        <v>34</v>
      </c>
    </row>
    <row r="2051" spans="1:21" x14ac:dyDescent="0.2">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s="2">
        <v>97.44</v>
      </c>
      <c r="Q2051">
        <v>3</v>
      </c>
      <c r="R2051" s="2">
        <v>35.078400000000002</v>
      </c>
      <c r="S2051" t="s">
        <v>47</v>
      </c>
      <c r="T2051" s="10">
        <v>7</v>
      </c>
      <c r="U2051" t="s">
        <v>77</v>
      </c>
    </row>
    <row r="2052" spans="1:21" x14ac:dyDescent="0.2">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s="2">
        <v>579.52800000000002</v>
      </c>
      <c r="Q2052">
        <v>4</v>
      </c>
      <c r="R2052" s="2">
        <v>83.709599999999995</v>
      </c>
      <c r="S2052" t="s">
        <v>47</v>
      </c>
      <c r="T2052" s="10">
        <v>7</v>
      </c>
      <c r="U2052" t="s">
        <v>77</v>
      </c>
    </row>
    <row r="2053" spans="1:21" x14ac:dyDescent="0.2">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s="2">
        <v>119.94</v>
      </c>
      <c r="Q2053">
        <v>3</v>
      </c>
      <c r="R2053" s="2">
        <v>23.988</v>
      </c>
      <c r="S2053" t="s">
        <v>83</v>
      </c>
      <c r="T2053" s="10">
        <v>4</v>
      </c>
      <c r="U2053" t="s">
        <v>34</v>
      </c>
    </row>
    <row r="2054" spans="1:21" x14ac:dyDescent="0.2">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s="2">
        <v>12.42</v>
      </c>
      <c r="Q2054">
        <v>3</v>
      </c>
      <c r="R2054" s="2">
        <v>4.4711999999999996</v>
      </c>
      <c r="S2054" t="s">
        <v>83</v>
      </c>
      <c r="T2054" s="10">
        <v>4</v>
      </c>
      <c r="U2054" t="s">
        <v>34</v>
      </c>
    </row>
    <row r="2055" spans="1:21" x14ac:dyDescent="0.2">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s="2">
        <v>41.6</v>
      </c>
      <c r="Q2055">
        <v>4</v>
      </c>
      <c r="R2055" s="2">
        <v>14.144</v>
      </c>
      <c r="S2055" t="s">
        <v>83</v>
      </c>
      <c r="T2055" s="10">
        <v>4</v>
      </c>
      <c r="U2055" t="s">
        <v>161</v>
      </c>
    </row>
    <row r="2056" spans="1:21" x14ac:dyDescent="0.2">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s="2">
        <v>201.04</v>
      </c>
      <c r="Q2056">
        <v>8</v>
      </c>
      <c r="R2056" s="2">
        <v>54.280799999999999</v>
      </c>
      <c r="S2056" t="s">
        <v>58</v>
      </c>
      <c r="T2056" s="10">
        <v>5</v>
      </c>
      <c r="U2056" t="s">
        <v>96</v>
      </c>
    </row>
    <row r="2057" spans="1:21" x14ac:dyDescent="0.2">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s="2">
        <v>613.99919999999997</v>
      </c>
      <c r="Q2057">
        <v>3</v>
      </c>
      <c r="R2057" s="2">
        <v>-18.058800000000002</v>
      </c>
      <c r="S2057" t="s">
        <v>83</v>
      </c>
      <c r="T2057" s="10">
        <v>4</v>
      </c>
      <c r="U2057" t="s">
        <v>34</v>
      </c>
    </row>
    <row r="2058" spans="1:21" x14ac:dyDescent="0.2">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s="2">
        <v>30.335999999999999</v>
      </c>
      <c r="Q2058">
        <v>4</v>
      </c>
      <c r="R2058" s="2">
        <v>9.48</v>
      </c>
      <c r="S2058" t="s">
        <v>430</v>
      </c>
      <c r="T2058" s="10">
        <v>0</v>
      </c>
      <c r="U2058" t="s">
        <v>195</v>
      </c>
    </row>
    <row r="2059" spans="1:21" x14ac:dyDescent="0.2">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s="2">
        <v>242.136</v>
      </c>
      <c r="Q2059">
        <v>3</v>
      </c>
      <c r="R2059" s="2">
        <v>12.1068</v>
      </c>
      <c r="S2059" t="s">
        <v>129</v>
      </c>
      <c r="T2059" s="10">
        <v>6</v>
      </c>
      <c r="U2059" t="s">
        <v>48</v>
      </c>
    </row>
    <row r="2060" spans="1:21" x14ac:dyDescent="0.2">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s="2">
        <v>19.96</v>
      </c>
      <c r="Q2060">
        <v>2</v>
      </c>
      <c r="R2060" s="2">
        <v>5.5888</v>
      </c>
      <c r="S2060" t="s">
        <v>129</v>
      </c>
      <c r="T2060" s="10">
        <v>6</v>
      </c>
      <c r="U2060" t="s">
        <v>48</v>
      </c>
    </row>
    <row r="2061" spans="1:21" x14ac:dyDescent="0.2">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s="2">
        <v>273.56799999999998</v>
      </c>
      <c r="Q2061">
        <v>2</v>
      </c>
      <c r="R2061" s="2">
        <v>-34.195999999999998</v>
      </c>
      <c r="S2061" t="s">
        <v>58</v>
      </c>
      <c r="T2061" s="10">
        <v>5</v>
      </c>
      <c r="U2061" t="s">
        <v>34</v>
      </c>
    </row>
    <row r="2062" spans="1:21" x14ac:dyDescent="0.2">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s="2">
        <v>18.96</v>
      </c>
      <c r="Q2062">
        <v>2</v>
      </c>
      <c r="R2062" s="2">
        <v>7.5839999999999996</v>
      </c>
      <c r="S2062" t="s">
        <v>83</v>
      </c>
      <c r="T2062" s="10">
        <v>4</v>
      </c>
      <c r="U2062" t="s">
        <v>77</v>
      </c>
    </row>
    <row r="2063" spans="1:21" x14ac:dyDescent="0.2">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s="2">
        <v>326.64600000000002</v>
      </c>
      <c r="Q2063">
        <v>3</v>
      </c>
      <c r="R2063" s="2">
        <v>39.923400000000001</v>
      </c>
      <c r="S2063" t="s">
        <v>83</v>
      </c>
      <c r="T2063" s="10">
        <v>4</v>
      </c>
      <c r="U2063" t="s">
        <v>297</v>
      </c>
    </row>
    <row r="2064" spans="1:21" x14ac:dyDescent="0.2">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s="2">
        <v>500.24</v>
      </c>
      <c r="Q2064">
        <v>13</v>
      </c>
      <c r="R2064" s="2">
        <v>145.06960000000001</v>
      </c>
      <c r="S2064" t="s">
        <v>58</v>
      </c>
      <c r="T2064" s="10">
        <v>5</v>
      </c>
      <c r="U2064" t="s">
        <v>253</v>
      </c>
    </row>
    <row r="2065" spans="1:21" x14ac:dyDescent="0.2">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s="2">
        <v>4404.8999999999996</v>
      </c>
      <c r="Q2065">
        <v>5</v>
      </c>
      <c r="R2065" s="2">
        <v>1013.127</v>
      </c>
      <c r="S2065" t="s">
        <v>83</v>
      </c>
      <c r="T2065" s="10">
        <v>4</v>
      </c>
      <c r="U2065" t="s">
        <v>34</v>
      </c>
    </row>
    <row r="2066" spans="1:21" x14ac:dyDescent="0.2">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s="2">
        <v>364.08</v>
      </c>
      <c r="Q2066">
        <v>2</v>
      </c>
      <c r="R2066" s="2">
        <v>9.1020000000000003</v>
      </c>
      <c r="S2066" t="s">
        <v>430</v>
      </c>
      <c r="T2066" s="10">
        <v>0</v>
      </c>
      <c r="U2066" t="s">
        <v>34</v>
      </c>
    </row>
    <row r="2067" spans="1:21" x14ac:dyDescent="0.2">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s="2">
        <v>71.087999999999994</v>
      </c>
      <c r="Q2067">
        <v>2</v>
      </c>
      <c r="R2067" s="2">
        <v>-1.7771999999999999</v>
      </c>
      <c r="S2067" t="s">
        <v>430</v>
      </c>
      <c r="T2067" s="10">
        <v>0</v>
      </c>
      <c r="U2067" t="s">
        <v>34</v>
      </c>
    </row>
    <row r="2068" spans="1:21" x14ac:dyDescent="0.2">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s="2">
        <v>10.984</v>
      </c>
      <c r="Q2068">
        <v>2</v>
      </c>
      <c r="R2068" s="2">
        <v>-7.9634</v>
      </c>
      <c r="S2068" t="s">
        <v>83</v>
      </c>
      <c r="T2068" s="10">
        <v>4</v>
      </c>
      <c r="U2068" t="s">
        <v>34</v>
      </c>
    </row>
    <row r="2069" spans="1:21" x14ac:dyDescent="0.2">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s="2">
        <v>797.94399999999996</v>
      </c>
      <c r="Q2069">
        <v>4</v>
      </c>
      <c r="R2069" s="2">
        <v>-56.996000000000002</v>
      </c>
      <c r="S2069" t="s">
        <v>83</v>
      </c>
      <c r="T2069" s="10">
        <v>4</v>
      </c>
      <c r="U2069" t="s">
        <v>34</v>
      </c>
    </row>
    <row r="2070" spans="1:21" x14ac:dyDescent="0.2">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s="2">
        <v>292.10000000000002</v>
      </c>
      <c r="Q2070">
        <v>2</v>
      </c>
      <c r="R2070" s="2">
        <v>58.42</v>
      </c>
      <c r="S2070" t="s">
        <v>70</v>
      </c>
      <c r="T2070" s="10">
        <v>2</v>
      </c>
      <c r="U2070" t="s">
        <v>195</v>
      </c>
    </row>
    <row r="2071" spans="1:21" x14ac:dyDescent="0.2">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s="2">
        <v>1403.92</v>
      </c>
      <c r="Q2071">
        <v>5</v>
      </c>
      <c r="R2071" s="2">
        <v>70.195999999999998</v>
      </c>
      <c r="S2071" t="s">
        <v>58</v>
      </c>
      <c r="T2071" s="10">
        <v>5</v>
      </c>
      <c r="U2071" t="s">
        <v>48</v>
      </c>
    </row>
    <row r="2072" spans="1:21" x14ac:dyDescent="0.2">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s="2">
        <v>339.92</v>
      </c>
      <c r="Q2072">
        <v>5</v>
      </c>
      <c r="R2072" s="2">
        <v>8.4979999999999993</v>
      </c>
      <c r="S2072" t="s">
        <v>129</v>
      </c>
      <c r="T2072" s="10">
        <v>6</v>
      </c>
      <c r="U2072" t="s">
        <v>34</v>
      </c>
    </row>
    <row r="2073" spans="1:21" x14ac:dyDescent="0.2">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s="2">
        <v>17.495999999999999</v>
      </c>
      <c r="Q2073">
        <v>3</v>
      </c>
      <c r="R2073" s="2">
        <v>-10.0602</v>
      </c>
      <c r="S2073" t="s">
        <v>83</v>
      </c>
      <c r="T2073" s="10">
        <v>4</v>
      </c>
      <c r="U2073" t="s">
        <v>71</v>
      </c>
    </row>
    <row r="2074" spans="1:21" x14ac:dyDescent="0.2">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s="2">
        <v>8.2799999999999994</v>
      </c>
      <c r="Q2074">
        <v>2</v>
      </c>
      <c r="R2074" s="2">
        <v>2.9807999999999999</v>
      </c>
      <c r="S2074" t="s">
        <v>70</v>
      </c>
      <c r="T2074" s="10">
        <v>2</v>
      </c>
      <c r="U2074" t="s">
        <v>161</v>
      </c>
    </row>
    <row r="2075" spans="1:21" x14ac:dyDescent="0.2">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s="2">
        <v>149.9</v>
      </c>
      <c r="Q2075">
        <v>5</v>
      </c>
      <c r="R2075" s="2">
        <v>40.472999999999999</v>
      </c>
      <c r="S2075" t="s">
        <v>430</v>
      </c>
      <c r="T2075" s="10">
        <v>0</v>
      </c>
      <c r="U2075" t="s">
        <v>34</v>
      </c>
    </row>
    <row r="2076" spans="1:21" x14ac:dyDescent="0.2">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s="2">
        <v>1023.332</v>
      </c>
      <c r="Q2076">
        <v>5</v>
      </c>
      <c r="R2076" s="2">
        <v>-30.097999999999999</v>
      </c>
      <c r="S2076" t="s">
        <v>58</v>
      </c>
      <c r="T2076" s="10">
        <v>5</v>
      </c>
      <c r="U2076" t="s">
        <v>195</v>
      </c>
    </row>
    <row r="2077" spans="1:21" x14ac:dyDescent="0.2">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s="2">
        <v>600.55799999999999</v>
      </c>
      <c r="Q2077">
        <v>3</v>
      </c>
      <c r="R2077" s="2">
        <v>-8.5793999999999997</v>
      </c>
      <c r="S2077" t="s">
        <v>58</v>
      </c>
      <c r="T2077" s="10">
        <v>5</v>
      </c>
      <c r="U2077" t="s">
        <v>195</v>
      </c>
    </row>
    <row r="2078" spans="1:21" x14ac:dyDescent="0.2">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s="2">
        <v>211.24600000000001</v>
      </c>
      <c r="Q2078">
        <v>2</v>
      </c>
      <c r="R2078" s="2">
        <v>-66.391599999999997</v>
      </c>
      <c r="S2078" t="s">
        <v>58</v>
      </c>
      <c r="T2078" s="10">
        <v>5</v>
      </c>
      <c r="U2078" t="s">
        <v>195</v>
      </c>
    </row>
    <row r="2079" spans="1:21" x14ac:dyDescent="0.2">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s="2">
        <v>107.77200000000001</v>
      </c>
      <c r="Q2079">
        <v>2</v>
      </c>
      <c r="R2079" s="2">
        <v>-29.252400000000002</v>
      </c>
      <c r="S2079" t="s">
        <v>70</v>
      </c>
      <c r="T2079" s="10">
        <v>2</v>
      </c>
      <c r="U2079" t="s">
        <v>161</v>
      </c>
    </row>
    <row r="2080" spans="1:21" x14ac:dyDescent="0.2">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s="2">
        <v>7.38</v>
      </c>
      <c r="Q2080">
        <v>1</v>
      </c>
      <c r="R2080" s="2">
        <v>2.1402000000000001</v>
      </c>
      <c r="S2080" t="s">
        <v>70</v>
      </c>
      <c r="T2080" s="10">
        <v>2</v>
      </c>
      <c r="U2080" t="s">
        <v>71</v>
      </c>
    </row>
    <row r="2081" spans="1:21" x14ac:dyDescent="0.2">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s="2">
        <v>45.567999999999998</v>
      </c>
      <c r="Q2081">
        <v>2</v>
      </c>
      <c r="R2081" s="2">
        <v>9.6831999999999994</v>
      </c>
      <c r="S2081" t="s">
        <v>58</v>
      </c>
      <c r="T2081" s="10">
        <v>5</v>
      </c>
      <c r="U2081" t="s">
        <v>48</v>
      </c>
    </row>
    <row r="2082" spans="1:21" x14ac:dyDescent="0.2">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s="2">
        <v>194.84800000000001</v>
      </c>
      <c r="Q2082">
        <v>4</v>
      </c>
      <c r="R2082" s="2">
        <v>12.178000000000001</v>
      </c>
      <c r="S2082" t="s">
        <v>58</v>
      </c>
      <c r="T2082" s="10">
        <v>5</v>
      </c>
      <c r="U2082" t="s">
        <v>71</v>
      </c>
    </row>
    <row r="2083" spans="1:21" x14ac:dyDescent="0.2">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s="2">
        <v>173.208</v>
      </c>
      <c r="Q2083">
        <v>7</v>
      </c>
      <c r="R2083" s="2">
        <v>45.467100000000002</v>
      </c>
      <c r="S2083" t="s">
        <v>83</v>
      </c>
      <c r="T2083" s="10">
        <v>4</v>
      </c>
      <c r="U2083" t="s">
        <v>59</v>
      </c>
    </row>
    <row r="2084" spans="1:21" x14ac:dyDescent="0.2">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s="2">
        <v>195.136</v>
      </c>
      <c r="Q2084">
        <v>4</v>
      </c>
      <c r="R2084" s="2">
        <v>-12.196</v>
      </c>
      <c r="S2084" t="s">
        <v>83</v>
      </c>
      <c r="T2084" s="10">
        <v>4</v>
      </c>
      <c r="U2084" t="s">
        <v>253</v>
      </c>
    </row>
    <row r="2085" spans="1:21" x14ac:dyDescent="0.2">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s="2">
        <v>242.352</v>
      </c>
      <c r="Q2085">
        <v>3</v>
      </c>
      <c r="R2085" s="2">
        <v>15.147</v>
      </c>
      <c r="S2085" t="s">
        <v>47</v>
      </c>
      <c r="T2085" s="10">
        <v>7</v>
      </c>
      <c r="U2085" t="s">
        <v>71</v>
      </c>
    </row>
    <row r="2086" spans="1:21" x14ac:dyDescent="0.2">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s="2">
        <v>8.6240000000000006</v>
      </c>
      <c r="Q2086">
        <v>7</v>
      </c>
      <c r="R2086" s="2">
        <v>-2.5872000000000002</v>
      </c>
      <c r="S2086" t="s">
        <v>70</v>
      </c>
      <c r="T2086" s="10">
        <v>2</v>
      </c>
      <c r="U2086" t="s">
        <v>96</v>
      </c>
    </row>
    <row r="2087" spans="1:21" x14ac:dyDescent="0.2">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s="2">
        <v>14</v>
      </c>
      <c r="Q2087">
        <v>4</v>
      </c>
      <c r="R2087" s="2">
        <v>-6.3</v>
      </c>
      <c r="S2087" t="s">
        <v>70</v>
      </c>
      <c r="T2087" s="10">
        <v>2</v>
      </c>
      <c r="U2087" t="s">
        <v>48</v>
      </c>
    </row>
    <row r="2088" spans="1:21" x14ac:dyDescent="0.2">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s="2">
        <v>483.13600000000002</v>
      </c>
      <c r="Q2088">
        <v>4</v>
      </c>
      <c r="R2088" s="2">
        <v>60.392000000000003</v>
      </c>
      <c r="S2088" t="s">
        <v>129</v>
      </c>
      <c r="T2088" s="10">
        <v>6</v>
      </c>
      <c r="U2088" t="s">
        <v>77</v>
      </c>
    </row>
    <row r="2089" spans="1:21" x14ac:dyDescent="0.2">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s="2">
        <v>61.543999999999997</v>
      </c>
      <c r="Q2089">
        <v>7</v>
      </c>
      <c r="R2089" s="2">
        <v>-40.003599999999999</v>
      </c>
      <c r="S2089" t="s">
        <v>33</v>
      </c>
      <c r="T2089" s="10">
        <v>3</v>
      </c>
      <c r="U2089" t="s">
        <v>59</v>
      </c>
    </row>
    <row r="2090" spans="1:21" x14ac:dyDescent="0.2">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s="2">
        <v>511.5</v>
      </c>
      <c r="Q2090">
        <v>5</v>
      </c>
      <c r="R2090" s="2">
        <v>132.99</v>
      </c>
      <c r="S2090" t="s">
        <v>70</v>
      </c>
      <c r="T2090" s="10">
        <v>2</v>
      </c>
      <c r="U2090" t="s">
        <v>77</v>
      </c>
    </row>
    <row r="2091" spans="1:21" x14ac:dyDescent="0.2">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s="2">
        <v>12.56</v>
      </c>
      <c r="Q2091">
        <v>2</v>
      </c>
      <c r="R2091" s="2">
        <v>4.0191999999999997</v>
      </c>
      <c r="S2091" t="s">
        <v>83</v>
      </c>
      <c r="T2091" s="10">
        <v>4</v>
      </c>
      <c r="U2091" t="s">
        <v>161</v>
      </c>
    </row>
    <row r="2092" spans="1:21" x14ac:dyDescent="0.2">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s="2">
        <v>214.7</v>
      </c>
      <c r="Q2092">
        <v>5</v>
      </c>
      <c r="R2092" s="2">
        <v>83.733000000000004</v>
      </c>
      <c r="S2092" t="s">
        <v>83</v>
      </c>
      <c r="T2092" s="10">
        <v>4</v>
      </c>
      <c r="U2092" t="s">
        <v>161</v>
      </c>
    </row>
    <row r="2093" spans="1:21" x14ac:dyDescent="0.2">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s="2">
        <v>50.32</v>
      </c>
      <c r="Q2093">
        <v>4</v>
      </c>
      <c r="R2093" s="2">
        <v>21.134399999999999</v>
      </c>
      <c r="S2093" t="s">
        <v>83</v>
      </c>
      <c r="T2093" s="10">
        <v>4</v>
      </c>
      <c r="U2093" t="s">
        <v>59</v>
      </c>
    </row>
    <row r="2094" spans="1:21" x14ac:dyDescent="0.2">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s="2">
        <v>3393.68</v>
      </c>
      <c r="Q2094">
        <v>8</v>
      </c>
      <c r="R2094" s="2">
        <v>610.86239999999998</v>
      </c>
      <c r="S2094" t="s">
        <v>83</v>
      </c>
      <c r="T2094" s="10">
        <v>4</v>
      </c>
      <c r="U2094" t="s">
        <v>195</v>
      </c>
    </row>
    <row r="2095" spans="1:21" x14ac:dyDescent="0.2">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s="2">
        <v>18.96</v>
      </c>
      <c r="Q2095">
        <v>2</v>
      </c>
      <c r="R2095" s="2">
        <v>8.532</v>
      </c>
      <c r="S2095" t="s">
        <v>129</v>
      </c>
      <c r="T2095" s="10">
        <v>6</v>
      </c>
      <c r="U2095" t="s">
        <v>169</v>
      </c>
    </row>
    <row r="2096" spans="1:21" x14ac:dyDescent="0.2">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s="2">
        <v>68.703999999999994</v>
      </c>
      <c r="Q2096">
        <v>2</v>
      </c>
      <c r="R2096" s="2">
        <v>16.3172</v>
      </c>
      <c r="S2096" t="s">
        <v>70</v>
      </c>
      <c r="T2096" s="10">
        <v>2</v>
      </c>
      <c r="U2096" t="s">
        <v>34</v>
      </c>
    </row>
    <row r="2097" spans="1:21" x14ac:dyDescent="0.2">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s="2">
        <v>573.17399999999998</v>
      </c>
      <c r="Q2097">
        <v>7</v>
      </c>
      <c r="R2097" s="2">
        <v>63.686</v>
      </c>
      <c r="S2097" t="s">
        <v>83</v>
      </c>
      <c r="T2097" s="10">
        <v>4</v>
      </c>
      <c r="U2097" t="s">
        <v>253</v>
      </c>
    </row>
    <row r="2098" spans="1:21" x14ac:dyDescent="0.2">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s="2">
        <v>403.56</v>
      </c>
      <c r="Q2098">
        <v>4</v>
      </c>
      <c r="R2098" s="2">
        <v>96.854399999999998</v>
      </c>
      <c r="S2098" t="s">
        <v>33</v>
      </c>
      <c r="T2098" s="10">
        <v>3</v>
      </c>
      <c r="U2098" t="s">
        <v>71</v>
      </c>
    </row>
    <row r="2099" spans="1:21" x14ac:dyDescent="0.2">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s="2">
        <v>95.2</v>
      </c>
      <c r="Q2099">
        <v>5</v>
      </c>
      <c r="R2099" s="2">
        <v>27.608000000000001</v>
      </c>
      <c r="S2099" t="s">
        <v>33</v>
      </c>
      <c r="T2099" s="10">
        <v>3</v>
      </c>
      <c r="U2099" t="s">
        <v>71</v>
      </c>
    </row>
    <row r="2100" spans="1:21" x14ac:dyDescent="0.2">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s="2">
        <v>466.32</v>
      </c>
      <c r="Q2100">
        <v>3</v>
      </c>
      <c r="R2100" s="2">
        <v>34.973999999999997</v>
      </c>
      <c r="S2100" t="s">
        <v>83</v>
      </c>
      <c r="T2100" s="10">
        <v>4</v>
      </c>
      <c r="U2100" t="s">
        <v>59</v>
      </c>
    </row>
    <row r="2101" spans="1:21" x14ac:dyDescent="0.2">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s="2">
        <v>82.64</v>
      </c>
      <c r="Q2101">
        <v>2</v>
      </c>
      <c r="R2101" s="2">
        <v>0</v>
      </c>
      <c r="S2101" t="s">
        <v>83</v>
      </c>
      <c r="T2101" s="10">
        <v>4</v>
      </c>
      <c r="U2101" t="s">
        <v>59</v>
      </c>
    </row>
    <row r="2102" spans="1:21" x14ac:dyDescent="0.2">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s="2">
        <v>330.58800000000002</v>
      </c>
      <c r="Q2102">
        <v>1</v>
      </c>
      <c r="R2102" s="2">
        <v>-143.25479999999999</v>
      </c>
      <c r="S2102" t="s">
        <v>129</v>
      </c>
      <c r="T2102" s="10">
        <v>6</v>
      </c>
      <c r="U2102" t="s">
        <v>195</v>
      </c>
    </row>
    <row r="2103" spans="1:21" x14ac:dyDescent="0.2">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s="2">
        <v>22.751999999999999</v>
      </c>
      <c r="Q2103">
        <v>3</v>
      </c>
      <c r="R2103" s="2">
        <v>7.11</v>
      </c>
      <c r="S2103" t="s">
        <v>83</v>
      </c>
      <c r="T2103" s="10">
        <v>4</v>
      </c>
      <c r="U2103" t="s">
        <v>253</v>
      </c>
    </row>
    <row r="2104" spans="1:21" x14ac:dyDescent="0.2">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s="2">
        <v>25.128</v>
      </c>
      <c r="Q2104">
        <v>3</v>
      </c>
      <c r="R2104" s="2">
        <v>-6.9101999999999997</v>
      </c>
      <c r="S2104" t="s">
        <v>129</v>
      </c>
      <c r="T2104" s="10">
        <v>6</v>
      </c>
      <c r="U2104" t="s">
        <v>34</v>
      </c>
    </row>
    <row r="2105" spans="1:21" x14ac:dyDescent="0.2">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s="2">
        <v>131.88</v>
      </c>
      <c r="Q2105">
        <v>7</v>
      </c>
      <c r="R2105" s="2">
        <v>55.389600000000002</v>
      </c>
      <c r="S2105" t="s">
        <v>70</v>
      </c>
      <c r="T2105" s="10">
        <v>2</v>
      </c>
      <c r="U2105" t="s">
        <v>77</v>
      </c>
    </row>
    <row r="2106" spans="1:21" x14ac:dyDescent="0.2">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s="2">
        <v>717.72</v>
      </c>
      <c r="Q2106">
        <v>3</v>
      </c>
      <c r="R2106" s="2">
        <v>71.772000000000006</v>
      </c>
      <c r="S2106" t="s">
        <v>70</v>
      </c>
      <c r="T2106" s="10">
        <v>2</v>
      </c>
      <c r="U2106" t="s">
        <v>77</v>
      </c>
    </row>
    <row r="2107" spans="1:21" x14ac:dyDescent="0.2">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s="2">
        <v>207.35</v>
      </c>
      <c r="Q2107">
        <v>5</v>
      </c>
      <c r="R2107" s="2">
        <v>24.882000000000001</v>
      </c>
      <c r="S2107" t="s">
        <v>70</v>
      </c>
      <c r="T2107" s="10">
        <v>2</v>
      </c>
      <c r="U2107" t="s">
        <v>77</v>
      </c>
    </row>
    <row r="2108" spans="1:21" x14ac:dyDescent="0.2">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s="2">
        <v>44.67</v>
      </c>
      <c r="Q2108">
        <v>3</v>
      </c>
      <c r="R2108" s="2">
        <v>12.0609</v>
      </c>
      <c r="S2108" t="s">
        <v>70</v>
      </c>
      <c r="T2108" s="10">
        <v>2</v>
      </c>
      <c r="U2108" t="s">
        <v>77</v>
      </c>
    </row>
    <row r="2109" spans="1:21" x14ac:dyDescent="0.2">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s="2">
        <v>362.13600000000002</v>
      </c>
      <c r="Q2109">
        <v>3</v>
      </c>
      <c r="R2109" s="2">
        <v>-54.320399999999999</v>
      </c>
      <c r="S2109" t="s">
        <v>70</v>
      </c>
      <c r="T2109" s="10">
        <v>2</v>
      </c>
      <c r="U2109" t="s">
        <v>48</v>
      </c>
    </row>
    <row r="2110" spans="1:21" x14ac:dyDescent="0.2">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s="2">
        <v>14.91</v>
      </c>
      <c r="Q2110">
        <v>3</v>
      </c>
      <c r="R2110" s="2">
        <v>4.6220999999999997</v>
      </c>
      <c r="S2110" t="s">
        <v>70</v>
      </c>
      <c r="T2110" s="10">
        <v>2</v>
      </c>
      <c r="U2110" t="s">
        <v>169</v>
      </c>
    </row>
    <row r="2111" spans="1:21" x14ac:dyDescent="0.2">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s="2">
        <v>528.42999999999995</v>
      </c>
      <c r="Q2111">
        <v>5</v>
      </c>
      <c r="R2111" s="2">
        <v>-143.43100000000001</v>
      </c>
      <c r="S2111" t="s">
        <v>83</v>
      </c>
      <c r="T2111" s="10">
        <v>4</v>
      </c>
      <c r="U2111" t="s">
        <v>195</v>
      </c>
    </row>
    <row r="2112" spans="1:21" x14ac:dyDescent="0.2">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s="2">
        <v>24.27</v>
      </c>
      <c r="Q2112">
        <v>3</v>
      </c>
      <c r="R2112" s="2">
        <v>8.7371999999999996</v>
      </c>
      <c r="S2112" t="s">
        <v>430</v>
      </c>
      <c r="T2112" s="10">
        <v>0</v>
      </c>
      <c r="U2112" t="s">
        <v>77</v>
      </c>
    </row>
    <row r="2113" spans="1:21" x14ac:dyDescent="0.2">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s="2">
        <v>683.33199999999999</v>
      </c>
      <c r="Q2113">
        <v>4</v>
      </c>
      <c r="R2113" s="2">
        <v>-40.195999999999998</v>
      </c>
      <c r="S2113" t="s">
        <v>83</v>
      </c>
      <c r="T2113" s="10">
        <v>4</v>
      </c>
      <c r="U2113" t="s">
        <v>34</v>
      </c>
    </row>
    <row r="2114" spans="1:21" x14ac:dyDescent="0.2">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s="2">
        <v>71.087999999999994</v>
      </c>
      <c r="Q2114">
        <v>2</v>
      </c>
      <c r="R2114" s="2">
        <v>-1.7771999999999999</v>
      </c>
      <c r="S2114" t="s">
        <v>33</v>
      </c>
      <c r="T2114" s="10">
        <v>3</v>
      </c>
      <c r="U2114" t="s">
        <v>59</v>
      </c>
    </row>
    <row r="2115" spans="1:21" x14ac:dyDescent="0.2">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s="2">
        <v>60.35</v>
      </c>
      <c r="Q2115">
        <v>5</v>
      </c>
      <c r="R2115" s="2">
        <v>19.915500000000002</v>
      </c>
      <c r="S2115" t="s">
        <v>58</v>
      </c>
      <c r="T2115" s="10">
        <v>5</v>
      </c>
      <c r="U2115" t="s">
        <v>96</v>
      </c>
    </row>
    <row r="2116" spans="1:21" x14ac:dyDescent="0.2">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s="2">
        <v>1925.88</v>
      </c>
      <c r="Q2116">
        <v>6</v>
      </c>
      <c r="R2116" s="2">
        <v>539.24639999999999</v>
      </c>
      <c r="S2116" t="s">
        <v>70</v>
      </c>
      <c r="T2116" s="10">
        <v>2</v>
      </c>
      <c r="U2116" t="s">
        <v>59</v>
      </c>
    </row>
    <row r="2117" spans="1:21" x14ac:dyDescent="0.2">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s="2">
        <v>273.56799999999998</v>
      </c>
      <c r="Q2117">
        <v>2</v>
      </c>
      <c r="R2117" s="2">
        <v>10.258800000000001</v>
      </c>
      <c r="S2117" t="s">
        <v>70</v>
      </c>
      <c r="T2117" s="10">
        <v>2</v>
      </c>
      <c r="U2117" t="s">
        <v>96</v>
      </c>
    </row>
    <row r="2118" spans="1:21" x14ac:dyDescent="0.2">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s="2">
        <v>383.46559999999999</v>
      </c>
      <c r="Q2118">
        <v>4</v>
      </c>
      <c r="R2118" s="2">
        <v>-67.670400000000001</v>
      </c>
      <c r="S2118" t="s">
        <v>33</v>
      </c>
      <c r="T2118" s="10">
        <v>3</v>
      </c>
      <c r="U2118" t="s">
        <v>195</v>
      </c>
    </row>
    <row r="2119" spans="1:21" x14ac:dyDescent="0.2">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s="2">
        <v>13.4</v>
      </c>
      <c r="Q2119">
        <v>1</v>
      </c>
      <c r="R2119" s="2">
        <v>6.4320000000000004</v>
      </c>
      <c r="S2119" t="s">
        <v>58</v>
      </c>
      <c r="T2119" s="10">
        <v>5</v>
      </c>
      <c r="U2119" t="s">
        <v>96</v>
      </c>
    </row>
    <row r="2120" spans="1:21" x14ac:dyDescent="0.2">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s="2">
        <v>85.98</v>
      </c>
      <c r="Q2120">
        <v>1</v>
      </c>
      <c r="R2120" s="2">
        <v>22.354800000000001</v>
      </c>
      <c r="S2120" t="s">
        <v>33</v>
      </c>
      <c r="T2120" s="10">
        <v>3</v>
      </c>
      <c r="U2120" t="s">
        <v>77</v>
      </c>
    </row>
    <row r="2121" spans="1:21" x14ac:dyDescent="0.2">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s="2">
        <v>25.248000000000001</v>
      </c>
      <c r="Q2121">
        <v>3</v>
      </c>
      <c r="R2121" s="2">
        <v>4.1028000000000002</v>
      </c>
      <c r="S2121" t="s">
        <v>70</v>
      </c>
      <c r="T2121" s="10">
        <v>2</v>
      </c>
      <c r="U2121" t="s">
        <v>169</v>
      </c>
    </row>
    <row r="2122" spans="1:21" x14ac:dyDescent="0.2">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s="2">
        <v>91.96</v>
      </c>
      <c r="Q2122">
        <v>2</v>
      </c>
      <c r="R2122" s="2">
        <v>15.6332</v>
      </c>
      <c r="S2122" t="s">
        <v>58</v>
      </c>
      <c r="T2122" s="10">
        <v>5</v>
      </c>
      <c r="U2122" t="s">
        <v>297</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9C7A-8B33-4ACB-B687-89C8BDE8FB26}">
  <sheetPr>
    <tabColor theme="7"/>
  </sheetPr>
  <dimension ref="A1:T2122"/>
  <sheetViews>
    <sheetView workbookViewId="0">
      <selection activeCell="Y16" sqref="Y16"/>
    </sheetView>
  </sheetViews>
  <sheetFormatPr defaultRowHeight="15" x14ac:dyDescent="0.2"/>
  <cols>
    <col min="1" max="1" width="14.66015625" bestFit="1" customWidth="1"/>
    <col min="2" max="2" width="12.23828125" bestFit="1" customWidth="1"/>
    <col min="3" max="3" width="11.296875" bestFit="1" customWidth="1"/>
    <col min="4" max="4" width="12.64453125" bestFit="1" customWidth="1"/>
    <col min="5" max="5" width="13.5859375" bestFit="1" customWidth="1"/>
    <col min="6" max="6" width="20.4453125" bestFit="1" customWidth="1"/>
    <col min="7" max="7" width="11.296875" bestFit="1" customWidth="1"/>
    <col min="8" max="8" width="11.8359375" bestFit="1" customWidth="1"/>
    <col min="9" max="9" width="15.33203125" bestFit="1" customWidth="1"/>
    <col min="10" max="10" width="17.21875" bestFit="1" customWidth="1"/>
    <col min="11" max="11" width="9.01171875" bestFit="1" customWidth="1"/>
    <col min="12" max="12" width="16.27734375" bestFit="1" customWidth="1"/>
    <col min="13" max="13" width="10.76171875" bestFit="1" customWidth="1"/>
    <col min="14" max="14" width="14.66015625" bestFit="1" customWidth="1"/>
    <col min="15" max="15" width="78.29296875" bestFit="1" customWidth="1"/>
    <col min="16" max="16" width="9.953125" bestFit="1" customWidth="1"/>
    <col min="17" max="17" width="10.625" bestFit="1" customWidth="1"/>
    <col min="18" max="18" width="10.76171875" bestFit="1" customWidth="1"/>
    <col min="19" max="19" width="10.625" style="9" bestFit="1" customWidth="1"/>
    <col min="20" max="20" width="13.44921875"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9" t="s">
        <v>18</v>
      </c>
      <c r="T1" t="s">
        <v>19</v>
      </c>
    </row>
    <row r="2" spans="1:20" x14ac:dyDescent="0.2">
      <c r="A2" t="s">
        <v>20</v>
      </c>
      <c r="B2" s="1">
        <v>42682</v>
      </c>
      <c r="C2" s="1">
        <v>42685</v>
      </c>
      <c r="D2" t="s">
        <v>21</v>
      </c>
      <c r="E2" t="s">
        <v>22</v>
      </c>
      <c r="F2" t="s">
        <v>23</v>
      </c>
      <c r="G2" t="s">
        <v>24</v>
      </c>
      <c r="H2" t="s">
        <v>25</v>
      </c>
      <c r="I2" t="s">
        <v>26</v>
      </c>
      <c r="J2" t="s">
        <v>27</v>
      </c>
      <c r="K2" t="s">
        <v>28</v>
      </c>
      <c r="L2" t="s">
        <v>29</v>
      </c>
      <c r="M2" t="s">
        <v>30</v>
      </c>
      <c r="N2" t="s">
        <v>31</v>
      </c>
      <c r="O2" t="s">
        <v>32</v>
      </c>
      <c r="P2">
        <v>261.95999999999998</v>
      </c>
      <c r="Q2">
        <v>2</v>
      </c>
      <c r="R2">
        <v>41.913600000000002</v>
      </c>
      <c r="S2" s="9" t="s">
        <v>33</v>
      </c>
      <c r="T2" t="s">
        <v>34</v>
      </c>
    </row>
    <row r="3" spans="1:20" x14ac:dyDescent="0.2">
      <c r="A3" t="s">
        <v>20</v>
      </c>
      <c r="B3" s="1">
        <v>42682</v>
      </c>
      <c r="C3" s="1">
        <v>42685</v>
      </c>
      <c r="D3" t="s">
        <v>21</v>
      </c>
      <c r="E3" t="s">
        <v>22</v>
      </c>
      <c r="F3" t="s">
        <v>23</v>
      </c>
      <c r="G3" t="s">
        <v>24</v>
      </c>
      <c r="H3" t="s">
        <v>25</v>
      </c>
      <c r="I3" t="s">
        <v>26</v>
      </c>
      <c r="J3" t="s">
        <v>27</v>
      </c>
      <c r="K3" t="s">
        <v>28</v>
      </c>
      <c r="L3" t="s">
        <v>35</v>
      </c>
      <c r="M3" t="s">
        <v>30</v>
      </c>
      <c r="N3" t="s">
        <v>36</v>
      </c>
      <c r="O3" t="s">
        <v>37</v>
      </c>
      <c r="P3">
        <v>731.94</v>
      </c>
      <c r="Q3">
        <v>3</v>
      </c>
      <c r="R3">
        <v>219.58199999999999</v>
      </c>
      <c r="S3" s="9" t="s">
        <v>33</v>
      </c>
      <c r="T3" t="s">
        <v>34</v>
      </c>
    </row>
    <row r="4" spans="1:20" x14ac:dyDescent="0.2">
      <c r="A4" t="s">
        <v>38</v>
      </c>
      <c r="B4" s="1">
        <v>42288</v>
      </c>
      <c r="C4" s="1">
        <v>42295</v>
      </c>
      <c r="D4" t="s">
        <v>39</v>
      </c>
      <c r="E4" t="s">
        <v>40</v>
      </c>
      <c r="F4" t="s">
        <v>41</v>
      </c>
      <c r="G4" t="s">
        <v>24</v>
      </c>
      <c r="H4" t="s">
        <v>25</v>
      </c>
      <c r="I4" t="s">
        <v>42</v>
      </c>
      <c r="J4" t="s">
        <v>43</v>
      </c>
      <c r="K4" t="s">
        <v>28</v>
      </c>
      <c r="L4" t="s">
        <v>44</v>
      </c>
      <c r="M4" t="s">
        <v>30</v>
      </c>
      <c r="N4" t="s">
        <v>45</v>
      </c>
      <c r="O4" t="s">
        <v>46</v>
      </c>
      <c r="P4">
        <v>957.57749999999999</v>
      </c>
      <c r="Q4">
        <v>5</v>
      </c>
      <c r="R4">
        <v>-383.03100000000001</v>
      </c>
      <c r="S4" s="9" t="s">
        <v>47</v>
      </c>
      <c r="T4" t="s">
        <v>48</v>
      </c>
    </row>
    <row r="5" spans="1:20" x14ac:dyDescent="0.2">
      <c r="A5" t="s">
        <v>49</v>
      </c>
      <c r="B5" s="1">
        <v>41799</v>
      </c>
      <c r="C5" s="1">
        <v>41804</v>
      </c>
      <c r="D5" t="s">
        <v>39</v>
      </c>
      <c r="E5" t="s">
        <v>50</v>
      </c>
      <c r="F5" t="s">
        <v>51</v>
      </c>
      <c r="G5" t="s">
        <v>24</v>
      </c>
      <c r="H5" t="s">
        <v>25</v>
      </c>
      <c r="I5" t="s">
        <v>52</v>
      </c>
      <c r="J5" t="s">
        <v>53</v>
      </c>
      <c r="K5" t="s">
        <v>54</v>
      </c>
      <c r="L5" t="s">
        <v>55</v>
      </c>
      <c r="M5" t="s">
        <v>30</v>
      </c>
      <c r="N5" t="s">
        <v>56</v>
      </c>
      <c r="O5" t="s">
        <v>57</v>
      </c>
      <c r="P5">
        <v>48.86</v>
      </c>
      <c r="Q5">
        <v>7</v>
      </c>
      <c r="R5">
        <v>14.1694</v>
      </c>
      <c r="S5" s="9" t="s">
        <v>58</v>
      </c>
      <c r="T5" t="s">
        <v>59</v>
      </c>
    </row>
    <row r="6" spans="1:20" x14ac:dyDescent="0.2">
      <c r="A6" t="s">
        <v>49</v>
      </c>
      <c r="B6" s="1">
        <v>41799</v>
      </c>
      <c r="C6" s="1">
        <v>41804</v>
      </c>
      <c r="D6" t="s">
        <v>39</v>
      </c>
      <c r="E6" t="s">
        <v>50</v>
      </c>
      <c r="F6" t="s">
        <v>51</v>
      </c>
      <c r="G6" t="s">
        <v>24</v>
      </c>
      <c r="H6" t="s">
        <v>25</v>
      </c>
      <c r="I6" t="s">
        <v>52</v>
      </c>
      <c r="J6" t="s">
        <v>53</v>
      </c>
      <c r="K6" t="s">
        <v>54</v>
      </c>
      <c r="L6" t="s">
        <v>60</v>
      </c>
      <c r="M6" t="s">
        <v>30</v>
      </c>
      <c r="N6" t="s">
        <v>45</v>
      </c>
      <c r="O6" t="s">
        <v>61</v>
      </c>
      <c r="P6">
        <v>1706.184</v>
      </c>
      <c r="Q6">
        <v>9</v>
      </c>
      <c r="R6">
        <v>85.309200000000004</v>
      </c>
      <c r="S6" s="9" t="s">
        <v>58</v>
      </c>
      <c r="T6" t="s">
        <v>59</v>
      </c>
    </row>
    <row r="7" spans="1:20" x14ac:dyDescent="0.2">
      <c r="A7" t="s">
        <v>62</v>
      </c>
      <c r="B7" s="1">
        <v>42932</v>
      </c>
      <c r="C7" s="1">
        <v>42934</v>
      </c>
      <c r="D7" t="s">
        <v>21</v>
      </c>
      <c r="E7" t="s">
        <v>63</v>
      </c>
      <c r="F7" t="s">
        <v>64</v>
      </c>
      <c r="G7" t="s">
        <v>24</v>
      </c>
      <c r="H7" t="s">
        <v>25</v>
      </c>
      <c r="I7" t="s">
        <v>65</v>
      </c>
      <c r="J7" t="s">
        <v>66</v>
      </c>
      <c r="K7" t="s">
        <v>67</v>
      </c>
      <c r="L7" t="s">
        <v>68</v>
      </c>
      <c r="M7" t="s">
        <v>30</v>
      </c>
      <c r="N7" t="s">
        <v>36</v>
      </c>
      <c r="O7" t="s">
        <v>69</v>
      </c>
      <c r="P7">
        <v>71.372</v>
      </c>
      <c r="Q7">
        <v>2</v>
      </c>
      <c r="R7">
        <v>-1.0196000000000001</v>
      </c>
      <c r="S7" s="9" t="s">
        <v>70</v>
      </c>
      <c r="T7" t="s">
        <v>71</v>
      </c>
    </row>
    <row r="8" spans="1:20" x14ac:dyDescent="0.2">
      <c r="A8" t="s">
        <v>72</v>
      </c>
      <c r="B8" s="1">
        <v>42272</v>
      </c>
      <c r="C8" s="1">
        <v>42277</v>
      </c>
      <c r="D8" t="s">
        <v>39</v>
      </c>
      <c r="E8" t="s">
        <v>73</v>
      </c>
      <c r="F8" t="s">
        <v>74</v>
      </c>
      <c r="G8" t="s">
        <v>24</v>
      </c>
      <c r="H8" t="s">
        <v>25</v>
      </c>
      <c r="I8" t="s">
        <v>75</v>
      </c>
      <c r="J8" t="s">
        <v>76</v>
      </c>
      <c r="K8" t="s">
        <v>54</v>
      </c>
      <c r="L8" t="s">
        <v>44</v>
      </c>
      <c r="M8" t="s">
        <v>30</v>
      </c>
      <c r="N8" t="s">
        <v>45</v>
      </c>
      <c r="O8" t="s">
        <v>46</v>
      </c>
      <c r="P8">
        <v>1044.6300000000001</v>
      </c>
      <c r="Q8">
        <v>3</v>
      </c>
      <c r="R8">
        <v>240.26490000000001</v>
      </c>
      <c r="S8" s="9" t="s">
        <v>58</v>
      </c>
      <c r="T8" t="s">
        <v>77</v>
      </c>
    </row>
    <row r="9" spans="1:20" x14ac:dyDescent="0.2">
      <c r="A9" t="s">
        <v>78</v>
      </c>
      <c r="B9" s="1">
        <v>42264</v>
      </c>
      <c r="C9" s="1">
        <v>42268</v>
      </c>
      <c r="D9" t="s">
        <v>39</v>
      </c>
      <c r="E9" t="s">
        <v>79</v>
      </c>
      <c r="F9" t="s">
        <v>80</v>
      </c>
      <c r="G9" t="s">
        <v>24</v>
      </c>
      <c r="H9" t="s">
        <v>25</v>
      </c>
      <c r="I9" t="s">
        <v>65</v>
      </c>
      <c r="J9" t="s">
        <v>66</v>
      </c>
      <c r="K9" t="s">
        <v>67</v>
      </c>
      <c r="L9" t="s">
        <v>81</v>
      </c>
      <c r="M9" t="s">
        <v>30</v>
      </c>
      <c r="N9" t="s">
        <v>31</v>
      </c>
      <c r="O9" t="s">
        <v>82</v>
      </c>
      <c r="P9">
        <v>3083.43</v>
      </c>
      <c r="Q9">
        <v>7</v>
      </c>
      <c r="R9">
        <v>-1665.0522000000001</v>
      </c>
      <c r="S9" s="9" t="s">
        <v>83</v>
      </c>
      <c r="T9" t="s">
        <v>77</v>
      </c>
    </row>
    <row r="10" spans="1:20" x14ac:dyDescent="0.2">
      <c r="A10" t="s">
        <v>78</v>
      </c>
      <c r="B10" s="1">
        <v>42264</v>
      </c>
      <c r="C10" s="1">
        <v>42268</v>
      </c>
      <c r="D10" t="s">
        <v>39</v>
      </c>
      <c r="E10" t="s">
        <v>79</v>
      </c>
      <c r="F10" t="s">
        <v>80</v>
      </c>
      <c r="G10" t="s">
        <v>24</v>
      </c>
      <c r="H10" t="s">
        <v>25</v>
      </c>
      <c r="I10" t="s">
        <v>65</v>
      </c>
      <c r="J10" t="s">
        <v>66</v>
      </c>
      <c r="K10" t="s">
        <v>67</v>
      </c>
      <c r="L10" t="s">
        <v>84</v>
      </c>
      <c r="M10" t="s">
        <v>30</v>
      </c>
      <c r="N10" t="s">
        <v>56</v>
      </c>
      <c r="O10" t="s">
        <v>85</v>
      </c>
      <c r="P10">
        <v>124.2</v>
      </c>
      <c r="Q10">
        <v>3</v>
      </c>
      <c r="R10">
        <v>15.525</v>
      </c>
      <c r="S10" s="9" t="s">
        <v>83</v>
      </c>
      <c r="T10" t="s">
        <v>77</v>
      </c>
    </row>
    <row r="11" spans="1:20" x14ac:dyDescent="0.2">
      <c r="A11" t="s">
        <v>86</v>
      </c>
      <c r="B11" s="1">
        <v>42712</v>
      </c>
      <c r="C11" s="1">
        <v>42714</v>
      </c>
      <c r="D11" t="s">
        <v>87</v>
      </c>
      <c r="E11" t="s">
        <v>88</v>
      </c>
      <c r="F11" t="s">
        <v>89</v>
      </c>
      <c r="G11" t="s">
        <v>90</v>
      </c>
      <c r="H11" t="s">
        <v>25</v>
      </c>
      <c r="I11" t="s">
        <v>91</v>
      </c>
      <c r="J11" t="s">
        <v>92</v>
      </c>
      <c r="K11" t="s">
        <v>93</v>
      </c>
      <c r="L11" t="s">
        <v>94</v>
      </c>
      <c r="M11" t="s">
        <v>30</v>
      </c>
      <c r="N11" t="s">
        <v>56</v>
      </c>
      <c r="O11" t="s">
        <v>95</v>
      </c>
      <c r="P11">
        <v>190.92</v>
      </c>
      <c r="Q11">
        <v>5</v>
      </c>
      <c r="R11">
        <v>-147.96299999999999</v>
      </c>
      <c r="S11" s="9" t="s">
        <v>70</v>
      </c>
      <c r="T11" t="s">
        <v>96</v>
      </c>
    </row>
    <row r="12" spans="1:20" x14ac:dyDescent="0.2">
      <c r="A12" t="s">
        <v>97</v>
      </c>
      <c r="B12" s="1">
        <v>42365</v>
      </c>
      <c r="C12" s="1">
        <v>42369</v>
      </c>
      <c r="D12" t="s">
        <v>39</v>
      </c>
      <c r="E12" t="s">
        <v>98</v>
      </c>
      <c r="F12" t="s">
        <v>99</v>
      </c>
      <c r="G12" t="s">
        <v>100</v>
      </c>
      <c r="H12" t="s">
        <v>25</v>
      </c>
      <c r="I12" t="s">
        <v>101</v>
      </c>
      <c r="J12" t="s">
        <v>92</v>
      </c>
      <c r="K12" t="s">
        <v>93</v>
      </c>
      <c r="L12" t="s">
        <v>102</v>
      </c>
      <c r="M12" t="s">
        <v>30</v>
      </c>
      <c r="N12" t="s">
        <v>31</v>
      </c>
      <c r="O12" t="s">
        <v>103</v>
      </c>
      <c r="P12">
        <v>532.39919999999995</v>
      </c>
      <c r="Q12">
        <v>3</v>
      </c>
      <c r="R12">
        <v>-46.976399999999998</v>
      </c>
      <c r="S12" s="9" t="s">
        <v>83</v>
      </c>
      <c r="T12" t="s">
        <v>96</v>
      </c>
    </row>
    <row r="13" spans="1:20" x14ac:dyDescent="0.2">
      <c r="A13" t="s">
        <v>97</v>
      </c>
      <c r="B13" s="1">
        <v>42365</v>
      </c>
      <c r="C13" s="1">
        <v>42369</v>
      </c>
      <c r="D13" t="s">
        <v>39</v>
      </c>
      <c r="E13" t="s">
        <v>98</v>
      </c>
      <c r="F13" t="s">
        <v>99</v>
      </c>
      <c r="G13" t="s">
        <v>100</v>
      </c>
      <c r="H13" t="s">
        <v>25</v>
      </c>
      <c r="I13" t="s">
        <v>101</v>
      </c>
      <c r="J13" t="s">
        <v>92</v>
      </c>
      <c r="K13" t="s">
        <v>93</v>
      </c>
      <c r="L13" t="s">
        <v>104</v>
      </c>
      <c r="M13" t="s">
        <v>30</v>
      </c>
      <c r="N13" t="s">
        <v>36</v>
      </c>
      <c r="O13" t="s">
        <v>105</v>
      </c>
      <c r="P13">
        <v>212.05799999999999</v>
      </c>
      <c r="Q13">
        <v>3</v>
      </c>
      <c r="R13">
        <v>-15.147</v>
      </c>
      <c r="S13" s="9" t="s">
        <v>83</v>
      </c>
      <c r="T13" t="s">
        <v>96</v>
      </c>
    </row>
    <row r="14" spans="1:20" x14ac:dyDescent="0.2">
      <c r="A14" t="s">
        <v>106</v>
      </c>
      <c r="B14" s="1">
        <v>42112</v>
      </c>
      <c r="C14" s="1">
        <v>42116</v>
      </c>
      <c r="D14" t="s">
        <v>39</v>
      </c>
      <c r="E14" t="s">
        <v>107</v>
      </c>
      <c r="F14" t="s">
        <v>108</v>
      </c>
      <c r="G14" t="s">
        <v>24</v>
      </c>
      <c r="H14" t="s">
        <v>25</v>
      </c>
      <c r="I14" t="s">
        <v>109</v>
      </c>
      <c r="J14" t="s">
        <v>110</v>
      </c>
      <c r="K14" t="s">
        <v>93</v>
      </c>
      <c r="L14" t="s">
        <v>111</v>
      </c>
      <c r="M14" t="s">
        <v>30</v>
      </c>
      <c r="N14" t="s">
        <v>56</v>
      </c>
      <c r="O14" t="s">
        <v>112</v>
      </c>
      <c r="P14">
        <v>6.16</v>
      </c>
      <c r="Q14">
        <v>2</v>
      </c>
      <c r="R14">
        <v>2.9567999999999999</v>
      </c>
      <c r="S14" s="9" t="s">
        <v>83</v>
      </c>
      <c r="T14" t="s">
        <v>113</v>
      </c>
    </row>
    <row r="15" spans="1:20" x14ac:dyDescent="0.2">
      <c r="A15" t="s">
        <v>106</v>
      </c>
      <c r="B15" s="1">
        <v>42112</v>
      </c>
      <c r="C15" s="1">
        <v>42116</v>
      </c>
      <c r="D15" t="s">
        <v>39</v>
      </c>
      <c r="E15" t="s">
        <v>107</v>
      </c>
      <c r="F15" t="s">
        <v>108</v>
      </c>
      <c r="G15" t="s">
        <v>24</v>
      </c>
      <c r="H15" t="s">
        <v>25</v>
      </c>
      <c r="I15" t="s">
        <v>109</v>
      </c>
      <c r="J15" t="s">
        <v>110</v>
      </c>
      <c r="K15" t="s">
        <v>93</v>
      </c>
      <c r="L15" t="s">
        <v>114</v>
      </c>
      <c r="M15" t="s">
        <v>30</v>
      </c>
      <c r="N15" t="s">
        <v>36</v>
      </c>
      <c r="O15" t="s">
        <v>115</v>
      </c>
      <c r="P15">
        <v>89.99</v>
      </c>
      <c r="Q15">
        <v>1</v>
      </c>
      <c r="R15">
        <v>17.098099999999999</v>
      </c>
      <c r="S15" s="9" t="s">
        <v>83</v>
      </c>
      <c r="T15" t="s">
        <v>113</v>
      </c>
    </row>
    <row r="16" spans="1:20" x14ac:dyDescent="0.2">
      <c r="A16" t="s">
        <v>116</v>
      </c>
      <c r="B16" s="1">
        <v>42538</v>
      </c>
      <c r="C16" s="1">
        <v>42539</v>
      </c>
      <c r="D16" t="s">
        <v>87</v>
      </c>
      <c r="E16" t="s">
        <v>117</v>
      </c>
      <c r="F16" t="s">
        <v>118</v>
      </c>
      <c r="G16" t="s">
        <v>24</v>
      </c>
      <c r="H16" t="s">
        <v>25</v>
      </c>
      <c r="I16" t="s">
        <v>119</v>
      </c>
      <c r="J16" t="s">
        <v>120</v>
      </c>
      <c r="K16" t="s">
        <v>67</v>
      </c>
      <c r="L16" t="s">
        <v>121</v>
      </c>
      <c r="M16" t="s">
        <v>30</v>
      </c>
      <c r="N16" t="s">
        <v>36</v>
      </c>
      <c r="O16" t="s">
        <v>122</v>
      </c>
      <c r="P16">
        <v>319.41000000000003</v>
      </c>
      <c r="Q16">
        <v>5</v>
      </c>
      <c r="R16">
        <v>7.0979999999999999</v>
      </c>
      <c r="S16" s="9" t="s">
        <v>123</v>
      </c>
      <c r="T16" t="s">
        <v>59</v>
      </c>
    </row>
    <row r="17" spans="1:20" x14ac:dyDescent="0.2">
      <c r="A17" t="s">
        <v>124</v>
      </c>
      <c r="B17" s="1">
        <v>42332</v>
      </c>
      <c r="C17" s="1">
        <v>42338</v>
      </c>
      <c r="D17" t="s">
        <v>39</v>
      </c>
      <c r="E17" t="s">
        <v>125</v>
      </c>
      <c r="F17" t="s">
        <v>126</v>
      </c>
      <c r="G17" t="s">
        <v>24</v>
      </c>
      <c r="H17" t="s">
        <v>25</v>
      </c>
      <c r="I17" t="s">
        <v>52</v>
      </c>
      <c r="J17" t="s">
        <v>53</v>
      </c>
      <c r="K17" t="s">
        <v>54</v>
      </c>
      <c r="L17" t="s">
        <v>127</v>
      </c>
      <c r="M17" t="s">
        <v>30</v>
      </c>
      <c r="N17" t="s">
        <v>56</v>
      </c>
      <c r="O17" t="s">
        <v>128</v>
      </c>
      <c r="P17">
        <v>79.760000000000005</v>
      </c>
      <c r="Q17">
        <v>4</v>
      </c>
      <c r="R17">
        <v>22.332799999999999</v>
      </c>
      <c r="S17" s="9" t="s">
        <v>129</v>
      </c>
      <c r="T17" t="s">
        <v>34</v>
      </c>
    </row>
    <row r="18" spans="1:20" x14ac:dyDescent="0.2">
      <c r="A18" t="s">
        <v>130</v>
      </c>
      <c r="B18" s="1">
        <v>42124</v>
      </c>
      <c r="C18" s="1">
        <v>42129</v>
      </c>
      <c r="D18" t="s">
        <v>39</v>
      </c>
      <c r="E18" t="s">
        <v>131</v>
      </c>
      <c r="F18" t="s">
        <v>132</v>
      </c>
      <c r="G18" t="s">
        <v>100</v>
      </c>
      <c r="H18" t="s">
        <v>25</v>
      </c>
      <c r="I18" t="s">
        <v>133</v>
      </c>
      <c r="J18" t="s">
        <v>134</v>
      </c>
      <c r="K18" t="s">
        <v>93</v>
      </c>
      <c r="L18" t="s">
        <v>135</v>
      </c>
      <c r="M18" t="s">
        <v>30</v>
      </c>
      <c r="N18" t="s">
        <v>36</v>
      </c>
      <c r="O18" t="s">
        <v>136</v>
      </c>
      <c r="P18">
        <v>213.11500000000001</v>
      </c>
      <c r="Q18">
        <v>5</v>
      </c>
      <c r="R18">
        <v>-15.2225</v>
      </c>
      <c r="S18" s="9" t="s">
        <v>58</v>
      </c>
      <c r="T18" t="s">
        <v>113</v>
      </c>
    </row>
    <row r="19" spans="1:20" x14ac:dyDescent="0.2">
      <c r="A19" t="s">
        <v>137</v>
      </c>
      <c r="B19" s="1">
        <v>42120</v>
      </c>
      <c r="C19" s="1">
        <v>42126</v>
      </c>
      <c r="D19" t="s">
        <v>39</v>
      </c>
      <c r="E19" t="s">
        <v>138</v>
      </c>
      <c r="F19" t="s">
        <v>139</v>
      </c>
      <c r="G19" t="s">
        <v>24</v>
      </c>
      <c r="H19" t="s">
        <v>25</v>
      </c>
      <c r="I19" t="s">
        <v>140</v>
      </c>
      <c r="J19" t="s">
        <v>141</v>
      </c>
      <c r="K19" t="s">
        <v>28</v>
      </c>
      <c r="L19" t="s">
        <v>142</v>
      </c>
      <c r="M19" t="s">
        <v>30</v>
      </c>
      <c r="N19" t="s">
        <v>36</v>
      </c>
      <c r="O19" t="s">
        <v>143</v>
      </c>
      <c r="P19">
        <v>831.93600000000004</v>
      </c>
      <c r="Q19">
        <v>8</v>
      </c>
      <c r="R19">
        <v>-114.3912</v>
      </c>
      <c r="S19" s="9" t="s">
        <v>129</v>
      </c>
      <c r="T19" t="s">
        <v>113</v>
      </c>
    </row>
    <row r="20" spans="1:20" x14ac:dyDescent="0.2">
      <c r="A20" t="s">
        <v>137</v>
      </c>
      <c r="B20" s="1">
        <v>42120</v>
      </c>
      <c r="C20" s="1">
        <v>42126</v>
      </c>
      <c r="D20" t="s">
        <v>39</v>
      </c>
      <c r="E20" t="s">
        <v>138</v>
      </c>
      <c r="F20" t="s">
        <v>139</v>
      </c>
      <c r="G20" t="s">
        <v>24</v>
      </c>
      <c r="H20" t="s">
        <v>25</v>
      </c>
      <c r="I20" t="s">
        <v>140</v>
      </c>
      <c r="J20" t="s">
        <v>141</v>
      </c>
      <c r="K20" t="s">
        <v>28</v>
      </c>
      <c r="L20" t="s">
        <v>144</v>
      </c>
      <c r="M20" t="s">
        <v>30</v>
      </c>
      <c r="N20" t="s">
        <v>56</v>
      </c>
      <c r="O20" t="s">
        <v>145</v>
      </c>
      <c r="P20">
        <v>97.04</v>
      </c>
      <c r="Q20">
        <v>2</v>
      </c>
      <c r="R20">
        <v>1.2130000000000001</v>
      </c>
      <c r="S20" s="9" t="s">
        <v>129</v>
      </c>
      <c r="T20" t="s">
        <v>113</v>
      </c>
    </row>
    <row r="21" spans="1:20" x14ac:dyDescent="0.2">
      <c r="A21" t="s">
        <v>146</v>
      </c>
      <c r="B21" s="1">
        <v>43078</v>
      </c>
      <c r="C21" s="1">
        <v>43080</v>
      </c>
      <c r="D21" t="s">
        <v>87</v>
      </c>
      <c r="E21" t="s">
        <v>147</v>
      </c>
      <c r="F21" t="s">
        <v>148</v>
      </c>
      <c r="G21" t="s">
        <v>90</v>
      </c>
      <c r="H21" t="s">
        <v>25</v>
      </c>
      <c r="I21" t="s">
        <v>101</v>
      </c>
      <c r="J21" t="s">
        <v>92</v>
      </c>
      <c r="K21" t="s">
        <v>93</v>
      </c>
      <c r="L21" t="s">
        <v>149</v>
      </c>
      <c r="M21" t="s">
        <v>30</v>
      </c>
      <c r="N21" t="s">
        <v>56</v>
      </c>
      <c r="O21" t="s">
        <v>150</v>
      </c>
      <c r="P21">
        <v>9.7080000000000002</v>
      </c>
      <c r="Q21">
        <v>3</v>
      </c>
      <c r="R21">
        <v>-5.8247999999999998</v>
      </c>
      <c r="S21" s="9" t="s">
        <v>70</v>
      </c>
      <c r="T21" t="s">
        <v>96</v>
      </c>
    </row>
    <row r="22" spans="1:20" x14ac:dyDescent="0.2">
      <c r="A22" t="s">
        <v>151</v>
      </c>
      <c r="B22" s="1">
        <v>41969</v>
      </c>
      <c r="C22" s="1">
        <v>41974</v>
      </c>
      <c r="D22" t="s">
        <v>21</v>
      </c>
      <c r="E22" t="s">
        <v>138</v>
      </c>
      <c r="F22" t="s">
        <v>139</v>
      </c>
      <c r="G22" t="s">
        <v>24</v>
      </c>
      <c r="H22" t="s">
        <v>25</v>
      </c>
      <c r="I22" t="s">
        <v>101</v>
      </c>
      <c r="J22" t="s">
        <v>92</v>
      </c>
      <c r="K22" t="s">
        <v>93</v>
      </c>
      <c r="L22" t="s">
        <v>152</v>
      </c>
      <c r="M22" t="s">
        <v>30</v>
      </c>
      <c r="N22" t="s">
        <v>56</v>
      </c>
      <c r="O22" t="s">
        <v>153</v>
      </c>
      <c r="P22">
        <v>19.3</v>
      </c>
      <c r="Q22">
        <v>5</v>
      </c>
      <c r="R22">
        <v>-14.475</v>
      </c>
      <c r="S22" s="9" t="s">
        <v>58</v>
      </c>
      <c r="T22" t="s">
        <v>34</v>
      </c>
    </row>
    <row r="23" spans="1:20" x14ac:dyDescent="0.2">
      <c r="A23" t="s">
        <v>154</v>
      </c>
      <c r="B23" s="1">
        <v>42883</v>
      </c>
      <c r="C23" s="1">
        <v>42885</v>
      </c>
      <c r="D23" t="s">
        <v>21</v>
      </c>
      <c r="E23" t="s">
        <v>155</v>
      </c>
      <c r="F23" t="s">
        <v>156</v>
      </c>
      <c r="G23" t="s">
        <v>24</v>
      </c>
      <c r="H23" t="s">
        <v>25</v>
      </c>
      <c r="I23" t="s">
        <v>157</v>
      </c>
      <c r="J23" t="s">
        <v>158</v>
      </c>
      <c r="K23" t="s">
        <v>28</v>
      </c>
      <c r="L23" t="s">
        <v>159</v>
      </c>
      <c r="M23" t="s">
        <v>30</v>
      </c>
      <c r="N23" t="s">
        <v>36</v>
      </c>
      <c r="O23" t="s">
        <v>160</v>
      </c>
      <c r="P23">
        <v>301.95999999999998</v>
      </c>
      <c r="Q23">
        <v>2</v>
      </c>
      <c r="R23">
        <v>33.215600000000002</v>
      </c>
      <c r="S23" s="9" t="s">
        <v>70</v>
      </c>
      <c r="T23" t="s">
        <v>161</v>
      </c>
    </row>
    <row r="24" spans="1:20" x14ac:dyDescent="0.2">
      <c r="A24" t="s">
        <v>162</v>
      </c>
      <c r="B24" s="1">
        <v>42035</v>
      </c>
      <c r="C24" s="1">
        <v>42040</v>
      </c>
      <c r="D24" t="s">
        <v>21</v>
      </c>
      <c r="E24" t="s">
        <v>163</v>
      </c>
      <c r="F24" t="s">
        <v>164</v>
      </c>
      <c r="G24" t="s">
        <v>24</v>
      </c>
      <c r="H24" t="s">
        <v>25</v>
      </c>
      <c r="I24" t="s">
        <v>165</v>
      </c>
      <c r="J24" t="s">
        <v>166</v>
      </c>
      <c r="K24" t="s">
        <v>93</v>
      </c>
      <c r="L24" t="s">
        <v>167</v>
      </c>
      <c r="M24" t="s">
        <v>30</v>
      </c>
      <c r="N24" t="s">
        <v>56</v>
      </c>
      <c r="O24" t="s">
        <v>168</v>
      </c>
      <c r="P24">
        <v>53.34</v>
      </c>
      <c r="Q24">
        <v>3</v>
      </c>
      <c r="R24">
        <v>16.535399999999999</v>
      </c>
      <c r="S24" s="9" t="s">
        <v>58</v>
      </c>
      <c r="T24" t="s">
        <v>169</v>
      </c>
    </row>
    <row r="25" spans="1:20" x14ac:dyDescent="0.2">
      <c r="A25" t="s">
        <v>170</v>
      </c>
      <c r="B25" s="1">
        <v>43048</v>
      </c>
      <c r="C25" s="1">
        <v>43050</v>
      </c>
      <c r="D25" t="s">
        <v>21</v>
      </c>
      <c r="E25" t="s">
        <v>171</v>
      </c>
      <c r="F25" t="s">
        <v>172</v>
      </c>
      <c r="G25" t="s">
        <v>100</v>
      </c>
      <c r="H25" t="s">
        <v>25</v>
      </c>
      <c r="I25" t="s">
        <v>173</v>
      </c>
      <c r="J25" t="s">
        <v>120</v>
      </c>
      <c r="K25" t="s">
        <v>67</v>
      </c>
      <c r="L25" t="s">
        <v>174</v>
      </c>
      <c r="M25" t="s">
        <v>30</v>
      </c>
      <c r="N25" t="s">
        <v>56</v>
      </c>
      <c r="O25" t="s">
        <v>175</v>
      </c>
      <c r="P25">
        <v>96.53</v>
      </c>
      <c r="Q25">
        <v>7</v>
      </c>
      <c r="R25">
        <v>40.5426</v>
      </c>
      <c r="S25" s="9" t="s">
        <v>70</v>
      </c>
      <c r="T25" t="s">
        <v>34</v>
      </c>
    </row>
    <row r="26" spans="1:20" x14ac:dyDescent="0.2">
      <c r="A26" t="s">
        <v>176</v>
      </c>
      <c r="B26" s="1">
        <v>42321</v>
      </c>
      <c r="C26" s="1">
        <v>42325</v>
      </c>
      <c r="D26" t="s">
        <v>39</v>
      </c>
      <c r="E26" t="s">
        <v>177</v>
      </c>
      <c r="F26" t="s">
        <v>178</v>
      </c>
      <c r="G26" t="s">
        <v>24</v>
      </c>
      <c r="H26" t="s">
        <v>25</v>
      </c>
      <c r="I26" t="s">
        <v>179</v>
      </c>
      <c r="J26" t="s">
        <v>180</v>
      </c>
      <c r="K26" t="s">
        <v>54</v>
      </c>
      <c r="L26" t="s">
        <v>181</v>
      </c>
      <c r="M26" t="s">
        <v>30</v>
      </c>
      <c r="N26" t="s">
        <v>56</v>
      </c>
      <c r="O26" t="s">
        <v>182</v>
      </c>
      <c r="P26">
        <v>102.36</v>
      </c>
      <c r="Q26">
        <v>3</v>
      </c>
      <c r="R26">
        <v>-3.8384999999999998</v>
      </c>
      <c r="S26" s="9" t="s">
        <v>83</v>
      </c>
      <c r="T26" t="s">
        <v>34</v>
      </c>
    </row>
    <row r="27" spans="1:20" x14ac:dyDescent="0.2">
      <c r="A27" t="s">
        <v>183</v>
      </c>
      <c r="B27" s="1">
        <v>43094</v>
      </c>
      <c r="C27" s="1">
        <v>43099</v>
      </c>
      <c r="D27" t="s">
        <v>39</v>
      </c>
      <c r="E27" t="s">
        <v>184</v>
      </c>
      <c r="F27" t="s">
        <v>185</v>
      </c>
      <c r="G27" t="s">
        <v>90</v>
      </c>
      <c r="H27" t="s">
        <v>25</v>
      </c>
      <c r="I27" t="s">
        <v>173</v>
      </c>
      <c r="J27" t="s">
        <v>120</v>
      </c>
      <c r="K27" t="s">
        <v>67</v>
      </c>
      <c r="L27" t="s">
        <v>186</v>
      </c>
      <c r="M27" t="s">
        <v>30</v>
      </c>
      <c r="N27" t="s">
        <v>56</v>
      </c>
      <c r="O27" t="s">
        <v>187</v>
      </c>
      <c r="P27">
        <v>41.96</v>
      </c>
      <c r="Q27">
        <v>2</v>
      </c>
      <c r="R27">
        <v>10.909599999999999</v>
      </c>
      <c r="S27" s="9" t="s">
        <v>58</v>
      </c>
      <c r="T27" t="s">
        <v>96</v>
      </c>
    </row>
    <row r="28" spans="1:20" x14ac:dyDescent="0.2">
      <c r="A28" t="s">
        <v>188</v>
      </c>
      <c r="B28" s="1">
        <v>42065</v>
      </c>
      <c r="C28" s="1">
        <v>42069</v>
      </c>
      <c r="D28" t="s">
        <v>39</v>
      </c>
      <c r="E28" t="s">
        <v>189</v>
      </c>
      <c r="F28" t="s">
        <v>190</v>
      </c>
      <c r="G28" t="s">
        <v>24</v>
      </c>
      <c r="H28" t="s">
        <v>25</v>
      </c>
      <c r="I28" t="s">
        <v>191</v>
      </c>
      <c r="J28" t="s">
        <v>192</v>
      </c>
      <c r="K28" t="s">
        <v>54</v>
      </c>
      <c r="L28" t="s">
        <v>193</v>
      </c>
      <c r="M28" t="s">
        <v>30</v>
      </c>
      <c r="N28" t="s">
        <v>45</v>
      </c>
      <c r="O28" t="s">
        <v>194</v>
      </c>
      <c r="P28">
        <v>787.53</v>
      </c>
      <c r="Q28">
        <v>3</v>
      </c>
      <c r="R28">
        <v>165.38130000000001</v>
      </c>
      <c r="S28" s="9" t="s">
        <v>83</v>
      </c>
      <c r="T28" t="s">
        <v>195</v>
      </c>
    </row>
    <row r="29" spans="1:20" x14ac:dyDescent="0.2">
      <c r="A29" t="s">
        <v>196</v>
      </c>
      <c r="B29" s="1">
        <v>42533</v>
      </c>
      <c r="C29" s="1">
        <v>42536</v>
      </c>
      <c r="D29" t="s">
        <v>87</v>
      </c>
      <c r="E29" t="s">
        <v>197</v>
      </c>
      <c r="F29" t="s">
        <v>198</v>
      </c>
      <c r="G29" t="s">
        <v>24</v>
      </c>
      <c r="H29" t="s">
        <v>25</v>
      </c>
      <c r="I29" t="s">
        <v>199</v>
      </c>
      <c r="J29" t="s">
        <v>200</v>
      </c>
      <c r="K29" t="s">
        <v>67</v>
      </c>
      <c r="L29" t="s">
        <v>201</v>
      </c>
      <c r="M29" t="s">
        <v>30</v>
      </c>
      <c r="N29" t="s">
        <v>56</v>
      </c>
      <c r="O29" t="s">
        <v>202</v>
      </c>
      <c r="P29">
        <v>47.04</v>
      </c>
      <c r="Q29">
        <v>3</v>
      </c>
      <c r="R29">
        <v>18.345600000000001</v>
      </c>
      <c r="S29" s="9" t="s">
        <v>33</v>
      </c>
      <c r="T29" t="s">
        <v>59</v>
      </c>
    </row>
    <row r="30" spans="1:20" x14ac:dyDescent="0.2">
      <c r="A30" t="s">
        <v>203</v>
      </c>
      <c r="B30" s="1">
        <v>41999</v>
      </c>
      <c r="C30" s="1">
        <v>42001</v>
      </c>
      <c r="D30" t="s">
        <v>21</v>
      </c>
      <c r="E30" t="s">
        <v>204</v>
      </c>
      <c r="F30" t="s">
        <v>205</v>
      </c>
      <c r="G30" t="s">
        <v>100</v>
      </c>
      <c r="H30" t="s">
        <v>25</v>
      </c>
      <c r="I30" t="s">
        <v>101</v>
      </c>
      <c r="J30" t="s">
        <v>92</v>
      </c>
      <c r="K30" t="s">
        <v>93</v>
      </c>
      <c r="L30" t="s">
        <v>206</v>
      </c>
      <c r="M30" t="s">
        <v>30</v>
      </c>
      <c r="N30" t="s">
        <v>36</v>
      </c>
      <c r="O30" t="s">
        <v>207</v>
      </c>
      <c r="P30">
        <v>600.55799999999999</v>
      </c>
      <c r="Q30">
        <v>3</v>
      </c>
      <c r="R30">
        <v>-8.5793999999999997</v>
      </c>
      <c r="S30" s="9" t="s">
        <v>70</v>
      </c>
      <c r="T30" t="s">
        <v>96</v>
      </c>
    </row>
    <row r="31" spans="1:20" x14ac:dyDescent="0.2">
      <c r="A31" t="s">
        <v>208</v>
      </c>
      <c r="B31" s="1">
        <v>41902</v>
      </c>
      <c r="C31" s="1">
        <v>41907</v>
      </c>
      <c r="D31" t="s">
        <v>39</v>
      </c>
      <c r="E31" t="s">
        <v>209</v>
      </c>
      <c r="F31" t="s">
        <v>210</v>
      </c>
      <c r="G31" t="s">
        <v>24</v>
      </c>
      <c r="H31" t="s">
        <v>25</v>
      </c>
      <c r="I31" t="s">
        <v>211</v>
      </c>
      <c r="J31" t="s">
        <v>134</v>
      </c>
      <c r="K31" t="s">
        <v>93</v>
      </c>
      <c r="L31" t="s">
        <v>212</v>
      </c>
      <c r="M31" t="s">
        <v>30</v>
      </c>
      <c r="N31" t="s">
        <v>45</v>
      </c>
      <c r="O31" t="s">
        <v>213</v>
      </c>
      <c r="P31">
        <v>617.70000000000005</v>
      </c>
      <c r="Q31">
        <v>6</v>
      </c>
      <c r="R31">
        <v>-407.68200000000002</v>
      </c>
      <c r="S31" s="9" t="s">
        <v>58</v>
      </c>
      <c r="T31" t="s">
        <v>77</v>
      </c>
    </row>
    <row r="32" spans="1:20" x14ac:dyDescent="0.2">
      <c r="A32" t="s">
        <v>214</v>
      </c>
      <c r="B32" s="1">
        <v>42680</v>
      </c>
      <c r="C32" s="1">
        <v>42684</v>
      </c>
      <c r="D32" t="s">
        <v>21</v>
      </c>
      <c r="E32" t="s">
        <v>215</v>
      </c>
      <c r="F32" t="s">
        <v>216</v>
      </c>
      <c r="G32" t="s">
        <v>100</v>
      </c>
      <c r="H32" t="s">
        <v>25</v>
      </c>
      <c r="I32" t="s">
        <v>52</v>
      </c>
      <c r="J32" t="s">
        <v>53</v>
      </c>
      <c r="K32" t="s">
        <v>54</v>
      </c>
      <c r="L32" t="s">
        <v>135</v>
      </c>
      <c r="M32" t="s">
        <v>30</v>
      </c>
      <c r="N32" t="s">
        <v>36</v>
      </c>
      <c r="O32" t="s">
        <v>217</v>
      </c>
      <c r="P32">
        <v>81.424000000000007</v>
      </c>
      <c r="Q32">
        <v>2</v>
      </c>
      <c r="R32">
        <v>-9.1601999999999997</v>
      </c>
      <c r="S32" s="9" t="s">
        <v>83</v>
      </c>
      <c r="T32" t="s">
        <v>34</v>
      </c>
    </row>
    <row r="33" spans="1:20" x14ac:dyDescent="0.2">
      <c r="A33" t="s">
        <v>214</v>
      </c>
      <c r="B33" s="1">
        <v>42680</v>
      </c>
      <c r="C33" s="1">
        <v>42684</v>
      </c>
      <c r="D33" t="s">
        <v>21</v>
      </c>
      <c r="E33" t="s">
        <v>215</v>
      </c>
      <c r="F33" t="s">
        <v>216</v>
      </c>
      <c r="G33" t="s">
        <v>100</v>
      </c>
      <c r="H33" t="s">
        <v>25</v>
      </c>
      <c r="I33" t="s">
        <v>52</v>
      </c>
      <c r="J33" t="s">
        <v>53</v>
      </c>
      <c r="K33" t="s">
        <v>54</v>
      </c>
      <c r="L33" t="s">
        <v>218</v>
      </c>
      <c r="M33" t="s">
        <v>30</v>
      </c>
      <c r="N33" t="s">
        <v>56</v>
      </c>
      <c r="O33" t="s">
        <v>219</v>
      </c>
      <c r="P33">
        <v>238.56</v>
      </c>
      <c r="Q33">
        <v>3</v>
      </c>
      <c r="R33">
        <v>26.241599999999998</v>
      </c>
      <c r="S33" s="9" t="s">
        <v>83</v>
      </c>
      <c r="T33" t="s">
        <v>34</v>
      </c>
    </row>
    <row r="34" spans="1:20" x14ac:dyDescent="0.2">
      <c r="A34" t="s">
        <v>220</v>
      </c>
      <c r="B34" s="1">
        <v>42656</v>
      </c>
      <c r="C34" s="1">
        <v>42662</v>
      </c>
      <c r="D34" t="s">
        <v>39</v>
      </c>
      <c r="E34" t="s">
        <v>221</v>
      </c>
      <c r="F34" t="s">
        <v>222</v>
      </c>
      <c r="G34" t="s">
        <v>24</v>
      </c>
      <c r="H34" t="s">
        <v>25</v>
      </c>
      <c r="I34" t="s">
        <v>223</v>
      </c>
      <c r="J34" t="s">
        <v>53</v>
      </c>
      <c r="K34" t="s">
        <v>54</v>
      </c>
      <c r="L34" t="s">
        <v>111</v>
      </c>
      <c r="M34" t="s">
        <v>30</v>
      </c>
      <c r="N34" t="s">
        <v>56</v>
      </c>
      <c r="O34" t="s">
        <v>112</v>
      </c>
      <c r="P34">
        <v>43.12</v>
      </c>
      <c r="Q34">
        <v>14</v>
      </c>
      <c r="R34">
        <v>20.697600000000001</v>
      </c>
      <c r="S34" s="9" t="s">
        <v>129</v>
      </c>
      <c r="T34" t="s">
        <v>48</v>
      </c>
    </row>
    <row r="35" spans="1:20" x14ac:dyDescent="0.2">
      <c r="A35" t="s">
        <v>224</v>
      </c>
      <c r="B35" s="1">
        <v>42618</v>
      </c>
      <c r="C35" s="1">
        <v>42620</v>
      </c>
      <c r="D35" t="s">
        <v>21</v>
      </c>
      <c r="E35" t="s">
        <v>225</v>
      </c>
      <c r="F35" t="s">
        <v>226</v>
      </c>
      <c r="G35" t="s">
        <v>90</v>
      </c>
      <c r="H35" t="s">
        <v>25</v>
      </c>
      <c r="I35" t="s">
        <v>65</v>
      </c>
      <c r="J35" t="s">
        <v>66</v>
      </c>
      <c r="K35" t="s">
        <v>67</v>
      </c>
      <c r="L35" t="s">
        <v>84</v>
      </c>
      <c r="M35" t="s">
        <v>30</v>
      </c>
      <c r="N35" t="s">
        <v>56</v>
      </c>
      <c r="O35" t="s">
        <v>85</v>
      </c>
      <c r="P35">
        <v>82.8</v>
      </c>
      <c r="Q35">
        <v>2</v>
      </c>
      <c r="R35">
        <v>10.35</v>
      </c>
      <c r="S35" s="9" t="s">
        <v>70</v>
      </c>
      <c r="T35" t="s">
        <v>77</v>
      </c>
    </row>
    <row r="36" spans="1:20" x14ac:dyDescent="0.2">
      <c r="A36" t="s">
        <v>227</v>
      </c>
      <c r="B36" s="1">
        <v>41934</v>
      </c>
      <c r="C36" s="1">
        <v>41940</v>
      </c>
      <c r="D36" t="s">
        <v>39</v>
      </c>
      <c r="E36" t="s">
        <v>228</v>
      </c>
      <c r="F36" t="s">
        <v>229</v>
      </c>
      <c r="G36" t="s">
        <v>100</v>
      </c>
      <c r="H36" t="s">
        <v>25</v>
      </c>
      <c r="I36" t="s">
        <v>230</v>
      </c>
      <c r="J36" t="s">
        <v>231</v>
      </c>
      <c r="K36" t="s">
        <v>67</v>
      </c>
      <c r="L36" t="s">
        <v>232</v>
      </c>
      <c r="M36" t="s">
        <v>30</v>
      </c>
      <c r="N36" t="s">
        <v>56</v>
      </c>
      <c r="O36" t="s">
        <v>233</v>
      </c>
      <c r="P36">
        <v>93.888000000000005</v>
      </c>
      <c r="Q36">
        <v>4</v>
      </c>
      <c r="R36">
        <v>12.909599999999999</v>
      </c>
      <c r="S36" s="9" t="s">
        <v>129</v>
      </c>
      <c r="T36" t="s">
        <v>48</v>
      </c>
    </row>
    <row r="37" spans="1:20" x14ac:dyDescent="0.2">
      <c r="A37" t="s">
        <v>234</v>
      </c>
      <c r="B37" s="1">
        <v>42709</v>
      </c>
      <c r="C37" s="1">
        <v>42713</v>
      </c>
      <c r="D37" t="s">
        <v>39</v>
      </c>
      <c r="E37" t="s">
        <v>235</v>
      </c>
      <c r="F37" t="s">
        <v>236</v>
      </c>
      <c r="G37" t="s">
        <v>90</v>
      </c>
      <c r="H37" t="s">
        <v>25</v>
      </c>
      <c r="I37" t="s">
        <v>237</v>
      </c>
      <c r="J37" t="s">
        <v>238</v>
      </c>
      <c r="K37" t="s">
        <v>93</v>
      </c>
      <c r="L37" t="s">
        <v>35</v>
      </c>
      <c r="M37" t="s">
        <v>30</v>
      </c>
      <c r="N37" t="s">
        <v>36</v>
      </c>
      <c r="O37" t="s">
        <v>37</v>
      </c>
      <c r="P37">
        <v>1951.84</v>
      </c>
      <c r="Q37">
        <v>8</v>
      </c>
      <c r="R37">
        <v>585.55200000000002</v>
      </c>
      <c r="S37" s="9" t="s">
        <v>83</v>
      </c>
      <c r="T37" t="s">
        <v>96</v>
      </c>
    </row>
    <row r="38" spans="1:20" x14ac:dyDescent="0.2">
      <c r="A38" t="s">
        <v>239</v>
      </c>
      <c r="B38" s="1">
        <v>41699</v>
      </c>
      <c r="C38" s="1">
        <v>41704</v>
      </c>
      <c r="D38" t="s">
        <v>21</v>
      </c>
      <c r="E38" t="s">
        <v>240</v>
      </c>
      <c r="F38" t="s">
        <v>241</v>
      </c>
      <c r="G38" t="s">
        <v>24</v>
      </c>
      <c r="H38" t="s">
        <v>25</v>
      </c>
      <c r="I38" t="s">
        <v>191</v>
      </c>
      <c r="J38" t="s">
        <v>192</v>
      </c>
      <c r="K38" t="s">
        <v>54</v>
      </c>
      <c r="L38" t="s">
        <v>206</v>
      </c>
      <c r="M38" t="s">
        <v>30</v>
      </c>
      <c r="N38" t="s">
        <v>36</v>
      </c>
      <c r="O38" t="s">
        <v>207</v>
      </c>
      <c r="P38">
        <v>457.56799999999998</v>
      </c>
      <c r="Q38">
        <v>2</v>
      </c>
      <c r="R38">
        <v>51.476399999999998</v>
      </c>
      <c r="S38" s="9" t="s">
        <v>58</v>
      </c>
      <c r="T38" t="s">
        <v>195</v>
      </c>
    </row>
    <row r="39" spans="1:20" x14ac:dyDescent="0.2">
      <c r="A39" t="s">
        <v>242</v>
      </c>
      <c r="B39" s="1">
        <v>41890</v>
      </c>
      <c r="C39" s="1">
        <v>41894</v>
      </c>
      <c r="D39" t="s">
        <v>39</v>
      </c>
      <c r="E39" t="s">
        <v>243</v>
      </c>
      <c r="F39" t="s">
        <v>244</v>
      </c>
      <c r="G39" t="s">
        <v>24</v>
      </c>
      <c r="H39" t="s">
        <v>25</v>
      </c>
      <c r="I39" t="s">
        <v>245</v>
      </c>
      <c r="J39" t="s">
        <v>92</v>
      </c>
      <c r="K39" t="s">
        <v>93</v>
      </c>
      <c r="L39" t="s">
        <v>246</v>
      </c>
      <c r="M39" t="s">
        <v>30</v>
      </c>
      <c r="N39" t="s">
        <v>36</v>
      </c>
      <c r="O39" t="s">
        <v>247</v>
      </c>
      <c r="P39">
        <v>1740.06</v>
      </c>
      <c r="Q39">
        <v>9</v>
      </c>
      <c r="R39">
        <v>-24.858000000000001</v>
      </c>
      <c r="S39" s="9" t="s">
        <v>83</v>
      </c>
      <c r="T39" t="s">
        <v>77</v>
      </c>
    </row>
    <row r="40" spans="1:20" x14ac:dyDescent="0.2">
      <c r="A40" t="s">
        <v>248</v>
      </c>
      <c r="B40" s="1">
        <v>41856</v>
      </c>
      <c r="C40" s="1">
        <v>41860</v>
      </c>
      <c r="D40" t="s">
        <v>39</v>
      </c>
      <c r="E40" t="s">
        <v>249</v>
      </c>
      <c r="F40" t="s">
        <v>250</v>
      </c>
      <c r="G40" t="s">
        <v>24</v>
      </c>
      <c r="H40" t="s">
        <v>25</v>
      </c>
      <c r="I40" t="s">
        <v>52</v>
      </c>
      <c r="J40" t="s">
        <v>53</v>
      </c>
      <c r="K40" t="s">
        <v>54</v>
      </c>
      <c r="L40" t="s">
        <v>251</v>
      </c>
      <c r="M40" t="s">
        <v>30</v>
      </c>
      <c r="N40" t="s">
        <v>36</v>
      </c>
      <c r="O40" t="s">
        <v>252</v>
      </c>
      <c r="P40">
        <v>340.14400000000001</v>
      </c>
      <c r="Q40">
        <v>7</v>
      </c>
      <c r="R40">
        <v>21.259</v>
      </c>
      <c r="S40" s="9" t="s">
        <v>83</v>
      </c>
      <c r="T40" t="s">
        <v>253</v>
      </c>
    </row>
    <row r="41" spans="1:20" x14ac:dyDescent="0.2">
      <c r="A41" t="s">
        <v>254</v>
      </c>
      <c r="B41" s="1">
        <v>42329</v>
      </c>
      <c r="C41" s="1">
        <v>42331</v>
      </c>
      <c r="D41" t="s">
        <v>21</v>
      </c>
      <c r="E41" t="s">
        <v>138</v>
      </c>
      <c r="F41" t="s">
        <v>139</v>
      </c>
      <c r="G41" t="s">
        <v>24</v>
      </c>
      <c r="H41" t="s">
        <v>25</v>
      </c>
      <c r="I41" t="s">
        <v>230</v>
      </c>
      <c r="J41" t="s">
        <v>231</v>
      </c>
      <c r="K41" t="s">
        <v>67</v>
      </c>
      <c r="L41" t="s">
        <v>255</v>
      </c>
      <c r="M41" t="s">
        <v>30</v>
      </c>
      <c r="N41" t="s">
        <v>36</v>
      </c>
      <c r="O41" t="s">
        <v>256</v>
      </c>
      <c r="P41">
        <v>396.80200000000002</v>
      </c>
      <c r="Q41">
        <v>7</v>
      </c>
      <c r="R41">
        <v>-11.337199999999999</v>
      </c>
      <c r="S41" s="9" t="s">
        <v>70</v>
      </c>
      <c r="T41" t="s">
        <v>34</v>
      </c>
    </row>
    <row r="42" spans="1:20" x14ac:dyDescent="0.2">
      <c r="A42" t="s">
        <v>257</v>
      </c>
      <c r="B42" s="1">
        <v>42289</v>
      </c>
      <c r="C42" s="1">
        <v>42291</v>
      </c>
      <c r="D42" t="s">
        <v>87</v>
      </c>
      <c r="E42" t="s">
        <v>258</v>
      </c>
      <c r="F42" t="s">
        <v>259</v>
      </c>
      <c r="G42" t="s">
        <v>100</v>
      </c>
      <c r="H42" t="s">
        <v>25</v>
      </c>
      <c r="I42" t="s">
        <v>173</v>
      </c>
      <c r="J42" t="s">
        <v>120</v>
      </c>
      <c r="K42" t="s">
        <v>67</v>
      </c>
      <c r="L42" t="s">
        <v>260</v>
      </c>
      <c r="M42" t="s">
        <v>30</v>
      </c>
      <c r="N42" t="s">
        <v>31</v>
      </c>
      <c r="O42" t="s">
        <v>261</v>
      </c>
      <c r="P42">
        <v>899.13599999999997</v>
      </c>
      <c r="Q42">
        <v>4</v>
      </c>
      <c r="R42">
        <v>112.392</v>
      </c>
      <c r="S42" s="9" t="s">
        <v>70</v>
      </c>
      <c r="T42" t="s">
        <v>48</v>
      </c>
    </row>
    <row r="43" spans="1:20" x14ac:dyDescent="0.2">
      <c r="A43" t="s">
        <v>257</v>
      </c>
      <c r="B43" s="1">
        <v>42289</v>
      </c>
      <c r="C43" s="1">
        <v>42291</v>
      </c>
      <c r="D43" t="s">
        <v>87</v>
      </c>
      <c r="E43" t="s">
        <v>258</v>
      </c>
      <c r="F43" t="s">
        <v>259</v>
      </c>
      <c r="G43" t="s">
        <v>100</v>
      </c>
      <c r="H43" t="s">
        <v>25</v>
      </c>
      <c r="I43" t="s">
        <v>173</v>
      </c>
      <c r="J43" t="s">
        <v>120</v>
      </c>
      <c r="K43" t="s">
        <v>67</v>
      </c>
      <c r="L43" t="s">
        <v>102</v>
      </c>
      <c r="M43" t="s">
        <v>30</v>
      </c>
      <c r="N43" t="s">
        <v>31</v>
      </c>
      <c r="O43" t="s">
        <v>103</v>
      </c>
      <c r="P43">
        <v>626.35199999999998</v>
      </c>
      <c r="Q43">
        <v>3</v>
      </c>
      <c r="R43">
        <v>46.976399999999998</v>
      </c>
      <c r="S43" s="9" t="s">
        <v>70</v>
      </c>
      <c r="T43" t="s">
        <v>48</v>
      </c>
    </row>
    <row r="44" spans="1:20" x14ac:dyDescent="0.2">
      <c r="A44" t="s">
        <v>262</v>
      </c>
      <c r="B44" s="1">
        <v>41854</v>
      </c>
      <c r="C44" s="1">
        <v>41856</v>
      </c>
      <c r="D44" t="s">
        <v>87</v>
      </c>
      <c r="E44" t="s">
        <v>263</v>
      </c>
      <c r="F44" t="s">
        <v>264</v>
      </c>
      <c r="G44" t="s">
        <v>24</v>
      </c>
      <c r="H44" t="s">
        <v>25</v>
      </c>
      <c r="I44" t="s">
        <v>265</v>
      </c>
      <c r="J44" t="s">
        <v>180</v>
      </c>
      <c r="K44" t="s">
        <v>54</v>
      </c>
      <c r="L44" t="s">
        <v>266</v>
      </c>
      <c r="M44" t="s">
        <v>30</v>
      </c>
      <c r="N44" t="s">
        <v>45</v>
      </c>
      <c r="O44" t="s">
        <v>267</v>
      </c>
      <c r="P44">
        <v>218.75</v>
      </c>
      <c r="Q44">
        <v>2</v>
      </c>
      <c r="R44">
        <v>-161.875</v>
      </c>
      <c r="S44" s="9" t="s">
        <v>70</v>
      </c>
      <c r="T44" t="s">
        <v>253</v>
      </c>
    </row>
    <row r="45" spans="1:20" x14ac:dyDescent="0.2">
      <c r="A45" t="s">
        <v>268</v>
      </c>
      <c r="B45" s="1">
        <v>42889</v>
      </c>
      <c r="C45" s="1">
        <v>42893</v>
      </c>
      <c r="D45" t="s">
        <v>39</v>
      </c>
      <c r="E45" t="s">
        <v>269</v>
      </c>
      <c r="F45" t="s">
        <v>270</v>
      </c>
      <c r="G45" t="s">
        <v>90</v>
      </c>
      <c r="H45" t="s">
        <v>25</v>
      </c>
      <c r="I45" t="s">
        <v>237</v>
      </c>
      <c r="J45" t="s">
        <v>141</v>
      </c>
      <c r="K45" t="s">
        <v>28</v>
      </c>
      <c r="L45" t="s">
        <v>271</v>
      </c>
      <c r="M45" t="s">
        <v>30</v>
      </c>
      <c r="N45" t="s">
        <v>56</v>
      </c>
      <c r="O45" t="s">
        <v>272</v>
      </c>
      <c r="P45">
        <v>35.167999999999999</v>
      </c>
      <c r="Q45">
        <v>7</v>
      </c>
      <c r="R45">
        <v>9.6712000000000007</v>
      </c>
      <c r="S45" s="9" t="s">
        <v>83</v>
      </c>
      <c r="T45" t="s">
        <v>59</v>
      </c>
    </row>
    <row r="46" spans="1:20" x14ac:dyDescent="0.2">
      <c r="A46" t="s">
        <v>273</v>
      </c>
      <c r="B46" s="1">
        <v>42006</v>
      </c>
      <c r="C46" s="1">
        <v>42013</v>
      </c>
      <c r="D46" t="s">
        <v>39</v>
      </c>
      <c r="E46" t="s">
        <v>274</v>
      </c>
      <c r="F46" t="s">
        <v>275</v>
      </c>
      <c r="G46" t="s">
        <v>90</v>
      </c>
      <c r="H46" t="s">
        <v>25</v>
      </c>
      <c r="I46" t="s">
        <v>276</v>
      </c>
      <c r="J46" t="s">
        <v>231</v>
      </c>
      <c r="K46" t="s">
        <v>67</v>
      </c>
      <c r="L46" t="s">
        <v>277</v>
      </c>
      <c r="M46" t="s">
        <v>30</v>
      </c>
      <c r="N46" t="s">
        <v>31</v>
      </c>
      <c r="O46" t="s">
        <v>278</v>
      </c>
      <c r="P46">
        <v>452.45</v>
      </c>
      <c r="Q46">
        <v>5</v>
      </c>
      <c r="R46">
        <v>-244.32300000000001</v>
      </c>
      <c r="S46" s="9" t="s">
        <v>47</v>
      </c>
      <c r="T46" t="s">
        <v>169</v>
      </c>
    </row>
    <row r="47" spans="1:20" x14ac:dyDescent="0.2">
      <c r="A47" t="s">
        <v>279</v>
      </c>
      <c r="B47" s="1">
        <v>42362</v>
      </c>
      <c r="C47" s="1">
        <v>42365</v>
      </c>
      <c r="D47" t="s">
        <v>87</v>
      </c>
      <c r="E47" t="s">
        <v>280</v>
      </c>
      <c r="F47" t="s">
        <v>281</v>
      </c>
      <c r="G47" t="s">
        <v>24</v>
      </c>
      <c r="H47" t="s">
        <v>25</v>
      </c>
      <c r="I47" t="s">
        <v>282</v>
      </c>
      <c r="J47" t="s">
        <v>231</v>
      </c>
      <c r="K47" t="s">
        <v>67</v>
      </c>
      <c r="L47" t="s">
        <v>283</v>
      </c>
      <c r="M47" t="s">
        <v>30</v>
      </c>
      <c r="N47" t="s">
        <v>56</v>
      </c>
      <c r="O47" t="s">
        <v>284</v>
      </c>
      <c r="P47">
        <v>72.703999999999994</v>
      </c>
      <c r="Q47">
        <v>4</v>
      </c>
      <c r="R47">
        <v>19.084800000000001</v>
      </c>
      <c r="S47" s="9" t="s">
        <v>33</v>
      </c>
      <c r="T47" t="s">
        <v>96</v>
      </c>
    </row>
    <row r="48" spans="1:20" x14ac:dyDescent="0.2">
      <c r="A48" t="s">
        <v>285</v>
      </c>
      <c r="B48" s="1">
        <v>42225</v>
      </c>
      <c r="C48" s="1">
        <v>42232</v>
      </c>
      <c r="D48" t="s">
        <v>39</v>
      </c>
      <c r="E48" t="s">
        <v>286</v>
      </c>
      <c r="F48" t="s">
        <v>287</v>
      </c>
      <c r="G48" t="s">
        <v>90</v>
      </c>
      <c r="H48" t="s">
        <v>25</v>
      </c>
      <c r="I48" t="s">
        <v>288</v>
      </c>
      <c r="J48" t="s">
        <v>289</v>
      </c>
      <c r="K48" t="s">
        <v>93</v>
      </c>
      <c r="L48" t="s">
        <v>290</v>
      </c>
      <c r="M48" t="s">
        <v>30</v>
      </c>
      <c r="N48" t="s">
        <v>45</v>
      </c>
      <c r="O48" t="s">
        <v>291</v>
      </c>
      <c r="P48">
        <v>622.45000000000005</v>
      </c>
      <c r="Q48">
        <v>5</v>
      </c>
      <c r="R48">
        <v>136.93899999999999</v>
      </c>
      <c r="S48" s="9" t="s">
        <v>47</v>
      </c>
      <c r="T48" t="s">
        <v>253</v>
      </c>
    </row>
    <row r="49" spans="1:20" x14ac:dyDescent="0.2">
      <c r="A49" t="s">
        <v>292</v>
      </c>
      <c r="B49" s="1">
        <v>42063</v>
      </c>
      <c r="C49" s="1">
        <v>42067</v>
      </c>
      <c r="D49" t="s">
        <v>39</v>
      </c>
      <c r="E49" t="s">
        <v>293</v>
      </c>
      <c r="F49" t="s">
        <v>294</v>
      </c>
      <c r="G49" t="s">
        <v>24</v>
      </c>
      <c r="H49" t="s">
        <v>25</v>
      </c>
      <c r="I49" t="s">
        <v>157</v>
      </c>
      <c r="J49" t="s">
        <v>141</v>
      </c>
      <c r="K49" t="s">
        <v>28</v>
      </c>
      <c r="L49" t="s">
        <v>295</v>
      </c>
      <c r="M49" t="s">
        <v>30</v>
      </c>
      <c r="N49" t="s">
        <v>36</v>
      </c>
      <c r="O49" t="s">
        <v>296</v>
      </c>
      <c r="P49">
        <v>161.56800000000001</v>
      </c>
      <c r="Q49">
        <v>2</v>
      </c>
      <c r="R49">
        <v>-28.2744</v>
      </c>
      <c r="S49" s="9" t="s">
        <v>83</v>
      </c>
      <c r="T49" t="s">
        <v>297</v>
      </c>
    </row>
    <row r="50" spans="1:20" x14ac:dyDescent="0.2">
      <c r="A50" t="s">
        <v>292</v>
      </c>
      <c r="B50" s="1">
        <v>42063</v>
      </c>
      <c r="C50" s="1">
        <v>42067</v>
      </c>
      <c r="D50" t="s">
        <v>39</v>
      </c>
      <c r="E50" t="s">
        <v>293</v>
      </c>
      <c r="F50" t="s">
        <v>294</v>
      </c>
      <c r="G50" t="s">
        <v>24</v>
      </c>
      <c r="H50" t="s">
        <v>25</v>
      </c>
      <c r="I50" t="s">
        <v>157</v>
      </c>
      <c r="J50" t="s">
        <v>141</v>
      </c>
      <c r="K50" t="s">
        <v>28</v>
      </c>
      <c r="L50" t="s">
        <v>298</v>
      </c>
      <c r="M50" t="s">
        <v>30</v>
      </c>
      <c r="N50" t="s">
        <v>36</v>
      </c>
      <c r="O50" t="s">
        <v>299</v>
      </c>
      <c r="P50">
        <v>389.69600000000003</v>
      </c>
      <c r="Q50">
        <v>8</v>
      </c>
      <c r="R50">
        <v>43.840800000000002</v>
      </c>
      <c r="S50" s="9" t="s">
        <v>83</v>
      </c>
      <c r="T50" t="s">
        <v>297</v>
      </c>
    </row>
    <row r="51" spans="1:20" x14ac:dyDescent="0.2">
      <c r="A51" t="s">
        <v>300</v>
      </c>
      <c r="B51" s="1">
        <v>42832</v>
      </c>
      <c r="C51" s="1">
        <v>42837</v>
      </c>
      <c r="D51" t="s">
        <v>39</v>
      </c>
      <c r="E51" t="s">
        <v>301</v>
      </c>
      <c r="F51" t="s">
        <v>302</v>
      </c>
      <c r="G51" t="s">
        <v>100</v>
      </c>
      <c r="H51" t="s">
        <v>25</v>
      </c>
      <c r="I51" t="s">
        <v>303</v>
      </c>
      <c r="J51" t="s">
        <v>43</v>
      </c>
      <c r="K51" t="s">
        <v>28</v>
      </c>
      <c r="L51" t="s">
        <v>304</v>
      </c>
      <c r="M51" t="s">
        <v>30</v>
      </c>
      <c r="N51" t="s">
        <v>45</v>
      </c>
      <c r="O51" t="s">
        <v>305</v>
      </c>
      <c r="P51">
        <v>233.86</v>
      </c>
      <c r="Q51">
        <v>2</v>
      </c>
      <c r="R51">
        <v>-102.048</v>
      </c>
      <c r="S51" s="9" t="s">
        <v>58</v>
      </c>
      <c r="T51" t="s">
        <v>113</v>
      </c>
    </row>
    <row r="52" spans="1:20" x14ac:dyDescent="0.2">
      <c r="A52" t="s">
        <v>300</v>
      </c>
      <c r="B52" s="1">
        <v>42832</v>
      </c>
      <c r="C52" s="1">
        <v>42837</v>
      </c>
      <c r="D52" t="s">
        <v>39</v>
      </c>
      <c r="E52" t="s">
        <v>301</v>
      </c>
      <c r="F52" t="s">
        <v>302</v>
      </c>
      <c r="G52" t="s">
        <v>100</v>
      </c>
      <c r="H52" t="s">
        <v>25</v>
      </c>
      <c r="I52" t="s">
        <v>303</v>
      </c>
      <c r="J52" t="s">
        <v>43</v>
      </c>
      <c r="K52" t="s">
        <v>28</v>
      </c>
      <c r="L52" t="s">
        <v>306</v>
      </c>
      <c r="M52" t="s">
        <v>30</v>
      </c>
      <c r="N52" t="s">
        <v>45</v>
      </c>
      <c r="O52" t="s">
        <v>307</v>
      </c>
      <c r="P52">
        <v>620.61450000000002</v>
      </c>
      <c r="Q52">
        <v>3</v>
      </c>
      <c r="R52">
        <v>-248.2458</v>
      </c>
      <c r="S52" s="9" t="s">
        <v>58</v>
      </c>
      <c r="T52" t="s">
        <v>113</v>
      </c>
    </row>
    <row r="53" spans="1:20" x14ac:dyDescent="0.2">
      <c r="A53" t="s">
        <v>300</v>
      </c>
      <c r="B53" s="1">
        <v>42832</v>
      </c>
      <c r="C53" s="1">
        <v>42837</v>
      </c>
      <c r="D53" t="s">
        <v>39</v>
      </c>
      <c r="E53" t="s">
        <v>301</v>
      </c>
      <c r="F53" t="s">
        <v>302</v>
      </c>
      <c r="G53" t="s">
        <v>100</v>
      </c>
      <c r="H53" t="s">
        <v>25</v>
      </c>
      <c r="I53" t="s">
        <v>303</v>
      </c>
      <c r="J53" t="s">
        <v>43</v>
      </c>
      <c r="K53" t="s">
        <v>28</v>
      </c>
      <c r="L53" t="s">
        <v>308</v>
      </c>
      <c r="M53" t="s">
        <v>30</v>
      </c>
      <c r="N53" t="s">
        <v>56</v>
      </c>
      <c r="O53" t="s">
        <v>309</v>
      </c>
      <c r="P53">
        <v>258.072</v>
      </c>
      <c r="Q53">
        <v>3</v>
      </c>
      <c r="R53">
        <v>0</v>
      </c>
      <c r="S53" s="9" t="s">
        <v>58</v>
      </c>
      <c r="T53" t="s">
        <v>113</v>
      </c>
    </row>
    <row r="54" spans="1:20" x14ac:dyDescent="0.2">
      <c r="A54" t="s">
        <v>310</v>
      </c>
      <c r="B54" s="1">
        <v>42525</v>
      </c>
      <c r="C54" s="1">
        <v>42530</v>
      </c>
      <c r="D54" t="s">
        <v>21</v>
      </c>
      <c r="E54" t="s">
        <v>311</v>
      </c>
      <c r="F54" t="s">
        <v>312</v>
      </c>
      <c r="G54" t="s">
        <v>24</v>
      </c>
      <c r="H54" t="s">
        <v>25</v>
      </c>
      <c r="I54" t="s">
        <v>133</v>
      </c>
      <c r="J54" t="s">
        <v>134</v>
      </c>
      <c r="K54" t="s">
        <v>93</v>
      </c>
      <c r="L54" t="s">
        <v>313</v>
      </c>
      <c r="M54" t="s">
        <v>30</v>
      </c>
      <c r="N54" t="s">
        <v>56</v>
      </c>
      <c r="O54" t="s">
        <v>314</v>
      </c>
      <c r="P54">
        <v>419.68</v>
      </c>
      <c r="Q54">
        <v>5</v>
      </c>
      <c r="R54">
        <v>-356.72800000000001</v>
      </c>
      <c r="S54" s="9" t="s">
        <v>58</v>
      </c>
      <c r="T54" t="s">
        <v>59</v>
      </c>
    </row>
    <row r="55" spans="1:20" x14ac:dyDescent="0.2">
      <c r="A55" t="s">
        <v>310</v>
      </c>
      <c r="B55" s="1">
        <v>42525</v>
      </c>
      <c r="C55" s="1">
        <v>42530</v>
      </c>
      <c r="D55" t="s">
        <v>21</v>
      </c>
      <c r="E55" t="s">
        <v>311</v>
      </c>
      <c r="F55" t="s">
        <v>312</v>
      </c>
      <c r="G55" t="s">
        <v>24</v>
      </c>
      <c r="H55" t="s">
        <v>25</v>
      </c>
      <c r="I55" t="s">
        <v>133</v>
      </c>
      <c r="J55" t="s">
        <v>134</v>
      </c>
      <c r="K55" t="s">
        <v>93</v>
      </c>
      <c r="L55" t="s">
        <v>315</v>
      </c>
      <c r="M55" t="s">
        <v>30</v>
      </c>
      <c r="N55" t="s">
        <v>56</v>
      </c>
      <c r="O55" t="s">
        <v>316</v>
      </c>
      <c r="P55">
        <v>11.688000000000001</v>
      </c>
      <c r="Q55">
        <v>3</v>
      </c>
      <c r="R55">
        <v>-4.6752000000000002</v>
      </c>
      <c r="S55" s="9" t="s">
        <v>58</v>
      </c>
      <c r="T55" t="s">
        <v>59</v>
      </c>
    </row>
    <row r="56" spans="1:20" x14ac:dyDescent="0.2">
      <c r="A56" t="s">
        <v>310</v>
      </c>
      <c r="B56" s="1">
        <v>42525</v>
      </c>
      <c r="C56" s="1">
        <v>42530</v>
      </c>
      <c r="D56" t="s">
        <v>21</v>
      </c>
      <c r="E56" t="s">
        <v>311</v>
      </c>
      <c r="F56" t="s">
        <v>312</v>
      </c>
      <c r="G56" t="s">
        <v>24</v>
      </c>
      <c r="H56" t="s">
        <v>25</v>
      </c>
      <c r="I56" t="s">
        <v>133</v>
      </c>
      <c r="J56" t="s">
        <v>134</v>
      </c>
      <c r="K56" t="s">
        <v>93</v>
      </c>
      <c r="L56" t="s">
        <v>317</v>
      </c>
      <c r="M56" t="s">
        <v>30</v>
      </c>
      <c r="N56" t="s">
        <v>45</v>
      </c>
      <c r="O56" t="s">
        <v>318</v>
      </c>
      <c r="P56">
        <v>177.22499999999999</v>
      </c>
      <c r="Q56">
        <v>5</v>
      </c>
      <c r="R56">
        <v>-120.51300000000001</v>
      </c>
      <c r="S56" s="9" t="s">
        <v>58</v>
      </c>
      <c r="T56" t="s">
        <v>59</v>
      </c>
    </row>
    <row r="57" spans="1:20" x14ac:dyDescent="0.2">
      <c r="A57" t="s">
        <v>310</v>
      </c>
      <c r="B57" s="1">
        <v>42525</v>
      </c>
      <c r="C57" s="1">
        <v>42530</v>
      </c>
      <c r="D57" t="s">
        <v>21</v>
      </c>
      <c r="E57" t="s">
        <v>311</v>
      </c>
      <c r="F57" t="s">
        <v>312</v>
      </c>
      <c r="G57" t="s">
        <v>24</v>
      </c>
      <c r="H57" t="s">
        <v>25</v>
      </c>
      <c r="I57" t="s">
        <v>133</v>
      </c>
      <c r="J57" t="s">
        <v>134</v>
      </c>
      <c r="K57" t="s">
        <v>93</v>
      </c>
      <c r="L57" t="s">
        <v>319</v>
      </c>
      <c r="M57" t="s">
        <v>30</v>
      </c>
      <c r="N57" t="s">
        <v>56</v>
      </c>
      <c r="O57" t="s">
        <v>320</v>
      </c>
      <c r="P57">
        <v>4.0439999999999996</v>
      </c>
      <c r="Q57">
        <v>3</v>
      </c>
      <c r="R57">
        <v>-2.8308</v>
      </c>
      <c r="S57" s="9" t="s">
        <v>58</v>
      </c>
      <c r="T57" t="s">
        <v>59</v>
      </c>
    </row>
    <row r="58" spans="1:20" x14ac:dyDescent="0.2">
      <c r="A58" t="s">
        <v>321</v>
      </c>
      <c r="B58" s="1">
        <v>41791</v>
      </c>
      <c r="C58" s="1">
        <v>41796</v>
      </c>
      <c r="D58" t="s">
        <v>21</v>
      </c>
      <c r="E58" t="s">
        <v>322</v>
      </c>
      <c r="F58" t="s">
        <v>323</v>
      </c>
      <c r="G58" t="s">
        <v>100</v>
      </c>
      <c r="H58" t="s">
        <v>25</v>
      </c>
      <c r="I58" t="s">
        <v>324</v>
      </c>
      <c r="J58" t="s">
        <v>166</v>
      </c>
      <c r="K58" t="s">
        <v>93</v>
      </c>
      <c r="L58" t="s">
        <v>206</v>
      </c>
      <c r="M58" t="s">
        <v>30</v>
      </c>
      <c r="N58" t="s">
        <v>36</v>
      </c>
      <c r="O58" t="s">
        <v>207</v>
      </c>
      <c r="P58">
        <v>2001.86</v>
      </c>
      <c r="Q58">
        <v>7</v>
      </c>
      <c r="R58">
        <v>580.5394</v>
      </c>
      <c r="S58" s="9" t="s">
        <v>58</v>
      </c>
      <c r="T58" t="s">
        <v>59</v>
      </c>
    </row>
    <row r="59" spans="1:20" x14ac:dyDescent="0.2">
      <c r="A59" t="s">
        <v>325</v>
      </c>
      <c r="B59" s="1">
        <v>42714</v>
      </c>
      <c r="C59" s="1">
        <v>42719</v>
      </c>
      <c r="D59" t="s">
        <v>21</v>
      </c>
      <c r="E59" t="s">
        <v>326</v>
      </c>
      <c r="F59" t="s">
        <v>327</v>
      </c>
      <c r="G59" t="s">
        <v>24</v>
      </c>
      <c r="H59" t="s">
        <v>25</v>
      </c>
      <c r="I59" t="s">
        <v>328</v>
      </c>
      <c r="J59" t="s">
        <v>53</v>
      </c>
      <c r="K59" t="s">
        <v>54</v>
      </c>
      <c r="L59" t="s">
        <v>329</v>
      </c>
      <c r="M59" t="s">
        <v>30</v>
      </c>
      <c r="N59" t="s">
        <v>36</v>
      </c>
      <c r="O59" t="s">
        <v>330</v>
      </c>
      <c r="P59">
        <v>321.56799999999998</v>
      </c>
      <c r="Q59">
        <v>2</v>
      </c>
      <c r="R59">
        <v>28.1372</v>
      </c>
      <c r="S59" s="9" t="s">
        <v>58</v>
      </c>
      <c r="T59" t="s">
        <v>96</v>
      </c>
    </row>
    <row r="60" spans="1:20" x14ac:dyDescent="0.2">
      <c r="A60" t="s">
        <v>331</v>
      </c>
      <c r="B60" s="1">
        <v>42336</v>
      </c>
      <c r="C60" s="1">
        <v>42342</v>
      </c>
      <c r="D60" t="s">
        <v>39</v>
      </c>
      <c r="E60" t="s">
        <v>332</v>
      </c>
      <c r="F60" t="s">
        <v>333</v>
      </c>
      <c r="G60" t="s">
        <v>90</v>
      </c>
      <c r="H60" t="s">
        <v>25</v>
      </c>
      <c r="I60" t="s">
        <v>133</v>
      </c>
      <c r="J60" t="s">
        <v>134</v>
      </c>
      <c r="K60" t="s">
        <v>93</v>
      </c>
      <c r="L60" t="s">
        <v>319</v>
      </c>
      <c r="M60" t="s">
        <v>30</v>
      </c>
      <c r="N60" t="s">
        <v>56</v>
      </c>
      <c r="O60" t="s">
        <v>320</v>
      </c>
      <c r="P60">
        <v>12.132</v>
      </c>
      <c r="Q60">
        <v>9</v>
      </c>
      <c r="R60">
        <v>-8.4923999999999999</v>
      </c>
      <c r="S60" s="9" t="s">
        <v>129</v>
      </c>
      <c r="T60" t="s">
        <v>34</v>
      </c>
    </row>
    <row r="61" spans="1:20" x14ac:dyDescent="0.2">
      <c r="A61" t="s">
        <v>334</v>
      </c>
      <c r="B61" s="1">
        <v>42215</v>
      </c>
      <c r="C61" s="1">
        <v>42216</v>
      </c>
      <c r="D61" t="s">
        <v>87</v>
      </c>
      <c r="E61" t="s">
        <v>335</v>
      </c>
      <c r="F61" t="s">
        <v>336</v>
      </c>
      <c r="G61" t="s">
        <v>24</v>
      </c>
      <c r="H61" t="s">
        <v>25</v>
      </c>
      <c r="I61" t="s">
        <v>328</v>
      </c>
      <c r="J61" t="s">
        <v>53</v>
      </c>
      <c r="K61" t="s">
        <v>54</v>
      </c>
      <c r="L61" t="s">
        <v>337</v>
      </c>
      <c r="M61" t="s">
        <v>30</v>
      </c>
      <c r="N61" t="s">
        <v>56</v>
      </c>
      <c r="O61" t="s">
        <v>338</v>
      </c>
      <c r="P61">
        <v>5.28</v>
      </c>
      <c r="Q61">
        <v>3</v>
      </c>
      <c r="R61">
        <v>2.3231999999999999</v>
      </c>
      <c r="S61" s="9" t="s">
        <v>123</v>
      </c>
      <c r="T61" t="s">
        <v>71</v>
      </c>
    </row>
    <row r="62" spans="1:20" x14ac:dyDescent="0.2">
      <c r="A62" t="s">
        <v>339</v>
      </c>
      <c r="B62" s="1">
        <v>42310</v>
      </c>
      <c r="C62" s="1">
        <v>42314</v>
      </c>
      <c r="D62" t="s">
        <v>39</v>
      </c>
      <c r="E62" t="s">
        <v>340</v>
      </c>
      <c r="F62" t="s">
        <v>341</v>
      </c>
      <c r="G62" t="s">
        <v>24</v>
      </c>
      <c r="H62" t="s">
        <v>25</v>
      </c>
      <c r="I62" t="s">
        <v>52</v>
      </c>
      <c r="J62" t="s">
        <v>53</v>
      </c>
      <c r="K62" t="s">
        <v>54</v>
      </c>
      <c r="L62" t="s">
        <v>342</v>
      </c>
      <c r="M62" t="s">
        <v>30</v>
      </c>
      <c r="N62" t="s">
        <v>45</v>
      </c>
      <c r="O62" t="s">
        <v>343</v>
      </c>
      <c r="P62">
        <v>1038.8399999999999</v>
      </c>
      <c r="Q62">
        <v>5</v>
      </c>
      <c r="R62">
        <v>51.942</v>
      </c>
      <c r="S62" s="9" t="s">
        <v>83</v>
      </c>
      <c r="T62" t="s">
        <v>34</v>
      </c>
    </row>
    <row r="63" spans="1:20" x14ac:dyDescent="0.2">
      <c r="A63" t="s">
        <v>344</v>
      </c>
      <c r="B63" s="1">
        <v>42694</v>
      </c>
      <c r="C63" s="1">
        <v>42698</v>
      </c>
      <c r="D63" t="s">
        <v>21</v>
      </c>
      <c r="E63" t="s">
        <v>345</v>
      </c>
      <c r="F63" t="s">
        <v>346</v>
      </c>
      <c r="G63" t="s">
        <v>100</v>
      </c>
      <c r="H63" t="s">
        <v>25</v>
      </c>
      <c r="I63" t="s">
        <v>347</v>
      </c>
      <c r="J63" t="s">
        <v>231</v>
      </c>
      <c r="K63" t="s">
        <v>67</v>
      </c>
      <c r="L63" t="s">
        <v>348</v>
      </c>
      <c r="M63" t="s">
        <v>30</v>
      </c>
      <c r="N63" t="s">
        <v>31</v>
      </c>
      <c r="O63" t="s">
        <v>349</v>
      </c>
      <c r="P63">
        <v>86.97</v>
      </c>
      <c r="Q63">
        <v>3</v>
      </c>
      <c r="R63">
        <v>-48.703200000000002</v>
      </c>
      <c r="S63" s="9" t="s">
        <v>83</v>
      </c>
      <c r="T63" t="s">
        <v>34</v>
      </c>
    </row>
    <row r="64" spans="1:20" x14ac:dyDescent="0.2">
      <c r="A64" t="s">
        <v>350</v>
      </c>
      <c r="B64" s="1">
        <v>41999</v>
      </c>
      <c r="C64" s="1">
        <v>42001</v>
      </c>
      <c r="D64" t="s">
        <v>87</v>
      </c>
      <c r="E64" t="s">
        <v>351</v>
      </c>
      <c r="F64" t="s">
        <v>352</v>
      </c>
      <c r="G64" t="s">
        <v>90</v>
      </c>
      <c r="H64" t="s">
        <v>25</v>
      </c>
      <c r="I64" t="s">
        <v>353</v>
      </c>
      <c r="J64" t="s">
        <v>180</v>
      </c>
      <c r="K64" t="s">
        <v>54</v>
      </c>
      <c r="L64" t="s">
        <v>354</v>
      </c>
      <c r="M64" t="s">
        <v>30</v>
      </c>
      <c r="N64" t="s">
        <v>56</v>
      </c>
      <c r="O64" t="s">
        <v>355</v>
      </c>
      <c r="P64">
        <v>300.416</v>
      </c>
      <c r="Q64">
        <v>8</v>
      </c>
      <c r="R64">
        <v>78.859200000000001</v>
      </c>
      <c r="S64" s="9" t="s">
        <v>70</v>
      </c>
      <c r="T64" t="s">
        <v>96</v>
      </c>
    </row>
    <row r="65" spans="1:20" x14ac:dyDescent="0.2">
      <c r="A65" t="s">
        <v>350</v>
      </c>
      <c r="B65" s="1">
        <v>41999</v>
      </c>
      <c r="C65" s="1">
        <v>42001</v>
      </c>
      <c r="D65" t="s">
        <v>87</v>
      </c>
      <c r="E65" t="s">
        <v>351</v>
      </c>
      <c r="F65" t="s">
        <v>352</v>
      </c>
      <c r="G65" t="s">
        <v>90</v>
      </c>
      <c r="H65" t="s">
        <v>25</v>
      </c>
      <c r="I65" t="s">
        <v>353</v>
      </c>
      <c r="J65" t="s">
        <v>180</v>
      </c>
      <c r="K65" t="s">
        <v>54</v>
      </c>
      <c r="L65" t="s">
        <v>356</v>
      </c>
      <c r="M65" t="s">
        <v>30</v>
      </c>
      <c r="N65" t="s">
        <v>36</v>
      </c>
      <c r="O65" t="s">
        <v>357</v>
      </c>
      <c r="P65">
        <v>230.352</v>
      </c>
      <c r="Q65">
        <v>3</v>
      </c>
      <c r="R65">
        <v>20.155799999999999</v>
      </c>
      <c r="S65" s="9" t="s">
        <v>70</v>
      </c>
      <c r="T65" t="s">
        <v>96</v>
      </c>
    </row>
    <row r="66" spans="1:20" x14ac:dyDescent="0.2">
      <c r="A66" t="s">
        <v>350</v>
      </c>
      <c r="B66" s="1">
        <v>41999</v>
      </c>
      <c r="C66" s="1">
        <v>42001</v>
      </c>
      <c r="D66" t="s">
        <v>87</v>
      </c>
      <c r="E66" t="s">
        <v>351</v>
      </c>
      <c r="F66" t="s">
        <v>352</v>
      </c>
      <c r="G66" t="s">
        <v>90</v>
      </c>
      <c r="H66" t="s">
        <v>25</v>
      </c>
      <c r="I66" t="s">
        <v>353</v>
      </c>
      <c r="J66" t="s">
        <v>180</v>
      </c>
      <c r="K66" t="s">
        <v>54</v>
      </c>
      <c r="L66" t="s">
        <v>358</v>
      </c>
      <c r="M66" t="s">
        <v>30</v>
      </c>
      <c r="N66" t="s">
        <v>56</v>
      </c>
      <c r="O66" t="s">
        <v>359</v>
      </c>
      <c r="P66">
        <v>218.352</v>
      </c>
      <c r="Q66">
        <v>3</v>
      </c>
      <c r="R66">
        <v>-24.564599999999999</v>
      </c>
      <c r="S66" s="9" t="s">
        <v>70</v>
      </c>
      <c r="T66" t="s">
        <v>96</v>
      </c>
    </row>
    <row r="67" spans="1:20" x14ac:dyDescent="0.2">
      <c r="A67" t="s">
        <v>360</v>
      </c>
      <c r="B67" s="1">
        <v>42671</v>
      </c>
      <c r="C67" s="1">
        <v>42677</v>
      </c>
      <c r="D67" t="s">
        <v>39</v>
      </c>
      <c r="E67" t="s">
        <v>225</v>
      </c>
      <c r="F67" t="s">
        <v>226</v>
      </c>
      <c r="G67" t="s">
        <v>90</v>
      </c>
      <c r="H67" t="s">
        <v>25</v>
      </c>
      <c r="I67" t="s">
        <v>361</v>
      </c>
      <c r="J67" t="s">
        <v>362</v>
      </c>
      <c r="K67" t="s">
        <v>67</v>
      </c>
      <c r="L67" t="s">
        <v>363</v>
      </c>
      <c r="M67" t="s">
        <v>30</v>
      </c>
      <c r="N67" t="s">
        <v>56</v>
      </c>
      <c r="O67" t="s">
        <v>364</v>
      </c>
      <c r="P67">
        <v>77.599999999999994</v>
      </c>
      <c r="Q67">
        <v>4</v>
      </c>
      <c r="R67">
        <v>38.024000000000001</v>
      </c>
      <c r="S67" s="9" t="s">
        <v>129</v>
      </c>
      <c r="T67" t="s">
        <v>48</v>
      </c>
    </row>
    <row r="68" spans="1:20" x14ac:dyDescent="0.2">
      <c r="A68" t="s">
        <v>365</v>
      </c>
      <c r="B68" s="1">
        <v>43058</v>
      </c>
      <c r="C68" s="1">
        <v>43062</v>
      </c>
      <c r="D68" t="s">
        <v>39</v>
      </c>
      <c r="E68" t="s">
        <v>366</v>
      </c>
      <c r="F68" t="s">
        <v>367</v>
      </c>
      <c r="G68" t="s">
        <v>24</v>
      </c>
      <c r="H68" t="s">
        <v>25</v>
      </c>
      <c r="I68" t="s">
        <v>133</v>
      </c>
      <c r="J68" t="s">
        <v>134</v>
      </c>
      <c r="K68" t="s">
        <v>93</v>
      </c>
      <c r="L68" t="s">
        <v>368</v>
      </c>
      <c r="M68" t="s">
        <v>30</v>
      </c>
      <c r="N68" t="s">
        <v>45</v>
      </c>
      <c r="O68" t="s">
        <v>369</v>
      </c>
      <c r="P68">
        <v>219.07499999999999</v>
      </c>
      <c r="Q68">
        <v>3</v>
      </c>
      <c r="R68">
        <v>-131.44499999999999</v>
      </c>
      <c r="S68" s="9" t="s">
        <v>83</v>
      </c>
      <c r="T68" t="s">
        <v>34</v>
      </c>
    </row>
    <row r="69" spans="1:20" x14ac:dyDescent="0.2">
      <c r="A69" t="s">
        <v>370</v>
      </c>
      <c r="B69" s="1">
        <v>42128</v>
      </c>
      <c r="C69" s="1">
        <v>42133</v>
      </c>
      <c r="D69" t="s">
        <v>21</v>
      </c>
      <c r="E69" t="s">
        <v>371</v>
      </c>
      <c r="F69" t="s">
        <v>372</v>
      </c>
      <c r="G69" t="s">
        <v>90</v>
      </c>
      <c r="H69" t="s">
        <v>25</v>
      </c>
      <c r="I69" t="s">
        <v>173</v>
      </c>
      <c r="J69" t="s">
        <v>120</v>
      </c>
      <c r="K69" t="s">
        <v>67</v>
      </c>
      <c r="L69" t="s">
        <v>373</v>
      </c>
      <c r="M69" t="s">
        <v>30</v>
      </c>
      <c r="N69" t="s">
        <v>56</v>
      </c>
      <c r="O69" t="s">
        <v>374</v>
      </c>
      <c r="P69">
        <v>26.8</v>
      </c>
      <c r="Q69">
        <v>2</v>
      </c>
      <c r="R69">
        <v>12.864000000000001</v>
      </c>
      <c r="S69" s="9" t="s">
        <v>58</v>
      </c>
      <c r="T69" t="s">
        <v>161</v>
      </c>
    </row>
    <row r="70" spans="1:20" x14ac:dyDescent="0.2">
      <c r="A70" t="s">
        <v>375</v>
      </c>
      <c r="B70" s="1">
        <v>42625</v>
      </c>
      <c r="C70" s="1">
        <v>42627</v>
      </c>
      <c r="D70" t="s">
        <v>21</v>
      </c>
      <c r="E70" t="s">
        <v>376</v>
      </c>
      <c r="F70" t="s">
        <v>377</v>
      </c>
      <c r="G70" t="s">
        <v>90</v>
      </c>
      <c r="H70" t="s">
        <v>25</v>
      </c>
      <c r="I70" t="s">
        <v>378</v>
      </c>
      <c r="J70" t="s">
        <v>180</v>
      </c>
      <c r="K70" t="s">
        <v>54</v>
      </c>
      <c r="L70" t="s">
        <v>379</v>
      </c>
      <c r="M70" t="s">
        <v>30</v>
      </c>
      <c r="N70" t="s">
        <v>56</v>
      </c>
      <c r="O70" t="s">
        <v>380</v>
      </c>
      <c r="P70">
        <v>15.135999999999999</v>
      </c>
      <c r="Q70">
        <v>4</v>
      </c>
      <c r="R70">
        <v>3.5948000000000002</v>
      </c>
      <c r="S70" s="9" t="s">
        <v>70</v>
      </c>
      <c r="T70" t="s">
        <v>77</v>
      </c>
    </row>
    <row r="71" spans="1:20" x14ac:dyDescent="0.2">
      <c r="A71" t="s">
        <v>375</v>
      </c>
      <c r="B71" s="1">
        <v>42625</v>
      </c>
      <c r="C71" s="1">
        <v>42627</v>
      </c>
      <c r="D71" t="s">
        <v>21</v>
      </c>
      <c r="E71" t="s">
        <v>376</v>
      </c>
      <c r="F71" t="s">
        <v>377</v>
      </c>
      <c r="G71" t="s">
        <v>90</v>
      </c>
      <c r="H71" t="s">
        <v>25</v>
      </c>
      <c r="I71" t="s">
        <v>378</v>
      </c>
      <c r="J71" t="s">
        <v>180</v>
      </c>
      <c r="K71" t="s">
        <v>54</v>
      </c>
      <c r="L71" t="s">
        <v>381</v>
      </c>
      <c r="M71" t="s">
        <v>30</v>
      </c>
      <c r="N71" t="s">
        <v>36</v>
      </c>
      <c r="O71" t="s">
        <v>382</v>
      </c>
      <c r="P71">
        <v>466.76799999999997</v>
      </c>
      <c r="Q71">
        <v>2</v>
      </c>
      <c r="R71">
        <v>52.511400000000002</v>
      </c>
      <c r="S71" s="9" t="s">
        <v>70</v>
      </c>
      <c r="T71" t="s">
        <v>77</v>
      </c>
    </row>
    <row r="72" spans="1:20" x14ac:dyDescent="0.2">
      <c r="A72" t="s">
        <v>375</v>
      </c>
      <c r="B72" s="1">
        <v>42625</v>
      </c>
      <c r="C72" s="1">
        <v>42627</v>
      </c>
      <c r="D72" t="s">
        <v>21</v>
      </c>
      <c r="E72" t="s">
        <v>376</v>
      </c>
      <c r="F72" t="s">
        <v>377</v>
      </c>
      <c r="G72" t="s">
        <v>90</v>
      </c>
      <c r="H72" t="s">
        <v>25</v>
      </c>
      <c r="I72" t="s">
        <v>378</v>
      </c>
      <c r="J72" t="s">
        <v>180</v>
      </c>
      <c r="K72" t="s">
        <v>54</v>
      </c>
      <c r="L72" t="s">
        <v>383</v>
      </c>
      <c r="M72" t="s">
        <v>30</v>
      </c>
      <c r="N72" t="s">
        <v>56</v>
      </c>
      <c r="O72" t="s">
        <v>384</v>
      </c>
      <c r="P72">
        <v>15.231999999999999</v>
      </c>
      <c r="Q72">
        <v>1</v>
      </c>
      <c r="R72">
        <v>1.7136</v>
      </c>
      <c r="S72" s="9" t="s">
        <v>70</v>
      </c>
      <c r="T72" t="s">
        <v>77</v>
      </c>
    </row>
    <row r="73" spans="1:20" x14ac:dyDescent="0.2">
      <c r="A73" t="s">
        <v>385</v>
      </c>
      <c r="B73" s="1">
        <v>41909</v>
      </c>
      <c r="C73" s="1">
        <v>41915</v>
      </c>
      <c r="D73" t="s">
        <v>39</v>
      </c>
      <c r="E73" t="s">
        <v>386</v>
      </c>
      <c r="F73" t="s">
        <v>387</v>
      </c>
      <c r="G73" t="s">
        <v>90</v>
      </c>
      <c r="H73" t="s">
        <v>25</v>
      </c>
      <c r="I73" t="s">
        <v>388</v>
      </c>
      <c r="J73" t="s">
        <v>362</v>
      </c>
      <c r="K73" t="s">
        <v>67</v>
      </c>
      <c r="L73" t="s">
        <v>389</v>
      </c>
      <c r="M73" t="s">
        <v>30</v>
      </c>
      <c r="N73" t="s">
        <v>56</v>
      </c>
      <c r="O73" t="s">
        <v>390</v>
      </c>
      <c r="P73">
        <v>87.54</v>
      </c>
      <c r="Q73">
        <v>3</v>
      </c>
      <c r="R73">
        <v>37.642200000000003</v>
      </c>
      <c r="S73" s="9" t="s">
        <v>129</v>
      </c>
      <c r="T73" t="s">
        <v>77</v>
      </c>
    </row>
    <row r="74" spans="1:20" x14ac:dyDescent="0.2">
      <c r="A74" t="s">
        <v>391</v>
      </c>
      <c r="B74" s="1">
        <v>41947</v>
      </c>
      <c r="C74" s="1">
        <v>41952</v>
      </c>
      <c r="D74" t="s">
        <v>39</v>
      </c>
      <c r="E74" t="s">
        <v>392</v>
      </c>
      <c r="F74" t="s">
        <v>393</v>
      </c>
      <c r="G74" t="s">
        <v>100</v>
      </c>
      <c r="H74" t="s">
        <v>25</v>
      </c>
      <c r="I74" t="s">
        <v>173</v>
      </c>
      <c r="J74" t="s">
        <v>120</v>
      </c>
      <c r="K74" t="s">
        <v>67</v>
      </c>
      <c r="L74" t="s">
        <v>394</v>
      </c>
      <c r="M74" t="s">
        <v>30</v>
      </c>
      <c r="N74" t="s">
        <v>36</v>
      </c>
      <c r="O74" t="s">
        <v>395</v>
      </c>
      <c r="P74">
        <v>135.88200000000001</v>
      </c>
      <c r="Q74">
        <v>1</v>
      </c>
      <c r="R74">
        <v>24.1568</v>
      </c>
      <c r="S74" s="9" t="s">
        <v>58</v>
      </c>
      <c r="T74" t="s">
        <v>34</v>
      </c>
    </row>
    <row r="75" spans="1:20" x14ac:dyDescent="0.2">
      <c r="A75" t="s">
        <v>396</v>
      </c>
      <c r="B75" s="1">
        <v>43042</v>
      </c>
      <c r="C75" s="1">
        <v>43044</v>
      </c>
      <c r="D75" t="s">
        <v>21</v>
      </c>
      <c r="E75" t="s">
        <v>397</v>
      </c>
      <c r="F75" t="s">
        <v>398</v>
      </c>
      <c r="G75" t="s">
        <v>90</v>
      </c>
      <c r="H75" t="s">
        <v>25</v>
      </c>
      <c r="I75" t="s">
        <v>399</v>
      </c>
      <c r="J75" t="s">
        <v>141</v>
      </c>
      <c r="K75" t="s">
        <v>28</v>
      </c>
      <c r="L75" t="s">
        <v>400</v>
      </c>
      <c r="M75" t="s">
        <v>30</v>
      </c>
      <c r="N75" t="s">
        <v>56</v>
      </c>
      <c r="O75" t="s">
        <v>401</v>
      </c>
      <c r="P75">
        <v>15.992000000000001</v>
      </c>
      <c r="Q75">
        <v>1</v>
      </c>
      <c r="R75">
        <v>0.99950000000000006</v>
      </c>
      <c r="S75" s="9" t="s">
        <v>70</v>
      </c>
      <c r="T75" t="s">
        <v>34</v>
      </c>
    </row>
    <row r="76" spans="1:20" x14ac:dyDescent="0.2">
      <c r="A76" t="s">
        <v>402</v>
      </c>
      <c r="B76" s="1">
        <v>42612</v>
      </c>
      <c r="C76" s="1">
        <v>42614</v>
      </c>
      <c r="D76" t="s">
        <v>87</v>
      </c>
      <c r="E76" t="s">
        <v>403</v>
      </c>
      <c r="F76" t="s">
        <v>404</v>
      </c>
      <c r="G76" t="s">
        <v>24</v>
      </c>
      <c r="H76" t="s">
        <v>25</v>
      </c>
      <c r="I76" t="s">
        <v>65</v>
      </c>
      <c r="J76" t="s">
        <v>66</v>
      </c>
      <c r="K76" t="s">
        <v>67</v>
      </c>
      <c r="L76" t="s">
        <v>405</v>
      </c>
      <c r="M76" t="s">
        <v>30</v>
      </c>
      <c r="N76" t="s">
        <v>36</v>
      </c>
      <c r="O76" t="s">
        <v>406</v>
      </c>
      <c r="P76">
        <v>786.74400000000003</v>
      </c>
      <c r="Q76">
        <v>4</v>
      </c>
      <c r="R76">
        <v>-258.5016</v>
      </c>
      <c r="S76" s="9" t="s">
        <v>70</v>
      </c>
      <c r="T76" t="s">
        <v>253</v>
      </c>
    </row>
    <row r="77" spans="1:20" x14ac:dyDescent="0.2">
      <c r="A77" t="s">
        <v>407</v>
      </c>
      <c r="B77" s="1">
        <v>41832</v>
      </c>
      <c r="C77" s="1">
        <v>41837</v>
      </c>
      <c r="D77" t="s">
        <v>39</v>
      </c>
      <c r="E77" t="s">
        <v>408</v>
      </c>
      <c r="F77" t="s">
        <v>409</v>
      </c>
      <c r="G77" t="s">
        <v>90</v>
      </c>
      <c r="H77" t="s">
        <v>25</v>
      </c>
      <c r="I77" t="s">
        <v>328</v>
      </c>
      <c r="J77" t="s">
        <v>53</v>
      </c>
      <c r="K77" t="s">
        <v>54</v>
      </c>
      <c r="L77" t="s">
        <v>410</v>
      </c>
      <c r="M77" t="s">
        <v>30</v>
      </c>
      <c r="N77" t="s">
        <v>45</v>
      </c>
      <c r="O77" t="s">
        <v>411</v>
      </c>
      <c r="P77">
        <v>698.35199999999998</v>
      </c>
      <c r="Q77">
        <v>3</v>
      </c>
      <c r="R77">
        <v>-17.4588</v>
      </c>
      <c r="S77" s="9" t="s">
        <v>58</v>
      </c>
      <c r="T77" t="s">
        <v>71</v>
      </c>
    </row>
    <row r="78" spans="1:20" x14ac:dyDescent="0.2">
      <c r="A78" t="s">
        <v>412</v>
      </c>
      <c r="B78" s="1">
        <v>42468</v>
      </c>
      <c r="C78" s="1">
        <v>42473</v>
      </c>
      <c r="D78" t="s">
        <v>39</v>
      </c>
      <c r="E78" t="s">
        <v>413</v>
      </c>
      <c r="F78" t="s">
        <v>414</v>
      </c>
      <c r="G78" t="s">
        <v>24</v>
      </c>
      <c r="H78" t="s">
        <v>25</v>
      </c>
      <c r="I78" t="s">
        <v>173</v>
      </c>
      <c r="J78" t="s">
        <v>120</v>
      </c>
      <c r="K78" t="s">
        <v>67</v>
      </c>
      <c r="L78" t="s">
        <v>415</v>
      </c>
      <c r="M78" t="s">
        <v>30</v>
      </c>
      <c r="N78" t="s">
        <v>31</v>
      </c>
      <c r="O78" t="s">
        <v>416</v>
      </c>
      <c r="P78">
        <v>388.70400000000001</v>
      </c>
      <c r="Q78">
        <v>6</v>
      </c>
      <c r="R78">
        <v>-4.8587999999999996</v>
      </c>
      <c r="S78" s="9" t="s">
        <v>58</v>
      </c>
      <c r="T78" t="s">
        <v>113</v>
      </c>
    </row>
    <row r="79" spans="1:20" x14ac:dyDescent="0.2">
      <c r="A79" t="s">
        <v>417</v>
      </c>
      <c r="B79" s="1">
        <v>43003</v>
      </c>
      <c r="C79" s="1">
        <v>43009</v>
      </c>
      <c r="D79" t="s">
        <v>39</v>
      </c>
      <c r="E79" t="s">
        <v>418</v>
      </c>
      <c r="F79" t="s">
        <v>419</v>
      </c>
      <c r="G79" t="s">
        <v>24</v>
      </c>
      <c r="H79" t="s">
        <v>25</v>
      </c>
      <c r="I79" t="s">
        <v>173</v>
      </c>
      <c r="J79" t="s">
        <v>120</v>
      </c>
      <c r="K79" t="s">
        <v>67</v>
      </c>
      <c r="L79" t="s">
        <v>420</v>
      </c>
      <c r="M79" t="s">
        <v>30</v>
      </c>
      <c r="N79" t="s">
        <v>36</v>
      </c>
      <c r="O79" t="s">
        <v>421</v>
      </c>
      <c r="P79">
        <v>488.64600000000002</v>
      </c>
      <c r="Q79">
        <v>3</v>
      </c>
      <c r="R79">
        <v>86.870400000000004</v>
      </c>
      <c r="S79" s="9" t="s">
        <v>129</v>
      </c>
      <c r="T79" t="s">
        <v>77</v>
      </c>
    </row>
    <row r="80" spans="1:20" x14ac:dyDescent="0.2">
      <c r="A80" t="s">
        <v>417</v>
      </c>
      <c r="B80" s="1">
        <v>43003</v>
      </c>
      <c r="C80" s="1">
        <v>43009</v>
      </c>
      <c r="D80" t="s">
        <v>39</v>
      </c>
      <c r="E80" t="s">
        <v>418</v>
      </c>
      <c r="F80" t="s">
        <v>419</v>
      </c>
      <c r="G80" t="s">
        <v>24</v>
      </c>
      <c r="H80" t="s">
        <v>25</v>
      </c>
      <c r="I80" t="s">
        <v>173</v>
      </c>
      <c r="J80" t="s">
        <v>120</v>
      </c>
      <c r="K80" t="s">
        <v>67</v>
      </c>
      <c r="L80" t="s">
        <v>422</v>
      </c>
      <c r="M80" t="s">
        <v>30</v>
      </c>
      <c r="N80" t="s">
        <v>56</v>
      </c>
      <c r="O80" t="s">
        <v>423</v>
      </c>
      <c r="P80">
        <v>47.12</v>
      </c>
      <c r="Q80">
        <v>8</v>
      </c>
      <c r="R80">
        <v>20.732800000000001</v>
      </c>
      <c r="S80" s="9" t="s">
        <v>129</v>
      </c>
      <c r="T80" t="s">
        <v>77</v>
      </c>
    </row>
    <row r="81" spans="1:20" x14ac:dyDescent="0.2">
      <c r="A81" t="s">
        <v>424</v>
      </c>
      <c r="B81" s="1">
        <v>42664</v>
      </c>
      <c r="C81" s="1">
        <v>42664</v>
      </c>
      <c r="D81" t="s">
        <v>425</v>
      </c>
      <c r="E81" t="s">
        <v>426</v>
      </c>
      <c r="F81" t="s">
        <v>427</v>
      </c>
      <c r="G81" t="s">
        <v>90</v>
      </c>
      <c r="H81" t="s">
        <v>25</v>
      </c>
      <c r="I81" t="s">
        <v>428</v>
      </c>
      <c r="J81" t="s">
        <v>429</v>
      </c>
      <c r="K81" t="s">
        <v>67</v>
      </c>
      <c r="L81" t="s">
        <v>102</v>
      </c>
      <c r="M81" t="s">
        <v>30</v>
      </c>
      <c r="N81" t="s">
        <v>31</v>
      </c>
      <c r="O81" t="s">
        <v>103</v>
      </c>
      <c r="P81">
        <v>1043.92</v>
      </c>
      <c r="Q81">
        <v>4</v>
      </c>
      <c r="R81">
        <v>271.41919999999999</v>
      </c>
      <c r="S81" s="9" t="s">
        <v>430</v>
      </c>
      <c r="T81" t="s">
        <v>48</v>
      </c>
    </row>
    <row r="82" spans="1:20" x14ac:dyDescent="0.2">
      <c r="A82" t="s">
        <v>431</v>
      </c>
      <c r="B82" s="1">
        <v>42974</v>
      </c>
      <c r="C82" s="1">
        <v>42979</v>
      </c>
      <c r="D82" t="s">
        <v>39</v>
      </c>
      <c r="E82" t="s">
        <v>432</v>
      </c>
      <c r="F82" t="s">
        <v>433</v>
      </c>
      <c r="G82" t="s">
        <v>90</v>
      </c>
      <c r="H82" t="s">
        <v>25</v>
      </c>
      <c r="I82" t="s">
        <v>237</v>
      </c>
      <c r="J82" t="s">
        <v>434</v>
      </c>
      <c r="K82" t="s">
        <v>67</v>
      </c>
      <c r="L82" t="s">
        <v>435</v>
      </c>
      <c r="M82" t="s">
        <v>30</v>
      </c>
      <c r="N82" t="s">
        <v>45</v>
      </c>
      <c r="O82" t="s">
        <v>436</v>
      </c>
      <c r="P82">
        <v>1488.424</v>
      </c>
      <c r="Q82">
        <v>7</v>
      </c>
      <c r="R82">
        <v>-297.6848</v>
      </c>
      <c r="S82" s="9" t="s">
        <v>58</v>
      </c>
      <c r="T82" t="s">
        <v>253</v>
      </c>
    </row>
    <row r="83" spans="1:20" x14ac:dyDescent="0.2">
      <c r="A83" t="s">
        <v>437</v>
      </c>
      <c r="B83" s="1">
        <v>42335</v>
      </c>
      <c r="C83" s="1">
        <v>42340</v>
      </c>
      <c r="D83" t="s">
        <v>39</v>
      </c>
      <c r="E83" t="s">
        <v>438</v>
      </c>
      <c r="F83" t="s">
        <v>439</v>
      </c>
      <c r="G83" t="s">
        <v>24</v>
      </c>
      <c r="H83" t="s">
        <v>25</v>
      </c>
      <c r="I83" t="s">
        <v>440</v>
      </c>
      <c r="J83" t="s">
        <v>43</v>
      </c>
      <c r="K83" t="s">
        <v>28</v>
      </c>
      <c r="L83" t="s">
        <v>441</v>
      </c>
      <c r="M83" t="s">
        <v>30</v>
      </c>
      <c r="N83" t="s">
        <v>45</v>
      </c>
      <c r="O83" t="s">
        <v>442</v>
      </c>
      <c r="P83">
        <v>375.45749999999998</v>
      </c>
      <c r="Q83">
        <v>3</v>
      </c>
      <c r="R83">
        <v>-157.0095</v>
      </c>
      <c r="S83" s="9" t="s">
        <v>58</v>
      </c>
      <c r="T83" t="s">
        <v>34</v>
      </c>
    </row>
    <row r="84" spans="1:20" x14ac:dyDescent="0.2">
      <c r="A84" t="s">
        <v>443</v>
      </c>
      <c r="B84" s="1">
        <v>42341</v>
      </c>
      <c r="C84" s="1">
        <v>42345</v>
      </c>
      <c r="D84" t="s">
        <v>39</v>
      </c>
      <c r="E84" t="s">
        <v>444</v>
      </c>
      <c r="F84" t="s">
        <v>445</v>
      </c>
      <c r="G84" t="s">
        <v>90</v>
      </c>
      <c r="H84" t="s">
        <v>25</v>
      </c>
      <c r="I84" t="s">
        <v>65</v>
      </c>
      <c r="J84" t="s">
        <v>66</v>
      </c>
      <c r="K84" t="s">
        <v>67</v>
      </c>
      <c r="L84" t="s">
        <v>446</v>
      </c>
      <c r="M84" t="s">
        <v>30</v>
      </c>
      <c r="N84" t="s">
        <v>56</v>
      </c>
      <c r="O84" t="s">
        <v>447</v>
      </c>
      <c r="P84">
        <v>2.96</v>
      </c>
      <c r="Q84">
        <v>1</v>
      </c>
      <c r="R84">
        <v>0.77700000000000002</v>
      </c>
      <c r="S84" s="9" t="s">
        <v>83</v>
      </c>
      <c r="T84" t="s">
        <v>96</v>
      </c>
    </row>
    <row r="85" spans="1:20" x14ac:dyDescent="0.2">
      <c r="A85" t="s">
        <v>448</v>
      </c>
      <c r="B85" s="1">
        <v>42621</v>
      </c>
      <c r="C85" s="1">
        <v>42623</v>
      </c>
      <c r="D85" t="s">
        <v>21</v>
      </c>
      <c r="E85" t="s">
        <v>449</v>
      </c>
      <c r="F85" t="s">
        <v>450</v>
      </c>
      <c r="G85" t="s">
        <v>24</v>
      </c>
      <c r="H85" t="s">
        <v>25</v>
      </c>
      <c r="I85" t="s">
        <v>101</v>
      </c>
      <c r="J85" t="s">
        <v>92</v>
      </c>
      <c r="K85" t="s">
        <v>93</v>
      </c>
      <c r="L85" t="s">
        <v>81</v>
      </c>
      <c r="M85" t="s">
        <v>30</v>
      </c>
      <c r="N85" t="s">
        <v>31</v>
      </c>
      <c r="O85" t="s">
        <v>82</v>
      </c>
      <c r="P85">
        <v>2396.2656000000002</v>
      </c>
      <c r="Q85">
        <v>4</v>
      </c>
      <c r="R85">
        <v>-317.15280000000001</v>
      </c>
      <c r="S85" s="9" t="s">
        <v>70</v>
      </c>
      <c r="T85" t="s">
        <v>77</v>
      </c>
    </row>
    <row r="86" spans="1:20" x14ac:dyDescent="0.2">
      <c r="A86" t="s">
        <v>451</v>
      </c>
      <c r="B86" s="1">
        <v>43077</v>
      </c>
      <c r="C86" s="1">
        <v>43081</v>
      </c>
      <c r="D86" t="s">
        <v>39</v>
      </c>
      <c r="E86" t="s">
        <v>452</v>
      </c>
      <c r="F86" t="s">
        <v>453</v>
      </c>
      <c r="G86" t="s">
        <v>24</v>
      </c>
      <c r="H86" t="s">
        <v>25</v>
      </c>
      <c r="I86" t="s">
        <v>328</v>
      </c>
      <c r="J86" t="s">
        <v>53</v>
      </c>
      <c r="K86" t="s">
        <v>54</v>
      </c>
      <c r="L86" t="s">
        <v>454</v>
      </c>
      <c r="M86" t="s">
        <v>30</v>
      </c>
      <c r="N86" t="s">
        <v>45</v>
      </c>
      <c r="O86" t="s">
        <v>455</v>
      </c>
      <c r="P86">
        <v>1004.024</v>
      </c>
      <c r="Q86">
        <v>7</v>
      </c>
      <c r="R86">
        <v>-112.95269999999999</v>
      </c>
      <c r="S86" s="9" t="s">
        <v>83</v>
      </c>
      <c r="T86" t="s">
        <v>96</v>
      </c>
    </row>
    <row r="87" spans="1:20" x14ac:dyDescent="0.2">
      <c r="A87" t="s">
        <v>451</v>
      </c>
      <c r="B87" s="1">
        <v>43077</v>
      </c>
      <c r="C87" s="1">
        <v>43081</v>
      </c>
      <c r="D87" t="s">
        <v>39</v>
      </c>
      <c r="E87" t="s">
        <v>452</v>
      </c>
      <c r="F87" t="s">
        <v>453</v>
      </c>
      <c r="G87" t="s">
        <v>24</v>
      </c>
      <c r="H87" t="s">
        <v>25</v>
      </c>
      <c r="I87" t="s">
        <v>328</v>
      </c>
      <c r="J87" t="s">
        <v>53</v>
      </c>
      <c r="K87" t="s">
        <v>54</v>
      </c>
      <c r="L87" t="s">
        <v>456</v>
      </c>
      <c r="M87" t="s">
        <v>30</v>
      </c>
      <c r="N87" t="s">
        <v>31</v>
      </c>
      <c r="O87" t="s">
        <v>457</v>
      </c>
      <c r="P87">
        <v>1336.829</v>
      </c>
      <c r="Q87">
        <v>13</v>
      </c>
      <c r="R87">
        <v>31.454799999999999</v>
      </c>
      <c r="S87" s="9" t="s">
        <v>83</v>
      </c>
      <c r="T87" t="s">
        <v>96</v>
      </c>
    </row>
    <row r="88" spans="1:20" x14ac:dyDescent="0.2">
      <c r="A88" t="s">
        <v>451</v>
      </c>
      <c r="B88" s="1">
        <v>43077</v>
      </c>
      <c r="C88" s="1">
        <v>43081</v>
      </c>
      <c r="D88" t="s">
        <v>39</v>
      </c>
      <c r="E88" t="s">
        <v>452</v>
      </c>
      <c r="F88" t="s">
        <v>453</v>
      </c>
      <c r="G88" t="s">
        <v>24</v>
      </c>
      <c r="H88" t="s">
        <v>25</v>
      </c>
      <c r="I88" t="s">
        <v>328</v>
      </c>
      <c r="J88" t="s">
        <v>53</v>
      </c>
      <c r="K88" t="s">
        <v>54</v>
      </c>
      <c r="L88" t="s">
        <v>458</v>
      </c>
      <c r="M88" t="s">
        <v>30</v>
      </c>
      <c r="N88" t="s">
        <v>36</v>
      </c>
      <c r="O88" t="s">
        <v>459</v>
      </c>
      <c r="P88">
        <v>113.568</v>
      </c>
      <c r="Q88">
        <v>2</v>
      </c>
      <c r="R88">
        <v>-18.454799999999999</v>
      </c>
      <c r="S88" s="9" t="s">
        <v>83</v>
      </c>
      <c r="T88" t="s">
        <v>96</v>
      </c>
    </row>
    <row r="89" spans="1:20" x14ac:dyDescent="0.2">
      <c r="A89" t="s">
        <v>460</v>
      </c>
      <c r="B89" s="1">
        <v>43042</v>
      </c>
      <c r="C89" s="1">
        <v>43046</v>
      </c>
      <c r="D89" t="s">
        <v>39</v>
      </c>
      <c r="E89" t="s">
        <v>461</v>
      </c>
      <c r="F89" t="s">
        <v>462</v>
      </c>
      <c r="G89" t="s">
        <v>90</v>
      </c>
      <c r="H89" t="s">
        <v>25</v>
      </c>
      <c r="I89" t="s">
        <v>191</v>
      </c>
      <c r="J89" t="s">
        <v>192</v>
      </c>
      <c r="K89" t="s">
        <v>54</v>
      </c>
      <c r="L89" t="s">
        <v>356</v>
      </c>
      <c r="M89" t="s">
        <v>30</v>
      </c>
      <c r="N89" t="s">
        <v>36</v>
      </c>
      <c r="O89" t="s">
        <v>357</v>
      </c>
      <c r="P89">
        <v>307.13600000000002</v>
      </c>
      <c r="Q89">
        <v>4</v>
      </c>
      <c r="R89">
        <v>26.874400000000001</v>
      </c>
      <c r="S89" s="9" t="s">
        <v>83</v>
      </c>
      <c r="T89" t="s">
        <v>34</v>
      </c>
    </row>
    <row r="90" spans="1:20" x14ac:dyDescent="0.2">
      <c r="A90" t="s">
        <v>463</v>
      </c>
      <c r="B90" s="1">
        <v>42474</v>
      </c>
      <c r="C90" s="1">
        <v>42478</v>
      </c>
      <c r="D90" t="s">
        <v>39</v>
      </c>
      <c r="E90" t="s">
        <v>464</v>
      </c>
      <c r="F90" t="s">
        <v>465</v>
      </c>
      <c r="G90" t="s">
        <v>24</v>
      </c>
      <c r="H90" t="s">
        <v>25</v>
      </c>
      <c r="I90" t="s">
        <v>52</v>
      </c>
      <c r="J90" t="s">
        <v>53</v>
      </c>
      <c r="K90" t="s">
        <v>54</v>
      </c>
      <c r="L90" t="s">
        <v>466</v>
      </c>
      <c r="M90" t="s">
        <v>30</v>
      </c>
      <c r="N90" t="s">
        <v>36</v>
      </c>
      <c r="O90" t="s">
        <v>467</v>
      </c>
      <c r="P90">
        <v>383.8</v>
      </c>
      <c r="Q90">
        <v>5</v>
      </c>
      <c r="R90">
        <v>38.380000000000003</v>
      </c>
      <c r="S90" s="9" t="s">
        <v>83</v>
      </c>
      <c r="T90" t="s">
        <v>113</v>
      </c>
    </row>
    <row r="91" spans="1:20" x14ac:dyDescent="0.2">
      <c r="A91" t="s">
        <v>468</v>
      </c>
      <c r="B91" s="1">
        <v>43027</v>
      </c>
      <c r="C91" s="1">
        <v>43031</v>
      </c>
      <c r="D91" t="s">
        <v>39</v>
      </c>
      <c r="E91" t="s">
        <v>469</v>
      </c>
      <c r="F91" t="s">
        <v>470</v>
      </c>
      <c r="G91" t="s">
        <v>90</v>
      </c>
      <c r="H91" t="s">
        <v>25</v>
      </c>
      <c r="I91" t="s">
        <v>471</v>
      </c>
      <c r="J91" t="s">
        <v>434</v>
      </c>
      <c r="K91" t="s">
        <v>67</v>
      </c>
      <c r="L91" t="s">
        <v>472</v>
      </c>
      <c r="M91" t="s">
        <v>30</v>
      </c>
      <c r="N91" t="s">
        <v>56</v>
      </c>
      <c r="O91" t="s">
        <v>473</v>
      </c>
      <c r="P91">
        <v>56.56</v>
      </c>
      <c r="Q91">
        <v>4</v>
      </c>
      <c r="R91">
        <v>14.7056</v>
      </c>
      <c r="S91" s="9" t="s">
        <v>83</v>
      </c>
      <c r="T91" t="s">
        <v>48</v>
      </c>
    </row>
    <row r="92" spans="1:20" x14ac:dyDescent="0.2">
      <c r="A92" t="s">
        <v>474</v>
      </c>
      <c r="B92" s="1">
        <v>42968</v>
      </c>
      <c r="C92" s="1">
        <v>42970</v>
      </c>
      <c r="D92" t="s">
        <v>21</v>
      </c>
      <c r="E92" t="s">
        <v>475</v>
      </c>
      <c r="F92" t="s">
        <v>476</v>
      </c>
      <c r="G92" t="s">
        <v>24</v>
      </c>
      <c r="H92" t="s">
        <v>25</v>
      </c>
      <c r="I92" t="s">
        <v>477</v>
      </c>
      <c r="J92" t="s">
        <v>478</v>
      </c>
      <c r="K92" t="s">
        <v>28</v>
      </c>
      <c r="L92" t="s">
        <v>479</v>
      </c>
      <c r="M92" t="s">
        <v>30</v>
      </c>
      <c r="N92" t="s">
        <v>36</v>
      </c>
      <c r="O92" t="s">
        <v>480</v>
      </c>
      <c r="P92">
        <v>866.4</v>
      </c>
      <c r="Q92">
        <v>4</v>
      </c>
      <c r="R92">
        <v>225.26400000000001</v>
      </c>
      <c r="S92" s="9" t="s">
        <v>70</v>
      </c>
      <c r="T92" t="s">
        <v>253</v>
      </c>
    </row>
    <row r="93" spans="1:20" x14ac:dyDescent="0.2">
      <c r="A93" t="s">
        <v>481</v>
      </c>
      <c r="B93" s="1">
        <v>43062</v>
      </c>
      <c r="C93" s="1">
        <v>43065</v>
      </c>
      <c r="D93" t="s">
        <v>21</v>
      </c>
      <c r="E93" t="s">
        <v>482</v>
      </c>
      <c r="F93" t="s">
        <v>483</v>
      </c>
      <c r="G93" t="s">
        <v>90</v>
      </c>
      <c r="H93" t="s">
        <v>25</v>
      </c>
      <c r="I93" t="s">
        <v>484</v>
      </c>
      <c r="J93" t="s">
        <v>289</v>
      </c>
      <c r="K93" t="s">
        <v>93</v>
      </c>
      <c r="L93" t="s">
        <v>485</v>
      </c>
      <c r="M93" t="s">
        <v>30</v>
      </c>
      <c r="N93" t="s">
        <v>56</v>
      </c>
      <c r="O93" t="s">
        <v>486</v>
      </c>
      <c r="P93">
        <v>28.4</v>
      </c>
      <c r="Q93">
        <v>2</v>
      </c>
      <c r="R93">
        <v>11.076000000000001</v>
      </c>
      <c r="S93" s="9" t="s">
        <v>33</v>
      </c>
      <c r="T93" t="s">
        <v>34</v>
      </c>
    </row>
    <row r="94" spans="1:20" x14ac:dyDescent="0.2">
      <c r="A94" t="s">
        <v>487</v>
      </c>
      <c r="B94" s="1">
        <v>42755</v>
      </c>
      <c r="C94" s="1">
        <v>42758</v>
      </c>
      <c r="D94" t="s">
        <v>21</v>
      </c>
      <c r="E94" t="s">
        <v>184</v>
      </c>
      <c r="F94" t="s">
        <v>185</v>
      </c>
      <c r="G94" t="s">
        <v>90</v>
      </c>
      <c r="H94" t="s">
        <v>25</v>
      </c>
      <c r="I94" t="s">
        <v>173</v>
      </c>
      <c r="J94" t="s">
        <v>120</v>
      </c>
      <c r="K94" t="s">
        <v>67</v>
      </c>
      <c r="L94" t="s">
        <v>488</v>
      </c>
      <c r="M94" t="s">
        <v>30</v>
      </c>
      <c r="N94" t="s">
        <v>36</v>
      </c>
      <c r="O94" t="s">
        <v>489</v>
      </c>
      <c r="P94">
        <v>207.846</v>
      </c>
      <c r="Q94">
        <v>3</v>
      </c>
      <c r="R94">
        <v>2.3094000000000001</v>
      </c>
      <c r="S94" s="9" t="s">
        <v>33</v>
      </c>
      <c r="T94" t="s">
        <v>169</v>
      </c>
    </row>
    <row r="95" spans="1:20" x14ac:dyDescent="0.2">
      <c r="A95" t="s">
        <v>490</v>
      </c>
      <c r="B95" s="1">
        <v>42618</v>
      </c>
      <c r="C95" s="1">
        <v>42620</v>
      </c>
      <c r="D95" t="s">
        <v>21</v>
      </c>
      <c r="E95" t="s">
        <v>491</v>
      </c>
      <c r="F95" t="s">
        <v>492</v>
      </c>
      <c r="G95" t="s">
        <v>24</v>
      </c>
      <c r="H95" t="s">
        <v>25</v>
      </c>
      <c r="I95" t="s">
        <v>288</v>
      </c>
      <c r="J95" t="s">
        <v>289</v>
      </c>
      <c r="K95" t="s">
        <v>93</v>
      </c>
      <c r="L95" t="s">
        <v>493</v>
      </c>
      <c r="M95" t="s">
        <v>30</v>
      </c>
      <c r="N95" t="s">
        <v>56</v>
      </c>
      <c r="O95" t="s">
        <v>494</v>
      </c>
      <c r="P95">
        <v>12.22</v>
      </c>
      <c r="Q95">
        <v>1</v>
      </c>
      <c r="R95">
        <v>3.6659999999999999</v>
      </c>
      <c r="S95" s="9" t="s">
        <v>70</v>
      </c>
      <c r="T95" t="s">
        <v>77</v>
      </c>
    </row>
    <row r="96" spans="1:20" x14ac:dyDescent="0.2">
      <c r="A96" t="s">
        <v>490</v>
      </c>
      <c r="B96" s="1">
        <v>42618</v>
      </c>
      <c r="C96" s="1">
        <v>42620</v>
      </c>
      <c r="D96" t="s">
        <v>21</v>
      </c>
      <c r="E96" t="s">
        <v>491</v>
      </c>
      <c r="F96" t="s">
        <v>492</v>
      </c>
      <c r="G96" t="s">
        <v>24</v>
      </c>
      <c r="H96" t="s">
        <v>25</v>
      </c>
      <c r="I96" t="s">
        <v>288</v>
      </c>
      <c r="J96" t="s">
        <v>289</v>
      </c>
      <c r="K96" t="s">
        <v>93</v>
      </c>
      <c r="L96" t="s">
        <v>495</v>
      </c>
      <c r="M96" t="s">
        <v>30</v>
      </c>
      <c r="N96" t="s">
        <v>36</v>
      </c>
      <c r="O96" t="s">
        <v>496</v>
      </c>
      <c r="P96">
        <v>242.94</v>
      </c>
      <c r="Q96">
        <v>3</v>
      </c>
      <c r="R96">
        <v>29.152799999999999</v>
      </c>
      <c r="S96" s="9" t="s">
        <v>70</v>
      </c>
      <c r="T96" t="s">
        <v>77</v>
      </c>
    </row>
    <row r="97" spans="1:20" x14ac:dyDescent="0.2">
      <c r="A97" t="s">
        <v>497</v>
      </c>
      <c r="B97" s="1">
        <v>42814</v>
      </c>
      <c r="C97" s="1">
        <v>42819</v>
      </c>
      <c r="D97" t="s">
        <v>21</v>
      </c>
      <c r="E97" t="s">
        <v>498</v>
      </c>
      <c r="F97" t="s">
        <v>499</v>
      </c>
      <c r="G97" t="s">
        <v>24</v>
      </c>
      <c r="H97" t="s">
        <v>25</v>
      </c>
      <c r="I97" t="s">
        <v>347</v>
      </c>
      <c r="J97" t="s">
        <v>110</v>
      </c>
      <c r="K97" t="s">
        <v>93</v>
      </c>
      <c r="L97" t="s">
        <v>500</v>
      </c>
      <c r="M97" t="s">
        <v>30</v>
      </c>
      <c r="N97" t="s">
        <v>56</v>
      </c>
      <c r="O97" t="s">
        <v>501</v>
      </c>
      <c r="P97">
        <v>2.91</v>
      </c>
      <c r="Q97">
        <v>1</v>
      </c>
      <c r="R97">
        <v>1.3676999999999999</v>
      </c>
      <c r="S97" s="9" t="s">
        <v>58</v>
      </c>
      <c r="T97" t="s">
        <v>195</v>
      </c>
    </row>
    <row r="98" spans="1:20" x14ac:dyDescent="0.2">
      <c r="A98" t="s">
        <v>502</v>
      </c>
      <c r="B98" s="1">
        <v>43028</v>
      </c>
      <c r="C98" s="1">
        <v>43032</v>
      </c>
      <c r="D98" t="s">
        <v>39</v>
      </c>
      <c r="E98" t="s">
        <v>503</v>
      </c>
      <c r="F98" t="s">
        <v>504</v>
      </c>
      <c r="G98" t="s">
        <v>90</v>
      </c>
      <c r="H98" t="s">
        <v>25</v>
      </c>
      <c r="I98" t="s">
        <v>505</v>
      </c>
      <c r="J98" t="s">
        <v>231</v>
      </c>
      <c r="K98" t="s">
        <v>67</v>
      </c>
      <c r="L98" t="s">
        <v>60</v>
      </c>
      <c r="M98" t="s">
        <v>30</v>
      </c>
      <c r="N98" t="s">
        <v>45</v>
      </c>
      <c r="O98" t="s">
        <v>61</v>
      </c>
      <c r="P98">
        <v>284.36399999999998</v>
      </c>
      <c r="Q98">
        <v>2</v>
      </c>
      <c r="R98">
        <v>-75.830399999999997</v>
      </c>
      <c r="S98" s="9" t="s">
        <v>83</v>
      </c>
      <c r="T98" t="s">
        <v>48</v>
      </c>
    </row>
    <row r="99" spans="1:20" x14ac:dyDescent="0.2">
      <c r="A99" t="s">
        <v>506</v>
      </c>
      <c r="B99" s="1">
        <v>41682</v>
      </c>
      <c r="C99" s="1">
        <v>41688</v>
      </c>
      <c r="D99" t="s">
        <v>39</v>
      </c>
      <c r="E99" t="s">
        <v>507</v>
      </c>
      <c r="F99" t="s">
        <v>508</v>
      </c>
      <c r="G99" t="s">
        <v>24</v>
      </c>
      <c r="H99" t="s">
        <v>25</v>
      </c>
      <c r="I99" t="s">
        <v>509</v>
      </c>
      <c r="J99" t="s">
        <v>53</v>
      </c>
      <c r="K99" t="s">
        <v>54</v>
      </c>
      <c r="L99" t="s">
        <v>510</v>
      </c>
      <c r="M99" t="s">
        <v>30</v>
      </c>
      <c r="N99" t="s">
        <v>36</v>
      </c>
      <c r="O99" t="s">
        <v>511</v>
      </c>
      <c r="P99">
        <v>129.56800000000001</v>
      </c>
      <c r="Q99">
        <v>2</v>
      </c>
      <c r="R99">
        <v>-24.294</v>
      </c>
      <c r="S99" s="9" t="s">
        <v>129</v>
      </c>
      <c r="T99" t="s">
        <v>297</v>
      </c>
    </row>
    <row r="100" spans="1:20" x14ac:dyDescent="0.2">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v>747.55799999999999</v>
      </c>
      <c r="Q100">
        <v>3</v>
      </c>
      <c r="R100">
        <v>-96.114599999999996</v>
      </c>
      <c r="S100" s="9" t="s">
        <v>58</v>
      </c>
      <c r="T100" t="s">
        <v>77</v>
      </c>
    </row>
    <row r="101" spans="1:20" x14ac:dyDescent="0.2">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v>23.56</v>
      </c>
      <c r="Q101">
        <v>5</v>
      </c>
      <c r="R101">
        <v>7.0679999999999996</v>
      </c>
      <c r="S101" s="9" t="s">
        <v>47</v>
      </c>
      <c r="T101" t="s">
        <v>113</v>
      </c>
    </row>
    <row r="102" spans="1:20" x14ac:dyDescent="0.2">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v>1272.6300000000001</v>
      </c>
      <c r="Q102">
        <v>6</v>
      </c>
      <c r="R102">
        <v>-814.48320000000001</v>
      </c>
      <c r="S102" s="9" t="s">
        <v>47</v>
      </c>
      <c r="T102" t="s">
        <v>113</v>
      </c>
    </row>
    <row r="103" spans="1:20" x14ac:dyDescent="0.2">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v>254.744</v>
      </c>
      <c r="Q103">
        <v>7</v>
      </c>
      <c r="R103">
        <v>-312.06139999999999</v>
      </c>
      <c r="S103" s="9" t="s">
        <v>47</v>
      </c>
      <c r="T103" t="s">
        <v>169</v>
      </c>
    </row>
    <row r="104" spans="1:20" x14ac:dyDescent="0.2">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v>205.33279999999999</v>
      </c>
      <c r="Q104">
        <v>2</v>
      </c>
      <c r="R104">
        <v>-36.235199999999999</v>
      </c>
      <c r="S104" s="9" t="s">
        <v>83</v>
      </c>
      <c r="T104" t="s">
        <v>195</v>
      </c>
    </row>
    <row r="105" spans="1:20" x14ac:dyDescent="0.2">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v>222.666</v>
      </c>
      <c r="Q105">
        <v>2</v>
      </c>
      <c r="R105">
        <v>10.478400000000001</v>
      </c>
      <c r="S105" s="9" t="s">
        <v>70</v>
      </c>
      <c r="T105" t="s">
        <v>34</v>
      </c>
    </row>
    <row r="106" spans="1:20" x14ac:dyDescent="0.2">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v>40.200000000000003</v>
      </c>
      <c r="Q106">
        <v>3</v>
      </c>
      <c r="R106">
        <v>19.295999999999999</v>
      </c>
      <c r="S106" s="9" t="s">
        <v>129</v>
      </c>
      <c r="T106" t="s">
        <v>48</v>
      </c>
    </row>
    <row r="107" spans="1:20" x14ac:dyDescent="0.2">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v>514.16499999999996</v>
      </c>
      <c r="Q107">
        <v>5</v>
      </c>
      <c r="R107">
        <v>-30.245000000000001</v>
      </c>
      <c r="S107" s="9" t="s">
        <v>33</v>
      </c>
      <c r="T107" t="s">
        <v>59</v>
      </c>
    </row>
    <row r="108" spans="1:20" x14ac:dyDescent="0.2">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v>189.88200000000001</v>
      </c>
      <c r="Q108">
        <v>3</v>
      </c>
      <c r="R108">
        <v>-94.941000000000003</v>
      </c>
      <c r="S108" s="9" t="s">
        <v>33</v>
      </c>
      <c r="T108" t="s">
        <v>195</v>
      </c>
    </row>
    <row r="109" spans="1:20" x14ac:dyDescent="0.2">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v>255.76</v>
      </c>
      <c r="Q109">
        <v>4</v>
      </c>
      <c r="R109">
        <v>81.843199999999996</v>
      </c>
      <c r="S109" s="9" t="s">
        <v>129</v>
      </c>
      <c r="T109" t="s">
        <v>71</v>
      </c>
    </row>
    <row r="110" spans="1:20" x14ac:dyDescent="0.2">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v>241.56800000000001</v>
      </c>
      <c r="Q110">
        <v>2</v>
      </c>
      <c r="R110">
        <v>18.117599999999999</v>
      </c>
      <c r="S110" s="9" t="s">
        <v>129</v>
      </c>
      <c r="T110" t="s">
        <v>71</v>
      </c>
    </row>
    <row r="111" spans="1:20" x14ac:dyDescent="0.2">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v>69.3</v>
      </c>
      <c r="Q111">
        <v>9</v>
      </c>
      <c r="R111">
        <v>22.869</v>
      </c>
      <c r="S111" s="9" t="s">
        <v>129</v>
      </c>
      <c r="T111" t="s">
        <v>71</v>
      </c>
    </row>
    <row r="112" spans="1:20" x14ac:dyDescent="0.2">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v>801.56799999999998</v>
      </c>
      <c r="Q112">
        <v>2</v>
      </c>
      <c r="R112">
        <v>50.097999999999999</v>
      </c>
      <c r="S112" s="9" t="s">
        <v>58</v>
      </c>
      <c r="T112" t="s">
        <v>161</v>
      </c>
    </row>
    <row r="113" spans="1:20" x14ac:dyDescent="0.2">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v>126.3</v>
      </c>
      <c r="Q113">
        <v>3</v>
      </c>
      <c r="R113">
        <v>40.415999999999997</v>
      </c>
      <c r="S113" s="9" t="s">
        <v>123</v>
      </c>
      <c r="T113" t="s">
        <v>34</v>
      </c>
    </row>
    <row r="114" spans="1:20" x14ac:dyDescent="0.2">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v>210.98</v>
      </c>
      <c r="Q114">
        <v>2</v>
      </c>
      <c r="R114">
        <v>21.097999999999999</v>
      </c>
      <c r="S114" s="9" t="s">
        <v>70</v>
      </c>
      <c r="T114" t="s">
        <v>169</v>
      </c>
    </row>
    <row r="115" spans="1:20" x14ac:dyDescent="0.2">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v>683.952</v>
      </c>
      <c r="Q115">
        <v>3</v>
      </c>
      <c r="R115">
        <v>42.747</v>
      </c>
      <c r="S115" s="9" t="s">
        <v>58</v>
      </c>
      <c r="T115" t="s">
        <v>48</v>
      </c>
    </row>
    <row r="116" spans="1:20" x14ac:dyDescent="0.2">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v>45.695999999999998</v>
      </c>
      <c r="Q116">
        <v>3</v>
      </c>
      <c r="R116">
        <v>5.1407999999999996</v>
      </c>
      <c r="S116" s="9" t="s">
        <v>58</v>
      </c>
      <c r="T116" t="s">
        <v>48</v>
      </c>
    </row>
    <row r="117" spans="1:20" x14ac:dyDescent="0.2">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v>190.72</v>
      </c>
      <c r="Q117">
        <v>1</v>
      </c>
      <c r="R117">
        <v>11.92</v>
      </c>
      <c r="S117" s="9" t="s">
        <v>70</v>
      </c>
      <c r="T117" t="s">
        <v>34</v>
      </c>
    </row>
    <row r="118" spans="1:20" x14ac:dyDescent="0.2">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v>47.94</v>
      </c>
      <c r="Q118">
        <v>3</v>
      </c>
      <c r="R118">
        <v>2.3969999999999998</v>
      </c>
      <c r="S118" s="9" t="s">
        <v>83</v>
      </c>
      <c r="T118" t="s">
        <v>77</v>
      </c>
    </row>
    <row r="119" spans="1:20" x14ac:dyDescent="0.2">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v>283.92</v>
      </c>
      <c r="Q119">
        <v>4</v>
      </c>
      <c r="R119">
        <v>70.98</v>
      </c>
      <c r="S119" s="9" t="s">
        <v>83</v>
      </c>
      <c r="T119" t="s">
        <v>96</v>
      </c>
    </row>
    <row r="120" spans="1:20" x14ac:dyDescent="0.2">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v>66.111999999999995</v>
      </c>
      <c r="Q120">
        <v>4</v>
      </c>
      <c r="R120">
        <v>-84.2928</v>
      </c>
      <c r="S120" s="9" t="s">
        <v>58</v>
      </c>
      <c r="T120" t="s">
        <v>161</v>
      </c>
    </row>
    <row r="121" spans="1:20" x14ac:dyDescent="0.2">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v>1121.568</v>
      </c>
      <c r="Q121">
        <v>2</v>
      </c>
      <c r="R121">
        <v>0</v>
      </c>
      <c r="S121" s="9" t="s">
        <v>70</v>
      </c>
      <c r="T121" t="s">
        <v>113</v>
      </c>
    </row>
    <row r="122" spans="1:20" x14ac:dyDescent="0.2">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v>34.503999999999998</v>
      </c>
      <c r="Q122">
        <v>1</v>
      </c>
      <c r="R122">
        <v>6.0381999999999998</v>
      </c>
      <c r="S122" s="9" t="s">
        <v>123</v>
      </c>
      <c r="T122" t="s">
        <v>77</v>
      </c>
    </row>
    <row r="123" spans="1:20" x14ac:dyDescent="0.2">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v>1335.68</v>
      </c>
      <c r="Q123">
        <v>4</v>
      </c>
      <c r="R123">
        <v>-217.048</v>
      </c>
      <c r="S123" s="9" t="s">
        <v>58</v>
      </c>
      <c r="T123" t="s">
        <v>59</v>
      </c>
    </row>
    <row r="124" spans="1:20" x14ac:dyDescent="0.2">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v>42.6</v>
      </c>
      <c r="Q124">
        <v>3</v>
      </c>
      <c r="R124">
        <v>16.614000000000001</v>
      </c>
      <c r="S124" s="9" t="s">
        <v>70</v>
      </c>
      <c r="T124" t="s">
        <v>34</v>
      </c>
    </row>
    <row r="125" spans="1:20" x14ac:dyDescent="0.2">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v>13.128</v>
      </c>
      <c r="Q125">
        <v>3</v>
      </c>
      <c r="R125">
        <v>3.7743000000000002</v>
      </c>
      <c r="S125" s="9" t="s">
        <v>83</v>
      </c>
      <c r="T125" t="s">
        <v>77</v>
      </c>
    </row>
    <row r="126" spans="1:20" x14ac:dyDescent="0.2">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v>451.15199999999999</v>
      </c>
      <c r="Q126">
        <v>3</v>
      </c>
      <c r="R126">
        <v>0</v>
      </c>
      <c r="S126" s="9" t="s">
        <v>47</v>
      </c>
      <c r="T126" t="s">
        <v>48</v>
      </c>
    </row>
    <row r="127" spans="1:20" x14ac:dyDescent="0.2">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v>8.7919999999999998</v>
      </c>
      <c r="Q127">
        <v>1</v>
      </c>
      <c r="R127">
        <v>-5.7148000000000003</v>
      </c>
      <c r="S127" s="9" t="s">
        <v>129</v>
      </c>
      <c r="T127" t="s">
        <v>71</v>
      </c>
    </row>
    <row r="128" spans="1:20" x14ac:dyDescent="0.2">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v>70.98</v>
      </c>
      <c r="Q128">
        <v>1</v>
      </c>
      <c r="R128">
        <v>4.9686000000000003</v>
      </c>
      <c r="S128" s="9" t="s">
        <v>129</v>
      </c>
      <c r="T128" t="s">
        <v>71</v>
      </c>
    </row>
    <row r="129" spans="1:20" x14ac:dyDescent="0.2">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v>327.76</v>
      </c>
      <c r="Q129">
        <v>8</v>
      </c>
      <c r="R129">
        <v>91.772800000000004</v>
      </c>
      <c r="S129" s="9" t="s">
        <v>47</v>
      </c>
      <c r="T129" t="s">
        <v>253</v>
      </c>
    </row>
    <row r="130" spans="1:20" x14ac:dyDescent="0.2">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v>45.695999999999998</v>
      </c>
      <c r="Q130">
        <v>3</v>
      </c>
      <c r="R130">
        <v>5.1407999999999996</v>
      </c>
      <c r="S130" s="9" t="s">
        <v>83</v>
      </c>
      <c r="T130" t="s">
        <v>195</v>
      </c>
    </row>
    <row r="131" spans="1:20" x14ac:dyDescent="0.2">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v>40.479999999999997</v>
      </c>
      <c r="Q131">
        <v>2</v>
      </c>
      <c r="R131">
        <v>15.7872</v>
      </c>
      <c r="S131" s="9" t="s">
        <v>58</v>
      </c>
      <c r="T131" t="s">
        <v>253</v>
      </c>
    </row>
    <row r="132" spans="1:20" x14ac:dyDescent="0.2">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v>9.94</v>
      </c>
      <c r="Q132">
        <v>2</v>
      </c>
      <c r="R132">
        <v>3.0813999999999999</v>
      </c>
      <c r="S132" s="9" t="s">
        <v>58</v>
      </c>
      <c r="T132" t="s">
        <v>253</v>
      </c>
    </row>
    <row r="133" spans="1:20" x14ac:dyDescent="0.2">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v>88.02</v>
      </c>
      <c r="Q133">
        <v>3</v>
      </c>
      <c r="R133">
        <v>27.286200000000001</v>
      </c>
      <c r="S133" s="9" t="s">
        <v>58</v>
      </c>
      <c r="T133" t="s">
        <v>253</v>
      </c>
    </row>
    <row r="134" spans="1:20" x14ac:dyDescent="0.2">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v>301.95999999999998</v>
      </c>
      <c r="Q134">
        <v>2</v>
      </c>
      <c r="R134">
        <v>87.568399999999997</v>
      </c>
      <c r="S134" s="9" t="s">
        <v>83</v>
      </c>
      <c r="T134" t="s">
        <v>34</v>
      </c>
    </row>
    <row r="135" spans="1:20" x14ac:dyDescent="0.2">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v>35.56</v>
      </c>
      <c r="Q135">
        <v>7</v>
      </c>
      <c r="R135">
        <v>12.090400000000001</v>
      </c>
      <c r="S135" s="9" t="s">
        <v>83</v>
      </c>
      <c r="T135" t="s">
        <v>77</v>
      </c>
    </row>
    <row r="136" spans="1:20" x14ac:dyDescent="0.2">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v>392.94</v>
      </c>
      <c r="Q136">
        <v>3</v>
      </c>
      <c r="R136">
        <v>43.223399999999998</v>
      </c>
      <c r="S136" s="9" t="s">
        <v>58</v>
      </c>
      <c r="T136" t="s">
        <v>48</v>
      </c>
    </row>
    <row r="137" spans="1:20" x14ac:dyDescent="0.2">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v>1049.2</v>
      </c>
      <c r="Q137">
        <v>5</v>
      </c>
      <c r="R137">
        <v>272.79199999999997</v>
      </c>
      <c r="S137" s="9" t="s">
        <v>58</v>
      </c>
      <c r="T137" t="s">
        <v>161</v>
      </c>
    </row>
    <row r="138" spans="1:20" x14ac:dyDescent="0.2">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v>18.84</v>
      </c>
      <c r="Q138">
        <v>3</v>
      </c>
      <c r="R138">
        <v>6.0288000000000004</v>
      </c>
      <c r="S138" s="9" t="s">
        <v>83</v>
      </c>
      <c r="T138" t="s">
        <v>96</v>
      </c>
    </row>
    <row r="139" spans="1:20" x14ac:dyDescent="0.2">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v>14.8</v>
      </c>
      <c r="Q139">
        <v>4</v>
      </c>
      <c r="R139">
        <v>6.0679999999999996</v>
      </c>
      <c r="S139" s="9" t="s">
        <v>58</v>
      </c>
      <c r="T139" t="s">
        <v>96</v>
      </c>
    </row>
    <row r="140" spans="1:20" x14ac:dyDescent="0.2">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v>701.37199999999996</v>
      </c>
      <c r="Q140">
        <v>2</v>
      </c>
      <c r="R140">
        <v>-50.097999999999999</v>
      </c>
      <c r="S140" s="9" t="s">
        <v>430</v>
      </c>
      <c r="T140" t="s">
        <v>77</v>
      </c>
    </row>
    <row r="141" spans="1:20" x14ac:dyDescent="0.2">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v>918.78499999999997</v>
      </c>
      <c r="Q141">
        <v>5</v>
      </c>
      <c r="R141">
        <v>-118.12949999999999</v>
      </c>
      <c r="S141" s="9" t="s">
        <v>83</v>
      </c>
      <c r="T141" t="s">
        <v>253</v>
      </c>
    </row>
    <row r="142" spans="1:20" x14ac:dyDescent="0.2">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v>30.36</v>
      </c>
      <c r="Q142">
        <v>5</v>
      </c>
      <c r="R142">
        <v>8.7285000000000004</v>
      </c>
      <c r="S142" s="9" t="s">
        <v>70</v>
      </c>
      <c r="T142" t="s">
        <v>96</v>
      </c>
    </row>
    <row r="143" spans="1:20" x14ac:dyDescent="0.2">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v>23.975999999999999</v>
      </c>
      <c r="Q143">
        <v>3</v>
      </c>
      <c r="R143">
        <v>-14.3856</v>
      </c>
      <c r="S143" s="9" t="s">
        <v>83</v>
      </c>
      <c r="T143" t="s">
        <v>59</v>
      </c>
    </row>
    <row r="144" spans="1:20" x14ac:dyDescent="0.2">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v>108.925</v>
      </c>
      <c r="Q144">
        <v>1</v>
      </c>
      <c r="R144">
        <v>-71.890500000000003</v>
      </c>
      <c r="S144" s="9" t="s">
        <v>83</v>
      </c>
      <c r="T144" t="s">
        <v>59</v>
      </c>
    </row>
    <row r="145" spans="1:20" x14ac:dyDescent="0.2">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v>82.524000000000001</v>
      </c>
      <c r="Q145">
        <v>3</v>
      </c>
      <c r="R145">
        <v>-41.262</v>
      </c>
      <c r="S145" s="9" t="s">
        <v>58</v>
      </c>
      <c r="T145" t="s">
        <v>195</v>
      </c>
    </row>
    <row r="146" spans="1:20" x14ac:dyDescent="0.2">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v>191.98400000000001</v>
      </c>
      <c r="Q146">
        <v>2</v>
      </c>
      <c r="R146">
        <v>4.7995999999999999</v>
      </c>
      <c r="S146" s="9" t="s">
        <v>83</v>
      </c>
      <c r="T146" t="s">
        <v>96</v>
      </c>
    </row>
    <row r="147" spans="1:20" x14ac:dyDescent="0.2">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v>104.01</v>
      </c>
      <c r="Q147">
        <v>1</v>
      </c>
      <c r="R147">
        <v>14.561400000000001</v>
      </c>
      <c r="S147" s="9" t="s">
        <v>70</v>
      </c>
      <c r="T147" t="s">
        <v>59</v>
      </c>
    </row>
    <row r="148" spans="1:20" x14ac:dyDescent="0.2">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v>15.071999999999999</v>
      </c>
      <c r="Q148">
        <v>3</v>
      </c>
      <c r="R148">
        <v>4.1448</v>
      </c>
      <c r="S148" s="9" t="s">
        <v>129</v>
      </c>
      <c r="T148" t="s">
        <v>77</v>
      </c>
    </row>
    <row r="149" spans="1:20" x14ac:dyDescent="0.2">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v>209.88</v>
      </c>
      <c r="Q149">
        <v>3</v>
      </c>
      <c r="R149">
        <v>35.679600000000001</v>
      </c>
      <c r="S149" s="9" t="s">
        <v>83</v>
      </c>
      <c r="T149" t="s">
        <v>34</v>
      </c>
    </row>
    <row r="150" spans="1:20" x14ac:dyDescent="0.2">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v>369.91199999999998</v>
      </c>
      <c r="Q150">
        <v>3</v>
      </c>
      <c r="R150">
        <v>-13.871700000000001</v>
      </c>
      <c r="S150" s="9" t="s">
        <v>58</v>
      </c>
      <c r="T150" t="s">
        <v>113</v>
      </c>
    </row>
    <row r="151" spans="1:20" x14ac:dyDescent="0.2">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v>883.92</v>
      </c>
      <c r="Q151">
        <v>5</v>
      </c>
      <c r="R151">
        <v>-110.49</v>
      </c>
      <c r="S151" s="9" t="s">
        <v>70</v>
      </c>
      <c r="T151" t="s">
        <v>96</v>
      </c>
    </row>
    <row r="152" spans="1:20" x14ac:dyDescent="0.2">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v>9.94</v>
      </c>
      <c r="Q152">
        <v>2</v>
      </c>
      <c r="R152">
        <v>3.0813999999999999</v>
      </c>
      <c r="S152" s="9" t="s">
        <v>33</v>
      </c>
      <c r="T152" t="s">
        <v>169</v>
      </c>
    </row>
    <row r="153" spans="1:20" x14ac:dyDescent="0.2">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v>103.056</v>
      </c>
      <c r="Q153">
        <v>3</v>
      </c>
      <c r="R153">
        <v>24.4758</v>
      </c>
      <c r="S153" s="9" t="s">
        <v>58</v>
      </c>
      <c r="T153" t="s">
        <v>77</v>
      </c>
    </row>
    <row r="154" spans="1:20" x14ac:dyDescent="0.2">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v>73.319999999999993</v>
      </c>
      <c r="Q154">
        <v>6</v>
      </c>
      <c r="R154">
        <v>21.995999999999999</v>
      </c>
      <c r="S154" s="9" t="s">
        <v>58</v>
      </c>
      <c r="T154" t="s">
        <v>59</v>
      </c>
    </row>
    <row r="155" spans="1:20" x14ac:dyDescent="0.2">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v>1652.94</v>
      </c>
      <c r="Q155">
        <v>3</v>
      </c>
      <c r="R155">
        <v>231.41159999999999</v>
      </c>
      <c r="S155" s="9" t="s">
        <v>83</v>
      </c>
      <c r="T155" t="s">
        <v>96</v>
      </c>
    </row>
    <row r="156" spans="1:20" x14ac:dyDescent="0.2">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v>129.91999999999999</v>
      </c>
      <c r="Q156">
        <v>5</v>
      </c>
      <c r="R156">
        <v>21.111999999999998</v>
      </c>
      <c r="S156" s="9" t="s">
        <v>129</v>
      </c>
      <c r="T156" t="s">
        <v>48</v>
      </c>
    </row>
    <row r="157" spans="1:20" x14ac:dyDescent="0.2">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v>400.03199999999998</v>
      </c>
      <c r="Q157">
        <v>2</v>
      </c>
      <c r="R157">
        <v>-153.34559999999999</v>
      </c>
      <c r="S157" s="9" t="s">
        <v>33</v>
      </c>
      <c r="T157" t="s">
        <v>96</v>
      </c>
    </row>
    <row r="158" spans="1:20" x14ac:dyDescent="0.2">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v>542.64599999999996</v>
      </c>
      <c r="Q158">
        <v>3</v>
      </c>
      <c r="R158">
        <v>102.49979999999999</v>
      </c>
      <c r="S158" s="9" t="s">
        <v>33</v>
      </c>
      <c r="T158" t="s">
        <v>96</v>
      </c>
    </row>
    <row r="159" spans="1:20" x14ac:dyDescent="0.2">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v>84.98</v>
      </c>
      <c r="Q159">
        <v>1</v>
      </c>
      <c r="R159">
        <v>18.695599999999999</v>
      </c>
      <c r="S159" s="9" t="s">
        <v>83</v>
      </c>
      <c r="T159" t="s">
        <v>169</v>
      </c>
    </row>
    <row r="160" spans="1:20" x14ac:dyDescent="0.2">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v>567.12</v>
      </c>
      <c r="Q160">
        <v>10</v>
      </c>
      <c r="R160">
        <v>-28.356000000000002</v>
      </c>
      <c r="S160" s="9" t="s">
        <v>430</v>
      </c>
      <c r="T160" t="s">
        <v>161</v>
      </c>
    </row>
    <row r="161" spans="1:20" x14ac:dyDescent="0.2">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v>157.74</v>
      </c>
      <c r="Q161">
        <v>11</v>
      </c>
      <c r="R161">
        <v>56.7864</v>
      </c>
      <c r="S161" s="9" t="s">
        <v>83</v>
      </c>
      <c r="T161" t="s">
        <v>48</v>
      </c>
    </row>
    <row r="162" spans="1:20" x14ac:dyDescent="0.2">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v>79.92</v>
      </c>
      <c r="Q162">
        <v>4</v>
      </c>
      <c r="R162">
        <v>28.7712</v>
      </c>
      <c r="S162" s="9" t="s">
        <v>58</v>
      </c>
      <c r="T162" t="s">
        <v>96</v>
      </c>
    </row>
    <row r="163" spans="1:20" x14ac:dyDescent="0.2">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v>383.43799999999999</v>
      </c>
      <c r="Q163">
        <v>4</v>
      </c>
      <c r="R163">
        <v>-167.3184</v>
      </c>
      <c r="S163" s="9" t="s">
        <v>83</v>
      </c>
      <c r="T163" t="s">
        <v>77</v>
      </c>
    </row>
    <row r="164" spans="1:20" x14ac:dyDescent="0.2">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v>310.88</v>
      </c>
      <c r="Q164">
        <v>2</v>
      </c>
      <c r="R164">
        <v>23.315999999999999</v>
      </c>
      <c r="S164" s="9" t="s">
        <v>129</v>
      </c>
      <c r="T164" t="s">
        <v>161</v>
      </c>
    </row>
    <row r="165" spans="1:20" x14ac:dyDescent="0.2">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v>641.96</v>
      </c>
      <c r="Q165">
        <v>2</v>
      </c>
      <c r="R165">
        <v>179.74879999999999</v>
      </c>
      <c r="S165" s="9" t="s">
        <v>58</v>
      </c>
      <c r="T165" t="s">
        <v>161</v>
      </c>
    </row>
    <row r="166" spans="1:20" x14ac:dyDescent="0.2">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v>34.58</v>
      </c>
      <c r="Q166">
        <v>7</v>
      </c>
      <c r="R166">
        <v>14.5236</v>
      </c>
      <c r="S166" s="9" t="s">
        <v>129</v>
      </c>
      <c r="T166" t="s">
        <v>169</v>
      </c>
    </row>
    <row r="167" spans="1:20" x14ac:dyDescent="0.2">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v>544.00800000000004</v>
      </c>
      <c r="Q167">
        <v>3</v>
      </c>
      <c r="R167">
        <v>40.800600000000003</v>
      </c>
      <c r="S167" s="9" t="s">
        <v>70</v>
      </c>
      <c r="T167" t="s">
        <v>253</v>
      </c>
    </row>
    <row r="168" spans="1:20" x14ac:dyDescent="0.2">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v>35.49</v>
      </c>
      <c r="Q168">
        <v>1</v>
      </c>
      <c r="R168">
        <v>-15.615600000000001</v>
      </c>
      <c r="S168" s="9" t="s">
        <v>33</v>
      </c>
      <c r="T168" t="s">
        <v>48</v>
      </c>
    </row>
    <row r="169" spans="1:20" x14ac:dyDescent="0.2">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v>348.928</v>
      </c>
      <c r="Q169">
        <v>2</v>
      </c>
      <c r="R169">
        <v>34.892800000000001</v>
      </c>
      <c r="S169" s="9" t="s">
        <v>83</v>
      </c>
      <c r="T169" t="s">
        <v>96</v>
      </c>
    </row>
    <row r="170" spans="1:20" x14ac:dyDescent="0.2">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v>332.94</v>
      </c>
      <c r="Q170">
        <v>3</v>
      </c>
      <c r="R170">
        <v>79.905600000000007</v>
      </c>
      <c r="S170" s="9" t="s">
        <v>83</v>
      </c>
      <c r="T170" t="s">
        <v>59</v>
      </c>
    </row>
    <row r="171" spans="1:20" x14ac:dyDescent="0.2">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v>283.92</v>
      </c>
      <c r="Q171">
        <v>5</v>
      </c>
      <c r="R171">
        <v>17.745000000000001</v>
      </c>
      <c r="S171" s="9" t="s">
        <v>129</v>
      </c>
      <c r="T171" t="s">
        <v>34</v>
      </c>
    </row>
    <row r="172" spans="1:20" x14ac:dyDescent="0.2">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v>22.23</v>
      </c>
      <c r="Q172">
        <v>1</v>
      </c>
      <c r="R172">
        <v>7.3358999999999996</v>
      </c>
      <c r="S172" s="9" t="s">
        <v>33</v>
      </c>
      <c r="T172" t="s">
        <v>297</v>
      </c>
    </row>
    <row r="173" spans="1:20" x14ac:dyDescent="0.2">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v>18.28</v>
      </c>
      <c r="Q173">
        <v>2</v>
      </c>
      <c r="R173">
        <v>6.2152000000000003</v>
      </c>
      <c r="S173" s="9" t="s">
        <v>70</v>
      </c>
      <c r="T173" t="s">
        <v>113</v>
      </c>
    </row>
    <row r="174" spans="1:20" x14ac:dyDescent="0.2">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v>28.4</v>
      </c>
      <c r="Q174">
        <v>2</v>
      </c>
      <c r="R174">
        <v>11.076000000000001</v>
      </c>
      <c r="S174" s="9" t="s">
        <v>70</v>
      </c>
      <c r="T174" t="s">
        <v>297</v>
      </c>
    </row>
    <row r="175" spans="1:20" x14ac:dyDescent="0.2">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v>1298.55</v>
      </c>
      <c r="Q175">
        <v>5</v>
      </c>
      <c r="R175">
        <v>311.65199999999999</v>
      </c>
      <c r="S175" s="9" t="s">
        <v>70</v>
      </c>
      <c r="T175" t="s">
        <v>48</v>
      </c>
    </row>
    <row r="176" spans="1:20" x14ac:dyDescent="0.2">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v>18.28</v>
      </c>
      <c r="Q176">
        <v>2</v>
      </c>
      <c r="R176">
        <v>6.2152000000000003</v>
      </c>
      <c r="S176" s="9" t="s">
        <v>430</v>
      </c>
      <c r="T176" t="s">
        <v>161</v>
      </c>
    </row>
    <row r="177" spans="1:20" x14ac:dyDescent="0.2">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v>1228.4649999999999</v>
      </c>
      <c r="Q177">
        <v>5</v>
      </c>
      <c r="R177">
        <v>0</v>
      </c>
      <c r="S177" s="9" t="s">
        <v>83</v>
      </c>
      <c r="T177" t="s">
        <v>59</v>
      </c>
    </row>
    <row r="178" spans="1:20" x14ac:dyDescent="0.2">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v>301.95999999999998</v>
      </c>
      <c r="Q178">
        <v>2</v>
      </c>
      <c r="R178">
        <v>90.587999999999994</v>
      </c>
      <c r="S178" s="9" t="s">
        <v>58</v>
      </c>
      <c r="T178" t="s">
        <v>59</v>
      </c>
    </row>
    <row r="179" spans="1:20" x14ac:dyDescent="0.2">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v>186.048</v>
      </c>
      <c r="Q179">
        <v>4</v>
      </c>
      <c r="R179">
        <v>9.3024000000000004</v>
      </c>
      <c r="S179" s="9" t="s">
        <v>58</v>
      </c>
      <c r="T179" t="s">
        <v>34</v>
      </c>
    </row>
    <row r="180" spans="1:20" x14ac:dyDescent="0.2">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v>287.94</v>
      </c>
      <c r="Q180">
        <v>3</v>
      </c>
      <c r="R180">
        <v>77.743799999999993</v>
      </c>
      <c r="S180" s="9" t="s">
        <v>83</v>
      </c>
      <c r="T180" t="s">
        <v>48</v>
      </c>
    </row>
    <row r="181" spans="1:20" x14ac:dyDescent="0.2">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v>48.896000000000001</v>
      </c>
      <c r="Q181">
        <v>4</v>
      </c>
      <c r="R181">
        <v>8.5568000000000008</v>
      </c>
      <c r="S181" s="9" t="s">
        <v>58</v>
      </c>
      <c r="T181" t="s">
        <v>169</v>
      </c>
    </row>
    <row r="182" spans="1:20" x14ac:dyDescent="0.2">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v>44.46</v>
      </c>
      <c r="Q182">
        <v>2</v>
      </c>
      <c r="R182">
        <v>14.671799999999999</v>
      </c>
      <c r="S182" s="9" t="s">
        <v>58</v>
      </c>
      <c r="T182" t="s">
        <v>297</v>
      </c>
    </row>
    <row r="183" spans="1:20" x14ac:dyDescent="0.2">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v>51.94</v>
      </c>
      <c r="Q183">
        <v>1</v>
      </c>
      <c r="R183">
        <v>21.295400000000001</v>
      </c>
      <c r="S183" s="9" t="s">
        <v>58</v>
      </c>
      <c r="T183" t="s">
        <v>169</v>
      </c>
    </row>
    <row r="184" spans="1:20" x14ac:dyDescent="0.2">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v>322.58999999999997</v>
      </c>
      <c r="Q184">
        <v>3</v>
      </c>
      <c r="R184">
        <v>64.518000000000001</v>
      </c>
      <c r="S184" s="9" t="s">
        <v>83</v>
      </c>
      <c r="T184" t="s">
        <v>169</v>
      </c>
    </row>
    <row r="185" spans="1:20" x14ac:dyDescent="0.2">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v>1242.9000000000001</v>
      </c>
      <c r="Q185">
        <v>5</v>
      </c>
      <c r="R185">
        <v>262.39</v>
      </c>
      <c r="S185" s="9" t="s">
        <v>70</v>
      </c>
      <c r="T185" t="s">
        <v>34</v>
      </c>
    </row>
    <row r="186" spans="1:20" x14ac:dyDescent="0.2">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v>31.4</v>
      </c>
      <c r="Q186">
        <v>5</v>
      </c>
      <c r="R186">
        <v>10.048</v>
      </c>
      <c r="S186" s="9" t="s">
        <v>70</v>
      </c>
      <c r="T186" t="s">
        <v>48</v>
      </c>
    </row>
    <row r="187" spans="1:20" x14ac:dyDescent="0.2">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v>17.46</v>
      </c>
      <c r="Q187">
        <v>2</v>
      </c>
      <c r="R187">
        <v>5.9363999999999999</v>
      </c>
      <c r="S187" s="9" t="s">
        <v>58</v>
      </c>
      <c r="T187" t="s">
        <v>113</v>
      </c>
    </row>
    <row r="188" spans="1:20" x14ac:dyDescent="0.2">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v>323.13600000000002</v>
      </c>
      <c r="Q188">
        <v>4</v>
      </c>
      <c r="R188">
        <v>12.117599999999999</v>
      </c>
      <c r="S188" s="9" t="s">
        <v>83</v>
      </c>
      <c r="T188" t="s">
        <v>96</v>
      </c>
    </row>
    <row r="189" spans="1:20" x14ac:dyDescent="0.2">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v>22.2</v>
      </c>
      <c r="Q189">
        <v>6</v>
      </c>
      <c r="R189">
        <v>9.1020000000000003</v>
      </c>
      <c r="S189" s="9" t="s">
        <v>47</v>
      </c>
      <c r="T189" t="s">
        <v>161</v>
      </c>
    </row>
    <row r="190" spans="1:20" x14ac:dyDescent="0.2">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v>46.94</v>
      </c>
      <c r="Q190">
        <v>1</v>
      </c>
      <c r="R190">
        <v>19.2454</v>
      </c>
      <c r="S190" s="9" t="s">
        <v>70</v>
      </c>
      <c r="T190" t="s">
        <v>34</v>
      </c>
    </row>
    <row r="191" spans="1:20" x14ac:dyDescent="0.2">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v>99.918000000000006</v>
      </c>
      <c r="Q191">
        <v>2</v>
      </c>
      <c r="R191">
        <v>-18.5562</v>
      </c>
      <c r="S191" s="9" t="s">
        <v>129</v>
      </c>
      <c r="T191" t="s">
        <v>59</v>
      </c>
    </row>
    <row r="192" spans="1:20" x14ac:dyDescent="0.2">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v>797.94399999999996</v>
      </c>
      <c r="Q192">
        <v>4</v>
      </c>
      <c r="R192">
        <v>-56.996000000000002</v>
      </c>
      <c r="S192" s="9" t="s">
        <v>129</v>
      </c>
      <c r="T192" t="s">
        <v>59</v>
      </c>
    </row>
    <row r="193" spans="1:20" x14ac:dyDescent="0.2">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v>1114.2719999999999</v>
      </c>
      <c r="Q193">
        <v>4</v>
      </c>
      <c r="R193">
        <v>41.785200000000003</v>
      </c>
      <c r="S193" s="9" t="s">
        <v>47</v>
      </c>
      <c r="T193" t="s">
        <v>96</v>
      </c>
    </row>
    <row r="194" spans="1:20" x14ac:dyDescent="0.2">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v>393.16500000000002</v>
      </c>
      <c r="Q194">
        <v>3</v>
      </c>
      <c r="R194">
        <v>-204.44579999999999</v>
      </c>
      <c r="S194" s="9" t="s">
        <v>70</v>
      </c>
      <c r="T194" t="s">
        <v>71</v>
      </c>
    </row>
    <row r="195" spans="1:20" x14ac:dyDescent="0.2">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v>516.48800000000006</v>
      </c>
      <c r="Q195">
        <v>7</v>
      </c>
      <c r="R195">
        <v>-12.9122</v>
      </c>
      <c r="S195" s="9" t="s">
        <v>83</v>
      </c>
      <c r="T195" t="s">
        <v>34</v>
      </c>
    </row>
    <row r="196" spans="1:20" x14ac:dyDescent="0.2">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v>1007.232</v>
      </c>
      <c r="Q196">
        <v>6</v>
      </c>
      <c r="R196">
        <v>75.542400000000001</v>
      </c>
      <c r="S196" s="9" t="s">
        <v>83</v>
      </c>
      <c r="T196" t="s">
        <v>34</v>
      </c>
    </row>
    <row r="197" spans="1:20" x14ac:dyDescent="0.2">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v>2065.3200000000002</v>
      </c>
      <c r="Q197">
        <v>12</v>
      </c>
      <c r="R197">
        <v>-619.596</v>
      </c>
      <c r="S197" s="9" t="s">
        <v>83</v>
      </c>
      <c r="T197" t="s">
        <v>34</v>
      </c>
    </row>
    <row r="198" spans="1:20" x14ac:dyDescent="0.2">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v>25.472000000000001</v>
      </c>
      <c r="Q198">
        <v>4</v>
      </c>
      <c r="R198">
        <v>7.6416000000000004</v>
      </c>
      <c r="S198" s="9" t="s">
        <v>83</v>
      </c>
      <c r="T198" t="s">
        <v>113</v>
      </c>
    </row>
    <row r="199" spans="1:20" x14ac:dyDescent="0.2">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v>78.852800000000002</v>
      </c>
      <c r="Q199">
        <v>2</v>
      </c>
      <c r="R199">
        <v>-11.596</v>
      </c>
      <c r="S199" s="9" t="s">
        <v>83</v>
      </c>
      <c r="T199" t="s">
        <v>96</v>
      </c>
    </row>
    <row r="200" spans="1:20" x14ac:dyDescent="0.2">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v>204.6</v>
      </c>
      <c r="Q200">
        <v>2</v>
      </c>
      <c r="R200">
        <v>53.195999999999998</v>
      </c>
      <c r="S200" s="9" t="s">
        <v>430</v>
      </c>
      <c r="T200" t="s">
        <v>77</v>
      </c>
    </row>
    <row r="201" spans="1:20" x14ac:dyDescent="0.2">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v>321.56799999999998</v>
      </c>
      <c r="Q201">
        <v>2</v>
      </c>
      <c r="R201">
        <v>28.1372</v>
      </c>
      <c r="S201" s="9" t="s">
        <v>58</v>
      </c>
      <c r="T201" t="s">
        <v>34</v>
      </c>
    </row>
    <row r="202" spans="1:20" x14ac:dyDescent="0.2">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v>127.104</v>
      </c>
      <c r="Q202">
        <v>6</v>
      </c>
      <c r="R202">
        <v>28.598400000000002</v>
      </c>
      <c r="S202" s="9" t="s">
        <v>70</v>
      </c>
      <c r="T202" t="s">
        <v>169</v>
      </c>
    </row>
    <row r="203" spans="1:20" x14ac:dyDescent="0.2">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v>599.29200000000003</v>
      </c>
      <c r="Q203">
        <v>6</v>
      </c>
      <c r="R203">
        <v>93.223200000000006</v>
      </c>
      <c r="S203" s="9" t="s">
        <v>58</v>
      </c>
      <c r="T203" t="s">
        <v>48</v>
      </c>
    </row>
    <row r="204" spans="1:20" x14ac:dyDescent="0.2">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v>603.91999999999996</v>
      </c>
      <c r="Q204">
        <v>5</v>
      </c>
      <c r="R204">
        <v>75.489999999999995</v>
      </c>
      <c r="S204" s="9" t="s">
        <v>33</v>
      </c>
      <c r="T204" t="s">
        <v>34</v>
      </c>
    </row>
    <row r="205" spans="1:20" x14ac:dyDescent="0.2">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v>520.04999999999995</v>
      </c>
      <c r="Q205">
        <v>5</v>
      </c>
      <c r="R205">
        <v>72.807000000000002</v>
      </c>
      <c r="S205" s="9" t="s">
        <v>58</v>
      </c>
      <c r="T205" t="s">
        <v>161</v>
      </c>
    </row>
    <row r="206" spans="1:20" x14ac:dyDescent="0.2">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v>1166.92</v>
      </c>
      <c r="Q206">
        <v>5</v>
      </c>
      <c r="R206">
        <v>131.27850000000001</v>
      </c>
      <c r="S206" s="9" t="s">
        <v>70</v>
      </c>
      <c r="T206" t="s">
        <v>195</v>
      </c>
    </row>
    <row r="207" spans="1:20" x14ac:dyDescent="0.2">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v>24.1</v>
      </c>
      <c r="Q207">
        <v>5</v>
      </c>
      <c r="R207">
        <v>9.1579999999999995</v>
      </c>
      <c r="S207" s="9" t="s">
        <v>129</v>
      </c>
      <c r="T207" t="s">
        <v>48</v>
      </c>
    </row>
    <row r="208" spans="1:20" x14ac:dyDescent="0.2">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v>33.11</v>
      </c>
      <c r="Q208">
        <v>7</v>
      </c>
      <c r="R208">
        <v>12.9129</v>
      </c>
      <c r="S208" s="9" t="s">
        <v>129</v>
      </c>
      <c r="T208" t="s">
        <v>48</v>
      </c>
    </row>
    <row r="209" spans="1:20" x14ac:dyDescent="0.2">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v>1090.7819999999999</v>
      </c>
      <c r="Q209">
        <v>7</v>
      </c>
      <c r="R209">
        <v>-290.87520000000001</v>
      </c>
      <c r="S209" s="9" t="s">
        <v>430</v>
      </c>
      <c r="T209" t="s">
        <v>71</v>
      </c>
    </row>
    <row r="210" spans="1:20" x14ac:dyDescent="0.2">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v>151.72</v>
      </c>
      <c r="Q210">
        <v>4</v>
      </c>
      <c r="R210">
        <v>27.3096</v>
      </c>
      <c r="S210" s="9" t="s">
        <v>70</v>
      </c>
      <c r="T210" t="s">
        <v>34</v>
      </c>
    </row>
    <row r="211" spans="1:20" x14ac:dyDescent="0.2">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v>155.25</v>
      </c>
      <c r="Q211">
        <v>3</v>
      </c>
      <c r="R211">
        <v>46.575000000000003</v>
      </c>
      <c r="S211" s="9" t="s">
        <v>83</v>
      </c>
      <c r="T211" t="s">
        <v>59</v>
      </c>
    </row>
    <row r="212" spans="1:20" x14ac:dyDescent="0.2">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v>1618.37</v>
      </c>
      <c r="Q212">
        <v>13</v>
      </c>
      <c r="R212">
        <v>356.04140000000001</v>
      </c>
      <c r="S212" s="9" t="s">
        <v>33</v>
      </c>
      <c r="T212" t="s">
        <v>96</v>
      </c>
    </row>
    <row r="213" spans="1:20" x14ac:dyDescent="0.2">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v>13.96</v>
      </c>
      <c r="Q213">
        <v>2</v>
      </c>
      <c r="R213">
        <v>6.7008000000000001</v>
      </c>
      <c r="S213" s="9" t="s">
        <v>83</v>
      </c>
      <c r="T213" t="s">
        <v>71</v>
      </c>
    </row>
    <row r="214" spans="1:20" x14ac:dyDescent="0.2">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v>155.82</v>
      </c>
      <c r="Q214">
        <v>3</v>
      </c>
      <c r="R214">
        <v>63.886200000000002</v>
      </c>
      <c r="S214" s="9" t="s">
        <v>83</v>
      </c>
      <c r="T214" t="s">
        <v>71</v>
      </c>
    </row>
    <row r="215" spans="1:20" x14ac:dyDescent="0.2">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v>1267.53</v>
      </c>
      <c r="Q215">
        <v>3</v>
      </c>
      <c r="R215">
        <v>316.88249999999999</v>
      </c>
      <c r="S215" s="9" t="s">
        <v>129</v>
      </c>
      <c r="T215" t="s">
        <v>113</v>
      </c>
    </row>
    <row r="216" spans="1:20" x14ac:dyDescent="0.2">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v>854.94</v>
      </c>
      <c r="Q216">
        <v>3</v>
      </c>
      <c r="R216">
        <v>213.73500000000001</v>
      </c>
      <c r="S216" s="9" t="s">
        <v>83</v>
      </c>
      <c r="T216" t="s">
        <v>71</v>
      </c>
    </row>
    <row r="217" spans="1:20" x14ac:dyDescent="0.2">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v>124.11</v>
      </c>
      <c r="Q217">
        <v>9</v>
      </c>
      <c r="R217">
        <v>52.126199999999997</v>
      </c>
      <c r="S217" s="9" t="s">
        <v>83</v>
      </c>
      <c r="T217" t="s">
        <v>71</v>
      </c>
    </row>
    <row r="218" spans="1:20" x14ac:dyDescent="0.2">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v>86.62</v>
      </c>
      <c r="Q218">
        <v>2</v>
      </c>
      <c r="R218">
        <v>8.6620000000000008</v>
      </c>
      <c r="S218" s="9" t="s">
        <v>83</v>
      </c>
      <c r="T218" t="s">
        <v>113</v>
      </c>
    </row>
    <row r="219" spans="1:20" x14ac:dyDescent="0.2">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v>697.16</v>
      </c>
      <c r="Q219">
        <v>4</v>
      </c>
      <c r="R219">
        <v>146.40360000000001</v>
      </c>
      <c r="S219" s="9" t="s">
        <v>83</v>
      </c>
      <c r="T219" t="s">
        <v>195</v>
      </c>
    </row>
    <row r="220" spans="1:20" x14ac:dyDescent="0.2">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v>722.35199999999998</v>
      </c>
      <c r="Q220">
        <v>3</v>
      </c>
      <c r="R220">
        <v>90.293999999999997</v>
      </c>
      <c r="S220" s="9" t="s">
        <v>33</v>
      </c>
      <c r="T220" t="s">
        <v>77</v>
      </c>
    </row>
    <row r="221" spans="1:20" x14ac:dyDescent="0.2">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v>254.60400000000001</v>
      </c>
      <c r="Q221">
        <v>14</v>
      </c>
      <c r="R221">
        <v>-18.186</v>
      </c>
      <c r="S221" s="9" t="s">
        <v>83</v>
      </c>
      <c r="T221" t="s">
        <v>48</v>
      </c>
    </row>
    <row r="222" spans="1:20" x14ac:dyDescent="0.2">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v>102.36</v>
      </c>
      <c r="Q222">
        <v>3</v>
      </c>
      <c r="R222">
        <v>-3.8384999999999998</v>
      </c>
      <c r="S222" s="9" t="s">
        <v>58</v>
      </c>
      <c r="T222" t="s">
        <v>195</v>
      </c>
    </row>
    <row r="223" spans="1:20" x14ac:dyDescent="0.2">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v>168.464</v>
      </c>
      <c r="Q223">
        <v>2</v>
      </c>
      <c r="R223">
        <v>-29.481200000000001</v>
      </c>
      <c r="S223" s="9" t="s">
        <v>70</v>
      </c>
      <c r="T223" t="s">
        <v>71</v>
      </c>
    </row>
    <row r="224" spans="1:20" x14ac:dyDescent="0.2">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v>282.88799999999998</v>
      </c>
      <c r="Q224">
        <v>9</v>
      </c>
      <c r="R224">
        <v>56.577599999999997</v>
      </c>
      <c r="S224" s="9" t="s">
        <v>70</v>
      </c>
      <c r="T224" t="s">
        <v>71</v>
      </c>
    </row>
    <row r="225" spans="1:20" x14ac:dyDescent="0.2">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v>108.4</v>
      </c>
      <c r="Q225">
        <v>2</v>
      </c>
      <c r="R225">
        <v>22.763999999999999</v>
      </c>
      <c r="S225" s="9" t="s">
        <v>83</v>
      </c>
      <c r="T225" t="s">
        <v>113</v>
      </c>
    </row>
    <row r="226" spans="1:20" x14ac:dyDescent="0.2">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v>107.77200000000001</v>
      </c>
      <c r="Q226">
        <v>2</v>
      </c>
      <c r="R226">
        <v>-29.252400000000002</v>
      </c>
      <c r="S226" s="9" t="s">
        <v>129</v>
      </c>
      <c r="T226" t="s">
        <v>195</v>
      </c>
    </row>
    <row r="227" spans="1:20" x14ac:dyDescent="0.2">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v>194.84800000000001</v>
      </c>
      <c r="Q227">
        <v>4</v>
      </c>
      <c r="R227">
        <v>12.178000000000001</v>
      </c>
      <c r="S227" s="9" t="s">
        <v>123</v>
      </c>
      <c r="T227" t="s">
        <v>48</v>
      </c>
    </row>
    <row r="228" spans="1:20" x14ac:dyDescent="0.2">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v>1106.9100000000001</v>
      </c>
      <c r="Q228">
        <v>9</v>
      </c>
      <c r="R228">
        <v>121.76009999999999</v>
      </c>
      <c r="S228" s="9" t="s">
        <v>58</v>
      </c>
      <c r="T228" t="s">
        <v>34</v>
      </c>
    </row>
    <row r="229" spans="1:20" x14ac:dyDescent="0.2">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v>836.59199999999998</v>
      </c>
      <c r="Q229">
        <v>8</v>
      </c>
      <c r="R229">
        <v>-264.92079999999999</v>
      </c>
      <c r="S229" s="9" t="s">
        <v>83</v>
      </c>
      <c r="T229" t="s">
        <v>195</v>
      </c>
    </row>
    <row r="230" spans="1:20" x14ac:dyDescent="0.2">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v>31.984000000000002</v>
      </c>
      <c r="Q230">
        <v>2</v>
      </c>
      <c r="R230">
        <v>1.9990000000000001</v>
      </c>
      <c r="S230" s="9" t="s">
        <v>129</v>
      </c>
      <c r="T230" t="s">
        <v>59</v>
      </c>
    </row>
    <row r="231" spans="1:20" x14ac:dyDescent="0.2">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v>447.84</v>
      </c>
      <c r="Q231">
        <v>5</v>
      </c>
      <c r="R231">
        <v>11.196</v>
      </c>
      <c r="S231" s="9" t="s">
        <v>33</v>
      </c>
      <c r="T231" t="s">
        <v>59</v>
      </c>
    </row>
    <row r="232" spans="1:20" x14ac:dyDescent="0.2">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v>8.73</v>
      </c>
      <c r="Q232">
        <v>3</v>
      </c>
      <c r="R232">
        <v>4.1031000000000004</v>
      </c>
      <c r="S232" s="9" t="s">
        <v>33</v>
      </c>
      <c r="T232" t="s">
        <v>59</v>
      </c>
    </row>
    <row r="233" spans="1:20" x14ac:dyDescent="0.2">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v>2.3279999999999998</v>
      </c>
      <c r="Q233">
        <v>2</v>
      </c>
      <c r="R233">
        <v>-0.75660000000000005</v>
      </c>
      <c r="S233" s="9" t="s">
        <v>58</v>
      </c>
      <c r="T233" t="s">
        <v>34</v>
      </c>
    </row>
    <row r="234" spans="1:20" x14ac:dyDescent="0.2">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v>119.833</v>
      </c>
      <c r="Q234">
        <v>1</v>
      </c>
      <c r="R234">
        <v>-12.6882</v>
      </c>
      <c r="S234" s="9" t="s">
        <v>58</v>
      </c>
      <c r="T234" t="s">
        <v>96</v>
      </c>
    </row>
    <row r="235" spans="1:20" x14ac:dyDescent="0.2">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v>38.6</v>
      </c>
      <c r="Q235">
        <v>4</v>
      </c>
      <c r="R235">
        <v>11.58</v>
      </c>
      <c r="S235" s="9" t="s">
        <v>129</v>
      </c>
      <c r="T235" t="s">
        <v>169</v>
      </c>
    </row>
    <row r="236" spans="1:20" x14ac:dyDescent="0.2">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v>1067.94</v>
      </c>
      <c r="Q236">
        <v>3</v>
      </c>
      <c r="R236">
        <v>224.26740000000001</v>
      </c>
      <c r="S236" s="9" t="s">
        <v>129</v>
      </c>
      <c r="T236" t="s">
        <v>169</v>
      </c>
    </row>
    <row r="237" spans="1:20" x14ac:dyDescent="0.2">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v>343.92</v>
      </c>
      <c r="Q237">
        <v>4</v>
      </c>
      <c r="R237">
        <v>75.662400000000005</v>
      </c>
      <c r="S237" s="9" t="s">
        <v>83</v>
      </c>
      <c r="T237" t="s">
        <v>113</v>
      </c>
    </row>
    <row r="238" spans="1:20" x14ac:dyDescent="0.2">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v>204.6</v>
      </c>
      <c r="Q238">
        <v>2</v>
      </c>
      <c r="R238">
        <v>53.195999999999998</v>
      </c>
      <c r="S238" s="9" t="s">
        <v>83</v>
      </c>
      <c r="T238" t="s">
        <v>77</v>
      </c>
    </row>
    <row r="239" spans="1:20" x14ac:dyDescent="0.2">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v>8.3520000000000003</v>
      </c>
      <c r="Q239">
        <v>6</v>
      </c>
      <c r="R239">
        <v>1.2527999999999999</v>
      </c>
      <c r="S239" s="9" t="s">
        <v>129</v>
      </c>
      <c r="T239" t="s">
        <v>161</v>
      </c>
    </row>
    <row r="240" spans="1:20" x14ac:dyDescent="0.2">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v>2244.48</v>
      </c>
      <c r="Q240">
        <v>7</v>
      </c>
      <c r="R240">
        <v>493.78559999999999</v>
      </c>
      <c r="S240" s="9" t="s">
        <v>123</v>
      </c>
      <c r="T240" t="s">
        <v>96</v>
      </c>
    </row>
    <row r="241" spans="1:20" x14ac:dyDescent="0.2">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v>455.1</v>
      </c>
      <c r="Q241">
        <v>2</v>
      </c>
      <c r="R241">
        <v>100.122</v>
      </c>
      <c r="S241" s="9" t="s">
        <v>123</v>
      </c>
      <c r="T241" t="s">
        <v>96</v>
      </c>
    </row>
    <row r="242" spans="1:20" x14ac:dyDescent="0.2">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v>195.184</v>
      </c>
      <c r="Q242">
        <v>1</v>
      </c>
      <c r="R242">
        <v>19.5184</v>
      </c>
      <c r="S242" s="9" t="s">
        <v>58</v>
      </c>
      <c r="T242" t="s">
        <v>71</v>
      </c>
    </row>
    <row r="243" spans="1:20" x14ac:dyDescent="0.2">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v>109.48</v>
      </c>
      <c r="Q243">
        <v>2</v>
      </c>
      <c r="R243">
        <v>33.938800000000001</v>
      </c>
      <c r="S243" s="9" t="s">
        <v>70</v>
      </c>
      <c r="T243" t="s">
        <v>96</v>
      </c>
    </row>
    <row r="244" spans="1:20" x14ac:dyDescent="0.2">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v>172.5</v>
      </c>
      <c r="Q244">
        <v>2</v>
      </c>
      <c r="R244">
        <v>51.75</v>
      </c>
      <c r="S244" s="9" t="s">
        <v>83</v>
      </c>
      <c r="T244" t="s">
        <v>96</v>
      </c>
    </row>
    <row r="245" spans="1:20" x14ac:dyDescent="0.2">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v>892.22400000000005</v>
      </c>
      <c r="Q245">
        <v>3</v>
      </c>
      <c r="R245">
        <v>89.222399999999993</v>
      </c>
      <c r="S245" s="9" t="s">
        <v>70</v>
      </c>
      <c r="T245" t="s">
        <v>297</v>
      </c>
    </row>
    <row r="246" spans="1:20" x14ac:dyDescent="0.2">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v>15.712</v>
      </c>
      <c r="Q246">
        <v>4</v>
      </c>
      <c r="R246">
        <v>2.5531999999999999</v>
      </c>
      <c r="S246" s="9" t="s">
        <v>430</v>
      </c>
      <c r="T246" t="s">
        <v>77</v>
      </c>
    </row>
    <row r="247" spans="1:20" x14ac:dyDescent="0.2">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v>55.968000000000004</v>
      </c>
      <c r="Q247">
        <v>1</v>
      </c>
      <c r="R247">
        <v>-2.0988000000000002</v>
      </c>
      <c r="S247" s="9" t="s">
        <v>430</v>
      </c>
      <c r="T247" t="s">
        <v>77</v>
      </c>
    </row>
    <row r="248" spans="1:20" x14ac:dyDescent="0.2">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v>95.983999999999995</v>
      </c>
      <c r="Q248">
        <v>4</v>
      </c>
      <c r="R248">
        <v>-4.1135999999999999</v>
      </c>
      <c r="S248" s="9" t="s">
        <v>83</v>
      </c>
      <c r="T248" t="s">
        <v>113</v>
      </c>
    </row>
    <row r="249" spans="1:20" x14ac:dyDescent="0.2">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v>544.00800000000004</v>
      </c>
      <c r="Q249">
        <v>3</v>
      </c>
      <c r="R249">
        <v>40.800600000000003</v>
      </c>
      <c r="S249" s="9" t="s">
        <v>129</v>
      </c>
      <c r="T249" t="s">
        <v>71</v>
      </c>
    </row>
    <row r="250" spans="1:20" x14ac:dyDescent="0.2">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v>854.35199999999998</v>
      </c>
      <c r="Q250">
        <v>3</v>
      </c>
      <c r="R250">
        <v>10.679399999999999</v>
      </c>
      <c r="S250" s="9" t="s">
        <v>129</v>
      </c>
      <c r="T250" t="s">
        <v>71</v>
      </c>
    </row>
    <row r="251" spans="1:20" x14ac:dyDescent="0.2">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v>579.13599999999997</v>
      </c>
      <c r="Q251">
        <v>4</v>
      </c>
      <c r="R251">
        <v>21.717600000000001</v>
      </c>
      <c r="S251" s="9" t="s">
        <v>83</v>
      </c>
      <c r="T251" t="s">
        <v>71</v>
      </c>
    </row>
    <row r="252" spans="1:20" x14ac:dyDescent="0.2">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v>141.37200000000001</v>
      </c>
      <c r="Q252">
        <v>2</v>
      </c>
      <c r="R252">
        <v>-48.470399999999998</v>
      </c>
      <c r="S252" s="9" t="s">
        <v>83</v>
      </c>
      <c r="T252" t="s">
        <v>77</v>
      </c>
    </row>
    <row r="253" spans="1:20" x14ac:dyDescent="0.2">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v>17.024000000000001</v>
      </c>
      <c r="Q253">
        <v>2</v>
      </c>
      <c r="R253">
        <v>1.7023999999999999</v>
      </c>
      <c r="S253" s="9" t="s">
        <v>83</v>
      </c>
      <c r="T253" t="s">
        <v>77</v>
      </c>
    </row>
    <row r="254" spans="1:20" x14ac:dyDescent="0.2">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v>113.79</v>
      </c>
      <c r="Q254">
        <v>3</v>
      </c>
      <c r="R254">
        <v>20.482199999999999</v>
      </c>
      <c r="S254" s="9" t="s">
        <v>123</v>
      </c>
      <c r="T254" t="s">
        <v>96</v>
      </c>
    </row>
    <row r="255" spans="1:20" x14ac:dyDescent="0.2">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v>8.73</v>
      </c>
      <c r="Q255">
        <v>1</v>
      </c>
      <c r="R255">
        <v>2.9681999999999999</v>
      </c>
      <c r="S255" s="9" t="s">
        <v>58</v>
      </c>
      <c r="T255" t="s">
        <v>34</v>
      </c>
    </row>
    <row r="256" spans="1:20" x14ac:dyDescent="0.2">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v>47.951999999999998</v>
      </c>
      <c r="Q256">
        <v>3</v>
      </c>
      <c r="R256">
        <v>13.786199999999999</v>
      </c>
      <c r="S256" s="9" t="s">
        <v>430</v>
      </c>
      <c r="T256" t="s">
        <v>48</v>
      </c>
    </row>
    <row r="257" spans="1:20" x14ac:dyDescent="0.2">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v>63.968000000000004</v>
      </c>
      <c r="Q257">
        <v>2</v>
      </c>
      <c r="R257">
        <v>0</v>
      </c>
      <c r="S257" s="9" t="s">
        <v>430</v>
      </c>
      <c r="T257" t="s">
        <v>48</v>
      </c>
    </row>
    <row r="258" spans="1:20" x14ac:dyDescent="0.2">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v>165.048</v>
      </c>
      <c r="Q258">
        <v>3</v>
      </c>
      <c r="R258">
        <v>41.262</v>
      </c>
      <c r="S258" s="9" t="s">
        <v>430</v>
      </c>
      <c r="T258" t="s">
        <v>48</v>
      </c>
    </row>
    <row r="259" spans="1:20" x14ac:dyDescent="0.2">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v>12.35</v>
      </c>
      <c r="Q259">
        <v>1</v>
      </c>
      <c r="R259">
        <v>5.4340000000000002</v>
      </c>
      <c r="S259" s="9" t="s">
        <v>83</v>
      </c>
      <c r="T259" t="s">
        <v>253</v>
      </c>
    </row>
    <row r="260" spans="1:20" x14ac:dyDescent="0.2">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v>764.68799999999999</v>
      </c>
      <c r="Q260">
        <v>6</v>
      </c>
      <c r="R260">
        <v>95.585999999999999</v>
      </c>
      <c r="S260" s="9" t="s">
        <v>70</v>
      </c>
      <c r="T260" t="s">
        <v>96</v>
      </c>
    </row>
    <row r="261" spans="1:20" x14ac:dyDescent="0.2">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v>3610.848</v>
      </c>
      <c r="Q261">
        <v>12</v>
      </c>
      <c r="R261">
        <v>135.4068</v>
      </c>
      <c r="S261" s="9" t="s">
        <v>70</v>
      </c>
      <c r="T261" t="s">
        <v>96</v>
      </c>
    </row>
    <row r="262" spans="1:20" x14ac:dyDescent="0.2">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v>254.97450000000001</v>
      </c>
      <c r="Q262">
        <v>3</v>
      </c>
      <c r="R262">
        <v>11.998799999999999</v>
      </c>
      <c r="S262" s="9" t="s">
        <v>70</v>
      </c>
      <c r="T262" t="s">
        <v>96</v>
      </c>
    </row>
    <row r="263" spans="1:20" x14ac:dyDescent="0.2">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v>1141.9380000000001</v>
      </c>
      <c r="Q263">
        <v>9</v>
      </c>
      <c r="R263">
        <v>139.5702</v>
      </c>
      <c r="S263" s="9" t="s">
        <v>129</v>
      </c>
      <c r="T263" t="s">
        <v>96</v>
      </c>
    </row>
    <row r="264" spans="1:20" x14ac:dyDescent="0.2">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v>6.6959999999999997</v>
      </c>
      <c r="Q264">
        <v>1</v>
      </c>
      <c r="R264">
        <v>0.50219999999999998</v>
      </c>
      <c r="S264" s="9" t="s">
        <v>83</v>
      </c>
      <c r="T264" t="s">
        <v>195</v>
      </c>
    </row>
    <row r="265" spans="1:20" x14ac:dyDescent="0.2">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v>43.872</v>
      </c>
      <c r="Q265">
        <v>2</v>
      </c>
      <c r="R265">
        <v>11.516400000000001</v>
      </c>
      <c r="S265" s="9" t="s">
        <v>83</v>
      </c>
      <c r="T265" t="s">
        <v>195</v>
      </c>
    </row>
    <row r="266" spans="1:20" x14ac:dyDescent="0.2">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v>41.85</v>
      </c>
      <c r="Q266">
        <v>5</v>
      </c>
      <c r="R266">
        <v>10.881</v>
      </c>
      <c r="S266" s="9" t="s">
        <v>123</v>
      </c>
      <c r="T266" t="s">
        <v>48</v>
      </c>
    </row>
    <row r="267" spans="1:20" x14ac:dyDescent="0.2">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v>292.27199999999999</v>
      </c>
      <c r="Q267">
        <v>6</v>
      </c>
      <c r="R267">
        <v>18.266999999999999</v>
      </c>
      <c r="S267" s="9" t="s">
        <v>58</v>
      </c>
      <c r="T267" t="s">
        <v>96</v>
      </c>
    </row>
    <row r="268" spans="1:20" x14ac:dyDescent="0.2">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v>29.327999999999999</v>
      </c>
      <c r="Q268">
        <v>3</v>
      </c>
      <c r="R268">
        <v>3.6659999999999999</v>
      </c>
      <c r="S268" s="9" t="s">
        <v>83</v>
      </c>
      <c r="T268" t="s">
        <v>77</v>
      </c>
    </row>
    <row r="269" spans="1:20" x14ac:dyDescent="0.2">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v>388.43</v>
      </c>
      <c r="Q269">
        <v>5</v>
      </c>
      <c r="R269">
        <v>-88.784000000000006</v>
      </c>
      <c r="S269" s="9" t="s">
        <v>430</v>
      </c>
      <c r="T269" t="s">
        <v>161</v>
      </c>
    </row>
    <row r="270" spans="1:20" x14ac:dyDescent="0.2">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v>39.880000000000003</v>
      </c>
      <c r="Q270">
        <v>2</v>
      </c>
      <c r="R270">
        <v>11.166399999999999</v>
      </c>
      <c r="S270" s="9" t="s">
        <v>83</v>
      </c>
      <c r="T270" t="s">
        <v>34</v>
      </c>
    </row>
    <row r="271" spans="1:20" x14ac:dyDescent="0.2">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v>572.76</v>
      </c>
      <c r="Q271">
        <v>6</v>
      </c>
      <c r="R271">
        <v>166.10040000000001</v>
      </c>
      <c r="S271" s="9" t="s">
        <v>70</v>
      </c>
      <c r="T271" t="s">
        <v>96</v>
      </c>
    </row>
    <row r="272" spans="1:20" x14ac:dyDescent="0.2">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v>286.38</v>
      </c>
      <c r="Q272">
        <v>3</v>
      </c>
      <c r="R272">
        <v>83.050200000000004</v>
      </c>
      <c r="S272" s="9" t="s">
        <v>70</v>
      </c>
      <c r="T272" t="s">
        <v>96</v>
      </c>
    </row>
    <row r="273" spans="1:20" x14ac:dyDescent="0.2">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v>61.96</v>
      </c>
      <c r="Q273">
        <v>2</v>
      </c>
      <c r="R273">
        <v>4.3372000000000002</v>
      </c>
      <c r="S273" s="9" t="s">
        <v>58</v>
      </c>
      <c r="T273" t="s">
        <v>77</v>
      </c>
    </row>
    <row r="274" spans="1:20" x14ac:dyDescent="0.2">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v>23.99</v>
      </c>
      <c r="Q274">
        <v>1</v>
      </c>
      <c r="R274">
        <v>5.5176999999999996</v>
      </c>
      <c r="S274" s="9" t="s">
        <v>83</v>
      </c>
      <c r="T274" t="s">
        <v>71</v>
      </c>
    </row>
    <row r="275" spans="1:20" x14ac:dyDescent="0.2">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v>161.56800000000001</v>
      </c>
      <c r="Q275">
        <v>2</v>
      </c>
      <c r="R275">
        <v>-8.0784000000000002</v>
      </c>
      <c r="S275" s="9" t="s">
        <v>123</v>
      </c>
      <c r="T275" t="s">
        <v>59</v>
      </c>
    </row>
    <row r="276" spans="1:20" x14ac:dyDescent="0.2">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v>155.37200000000001</v>
      </c>
      <c r="Q276">
        <v>2</v>
      </c>
      <c r="R276">
        <v>-13.317600000000001</v>
      </c>
      <c r="S276" s="9" t="s">
        <v>47</v>
      </c>
      <c r="T276" t="s">
        <v>77</v>
      </c>
    </row>
    <row r="277" spans="1:20" x14ac:dyDescent="0.2">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v>183.84</v>
      </c>
      <c r="Q277">
        <v>8</v>
      </c>
      <c r="R277">
        <v>62.505600000000001</v>
      </c>
      <c r="S277" s="9" t="s">
        <v>58</v>
      </c>
      <c r="T277" t="s">
        <v>96</v>
      </c>
    </row>
    <row r="278" spans="1:20" x14ac:dyDescent="0.2">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v>51.072000000000003</v>
      </c>
      <c r="Q278">
        <v>6</v>
      </c>
      <c r="R278">
        <v>5.1071999999999997</v>
      </c>
      <c r="S278" s="9" t="s">
        <v>83</v>
      </c>
      <c r="T278" t="s">
        <v>59</v>
      </c>
    </row>
    <row r="279" spans="1:20" x14ac:dyDescent="0.2">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v>37.049999999999997</v>
      </c>
      <c r="Q279">
        <v>3</v>
      </c>
      <c r="R279">
        <v>16.302</v>
      </c>
      <c r="S279" s="9" t="s">
        <v>83</v>
      </c>
      <c r="T279" t="s">
        <v>161</v>
      </c>
    </row>
    <row r="280" spans="1:20" x14ac:dyDescent="0.2">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v>25.11</v>
      </c>
      <c r="Q280">
        <v>3</v>
      </c>
      <c r="R280">
        <v>6.5286</v>
      </c>
      <c r="S280" s="9" t="s">
        <v>58</v>
      </c>
      <c r="T280" t="s">
        <v>113</v>
      </c>
    </row>
    <row r="281" spans="1:20" x14ac:dyDescent="0.2">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v>29.78</v>
      </c>
      <c r="Q281">
        <v>2</v>
      </c>
      <c r="R281">
        <v>8.0405999999999995</v>
      </c>
      <c r="S281" s="9" t="s">
        <v>70</v>
      </c>
      <c r="T281" t="s">
        <v>195</v>
      </c>
    </row>
    <row r="282" spans="1:20" x14ac:dyDescent="0.2">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v>258.279</v>
      </c>
      <c r="Q282">
        <v>3</v>
      </c>
      <c r="R282">
        <v>-70.104299999999995</v>
      </c>
      <c r="S282" s="9" t="s">
        <v>58</v>
      </c>
      <c r="T282" t="s">
        <v>48</v>
      </c>
    </row>
    <row r="283" spans="1:20" x14ac:dyDescent="0.2">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v>300.904</v>
      </c>
      <c r="Q283">
        <v>1</v>
      </c>
      <c r="R283">
        <v>11.283899999999999</v>
      </c>
      <c r="S283" s="9" t="s">
        <v>58</v>
      </c>
      <c r="T283" t="s">
        <v>161</v>
      </c>
    </row>
    <row r="284" spans="1:20" x14ac:dyDescent="0.2">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v>1.988</v>
      </c>
      <c r="Q284">
        <v>1</v>
      </c>
      <c r="R284">
        <v>-1.4413</v>
      </c>
      <c r="S284" s="9" t="s">
        <v>123</v>
      </c>
      <c r="T284" t="s">
        <v>113</v>
      </c>
    </row>
    <row r="285" spans="1:20" x14ac:dyDescent="0.2">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v>145.56800000000001</v>
      </c>
      <c r="Q285">
        <v>2</v>
      </c>
      <c r="R285">
        <v>0</v>
      </c>
      <c r="S285" s="9" t="s">
        <v>58</v>
      </c>
      <c r="T285" t="s">
        <v>77</v>
      </c>
    </row>
    <row r="286" spans="1:20" x14ac:dyDescent="0.2">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v>899.13599999999997</v>
      </c>
      <c r="Q286">
        <v>4</v>
      </c>
      <c r="R286">
        <v>-146.1096</v>
      </c>
      <c r="S286" s="9" t="s">
        <v>123</v>
      </c>
      <c r="T286" t="s">
        <v>34</v>
      </c>
    </row>
    <row r="287" spans="1:20" x14ac:dyDescent="0.2">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v>145.9</v>
      </c>
      <c r="Q287">
        <v>5</v>
      </c>
      <c r="R287">
        <v>62.737000000000002</v>
      </c>
      <c r="S287" s="9" t="s">
        <v>33</v>
      </c>
      <c r="T287" t="s">
        <v>71</v>
      </c>
    </row>
    <row r="288" spans="1:20" x14ac:dyDescent="0.2">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v>590.05799999999999</v>
      </c>
      <c r="Q288">
        <v>7</v>
      </c>
      <c r="R288">
        <v>-786.74400000000003</v>
      </c>
      <c r="S288" s="9" t="s">
        <v>83</v>
      </c>
      <c r="T288" t="s">
        <v>96</v>
      </c>
    </row>
    <row r="289" spans="1:20" x14ac:dyDescent="0.2">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v>912.75</v>
      </c>
      <c r="Q289">
        <v>5</v>
      </c>
      <c r="R289">
        <v>118.6575</v>
      </c>
      <c r="S289" s="9" t="s">
        <v>58</v>
      </c>
      <c r="T289" t="s">
        <v>77</v>
      </c>
    </row>
    <row r="290" spans="1:20" x14ac:dyDescent="0.2">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v>83.951999999999998</v>
      </c>
      <c r="Q290">
        <v>3</v>
      </c>
      <c r="R290">
        <v>-90.248400000000004</v>
      </c>
      <c r="S290" s="9" t="s">
        <v>129</v>
      </c>
      <c r="T290" t="s">
        <v>77</v>
      </c>
    </row>
    <row r="291" spans="1:20" x14ac:dyDescent="0.2">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v>18.84</v>
      </c>
      <c r="Q291">
        <v>3</v>
      </c>
      <c r="R291">
        <v>7.1592000000000002</v>
      </c>
      <c r="S291" s="9" t="s">
        <v>430</v>
      </c>
      <c r="T291" t="s">
        <v>297</v>
      </c>
    </row>
    <row r="292" spans="1:20" x14ac:dyDescent="0.2">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v>239.98</v>
      </c>
      <c r="Q292">
        <v>2</v>
      </c>
      <c r="R292">
        <v>52.7956</v>
      </c>
      <c r="S292" s="9" t="s">
        <v>430</v>
      </c>
      <c r="T292" t="s">
        <v>297</v>
      </c>
    </row>
    <row r="293" spans="1:20" x14ac:dyDescent="0.2">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v>652.45000000000005</v>
      </c>
      <c r="Q293">
        <v>5</v>
      </c>
      <c r="R293">
        <v>-430.61700000000002</v>
      </c>
      <c r="S293" s="9" t="s">
        <v>58</v>
      </c>
      <c r="T293" t="s">
        <v>48</v>
      </c>
    </row>
    <row r="294" spans="1:20" x14ac:dyDescent="0.2">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v>66.644999999999996</v>
      </c>
      <c r="Q294">
        <v>3</v>
      </c>
      <c r="R294">
        <v>-42.652799999999999</v>
      </c>
      <c r="S294" s="9" t="s">
        <v>58</v>
      </c>
      <c r="T294" t="s">
        <v>48</v>
      </c>
    </row>
    <row r="295" spans="1:20" x14ac:dyDescent="0.2">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v>205.17599999999999</v>
      </c>
      <c r="Q295">
        <v>2</v>
      </c>
      <c r="R295">
        <v>-58.133200000000002</v>
      </c>
      <c r="S295" s="9" t="s">
        <v>129</v>
      </c>
      <c r="T295" t="s">
        <v>113</v>
      </c>
    </row>
    <row r="296" spans="1:20" x14ac:dyDescent="0.2">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v>154.76400000000001</v>
      </c>
      <c r="Q296">
        <v>3</v>
      </c>
      <c r="R296">
        <v>-36.111600000000003</v>
      </c>
      <c r="S296" s="9" t="s">
        <v>70</v>
      </c>
      <c r="T296" t="s">
        <v>113</v>
      </c>
    </row>
    <row r="297" spans="1:20" x14ac:dyDescent="0.2">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v>39.979999999999997</v>
      </c>
      <c r="Q297">
        <v>2</v>
      </c>
      <c r="R297">
        <v>9.9949999999999992</v>
      </c>
      <c r="S297" s="9" t="s">
        <v>83</v>
      </c>
      <c r="T297" t="s">
        <v>77</v>
      </c>
    </row>
    <row r="298" spans="1:20" x14ac:dyDescent="0.2">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v>393.16500000000002</v>
      </c>
      <c r="Q298">
        <v>3</v>
      </c>
      <c r="R298">
        <v>-204.44579999999999</v>
      </c>
      <c r="S298" s="9" t="s">
        <v>58</v>
      </c>
      <c r="T298" t="s">
        <v>77</v>
      </c>
    </row>
    <row r="299" spans="1:20" x14ac:dyDescent="0.2">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v>408.00599999999997</v>
      </c>
      <c r="Q299">
        <v>2</v>
      </c>
      <c r="R299">
        <v>72.534400000000005</v>
      </c>
      <c r="S299" s="9" t="s">
        <v>83</v>
      </c>
      <c r="T299" t="s">
        <v>71</v>
      </c>
    </row>
    <row r="300" spans="1:20" x14ac:dyDescent="0.2">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v>165.28</v>
      </c>
      <c r="Q300">
        <v>4</v>
      </c>
      <c r="R300">
        <v>14.8752</v>
      </c>
      <c r="S300" s="9" t="s">
        <v>83</v>
      </c>
      <c r="T300" t="s">
        <v>71</v>
      </c>
    </row>
    <row r="301" spans="1:20" x14ac:dyDescent="0.2">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v>37.74</v>
      </c>
      <c r="Q301">
        <v>3</v>
      </c>
      <c r="R301">
        <v>12.8316</v>
      </c>
      <c r="S301" s="9" t="s">
        <v>33</v>
      </c>
      <c r="T301" t="s">
        <v>169</v>
      </c>
    </row>
    <row r="302" spans="1:20" x14ac:dyDescent="0.2">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v>4.9279999999999999</v>
      </c>
      <c r="Q302">
        <v>4</v>
      </c>
      <c r="R302">
        <v>-1.4783999999999999</v>
      </c>
      <c r="S302" s="9" t="s">
        <v>33</v>
      </c>
      <c r="T302" t="s">
        <v>77</v>
      </c>
    </row>
    <row r="303" spans="1:20" x14ac:dyDescent="0.2">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v>1819.86</v>
      </c>
      <c r="Q303">
        <v>14</v>
      </c>
      <c r="R303">
        <v>163.78739999999999</v>
      </c>
      <c r="S303" s="9" t="s">
        <v>70</v>
      </c>
      <c r="T303" t="s">
        <v>96</v>
      </c>
    </row>
    <row r="304" spans="1:20" x14ac:dyDescent="0.2">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v>2453.4299999999998</v>
      </c>
      <c r="Q304">
        <v>5</v>
      </c>
      <c r="R304">
        <v>-350.49</v>
      </c>
      <c r="S304" s="9" t="s">
        <v>430</v>
      </c>
      <c r="T304" t="s">
        <v>48</v>
      </c>
    </row>
    <row r="305" spans="1:20" x14ac:dyDescent="0.2">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v>470.30200000000002</v>
      </c>
      <c r="Q305">
        <v>7</v>
      </c>
      <c r="R305">
        <v>-87.341800000000006</v>
      </c>
      <c r="S305" s="9" t="s">
        <v>33</v>
      </c>
      <c r="T305" t="s">
        <v>59</v>
      </c>
    </row>
    <row r="306" spans="1:20" x14ac:dyDescent="0.2">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v>452.94</v>
      </c>
      <c r="Q306">
        <v>3</v>
      </c>
      <c r="R306">
        <v>67.941000000000003</v>
      </c>
      <c r="S306" s="9" t="s">
        <v>47</v>
      </c>
      <c r="T306" t="s">
        <v>59</v>
      </c>
    </row>
    <row r="307" spans="1:20" x14ac:dyDescent="0.2">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v>27.46</v>
      </c>
      <c r="Q307">
        <v>2</v>
      </c>
      <c r="R307">
        <v>9.8856000000000002</v>
      </c>
      <c r="S307" s="9" t="s">
        <v>430</v>
      </c>
      <c r="T307" t="s">
        <v>161</v>
      </c>
    </row>
    <row r="308" spans="1:20" x14ac:dyDescent="0.2">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v>244.006</v>
      </c>
      <c r="Q308">
        <v>2</v>
      </c>
      <c r="R308">
        <v>-31.372199999999999</v>
      </c>
      <c r="S308" s="9" t="s">
        <v>83</v>
      </c>
      <c r="T308" t="s">
        <v>195</v>
      </c>
    </row>
    <row r="309" spans="1:20" x14ac:dyDescent="0.2">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v>1024.7159999999999</v>
      </c>
      <c r="Q309">
        <v>6</v>
      </c>
      <c r="R309">
        <v>-29.2776</v>
      </c>
      <c r="S309" s="9" t="s">
        <v>70</v>
      </c>
      <c r="T309" t="s">
        <v>253</v>
      </c>
    </row>
    <row r="310" spans="1:20" x14ac:dyDescent="0.2">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v>121.376</v>
      </c>
      <c r="Q310">
        <v>4</v>
      </c>
      <c r="R310">
        <v>-3.0344000000000002</v>
      </c>
      <c r="S310" s="9" t="s">
        <v>129</v>
      </c>
      <c r="T310" t="s">
        <v>253</v>
      </c>
    </row>
    <row r="311" spans="1:20" x14ac:dyDescent="0.2">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v>872.94</v>
      </c>
      <c r="Q311">
        <v>3</v>
      </c>
      <c r="R311">
        <v>226.96440000000001</v>
      </c>
      <c r="S311" s="9" t="s">
        <v>83</v>
      </c>
      <c r="T311" t="s">
        <v>96</v>
      </c>
    </row>
    <row r="312" spans="1:20" x14ac:dyDescent="0.2">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v>6.6879999999999997</v>
      </c>
      <c r="Q312">
        <v>4</v>
      </c>
      <c r="R312">
        <v>-4.0128000000000004</v>
      </c>
      <c r="S312" s="9" t="s">
        <v>123</v>
      </c>
      <c r="T312" t="s">
        <v>96</v>
      </c>
    </row>
    <row r="313" spans="1:20" x14ac:dyDescent="0.2">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v>42.6</v>
      </c>
      <c r="Q313">
        <v>3</v>
      </c>
      <c r="R313">
        <v>16.614000000000001</v>
      </c>
      <c r="S313" s="9" t="s">
        <v>83</v>
      </c>
      <c r="T313" t="s">
        <v>34</v>
      </c>
    </row>
    <row r="314" spans="1:20" x14ac:dyDescent="0.2">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v>977.29200000000003</v>
      </c>
      <c r="Q314">
        <v>6</v>
      </c>
      <c r="R314">
        <v>173.74080000000001</v>
      </c>
      <c r="S314" s="9" t="s">
        <v>83</v>
      </c>
      <c r="T314" t="s">
        <v>34</v>
      </c>
    </row>
    <row r="315" spans="1:20" x14ac:dyDescent="0.2">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v>9.64</v>
      </c>
      <c r="Q315">
        <v>2</v>
      </c>
      <c r="R315">
        <v>3.6631999999999998</v>
      </c>
      <c r="S315" s="9" t="s">
        <v>83</v>
      </c>
      <c r="T315" t="s">
        <v>48</v>
      </c>
    </row>
    <row r="316" spans="1:20" x14ac:dyDescent="0.2">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v>9.94</v>
      </c>
      <c r="Q316">
        <v>2</v>
      </c>
      <c r="R316">
        <v>3.0813999999999999</v>
      </c>
      <c r="S316" s="9" t="s">
        <v>47</v>
      </c>
      <c r="T316" t="s">
        <v>34</v>
      </c>
    </row>
    <row r="317" spans="1:20" x14ac:dyDescent="0.2">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v>1004.976</v>
      </c>
      <c r="Q317">
        <v>6</v>
      </c>
      <c r="R317">
        <v>-175.8708</v>
      </c>
      <c r="S317" s="9" t="s">
        <v>129</v>
      </c>
      <c r="T317" t="s">
        <v>253</v>
      </c>
    </row>
    <row r="318" spans="1:20" x14ac:dyDescent="0.2">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v>8.36</v>
      </c>
      <c r="Q318">
        <v>2</v>
      </c>
      <c r="R318">
        <v>3.0095999999999998</v>
      </c>
      <c r="S318" s="9" t="s">
        <v>33</v>
      </c>
      <c r="T318" t="s">
        <v>77</v>
      </c>
    </row>
    <row r="319" spans="1:20" x14ac:dyDescent="0.2">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v>63.686</v>
      </c>
      <c r="Q319">
        <v>1</v>
      </c>
      <c r="R319">
        <v>-9.0980000000000008</v>
      </c>
      <c r="S319" s="9" t="s">
        <v>129</v>
      </c>
      <c r="T319" t="s">
        <v>96</v>
      </c>
    </row>
    <row r="320" spans="1:20" x14ac:dyDescent="0.2">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v>1669.6</v>
      </c>
      <c r="Q320">
        <v>4</v>
      </c>
      <c r="R320">
        <v>116.872</v>
      </c>
      <c r="S320" s="9" t="s">
        <v>83</v>
      </c>
      <c r="T320" t="s">
        <v>96</v>
      </c>
    </row>
    <row r="321" spans="1:20" x14ac:dyDescent="0.2">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v>206.11199999999999</v>
      </c>
      <c r="Q321">
        <v>6</v>
      </c>
      <c r="R321">
        <v>48.951599999999999</v>
      </c>
      <c r="S321" s="9" t="s">
        <v>58</v>
      </c>
      <c r="T321" t="s">
        <v>96</v>
      </c>
    </row>
    <row r="322" spans="1:20" x14ac:dyDescent="0.2">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v>11.648</v>
      </c>
      <c r="Q322">
        <v>2</v>
      </c>
      <c r="R322">
        <v>3.3488000000000002</v>
      </c>
      <c r="S322" s="9" t="s">
        <v>58</v>
      </c>
      <c r="T322" t="s">
        <v>71</v>
      </c>
    </row>
    <row r="323" spans="1:20" x14ac:dyDescent="0.2">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v>203.983</v>
      </c>
      <c r="Q323">
        <v>2</v>
      </c>
      <c r="R323">
        <v>16.7986</v>
      </c>
      <c r="S323" s="9" t="s">
        <v>83</v>
      </c>
      <c r="T323" t="s">
        <v>297</v>
      </c>
    </row>
    <row r="324" spans="1:20" x14ac:dyDescent="0.2">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v>782.94</v>
      </c>
      <c r="Q324">
        <v>3</v>
      </c>
      <c r="R324">
        <v>203.56440000000001</v>
      </c>
      <c r="S324" s="9" t="s">
        <v>70</v>
      </c>
      <c r="T324" t="s">
        <v>77</v>
      </c>
    </row>
    <row r="325" spans="1:20" x14ac:dyDescent="0.2">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v>8.32</v>
      </c>
      <c r="Q325">
        <v>5</v>
      </c>
      <c r="R325">
        <v>2.2879999999999998</v>
      </c>
      <c r="S325" s="9" t="s">
        <v>58</v>
      </c>
      <c r="T325" t="s">
        <v>195</v>
      </c>
    </row>
    <row r="326" spans="1:20" x14ac:dyDescent="0.2">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v>1573.4880000000001</v>
      </c>
      <c r="Q326">
        <v>7</v>
      </c>
      <c r="R326">
        <v>196.68600000000001</v>
      </c>
      <c r="S326" s="9" t="s">
        <v>83</v>
      </c>
      <c r="T326" t="s">
        <v>96</v>
      </c>
    </row>
    <row r="327" spans="1:20" x14ac:dyDescent="0.2">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v>171.96</v>
      </c>
      <c r="Q327">
        <v>2</v>
      </c>
      <c r="R327">
        <v>44.709600000000002</v>
      </c>
      <c r="S327" s="9" t="s">
        <v>70</v>
      </c>
      <c r="T327" t="s">
        <v>195</v>
      </c>
    </row>
    <row r="328" spans="1:20" x14ac:dyDescent="0.2">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v>1044.6300000000001</v>
      </c>
      <c r="Q328">
        <v>5</v>
      </c>
      <c r="R328">
        <v>-295.9785</v>
      </c>
      <c r="S328" s="9" t="s">
        <v>430</v>
      </c>
      <c r="T328" t="s">
        <v>59</v>
      </c>
    </row>
    <row r="329" spans="1:20" x14ac:dyDescent="0.2">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v>603.91999999999996</v>
      </c>
      <c r="Q329">
        <v>5</v>
      </c>
      <c r="R329">
        <v>-67.941000000000003</v>
      </c>
      <c r="S329" s="9" t="s">
        <v>70</v>
      </c>
      <c r="T329" t="s">
        <v>34</v>
      </c>
    </row>
    <row r="330" spans="1:20" x14ac:dyDescent="0.2">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v>381.44</v>
      </c>
      <c r="Q330">
        <v>2</v>
      </c>
      <c r="R330">
        <v>23.84</v>
      </c>
      <c r="S330" s="9" t="s">
        <v>70</v>
      </c>
      <c r="T330" t="s">
        <v>34</v>
      </c>
    </row>
    <row r="331" spans="1:20" x14ac:dyDescent="0.2">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v>763.28</v>
      </c>
      <c r="Q331">
        <v>5</v>
      </c>
      <c r="R331">
        <v>-21.808</v>
      </c>
      <c r="S331" s="9" t="s">
        <v>33</v>
      </c>
      <c r="T331" t="s">
        <v>96</v>
      </c>
    </row>
    <row r="332" spans="1:20" x14ac:dyDescent="0.2">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v>382.80599999999998</v>
      </c>
      <c r="Q332">
        <v>9</v>
      </c>
      <c r="R332">
        <v>-153.1224</v>
      </c>
      <c r="S332" s="9" t="s">
        <v>33</v>
      </c>
      <c r="T332" t="s">
        <v>253</v>
      </c>
    </row>
    <row r="333" spans="1:20" x14ac:dyDescent="0.2">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v>47.04</v>
      </c>
      <c r="Q333">
        <v>3</v>
      </c>
      <c r="R333">
        <v>18.345600000000001</v>
      </c>
      <c r="S333" s="9" t="s">
        <v>33</v>
      </c>
      <c r="T333" t="s">
        <v>253</v>
      </c>
    </row>
    <row r="334" spans="1:20" x14ac:dyDescent="0.2">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v>6.16</v>
      </c>
      <c r="Q334">
        <v>2</v>
      </c>
      <c r="R334">
        <v>2.9567999999999999</v>
      </c>
      <c r="S334" s="9" t="s">
        <v>33</v>
      </c>
      <c r="T334" t="s">
        <v>253</v>
      </c>
    </row>
    <row r="335" spans="1:20" x14ac:dyDescent="0.2">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v>359.05799999999999</v>
      </c>
      <c r="Q335">
        <v>3</v>
      </c>
      <c r="R335">
        <v>-35.905799999999999</v>
      </c>
      <c r="S335" s="9" t="s">
        <v>33</v>
      </c>
      <c r="T335" t="s">
        <v>195</v>
      </c>
    </row>
    <row r="336" spans="1:20" x14ac:dyDescent="0.2">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v>47.991999999999997</v>
      </c>
      <c r="Q336">
        <v>2</v>
      </c>
      <c r="R336">
        <v>-2.0568</v>
      </c>
      <c r="S336" s="9" t="s">
        <v>83</v>
      </c>
      <c r="T336" t="s">
        <v>161</v>
      </c>
    </row>
    <row r="337" spans="1:20" x14ac:dyDescent="0.2">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v>547.29999999999995</v>
      </c>
      <c r="Q337">
        <v>13</v>
      </c>
      <c r="R337">
        <v>175.136</v>
      </c>
      <c r="S337" s="9" t="s">
        <v>70</v>
      </c>
      <c r="T337" t="s">
        <v>48</v>
      </c>
    </row>
    <row r="338" spans="1:20" x14ac:dyDescent="0.2">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v>15.992000000000001</v>
      </c>
      <c r="Q338">
        <v>2</v>
      </c>
      <c r="R338">
        <v>-13.993</v>
      </c>
      <c r="S338" s="9" t="s">
        <v>70</v>
      </c>
      <c r="T338" t="s">
        <v>34</v>
      </c>
    </row>
    <row r="339" spans="1:20" x14ac:dyDescent="0.2">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v>211.96</v>
      </c>
      <c r="Q339">
        <v>2</v>
      </c>
      <c r="R339">
        <v>42.392000000000003</v>
      </c>
      <c r="S339" s="9" t="s">
        <v>58</v>
      </c>
      <c r="T339" t="s">
        <v>161</v>
      </c>
    </row>
    <row r="340" spans="1:20" x14ac:dyDescent="0.2">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v>290.666</v>
      </c>
      <c r="Q340">
        <v>2</v>
      </c>
      <c r="R340">
        <v>27.3568</v>
      </c>
      <c r="S340" s="9" t="s">
        <v>83</v>
      </c>
      <c r="T340" t="s">
        <v>161</v>
      </c>
    </row>
    <row r="341" spans="1:20" x14ac:dyDescent="0.2">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v>198.46</v>
      </c>
      <c r="Q341">
        <v>2</v>
      </c>
      <c r="R341">
        <v>99.23</v>
      </c>
      <c r="S341" s="9" t="s">
        <v>47</v>
      </c>
      <c r="T341" t="s">
        <v>71</v>
      </c>
    </row>
    <row r="342" spans="1:20" x14ac:dyDescent="0.2">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v>517.5</v>
      </c>
      <c r="Q342">
        <v>6</v>
      </c>
      <c r="R342">
        <v>155.25</v>
      </c>
      <c r="S342" s="9" t="s">
        <v>129</v>
      </c>
      <c r="T342" t="s">
        <v>77</v>
      </c>
    </row>
    <row r="343" spans="1:20" x14ac:dyDescent="0.2">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v>17.920000000000002</v>
      </c>
      <c r="Q343">
        <v>5</v>
      </c>
      <c r="R343">
        <v>2.464</v>
      </c>
      <c r="S343" s="9" t="s">
        <v>83</v>
      </c>
      <c r="T343" t="s">
        <v>59</v>
      </c>
    </row>
    <row r="344" spans="1:20" x14ac:dyDescent="0.2">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v>41.37</v>
      </c>
      <c r="Q344">
        <v>3</v>
      </c>
      <c r="R344">
        <v>17.375399999999999</v>
      </c>
      <c r="S344" s="9" t="s">
        <v>129</v>
      </c>
      <c r="T344" t="s">
        <v>161</v>
      </c>
    </row>
    <row r="345" spans="1:20" x14ac:dyDescent="0.2">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v>34.79</v>
      </c>
      <c r="Q345">
        <v>7</v>
      </c>
      <c r="R345">
        <v>10.7849</v>
      </c>
      <c r="S345" s="9" t="s">
        <v>33</v>
      </c>
      <c r="T345" t="s">
        <v>161</v>
      </c>
    </row>
    <row r="346" spans="1:20" x14ac:dyDescent="0.2">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v>1018.104</v>
      </c>
      <c r="Q346">
        <v>4</v>
      </c>
      <c r="R346">
        <v>-373.3048</v>
      </c>
      <c r="S346" s="9" t="s">
        <v>58</v>
      </c>
      <c r="T346" t="s">
        <v>169</v>
      </c>
    </row>
    <row r="347" spans="1:20" x14ac:dyDescent="0.2">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v>21.936</v>
      </c>
      <c r="Q347">
        <v>2</v>
      </c>
      <c r="R347">
        <v>-10.419600000000001</v>
      </c>
      <c r="S347" s="9" t="s">
        <v>83</v>
      </c>
      <c r="T347" t="s">
        <v>77</v>
      </c>
    </row>
    <row r="348" spans="1:20" x14ac:dyDescent="0.2">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v>42.368000000000002</v>
      </c>
      <c r="Q348">
        <v>2</v>
      </c>
      <c r="R348">
        <v>8.4735999999999994</v>
      </c>
      <c r="S348" s="9" t="s">
        <v>129</v>
      </c>
      <c r="T348" t="s">
        <v>77</v>
      </c>
    </row>
    <row r="349" spans="1:20" x14ac:dyDescent="0.2">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v>14.82</v>
      </c>
      <c r="Q349">
        <v>3</v>
      </c>
      <c r="R349">
        <v>6.2244000000000002</v>
      </c>
      <c r="S349" s="9" t="s">
        <v>58</v>
      </c>
      <c r="T349" t="s">
        <v>34</v>
      </c>
    </row>
    <row r="350" spans="1:20" x14ac:dyDescent="0.2">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v>310.88</v>
      </c>
      <c r="Q350">
        <v>2</v>
      </c>
      <c r="R350">
        <v>23.315999999999999</v>
      </c>
      <c r="S350" s="9" t="s">
        <v>70</v>
      </c>
      <c r="T350" t="s">
        <v>96</v>
      </c>
    </row>
    <row r="351" spans="1:20" x14ac:dyDescent="0.2">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v>853.09199999999998</v>
      </c>
      <c r="Q351">
        <v>6</v>
      </c>
      <c r="R351">
        <v>-227.49119999999999</v>
      </c>
      <c r="S351" s="9" t="s">
        <v>83</v>
      </c>
      <c r="T351" t="s">
        <v>253</v>
      </c>
    </row>
    <row r="352" spans="1:20" x14ac:dyDescent="0.2">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v>21.88</v>
      </c>
      <c r="Q352">
        <v>5</v>
      </c>
      <c r="R352">
        <v>6.2904999999999998</v>
      </c>
      <c r="S352" s="9" t="s">
        <v>58</v>
      </c>
      <c r="T352" t="s">
        <v>195</v>
      </c>
    </row>
    <row r="353" spans="1:20" x14ac:dyDescent="0.2">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v>515.88</v>
      </c>
      <c r="Q353">
        <v>6</v>
      </c>
      <c r="R353">
        <v>113.4936</v>
      </c>
      <c r="S353" s="9" t="s">
        <v>83</v>
      </c>
      <c r="T353" t="s">
        <v>59</v>
      </c>
    </row>
    <row r="354" spans="1:20" x14ac:dyDescent="0.2">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v>1931.04</v>
      </c>
      <c r="Q354">
        <v>9</v>
      </c>
      <c r="R354">
        <v>321.83999999999997</v>
      </c>
      <c r="S354" s="9" t="s">
        <v>70</v>
      </c>
      <c r="T354" t="s">
        <v>71</v>
      </c>
    </row>
    <row r="355" spans="1:20" x14ac:dyDescent="0.2">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v>71.992000000000004</v>
      </c>
      <c r="Q355">
        <v>1</v>
      </c>
      <c r="R355">
        <v>-0.89990000000000003</v>
      </c>
      <c r="S355" s="9" t="s">
        <v>129</v>
      </c>
      <c r="T355" t="s">
        <v>48</v>
      </c>
    </row>
    <row r="356" spans="1:20" x14ac:dyDescent="0.2">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v>765.625</v>
      </c>
      <c r="Q356">
        <v>7</v>
      </c>
      <c r="R356">
        <v>-566.5625</v>
      </c>
      <c r="S356" s="9" t="s">
        <v>58</v>
      </c>
      <c r="T356" t="s">
        <v>77</v>
      </c>
    </row>
    <row r="357" spans="1:20" x14ac:dyDescent="0.2">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v>307.666</v>
      </c>
      <c r="Q357">
        <v>2</v>
      </c>
      <c r="R357">
        <v>-14.478400000000001</v>
      </c>
      <c r="S357" s="9" t="s">
        <v>129</v>
      </c>
      <c r="T357" t="s">
        <v>48</v>
      </c>
    </row>
    <row r="358" spans="1:20" x14ac:dyDescent="0.2">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v>35.92</v>
      </c>
      <c r="Q358">
        <v>4</v>
      </c>
      <c r="R358">
        <v>15.086399999999999</v>
      </c>
      <c r="S358" s="9" t="s">
        <v>58</v>
      </c>
      <c r="T358" t="s">
        <v>161</v>
      </c>
    </row>
    <row r="359" spans="1:20" x14ac:dyDescent="0.2">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v>39.76</v>
      </c>
      <c r="Q359">
        <v>8</v>
      </c>
      <c r="R359">
        <v>12.3256</v>
      </c>
      <c r="S359" s="9" t="s">
        <v>58</v>
      </c>
      <c r="T359" t="s">
        <v>161</v>
      </c>
    </row>
    <row r="360" spans="1:20" x14ac:dyDescent="0.2">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v>359.05799999999999</v>
      </c>
      <c r="Q360">
        <v>3</v>
      </c>
      <c r="R360">
        <v>-71.811599999999999</v>
      </c>
      <c r="S360" s="9" t="s">
        <v>58</v>
      </c>
      <c r="T360" t="s">
        <v>96</v>
      </c>
    </row>
    <row r="361" spans="1:20" x14ac:dyDescent="0.2">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v>1048.3499999999999</v>
      </c>
      <c r="Q361">
        <v>5</v>
      </c>
      <c r="R361">
        <v>-69.89</v>
      </c>
      <c r="S361" s="9" t="s">
        <v>58</v>
      </c>
      <c r="T361" t="s">
        <v>113</v>
      </c>
    </row>
    <row r="362" spans="1:20" x14ac:dyDescent="0.2">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v>7.1680000000000001</v>
      </c>
      <c r="Q362">
        <v>2</v>
      </c>
      <c r="R362">
        <v>0.98560000000000003</v>
      </c>
      <c r="S362" s="9" t="s">
        <v>83</v>
      </c>
      <c r="T362" t="s">
        <v>48</v>
      </c>
    </row>
    <row r="363" spans="1:20" x14ac:dyDescent="0.2">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v>206.96199999999999</v>
      </c>
      <c r="Q363">
        <v>2</v>
      </c>
      <c r="R363">
        <v>-32.522599999999997</v>
      </c>
      <c r="S363" s="9" t="s">
        <v>58</v>
      </c>
      <c r="T363" t="s">
        <v>34</v>
      </c>
    </row>
    <row r="364" spans="1:20" x14ac:dyDescent="0.2">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v>9.4600000000000009</v>
      </c>
      <c r="Q364">
        <v>2</v>
      </c>
      <c r="R364">
        <v>3.6894</v>
      </c>
      <c r="S364" s="9" t="s">
        <v>33</v>
      </c>
      <c r="T364" t="s">
        <v>48</v>
      </c>
    </row>
    <row r="365" spans="1:20" x14ac:dyDescent="0.2">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v>411.33199999999999</v>
      </c>
      <c r="Q365">
        <v>4</v>
      </c>
      <c r="R365">
        <v>-4.8391999999999999</v>
      </c>
      <c r="S365" s="9" t="s">
        <v>83</v>
      </c>
      <c r="T365" t="s">
        <v>77</v>
      </c>
    </row>
    <row r="366" spans="1:20" x14ac:dyDescent="0.2">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v>293.19900000000001</v>
      </c>
      <c r="Q366">
        <v>3</v>
      </c>
      <c r="R366">
        <v>-20.696400000000001</v>
      </c>
      <c r="S366" s="9" t="s">
        <v>83</v>
      </c>
      <c r="T366" t="s">
        <v>77</v>
      </c>
    </row>
    <row r="367" spans="1:20" x14ac:dyDescent="0.2">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v>109.8</v>
      </c>
      <c r="Q367">
        <v>9</v>
      </c>
      <c r="R367">
        <v>46.116</v>
      </c>
      <c r="S367" s="9" t="s">
        <v>83</v>
      </c>
      <c r="T367" t="s">
        <v>253</v>
      </c>
    </row>
    <row r="368" spans="1:20" x14ac:dyDescent="0.2">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v>2807.84</v>
      </c>
      <c r="Q368">
        <v>8</v>
      </c>
      <c r="R368">
        <v>673.88160000000005</v>
      </c>
      <c r="S368" s="9" t="s">
        <v>70</v>
      </c>
      <c r="T368" t="s">
        <v>96</v>
      </c>
    </row>
    <row r="369" spans="1:20" x14ac:dyDescent="0.2">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v>215.65</v>
      </c>
      <c r="Q369">
        <v>5</v>
      </c>
      <c r="R369">
        <v>73.320999999999998</v>
      </c>
      <c r="S369" s="9" t="s">
        <v>83</v>
      </c>
      <c r="T369" t="s">
        <v>71</v>
      </c>
    </row>
    <row r="370" spans="1:20" x14ac:dyDescent="0.2">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v>4.18</v>
      </c>
      <c r="Q370">
        <v>1</v>
      </c>
      <c r="R370">
        <v>1.5047999999999999</v>
      </c>
      <c r="S370" s="9" t="s">
        <v>129</v>
      </c>
      <c r="T370" t="s">
        <v>34</v>
      </c>
    </row>
    <row r="371" spans="1:20" x14ac:dyDescent="0.2">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v>16.155999999999999</v>
      </c>
      <c r="Q371">
        <v>7</v>
      </c>
      <c r="R371">
        <v>-12.117000000000001</v>
      </c>
      <c r="S371" s="9" t="s">
        <v>129</v>
      </c>
      <c r="T371" t="s">
        <v>48</v>
      </c>
    </row>
    <row r="372" spans="1:20" x14ac:dyDescent="0.2">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v>1441.3</v>
      </c>
      <c r="Q372">
        <v>7</v>
      </c>
      <c r="R372">
        <v>245.02099999999999</v>
      </c>
      <c r="S372" s="9" t="s">
        <v>70</v>
      </c>
      <c r="T372" t="s">
        <v>59</v>
      </c>
    </row>
    <row r="373" spans="1:20" x14ac:dyDescent="0.2">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v>77.599999999999994</v>
      </c>
      <c r="Q373">
        <v>5</v>
      </c>
      <c r="R373">
        <v>28.13</v>
      </c>
      <c r="S373" s="9" t="s">
        <v>129</v>
      </c>
      <c r="T373" t="s">
        <v>34</v>
      </c>
    </row>
    <row r="374" spans="1:20" x14ac:dyDescent="0.2">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v>4.6559999999999997</v>
      </c>
      <c r="Q374">
        <v>2</v>
      </c>
      <c r="R374">
        <v>1.5713999999999999</v>
      </c>
      <c r="S374" s="9" t="s">
        <v>129</v>
      </c>
      <c r="T374" t="s">
        <v>34</v>
      </c>
    </row>
    <row r="375" spans="1:20" x14ac:dyDescent="0.2">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v>170.136</v>
      </c>
      <c r="Q375">
        <v>3</v>
      </c>
      <c r="R375">
        <v>-8.5068000000000001</v>
      </c>
      <c r="S375" s="9" t="s">
        <v>83</v>
      </c>
      <c r="T375" t="s">
        <v>77</v>
      </c>
    </row>
    <row r="376" spans="1:20" x14ac:dyDescent="0.2">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v>29.32</v>
      </c>
      <c r="Q376">
        <v>2</v>
      </c>
      <c r="R376">
        <v>-24.189</v>
      </c>
      <c r="S376" s="9" t="s">
        <v>83</v>
      </c>
      <c r="T376" t="s">
        <v>161</v>
      </c>
    </row>
    <row r="377" spans="1:20" x14ac:dyDescent="0.2">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v>62.957999999999998</v>
      </c>
      <c r="Q377">
        <v>3</v>
      </c>
      <c r="R377">
        <v>-2.6981999999999999</v>
      </c>
      <c r="S377" s="9" t="s">
        <v>83</v>
      </c>
      <c r="T377" t="s">
        <v>297</v>
      </c>
    </row>
    <row r="378" spans="1:20" x14ac:dyDescent="0.2">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v>11.84</v>
      </c>
      <c r="Q378">
        <v>4</v>
      </c>
      <c r="R378">
        <v>3.1080000000000001</v>
      </c>
      <c r="S378" s="9" t="s">
        <v>129</v>
      </c>
      <c r="T378" t="s">
        <v>96</v>
      </c>
    </row>
    <row r="379" spans="1:20" x14ac:dyDescent="0.2">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v>22.783999999999999</v>
      </c>
      <c r="Q379">
        <v>1</v>
      </c>
      <c r="R379">
        <v>4.8415999999999997</v>
      </c>
      <c r="S379" s="9" t="s">
        <v>129</v>
      </c>
      <c r="T379" t="s">
        <v>96</v>
      </c>
    </row>
    <row r="380" spans="1:20" x14ac:dyDescent="0.2">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v>262.11</v>
      </c>
      <c r="Q380">
        <v>1</v>
      </c>
      <c r="R380">
        <v>62.906399999999998</v>
      </c>
      <c r="S380" s="9" t="s">
        <v>430</v>
      </c>
      <c r="T380" t="s">
        <v>48</v>
      </c>
    </row>
    <row r="381" spans="1:20" x14ac:dyDescent="0.2">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v>207</v>
      </c>
      <c r="Q381">
        <v>3</v>
      </c>
      <c r="R381">
        <v>25.875</v>
      </c>
      <c r="S381" s="9" t="s">
        <v>83</v>
      </c>
      <c r="T381" t="s">
        <v>34</v>
      </c>
    </row>
    <row r="382" spans="1:20" x14ac:dyDescent="0.2">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v>44.128</v>
      </c>
      <c r="Q382">
        <v>4</v>
      </c>
      <c r="R382">
        <v>12.135199999999999</v>
      </c>
      <c r="S382" s="9" t="s">
        <v>83</v>
      </c>
      <c r="T382" t="s">
        <v>253</v>
      </c>
    </row>
    <row r="383" spans="1:20" x14ac:dyDescent="0.2">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v>140.81</v>
      </c>
      <c r="Q383">
        <v>1</v>
      </c>
      <c r="R383">
        <v>39.4268</v>
      </c>
      <c r="S383" s="9" t="s">
        <v>58</v>
      </c>
      <c r="T383" t="s">
        <v>71</v>
      </c>
    </row>
    <row r="384" spans="1:20" x14ac:dyDescent="0.2">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v>40.783999999999999</v>
      </c>
      <c r="Q384">
        <v>2</v>
      </c>
      <c r="R384">
        <v>-30.588000000000001</v>
      </c>
      <c r="S384" s="9" t="s">
        <v>70</v>
      </c>
      <c r="T384" t="s">
        <v>297</v>
      </c>
    </row>
    <row r="385" spans="1:20" x14ac:dyDescent="0.2">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v>37.68</v>
      </c>
      <c r="Q385">
        <v>2</v>
      </c>
      <c r="R385">
        <v>15.8256</v>
      </c>
      <c r="S385" s="9" t="s">
        <v>58</v>
      </c>
      <c r="T385" t="s">
        <v>169</v>
      </c>
    </row>
    <row r="386" spans="1:20" x14ac:dyDescent="0.2">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v>362.35199999999998</v>
      </c>
      <c r="Q386">
        <v>3</v>
      </c>
      <c r="R386">
        <v>27.176400000000001</v>
      </c>
      <c r="S386" s="9" t="s">
        <v>430</v>
      </c>
      <c r="T386" t="s">
        <v>77</v>
      </c>
    </row>
    <row r="387" spans="1:20" x14ac:dyDescent="0.2">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v>257.56799999999998</v>
      </c>
      <c r="Q387">
        <v>2</v>
      </c>
      <c r="R387">
        <v>-28.976400000000002</v>
      </c>
      <c r="S387" s="9" t="s">
        <v>123</v>
      </c>
      <c r="T387" t="s">
        <v>195</v>
      </c>
    </row>
    <row r="388" spans="1:20" x14ac:dyDescent="0.2">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v>727.45</v>
      </c>
      <c r="Q388">
        <v>5</v>
      </c>
      <c r="R388">
        <v>-465.56799999999998</v>
      </c>
      <c r="S388" s="9" t="s">
        <v>83</v>
      </c>
      <c r="T388" t="s">
        <v>48</v>
      </c>
    </row>
    <row r="389" spans="1:20" x14ac:dyDescent="0.2">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v>24.96</v>
      </c>
      <c r="Q389">
        <v>3</v>
      </c>
      <c r="R389">
        <v>4.3680000000000003</v>
      </c>
      <c r="S389" s="9" t="s">
        <v>83</v>
      </c>
      <c r="T389" t="s">
        <v>48</v>
      </c>
    </row>
    <row r="390" spans="1:20" x14ac:dyDescent="0.2">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v>196.45</v>
      </c>
      <c r="Q390">
        <v>5</v>
      </c>
      <c r="R390">
        <v>70.721999999999994</v>
      </c>
      <c r="S390" s="9" t="s">
        <v>33</v>
      </c>
      <c r="T390" t="s">
        <v>113</v>
      </c>
    </row>
    <row r="391" spans="1:20" x14ac:dyDescent="0.2">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v>801.56799999999998</v>
      </c>
      <c r="Q391">
        <v>2</v>
      </c>
      <c r="R391">
        <v>50.097999999999999</v>
      </c>
      <c r="S391" s="9" t="s">
        <v>83</v>
      </c>
      <c r="T391" t="s">
        <v>71</v>
      </c>
    </row>
    <row r="392" spans="1:20" x14ac:dyDescent="0.2">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v>272.84800000000001</v>
      </c>
      <c r="Q392">
        <v>1</v>
      </c>
      <c r="R392">
        <v>27.284800000000001</v>
      </c>
      <c r="S392" s="9" t="s">
        <v>83</v>
      </c>
      <c r="T392" t="s">
        <v>71</v>
      </c>
    </row>
    <row r="393" spans="1:20" x14ac:dyDescent="0.2">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v>70.98</v>
      </c>
      <c r="Q393">
        <v>1</v>
      </c>
      <c r="R393">
        <v>20.584199999999999</v>
      </c>
      <c r="S393" s="9" t="s">
        <v>83</v>
      </c>
      <c r="T393" t="s">
        <v>34</v>
      </c>
    </row>
    <row r="394" spans="1:20" x14ac:dyDescent="0.2">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v>176.78399999999999</v>
      </c>
      <c r="Q394">
        <v>1</v>
      </c>
      <c r="R394">
        <v>-22.097999999999999</v>
      </c>
      <c r="S394" s="9" t="s">
        <v>129</v>
      </c>
      <c r="T394" t="s">
        <v>195</v>
      </c>
    </row>
    <row r="395" spans="1:20" x14ac:dyDescent="0.2">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v>393.56799999999998</v>
      </c>
      <c r="Q395">
        <v>4</v>
      </c>
      <c r="R395">
        <v>-44.276400000000002</v>
      </c>
      <c r="S395" s="9" t="s">
        <v>83</v>
      </c>
      <c r="T395" t="s">
        <v>96</v>
      </c>
    </row>
    <row r="396" spans="1:20" x14ac:dyDescent="0.2">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v>383.60700000000003</v>
      </c>
      <c r="Q396">
        <v>7</v>
      </c>
      <c r="R396">
        <v>63.9345</v>
      </c>
      <c r="S396" s="9" t="s">
        <v>430</v>
      </c>
      <c r="T396" t="s">
        <v>195</v>
      </c>
    </row>
    <row r="397" spans="1:20" x14ac:dyDescent="0.2">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v>31.56</v>
      </c>
      <c r="Q397">
        <v>3</v>
      </c>
      <c r="R397">
        <v>10.4148</v>
      </c>
      <c r="S397" s="9" t="s">
        <v>83</v>
      </c>
      <c r="T397" t="s">
        <v>113</v>
      </c>
    </row>
    <row r="398" spans="1:20" x14ac:dyDescent="0.2">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v>409.59</v>
      </c>
      <c r="Q398">
        <v>3</v>
      </c>
      <c r="R398">
        <v>-122.877</v>
      </c>
      <c r="S398" s="9" t="s">
        <v>123</v>
      </c>
      <c r="T398" t="s">
        <v>48</v>
      </c>
    </row>
    <row r="399" spans="1:20" x14ac:dyDescent="0.2">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v>174.05850000000001</v>
      </c>
      <c r="Q399">
        <v>3</v>
      </c>
      <c r="R399">
        <v>-110.7645</v>
      </c>
      <c r="S399" s="9" t="s">
        <v>83</v>
      </c>
      <c r="T399" t="s">
        <v>253</v>
      </c>
    </row>
    <row r="400" spans="1:20" x14ac:dyDescent="0.2">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v>478.48</v>
      </c>
      <c r="Q400">
        <v>2</v>
      </c>
      <c r="R400">
        <v>47.847999999999999</v>
      </c>
      <c r="S400" s="9" t="s">
        <v>123</v>
      </c>
      <c r="T400" t="s">
        <v>48</v>
      </c>
    </row>
    <row r="401" spans="1:20" x14ac:dyDescent="0.2">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v>136.91999999999999</v>
      </c>
      <c r="Q401">
        <v>4</v>
      </c>
      <c r="R401">
        <v>41.076000000000001</v>
      </c>
      <c r="S401" s="9" t="s">
        <v>123</v>
      </c>
      <c r="T401" t="s">
        <v>297</v>
      </c>
    </row>
    <row r="402" spans="1:20" x14ac:dyDescent="0.2">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v>18.96</v>
      </c>
      <c r="Q402">
        <v>2</v>
      </c>
      <c r="R402">
        <v>8.532</v>
      </c>
      <c r="S402" s="9" t="s">
        <v>58</v>
      </c>
      <c r="T402" t="s">
        <v>96</v>
      </c>
    </row>
    <row r="403" spans="1:20" x14ac:dyDescent="0.2">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v>462.56400000000002</v>
      </c>
      <c r="Q403">
        <v>2</v>
      </c>
      <c r="R403">
        <v>97.6524</v>
      </c>
      <c r="S403" s="9" t="s">
        <v>70</v>
      </c>
      <c r="T403" t="s">
        <v>253</v>
      </c>
    </row>
    <row r="404" spans="1:20" x14ac:dyDescent="0.2">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v>145.74</v>
      </c>
      <c r="Q404">
        <v>3</v>
      </c>
      <c r="R404">
        <v>23.3184</v>
      </c>
      <c r="S404" s="9" t="s">
        <v>83</v>
      </c>
      <c r="T404" t="s">
        <v>253</v>
      </c>
    </row>
    <row r="405" spans="1:20" x14ac:dyDescent="0.2">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v>15.4</v>
      </c>
      <c r="Q405">
        <v>5</v>
      </c>
      <c r="R405">
        <v>7.3920000000000003</v>
      </c>
      <c r="S405" s="9" t="s">
        <v>83</v>
      </c>
      <c r="T405" t="s">
        <v>253</v>
      </c>
    </row>
    <row r="406" spans="1:20" x14ac:dyDescent="0.2">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v>14.73</v>
      </c>
      <c r="Q406">
        <v>3</v>
      </c>
      <c r="R406">
        <v>4.8609</v>
      </c>
      <c r="S406" s="9" t="s">
        <v>70</v>
      </c>
      <c r="T406" t="s">
        <v>161</v>
      </c>
    </row>
    <row r="407" spans="1:20" x14ac:dyDescent="0.2">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v>662.88</v>
      </c>
      <c r="Q407">
        <v>3</v>
      </c>
      <c r="R407">
        <v>74.573999999999998</v>
      </c>
      <c r="S407" s="9" t="s">
        <v>83</v>
      </c>
      <c r="T407" t="s">
        <v>71</v>
      </c>
    </row>
    <row r="408" spans="1:20" x14ac:dyDescent="0.2">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v>11.54</v>
      </c>
      <c r="Q408">
        <v>2</v>
      </c>
      <c r="R408">
        <v>3.4620000000000002</v>
      </c>
      <c r="S408" s="9" t="s">
        <v>83</v>
      </c>
      <c r="T408" t="s">
        <v>77</v>
      </c>
    </row>
    <row r="409" spans="1:20" x14ac:dyDescent="0.2">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v>254.52600000000001</v>
      </c>
      <c r="Q409">
        <v>1</v>
      </c>
      <c r="R409">
        <v>-93.3262</v>
      </c>
      <c r="S409" s="9" t="s">
        <v>83</v>
      </c>
      <c r="T409" t="s">
        <v>77</v>
      </c>
    </row>
    <row r="410" spans="1:20" x14ac:dyDescent="0.2">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v>1282.4100000000001</v>
      </c>
      <c r="Q410">
        <v>5</v>
      </c>
      <c r="R410">
        <v>213.73500000000001</v>
      </c>
      <c r="S410" s="9" t="s">
        <v>83</v>
      </c>
      <c r="T410" t="s">
        <v>77</v>
      </c>
    </row>
    <row r="411" spans="1:20" x14ac:dyDescent="0.2">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v>545.88</v>
      </c>
      <c r="Q411">
        <v>6</v>
      </c>
      <c r="R411">
        <v>70.964399999999998</v>
      </c>
      <c r="S411" s="9" t="s">
        <v>70</v>
      </c>
      <c r="T411" t="s">
        <v>48</v>
      </c>
    </row>
    <row r="412" spans="1:20" x14ac:dyDescent="0.2">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v>933.53599999999994</v>
      </c>
      <c r="Q412">
        <v>4</v>
      </c>
      <c r="R412">
        <v>105.0228</v>
      </c>
      <c r="S412" s="9" t="s">
        <v>430</v>
      </c>
      <c r="T412" t="s">
        <v>113</v>
      </c>
    </row>
    <row r="413" spans="1:20" x14ac:dyDescent="0.2">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v>23.88</v>
      </c>
      <c r="Q413">
        <v>3</v>
      </c>
      <c r="R413">
        <v>10.507199999999999</v>
      </c>
      <c r="S413" s="9" t="s">
        <v>70</v>
      </c>
      <c r="T413" t="s">
        <v>34</v>
      </c>
    </row>
    <row r="414" spans="1:20" x14ac:dyDescent="0.2">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v>1024.3800000000001</v>
      </c>
      <c r="Q414">
        <v>7</v>
      </c>
      <c r="R414">
        <v>215.1198</v>
      </c>
      <c r="S414" s="9" t="s">
        <v>83</v>
      </c>
      <c r="T414" t="s">
        <v>34</v>
      </c>
    </row>
    <row r="415" spans="1:20" x14ac:dyDescent="0.2">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v>8.7520000000000007</v>
      </c>
      <c r="Q415">
        <v>4</v>
      </c>
      <c r="R415">
        <v>-3.7195999999999998</v>
      </c>
      <c r="S415" s="9" t="s">
        <v>70</v>
      </c>
      <c r="T415" t="s">
        <v>96</v>
      </c>
    </row>
    <row r="416" spans="1:20" x14ac:dyDescent="0.2">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v>304.45</v>
      </c>
      <c r="Q416">
        <v>5</v>
      </c>
      <c r="R416">
        <v>76.112499999999997</v>
      </c>
      <c r="S416" s="9" t="s">
        <v>33</v>
      </c>
      <c r="T416" t="s">
        <v>96</v>
      </c>
    </row>
    <row r="417" spans="1:20" x14ac:dyDescent="0.2">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v>183.37200000000001</v>
      </c>
      <c r="Q417">
        <v>2</v>
      </c>
      <c r="R417">
        <v>-36.674399999999999</v>
      </c>
      <c r="S417" s="9" t="s">
        <v>123</v>
      </c>
      <c r="T417" t="s">
        <v>253</v>
      </c>
    </row>
    <row r="418" spans="1:20" x14ac:dyDescent="0.2">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v>350.98</v>
      </c>
      <c r="Q418">
        <v>1</v>
      </c>
      <c r="R418">
        <v>84.235200000000006</v>
      </c>
      <c r="S418" s="9" t="s">
        <v>58</v>
      </c>
      <c r="T418" t="s">
        <v>77</v>
      </c>
    </row>
    <row r="419" spans="1:20" x14ac:dyDescent="0.2">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v>872.32</v>
      </c>
      <c r="Q419">
        <v>4</v>
      </c>
      <c r="R419">
        <v>244.24959999999999</v>
      </c>
      <c r="S419" s="9" t="s">
        <v>70</v>
      </c>
      <c r="T419" t="s">
        <v>77</v>
      </c>
    </row>
    <row r="420" spans="1:20" x14ac:dyDescent="0.2">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v>141.96</v>
      </c>
      <c r="Q420">
        <v>2</v>
      </c>
      <c r="R420">
        <v>39.748800000000003</v>
      </c>
      <c r="S420" s="9" t="s">
        <v>70</v>
      </c>
      <c r="T420" t="s">
        <v>195</v>
      </c>
    </row>
    <row r="421" spans="1:20" x14ac:dyDescent="0.2">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v>269.97000000000003</v>
      </c>
      <c r="Q421">
        <v>3</v>
      </c>
      <c r="R421">
        <v>51.2943</v>
      </c>
      <c r="S421" s="9" t="s">
        <v>83</v>
      </c>
      <c r="T421" t="s">
        <v>77</v>
      </c>
    </row>
    <row r="422" spans="1:20" x14ac:dyDescent="0.2">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v>75.36</v>
      </c>
      <c r="Q422">
        <v>5</v>
      </c>
      <c r="R422">
        <v>20.724</v>
      </c>
      <c r="S422" s="9" t="s">
        <v>58</v>
      </c>
      <c r="T422" t="s">
        <v>59</v>
      </c>
    </row>
    <row r="423" spans="1:20" x14ac:dyDescent="0.2">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v>289.8</v>
      </c>
      <c r="Q423">
        <v>7</v>
      </c>
      <c r="R423">
        <v>36.225000000000001</v>
      </c>
      <c r="S423" s="9" t="s">
        <v>70</v>
      </c>
      <c r="T423" t="s">
        <v>71</v>
      </c>
    </row>
    <row r="424" spans="1:20" x14ac:dyDescent="0.2">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v>341.488</v>
      </c>
      <c r="Q424">
        <v>8</v>
      </c>
      <c r="R424">
        <v>-73.176000000000002</v>
      </c>
      <c r="S424" s="9" t="s">
        <v>70</v>
      </c>
      <c r="T424" t="s">
        <v>71</v>
      </c>
    </row>
    <row r="425" spans="1:20" x14ac:dyDescent="0.2">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v>25.344000000000001</v>
      </c>
      <c r="Q425">
        <v>6</v>
      </c>
      <c r="R425">
        <v>3.4847999999999999</v>
      </c>
      <c r="S425" s="9" t="s">
        <v>70</v>
      </c>
      <c r="T425" t="s">
        <v>71</v>
      </c>
    </row>
    <row r="426" spans="1:20" x14ac:dyDescent="0.2">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v>17.309999999999999</v>
      </c>
      <c r="Q426">
        <v>3</v>
      </c>
      <c r="R426">
        <v>5.1929999999999996</v>
      </c>
      <c r="S426" s="9" t="s">
        <v>129</v>
      </c>
      <c r="T426" t="s">
        <v>96</v>
      </c>
    </row>
    <row r="427" spans="1:20" x14ac:dyDescent="0.2">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v>1586.69</v>
      </c>
      <c r="Q427">
        <v>7</v>
      </c>
      <c r="R427">
        <v>412.5394</v>
      </c>
      <c r="S427" s="9" t="s">
        <v>33</v>
      </c>
      <c r="T427" t="s">
        <v>96</v>
      </c>
    </row>
    <row r="428" spans="1:20" x14ac:dyDescent="0.2">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v>411.8</v>
      </c>
      <c r="Q428">
        <v>2</v>
      </c>
      <c r="R428">
        <v>70.006</v>
      </c>
      <c r="S428" s="9" t="s">
        <v>33</v>
      </c>
      <c r="T428" t="s">
        <v>96</v>
      </c>
    </row>
    <row r="429" spans="1:20" x14ac:dyDescent="0.2">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v>146.352</v>
      </c>
      <c r="Q429">
        <v>3</v>
      </c>
      <c r="R429">
        <v>-9.1470000000000002</v>
      </c>
      <c r="S429" s="9" t="s">
        <v>83</v>
      </c>
      <c r="T429" t="s">
        <v>48</v>
      </c>
    </row>
    <row r="430" spans="1:20" x14ac:dyDescent="0.2">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v>710.83199999999999</v>
      </c>
      <c r="Q430">
        <v>3</v>
      </c>
      <c r="R430">
        <v>-97.739400000000003</v>
      </c>
      <c r="S430" s="9" t="s">
        <v>129</v>
      </c>
      <c r="T430" t="s">
        <v>113</v>
      </c>
    </row>
    <row r="431" spans="1:20" x14ac:dyDescent="0.2">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v>283.92</v>
      </c>
      <c r="Q431">
        <v>5</v>
      </c>
      <c r="R431">
        <v>-46.137</v>
      </c>
      <c r="S431" s="9" t="s">
        <v>58</v>
      </c>
      <c r="T431" t="s">
        <v>34</v>
      </c>
    </row>
    <row r="432" spans="1:20" x14ac:dyDescent="0.2">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v>58.2</v>
      </c>
      <c r="Q432">
        <v>3</v>
      </c>
      <c r="R432">
        <v>28.518000000000001</v>
      </c>
      <c r="S432" s="9" t="s">
        <v>83</v>
      </c>
      <c r="T432" t="s">
        <v>96</v>
      </c>
    </row>
    <row r="433" spans="1:20" x14ac:dyDescent="0.2">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v>7.7119999999999997</v>
      </c>
      <c r="Q433">
        <v>2</v>
      </c>
      <c r="R433">
        <v>1.7352000000000001</v>
      </c>
      <c r="S433" s="9" t="s">
        <v>58</v>
      </c>
      <c r="T433" t="s">
        <v>96</v>
      </c>
    </row>
    <row r="434" spans="1:20" x14ac:dyDescent="0.2">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v>310.44299999999998</v>
      </c>
      <c r="Q434">
        <v>3</v>
      </c>
      <c r="R434">
        <v>-48.783900000000003</v>
      </c>
      <c r="S434" s="9" t="s">
        <v>83</v>
      </c>
      <c r="T434" t="s">
        <v>71</v>
      </c>
    </row>
    <row r="435" spans="1:20" x14ac:dyDescent="0.2">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v>479.9</v>
      </c>
      <c r="Q435">
        <v>5</v>
      </c>
      <c r="R435">
        <v>81.582999999999998</v>
      </c>
      <c r="S435" s="9" t="s">
        <v>83</v>
      </c>
      <c r="T435" t="s">
        <v>34</v>
      </c>
    </row>
    <row r="436" spans="1:20" x14ac:dyDescent="0.2">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v>259.13600000000002</v>
      </c>
      <c r="Q436">
        <v>4</v>
      </c>
      <c r="R436">
        <v>-25.913599999999999</v>
      </c>
      <c r="S436" s="9" t="s">
        <v>430</v>
      </c>
      <c r="T436" t="s">
        <v>71</v>
      </c>
    </row>
    <row r="437" spans="1:20" x14ac:dyDescent="0.2">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v>323.13600000000002</v>
      </c>
      <c r="Q437">
        <v>4</v>
      </c>
      <c r="R437">
        <v>20.196000000000002</v>
      </c>
      <c r="S437" s="9" t="s">
        <v>430</v>
      </c>
      <c r="T437" t="s">
        <v>48</v>
      </c>
    </row>
    <row r="438" spans="1:20" x14ac:dyDescent="0.2">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v>425.83300000000003</v>
      </c>
      <c r="Q438">
        <v>1</v>
      </c>
      <c r="R438">
        <v>20.039200000000001</v>
      </c>
      <c r="S438" s="9" t="s">
        <v>430</v>
      </c>
      <c r="T438" t="s">
        <v>48</v>
      </c>
    </row>
    <row r="439" spans="1:20" x14ac:dyDescent="0.2">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v>209.67</v>
      </c>
      <c r="Q439">
        <v>1</v>
      </c>
      <c r="R439">
        <v>-13.978</v>
      </c>
      <c r="S439" s="9" t="s">
        <v>58</v>
      </c>
      <c r="T439" t="s">
        <v>48</v>
      </c>
    </row>
    <row r="440" spans="1:20" x14ac:dyDescent="0.2">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v>215.976</v>
      </c>
      <c r="Q440">
        <v>3</v>
      </c>
      <c r="R440">
        <v>-2.6997</v>
      </c>
      <c r="S440" s="9" t="s">
        <v>70</v>
      </c>
      <c r="T440" t="s">
        <v>34</v>
      </c>
    </row>
    <row r="441" spans="1:20" x14ac:dyDescent="0.2">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v>241.96</v>
      </c>
      <c r="Q441">
        <v>2</v>
      </c>
      <c r="R441">
        <v>41.133200000000002</v>
      </c>
      <c r="S441" s="9" t="s">
        <v>70</v>
      </c>
      <c r="T441" t="s">
        <v>77</v>
      </c>
    </row>
    <row r="442" spans="1:20" x14ac:dyDescent="0.2">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v>64.944000000000003</v>
      </c>
      <c r="Q442">
        <v>3</v>
      </c>
      <c r="R442">
        <v>6.4943999999999997</v>
      </c>
      <c r="S442" s="9" t="s">
        <v>58</v>
      </c>
      <c r="T442" t="s">
        <v>48</v>
      </c>
    </row>
    <row r="443" spans="1:20" x14ac:dyDescent="0.2">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v>139.86000000000001</v>
      </c>
      <c r="Q443">
        <v>7</v>
      </c>
      <c r="R443">
        <v>60.139800000000001</v>
      </c>
      <c r="S443" s="9" t="s">
        <v>70</v>
      </c>
      <c r="T443" t="s">
        <v>161</v>
      </c>
    </row>
    <row r="444" spans="1:20" x14ac:dyDescent="0.2">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v>14.76</v>
      </c>
      <c r="Q444">
        <v>5</v>
      </c>
      <c r="R444">
        <v>-11.439</v>
      </c>
      <c r="S444" s="9" t="s">
        <v>58</v>
      </c>
      <c r="T444" t="s">
        <v>96</v>
      </c>
    </row>
    <row r="445" spans="1:20" x14ac:dyDescent="0.2">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v>991.76400000000001</v>
      </c>
      <c r="Q445">
        <v>3</v>
      </c>
      <c r="R445">
        <v>-347.11739999999998</v>
      </c>
      <c r="S445" s="9" t="s">
        <v>58</v>
      </c>
      <c r="T445" t="s">
        <v>59</v>
      </c>
    </row>
    <row r="446" spans="1:20" x14ac:dyDescent="0.2">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v>422.05799999999999</v>
      </c>
      <c r="Q446">
        <v>3</v>
      </c>
      <c r="R446">
        <v>-18.088200000000001</v>
      </c>
      <c r="S446" s="9" t="s">
        <v>83</v>
      </c>
      <c r="T446" t="s">
        <v>59</v>
      </c>
    </row>
    <row r="447" spans="1:20" x14ac:dyDescent="0.2">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v>43.31</v>
      </c>
      <c r="Q447">
        <v>1</v>
      </c>
      <c r="R447">
        <v>4.3310000000000004</v>
      </c>
      <c r="S447" s="9" t="s">
        <v>58</v>
      </c>
      <c r="T447" t="s">
        <v>96</v>
      </c>
    </row>
    <row r="448" spans="1:20" x14ac:dyDescent="0.2">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v>233.05799999999999</v>
      </c>
      <c r="Q448">
        <v>3</v>
      </c>
      <c r="R448">
        <v>-53.270400000000002</v>
      </c>
      <c r="S448" s="9" t="s">
        <v>47</v>
      </c>
      <c r="T448" t="s">
        <v>34</v>
      </c>
    </row>
    <row r="449" spans="1:20" x14ac:dyDescent="0.2">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v>22.608000000000001</v>
      </c>
      <c r="Q449">
        <v>3</v>
      </c>
      <c r="R449">
        <v>-10.1736</v>
      </c>
      <c r="S449" s="9" t="s">
        <v>58</v>
      </c>
      <c r="T449" t="s">
        <v>113</v>
      </c>
    </row>
    <row r="450" spans="1:20" x14ac:dyDescent="0.2">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v>79.384</v>
      </c>
      <c r="Q450">
        <v>1</v>
      </c>
      <c r="R450">
        <v>29.768999999999998</v>
      </c>
      <c r="S450" s="9" t="s">
        <v>430</v>
      </c>
      <c r="T450" t="s">
        <v>161</v>
      </c>
    </row>
    <row r="451" spans="1:20" x14ac:dyDescent="0.2">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v>139.91999999999999</v>
      </c>
      <c r="Q451">
        <v>5</v>
      </c>
      <c r="R451">
        <v>-150.41399999999999</v>
      </c>
      <c r="S451" s="9" t="s">
        <v>129</v>
      </c>
      <c r="T451" t="s">
        <v>48</v>
      </c>
    </row>
    <row r="452" spans="1:20" x14ac:dyDescent="0.2">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v>305.31200000000001</v>
      </c>
      <c r="Q452">
        <v>2</v>
      </c>
      <c r="R452">
        <v>-8.7232000000000003</v>
      </c>
      <c r="S452" s="9" t="s">
        <v>129</v>
      </c>
      <c r="T452" t="s">
        <v>34</v>
      </c>
    </row>
    <row r="453" spans="1:20" x14ac:dyDescent="0.2">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v>442.76400000000001</v>
      </c>
      <c r="Q453">
        <v>4</v>
      </c>
      <c r="R453">
        <v>59.035200000000003</v>
      </c>
      <c r="S453" s="9" t="s">
        <v>83</v>
      </c>
      <c r="T453" t="s">
        <v>161</v>
      </c>
    </row>
    <row r="454" spans="1:20" x14ac:dyDescent="0.2">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v>63.68</v>
      </c>
      <c r="Q454">
        <v>8</v>
      </c>
      <c r="R454">
        <v>28.019200000000001</v>
      </c>
      <c r="S454" s="9" t="s">
        <v>83</v>
      </c>
      <c r="T454" t="s">
        <v>161</v>
      </c>
    </row>
    <row r="455" spans="1:20" x14ac:dyDescent="0.2">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v>121.3</v>
      </c>
      <c r="Q455">
        <v>2</v>
      </c>
      <c r="R455">
        <v>25.472999999999999</v>
      </c>
      <c r="S455" s="9" t="s">
        <v>58</v>
      </c>
      <c r="T455" t="s">
        <v>253</v>
      </c>
    </row>
    <row r="456" spans="1:20" x14ac:dyDescent="0.2">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v>22.2</v>
      </c>
      <c r="Q456">
        <v>6</v>
      </c>
      <c r="R456">
        <v>9.1020000000000003</v>
      </c>
      <c r="S456" s="9" t="s">
        <v>58</v>
      </c>
      <c r="T456" t="s">
        <v>59</v>
      </c>
    </row>
    <row r="457" spans="1:20" x14ac:dyDescent="0.2">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v>191.82</v>
      </c>
      <c r="Q457">
        <v>3</v>
      </c>
      <c r="R457">
        <v>74.809799999999996</v>
      </c>
      <c r="S457" s="9" t="s">
        <v>129</v>
      </c>
      <c r="T457" t="s">
        <v>77</v>
      </c>
    </row>
    <row r="458" spans="1:20" x14ac:dyDescent="0.2">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v>20.103999999999999</v>
      </c>
      <c r="Q458">
        <v>1</v>
      </c>
      <c r="R458">
        <v>1.7591000000000001</v>
      </c>
      <c r="S458" s="9" t="s">
        <v>129</v>
      </c>
      <c r="T458" t="s">
        <v>59</v>
      </c>
    </row>
    <row r="459" spans="1:20" x14ac:dyDescent="0.2">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v>27.42</v>
      </c>
      <c r="Q459">
        <v>1</v>
      </c>
      <c r="R459">
        <v>11.2422</v>
      </c>
      <c r="S459" s="9" t="s">
        <v>83</v>
      </c>
      <c r="T459" t="s">
        <v>34</v>
      </c>
    </row>
    <row r="460" spans="1:20" x14ac:dyDescent="0.2">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v>108.608</v>
      </c>
      <c r="Q460">
        <v>4</v>
      </c>
      <c r="R460">
        <v>9.5031999999999996</v>
      </c>
      <c r="S460" s="9" t="s">
        <v>123</v>
      </c>
      <c r="T460" t="s">
        <v>48</v>
      </c>
    </row>
    <row r="461" spans="1:20" x14ac:dyDescent="0.2">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v>70.686000000000007</v>
      </c>
      <c r="Q461">
        <v>1</v>
      </c>
      <c r="R461">
        <v>-24.235199999999999</v>
      </c>
      <c r="S461" s="9" t="s">
        <v>430</v>
      </c>
      <c r="T461" t="s">
        <v>96</v>
      </c>
    </row>
    <row r="462" spans="1:20" x14ac:dyDescent="0.2">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v>72.293999999999997</v>
      </c>
      <c r="Q462">
        <v>1</v>
      </c>
      <c r="R462">
        <v>-98.8018</v>
      </c>
      <c r="S462" s="9" t="s">
        <v>70</v>
      </c>
      <c r="T462" t="s">
        <v>195</v>
      </c>
    </row>
    <row r="463" spans="1:20" x14ac:dyDescent="0.2">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v>330.58800000000002</v>
      </c>
      <c r="Q463">
        <v>1</v>
      </c>
      <c r="R463">
        <v>-115.7058</v>
      </c>
      <c r="S463" s="9" t="s">
        <v>83</v>
      </c>
      <c r="T463" t="s">
        <v>48</v>
      </c>
    </row>
    <row r="464" spans="1:20" x14ac:dyDescent="0.2">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v>526.45000000000005</v>
      </c>
      <c r="Q464">
        <v>5</v>
      </c>
      <c r="R464">
        <v>31.587</v>
      </c>
      <c r="S464" s="9" t="s">
        <v>58</v>
      </c>
      <c r="T464" t="s">
        <v>59</v>
      </c>
    </row>
    <row r="465" spans="1:20" x14ac:dyDescent="0.2">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v>44.4</v>
      </c>
      <c r="Q465">
        <v>2</v>
      </c>
      <c r="R465">
        <v>-52.17</v>
      </c>
      <c r="S465" s="9" t="s">
        <v>129</v>
      </c>
      <c r="T465" t="s">
        <v>113</v>
      </c>
    </row>
    <row r="466" spans="1:20" x14ac:dyDescent="0.2">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v>109.48</v>
      </c>
      <c r="Q466">
        <v>2</v>
      </c>
      <c r="R466">
        <v>33.938800000000001</v>
      </c>
      <c r="S466" s="9" t="s">
        <v>58</v>
      </c>
      <c r="T466" t="s">
        <v>77</v>
      </c>
    </row>
    <row r="467" spans="1:20" x14ac:dyDescent="0.2">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v>1212.96</v>
      </c>
      <c r="Q467">
        <v>7</v>
      </c>
      <c r="R467">
        <v>90.971999999999994</v>
      </c>
      <c r="S467" s="9" t="s">
        <v>33</v>
      </c>
      <c r="T467" t="s">
        <v>59</v>
      </c>
    </row>
    <row r="468" spans="1:20" x14ac:dyDescent="0.2">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v>359.97</v>
      </c>
      <c r="Q468">
        <v>3</v>
      </c>
      <c r="R468">
        <v>79.193399999999997</v>
      </c>
      <c r="S468" s="9" t="s">
        <v>33</v>
      </c>
      <c r="T468" t="s">
        <v>297</v>
      </c>
    </row>
    <row r="469" spans="1:20" x14ac:dyDescent="0.2">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v>435.26</v>
      </c>
      <c r="Q469">
        <v>7</v>
      </c>
      <c r="R469">
        <v>95.757199999999997</v>
      </c>
      <c r="S469" s="9" t="s">
        <v>58</v>
      </c>
      <c r="T469" t="s">
        <v>195</v>
      </c>
    </row>
    <row r="470" spans="1:20" x14ac:dyDescent="0.2">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v>143.43199999999999</v>
      </c>
      <c r="Q470">
        <v>1</v>
      </c>
      <c r="R470">
        <v>3.5857999999999999</v>
      </c>
      <c r="S470" s="9" t="s">
        <v>58</v>
      </c>
      <c r="T470" t="s">
        <v>48</v>
      </c>
    </row>
    <row r="471" spans="1:20" x14ac:dyDescent="0.2">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v>122.352</v>
      </c>
      <c r="Q471">
        <v>3</v>
      </c>
      <c r="R471">
        <v>13.7646</v>
      </c>
      <c r="S471" s="9" t="s">
        <v>58</v>
      </c>
      <c r="T471" t="s">
        <v>48</v>
      </c>
    </row>
    <row r="472" spans="1:20" x14ac:dyDescent="0.2">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v>85.98</v>
      </c>
      <c r="Q472">
        <v>1</v>
      </c>
      <c r="R472">
        <v>22.354800000000001</v>
      </c>
      <c r="S472" s="9" t="s">
        <v>83</v>
      </c>
      <c r="T472" t="s">
        <v>59</v>
      </c>
    </row>
    <row r="473" spans="1:20" x14ac:dyDescent="0.2">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v>97.567999999999998</v>
      </c>
      <c r="Q473">
        <v>2</v>
      </c>
      <c r="R473">
        <v>-6.0979999999999999</v>
      </c>
      <c r="S473" s="9" t="s">
        <v>33</v>
      </c>
      <c r="T473" t="s">
        <v>48</v>
      </c>
    </row>
    <row r="474" spans="1:20" x14ac:dyDescent="0.2">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v>614.27200000000005</v>
      </c>
      <c r="Q474">
        <v>8</v>
      </c>
      <c r="R474">
        <v>-23.0352</v>
      </c>
      <c r="S474" s="9" t="s">
        <v>33</v>
      </c>
      <c r="T474" t="s">
        <v>48</v>
      </c>
    </row>
    <row r="475" spans="1:20" x14ac:dyDescent="0.2">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v>199.98</v>
      </c>
      <c r="Q475">
        <v>2</v>
      </c>
      <c r="R475">
        <v>37.996200000000002</v>
      </c>
      <c r="S475" s="9" t="s">
        <v>33</v>
      </c>
      <c r="T475" t="s">
        <v>48</v>
      </c>
    </row>
    <row r="476" spans="1:20" x14ac:dyDescent="0.2">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v>892.98</v>
      </c>
      <c r="Q476">
        <v>2</v>
      </c>
      <c r="R476">
        <v>80.368200000000002</v>
      </c>
      <c r="S476" s="9" t="s">
        <v>33</v>
      </c>
      <c r="T476" t="s">
        <v>169</v>
      </c>
    </row>
    <row r="477" spans="1:20" x14ac:dyDescent="0.2">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v>595.38</v>
      </c>
      <c r="Q477">
        <v>6</v>
      </c>
      <c r="R477">
        <v>297.69</v>
      </c>
      <c r="S477" s="9" t="s">
        <v>58</v>
      </c>
      <c r="T477" t="s">
        <v>113</v>
      </c>
    </row>
    <row r="478" spans="1:20" x14ac:dyDescent="0.2">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v>181.95</v>
      </c>
      <c r="Q478">
        <v>3</v>
      </c>
      <c r="R478">
        <v>38.209499999999998</v>
      </c>
      <c r="S478" s="9" t="s">
        <v>83</v>
      </c>
      <c r="T478" t="s">
        <v>96</v>
      </c>
    </row>
    <row r="479" spans="1:20" x14ac:dyDescent="0.2">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v>259.7</v>
      </c>
      <c r="Q479">
        <v>5</v>
      </c>
      <c r="R479">
        <v>106.477</v>
      </c>
      <c r="S479" s="9" t="s">
        <v>83</v>
      </c>
      <c r="T479" t="s">
        <v>34</v>
      </c>
    </row>
    <row r="480" spans="1:20" x14ac:dyDescent="0.2">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v>723.92</v>
      </c>
      <c r="Q480">
        <v>4</v>
      </c>
      <c r="R480">
        <v>188.2192</v>
      </c>
      <c r="S480" s="9" t="s">
        <v>58</v>
      </c>
      <c r="T480" t="s">
        <v>77</v>
      </c>
    </row>
    <row r="481" spans="1:20" x14ac:dyDescent="0.2">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v>141.37200000000001</v>
      </c>
      <c r="Q481">
        <v>2</v>
      </c>
      <c r="R481">
        <v>-14.1372</v>
      </c>
      <c r="S481" s="9" t="s">
        <v>123</v>
      </c>
      <c r="T481" t="s">
        <v>96</v>
      </c>
    </row>
    <row r="482" spans="1:20" x14ac:dyDescent="0.2">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v>280.79199999999997</v>
      </c>
      <c r="Q482">
        <v>1</v>
      </c>
      <c r="R482">
        <v>35.098999999999997</v>
      </c>
      <c r="S482" s="9" t="s">
        <v>123</v>
      </c>
      <c r="T482" t="s">
        <v>59</v>
      </c>
    </row>
    <row r="483" spans="1:20" x14ac:dyDescent="0.2">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v>182.94</v>
      </c>
      <c r="Q483">
        <v>3</v>
      </c>
      <c r="R483">
        <v>27.440999999999999</v>
      </c>
      <c r="S483" s="9" t="s">
        <v>58</v>
      </c>
      <c r="T483" t="s">
        <v>71</v>
      </c>
    </row>
    <row r="484" spans="1:20" x14ac:dyDescent="0.2">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v>46.384</v>
      </c>
      <c r="Q484">
        <v>1</v>
      </c>
      <c r="R484">
        <v>1.1596</v>
      </c>
      <c r="S484" s="9" t="s">
        <v>83</v>
      </c>
      <c r="T484" t="s">
        <v>77</v>
      </c>
    </row>
    <row r="485" spans="1:20" x14ac:dyDescent="0.2">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v>547.13599999999997</v>
      </c>
      <c r="Q485">
        <v>4</v>
      </c>
      <c r="R485">
        <v>-68.391999999999996</v>
      </c>
      <c r="S485" s="9" t="s">
        <v>83</v>
      </c>
      <c r="T485" t="s">
        <v>96</v>
      </c>
    </row>
    <row r="486" spans="1:20" x14ac:dyDescent="0.2">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v>63.2</v>
      </c>
      <c r="Q486">
        <v>5</v>
      </c>
      <c r="R486">
        <v>23.384</v>
      </c>
      <c r="S486" s="9" t="s">
        <v>33</v>
      </c>
      <c r="T486" t="s">
        <v>96</v>
      </c>
    </row>
    <row r="487" spans="1:20" x14ac:dyDescent="0.2">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v>557.58500000000004</v>
      </c>
      <c r="Q487">
        <v>5</v>
      </c>
      <c r="R487">
        <v>0</v>
      </c>
      <c r="S487" s="9" t="s">
        <v>58</v>
      </c>
      <c r="T487" t="s">
        <v>195</v>
      </c>
    </row>
    <row r="488" spans="1:20" x14ac:dyDescent="0.2">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v>1552.8309999999999</v>
      </c>
      <c r="Q488">
        <v>7</v>
      </c>
      <c r="R488">
        <v>200.9546</v>
      </c>
      <c r="S488" s="9" t="s">
        <v>70</v>
      </c>
      <c r="T488" t="s">
        <v>253</v>
      </c>
    </row>
    <row r="489" spans="1:20" x14ac:dyDescent="0.2">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v>1579.7460000000001</v>
      </c>
      <c r="Q489">
        <v>7</v>
      </c>
      <c r="R489">
        <v>-447.59469999999999</v>
      </c>
      <c r="S489" s="9" t="s">
        <v>83</v>
      </c>
      <c r="T489" t="s">
        <v>195</v>
      </c>
    </row>
    <row r="490" spans="1:20" x14ac:dyDescent="0.2">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v>1071.576</v>
      </c>
      <c r="Q490">
        <v>4</v>
      </c>
      <c r="R490">
        <v>-553.64760000000001</v>
      </c>
      <c r="S490" s="9" t="s">
        <v>83</v>
      </c>
      <c r="T490" t="s">
        <v>195</v>
      </c>
    </row>
    <row r="491" spans="1:20" x14ac:dyDescent="0.2">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v>613.90800000000002</v>
      </c>
      <c r="Q491">
        <v>3</v>
      </c>
      <c r="R491">
        <v>-122.7816</v>
      </c>
      <c r="S491" s="9" t="s">
        <v>83</v>
      </c>
      <c r="T491" t="s">
        <v>195</v>
      </c>
    </row>
    <row r="492" spans="1:20" x14ac:dyDescent="0.2">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v>127.88</v>
      </c>
      <c r="Q492">
        <v>2</v>
      </c>
      <c r="R492">
        <v>40.921599999999998</v>
      </c>
      <c r="S492" s="9" t="s">
        <v>58</v>
      </c>
      <c r="T492" t="s">
        <v>195</v>
      </c>
    </row>
    <row r="493" spans="1:20" x14ac:dyDescent="0.2">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v>120.712</v>
      </c>
      <c r="Q493">
        <v>1</v>
      </c>
      <c r="R493">
        <v>-18.1068</v>
      </c>
      <c r="S493" s="9" t="s">
        <v>70</v>
      </c>
      <c r="T493" t="s">
        <v>34</v>
      </c>
    </row>
    <row r="494" spans="1:20" x14ac:dyDescent="0.2">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v>532.70399999999995</v>
      </c>
      <c r="Q494">
        <v>6</v>
      </c>
      <c r="R494">
        <v>-26.635200000000001</v>
      </c>
      <c r="S494" s="9" t="s">
        <v>83</v>
      </c>
      <c r="T494" t="s">
        <v>77</v>
      </c>
    </row>
    <row r="495" spans="1:20" x14ac:dyDescent="0.2">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v>60.287999999999997</v>
      </c>
      <c r="Q495">
        <v>8</v>
      </c>
      <c r="R495">
        <v>-27.1296</v>
      </c>
      <c r="S495" s="9" t="s">
        <v>83</v>
      </c>
      <c r="T495" t="s">
        <v>71</v>
      </c>
    </row>
    <row r="496" spans="1:20" x14ac:dyDescent="0.2">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v>253.37200000000001</v>
      </c>
      <c r="Q496">
        <v>2</v>
      </c>
      <c r="R496">
        <v>-14.478400000000001</v>
      </c>
      <c r="S496" s="9" t="s">
        <v>83</v>
      </c>
      <c r="T496" t="s">
        <v>71</v>
      </c>
    </row>
    <row r="497" spans="1:20" x14ac:dyDescent="0.2">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v>54.712000000000003</v>
      </c>
      <c r="Q497">
        <v>7</v>
      </c>
      <c r="R497">
        <v>11.626300000000001</v>
      </c>
      <c r="S497" s="9" t="s">
        <v>83</v>
      </c>
      <c r="T497" t="s">
        <v>161</v>
      </c>
    </row>
    <row r="498" spans="1:20" x14ac:dyDescent="0.2">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v>113.92</v>
      </c>
      <c r="Q498">
        <v>4</v>
      </c>
      <c r="R498">
        <v>42.150399999999998</v>
      </c>
      <c r="S498" s="9" t="s">
        <v>83</v>
      </c>
      <c r="T498" t="s">
        <v>96</v>
      </c>
    </row>
    <row r="499" spans="1:20" x14ac:dyDescent="0.2">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v>956.66480000000001</v>
      </c>
      <c r="Q499">
        <v>7</v>
      </c>
      <c r="R499">
        <v>-225.0976</v>
      </c>
      <c r="S499" s="9" t="s">
        <v>129</v>
      </c>
      <c r="T499" t="s">
        <v>77</v>
      </c>
    </row>
    <row r="500" spans="1:20" x14ac:dyDescent="0.2">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v>211.84</v>
      </c>
      <c r="Q500">
        <v>8</v>
      </c>
      <c r="R500">
        <v>76.2624</v>
      </c>
      <c r="S500" s="9" t="s">
        <v>70</v>
      </c>
      <c r="T500" t="s">
        <v>195</v>
      </c>
    </row>
    <row r="501" spans="1:20" x14ac:dyDescent="0.2">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v>629.06399999999996</v>
      </c>
      <c r="Q501">
        <v>3</v>
      </c>
      <c r="R501">
        <v>31.453199999999999</v>
      </c>
      <c r="S501" s="9" t="s">
        <v>83</v>
      </c>
      <c r="T501" t="s">
        <v>34</v>
      </c>
    </row>
    <row r="502" spans="1:20" x14ac:dyDescent="0.2">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v>754.45</v>
      </c>
      <c r="Q502">
        <v>5</v>
      </c>
      <c r="R502">
        <v>60.356000000000002</v>
      </c>
      <c r="S502" s="9" t="s">
        <v>83</v>
      </c>
      <c r="T502" t="s">
        <v>96</v>
      </c>
    </row>
    <row r="503" spans="1:20" x14ac:dyDescent="0.2">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v>301.95999999999998</v>
      </c>
      <c r="Q503">
        <v>2</v>
      </c>
      <c r="R503">
        <v>60.392000000000003</v>
      </c>
      <c r="S503" s="9" t="s">
        <v>58</v>
      </c>
      <c r="T503" t="s">
        <v>71</v>
      </c>
    </row>
    <row r="504" spans="1:20" x14ac:dyDescent="0.2">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v>273.06</v>
      </c>
      <c r="Q504">
        <v>2</v>
      </c>
      <c r="R504">
        <v>-104.673</v>
      </c>
      <c r="S504" s="9" t="s">
        <v>58</v>
      </c>
      <c r="T504" t="s">
        <v>96</v>
      </c>
    </row>
    <row r="505" spans="1:20" x14ac:dyDescent="0.2">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v>12.544</v>
      </c>
      <c r="Q505">
        <v>7</v>
      </c>
      <c r="R505">
        <v>-9.0944000000000003</v>
      </c>
      <c r="S505" s="9" t="s">
        <v>129</v>
      </c>
      <c r="T505" t="s">
        <v>59</v>
      </c>
    </row>
    <row r="506" spans="1:20" x14ac:dyDescent="0.2">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v>7.4</v>
      </c>
      <c r="Q506">
        <v>2</v>
      </c>
      <c r="R506">
        <v>3.0339999999999998</v>
      </c>
      <c r="S506" s="9" t="s">
        <v>58</v>
      </c>
      <c r="T506" t="s">
        <v>96</v>
      </c>
    </row>
    <row r="507" spans="1:20" x14ac:dyDescent="0.2">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v>366.786</v>
      </c>
      <c r="Q507">
        <v>7</v>
      </c>
      <c r="R507">
        <v>65.206400000000002</v>
      </c>
      <c r="S507" s="9" t="s">
        <v>47</v>
      </c>
      <c r="T507" t="s">
        <v>195</v>
      </c>
    </row>
    <row r="508" spans="1:20" x14ac:dyDescent="0.2">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v>545.85</v>
      </c>
      <c r="Q508">
        <v>9</v>
      </c>
      <c r="R508">
        <v>114.6285</v>
      </c>
      <c r="S508" s="9" t="s">
        <v>47</v>
      </c>
      <c r="T508" t="s">
        <v>71</v>
      </c>
    </row>
    <row r="509" spans="1:20" x14ac:dyDescent="0.2">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v>145.97999999999999</v>
      </c>
      <c r="Q509">
        <v>2</v>
      </c>
      <c r="R509">
        <v>-99.266400000000004</v>
      </c>
      <c r="S509" s="9" t="s">
        <v>70</v>
      </c>
      <c r="T509" t="s">
        <v>34</v>
      </c>
    </row>
    <row r="510" spans="1:20" x14ac:dyDescent="0.2">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v>7.9039999999999999</v>
      </c>
      <c r="Q510">
        <v>2</v>
      </c>
      <c r="R510">
        <v>2.1736</v>
      </c>
      <c r="S510" s="9" t="s">
        <v>58</v>
      </c>
      <c r="T510" t="s">
        <v>71</v>
      </c>
    </row>
    <row r="511" spans="1:20" x14ac:dyDescent="0.2">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v>174.286</v>
      </c>
      <c r="Q511">
        <v>2</v>
      </c>
      <c r="R511">
        <v>-19.918399999999998</v>
      </c>
      <c r="S511" s="9" t="s">
        <v>58</v>
      </c>
      <c r="T511" t="s">
        <v>161</v>
      </c>
    </row>
    <row r="512" spans="1:20" x14ac:dyDescent="0.2">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v>492.83499999999998</v>
      </c>
      <c r="Q512">
        <v>5</v>
      </c>
      <c r="R512">
        <v>-14.081</v>
      </c>
      <c r="S512" s="9" t="s">
        <v>129</v>
      </c>
      <c r="T512" t="s">
        <v>48</v>
      </c>
    </row>
    <row r="513" spans="1:20" x14ac:dyDescent="0.2">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v>14.272</v>
      </c>
      <c r="Q513">
        <v>8</v>
      </c>
      <c r="R513">
        <v>4.2816000000000001</v>
      </c>
      <c r="S513" s="9" t="s">
        <v>129</v>
      </c>
      <c r="T513" t="s">
        <v>169</v>
      </c>
    </row>
    <row r="514" spans="1:20" x14ac:dyDescent="0.2">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v>451.13600000000002</v>
      </c>
      <c r="Q514">
        <v>4</v>
      </c>
      <c r="R514">
        <v>-67.670400000000001</v>
      </c>
      <c r="S514" s="9" t="s">
        <v>129</v>
      </c>
      <c r="T514" t="s">
        <v>169</v>
      </c>
    </row>
    <row r="515" spans="1:20" x14ac:dyDescent="0.2">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v>217.584</v>
      </c>
      <c r="Q515">
        <v>2</v>
      </c>
      <c r="R515">
        <v>-29.9178</v>
      </c>
      <c r="S515" s="9" t="s">
        <v>33</v>
      </c>
      <c r="T515" t="s">
        <v>34</v>
      </c>
    </row>
    <row r="516" spans="1:20" x14ac:dyDescent="0.2">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v>1322.3520000000001</v>
      </c>
      <c r="Q516">
        <v>3</v>
      </c>
      <c r="R516">
        <v>-99.176400000000001</v>
      </c>
      <c r="S516" s="9" t="s">
        <v>83</v>
      </c>
      <c r="T516" t="s">
        <v>77</v>
      </c>
    </row>
    <row r="517" spans="1:20" x14ac:dyDescent="0.2">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v>1137.75</v>
      </c>
      <c r="Q517">
        <v>5</v>
      </c>
      <c r="R517">
        <v>250.30500000000001</v>
      </c>
      <c r="S517" s="9" t="s">
        <v>129</v>
      </c>
      <c r="T517" t="s">
        <v>253</v>
      </c>
    </row>
    <row r="518" spans="1:20" x14ac:dyDescent="0.2">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v>300.93</v>
      </c>
      <c r="Q518">
        <v>5</v>
      </c>
      <c r="R518">
        <v>-34.392000000000003</v>
      </c>
      <c r="S518" s="9" t="s">
        <v>83</v>
      </c>
      <c r="T518" t="s">
        <v>77</v>
      </c>
    </row>
    <row r="519" spans="1:20" x14ac:dyDescent="0.2">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v>647.84</v>
      </c>
      <c r="Q519">
        <v>8</v>
      </c>
      <c r="R519">
        <v>32.392000000000003</v>
      </c>
      <c r="S519" s="9" t="s">
        <v>129</v>
      </c>
      <c r="T519" t="s">
        <v>59</v>
      </c>
    </row>
    <row r="520" spans="1:20" x14ac:dyDescent="0.2">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v>77.92</v>
      </c>
      <c r="Q520">
        <v>8</v>
      </c>
      <c r="R520">
        <v>34.284799999999997</v>
      </c>
      <c r="S520" s="9" t="s">
        <v>70</v>
      </c>
      <c r="T520" t="s">
        <v>71</v>
      </c>
    </row>
    <row r="521" spans="1:20" x14ac:dyDescent="0.2">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v>47.991999999999997</v>
      </c>
      <c r="Q521">
        <v>2</v>
      </c>
      <c r="R521">
        <v>-2.0568</v>
      </c>
      <c r="S521" s="9" t="s">
        <v>129</v>
      </c>
      <c r="T521" t="s">
        <v>34</v>
      </c>
    </row>
    <row r="522" spans="1:20" x14ac:dyDescent="0.2">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v>129.93</v>
      </c>
      <c r="Q522">
        <v>3</v>
      </c>
      <c r="R522">
        <v>12.993</v>
      </c>
      <c r="S522" s="9" t="s">
        <v>58</v>
      </c>
      <c r="T522" t="s">
        <v>161</v>
      </c>
    </row>
    <row r="523" spans="1:20" x14ac:dyDescent="0.2">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v>181.98599999999999</v>
      </c>
      <c r="Q523">
        <v>2</v>
      </c>
      <c r="R523">
        <v>-54.595799999999997</v>
      </c>
      <c r="S523" s="9" t="s">
        <v>70</v>
      </c>
      <c r="T523" t="s">
        <v>169</v>
      </c>
    </row>
    <row r="524" spans="1:20" x14ac:dyDescent="0.2">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v>1348.704</v>
      </c>
      <c r="Q524">
        <v>6</v>
      </c>
      <c r="R524">
        <v>-219.1644</v>
      </c>
      <c r="S524" s="9" t="s">
        <v>430</v>
      </c>
      <c r="T524" t="s">
        <v>71</v>
      </c>
    </row>
    <row r="525" spans="1:20" x14ac:dyDescent="0.2">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v>700.15200000000004</v>
      </c>
      <c r="Q525">
        <v>3</v>
      </c>
      <c r="R525">
        <v>78.767099999999999</v>
      </c>
      <c r="S525" s="9" t="s">
        <v>430</v>
      </c>
      <c r="T525" t="s">
        <v>71</v>
      </c>
    </row>
    <row r="526" spans="1:20" x14ac:dyDescent="0.2">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v>111.88800000000001</v>
      </c>
      <c r="Q526">
        <v>7</v>
      </c>
      <c r="R526">
        <v>22.377600000000001</v>
      </c>
      <c r="S526" s="9" t="s">
        <v>83</v>
      </c>
      <c r="T526" t="s">
        <v>113</v>
      </c>
    </row>
    <row r="527" spans="1:20" x14ac:dyDescent="0.2">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v>173.94</v>
      </c>
      <c r="Q527">
        <v>3</v>
      </c>
      <c r="R527">
        <v>13.9152</v>
      </c>
      <c r="S527" s="9" t="s">
        <v>129</v>
      </c>
      <c r="T527" t="s">
        <v>77</v>
      </c>
    </row>
    <row r="528" spans="1:20" x14ac:dyDescent="0.2">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v>102.833</v>
      </c>
      <c r="Q528">
        <v>1</v>
      </c>
      <c r="R528">
        <v>-6.0490000000000004</v>
      </c>
      <c r="S528" s="9" t="s">
        <v>83</v>
      </c>
      <c r="T528" t="s">
        <v>113</v>
      </c>
    </row>
    <row r="529" spans="1:20" x14ac:dyDescent="0.2">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v>821.88</v>
      </c>
      <c r="Q529">
        <v>6</v>
      </c>
      <c r="R529">
        <v>213.68879999999999</v>
      </c>
      <c r="S529" s="9" t="s">
        <v>83</v>
      </c>
      <c r="T529" t="s">
        <v>34</v>
      </c>
    </row>
    <row r="530" spans="1:20" x14ac:dyDescent="0.2">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v>51.712000000000003</v>
      </c>
      <c r="Q530">
        <v>8</v>
      </c>
      <c r="R530">
        <v>-32.32</v>
      </c>
      <c r="S530" s="9" t="s">
        <v>129</v>
      </c>
      <c r="T530" t="s">
        <v>48</v>
      </c>
    </row>
    <row r="531" spans="1:20" x14ac:dyDescent="0.2">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v>1406.86</v>
      </c>
      <c r="Q531">
        <v>7</v>
      </c>
      <c r="R531">
        <v>140.68600000000001</v>
      </c>
      <c r="S531" s="9" t="s">
        <v>83</v>
      </c>
      <c r="T531" t="s">
        <v>161</v>
      </c>
    </row>
    <row r="532" spans="1:20" x14ac:dyDescent="0.2">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v>2665.62</v>
      </c>
      <c r="Q532">
        <v>9</v>
      </c>
      <c r="R532">
        <v>239.9058</v>
      </c>
      <c r="S532" s="9" t="s">
        <v>70</v>
      </c>
      <c r="T532" t="s">
        <v>34</v>
      </c>
    </row>
    <row r="533" spans="1:20" x14ac:dyDescent="0.2">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v>526.45000000000005</v>
      </c>
      <c r="Q533">
        <v>5</v>
      </c>
      <c r="R533">
        <v>31.587</v>
      </c>
      <c r="S533" s="9" t="s">
        <v>58</v>
      </c>
      <c r="T533" t="s">
        <v>71</v>
      </c>
    </row>
    <row r="534" spans="1:20" x14ac:dyDescent="0.2">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v>62.82</v>
      </c>
      <c r="Q534">
        <v>3</v>
      </c>
      <c r="R534">
        <v>30.7818</v>
      </c>
      <c r="S534" s="9" t="s">
        <v>58</v>
      </c>
      <c r="T534" t="s">
        <v>169</v>
      </c>
    </row>
    <row r="535" spans="1:20" x14ac:dyDescent="0.2">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v>12.42</v>
      </c>
      <c r="Q535">
        <v>3</v>
      </c>
      <c r="R535">
        <v>4.4711999999999996</v>
      </c>
      <c r="S535" s="9" t="s">
        <v>58</v>
      </c>
      <c r="T535" t="s">
        <v>169</v>
      </c>
    </row>
    <row r="536" spans="1:20" x14ac:dyDescent="0.2">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v>22.23</v>
      </c>
      <c r="Q536">
        <v>1</v>
      </c>
      <c r="R536">
        <v>9.7812000000000001</v>
      </c>
      <c r="S536" s="9" t="s">
        <v>129</v>
      </c>
      <c r="T536" t="s">
        <v>59</v>
      </c>
    </row>
    <row r="537" spans="1:20" x14ac:dyDescent="0.2">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v>14.135999999999999</v>
      </c>
      <c r="Q537">
        <v>2</v>
      </c>
      <c r="R537">
        <v>-7.7747999999999999</v>
      </c>
      <c r="S537" s="9" t="s">
        <v>129</v>
      </c>
      <c r="T537" t="s">
        <v>77</v>
      </c>
    </row>
    <row r="538" spans="1:20" x14ac:dyDescent="0.2">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v>601.47</v>
      </c>
      <c r="Q538">
        <v>3</v>
      </c>
      <c r="R538">
        <v>-300.73500000000001</v>
      </c>
      <c r="S538" s="9" t="s">
        <v>129</v>
      </c>
      <c r="T538" t="s">
        <v>77</v>
      </c>
    </row>
    <row r="539" spans="1:20" x14ac:dyDescent="0.2">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v>136.78399999999999</v>
      </c>
      <c r="Q539">
        <v>1</v>
      </c>
      <c r="R539">
        <v>5.1294000000000004</v>
      </c>
      <c r="S539" s="9" t="s">
        <v>430</v>
      </c>
      <c r="T539" t="s">
        <v>59</v>
      </c>
    </row>
    <row r="540" spans="1:20" x14ac:dyDescent="0.2">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v>61.12</v>
      </c>
      <c r="Q540">
        <v>4</v>
      </c>
      <c r="R540">
        <v>20.780799999999999</v>
      </c>
      <c r="S540" s="9" t="s">
        <v>430</v>
      </c>
      <c r="T540" t="s">
        <v>59</v>
      </c>
    </row>
    <row r="541" spans="1:20" x14ac:dyDescent="0.2">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v>1218.7349999999999</v>
      </c>
      <c r="Q541">
        <v>5</v>
      </c>
      <c r="R541">
        <v>-121.87350000000001</v>
      </c>
      <c r="S541" s="9" t="s">
        <v>58</v>
      </c>
      <c r="T541" t="s">
        <v>34</v>
      </c>
    </row>
    <row r="542" spans="1:20" x14ac:dyDescent="0.2">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v>6.0960000000000001</v>
      </c>
      <c r="Q542">
        <v>3</v>
      </c>
      <c r="R542">
        <v>-3.9624000000000001</v>
      </c>
      <c r="S542" s="9" t="s">
        <v>58</v>
      </c>
      <c r="T542" t="s">
        <v>34</v>
      </c>
    </row>
    <row r="543" spans="1:20" x14ac:dyDescent="0.2">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v>41.567999999999998</v>
      </c>
      <c r="Q543">
        <v>2</v>
      </c>
      <c r="R543">
        <v>2.5979999999999999</v>
      </c>
      <c r="S543" s="9" t="s">
        <v>47</v>
      </c>
      <c r="T543" t="s">
        <v>113</v>
      </c>
    </row>
    <row r="544" spans="1:20" x14ac:dyDescent="0.2">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v>230.28</v>
      </c>
      <c r="Q544">
        <v>3</v>
      </c>
      <c r="R544">
        <v>23.027999999999999</v>
      </c>
      <c r="S544" s="9" t="s">
        <v>47</v>
      </c>
      <c r="T544" t="s">
        <v>113</v>
      </c>
    </row>
    <row r="545" spans="1:20" x14ac:dyDescent="0.2">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v>39.96</v>
      </c>
      <c r="Q545">
        <v>2</v>
      </c>
      <c r="R545">
        <v>17.1828</v>
      </c>
      <c r="S545" s="9" t="s">
        <v>58</v>
      </c>
      <c r="T545" t="s">
        <v>161</v>
      </c>
    </row>
    <row r="546" spans="1:20" x14ac:dyDescent="0.2">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v>42.624000000000002</v>
      </c>
      <c r="Q546">
        <v>2</v>
      </c>
      <c r="R546">
        <v>4.2624000000000004</v>
      </c>
      <c r="S546" s="9" t="s">
        <v>58</v>
      </c>
      <c r="T546" t="s">
        <v>161</v>
      </c>
    </row>
    <row r="547" spans="1:20" x14ac:dyDescent="0.2">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v>220.96</v>
      </c>
      <c r="Q547">
        <v>1</v>
      </c>
      <c r="R547">
        <v>24.858000000000001</v>
      </c>
      <c r="S547" s="9" t="s">
        <v>58</v>
      </c>
      <c r="T547" t="s">
        <v>161</v>
      </c>
    </row>
    <row r="548" spans="1:20" x14ac:dyDescent="0.2">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v>4.9279999999999999</v>
      </c>
      <c r="Q548">
        <v>2</v>
      </c>
      <c r="R548">
        <v>0.73919999999999997</v>
      </c>
      <c r="S548" s="9" t="s">
        <v>58</v>
      </c>
      <c r="T548" t="s">
        <v>71</v>
      </c>
    </row>
    <row r="549" spans="1:20" x14ac:dyDescent="0.2">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v>858.24</v>
      </c>
      <c r="Q549">
        <v>4</v>
      </c>
      <c r="R549">
        <v>143.04</v>
      </c>
      <c r="S549" s="9" t="s">
        <v>129</v>
      </c>
      <c r="T549" t="s">
        <v>59</v>
      </c>
    </row>
    <row r="550" spans="1:20" x14ac:dyDescent="0.2">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v>18.623999999999999</v>
      </c>
      <c r="Q550">
        <v>8</v>
      </c>
      <c r="R550">
        <v>6.2855999999999996</v>
      </c>
      <c r="S550" s="9" t="s">
        <v>83</v>
      </c>
      <c r="T550" t="s">
        <v>113</v>
      </c>
    </row>
    <row r="551" spans="1:20" x14ac:dyDescent="0.2">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v>57.69</v>
      </c>
      <c r="Q551">
        <v>3</v>
      </c>
      <c r="R551">
        <v>23.652899999999999</v>
      </c>
      <c r="S551" s="9" t="s">
        <v>58</v>
      </c>
      <c r="T551" t="s">
        <v>77</v>
      </c>
    </row>
    <row r="552" spans="1:20" x14ac:dyDescent="0.2">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v>821.88</v>
      </c>
      <c r="Q552">
        <v>6</v>
      </c>
      <c r="R552">
        <v>213.68879999999999</v>
      </c>
      <c r="S552" s="9" t="s">
        <v>58</v>
      </c>
      <c r="T552" t="s">
        <v>77</v>
      </c>
    </row>
    <row r="553" spans="1:20" x14ac:dyDescent="0.2">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v>424.95749999999998</v>
      </c>
      <c r="Q553">
        <v>5</v>
      </c>
      <c r="R553">
        <v>19.998000000000001</v>
      </c>
      <c r="S553" s="9" t="s">
        <v>58</v>
      </c>
      <c r="T553" t="s">
        <v>77</v>
      </c>
    </row>
    <row r="554" spans="1:20" x14ac:dyDescent="0.2">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v>1292.94</v>
      </c>
      <c r="Q554">
        <v>3</v>
      </c>
      <c r="R554">
        <v>77.576400000000007</v>
      </c>
      <c r="S554" s="9" t="s">
        <v>83</v>
      </c>
      <c r="T554" t="s">
        <v>77</v>
      </c>
    </row>
    <row r="555" spans="1:20" x14ac:dyDescent="0.2">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v>883.84</v>
      </c>
      <c r="Q555">
        <v>4</v>
      </c>
      <c r="R555">
        <v>99.432000000000002</v>
      </c>
      <c r="S555" s="9" t="s">
        <v>83</v>
      </c>
      <c r="T555" t="s">
        <v>96</v>
      </c>
    </row>
    <row r="556" spans="1:20" x14ac:dyDescent="0.2">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v>370.62</v>
      </c>
      <c r="Q556">
        <v>3</v>
      </c>
      <c r="R556">
        <v>-142.071</v>
      </c>
      <c r="S556" s="9" t="s">
        <v>33</v>
      </c>
      <c r="T556" t="s">
        <v>161</v>
      </c>
    </row>
    <row r="557" spans="1:20" x14ac:dyDescent="0.2">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v>40.783999999999999</v>
      </c>
      <c r="Q557">
        <v>1</v>
      </c>
      <c r="R557">
        <v>4.5881999999999996</v>
      </c>
      <c r="S557" s="9" t="s">
        <v>58</v>
      </c>
      <c r="T557" t="s">
        <v>253</v>
      </c>
    </row>
    <row r="558" spans="1:20" x14ac:dyDescent="0.2">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v>785.88</v>
      </c>
      <c r="Q558">
        <v>6</v>
      </c>
      <c r="R558">
        <v>212.1876</v>
      </c>
      <c r="S558" s="9" t="s">
        <v>33</v>
      </c>
      <c r="T558" t="s">
        <v>77</v>
      </c>
    </row>
    <row r="559" spans="1:20" x14ac:dyDescent="0.2">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v>109.9</v>
      </c>
      <c r="Q559">
        <v>5</v>
      </c>
      <c r="R559">
        <v>37.366</v>
      </c>
      <c r="S559" s="9" t="s">
        <v>129</v>
      </c>
      <c r="T559" t="s">
        <v>169</v>
      </c>
    </row>
    <row r="560" spans="1:20" x14ac:dyDescent="0.2">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v>15.384</v>
      </c>
      <c r="Q560">
        <v>1</v>
      </c>
      <c r="R560">
        <v>4.0382999999999996</v>
      </c>
      <c r="S560" s="9" t="s">
        <v>58</v>
      </c>
      <c r="T560" t="s">
        <v>48</v>
      </c>
    </row>
    <row r="561" spans="1:20" x14ac:dyDescent="0.2">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v>30.768000000000001</v>
      </c>
      <c r="Q561">
        <v>2</v>
      </c>
      <c r="R561">
        <v>8.0765999999999991</v>
      </c>
      <c r="S561" s="9" t="s">
        <v>58</v>
      </c>
      <c r="T561" t="s">
        <v>195</v>
      </c>
    </row>
    <row r="562" spans="1:20" x14ac:dyDescent="0.2">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v>122.352</v>
      </c>
      <c r="Q562">
        <v>3</v>
      </c>
      <c r="R562">
        <v>15.294</v>
      </c>
      <c r="S562" s="9" t="s">
        <v>58</v>
      </c>
      <c r="T562" t="s">
        <v>195</v>
      </c>
    </row>
    <row r="563" spans="1:20" x14ac:dyDescent="0.2">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v>227.36</v>
      </c>
      <c r="Q563">
        <v>7</v>
      </c>
      <c r="R563">
        <v>81.849599999999995</v>
      </c>
      <c r="S563" s="9" t="s">
        <v>47</v>
      </c>
      <c r="T563" t="s">
        <v>169</v>
      </c>
    </row>
    <row r="564" spans="1:20" x14ac:dyDescent="0.2">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v>45.887999999999998</v>
      </c>
      <c r="Q564">
        <v>4</v>
      </c>
      <c r="R564">
        <v>9.1776</v>
      </c>
      <c r="S564" s="9" t="s">
        <v>70</v>
      </c>
      <c r="T564" t="s">
        <v>48</v>
      </c>
    </row>
    <row r="565" spans="1:20" x14ac:dyDescent="0.2">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v>23.975999999999999</v>
      </c>
      <c r="Q565">
        <v>3</v>
      </c>
      <c r="R565">
        <v>-14.3856</v>
      </c>
      <c r="S565" s="9" t="s">
        <v>70</v>
      </c>
      <c r="T565" t="s">
        <v>96</v>
      </c>
    </row>
    <row r="566" spans="1:20" x14ac:dyDescent="0.2">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v>350.35199999999998</v>
      </c>
      <c r="Q566">
        <v>4</v>
      </c>
      <c r="R566">
        <v>-140.14080000000001</v>
      </c>
      <c r="S566" s="9" t="s">
        <v>129</v>
      </c>
      <c r="T566" t="s">
        <v>34</v>
      </c>
    </row>
    <row r="567" spans="1:20" x14ac:dyDescent="0.2">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v>107.53</v>
      </c>
      <c r="Q567">
        <v>1</v>
      </c>
      <c r="R567">
        <v>21.506</v>
      </c>
      <c r="S567" s="9" t="s">
        <v>129</v>
      </c>
      <c r="T567" t="s">
        <v>297</v>
      </c>
    </row>
    <row r="568" spans="1:20" x14ac:dyDescent="0.2">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v>299.97000000000003</v>
      </c>
      <c r="Q568">
        <v>3</v>
      </c>
      <c r="R568">
        <v>56.994300000000003</v>
      </c>
      <c r="S568" s="9" t="s">
        <v>129</v>
      </c>
      <c r="T568" t="s">
        <v>34</v>
      </c>
    </row>
    <row r="569" spans="1:20" x14ac:dyDescent="0.2">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v>35.340000000000003</v>
      </c>
      <c r="Q569">
        <v>2</v>
      </c>
      <c r="R569">
        <v>13.4292</v>
      </c>
      <c r="S569" s="9" t="s">
        <v>83</v>
      </c>
      <c r="T569" t="s">
        <v>34</v>
      </c>
    </row>
    <row r="570" spans="1:20" x14ac:dyDescent="0.2">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v>257.64</v>
      </c>
      <c r="Q570">
        <v>6</v>
      </c>
      <c r="R570">
        <v>100.4796</v>
      </c>
      <c r="S570" s="9" t="s">
        <v>58</v>
      </c>
      <c r="T570" t="s">
        <v>59</v>
      </c>
    </row>
    <row r="571" spans="1:20" x14ac:dyDescent="0.2">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v>700.05600000000004</v>
      </c>
      <c r="Q571">
        <v>3</v>
      </c>
      <c r="R571">
        <v>-130.0104</v>
      </c>
      <c r="S571" s="9" t="s">
        <v>58</v>
      </c>
      <c r="T571" t="s">
        <v>161</v>
      </c>
    </row>
    <row r="572" spans="1:20" x14ac:dyDescent="0.2">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v>585.55200000000002</v>
      </c>
      <c r="Q572">
        <v>3</v>
      </c>
      <c r="R572">
        <v>73.194000000000003</v>
      </c>
      <c r="S572" s="9" t="s">
        <v>129</v>
      </c>
      <c r="T572" t="s">
        <v>59</v>
      </c>
    </row>
    <row r="573" spans="1:20" x14ac:dyDescent="0.2">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v>225.29599999999999</v>
      </c>
      <c r="Q573">
        <v>2</v>
      </c>
      <c r="R573">
        <v>22.529599999999999</v>
      </c>
      <c r="S573" s="9" t="s">
        <v>83</v>
      </c>
      <c r="T573" t="s">
        <v>161</v>
      </c>
    </row>
    <row r="574" spans="1:20" x14ac:dyDescent="0.2">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v>76.92</v>
      </c>
      <c r="Q574">
        <v>4</v>
      </c>
      <c r="R574">
        <v>31.537199999999999</v>
      </c>
      <c r="S574" s="9" t="s">
        <v>83</v>
      </c>
      <c r="T574" t="s">
        <v>195</v>
      </c>
    </row>
    <row r="575" spans="1:20" x14ac:dyDescent="0.2">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v>19.103999999999999</v>
      </c>
      <c r="Q575">
        <v>3</v>
      </c>
      <c r="R575">
        <v>5.7312000000000003</v>
      </c>
      <c r="S575" s="9" t="s">
        <v>70</v>
      </c>
      <c r="T575" t="s">
        <v>96</v>
      </c>
    </row>
    <row r="576" spans="1:20" x14ac:dyDescent="0.2">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v>195.46600000000001</v>
      </c>
      <c r="Q576">
        <v>2</v>
      </c>
      <c r="R576">
        <v>-13.797599999999999</v>
      </c>
      <c r="S576" s="9" t="s">
        <v>70</v>
      </c>
      <c r="T576" t="s">
        <v>71</v>
      </c>
    </row>
    <row r="577" spans="1:20" x14ac:dyDescent="0.2">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v>23.68</v>
      </c>
      <c r="Q577">
        <v>8</v>
      </c>
      <c r="R577">
        <v>6.2160000000000002</v>
      </c>
      <c r="S577" s="9" t="s">
        <v>58</v>
      </c>
      <c r="T577" t="s">
        <v>113</v>
      </c>
    </row>
    <row r="578" spans="1:20" x14ac:dyDescent="0.2">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v>601.53599999999994</v>
      </c>
      <c r="Q578">
        <v>4</v>
      </c>
      <c r="R578">
        <v>0</v>
      </c>
      <c r="S578" s="9" t="s">
        <v>70</v>
      </c>
      <c r="T578" t="s">
        <v>77</v>
      </c>
    </row>
    <row r="579" spans="1:20" x14ac:dyDescent="0.2">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v>58.36</v>
      </c>
      <c r="Q579">
        <v>5</v>
      </c>
      <c r="R579">
        <v>-24.803000000000001</v>
      </c>
      <c r="S579" s="9" t="s">
        <v>83</v>
      </c>
      <c r="T579" t="s">
        <v>96</v>
      </c>
    </row>
    <row r="580" spans="1:20" x14ac:dyDescent="0.2">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v>39.96</v>
      </c>
      <c r="Q580">
        <v>5</v>
      </c>
      <c r="R580">
        <v>-23.975999999999999</v>
      </c>
      <c r="S580" s="9" t="s">
        <v>83</v>
      </c>
      <c r="T580" t="s">
        <v>96</v>
      </c>
    </row>
    <row r="581" spans="1:20" x14ac:dyDescent="0.2">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v>308.49900000000002</v>
      </c>
      <c r="Q581">
        <v>3</v>
      </c>
      <c r="R581">
        <v>-18.146999999999998</v>
      </c>
      <c r="S581" s="9" t="s">
        <v>58</v>
      </c>
      <c r="T581" t="s">
        <v>113</v>
      </c>
    </row>
    <row r="582" spans="1:20" x14ac:dyDescent="0.2">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v>41.37</v>
      </c>
      <c r="Q582">
        <v>3</v>
      </c>
      <c r="R582">
        <v>17.375399999999999</v>
      </c>
      <c r="S582" s="9" t="s">
        <v>58</v>
      </c>
      <c r="T582" t="s">
        <v>34</v>
      </c>
    </row>
    <row r="583" spans="1:20" x14ac:dyDescent="0.2">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v>47.515999999999998</v>
      </c>
      <c r="Q583">
        <v>2</v>
      </c>
      <c r="R583">
        <v>-2.0364</v>
      </c>
      <c r="S583" s="9" t="s">
        <v>83</v>
      </c>
      <c r="T583" t="s">
        <v>77</v>
      </c>
    </row>
    <row r="584" spans="1:20" x14ac:dyDescent="0.2">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v>704.9</v>
      </c>
      <c r="Q584">
        <v>5</v>
      </c>
      <c r="R584">
        <v>56.392000000000003</v>
      </c>
      <c r="S584" s="9" t="s">
        <v>70</v>
      </c>
      <c r="T584" t="s">
        <v>71</v>
      </c>
    </row>
    <row r="585" spans="1:20" x14ac:dyDescent="0.2">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v>561.56799999999998</v>
      </c>
      <c r="Q585">
        <v>2</v>
      </c>
      <c r="R585">
        <v>28.078399999999998</v>
      </c>
      <c r="S585" s="9" t="s">
        <v>70</v>
      </c>
      <c r="T585" t="s">
        <v>71</v>
      </c>
    </row>
    <row r="586" spans="1:20" x14ac:dyDescent="0.2">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v>185.58</v>
      </c>
      <c r="Q586">
        <v>6</v>
      </c>
      <c r="R586">
        <v>76.087800000000001</v>
      </c>
      <c r="S586" s="9" t="s">
        <v>70</v>
      </c>
      <c r="T586" t="s">
        <v>34</v>
      </c>
    </row>
    <row r="587" spans="1:20" x14ac:dyDescent="0.2">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v>214.11</v>
      </c>
      <c r="Q587">
        <v>3</v>
      </c>
      <c r="R587">
        <v>36.398699999999998</v>
      </c>
      <c r="S587" s="9" t="s">
        <v>70</v>
      </c>
      <c r="T587" t="s">
        <v>34</v>
      </c>
    </row>
    <row r="588" spans="1:20" x14ac:dyDescent="0.2">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v>653.54999999999995</v>
      </c>
      <c r="Q588">
        <v>3</v>
      </c>
      <c r="R588">
        <v>111.1035</v>
      </c>
      <c r="S588" s="9" t="s">
        <v>70</v>
      </c>
      <c r="T588" t="s">
        <v>34</v>
      </c>
    </row>
    <row r="589" spans="1:20" x14ac:dyDescent="0.2">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v>60.74</v>
      </c>
      <c r="Q589">
        <v>1</v>
      </c>
      <c r="R589">
        <v>15.185</v>
      </c>
      <c r="S589" s="9" t="s">
        <v>47</v>
      </c>
      <c r="T589" t="s">
        <v>77</v>
      </c>
    </row>
    <row r="590" spans="1:20" x14ac:dyDescent="0.2">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v>124.36</v>
      </c>
      <c r="Q590">
        <v>2</v>
      </c>
      <c r="R590">
        <v>27.359200000000001</v>
      </c>
      <c r="S590" s="9" t="s">
        <v>47</v>
      </c>
      <c r="T590" t="s">
        <v>77</v>
      </c>
    </row>
    <row r="591" spans="1:20" x14ac:dyDescent="0.2">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v>298.77600000000001</v>
      </c>
      <c r="Q591">
        <v>3</v>
      </c>
      <c r="R591">
        <v>7.4694000000000003</v>
      </c>
      <c r="S591" s="9" t="s">
        <v>33</v>
      </c>
      <c r="T591" t="s">
        <v>161</v>
      </c>
    </row>
    <row r="592" spans="1:20" x14ac:dyDescent="0.2">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v>300.53280000000001</v>
      </c>
      <c r="Q592">
        <v>2</v>
      </c>
      <c r="R592">
        <v>-97.231200000000001</v>
      </c>
      <c r="S592" s="9" t="s">
        <v>58</v>
      </c>
      <c r="T592" t="s">
        <v>77</v>
      </c>
    </row>
    <row r="593" spans="1:20" x14ac:dyDescent="0.2">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v>1139.92</v>
      </c>
      <c r="Q593">
        <v>4</v>
      </c>
      <c r="R593">
        <v>284.98</v>
      </c>
      <c r="S593" s="9" t="s">
        <v>58</v>
      </c>
      <c r="T593" t="s">
        <v>195</v>
      </c>
    </row>
    <row r="594" spans="1:20" x14ac:dyDescent="0.2">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v>845.48800000000006</v>
      </c>
      <c r="Q594">
        <v>8</v>
      </c>
      <c r="R594">
        <v>-12.0784</v>
      </c>
      <c r="S594" s="9" t="s">
        <v>83</v>
      </c>
      <c r="T594" t="s">
        <v>96</v>
      </c>
    </row>
    <row r="595" spans="1:20" x14ac:dyDescent="0.2">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v>56.28</v>
      </c>
      <c r="Q595">
        <v>6</v>
      </c>
      <c r="R595">
        <v>15.7584</v>
      </c>
      <c r="S595" s="9" t="s">
        <v>47</v>
      </c>
      <c r="T595" t="s">
        <v>113</v>
      </c>
    </row>
    <row r="596" spans="1:20" x14ac:dyDescent="0.2">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v>14.98</v>
      </c>
      <c r="Q596">
        <v>1</v>
      </c>
      <c r="R596">
        <v>6.8907999999999996</v>
      </c>
      <c r="S596" s="9" t="s">
        <v>70</v>
      </c>
      <c r="T596" t="s">
        <v>195</v>
      </c>
    </row>
    <row r="597" spans="1:20" x14ac:dyDescent="0.2">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v>20.32</v>
      </c>
      <c r="Q597">
        <v>4</v>
      </c>
      <c r="R597">
        <v>6.9088000000000003</v>
      </c>
      <c r="S597" s="9" t="s">
        <v>70</v>
      </c>
      <c r="T597" t="s">
        <v>195</v>
      </c>
    </row>
    <row r="598" spans="1:20" x14ac:dyDescent="0.2">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v>1603.136</v>
      </c>
      <c r="Q598">
        <v>4</v>
      </c>
      <c r="R598">
        <v>100.196</v>
      </c>
      <c r="S598" s="9" t="s">
        <v>33</v>
      </c>
      <c r="T598" t="s">
        <v>253</v>
      </c>
    </row>
    <row r="599" spans="1:20" x14ac:dyDescent="0.2">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v>225.29599999999999</v>
      </c>
      <c r="Q599">
        <v>2</v>
      </c>
      <c r="R599">
        <v>22.529599999999999</v>
      </c>
      <c r="S599" s="9" t="s">
        <v>70</v>
      </c>
      <c r="T599" t="s">
        <v>253</v>
      </c>
    </row>
    <row r="600" spans="1:20" x14ac:dyDescent="0.2">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v>1628.82</v>
      </c>
      <c r="Q600">
        <v>9</v>
      </c>
      <c r="R600">
        <v>374.62860000000001</v>
      </c>
      <c r="S600" s="9" t="s">
        <v>83</v>
      </c>
      <c r="T600" t="s">
        <v>161</v>
      </c>
    </row>
    <row r="601" spans="1:20" x14ac:dyDescent="0.2">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v>17.088000000000001</v>
      </c>
      <c r="Q601">
        <v>2</v>
      </c>
      <c r="R601">
        <v>1.0680000000000001</v>
      </c>
      <c r="S601" s="9" t="s">
        <v>47</v>
      </c>
      <c r="T601" t="s">
        <v>59</v>
      </c>
    </row>
    <row r="602" spans="1:20" x14ac:dyDescent="0.2">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v>314.35199999999998</v>
      </c>
      <c r="Q602">
        <v>3</v>
      </c>
      <c r="R602">
        <v>-35.364600000000003</v>
      </c>
      <c r="S602" s="9" t="s">
        <v>83</v>
      </c>
      <c r="T602" t="s">
        <v>195</v>
      </c>
    </row>
    <row r="603" spans="1:20" x14ac:dyDescent="0.2">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v>153.56800000000001</v>
      </c>
      <c r="Q603">
        <v>2</v>
      </c>
      <c r="R603">
        <v>-5.7587999999999999</v>
      </c>
      <c r="S603" s="9" t="s">
        <v>70</v>
      </c>
      <c r="T603" t="s">
        <v>169</v>
      </c>
    </row>
    <row r="604" spans="1:20" x14ac:dyDescent="0.2">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v>1013.4880000000001</v>
      </c>
      <c r="Q604">
        <v>7</v>
      </c>
      <c r="R604">
        <v>76.011600000000001</v>
      </c>
      <c r="S604" s="9" t="s">
        <v>70</v>
      </c>
      <c r="T604" t="s">
        <v>169</v>
      </c>
    </row>
    <row r="605" spans="1:20" x14ac:dyDescent="0.2">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v>6.96</v>
      </c>
      <c r="Q605">
        <v>4</v>
      </c>
      <c r="R605">
        <v>2.2271999999999998</v>
      </c>
      <c r="S605" s="9" t="s">
        <v>58</v>
      </c>
      <c r="T605" t="s">
        <v>34</v>
      </c>
    </row>
    <row r="606" spans="1:20" x14ac:dyDescent="0.2">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v>307.92</v>
      </c>
      <c r="Q606">
        <v>5</v>
      </c>
      <c r="R606">
        <v>-34.640999999999998</v>
      </c>
      <c r="S606" s="9" t="s">
        <v>83</v>
      </c>
      <c r="T606" t="s">
        <v>48</v>
      </c>
    </row>
    <row r="607" spans="1:20" x14ac:dyDescent="0.2">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v>51.96</v>
      </c>
      <c r="Q607">
        <v>2</v>
      </c>
      <c r="R607">
        <v>12.99</v>
      </c>
      <c r="S607" s="9" t="s">
        <v>70</v>
      </c>
      <c r="T607" t="s">
        <v>113</v>
      </c>
    </row>
    <row r="608" spans="1:20" x14ac:dyDescent="0.2">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v>69.08</v>
      </c>
      <c r="Q608">
        <v>11</v>
      </c>
      <c r="R608">
        <v>29.0136</v>
      </c>
      <c r="S608" s="9" t="s">
        <v>129</v>
      </c>
      <c r="T608" t="s">
        <v>48</v>
      </c>
    </row>
    <row r="609" spans="1:20" x14ac:dyDescent="0.2">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v>408.42200000000003</v>
      </c>
      <c r="Q609">
        <v>2</v>
      </c>
      <c r="R609">
        <v>-5.8346</v>
      </c>
      <c r="S609" s="9" t="s">
        <v>83</v>
      </c>
      <c r="T609" t="s">
        <v>113</v>
      </c>
    </row>
    <row r="610" spans="1:20" x14ac:dyDescent="0.2">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v>539.65800000000002</v>
      </c>
      <c r="Q610">
        <v>3</v>
      </c>
      <c r="R610">
        <v>-7.7093999999999996</v>
      </c>
      <c r="S610" s="9" t="s">
        <v>83</v>
      </c>
      <c r="T610" t="s">
        <v>59</v>
      </c>
    </row>
    <row r="611" spans="1:20" x14ac:dyDescent="0.2">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v>14.368</v>
      </c>
      <c r="Q611">
        <v>2</v>
      </c>
      <c r="R611">
        <v>3.9512</v>
      </c>
      <c r="S611" s="9" t="s">
        <v>430</v>
      </c>
      <c r="T611" t="s">
        <v>34</v>
      </c>
    </row>
    <row r="612" spans="1:20" x14ac:dyDescent="0.2">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v>70.447999999999993</v>
      </c>
      <c r="Q612">
        <v>7</v>
      </c>
      <c r="R612">
        <v>12.3284</v>
      </c>
      <c r="S612" s="9" t="s">
        <v>430</v>
      </c>
      <c r="T612" t="s">
        <v>34</v>
      </c>
    </row>
    <row r="613" spans="1:20" x14ac:dyDescent="0.2">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v>70.709999999999994</v>
      </c>
      <c r="Q613">
        <v>1</v>
      </c>
      <c r="R613">
        <v>4.9497</v>
      </c>
      <c r="S613" s="9" t="s">
        <v>33</v>
      </c>
      <c r="T613" t="s">
        <v>77</v>
      </c>
    </row>
    <row r="614" spans="1:20" x14ac:dyDescent="0.2">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v>18.84</v>
      </c>
      <c r="Q614">
        <v>3</v>
      </c>
      <c r="R614">
        <v>7.9127999999999998</v>
      </c>
      <c r="S614" s="9" t="s">
        <v>83</v>
      </c>
      <c r="T614" t="s">
        <v>71</v>
      </c>
    </row>
    <row r="615" spans="1:20" x14ac:dyDescent="0.2">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v>19.760000000000002</v>
      </c>
      <c r="Q615">
        <v>4</v>
      </c>
      <c r="R615">
        <v>8.2992000000000008</v>
      </c>
      <c r="S615" s="9" t="s">
        <v>129</v>
      </c>
      <c r="T615" t="s">
        <v>34</v>
      </c>
    </row>
    <row r="616" spans="1:20" x14ac:dyDescent="0.2">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v>144.78399999999999</v>
      </c>
      <c r="Q616">
        <v>1</v>
      </c>
      <c r="R616">
        <v>10.8588</v>
      </c>
      <c r="S616" s="9" t="s">
        <v>430</v>
      </c>
      <c r="T616" t="s">
        <v>253</v>
      </c>
    </row>
    <row r="617" spans="1:20" x14ac:dyDescent="0.2">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v>90.99</v>
      </c>
      <c r="Q617">
        <v>1</v>
      </c>
      <c r="R617">
        <v>14.558400000000001</v>
      </c>
      <c r="S617" s="9" t="s">
        <v>129</v>
      </c>
      <c r="T617" t="s">
        <v>195</v>
      </c>
    </row>
    <row r="618" spans="1:20" x14ac:dyDescent="0.2">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v>1526.56</v>
      </c>
      <c r="Q618">
        <v>7</v>
      </c>
      <c r="R618">
        <v>427.43680000000001</v>
      </c>
      <c r="S618" s="9" t="s">
        <v>129</v>
      </c>
      <c r="T618" t="s">
        <v>195</v>
      </c>
    </row>
    <row r="619" spans="1:20" x14ac:dyDescent="0.2">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v>368.97</v>
      </c>
      <c r="Q619">
        <v>3</v>
      </c>
      <c r="R619">
        <v>40.5867</v>
      </c>
      <c r="S619" s="9" t="s">
        <v>129</v>
      </c>
      <c r="T619" t="s">
        <v>195</v>
      </c>
    </row>
    <row r="620" spans="1:20" x14ac:dyDescent="0.2">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v>18.7</v>
      </c>
      <c r="Q620">
        <v>1</v>
      </c>
      <c r="R620">
        <v>7.1059999999999999</v>
      </c>
      <c r="S620" s="9" t="s">
        <v>58</v>
      </c>
      <c r="T620" t="s">
        <v>34</v>
      </c>
    </row>
    <row r="621" spans="1:20" x14ac:dyDescent="0.2">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v>38.29</v>
      </c>
      <c r="Q621">
        <v>7</v>
      </c>
      <c r="R621">
        <v>16.464700000000001</v>
      </c>
      <c r="S621" s="9" t="s">
        <v>123</v>
      </c>
      <c r="T621" t="s">
        <v>34</v>
      </c>
    </row>
    <row r="622" spans="1:20" x14ac:dyDescent="0.2">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v>26.25</v>
      </c>
      <c r="Q622">
        <v>3</v>
      </c>
      <c r="R622">
        <v>11.025</v>
      </c>
      <c r="S622" s="9" t="s">
        <v>83</v>
      </c>
      <c r="T622" t="s">
        <v>96</v>
      </c>
    </row>
    <row r="623" spans="1:20" x14ac:dyDescent="0.2">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v>113.88800000000001</v>
      </c>
      <c r="Q623">
        <v>2</v>
      </c>
      <c r="R623">
        <v>9.9651999999999994</v>
      </c>
      <c r="S623" s="9" t="s">
        <v>430</v>
      </c>
      <c r="T623" t="s">
        <v>34</v>
      </c>
    </row>
    <row r="624" spans="1:20" x14ac:dyDescent="0.2">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v>113.568</v>
      </c>
      <c r="Q624">
        <v>2</v>
      </c>
      <c r="R624">
        <v>-5.6783999999999999</v>
      </c>
      <c r="S624" s="9" t="s">
        <v>430</v>
      </c>
      <c r="T624" t="s">
        <v>34</v>
      </c>
    </row>
    <row r="625" spans="1:20" x14ac:dyDescent="0.2">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v>191.64599999999999</v>
      </c>
      <c r="Q625">
        <v>3</v>
      </c>
      <c r="R625">
        <v>31.940999999999999</v>
      </c>
      <c r="S625" s="9" t="s">
        <v>47</v>
      </c>
      <c r="T625" t="s">
        <v>59</v>
      </c>
    </row>
    <row r="626" spans="1:20" x14ac:dyDescent="0.2">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v>81.567999999999998</v>
      </c>
      <c r="Q626">
        <v>2</v>
      </c>
      <c r="R626">
        <v>9.1763999999999992</v>
      </c>
      <c r="S626" s="9" t="s">
        <v>58</v>
      </c>
      <c r="T626" t="s">
        <v>96</v>
      </c>
    </row>
    <row r="627" spans="1:20" x14ac:dyDescent="0.2">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v>97.183999999999997</v>
      </c>
      <c r="Q627">
        <v>2</v>
      </c>
      <c r="R627">
        <v>6.0739999999999998</v>
      </c>
      <c r="S627" s="9" t="s">
        <v>58</v>
      </c>
      <c r="T627" t="s">
        <v>96</v>
      </c>
    </row>
    <row r="628" spans="1:20" x14ac:dyDescent="0.2">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v>18.96</v>
      </c>
      <c r="Q628">
        <v>2</v>
      </c>
      <c r="R628">
        <v>7.5839999999999996</v>
      </c>
      <c r="S628" s="9" t="s">
        <v>58</v>
      </c>
      <c r="T628" t="s">
        <v>96</v>
      </c>
    </row>
    <row r="629" spans="1:20" x14ac:dyDescent="0.2">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v>32.951999999999998</v>
      </c>
      <c r="Q629">
        <v>6</v>
      </c>
      <c r="R629">
        <v>-19.7712</v>
      </c>
      <c r="S629" s="9" t="s">
        <v>83</v>
      </c>
      <c r="T629" t="s">
        <v>96</v>
      </c>
    </row>
    <row r="630" spans="1:20" x14ac:dyDescent="0.2">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v>28.271999999999998</v>
      </c>
      <c r="Q630">
        <v>2</v>
      </c>
      <c r="R630">
        <v>6.3612000000000002</v>
      </c>
      <c r="S630" s="9" t="s">
        <v>33</v>
      </c>
      <c r="T630" t="s">
        <v>34</v>
      </c>
    </row>
    <row r="631" spans="1:20" x14ac:dyDescent="0.2">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v>244.006</v>
      </c>
      <c r="Q631">
        <v>2</v>
      </c>
      <c r="R631">
        <v>-31.372199999999999</v>
      </c>
      <c r="S631" s="9" t="s">
        <v>58</v>
      </c>
      <c r="T631" t="s">
        <v>161</v>
      </c>
    </row>
    <row r="632" spans="1:20" x14ac:dyDescent="0.2">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v>188.55199999999999</v>
      </c>
      <c r="Q632">
        <v>7</v>
      </c>
      <c r="R632">
        <v>-2.6936</v>
      </c>
      <c r="S632" s="9" t="s">
        <v>430</v>
      </c>
      <c r="T632" t="s">
        <v>96</v>
      </c>
    </row>
    <row r="633" spans="1:20" x14ac:dyDescent="0.2">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v>545.94000000000005</v>
      </c>
      <c r="Q633">
        <v>6</v>
      </c>
      <c r="R633">
        <v>87.350399999999993</v>
      </c>
      <c r="S633" s="9" t="s">
        <v>33</v>
      </c>
      <c r="T633" t="s">
        <v>169</v>
      </c>
    </row>
    <row r="634" spans="1:20" x14ac:dyDescent="0.2">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v>43.295999999999999</v>
      </c>
      <c r="Q634">
        <v>2</v>
      </c>
      <c r="R634">
        <v>4.3296000000000001</v>
      </c>
      <c r="S634" s="9" t="s">
        <v>58</v>
      </c>
      <c r="T634" t="s">
        <v>59</v>
      </c>
    </row>
    <row r="635" spans="1:20" x14ac:dyDescent="0.2">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v>123.136</v>
      </c>
      <c r="Q635">
        <v>4</v>
      </c>
      <c r="R635">
        <v>13.8528</v>
      </c>
      <c r="S635" s="9" t="s">
        <v>129</v>
      </c>
      <c r="T635" t="s">
        <v>71</v>
      </c>
    </row>
    <row r="636" spans="1:20" x14ac:dyDescent="0.2">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v>275.49</v>
      </c>
      <c r="Q636">
        <v>1</v>
      </c>
      <c r="R636">
        <v>-170.8038</v>
      </c>
      <c r="S636" s="9" t="s">
        <v>58</v>
      </c>
      <c r="T636" t="s">
        <v>96</v>
      </c>
    </row>
    <row r="637" spans="1:20" x14ac:dyDescent="0.2">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v>24.96</v>
      </c>
      <c r="Q637">
        <v>4</v>
      </c>
      <c r="R637">
        <v>6.24</v>
      </c>
      <c r="S637" s="9" t="s">
        <v>58</v>
      </c>
      <c r="T637" t="s">
        <v>161</v>
      </c>
    </row>
    <row r="638" spans="1:20" x14ac:dyDescent="0.2">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v>3.984</v>
      </c>
      <c r="Q638">
        <v>1</v>
      </c>
      <c r="R638">
        <v>0.64739999999999998</v>
      </c>
      <c r="S638" s="9" t="s">
        <v>83</v>
      </c>
      <c r="T638" t="s">
        <v>59</v>
      </c>
    </row>
    <row r="639" spans="1:20" x14ac:dyDescent="0.2">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v>191.82</v>
      </c>
      <c r="Q639">
        <v>3</v>
      </c>
      <c r="R639">
        <v>74.809799999999996</v>
      </c>
      <c r="S639" s="9" t="s">
        <v>123</v>
      </c>
      <c r="T639" t="s">
        <v>96</v>
      </c>
    </row>
    <row r="640" spans="1:20" x14ac:dyDescent="0.2">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v>344.22</v>
      </c>
      <c r="Q640">
        <v>2</v>
      </c>
      <c r="R640">
        <v>-103.26600000000001</v>
      </c>
      <c r="S640" s="9" t="s">
        <v>83</v>
      </c>
      <c r="T640" t="s">
        <v>77</v>
      </c>
    </row>
    <row r="641" spans="1:20" x14ac:dyDescent="0.2">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v>22.608000000000001</v>
      </c>
      <c r="Q641">
        <v>3</v>
      </c>
      <c r="R641">
        <v>-10.1736</v>
      </c>
      <c r="S641" s="9" t="s">
        <v>47</v>
      </c>
      <c r="T641" t="s">
        <v>253</v>
      </c>
    </row>
    <row r="642" spans="1:20" x14ac:dyDescent="0.2">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v>66.69</v>
      </c>
      <c r="Q642">
        <v>3</v>
      </c>
      <c r="R642">
        <v>22.0077</v>
      </c>
      <c r="S642" s="9" t="s">
        <v>129</v>
      </c>
      <c r="T642" t="s">
        <v>34</v>
      </c>
    </row>
    <row r="643" spans="1:20" x14ac:dyDescent="0.2">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v>327.7328</v>
      </c>
      <c r="Q643">
        <v>2</v>
      </c>
      <c r="R643">
        <v>-14.4588</v>
      </c>
      <c r="S643" s="9" t="s">
        <v>129</v>
      </c>
      <c r="T643" t="s">
        <v>34</v>
      </c>
    </row>
    <row r="644" spans="1:20" x14ac:dyDescent="0.2">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v>254.352</v>
      </c>
      <c r="Q644">
        <v>3</v>
      </c>
      <c r="R644">
        <v>0</v>
      </c>
      <c r="S644" s="9" t="s">
        <v>83</v>
      </c>
      <c r="T644" t="s">
        <v>113</v>
      </c>
    </row>
    <row r="645" spans="1:20" x14ac:dyDescent="0.2">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v>504.9</v>
      </c>
      <c r="Q645">
        <v>5</v>
      </c>
      <c r="R645">
        <v>80.784000000000006</v>
      </c>
      <c r="S645" s="9" t="s">
        <v>83</v>
      </c>
      <c r="T645" t="s">
        <v>96</v>
      </c>
    </row>
    <row r="646" spans="1:20" x14ac:dyDescent="0.2">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v>194.32</v>
      </c>
      <c r="Q646">
        <v>4</v>
      </c>
      <c r="R646">
        <v>31.091200000000001</v>
      </c>
      <c r="S646" s="9" t="s">
        <v>129</v>
      </c>
      <c r="T646" t="s">
        <v>77</v>
      </c>
    </row>
    <row r="647" spans="1:20" x14ac:dyDescent="0.2">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v>195.136</v>
      </c>
      <c r="Q647">
        <v>4</v>
      </c>
      <c r="R647">
        <v>-12.196</v>
      </c>
      <c r="S647" s="9" t="s">
        <v>58</v>
      </c>
      <c r="T647" t="s">
        <v>34</v>
      </c>
    </row>
    <row r="648" spans="1:20" x14ac:dyDescent="0.2">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v>29.16</v>
      </c>
      <c r="Q648">
        <v>2</v>
      </c>
      <c r="R648">
        <v>10.789199999999999</v>
      </c>
      <c r="S648" s="9" t="s">
        <v>58</v>
      </c>
      <c r="T648" t="s">
        <v>59</v>
      </c>
    </row>
    <row r="649" spans="1:20" x14ac:dyDescent="0.2">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v>171.28800000000001</v>
      </c>
      <c r="Q649">
        <v>3</v>
      </c>
      <c r="R649">
        <v>-6.4233000000000002</v>
      </c>
      <c r="S649" s="9" t="s">
        <v>58</v>
      </c>
      <c r="T649" t="s">
        <v>48</v>
      </c>
    </row>
    <row r="650" spans="1:20" x14ac:dyDescent="0.2">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v>16.72</v>
      </c>
      <c r="Q650">
        <v>5</v>
      </c>
      <c r="R650">
        <v>3.3439999999999999</v>
      </c>
      <c r="S650" s="9" t="s">
        <v>83</v>
      </c>
      <c r="T650" t="s">
        <v>161</v>
      </c>
    </row>
    <row r="651" spans="1:20" x14ac:dyDescent="0.2">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v>2054.2719999999999</v>
      </c>
      <c r="Q651">
        <v>8</v>
      </c>
      <c r="R651">
        <v>256.78399999999999</v>
      </c>
      <c r="S651" s="9" t="s">
        <v>123</v>
      </c>
      <c r="T651" t="s">
        <v>77</v>
      </c>
    </row>
    <row r="652" spans="1:20" x14ac:dyDescent="0.2">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v>411.8</v>
      </c>
      <c r="Q652">
        <v>2</v>
      </c>
      <c r="R652">
        <v>70.006</v>
      </c>
      <c r="S652" s="9" t="s">
        <v>70</v>
      </c>
      <c r="T652" t="s">
        <v>113</v>
      </c>
    </row>
    <row r="653" spans="1:20" x14ac:dyDescent="0.2">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v>41.96</v>
      </c>
      <c r="Q653">
        <v>2</v>
      </c>
      <c r="R653">
        <v>2.9371999999999998</v>
      </c>
      <c r="S653" s="9" t="s">
        <v>58</v>
      </c>
      <c r="T653" t="s">
        <v>48</v>
      </c>
    </row>
    <row r="654" spans="1:20" x14ac:dyDescent="0.2">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v>30.56</v>
      </c>
      <c r="Q654">
        <v>2</v>
      </c>
      <c r="R654">
        <v>10.3904</v>
      </c>
      <c r="S654" s="9" t="s">
        <v>58</v>
      </c>
      <c r="T654" t="s">
        <v>48</v>
      </c>
    </row>
    <row r="655" spans="1:20" x14ac:dyDescent="0.2">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v>24.367999999999999</v>
      </c>
      <c r="Q655">
        <v>2</v>
      </c>
      <c r="R655">
        <v>-3.3506</v>
      </c>
      <c r="S655" s="9" t="s">
        <v>58</v>
      </c>
      <c r="T655" t="s">
        <v>48</v>
      </c>
    </row>
    <row r="656" spans="1:20" x14ac:dyDescent="0.2">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v>124.41</v>
      </c>
      <c r="Q656">
        <v>3</v>
      </c>
      <c r="R656">
        <v>14.9292</v>
      </c>
      <c r="S656" s="9" t="s">
        <v>58</v>
      </c>
      <c r="T656" t="s">
        <v>34</v>
      </c>
    </row>
    <row r="657" spans="1:20" x14ac:dyDescent="0.2">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v>120.666</v>
      </c>
      <c r="Q657">
        <v>2</v>
      </c>
      <c r="R657">
        <v>18.454799999999999</v>
      </c>
      <c r="S657" s="9" t="s">
        <v>58</v>
      </c>
      <c r="T657" t="s">
        <v>48</v>
      </c>
    </row>
    <row r="658" spans="1:20" x14ac:dyDescent="0.2">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v>16.739999999999998</v>
      </c>
      <c r="Q658">
        <v>5</v>
      </c>
      <c r="R658">
        <v>-14.228999999999999</v>
      </c>
      <c r="S658" s="9" t="s">
        <v>83</v>
      </c>
      <c r="T658" t="s">
        <v>71</v>
      </c>
    </row>
    <row r="659" spans="1:20" x14ac:dyDescent="0.2">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v>981.37199999999996</v>
      </c>
      <c r="Q659">
        <v>2</v>
      </c>
      <c r="R659">
        <v>-140.196</v>
      </c>
      <c r="S659" s="9" t="s">
        <v>83</v>
      </c>
      <c r="T659" t="s">
        <v>71</v>
      </c>
    </row>
    <row r="660" spans="1:20" x14ac:dyDescent="0.2">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v>3.984</v>
      </c>
      <c r="Q660">
        <v>2</v>
      </c>
      <c r="R660">
        <v>-2.6892</v>
      </c>
      <c r="S660" s="9" t="s">
        <v>58</v>
      </c>
      <c r="T660" t="s">
        <v>297</v>
      </c>
    </row>
    <row r="661" spans="1:20" x14ac:dyDescent="0.2">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v>61</v>
      </c>
      <c r="Q661">
        <v>5</v>
      </c>
      <c r="R661">
        <v>25.62</v>
      </c>
      <c r="S661" s="9" t="s">
        <v>70</v>
      </c>
      <c r="T661" t="s">
        <v>195</v>
      </c>
    </row>
    <row r="662" spans="1:20" x14ac:dyDescent="0.2">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v>220.26560000000001</v>
      </c>
      <c r="Q662">
        <v>4</v>
      </c>
      <c r="R662">
        <v>-42.1096</v>
      </c>
      <c r="S662" s="9" t="s">
        <v>83</v>
      </c>
      <c r="T662" t="s">
        <v>113</v>
      </c>
    </row>
    <row r="663" spans="1:20" x14ac:dyDescent="0.2">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v>242.352</v>
      </c>
      <c r="Q663">
        <v>3</v>
      </c>
      <c r="R663">
        <v>9.0882000000000005</v>
      </c>
      <c r="S663" s="9" t="s">
        <v>58</v>
      </c>
      <c r="T663" t="s">
        <v>113</v>
      </c>
    </row>
    <row r="664" spans="1:20" x14ac:dyDescent="0.2">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v>220.98</v>
      </c>
      <c r="Q664">
        <v>1</v>
      </c>
      <c r="R664">
        <v>50.825400000000002</v>
      </c>
      <c r="S664" s="9" t="s">
        <v>58</v>
      </c>
      <c r="T664" t="s">
        <v>96</v>
      </c>
    </row>
    <row r="665" spans="1:20" x14ac:dyDescent="0.2">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v>532.70399999999995</v>
      </c>
      <c r="Q665">
        <v>6</v>
      </c>
      <c r="R665">
        <v>-39.952800000000003</v>
      </c>
      <c r="S665" s="9" t="s">
        <v>47</v>
      </c>
      <c r="T665" t="s">
        <v>253</v>
      </c>
    </row>
    <row r="666" spans="1:20" x14ac:dyDescent="0.2">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v>1123.92</v>
      </c>
      <c r="Q666">
        <v>5</v>
      </c>
      <c r="R666">
        <v>-182.637</v>
      </c>
      <c r="S666" s="9" t="s">
        <v>123</v>
      </c>
      <c r="T666" t="s">
        <v>59</v>
      </c>
    </row>
    <row r="667" spans="1:20" x14ac:dyDescent="0.2">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v>48.671999999999997</v>
      </c>
      <c r="Q667">
        <v>3</v>
      </c>
      <c r="R667">
        <v>7.3007999999999997</v>
      </c>
      <c r="S667" s="9" t="s">
        <v>123</v>
      </c>
      <c r="T667" t="s">
        <v>59</v>
      </c>
    </row>
    <row r="668" spans="1:20" x14ac:dyDescent="0.2">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v>44.46</v>
      </c>
      <c r="Q668">
        <v>2</v>
      </c>
      <c r="R668">
        <v>14.671799999999999</v>
      </c>
      <c r="S668" s="9" t="s">
        <v>123</v>
      </c>
      <c r="T668" t="s">
        <v>96</v>
      </c>
    </row>
    <row r="669" spans="1:20" x14ac:dyDescent="0.2">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v>241.56800000000001</v>
      </c>
      <c r="Q669">
        <v>2</v>
      </c>
      <c r="R669">
        <v>18.117599999999999</v>
      </c>
      <c r="S669" s="9" t="s">
        <v>123</v>
      </c>
      <c r="T669" t="s">
        <v>96</v>
      </c>
    </row>
    <row r="670" spans="1:20" x14ac:dyDescent="0.2">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v>13.28</v>
      </c>
      <c r="Q670">
        <v>2</v>
      </c>
      <c r="R670">
        <v>6.3743999999999996</v>
      </c>
      <c r="S670" s="9" t="s">
        <v>70</v>
      </c>
      <c r="T670" t="s">
        <v>253</v>
      </c>
    </row>
    <row r="671" spans="1:20" x14ac:dyDescent="0.2">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v>22.847999999999999</v>
      </c>
      <c r="Q671">
        <v>3</v>
      </c>
      <c r="R671">
        <v>-17.7072</v>
      </c>
      <c r="S671" s="9" t="s">
        <v>129</v>
      </c>
      <c r="T671" t="s">
        <v>34</v>
      </c>
    </row>
    <row r="672" spans="1:20" x14ac:dyDescent="0.2">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v>347.80200000000002</v>
      </c>
      <c r="Q672">
        <v>7</v>
      </c>
      <c r="R672">
        <v>-24.843</v>
      </c>
      <c r="S672" s="9" t="s">
        <v>129</v>
      </c>
      <c r="T672" t="s">
        <v>77</v>
      </c>
    </row>
    <row r="673" spans="1:20" x14ac:dyDescent="0.2">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v>963.13599999999997</v>
      </c>
      <c r="Q673">
        <v>4</v>
      </c>
      <c r="R673">
        <v>108.3528</v>
      </c>
      <c r="S673" s="9" t="s">
        <v>70</v>
      </c>
      <c r="T673" t="s">
        <v>297</v>
      </c>
    </row>
    <row r="674" spans="1:20" x14ac:dyDescent="0.2">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v>262.86399999999998</v>
      </c>
      <c r="Q674">
        <v>7</v>
      </c>
      <c r="R674">
        <v>69.001800000000003</v>
      </c>
      <c r="S674" s="9" t="s">
        <v>33</v>
      </c>
      <c r="T674" t="s">
        <v>96</v>
      </c>
    </row>
    <row r="675" spans="1:20" x14ac:dyDescent="0.2">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v>284.36399999999998</v>
      </c>
      <c r="Q675">
        <v>2</v>
      </c>
      <c r="R675">
        <v>-75.830399999999997</v>
      </c>
      <c r="S675" s="9" t="s">
        <v>83</v>
      </c>
      <c r="T675" t="s">
        <v>253</v>
      </c>
    </row>
    <row r="676" spans="1:20" x14ac:dyDescent="0.2">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v>67</v>
      </c>
      <c r="Q676">
        <v>5</v>
      </c>
      <c r="R676">
        <v>32.159999999999997</v>
      </c>
      <c r="S676" s="9" t="s">
        <v>70</v>
      </c>
      <c r="T676" t="s">
        <v>48</v>
      </c>
    </row>
    <row r="677" spans="1:20" x14ac:dyDescent="0.2">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v>390.27199999999999</v>
      </c>
      <c r="Q677">
        <v>8</v>
      </c>
      <c r="R677">
        <v>-24.391999999999999</v>
      </c>
      <c r="S677" s="9" t="s">
        <v>129</v>
      </c>
      <c r="T677" t="s">
        <v>161</v>
      </c>
    </row>
    <row r="678" spans="1:20" x14ac:dyDescent="0.2">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v>528.42999999999995</v>
      </c>
      <c r="Q678">
        <v>5</v>
      </c>
      <c r="R678">
        <v>0</v>
      </c>
      <c r="S678" s="9" t="s">
        <v>47</v>
      </c>
      <c r="T678" t="s">
        <v>195</v>
      </c>
    </row>
    <row r="679" spans="1:20" x14ac:dyDescent="0.2">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v>180.58799999999999</v>
      </c>
      <c r="Q679">
        <v>2</v>
      </c>
      <c r="R679">
        <v>-240.78399999999999</v>
      </c>
      <c r="S679" s="9" t="s">
        <v>129</v>
      </c>
      <c r="T679" t="s">
        <v>77</v>
      </c>
    </row>
    <row r="680" spans="1:20" x14ac:dyDescent="0.2">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v>20.94</v>
      </c>
      <c r="Q680">
        <v>3</v>
      </c>
      <c r="R680">
        <v>6.0726000000000004</v>
      </c>
      <c r="S680" s="9" t="s">
        <v>129</v>
      </c>
      <c r="T680" t="s">
        <v>96</v>
      </c>
    </row>
    <row r="681" spans="1:20" x14ac:dyDescent="0.2">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v>58.68</v>
      </c>
      <c r="Q681">
        <v>2</v>
      </c>
      <c r="R681">
        <v>18.190799999999999</v>
      </c>
      <c r="S681" s="9" t="s">
        <v>129</v>
      </c>
      <c r="T681" t="s">
        <v>96</v>
      </c>
    </row>
    <row r="682" spans="1:20" x14ac:dyDescent="0.2">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v>149.232</v>
      </c>
      <c r="Q682">
        <v>3</v>
      </c>
      <c r="R682">
        <v>3.7307999999999999</v>
      </c>
      <c r="S682" s="9" t="s">
        <v>70</v>
      </c>
      <c r="T682" t="s">
        <v>161</v>
      </c>
    </row>
    <row r="683" spans="1:20" x14ac:dyDescent="0.2">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v>39.880000000000003</v>
      </c>
      <c r="Q683">
        <v>2</v>
      </c>
      <c r="R683">
        <v>11.166399999999999</v>
      </c>
      <c r="S683" s="9" t="s">
        <v>129</v>
      </c>
      <c r="T683" t="s">
        <v>34</v>
      </c>
    </row>
    <row r="684" spans="1:20" x14ac:dyDescent="0.2">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v>53.2</v>
      </c>
      <c r="Q684">
        <v>5</v>
      </c>
      <c r="R684">
        <v>14.896000000000001</v>
      </c>
      <c r="S684" s="9" t="s">
        <v>129</v>
      </c>
      <c r="T684" t="s">
        <v>34</v>
      </c>
    </row>
    <row r="685" spans="1:20" x14ac:dyDescent="0.2">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v>114.9</v>
      </c>
      <c r="Q685">
        <v>5</v>
      </c>
      <c r="R685">
        <v>39.066000000000003</v>
      </c>
      <c r="S685" s="9" t="s">
        <v>83</v>
      </c>
      <c r="T685" t="s">
        <v>77</v>
      </c>
    </row>
    <row r="686" spans="1:20" x14ac:dyDescent="0.2">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v>181.797</v>
      </c>
      <c r="Q686">
        <v>1</v>
      </c>
      <c r="R686">
        <v>-15.582599999999999</v>
      </c>
      <c r="S686" s="9" t="s">
        <v>430</v>
      </c>
      <c r="T686" t="s">
        <v>169</v>
      </c>
    </row>
    <row r="687" spans="1:20" x14ac:dyDescent="0.2">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v>318.43</v>
      </c>
      <c r="Q687">
        <v>5</v>
      </c>
      <c r="R687">
        <v>-77.332999999999998</v>
      </c>
      <c r="S687" s="9" t="s">
        <v>47</v>
      </c>
      <c r="T687" t="s">
        <v>34</v>
      </c>
    </row>
    <row r="688" spans="1:20" x14ac:dyDescent="0.2">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v>7.0679999999999996</v>
      </c>
      <c r="Q688">
        <v>3</v>
      </c>
      <c r="R688">
        <v>-2.8271999999999999</v>
      </c>
      <c r="S688" s="9" t="s">
        <v>47</v>
      </c>
      <c r="T688" t="s">
        <v>34</v>
      </c>
    </row>
    <row r="689" spans="1:20" x14ac:dyDescent="0.2">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v>317.05799999999999</v>
      </c>
      <c r="Q689">
        <v>3</v>
      </c>
      <c r="R689">
        <v>-18.117599999999999</v>
      </c>
      <c r="S689" s="9" t="s">
        <v>83</v>
      </c>
      <c r="T689" t="s">
        <v>96</v>
      </c>
    </row>
    <row r="690" spans="1:20" x14ac:dyDescent="0.2">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v>113.88800000000001</v>
      </c>
      <c r="Q690">
        <v>2</v>
      </c>
      <c r="R690">
        <v>9.9651999999999994</v>
      </c>
      <c r="S690" s="9" t="s">
        <v>83</v>
      </c>
      <c r="T690" t="s">
        <v>77</v>
      </c>
    </row>
    <row r="691" spans="1:20" x14ac:dyDescent="0.2">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v>60.311999999999998</v>
      </c>
      <c r="Q691">
        <v>3</v>
      </c>
      <c r="R691">
        <v>5.2773000000000003</v>
      </c>
      <c r="S691" s="9" t="s">
        <v>70</v>
      </c>
      <c r="T691" t="s">
        <v>113</v>
      </c>
    </row>
    <row r="692" spans="1:20" x14ac:dyDescent="0.2">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v>79.974000000000004</v>
      </c>
      <c r="Q692">
        <v>3</v>
      </c>
      <c r="R692">
        <v>-29.323799999999999</v>
      </c>
      <c r="S692" s="9" t="s">
        <v>58</v>
      </c>
      <c r="T692" t="s">
        <v>96</v>
      </c>
    </row>
    <row r="693" spans="1:20" x14ac:dyDescent="0.2">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v>203.92</v>
      </c>
      <c r="Q693">
        <v>5</v>
      </c>
      <c r="R693">
        <v>22.940999999999999</v>
      </c>
      <c r="S693" s="9" t="s">
        <v>47</v>
      </c>
      <c r="T693" t="s">
        <v>297</v>
      </c>
    </row>
    <row r="694" spans="1:20" x14ac:dyDescent="0.2">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v>15.24</v>
      </c>
      <c r="Q694">
        <v>3</v>
      </c>
      <c r="R694">
        <v>5.1816000000000004</v>
      </c>
      <c r="S694" s="9" t="s">
        <v>129</v>
      </c>
      <c r="T694" t="s">
        <v>77</v>
      </c>
    </row>
    <row r="695" spans="1:20" x14ac:dyDescent="0.2">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v>3.48</v>
      </c>
      <c r="Q695">
        <v>2</v>
      </c>
      <c r="R695">
        <v>1.1135999999999999</v>
      </c>
      <c r="S695" s="9" t="s">
        <v>83</v>
      </c>
      <c r="T695" t="s">
        <v>96</v>
      </c>
    </row>
    <row r="696" spans="1:20" x14ac:dyDescent="0.2">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v>60.311999999999998</v>
      </c>
      <c r="Q696">
        <v>3</v>
      </c>
      <c r="R696">
        <v>5.2773000000000003</v>
      </c>
      <c r="S696" s="9" t="s">
        <v>83</v>
      </c>
      <c r="T696" t="s">
        <v>34</v>
      </c>
    </row>
    <row r="697" spans="1:20" x14ac:dyDescent="0.2">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v>86.45</v>
      </c>
      <c r="Q697">
        <v>7</v>
      </c>
      <c r="R697">
        <v>38.037999999999997</v>
      </c>
      <c r="S697" s="9" t="s">
        <v>58</v>
      </c>
      <c r="T697" t="s">
        <v>195</v>
      </c>
    </row>
    <row r="698" spans="1:20" x14ac:dyDescent="0.2">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v>603.91999999999996</v>
      </c>
      <c r="Q698">
        <v>5</v>
      </c>
      <c r="R698">
        <v>45.293999999999997</v>
      </c>
      <c r="S698" s="9" t="s">
        <v>83</v>
      </c>
      <c r="T698" t="s">
        <v>77</v>
      </c>
    </row>
    <row r="699" spans="1:20" x14ac:dyDescent="0.2">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v>271.76400000000001</v>
      </c>
      <c r="Q699">
        <v>2</v>
      </c>
      <c r="R699">
        <v>48.313600000000001</v>
      </c>
      <c r="S699" s="9" t="s">
        <v>83</v>
      </c>
      <c r="T699" t="s">
        <v>96</v>
      </c>
    </row>
    <row r="700" spans="1:20" x14ac:dyDescent="0.2">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v>341.96</v>
      </c>
      <c r="Q700">
        <v>5</v>
      </c>
      <c r="R700">
        <v>-427.45</v>
      </c>
      <c r="S700" s="9" t="s">
        <v>58</v>
      </c>
      <c r="T700" t="s">
        <v>34</v>
      </c>
    </row>
    <row r="701" spans="1:20" x14ac:dyDescent="0.2">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v>662.88</v>
      </c>
      <c r="Q701">
        <v>3</v>
      </c>
      <c r="R701">
        <v>74.573999999999998</v>
      </c>
      <c r="S701" s="9" t="s">
        <v>58</v>
      </c>
      <c r="T701" t="s">
        <v>96</v>
      </c>
    </row>
    <row r="702" spans="1:20" x14ac:dyDescent="0.2">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v>128.82</v>
      </c>
      <c r="Q702">
        <v>3</v>
      </c>
      <c r="R702">
        <v>50.239800000000002</v>
      </c>
      <c r="S702" s="9" t="s">
        <v>83</v>
      </c>
      <c r="T702" t="s">
        <v>71</v>
      </c>
    </row>
    <row r="703" spans="1:20" x14ac:dyDescent="0.2">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v>2.032</v>
      </c>
      <c r="Q703">
        <v>1</v>
      </c>
      <c r="R703">
        <v>-1.3208</v>
      </c>
      <c r="S703" s="9" t="s">
        <v>129</v>
      </c>
      <c r="T703" t="s">
        <v>96</v>
      </c>
    </row>
    <row r="704" spans="1:20" x14ac:dyDescent="0.2">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v>129.91999999999999</v>
      </c>
      <c r="Q704">
        <v>4</v>
      </c>
      <c r="R704">
        <v>10.393599999999999</v>
      </c>
      <c r="S704" s="9" t="s">
        <v>123</v>
      </c>
      <c r="T704" t="s">
        <v>253</v>
      </c>
    </row>
    <row r="705" spans="1:20" x14ac:dyDescent="0.2">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v>568.72799999999995</v>
      </c>
      <c r="Q705">
        <v>3</v>
      </c>
      <c r="R705">
        <v>28.436399999999999</v>
      </c>
      <c r="S705" s="9" t="s">
        <v>123</v>
      </c>
      <c r="T705" t="s">
        <v>253</v>
      </c>
    </row>
    <row r="706" spans="1:20" x14ac:dyDescent="0.2">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v>244.61500000000001</v>
      </c>
      <c r="Q706">
        <v>1</v>
      </c>
      <c r="R706">
        <v>20.966999999999999</v>
      </c>
      <c r="S706" s="9" t="s">
        <v>58</v>
      </c>
      <c r="T706" t="s">
        <v>253</v>
      </c>
    </row>
    <row r="707" spans="1:20" x14ac:dyDescent="0.2">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v>435.99900000000002</v>
      </c>
      <c r="Q707">
        <v>3</v>
      </c>
      <c r="R707">
        <v>20.517600000000002</v>
      </c>
      <c r="S707" s="9" t="s">
        <v>58</v>
      </c>
      <c r="T707" t="s">
        <v>77</v>
      </c>
    </row>
    <row r="708" spans="1:20" x14ac:dyDescent="0.2">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v>70.56</v>
      </c>
      <c r="Q708">
        <v>1</v>
      </c>
      <c r="R708">
        <v>-4.032</v>
      </c>
      <c r="S708" s="9" t="s">
        <v>58</v>
      </c>
      <c r="T708" t="s">
        <v>71</v>
      </c>
    </row>
    <row r="709" spans="1:20" x14ac:dyDescent="0.2">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v>35.28</v>
      </c>
      <c r="Q709">
        <v>3</v>
      </c>
      <c r="R709">
        <v>11.995200000000001</v>
      </c>
      <c r="S709" s="9" t="s">
        <v>83</v>
      </c>
      <c r="T709" t="s">
        <v>59</v>
      </c>
    </row>
    <row r="710" spans="1:20" x14ac:dyDescent="0.2">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v>9.5519999999999996</v>
      </c>
      <c r="Q710">
        <v>3</v>
      </c>
      <c r="R710">
        <v>-3.8208000000000002</v>
      </c>
      <c r="S710" s="9" t="s">
        <v>70</v>
      </c>
      <c r="T710" t="s">
        <v>71</v>
      </c>
    </row>
    <row r="711" spans="1:20" x14ac:dyDescent="0.2">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v>290.666</v>
      </c>
      <c r="Q711">
        <v>2</v>
      </c>
      <c r="R711">
        <v>3.4196</v>
      </c>
      <c r="S711" s="9" t="s">
        <v>70</v>
      </c>
      <c r="T711" t="s">
        <v>169</v>
      </c>
    </row>
    <row r="712" spans="1:20" x14ac:dyDescent="0.2">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v>141.96</v>
      </c>
      <c r="Q712">
        <v>2</v>
      </c>
      <c r="R712">
        <v>41.168399999999998</v>
      </c>
      <c r="S712" s="9" t="s">
        <v>83</v>
      </c>
      <c r="T712" t="s">
        <v>34</v>
      </c>
    </row>
    <row r="713" spans="1:20" x14ac:dyDescent="0.2">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v>28.44</v>
      </c>
      <c r="Q713">
        <v>3</v>
      </c>
      <c r="R713">
        <v>11.375999999999999</v>
      </c>
      <c r="S713" s="9" t="s">
        <v>129</v>
      </c>
      <c r="T713" t="s">
        <v>96</v>
      </c>
    </row>
    <row r="714" spans="1:20" x14ac:dyDescent="0.2">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v>364.41</v>
      </c>
      <c r="Q714">
        <v>5</v>
      </c>
      <c r="R714">
        <v>8.0980000000000008</v>
      </c>
      <c r="S714" s="9" t="s">
        <v>129</v>
      </c>
      <c r="T714" t="s">
        <v>96</v>
      </c>
    </row>
    <row r="715" spans="1:20" x14ac:dyDescent="0.2">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v>361.76400000000001</v>
      </c>
      <c r="Q715">
        <v>2</v>
      </c>
      <c r="R715">
        <v>68.333200000000005</v>
      </c>
      <c r="S715" s="9" t="s">
        <v>129</v>
      </c>
      <c r="T715" t="s">
        <v>96</v>
      </c>
    </row>
    <row r="716" spans="1:20" x14ac:dyDescent="0.2">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v>24.047999999999998</v>
      </c>
      <c r="Q716">
        <v>9</v>
      </c>
      <c r="R716">
        <v>7.2144000000000004</v>
      </c>
      <c r="S716" s="9" t="s">
        <v>123</v>
      </c>
      <c r="T716" t="s">
        <v>34</v>
      </c>
    </row>
    <row r="717" spans="1:20" x14ac:dyDescent="0.2">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v>384.17399999999998</v>
      </c>
      <c r="Q717">
        <v>7</v>
      </c>
      <c r="R717">
        <v>29.880199999999999</v>
      </c>
      <c r="S717" s="9" t="s">
        <v>58</v>
      </c>
      <c r="T717" t="s">
        <v>96</v>
      </c>
    </row>
    <row r="718" spans="1:20" x14ac:dyDescent="0.2">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v>154.76400000000001</v>
      </c>
      <c r="Q718">
        <v>3</v>
      </c>
      <c r="R718">
        <v>-36.111600000000003</v>
      </c>
      <c r="S718" s="9" t="s">
        <v>83</v>
      </c>
      <c r="T718" t="s">
        <v>48</v>
      </c>
    </row>
    <row r="719" spans="1:20" x14ac:dyDescent="0.2">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v>22.288</v>
      </c>
      <c r="Q719">
        <v>7</v>
      </c>
      <c r="R719">
        <v>-8.9152000000000005</v>
      </c>
      <c r="S719" s="9" t="s">
        <v>123</v>
      </c>
      <c r="T719" t="s">
        <v>161</v>
      </c>
    </row>
    <row r="720" spans="1:20" x14ac:dyDescent="0.2">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v>65.424000000000007</v>
      </c>
      <c r="Q720">
        <v>4</v>
      </c>
      <c r="R720">
        <v>-52.339199999999998</v>
      </c>
      <c r="S720" s="9" t="s">
        <v>47</v>
      </c>
      <c r="T720" t="s">
        <v>161</v>
      </c>
    </row>
    <row r="721" spans="1:20" x14ac:dyDescent="0.2">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v>281.37200000000001</v>
      </c>
      <c r="Q721">
        <v>2</v>
      </c>
      <c r="R721">
        <v>-12.0588</v>
      </c>
      <c r="S721" s="9" t="s">
        <v>83</v>
      </c>
      <c r="T721" t="s">
        <v>113</v>
      </c>
    </row>
    <row r="722" spans="1:20" x14ac:dyDescent="0.2">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v>281.37200000000001</v>
      </c>
      <c r="Q722">
        <v>2</v>
      </c>
      <c r="R722">
        <v>-12.0588</v>
      </c>
      <c r="S722" s="9" t="s">
        <v>83</v>
      </c>
      <c r="T722" t="s">
        <v>113</v>
      </c>
    </row>
    <row r="723" spans="1:20" x14ac:dyDescent="0.2">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v>22.335999999999999</v>
      </c>
      <c r="Q723">
        <v>4</v>
      </c>
      <c r="R723">
        <v>7.8175999999999997</v>
      </c>
      <c r="S723" s="9" t="s">
        <v>83</v>
      </c>
      <c r="T723" t="s">
        <v>113</v>
      </c>
    </row>
    <row r="724" spans="1:20" x14ac:dyDescent="0.2">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v>271.76400000000001</v>
      </c>
      <c r="Q724">
        <v>2</v>
      </c>
      <c r="R724">
        <v>60.392000000000003</v>
      </c>
      <c r="S724" s="9" t="s">
        <v>47</v>
      </c>
      <c r="T724" t="s">
        <v>77</v>
      </c>
    </row>
    <row r="725" spans="1:20" x14ac:dyDescent="0.2">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v>1408.1</v>
      </c>
      <c r="Q725">
        <v>10</v>
      </c>
      <c r="R725">
        <v>394.26799999999997</v>
      </c>
      <c r="S725" s="9" t="s">
        <v>83</v>
      </c>
      <c r="T725" t="s">
        <v>77</v>
      </c>
    </row>
    <row r="726" spans="1:20" x14ac:dyDescent="0.2">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v>215.148</v>
      </c>
      <c r="Q726">
        <v>2</v>
      </c>
      <c r="R726">
        <v>-103.98820000000001</v>
      </c>
      <c r="S726" s="9" t="s">
        <v>33</v>
      </c>
      <c r="T726" t="s">
        <v>71</v>
      </c>
    </row>
    <row r="727" spans="1:20" x14ac:dyDescent="0.2">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v>128.9</v>
      </c>
      <c r="Q727">
        <v>2</v>
      </c>
      <c r="R727">
        <v>15.468</v>
      </c>
      <c r="S727" s="9" t="s">
        <v>123</v>
      </c>
      <c r="T727" t="s">
        <v>96</v>
      </c>
    </row>
    <row r="728" spans="1:20" x14ac:dyDescent="0.2">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v>24.288</v>
      </c>
      <c r="Q728">
        <v>3</v>
      </c>
      <c r="R728">
        <v>-12.751200000000001</v>
      </c>
      <c r="S728" s="9" t="s">
        <v>70</v>
      </c>
      <c r="T728" t="s">
        <v>77</v>
      </c>
    </row>
    <row r="729" spans="1:20" x14ac:dyDescent="0.2">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v>16.192</v>
      </c>
      <c r="Q729">
        <v>2</v>
      </c>
      <c r="R729">
        <v>-8.5007999999999999</v>
      </c>
      <c r="S729" s="9" t="s">
        <v>430</v>
      </c>
      <c r="T729" t="s">
        <v>48</v>
      </c>
    </row>
    <row r="730" spans="1:20" x14ac:dyDescent="0.2">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v>251.006</v>
      </c>
      <c r="Q730">
        <v>2</v>
      </c>
      <c r="R730">
        <v>-68.130200000000002</v>
      </c>
      <c r="S730" s="9" t="s">
        <v>430</v>
      </c>
      <c r="T730" t="s">
        <v>48</v>
      </c>
    </row>
    <row r="731" spans="1:20" x14ac:dyDescent="0.2">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v>22.512</v>
      </c>
      <c r="Q731">
        <v>3</v>
      </c>
      <c r="R731">
        <v>2.2511999999999999</v>
      </c>
      <c r="S731" s="9" t="s">
        <v>70</v>
      </c>
      <c r="T731" t="s">
        <v>77</v>
      </c>
    </row>
    <row r="732" spans="1:20" x14ac:dyDescent="0.2">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v>361.96</v>
      </c>
      <c r="Q732">
        <v>2</v>
      </c>
      <c r="R732">
        <v>83.250799999999998</v>
      </c>
      <c r="S732" s="9" t="s">
        <v>83</v>
      </c>
      <c r="T732" t="s">
        <v>77</v>
      </c>
    </row>
    <row r="733" spans="1:20" x14ac:dyDescent="0.2">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v>133.38</v>
      </c>
      <c r="Q733">
        <v>6</v>
      </c>
      <c r="R733">
        <v>58.687199999999997</v>
      </c>
      <c r="S733" s="9" t="s">
        <v>58</v>
      </c>
      <c r="T733" t="s">
        <v>96</v>
      </c>
    </row>
    <row r="734" spans="1:20" x14ac:dyDescent="0.2">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v>16.739999999999998</v>
      </c>
      <c r="Q734">
        <v>2</v>
      </c>
      <c r="R734">
        <v>4.3524000000000003</v>
      </c>
      <c r="S734" s="9" t="s">
        <v>83</v>
      </c>
      <c r="T734" t="s">
        <v>96</v>
      </c>
    </row>
    <row r="735" spans="1:20" x14ac:dyDescent="0.2">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v>180.98</v>
      </c>
      <c r="Q735">
        <v>1</v>
      </c>
      <c r="R735">
        <v>47.0548</v>
      </c>
      <c r="S735" s="9" t="s">
        <v>47</v>
      </c>
      <c r="T735" t="s">
        <v>195</v>
      </c>
    </row>
    <row r="736" spans="1:20" x14ac:dyDescent="0.2">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v>1421.664</v>
      </c>
      <c r="Q736">
        <v>6</v>
      </c>
      <c r="R736">
        <v>-195.47880000000001</v>
      </c>
      <c r="S736" s="9" t="s">
        <v>129</v>
      </c>
      <c r="T736" t="s">
        <v>96</v>
      </c>
    </row>
    <row r="737" spans="1:20" x14ac:dyDescent="0.2">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v>8.9600000000000009</v>
      </c>
      <c r="Q737">
        <v>2</v>
      </c>
      <c r="R737">
        <v>2.7776000000000001</v>
      </c>
      <c r="S737" s="9" t="s">
        <v>33</v>
      </c>
      <c r="T737" t="s">
        <v>113</v>
      </c>
    </row>
    <row r="738" spans="1:20" x14ac:dyDescent="0.2">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v>29.12</v>
      </c>
      <c r="Q738">
        <v>4</v>
      </c>
      <c r="R738">
        <v>12.521599999999999</v>
      </c>
      <c r="S738" s="9" t="s">
        <v>70</v>
      </c>
      <c r="T738" t="s">
        <v>253</v>
      </c>
    </row>
    <row r="739" spans="1:20" x14ac:dyDescent="0.2">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v>1202.94</v>
      </c>
      <c r="Q739">
        <v>3</v>
      </c>
      <c r="R739">
        <v>300.73500000000001</v>
      </c>
      <c r="S739" s="9" t="s">
        <v>70</v>
      </c>
      <c r="T739" t="s">
        <v>253</v>
      </c>
    </row>
    <row r="740" spans="1:20" x14ac:dyDescent="0.2">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v>408.42200000000003</v>
      </c>
      <c r="Q740">
        <v>2</v>
      </c>
      <c r="R740">
        <v>-5.8346</v>
      </c>
      <c r="S740" s="9" t="s">
        <v>83</v>
      </c>
      <c r="T740" t="s">
        <v>71</v>
      </c>
    </row>
    <row r="741" spans="1:20" x14ac:dyDescent="0.2">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v>382.11599999999999</v>
      </c>
      <c r="Q741">
        <v>6</v>
      </c>
      <c r="R741">
        <v>-92.799599999999998</v>
      </c>
      <c r="S741" s="9" t="s">
        <v>83</v>
      </c>
      <c r="T741" t="s">
        <v>71</v>
      </c>
    </row>
    <row r="742" spans="1:20" x14ac:dyDescent="0.2">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v>603.91999999999996</v>
      </c>
      <c r="Q742">
        <v>4</v>
      </c>
      <c r="R742">
        <v>181.17599999999999</v>
      </c>
      <c r="S742" s="9" t="s">
        <v>83</v>
      </c>
      <c r="T742" t="s">
        <v>77</v>
      </c>
    </row>
    <row r="743" spans="1:20" x14ac:dyDescent="0.2">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v>513.024</v>
      </c>
      <c r="Q743">
        <v>2</v>
      </c>
      <c r="R743">
        <v>12.8256</v>
      </c>
      <c r="S743" s="9" t="s">
        <v>47</v>
      </c>
      <c r="T743" t="s">
        <v>253</v>
      </c>
    </row>
    <row r="744" spans="1:20" x14ac:dyDescent="0.2">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v>193.06559999999999</v>
      </c>
      <c r="Q744">
        <v>4</v>
      </c>
      <c r="R744">
        <v>-19.874400000000001</v>
      </c>
      <c r="S744" s="9" t="s">
        <v>83</v>
      </c>
      <c r="T744" t="s">
        <v>59</v>
      </c>
    </row>
    <row r="745" spans="1:20" x14ac:dyDescent="0.2">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v>825.17399999999998</v>
      </c>
      <c r="Q745">
        <v>9</v>
      </c>
      <c r="R745">
        <v>-117.88200000000001</v>
      </c>
      <c r="S745" s="9" t="s">
        <v>70</v>
      </c>
      <c r="T745" t="s">
        <v>77</v>
      </c>
    </row>
    <row r="746" spans="1:20" x14ac:dyDescent="0.2">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v>796.42499999999995</v>
      </c>
      <c r="Q746">
        <v>7</v>
      </c>
      <c r="R746">
        <v>-525.64049999999997</v>
      </c>
      <c r="S746" s="9" t="s">
        <v>33</v>
      </c>
      <c r="T746" t="s">
        <v>59</v>
      </c>
    </row>
    <row r="747" spans="1:20" x14ac:dyDescent="0.2">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v>5.3520000000000003</v>
      </c>
      <c r="Q747">
        <v>3</v>
      </c>
      <c r="R747">
        <v>1.6055999999999999</v>
      </c>
      <c r="S747" s="9" t="s">
        <v>70</v>
      </c>
      <c r="T747" t="s">
        <v>77</v>
      </c>
    </row>
    <row r="748" spans="1:20" x14ac:dyDescent="0.2">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v>99.372</v>
      </c>
      <c r="Q748">
        <v>2</v>
      </c>
      <c r="R748">
        <v>-7.0979999999999999</v>
      </c>
      <c r="S748" s="9" t="s">
        <v>70</v>
      </c>
      <c r="T748" t="s">
        <v>77</v>
      </c>
    </row>
    <row r="749" spans="1:20" x14ac:dyDescent="0.2">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v>33.94</v>
      </c>
      <c r="Q749">
        <v>1</v>
      </c>
      <c r="R749">
        <v>9.1638000000000002</v>
      </c>
      <c r="S749" s="9" t="s">
        <v>70</v>
      </c>
      <c r="T749" t="s">
        <v>48</v>
      </c>
    </row>
    <row r="750" spans="1:20" x14ac:dyDescent="0.2">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v>844.11599999999999</v>
      </c>
      <c r="Q750">
        <v>6</v>
      </c>
      <c r="R750">
        <v>-36.176400000000001</v>
      </c>
      <c r="S750" s="9" t="s">
        <v>83</v>
      </c>
      <c r="T750" t="s">
        <v>195</v>
      </c>
    </row>
    <row r="751" spans="1:20" x14ac:dyDescent="0.2">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v>15.007999999999999</v>
      </c>
      <c r="Q751">
        <v>4</v>
      </c>
      <c r="R751">
        <v>-12.006399999999999</v>
      </c>
      <c r="S751" s="9" t="s">
        <v>58</v>
      </c>
      <c r="T751" t="s">
        <v>77</v>
      </c>
    </row>
    <row r="752" spans="1:20" x14ac:dyDescent="0.2">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v>2430.08</v>
      </c>
      <c r="Q752">
        <v>8</v>
      </c>
      <c r="R752">
        <v>388.81279999999998</v>
      </c>
      <c r="S752" s="9" t="s">
        <v>83</v>
      </c>
      <c r="T752" t="s">
        <v>71</v>
      </c>
    </row>
    <row r="753" spans="1:20" x14ac:dyDescent="0.2">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v>801.96</v>
      </c>
      <c r="Q753">
        <v>2</v>
      </c>
      <c r="R753">
        <v>200.49</v>
      </c>
      <c r="S753" s="9" t="s">
        <v>129</v>
      </c>
      <c r="T753" t="s">
        <v>96</v>
      </c>
    </row>
    <row r="754" spans="1:20" x14ac:dyDescent="0.2">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v>191.96</v>
      </c>
      <c r="Q754">
        <v>2</v>
      </c>
      <c r="R754">
        <v>32.633200000000002</v>
      </c>
      <c r="S754" s="9" t="s">
        <v>129</v>
      </c>
      <c r="T754" t="s">
        <v>96</v>
      </c>
    </row>
    <row r="755" spans="1:20" x14ac:dyDescent="0.2">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v>17.472000000000001</v>
      </c>
      <c r="Q755">
        <v>3</v>
      </c>
      <c r="R755">
        <v>5.0232000000000001</v>
      </c>
      <c r="S755" s="9" t="s">
        <v>58</v>
      </c>
      <c r="T755" t="s">
        <v>77</v>
      </c>
    </row>
    <row r="756" spans="1:20" x14ac:dyDescent="0.2">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v>657.93</v>
      </c>
      <c r="Q756">
        <v>5</v>
      </c>
      <c r="R756">
        <v>-93.99</v>
      </c>
      <c r="S756" s="9" t="s">
        <v>47</v>
      </c>
      <c r="T756" t="s">
        <v>34</v>
      </c>
    </row>
    <row r="757" spans="1:20" x14ac:dyDescent="0.2">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v>25.16</v>
      </c>
      <c r="Q757">
        <v>2</v>
      </c>
      <c r="R757">
        <v>8.5543999999999993</v>
      </c>
      <c r="S757" s="9" t="s">
        <v>129</v>
      </c>
      <c r="T757" t="s">
        <v>253</v>
      </c>
    </row>
    <row r="758" spans="1:20" x14ac:dyDescent="0.2">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v>91.92</v>
      </c>
      <c r="Q758">
        <v>4</v>
      </c>
      <c r="R758">
        <v>31.252800000000001</v>
      </c>
      <c r="S758" s="9" t="s">
        <v>129</v>
      </c>
      <c r="T758" t="s">
        <v>253</v>
      </c>
    </row>
    <row r="759" spans="1:20" x14ac:dyDescent="0.2">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v>718.11599999999999</v>
      </c>
      <c r="Q759">
        <v>6</v>
      </c>
      <c r="R759">
        <v>-71.811599999999999</v>
      </c>
      <c r="S759" s="9" t="s">
        <v>70</v>
      </c>
      <c r="T759" t="s">
        <v>34</v>
      </c>
    </row>
    <row r="760" spans="1:20" x14ac:dyDescent="0.2">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v>142.4</v>
      </c>
      <c r="Q760">
        <v>5</v>
      </c>
      <c r="R760">
        <v>52.688000000000002</v>
      </c>
      <c r="S760" s="9" t="s">
        <v>58</v>
      </c>
      <c r="T760" t="s">
        <v>77</v>
      </c>
    </row>
    <row r="761" spans="1:20" x14ac:dyDescent="0.2">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v>681.40800000000002</v>
      </c>
      <c r="Q761">
        <v>12</v>
      </c>
      <c r="R761">
        <v>42.588000000000001</v>
      </c>
      <c r="S761" s="9" t="s">
        <v>70</v>
      </c>
      <c r="T761" t="s">
        <v>161</v>
      </c>
    </row>
    <row r="762" spans="1:20" x14ac:dyDescent="0.2">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v>148.28800000000001</v>
      </c>
      <c r="Q762">
        <v>7</v>
      </c>
      <c r="R762">
        <v>29.657599999999999</v>
      </c>
      <c r="S762" s="9" t="s">
        <v>83</v>
      </c>
      <c r="T762" t="s">
        <v>34</v>
      </c>
    </row>
    <row r="763" spans="1:20" x14ac:dyDescent="0.2">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v>30.88</v>
      </c>
      <c r="Q763">
        <v>4</v>
      </c>
      <c r="R763">
        <v>3.86</v>
      </c>
      <c r="S763" s="9" t="s">
        <v>58</v>
      </c>
      <c r="T763" t="s">
        <v>195</v>
      </c>
    </row>
    <row r="764" spans="1:20" x14ac:dyDescent="0.2">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v>6.4080000000000004</v>
      </c>
      <c r="Q764">
        <v>3</v>
      </c>
      <c r="R764">
        <v>1.4418</v>
      </c>
      <c r="S764" s="9" t="s">
        <v>58</v>
      </c>
      <c r="T764" t="s">
        <v>195</v>
      </c>
    </row>
    <row r="765" spans="1:20" x14ac:dyDescent="0.2">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v>127.372</v>
      </c>
      <c r="Q765">
        <v>2</v>
      </c>
      <c r="R765">
        <v>-30.933199999999999</v>
      </c>
      <c r="S765" s="9" t="s">
        <v>58</v>
      </c>
      <c r="T765" t="s">
        <v>34</v>
      </c>
    </row>
    <row r="766" spans="1:20" x14ac:dyDescent="0.2">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v>44.46</v>
      </c>
      <c r="Q766">
        <v>2</v>
      </c>
      <c r="R766">
        <v>14.671799999999999</v>
      </c>
      <c r="S766" s="9" t="s">
        <v>83</v>
      </c>
      <c r="T766" t="s">
        <v>96</v>
      </c>
    </row>
    <row r="767" spans="1:20" x14ac:dyDescent="0.2">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v>181.96</v>
      </c>
      <c r="Q767">
        <v>2</v>
      </c>
      <c r="R767">
        <v>20.015599999999999</v>
      </c>
      <c r="S767" s="9" t="s">
        <v>58</v>
      </c>
      <c r="T767" t="s">
        <v>71</v>
      </c>
    </row>
    <row r="768" spans="1:20" x14ac:dyDescent="0.2">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v>15.488</v>
      </c>
      <c r="Q768">
        <v>4</v>
      </c>
      <c r="R768">
        <v>3.6783999999999999</v>
      </c>
      <c r="S768" s="9" t="s">
        <v>33</v>
      </c>
      <c r="T768" t="s">
        <v>48</v>
      </c>
    </row>
    <row r="769" spans="1:20" x14ac:dyDescent="0.2">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v>141.96</v>
      </c>
      <c r="Q769">
        <v>2</v>
      </c>
      <c r="R769">
        <v>22.7136</v>
      </c>
      <c r="S769" s="9" t="s">
        <v>70</v>
      </c>
      <c r="T769" t="s">
        <v>34</v>
      </c>
    </row>
    <row r="770" spans="1:20" x14ac:dyDescent="0.2">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v>37.93</v>
      </c>
      <c r="Q770">
        <v>1</v>
      </c>
      <c r="R770">
        <v>6.8273999999999999</v>
      </c>
      <c r="S770" s="9" t="s">
        <v>58</v>
      </c>
      <c r="T770" t="s">
        <v>96</v>
      </c>
    </row>
    <row r="771" spans="1:20" x14ac:dyDescent="0.2">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v>15.167999999999999</v>
      </c>
      <c r="Q771">
        <v>2</v>
      </c>
      <c r="R771">
        <v>3.7919999999999998</v>
      </c>
      <c r="S771" s="9" t="s">
        <v>83</v>
      </c>
      <c r="T771" t="s">
        <v>169</v>
      </c>
    </row>
    <row r="772" spans="1:20" x14ac:dyDescent="0.2">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v>6.3680000000000003</v>
      </c>
      <c r="Q772">
        <v>2</v>
      </c>
      <c r="R772">
        <v>-2.5472000000000001</v>
      </c>
      <c r="S772" s="9" t="s">
        <v>83</v>
      </c>
      <c r="T772" t="s">
        <v>34</v>
      </c>
    </row>
    <row r="773" spans="1:20" x14ac:dyDescent="0.2">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v>510.24</v>
      </c>
      <c r="Q773">
        <v>3</v>
      </c>
      <c r="R773">
        <v>6.3780000000000001</v>
      </c>
      <c r="S773" s="9" t="s">
        <v>70</v>
      </c>
      <c r="T773" t="s">
        <v>48</v>
      </c>
    </row>
    <row r="774" spans="1:20" x14ac:dyDescent="0.2">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v>162.6</v>
      </c>
      <c r="Q774">
        <v>3</v>
      </c>
      <c r="R774">
        <v>34.146000000000001</v>
      </c>
      <c r="S774" s="9" t="s">
        <v>33</v>
      </c>
      <c r="T774" t="s">
        <v>113</v>
      </c>
    </row>
    <row r="775" spans="1:20" x14ac:dyDescent="0.2">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v>603.91999999999996</v>
      </c>
      <c r="Q775">
        <v>5</v>
      </c>
      <c r="R775">
        <v>45.293999999999997</v>
      </c>
      <c r="S775" s="9" t="s">
        <v>70</v>
      </c>
      <c r="T775" t="s">
        <v>96</v>
      </c>
    </row>
    <row r="776" spans="1:20" x14ac:dyDescent="0.2">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v>18.920000000000002</v>
      </c>
      <c r="Q776">
        <v>4</v>
      </c>
      <c r="R776">
        <v>7.3788</v>
      </c>
      <c r="S776" s="9" t="s">
        <v>83</v>
      </c>
      <c r="T776" t="s">
        <v>96</v>
      </c>
    </row>
    <row r="777" spans="1:20" x14ac:dyDescent="0.2">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v>71.97</v>
      </c>
      <c r="Q777">
        <v>3</v>
      </c>
      <c r="R777">
        <v>16.553100000000001</v>
      </c>
      <c r="S777" s="9" t="s">
        <v>58</v>
      </c>
      <c r="T777" t="s">
        <v>195</v>
      </c>
    </row>
    <row r="778" spans="1:20" x14ac:dyDescent="0.2">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v>368.97</v>
      </c>
      <c r="Q778">
        <v>3</v>
      </c>
      <c r="R778">
        <v>81.173400000000001</v>
      </c>
      <c r="S778" s="9" t="s">
        <v>58</v>
      </c>
      <c r="T778" t="s">
        <v>77</v>
      </c>
    </row>
    <row r="779" spans="1:20" x14ac:dyDescent="0.2">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v>198.46</v>
      </c>
      <c r="Q779">
        <v>2</v>
      </c>
      <c r="R779">
        <v>99.23</v>
      </c>
      <c r="S779" s="9" t="s">
        <v>70</v>
      </c>
      <c r="T779" t="s">
        <v>253</v>
      </c>
    </row>
    <row r="780" spans="1:20" x14ac:dyDescent="0.2">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v>230.28</v>
      </c>
      <c r="Q780">
        <v>3</v>
      </c>
      <c r="R780">
        <v>23.027999999999999</v>
      </c>
      <c r="S780" s="9" t="s">
        <v>70</v>
      </c>
      <c r="T780" t="s">
        <v>253</v>
      </c>
    </row>
    <row r="781" spans="1:20" x14ac:dyDescent="0.2">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v>563.42999999999995</v>
      </c>
      <c r="Q781">
        <v>5</v>
      </c>
      <c r="R781">
        <v>-56.343000000000004</v>
      </c>
      <c r="S781" s="9" t="s">
        <v>33</v>
      </c>
      <c r="T781" t="s">
        <v>195</v>
      </c>
    </row>
    <row r="782" spans="1:20" x14ac:dyDescent="0.2">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v>24.4</v>
      </c>
      <c r="Q782">
        <v>2</v>
      </c>
      <c r="R782">
        <v>10.247999999999999</v>
      </c>
      <c r="S782" s="9" t="s">
        <v>58</v>
      </c>
      <c r="T782" t="s">
        <v>77</v>
      </c>
    </row>
    <row r="783" spans="1:20" x14ac:dyDescent="0.2">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v>241.96</v>
      </c>
      <c r="Q783">
        <v>2</v>
      </c>
      <c r="R783">
        <v>24.196000000000002</v>
      </c>
      <c r="S783" s="9" t="s">
        <v>58</v>
      </c>
      <c r="T783" t="s">
        <v>253</v>
      </c>
    </row>
    <row r="784" spans="1:20" x14ac:dyDescent="0.2">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v>99.372</v>
      </c>
      <c r="Q784">
        <v>2</v>
      </c>
      <c r="R784">
        <v>-1.4196</v>
      </c>
      <c r="S784" s="9" t="s">
        <v>83</v>
      </c>
      <c r="T784" t="s">
        <v>195</v>
      </c>
    </row>
    <row r="785" spans="1:20" x14ac:dyDescent="0.2">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v>1013.832</v>
      </c>
      <c r="Q785">
        <v>9</v>
      </c>
      <c r="R785">
        <v>101.3832</v>
      </c>
      <c r="S785" s="9" t="s">
        <v>83</v>
      </c>
      <c r="T785" t="s">
        <v>96</v>
      </c>
    </row>
    <row r="786" spans="1:20" x14ac:dyDescent="0.2">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v>2003.52</v>
      </c>
      <c r="Q786">
        <v>6</v>
      </c>
      <c r="R786">
        <v>-325.572</v>
      </c>
      <c r="S786" s="9" t="s">
        <v>83</v>
      </c>
      <c r="T786" t="s">
        <v>96</v>
      </c>
    </row>
    <row r="787" spans="1:20" x14ac:dyDescent="0.2">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v>665.88</v>
      </c>
      <c r="Q787">
        <v>6</v>
      </c>
      <c r="R787">
        <v>106.5408</v>
      </c>
      <c r="S787" s="9" t="s">
        <v>58</v>
      </c>
      <c r="T787" t="s">
        <v>161</v>
      </c>
    </row>
    <row r="788" spans="1:20" x14ac:dyDescent="0.2">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v>333</v>
      </c>
      <c r="Q788">
        <v>3</v>
      </c>
      <c r="R788">
        <v>-16.649999999999999</v>
      </c>
      <c r="S788" s="9" t="s">
        <v>129</v>
      </c>
      <c r="T788" t="s">
        <v>169</v>
      </c>
    </row>
    <row r="789" spans="1:20" x14ac:dyDescent="0.2">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v>523.76400000000001</v>
      </c>
      <c r="Q789">
        <v>3</v>
      </c>
      <c r="R789">
        <v>-192.04679999999999</v>
      </c>
      <c r="S789" s="9" t="s">
        <v>123</v>
      </c>
      <c r="T789" t="s">
        <v>34</v>
      </c>
    </row>
    <row r="790" spans="1:20" x14ac:dyDescent="0.2">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v>102.592</v>
      </c>
      <c r="Q790">
        <v>1</v>
      </c>
      <c r="R790">
        <v>10.2592</v>
      </c>
      <c r="S790" s="9" t="s">
        <v>129</v>
      </c>
      <c r="T790" t="s">
        <v>48</v>
      </c>
    </row>
    <row r="791" spans="1:20" x14ac:dyDescent="0.2">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v>523.91999999999996</v>
      </c>
      <c r="Q791">
        <v>5</v>
      </c>
      <c r="R791">
        <v>-72.039000000000001</v>
      </c>
      <c r="S791" s="9" t="s">
        <v>47</v>
      </c>
      <c r="T791" t="s">
        <v>34</v>
      </c>
    </row>
    <row r="792" spans="1:20" x14ac:dyDescent="0.2">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v>146.136</v>
      </c>
      <c r="Q792">
        <v>3</v>
      </c>
      <c r="R792">
        <v>16.440300000000001</v>
      </c>
      <c r="S792" s="9" t="s">
        <v>47</v>
      </c>
      <c r="T792" t="s">
        <v>34</v>
      </c>
    </row>
    <row r="793" spans="1:20" x14ac:dyDescent="0.2">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v>801.96</v>
      </c>
      <c r="Q793">
        <v>2</v>
      </c>
      <c r="R793">
        <v>200.49</v>
      </c>
      <c r="S793" s="9" t="s">
        <v>83</v>
      </c>
      <c r="T793" t="s">
        <v>77</v>
      </c>
    </row>
    <row r="794" spans="1:20" x14ac:dyDescent="0.2">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v>1056.8599999999999</v>
      </c>
      <c r="Q794">
        <v>7</v>
      </c>
      <c r="R794">
        <v>306.48939999999999</v>
      </c>
      <c r="S794" s="9" t="s">
        <v>83</v>
      </c>
      <c r="T794" t="s">
        <v>77</v>
      </c>
    </row>
    <row r="795" spans="1:20" x14ac:dyDescent="0.2">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v>314.35199999999998</v>
      </c>
      <c r="Q795">
        <v>3</v>
      </c>
      <c r="R795">
        <v>-15.717599999999999</v>
      </c>
      <c r="S795" s="9" t="s">
        <v>58</v>
      </c>
      <c r="T795" t="s">
        <v>48</v>
      </c>
    </row>
    <row r="796" spans="1:20" x14ac:dyDescent="0.2">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v>1458.65</v>
      </c>
      <c r="Q796">
        <v>5</v>
      </c>
      <c r="R796">
        <v>423.00850000000003</v>
      </c>
      <c r="S796" s="9" t="s">
        <v>83</v>
      </c>
      <c r="T796" t="s">
        <v>161</v>
      </c>
    </row>
    <row r="797" spans="1:20" x14ac:dyDescent="0.2">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v>26.64</v>
      </c>
      <c r="Q797">
        <v>1</v>
      </c>
      <c r="R797">
        <v>7.4592000000000001</v>
      </c>
      <c r="S797" s="9" t="s">
        <v>83</v>
      </c>
      <c r="T797" t="s">
        <v>161</v>
      </c>
    </row>
    <row r="798" spans="1:20" x14ac:dyDescent="0.2">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v>476.8</v>
      </c>
      <c r="Q798">
        <v>2</v>
      </c>
      <c r="R798">
        <v>119.2</v>
      </c>
      <c r="S798" s="9" t="s">
        <v>83</v>
      </c>
      <c r="T798" t="s">
        <v>161</v>
      </c>
    </row>
    <row r="799" spans="1:20" x14ac:dyDescent="0.2">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v>76.14</v>
      </c>
      <c r="Q799">
        <v>3</v>
      </c>
      <c r="R799">
        <v>26.649000000000001</v>
      </c>
      <c r="S799" s="9" t="s">
        <v>58</v>
      </c>
      <c r="T799" t="s">
        <v>34</v>
      </c>
    </row>
    <row r="800" spans="1:20" x14ac:dyDescent="0.2">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v>611.05799999999999</v>
      </c>
      <c r="Q800">
        <v>3</v>
      </c>
      <c r="R800">
        <v>-34.9176</v>
      </c>
      <c r="S800" s="9" t="s">
        <v>430</v>
      </c>
      <c r="T800" t="s">
        <v>34</v>
      </c>
    </row>
    <row r="801" spans="1:20" x14ac:dyDescent="0.2">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v>674.35199999999998</v>
      </c>
      <c r="Q801">
        <v>3</v>
      </c>
      <c r="R801">
        <v>-109.5822</v>
      </c>
      <c r="S801" s="9" t="s">
        <v>47</v>
      </c>
      <c r="T801" t="s">
        <v>71</v>
      </c>
    </row>
    <row r="802" spans="1:20" x14ac:dyDescent="0.2">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v>134.01</v>
      </c>
      <c r="Q802">
        <v>9</v>
      </c>
      <c r="R802">
        <v>36.182699999999997</v>
      </c>
      <c r="S802" s="9" t="s">
        <v>47</v>
      </c>
      <c r="T802" t="s">
        <v>71</v>
      </c>
    </row>
    <row r="803" spans="1:20" x14ac:dyDescent="0.2">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v>170.352</v>
      </c>
      <c r="Q803">
        <v>3</v>
      </c>
      <c r="R803">
        <v>10.647</v>
      </c>
      <c r="S803" s="9" t="s">
        <v>83</v>
      </c>
      <c r="T803" t="s">
        <v>59</v>
      </c>
    </row>
    <row r="804" spans="1:20" x14ac:dyDescent="0.2">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v>616.99800000000005</v>
      </c>
      <c r="Q804">
        <v>6</v>
      </c>
      <c r="R804">
        <v>-36.293999999999997</v>
      </c>
      <c r="S804" s="9" t="s">
        <v>33</v>
      </c>
      <c r="T804" t="s">
        <v>48</v>
      </c>
    </row>
    <row r="805" spans="1:20" x14ac:dyDescent="0.2">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v>85.3</v>
      </c>
      <c r="Q805">
        <v>2</v>
      </c>
      <c r="R805">
        <v>14.500999999999999</v>
      </c>
      <c r="S805" s="9" t="s">
        <v>430</v>
      </c>
      <c r="T805" t="s">
        <v>77</v>
      </c>
    </row>
    <row r="806" spans="1:20" x14ac:dyDescent="0.2">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v>4.95</v>
      </c>
      <c r="Q806">
        <v>1</v>
      </c>
      <c r="R806">
        <v>2.1779999999999999</v>
      </c>
      <c r="S806" s="9" t="s">
        <v>83</v>
      </c>
      <c r="T806" t="s">
        <v>59</v>
      </c>
    </row>
    <row r="807" spans="1:20" x14ac:dyDescent="0.2">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v>480.96</v>
      </c>
      <c r="Q807">
        <v>3</v>
      </c>
      <c r="R807">
        <v>-269.33760000000001</v>
      </c>
      <c r="S807" s="9" t="s">
        <v>58</v>
      </c>
      <c r="T807" t="s">
        <v>297</v>
      </c>
    </row>
    <row r="808" spans="1:20" x14ac:dyDescent="0.2">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v>151.96</v>
      </c>
      <c r="Q808">
        <v>5</v>
      </c>
      <c r="R808">
        <v>-182.352</v>
      </c>
      <c r="S808" s="9" t="s">
        <v>58</v>
      </c>
      <c r="T808" t="s">
        <v>34</v>
      </c>
    </row>
    <row r="809" spans="1:20" x14ac:dyDescent="0.2">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v>240.78399999999999</v>
      </c>
      <c r="Q809">
        <v>1</v>
      </c>
      <c r="R809">
        <v>27.088200000000001</v>
      </c>
      <c r="S809" s="9" t="s">
        <v>83</v>
      </c>
      <c r="T809" t="s">
        <v>48</v>
      </c>
    </row>
    <row r="810" spans="1:20" x14ac:dyDescent="0.2">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v>191.96799999999999</v>
      </c>
      <c r="Q810">
        <v>7</v>
      </c>
      <c r="R810">
        <v>16.7972</v>
      </c>
      <c r="S810" s="9" t="s">
        <v>83</v>
      </c>
      <c r="T810" t="s">
        <v>48</v>
      </c>
    </row>
    <row r="811" spans="1:20" x14ac:dyDescent="0.2">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v>842.35199999999998</v>
      </c>
      <c r="Q811">
        <v>3</v>
      </c>
      <c r="R811">
        <v>42.117600000000003</v>
      </c>
      <c r="S811" s="9" t="s">
        <v>83</v>
      </c>
      <c r="T811" t="s">
        <v>48</v>
      </c>
    </row>
    <row r="812" spans="1:20" x14ac:dyDescent="0.2">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v>364.70400000000001</v>
      </c>
      <c r="Q812">
        <v>6</v>
      </c>
      <c r="R812">
        <v>-36.470399999999998</v>
      </c>
      <c r="S812" s="9" t="s">
        <v>58</v>
      </c>
      <c r="T812" t="s">
        <v>59</v>
      </c>
    </row>
    <row r="813" spans="1:20" x14ac:dyDescent="0.2">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v>40.256</v>
      </c>
      <c r="Q813">
        <v>4</v>
      </c>
      <c r="R813">
        <v>11.070399999999999</v>
      </c>
      <c r="S813" s="9" t="s">
        <v>58</v>
      </c>
      <c r="T813" t="s">
        <v>59</v>
      </c>
    </row>
    <row r="814" spans="1:20" x14ac:dyDescent="0.2">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v>1684.752</v>
      </c>
      <c r="Q814">
        <v>6</v>
      </c>
      <c r="R814">
        <v>210.59399999999999</v>
      </c>
      <c r="S814" s="9" t="s">
        <v>129</v>
      </c>
      <c r="T814" t="s">
        <v>34</v>
      </c>
    </row>
    <row r="815" spans="1:20" x14ac:dyDescent="0.2">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v>547.13599999999997</v>
      </c>
      <c r="Q815">
        <v>4</v>
      </c>
      <c r="R815">
        <v>-68.391999999999996</v>
      </c>
      <c r="S815" s="9" t="s">
        <v>58</v>
      </c>
      <c r="T815" t="s">
        <v>113</v>
      </c>
    </row>
    <row r="816" spans="1:20" x14ac:dyDescent="0.2">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v>7.5839999999999996</v>
      </c>
      <c r="Q816">
        <v>1</v>
      </c>
      <c r="R816">
        <v>2.37</v>
      </c>
      <c r="S816" s="9" t="s">
        <v>58</v>
      </c>
      <c r="T816" t="s">
        <v>113</v>
      </c>
    </row>
    <row r="817" spans="1:20" x14ac:dyDescent="0.2">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v>352.45</v>
      </c>
      <c r="Q817">
        <v>5</v>
      </c>
      <c r="R817">
        <v>-211.47</v>
      </c>
      <c r="S817" s="9" t="s">
        <v>58</v>
      </c>
      <c r="T817" t="s">
        <v>113</v>
      </c>
    </row>
    <row r="818" spans="1:20" x14ac:dyDescent="0.2">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v>9.82</v>
      </c>
      <c r="Q818">
        <v>2</v>
      </c>
      <c r="R818">
        <v>3.2406000000000001</v>
      </c>
      <c r="S818" s="9" t="s">
        <v>47</v>
      </c>
      <c r="T818" t="s">
        <v>77</v>
      </c>
    </row>
    <row r="819" spans="1:20" x14ac:dyDescent="0.2">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v>801.6</v>
      </c>
      <c r="Q819">
        <v>5</v>
      </c>
      <c r="R819">
        <v>-448.89600000000002</v>
      </c>
      <c r="S819" s="9" t="s">
        <v>58</v>
      </c>
      <c r="T819" t="s">
        <v>71</v>
      </c>
    </row>
    <row r="820" spans="1:20" x14ac:dyDescent="0.2">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v>161.56800000000001</v>
      </c>
      <c r="Q820">
        <v>2</v>
      </c>
      <c r="R820">
        <v>10.098000000000001</v>
      </c>
      <c r="S820" s="9" t="s">
        <v>58</v>
      </c>
      <c r="T820" t="s">
        <v>71</v>
      </c>
    </row>
    <row r="821" spans="1:20" x14ac:dyDescent="0.2">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v>311.976</v>
      </c>
      <c r="Q821">
        <v>3</v>
      </c>
      <c r="R821">
        <v>-42.896700000000003</v>
      </c>
      <c r="S821" s="9" t="s">
        <v>58</v>
      </c>
      <c r="T821" t="s">
        <v>71</v>
      </c>
    </row>
    <row r="822" spans="1:20" x14ac:dyDescent="0.2">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v>35.340000000000003</v>
      </c>
      <c r="Q822">
        <v>2</v>
      </c>
      <c r="R822">
        <v>13.4292</v>
      </c>
      <c r="S822" s="9" t="s">
        <v>83</v>
      </c>
      <c r="T822" t="s">
        <v>77</v>
      </c>
    </row>
    <row r="823" spans="1:20" x14ac:dyDescent="0.2">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v>241.33199999999999</v>
      </c>
      <c r="Q823">
        <v>5</v>
      </c>
      <c r="R823">
        <v>-14.196</v>
      </c>
      <c r="S823" s="9" t="s">
        <v>33</v>
      </c>
      <c r="T823" t="s">
        <v>195</v>
      </c>
    </row>
    <row r="824" spans="1:20" x14ac:dyDescent="0.2">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v>197.37200000000001</v>
      </c>
      <c r="Q824">
        <v>2</v>
      </c>
      <c r="R824">
        <v>-25.3764</v>
      </c>
      <c r="S824" s="9" t="s">
        <v>83</v>
      </c>
      <c r="T824" t="s">
        <v>59</v>
      </c>
    </row>
    <row r="825" spans="1:20" x14ac:dyDescent="0.2">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v>1424.9</v>
      </c>
      <c r="Q825">
        <v>5</v>
      </c>
      <c r="R825">
        <v>356.22500000000002</v>
      </c>
      <c r="S825" s="9" t="s">
        <v>430</v>
      </c>
      <c r="T825" t="s">
        <v>96</v>
      </c>
    </row>
    <row r="826" spans="1:20" x14ac:dyDescent="0.2">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v>14.56</v>
      </c>
      <c r="Q826">
        <v>2</v>
      </c>
      <c r="R826">
        <v>6.2607999999999997</v>
      </c>
      <c r="S826" s="9" t="s">
        <v>58</v>
      </c>
      <c r="T826" t="s">
        <v>161</v>
      </c>
    </row>
    <row r="827" spans="1:20" x14ac:dyDescent="0.2">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v>255.108</v>
      </c>
      <c r="Q827">
        <v>6</v>
      </c>
      <c r="R827">
        <v>-18.222000000000001</v>
      </c>
      <c r="S827" s="9" t="s">
        <v>83</v>
      </c>
      <c r="T827" t="s">
        <v>34</v>
      </c>
    </row>
    <row r="828" spans="1:20" x14ac:dyDescent="0.2">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v>5.47</v>
      </c>
      <c r="Q828">
        <v>1</v>
      </c>
      <c r="R828">
        <v>2.3521000000000001</v>
      </c>
      <c r="S828" s="9" t="s">
        <v>58</v>
      </c>
      <c r="T828" t="s">
        <v>113</v>
      </c>
    </row>
    <row r="829" spans="1:20" x14ac:dyDescent="0.2">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v>22.14</v>
      </c>
      <c r="Q829">
        <v>3</v>
      </c>
      <c r="R829">
        <v>6.4206000000000003</v>
      </c>
      <c r="S829" s="9" t="s">
        <v>47</v>
      </c>
      <c r="T829" t="s">
        <v>59</v>
      </c>
    </row>
    <row r="830" spans="1:20" x14ac:dyDescent="0.2">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v>44.76</v>
      </c>
      <c r="Q830">
        <v>3</v>
      </c>
      <c r="R830">
        <v>14.547000000000001</v>
      </c>
      <c r="S830" s="9" t="s">
        <v>83</v>
      </c>
      <c r="T830" t="s">
        <v>161</v>
      </c>
    </row>
    <row r="831" spans="1:20" x14ac:dyDescent="0.2">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v>44.67</v>
      </c>
      <c r="Q831">
        <v>3</v>
      </c>
      <c r="R831">
        <v>12.0609</v>
      </c>
      <c r="S831" s="9" t="s">
        <v>123</v>
      </c>
      <c r="T831" t="s">
        <v>297</v>
      </c>
    </row>
    <row r="832" spans="1:20" x14ac:dyDescent="0.2">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v>414</v>
      </c>
      <c r="Q832">
        <v>8</v>
      </c>
      <c r="R832">
        <v>124.2</v>
      </c>
      <c r="S832" s="9" t="s">
        <v>83</v>
      </c>
      <c r="T832" t="s">
        <v>195</v>
      </c>
    </row>
    <row r="833" spans="1:20" x14ac:dyDescent="0.2">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v>39.92</v>
      </c>
      <c r="Q833">
        <v>4</v>
      </c>
      <c r="R833">
        <v>11.1776</v>
      </c>
      <c r="S833" s="9" t="s">
        <v>70</v>
      </c>
      <c r="T833" t="s">
        <v>48</v>
      </c>
    </row>
    <row r="834" spans="1:20" x14ac:dyDescent="0.2">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v>53.316000000000003</v>
      </c>
      <c r="Q834">
        <v>2</v>
      </c>
      <c r="R834">
        <v>-19.549199999999999</v>
      </c>
      <c r="S834" s="9" t="s">
        <v>83</v>
      </c>
      <c r="T834" t="s">
        <v>96</v>
      </c>
    </row>
    <row r="835" spans="1:20" x14ac:dyDescent="0.2">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v>22.77</v>
      </c>
      <c r="Q835">
        <v>3</v>
      </c>
      <c r="R835">
        <v>9.7911000000000001</v>
      </c>
      <c r="S835" s="9" t="s">
        <v>58</v>
      </c>
      <c r="T835" t="s">
        <v>96</v>
      </c>
    </row>
    <row r="836" spans="1:20" x14ac:dyDescent="0.2">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v>287.96800000000002</v>
      </c>
      <c r="Q836">
        <v>4</v>
      </c>
      <c r="R836">
        <v>-3.5996000000000001</v>
      </c>
      <c r="S836" s="9" t="s">
        <v>70</v>
      </c>
      <c r="T836" t="s">
        <v>71</v>
      </c>
    </row>
    <row r="837" spans="1:20" x14ac:dyDescent="0.2">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v>257.49900000000002</v>
      </c>
      <c r="Q837">
        <v>3</v>
      </c>
      <c r="R837">
        <v>24.235199999999999</v>
      </c>
      <c r="S837" s="9" t="s">
        <v>83</v>
      </c>
      <c r="T837" t="s">
        <v>113</v>
      </c>
    </row>
    <row r="838" spans="1:20" x14ac:dyDescent="0.2">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v>79.12</v>
      </c>
      <c r="Q838">
        <v>5</v>
      </c>
      <c r="R838">
        <v>13.846</v>
      </c>
      <c r="S838" s="9" t="s">
        <v>58</v>
      </c>
      <c r="T838" t="s">
        <v>113</v>
      </c>
    </row>
    <row r="839" spans="1:20" x14ac:dyDescent="0.2">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v>52.96</v>
      </c>
      <c r="Q839">
        <v>2</v>
      </c>
      <c r="R839">
        <v>20.1248</v>
      </c>
      <c r="S839" s="9" t="s">
        <v>70</v>
      </c>
      <c r="T839" t="s">
        <v>34</v>
      </c>
    </row>
    <row r="840" spans="1:20" x14ac:dyDescent="0.2">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v>63.552</v>
      </c>
      <c r="Q840">
        <v>3</v>
      </c>
      <c r="R840">
        <v>14.299200000000001</v>
      </c>
      <c r="S840" s="9" t="s">
        <v>83</v>
      </c>
      <c r="T840" t="s">
        <v>161</v>
      </c>
    </row>
    <row r="841" spans="1:20" x14ac:dyDescent="0.2">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v>512.94000000000005</v>
      </c>
      <c r="Q841">
        <v>3</v>
      </c>
      <c r="R841">
        <v>97.458600000000004</v>
      </c>
      <c r="S841" s="9" t="s">
        <v>83</v>
      </c>
      <c r="T841" t="s">
        <v>195</v>
      </c>
    </row>
    <row r="842" spans="1:20" x14ac:dyDescent="0.2">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v>860.93</v>
      </c>
      <c r="Q842">
        <v>7</v>
      </c>
      <c r="R842">
        <v>189.40459999999999</v>
      </c>
      <c r="S842" s="9" t="s">
        <v>83</v>
      </c>
      <c r="T842" t="s">
        <v>195</v>
      </c>
    </row>
    <row r="843" spans="1:20" x14ac:dyDescent="0.2">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v>373.08</v>
      </c>
      <c r="Q843">
        <v>6</v>
      </c>
      <c r="R843">
        <v>82.077600000000004</v>
      </c>
      <c r="S843" s="9" t="s">
        <v>83</v>
      </c>
      <c r="T843" t="s">
        <v>195</v>
      </c>
    </row>
    <row r="844" spans="1:20" x14ac:dyDescent="0.2">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v>231.92</v>
      </c>
      <c r="Q844">
        <v>5</v>
      </c>
      <c r="R844">
        <v>5.798</v>
      </c>
      <c r="S844" s="9" t="s">
        <v>33</v>
      </c>
      <c r="T844" t="s">
        <v>71</v>
      </c>
    </row>
    <row r="845" spans="1:20" x14ac:dyDescent="0.2">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v>63.47</v>
      </c>
      <c r="Q845">
        <v>11</v>
      </c>
      <c r="R845">
        <v>19.041</v>
      </c>
      <c r="S845" s="9" t="s">
        <v>58</v>
      </c>
      <c r="T845" t="s">
        <v>48</v>
      </c>
    </row>
    <row r="846" spans="1:20" x14ac:dyDescent="0.2">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v>637.89599999999996</v>
      </c>
      <c r="Q846">
        <v>3</v>
      </c>
      <c r="R846">
        <v>-127.5792</v>
      </c>
      <c r="S846" s="9" t="s">
        <v>58</v>
      </c>
      <c r="T846" t="s">
        <v>195</v>
      </c>
    </row>
    <row r="847" spans="1:20" x14ac:dyDescent="0.2">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v>474.43</v>
      </c>
      <c r="Q847">
        <v>11</v>
      </c>
      <c r="R847">
        <v>199.26060000000001</v>
      </c>
      <c r="S847" s="9" t="s">
        <v>83</v>
      </c>
      <c r="T847" t="s">
        <v>169</v>
      </c>
    </row>
    <row r="848" spans="1:20" x14ac:dyDescent="0.2">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v>170.05799999999999</v>
      </c>
      <c r="Q848">
        <v>3</v>
      </c>
      <c r="R848">
        <v>-4.8587999999999996</v>
      </c>
      <c r="S848" s="9" t="s">
        <v>58</v>
      </c>
      <c r="T848" t="s">
        <v>59</v>
      </c>
    </row>
    <row r="849" spans="1:20" x14ac:dyDescent="0.2">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v>853.93</v>
      </c>
      <c r="Q849">
        <v>5</v>
      </c>
      <c r="R849">
        <v>0</v>
      </c>
      <c r="S849" s="9" t="s">
        <v>58</v>
      </c>
      <c r="T849" t="s">
        <v>59</v>
      </c>
    </row>
    <row r="850" spans="1:20" x14ac:dyDescent="0.2">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v>556.66499999999996</v>
      </c>
      <c r="Q850">
        <v>5</v>
      </c>
      <c r="R850">
        <v>6.5490000000000004</v>
      </c>
      <c r="S850" s="9" t="s">
        <v>123</v>
      </c>
      <c r="T850" t="s">
        <v>48</v>
      </c>
    </row>
    <row r="851" spans="1:20" x14ac:dyDescent="0.2">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v>232.88</v>
      </c>
      <c r="Q851">
        <v>4</v>
      </c>
      <c r="R851">
        <v>60.5488</v>
      </c>
      <c r="S851" s="9" t="s">
        <v>83</v>
      </c>
      <c r="T851" t="s">
        <v>96</v>
      </c>
    </row>
    <row r="852" spans="1:20" x14ac:dyDescent="0.2">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v>24.9</v>
      </c>
      <c r="Q852">
        <v>5</v>
      </c>
      <c r="R852">
        <v>8.2170000000000005</v>
      </c>
      <c r="S852" s="9" t="s">
        <v>83</v>
      </c>
      <c r="T852" t="s">
        <v>96</v>
      </c>
    </row>
    <row r="853" spans="1:20" x14ac:dyDescent="0.2">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v>70.56</v>
      </c>
      <c r="Q853">
        <v>6</v>
      </c>
      <c r="R853">
        <v>23.990400000000001</v>
      </c>
      <c r="S853" s="9" t="s">
        <v>83</v>
      </c>
      <c r="T853" t="s">
        <v>96</v>
      </c>
    </row>
    <row r="854" spans="1:20" x14ac:dyDescent="0.2">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v>204.85</v>
      </c>
      <c r="Q854">
        <v>5</v>
      </c>
      <c r="R854">
        <v>57.357999999999997</v>
      </c>
      <c r="S854" s="9" t="s">
        <v>58</v>
      </c>
      <c r="T854" t="s">
        <v>59</v>
      </c>
    </row>
    <row r="855" spans="1:20" x14ac:dyDescent="0.2">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v>276.69</v>
      </c>
      <c r="Q855">
        <v>3</v>
      </c>
      <c r="R855">
        <v>49.804200000000002</v>
      </c>
      <c r="S855" s="9" t="s">
        <v>70</v>
      </c>
      <c r="T855" t="s">
        <v>59</v>
      </c>
    </row>
    <row r="856" spans="1:20" x14ac:dyDescent="0.2">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v>172.76400000000001</v>
      </c>
      <c r="Q856">
        <v>2</v>
      </c>
      <c r="R856">
        <v>32.633200000000002</v>
      </c>
      <c r="S856" s="9" t="s">
        <v>70</v>
      </c>
      <c r="T856" t="s">
        <v>59</v>
      </c>
    </row>
    <row r="857" spans="1:20" x14ac:dyDescent="0.2">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v>409.27199999999999</v>
      </c>
      <c r="Q857">
        <v>2</v>
      </c>
      <c r="R857">
        <v>-81.854399999999998</v>
      </c>
      <c r="S857" s="9" t="s">
        <v>83</v>
      </c>
      <c r="T857" t="s">
        <v>77</v>
      </c>
    </row>
    <row r="858" spans="1:20" x14ac:dyDescent="0.2">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v>67.176000000000002</v>
      </c>
      <c r="Q858">
        <v>1</v>
      </c>
      <c r="R858">
        <v>-20.152799999999999</v>
      </c>
      <c r="S858" s="9" t="s">
        <v>83</v>
      </c>
      <c r="T858" t="s">
        <v>77</v>
      </c>
    </row>
    <row r="859" spans="1:20" x14ac:dyDescent="0.2">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v>572.16</v>
      </c>
      <c r="Q859">
        <v>3</v>
      </c>
      <c r="R859">
        <v>35.76</v>
      </c>
      <c r="S859" s="9" t="s">
        <v>83</v>
      </c>
      <c r="T859" t="s">
        <v>34</v>
      </c>
    </row>
    <row r="860" spans="1:20" x14ac:dyDescent="0.2">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v>156.37280000000001</v>
      </c>
      <c r="Q860">
        <v>2</v>
      </c>
      <c r="R860">
        <v>-52.890799999999999</v>
      </c>
      <c r="S860" s="9" t="s">
        <v>33</v>
      </c>
      <c r="T860" t="s">
        <v>253</v>
      </c>
    </row>
    <row r="861" spans="1:20" x14ac:dyDescent="0.2">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v>220.06399999999999</v>
      </c>
      <c r="Q861">
        <v>4</v>
      </c>
      <c r="R861">
        <v>55.015999999999998</v>
      </c>
      <c r="S861" s="9" t="s">
        <v>58</v>
      </c>
      <c r="T861" t="s">
        <v>34</v>
      </c>
    </row>
    <row r="862" spans="1:20" x14ac:dyDescent="0.2">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v>339.13600000000002</v>
      </c>
      <c r="Q862">
        <v>4</v>
      </c>
      <c r="R862">
        <v>0</v>
      </c>
      <c r="S862" s="9" t="s">
        <v>58</v>
      </c>
      <c r="T862" t="s">
        <v>34</v>
      </c>
    </row>
    <row r="863" spans="1:20" x14ac:dyDescent="0.2">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v>638.82000000000005</v>
      </c>
      <c r="Q863">
        <v>9</v>
      </c>
      <c r="R863">
        <v>172.48140000000001</v>
      </c>
      <c r="S863" s="9" t="s">
        <v>47</v>
      </c>
      <c r="T863" t="s">
        <v>253</v>
      </c>
    </row>
    <row r="864" spans="1:20" x14ac:dyDescent="0.2">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v>15.92</v>
      </c>
      <c r="Q864">
        <v>2</v>
      </c>
      <c r="R864">
        <v>7.0048000000000004</v>
      </c>
      <c r="S864" s="9" t="s">
        <v>430</v>
      </c>
      <c r="T864" t="s">
        <v>96</v>
      </c>
    </row>
    <row r="865" spans="1:20" x14ac:dyDescent="0.2">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v>27.414000000000001</v>
      </c>
      <c r="Q865">
        <v>3</v>
      </c>
      <c r="R865">
        <v>-14.1639</v>
      </c>
      <c r="S865" s="9" t="s">
        <v>430</v>
      </c>
      <c r="T865" t="s">
        <v>77</v>
      </c>
    </row>
    <row r="866" spans="1:20" x14ac:dyDescent="0.2">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v>160.97999999999999</v>
      </c>
      <c r="Q866">
        <v>1</v>
      </c>
      <c r="R866">
        <v>20.927399999999999</v>
      </c>
      <c r="S866" s="9" t="s">
        <v>47</v>
      </c>
      <c r="T866" t="s">
        <v>96</v>
      </c>
    </row>
    <row r="867" spans="1:20" x14ac:dyDescent="0.2">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v>91.031999999999996</v>
      </c>
      <c r="Q867">
        <v>3</v>
      </c>
      <c r="R867">
        <v>-2.2757999999999998</v>
      </c>
      <c r="S867" s="9" t="s">
        <v>83</v>
      </c>
      <c r="T867" t="s">
        <v>71</v>
      </c>
    </row>
    <row r="868" spans="1:20" x14ac:dyDescent="0.2">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v>79.12</v>
      </c>
      <c r="Q868">
        <v>5</v>
      </c>
      <c r="R868">
        <v>13.846</v>
      </c>
      <c r="S868" s="9" t="s">
        <v>33</v>
      </c>
      <c r="T868" t="s">
        <v>96</v>
      </c>
    </row>
    <row r="869" spans="1:20" x14ac:dyDescent="0.2">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v>120.78400000000001</v>
      </c>
      <c r="Q869">
        <v>1</v>
      </c>
      <c r="R869">
        <v>-13.588200000000001</v>
      </c>
      <c r="S869" s="9" t="s">
        <v>47</v>
      </c>
      <c r="T869" t="s">
        <v>169</v>
      </c>
    </row>
    <row r="870" spans="1:20" x14ac:dyDescent="0.2">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v>322.58999999999997</v>
      </c>
      <c r="Q870">
        <v>3</v>
      </c>
      <c r="R870">
        <v>64.518000000000001</v>
      </c>
      <c r="S870" s="9" t="s">
        <v>129</v>
      </c>
      <c r="T870" t="s">
        <v>34</v>
      </c>
    </row>
    <row r="871" spans="1:20" x14ac:dyDescent="0.2">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v>433.56799999999998</v>
      </c>
      <c r="Q871">
        <v>2</v>
      </c>
      <c r="R871">
        <v>-65.035200000000003</v>
      </c>
      <c r="S871" s="9" t="s">
        <v>70</v>
      </c>
      <c r="T871" t="s">
        <v>48</v>
      </c>
    </row>
    <row r="872" spans="1:20" x14ac:dyDescent="0.2">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v>81.94</v>
      </c>
      <c r="Q872">
        <v>1</v>
      </c>
      <c r="R872">
        <v>20.484999999999999</v>
      </c>
      <c r="S872" s="9" t="s">
        <v>70</v>
      </c>
      <c r="T872" t="s">
        <v>96</v>
      </c>
    </row>
    <row r="873" spans="1:20" x14ac:dyDescent="0.2">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v>696.42</v>
      </c>
      <c r="Q873">
        <v>2</v>
      </c>
      <c r="R873">
        <v>160.17660000000001</v>
      </c>
      <c r="S873" s="9" t="s">
        <v>83</v>
      </c>
      <c r="T873" t="s">
        <v>34</v>
      </c>
    </row>
    <row r="874" spans="1:20" x14ac:dyDescent="0.2">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v>24.7</v>
      </c>
      <c r="Q874">
        <v>5</v>
      </c>
      <c r="R874">
        <v>10.374000000000001</v>
      </c>
      <c r="S874" s="9" t="s">
        <v>129</v>
      </c>
      <c r="T874" t="s">
        <v>113</v>
      </c>
    </row>
    <row r="875" spans="1:20" x14ac:dyDescent="0.2">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v>14.76</v>
      </c>
      <c r="Q875">
        <v>2</v>
      </c>
      <c r="R875">
        <v>4.2804000000000002</v>
      </c>
      <c r="S875" s="9" t="s">
        <v>70</v>
      </c>
      <c r="T875" t="s">
        <v>48</v>
      </c>
    </row>
    <row r="876" spans="1:20" x14ac:dyDescent="0.2">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v>17.670000000000002</v>
      </c>
      <c r="Q876">
        <v>3</v>
      </c>
      <c r="R876">
        <v>7.7747999999999999</v>
      </c>
      <c r="S876" s="9" t="s">
        <v>70</v>
      </c>
      <c r="T876" t="s">
        <v>48</v>
      </c>
    </row>
    <row r="877" spans="1:20" x14ac:dyDescent="0.2">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v>1604.9</v>
      </c>
      <c r="Q877">
        <v>5</v>
      </c>
      <c r="R877">
        <v>481.47</v>
      </c>
      <c r="S877" s="9" t="s">
        <v>70</v>
      </c>
      <c r="T877" t="s">
        <v>48</v>
      </c>
    </row>
    <row r="878" spans="1:20" x14ac:dyDescent="0.2">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v>385.68599999999998</v>
      </c>
      <c r="Q878">
        <v>1</v>
      </c>
      <c r="R878">
        <v>-60.607799999999997</v>
      </c>
      <c r="S878" s="9" t="s">
        <v>70</v>
      </c>
      <c r="T878" t="s">
        <v>48</v>
      </c>
    </row>
    <row r="879" spans="1:20" x14ac:dyDescent="0.2">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v>482.66399999999999</v>
      </c>
      <c r="Q879">
        <v>8</v>
      </c>
      <c r="R879">
        <v>85.176000000000002</v>
      </c>
      <c r="S879" s="9" t="s">
        <v>70</v>
      </c>
      <c r="T879" t="s">
        <v>113</v>
      </c>
    </row>
    <row r="880" spans="1:20" x14ac:dyDescent="0.2">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v>174.42</v>
      </c>
      <c r="Q880">
        <v>3</v>
      </c>
      <c r="R880">
        <v>41.860799999999998</v>
      </c>
      <c r="S880" s="9" t="s">
        <v>70</v>
      </c>
      <c r="T880" t="s">
        <v>59</v>
      </c>
    </row>
    <row r="881" spans="1:20" x14ac:dyDescent="0.2">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v>94.427999999999997</v>
      </c>
      <c r="Q881">
        <v>3</v>
      </c>
      <c r="R881">
        <v>-42.492600000000003</v>
      </c>
      <c r="S881" s="9" t="s">
        <v>83</v>
      </c>
      <c r="T881" t="s">
        <v>96</v>
      </c>
    </row>
    <row r="882" spans="1:20" x14ac:dyDescent="0.2">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v>61.584000000000003</v>
      </c>
      <c r="Q882">
        <v>1</v>
      </c>
      <c r="R882">
        <v>-6.9282000000000004</v>
      </c>
      <c r="S882" s="9" t="s">
        <v>58</v>
      </c>
      <c r="T882" t="s">
        <v>169</v>
      </c>
    </row>
    <row r="883" spans="1:20" x14ac:dyDescent="0.2">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v>332.02800000000002</v>
      </c>
      <c r="Q883">
        <v>9</v>
      </c>
      <c r="R883">
        <v>-348.62939999999998</v>
      </c>
      <c r="S883" s="9" t="s">
        <v>58</v>
      </c>
      <c r="T883" t="s">
        <v>71</v>
      </c>
    </row>
    <row r="884" spans="1:20" x14ac:dyDescent="0.2">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v>1049.2</v>
      </c>
      <c r="Q884">
        <v>5</v>
      </c>
      <c r="R884">
        <v>272.79199999999997</v>
      </c>
      <c r="S884" s="9" t="s">
        <v>129</v>
      </c>
      <c r="T884" t="s">
        <v>34</v>
      </c>
    </row>
    <row r="885" spans="1:20" x14ac:dyDescent="0.2">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v>20.9</v>
      </c>
      <c r="Q885">
        <v>5</v>
      </c>
      <c r="R885">
        <v>7.524</v>
      </c>
      <c r="S885" s="9" t="s">
        <v>129</v>
      </c>
      <c r="T885" t="s">
        <v>34</v>
      </c>
    </row>
    <row r="886" spans="1:20" x14ac:dyDescent="0.2">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v>751.92</v>
      </c>
      <c r="Q886">
        <v>4</v>
      </c>
      <c r="R886">
        <v>150.38399999999999</v>
      </c>
      <c r="S886" s="9" t="s">
        <v>83</v>
      </c>
      <c r="T886" t="s">
        <v>96</v>
      </c>
    </row>
    <row r="887" spans="1:20" x14ac:dyDescent="0.2">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v>887.10299999999995</v>
      </c>
      <c r="Q887">
        <v>7</v>
      </c>
      <c r="R887">
        <v>177.42060000000001</v>
      </c>
      <c r="S887" s="9" t="s">
        <v>430</v>
      </c>
      <c r="T887" t="s">
        <v>77</v>
      </c>
    </row>
    <row r="888" spans="1:20" x14ac:dyDescent="0.2">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v>10.476000000000001</v>
      </c>
      <c r="Q888">
        <v>3</v>
      </c>
      <c r="R888">
        <v>-6.8094000000000001</v>
      </c>
      <c r="S888" s="9" t="s">
        <v>33</v>
      </c>
      <c r="T888" t="s">
        <v>48</v>
      </c>
    </row>
    <row r="889" spans="1:20" x14ac:dyDescent="0.2">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v>196.78399999999999</v>
      </c>
      <c r="Q889">
        <v>2</v>
      </c>
      <c r="R889">
        <v>-22.138200000000001</v>
      </c>
      <c r="S889" s="9" t="s">
        <v>70</v>
      </c>
      <c r="T889" t="s">
        <v>195</v>
      </c>
    </row>
    <row r="890" spans="1:20" x14ac:dyDescent="0.2">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v>863.12800000000004</v>
      </c>
      <c r="Q890">
        <v>8</v>
      </c>
      <c r="R890">
        <v>-160.29519999999999</v>
      </c>
      <c r="S890" s="9" t="s">
        <v>83</v>
      </c>
      <c r="T890" t="s">
        <v>34</v>
      </c>
    </row>
    <row r="891" spans="1:20" x14ac:dyDescent="0.2">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v>956.66480000000001</v>
      </c>
      <c r="Q891">
        <v>7</v>
      </c>
      <c r="R891">
        <v>-225.0976</v>
      </c>
      <c r="S891" s="9" t="s">
        <v>83</v>
      </c>
      <c r="T891" t="s">
        <v>34</v>
      </c>
    </row>
    <row r="892" spans="1:20" x14ac:dyDescent="0.2">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v>871.4</v>
      </c>
      <c r="Q892">
        <v>4</v>
      </c>
      <c r="R892">
        <v>148.13800000000001</v>
      </c>
      <c r="S892" s="9" t="s">
        <v>83</v>
      </c>
      <c r="T892" t="s">
        <v>59</v>
      </c>
    </row>
    <row r="893" spans="1:20" x14ac:dyDescent="0.2">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v>692.47199999999998</v>
      </c>
      <c r="Q893">
        <v>11</v>
      </c>
      <c r="R893">
        <v>190.4298</v>
      </c>
      <c r="S893" s="9" t="s">
        <v>83</v>
      </c>
      <c r="T893" t="s">
        <v>34</v>
      </c>
    </row>
    <row r="894" spans="1:20" x14ac:dyDescent="0.2">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v>207.76</v>
      </c>
      <c r="Q894">
        <v>4</v>
      </c>
      <c r="R894">
        <v>85.181600000000003</v>
      </c>
      <c r="S894" s="9" t="s">
        <v>33</v>
      </c>
      <c r="T894" t="s">
        <v>34</v>
      </c>
    </row>
    <row r="895" spans="1:20" x14ac:dyDescent="0.2">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v>9.9600000000000009</v>
      </c>
      <c r="Q895">
        <v>2</v>
      </c>
      <c r="R895">
        <v>3.2867999999999999</v>
      </c>
      <c r="S895" s="9" t="s">
        <v>83</v>
      </c>
      <c r="T895" t="s">
        <v>113</v>
      </c>
    </row>
    <row r="896" spans="1:20" x14ac:dyDescent="0.2">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v>69.263999999999996</v>
      </c>
      <c r="Q896">
        <v>2</v>
      </c>
      <c r="R896">
        <v>14.622400000000001</v>
      </c>
      <c r="S896" s="9" t="s">
        <v>83</v>
      </c>
      <c r="T896" t="s">
        <v>34</v>
      </c>
    </row>
    <row r="897" spans="1:20" x14ac:dyDescent="0.2">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v>246.1328</v>
      </c>
      <c r="Q897">
        <v>2</v>
      </c>
      <c r="R897">
        <v>-76.011600000000001</v>
      </c>
      <c r="S897" s="9" t="s">
        <v>58</v>
      </c>
      <c r="T897" t="s">
        <v>34</v>
      </c>
    </row>
    <row r="898" spans="1:20" x14ac:dyDescent="0.2">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v>896.32799999999997</v>
      </c>
      <c r="Q898">
        <v>9</v>
      </c>
      <c r="R898">
        <v>22.408200000000001</v>
      </c>
      <c r="S898" s="9" t="s">
        <v>83</v>
      </c>
      <c r="T898" t="s">
        <v>96</v>
      </c>
    </row>
    <row r="899" spans="1:20" x14ac:dyDescent="0.2">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v>177.22499999999999</v>
      </c>
      <c r="Q899">
        <v>5</v>
      </c>
      <c r="R899">
        <v>-120.51300000000001</v>
      </c>
      <c r="S899" s="9" t="s">
        <v>58</v>
      </c>
      <c r="T899" t="s">
        <v>48</v>
      </c>
    </row>
    <row r="900" spans="1:20" x14ac:dyDescent="0.2">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v>129.38999999999999</v>
      </c>
      <c r="Q900">
        <v>3</v>
      </c>
      <c r="R900">
        <v>54.343800000000002</v>
      </c>
      <c r="S900" s="9" t="s">
        <v>47</v>
      </c>
      <c r="T900" t="s">
        <v>71</v>
      </c>
    </row>
    <row r="901" spans="1:20" x14ac:dyDescent="0.2">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v>2.7839999999999998</v>
      </c>
      <c r="Q901">
        <v>2</v>
      </c>
      <c r="R901">
        <v>0.41760000000000003</v>
      </c>
      <c r="S901" s="9" t="s">
        <v>33</v>
      </c>
      <c r="T901" t="s">
        <v>253</v>
      </c>
    </row>
    <row r="902" spans="1:20" x14ac:dyDescent="0.2">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v>63.92</v>
      </c>
      <c r="Q902">
        <v>4</v>
      </c>
      <c r="R902">
        <v>3.1960000000000002</v>
      </c>
      <c r="S902" s="9" t="s">
        <v>83</v>
      </c>
      <c r="T902" t="s">
        <v>48</v>
      </c>
    </row>
    <row r="903" spans="1:20" x14ac:dyDescent="0.2">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v>573.72799999999995</v>
      </c>
      <c r="Q903">
        <v>4</v>
      </c>
      <c r="R903">
        <v>-64.544399999999996</v>
      </c>
      <c r="S903" s="9" t="s">
        <v>47</v>
      </c>
      <c r="T903" t="s">
        <v>34</v>
      </c>
    </row>
    <row r="904" spans="1:20" x14ac:dyDescent="0.2">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v>82.38</v>
      </c>
      <c r="Q904">
        <v>6</v>
      </c>
      <c r="R904">
        <v>25.537800000000001</v>
      </c>
      <c r="S904" s="9" t="s">
        <v>83</v>
      </c>
      <c r="T904" t="s">
        <v>96</v>
      </c>
    </row>
    <row r="905" spans="1:20" x14ac:dyDescent="0.2">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v>14.368</v>
      </c>
      <c r="Q905">
        <v>2</v>
      </c>
      <c r="R905">
        <v>3.9512</v>
      </c>
      <c r="S905" s="9" t="s">
        <v>83</v>
      </c>
      <c r="T905" t="s">
        <v>96</v>
      </c>
    </row>
    <row r="906" spans="1:20" x14ac:dyDescent="0.2">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v>631.78200000000004</v>
      </c>
      <c r="Q906">
        <v>2</v>
      </c>
      <c r="R906">
        <v>140.39599999999999</v>
      </c>
      <c r="S906" s="9" t="s">
        <v>47</v>
      </c>
      <c r="T906" t="s">
        <v>77</v>
      </c>
    </row>
    <row r="907" spans="1:20" x14ac:dyDescent="0.2">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v>60.72</v>
      </c>
      <c r="Q907">
        <v>3</v>
      </c>
      <c r="R907">
        <v>26.1096</v>
      </c>
      <c r="S907" s="9" t="s">
        <v>47</v>
      </c>
      <c r="T907" t="s">
        <v>77</v>
      </c>
    </row>
    <row r="908" spans="1:20" x14ac:dyDescent="0.2">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v>77.72</v>
      </c>
      <c r="Q908">
        <v>1</v>
      </c>
      <c r="R908">
        <v>-66.061999999999998</v>
      </c>
      <c r="S908" s="9" t="s">
        <v>430</v>
      </c>
      <c r="T908" t="s">
        <v>96</v>
      </c>
    </row>
    <row r="909" spans="1:20" x14ac:dyDescent="0.2">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v>520.46400000000006</v>
      </c>
      <c r="Q909">
        <v>2</v>
      </c>
      <c r="R909">
        <v>-14.8704</v>
      </c>
      <c r="S909" s="9" t="s">
        <v>430</v>
      </c>
      <c r="T909" t="s">
        <v>96</v>
      </c>
    </row>
    <row r="910" spans="1:20" x14ac:dyDescent="0.2">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v>303.25</v>
      </c>
      <c r="Q910">
        <v>5</v>
      </c>
      <c r="R910">
        <v>63.682499999999997</v>
      </c>
      <c r="S910" s="9" t="s">
        <v>58</v>
      </c>
      <c r="T910" t="s">
        <v>113</v>
      </c>
    </row>
    <row r="911" spans="1:20" x14ac:dyDescent="0.2">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v>1487.04</v>
      </c>
      <c r="Q911">
        <v>5</v>
      </c>
      <c r="R911">
        <v>148.70400000000001</v>
      </c>
      <c r="S911" s="9" t="s">
        <v>58</v>
      </c>
      <c r="T911" t="s">
        <v>113</v>
      </c>
    </row>
    <row r="912" spans="1:20" x14ac:dyDescent="0.2">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v>253.17599999999999</v>
      </c>
      <c r="Q912">
        <v>3</v>
      </c>
      <c r="R912">
        <v>-31.646999999999998</v>
      </c>
      <c r="S912" s="9" t="s">
        <v>58</v>
      </c>
      <c r="T912" t="s">
        <v>48</v>
      </c>
    </row>
    <row r="913" spans="1:20" x14ac:dyDescent="0.2">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v>384.94400000000002</v>
      </c>
      <c r="Q913">
        <v>4</v>
      </c>
      <c r="R913">
        <v>-126.4816</v>
      </c>
      <c r="S913" s="9" t="s">
        <v>47</v>
      </c>
      <c r="T913" t="s">
        <v>71</v>
      </c>
    </row>
    <row r="914" spans="1:20" x14ac:dyDescent="0.2">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v>913.43</v>
      </c>
      <c r="Q914">
        <v>5</v>
      </c>
      <c r="R914">
        <v>-52.195999999999998</v>
      </c>
      <c r="S914" s="9" t="s">
        <v>47</v>
      </c>
      <c r="T914" t="s">
        <v>71</v>
      </c>
    </row>
    <row r="915" spans="1:20" x14ac:dyDescent="0.2">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v>183.96799999999999</v>
      </c>
      <c r="Q915">
        <v>2</v>
      </c>
      <c r="R915">
        <v>-25.2956</v>
      </c>
      <c r="S915" s="9" t="s">
        <v>70</v>
      </c>
      <c r="T915" t="s">
        <v>34</v>
      </c>
    </row>
    <row r="916" spans="1:20" x14ac:dyDescent="0.2">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v>172.18600000000001</v>
      </c>
      <c r="Q916">
        <v>2</v>
      </c>
      <c r="R916">
        <v>-46.736199999999997</v>
      </c>
      <c r="S916" s="9" t="s">
        <v>83</v>
      </c>
      <c r="T916" t="s">
        <v>71</v>
      </c>
    </row>
    <row r="917" spans="1:20" x14ac:dyDescent="0.2">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v>69.007999999999996</v>
      </c>
      <c r="Q917">
        <v>2</v>
      </c>
      <c r="R917">
        <v>12.0764</v>
      </c>
      <c r="S917" s="9" t="s">
        <v>83</v>
      </c>
      <c r="T917" t="s">
        <v>71</v>
      </c>
    </row>
    <row r="918" spans="1:20" x14ac:dyDescent="0.2">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v>971.5</v>
      </c>
      <c r="Q918">
        <v>5</v>
      </c>
      <c r="R918">
        <v>252.59</v>
      </c>
      <c r="S918" s="9" t="s">
        <v>430</v>
      </c>
      <c r="T918" t="s">
        <v>195</v>
      </c>
    </row>
    <row r="919" spans="1:20" x14ac:dyDescent="0.2">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v>190.84800000000001</v>
      </c>
      <c r="Q919">
        <v>3</v>
      </c>
      <c r="R919">
        <v>-21.470400000000001</v>
      </c>
      <c r="S919" s="9" t="s">
        <v>47</v>
      </c>
      <c r="T919" t="s">
        <v>96</v>
      </c>
    </row>
    <row r="920" spans="1:20" x14ac:dyDescent="0.2">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v>302.94</v>
      </c>
      <c r="Q920">
        <v>3</v>
      </c>
      <c r="R920">
        <v>75.734999999999999</v>
      </c>
      <c r="S920" s="9" t="s">
        <v>123</v>
      </c>
      <c r="T920" t="s">
        <v>161</v>
      </c>
    </row>
    <row r="921" spans="1:20" x14ac:dyDescent="0.2">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v>1805.88</v>
      </c>
      <c r="Q921">
        <v>6</v>
      </c>
      <c r="R921">
        <v>523.70519999999999</v>
      </c>
      <c r="S921" s="9" t="s">
        <v>129</v>
      </c>
      <c r="T921" t="s">
        <v>195</v>
      </c>
    </row>
    <row r="922" spans="1:20" x14ac:dyDescent="0.2">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v>24.1</v>
      </c>
      <c r="Q922">
        <v>5</v>
      </c>
      <c r="R922">
        <v>9.1579999999999995</v>
      </c>
      <c r="S922" s="9" t="s">
        <v>58</v>
      </c>
      <c r="T922" t="s">
        <v>34</v>
      </c>
    </row>
    <row r="923" spans="1:20" x14ac:dyDescent="0.2">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v>842.94</v>
      </c>
      <c r="Q923">
        <v>3</v>
      </c>
      <c r="R923">
        <v>160.15860000000001</v>
      </c>
      <c r="S923" s="9" t="s">
        <v>58</v>
      </c>
      <c r="T923" t="s">
        <v>34</v>
      </c>
    </row>
    <row r="924" spans="1:20" x14ac:dyDescent="0.2">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v>12.56</v>
      </c>
      <c r="Q924">
        <v>2</v>
      </c>
      <c r="R924">
        <v>4.0191999999999997</v>
      </c>
      <c r="S924" s="9" t="s">
        <v>83</v>
      </c>
      <c r="T924" t="s">
        <v>59</v>
      </c>
    </row>
    <row r="925" spans="1:20" x14ac:dyDescent="0.2">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v>25.4</v>
      </c>
      <c r="Q925">
        <v>5</v>
      </c>
      <c r="R925">
        <v>8.6359999999999992</v>
      </c>
      <c r="S925" s="9" t="s">
        <v>70</v>
      </c>
      <c r="T925" t="s">
        <v>71</v>
      </c>
    </row>
    <row r="926" spans="1:20" x14ac:dyDescent="0.2">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v>1279.165</v>
      </c>
      <c r="Q926">
        <v>5</v>
      </c>
      <c r="R926">
        <v>225.73500000000001</v>
      </c>
      <c r="S926" s="9" t="s">
        <v>70</v>
      </c>
      <c r="T926" t="s">
        <v>71</v>
      </c>
    </row>
    <row r="927" spans="1:20" x14ac:dyDescent="0.2">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v>129.56800000000001</v>
      </c>
      <c r="Q927">
        <v>2</v>
      </c>
      <c r="R927">
        <v>-12.956799999999999</v>
      </c>
      <c r="S927" s="9" t="s">
        <v>58</v>
      </c>
      <c r="T927" t="s">
        <v>77</v>
      </c>
    </row>
    <row r="928" spans="1:20" x14ac:dyDescent="0.2">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v>32.776000000000003</v>
      </c>
      <c r="Q928">
        <v>1</v>
      </c>
      <c r="R928">
        <v>3.2776000000000001</v>
      </c>
      <c r="S928" s="9" t="s">
        <v>33</v>
      </c>
      <c r="T928" t="s">
        <v>77</v>
      </c>
    </row>
    <row r="929" spans="1:20" x14ac:dyDescent="0.2">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v>321.56799999999998</v>
      </c>
      <c r="Q929">
        <v>2</v>
      </c>
      <c r="R929">
        <v>-16.078399999999998</v>
      </c>
      <c r="S929" s="9" t="s">
        <v>47</v>
      </c>
      <c r="T929" t="s">
        <v>34</v>
      </c>
    </row>
    <row r="930" spans="1:20" x14ac:dyDescent="0.2">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v>128.05799999999999</v>
      </c>
      <c r="Q930">
        <v>3</v>
      </c>
      <c r="R930">
        <v>-23.7822</v>
      </c>
      <c r="S930" s="9" t="s">
        <v>83</v>
      </c>
      <c r="T930" t="s">
        <v>161</v>
      </c>
    </row>
    <row r="931" spans="1:20" x14ac:dyDescent="0.2">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v>63.686</v>
      </c>
      <c r="Q931">
        <v>1</v>
      </c>
      <c r="R931">
        <v>-15.4666</v>
      </c>
      <c r="S931" s="9" t="s">
        <v>430</v>
      </c>
      <c r="T931" t="s">
        <v>77</v>
      </c>
    </row>
    <row r="932" spans="1:20" x14ac:dyDescent="0.2">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v>344.22</v>
      </c>
      <c r="Q932">
        <v>2</v>
      </c>
      <c r="R932">
        <v>-189.321</v>
      </c>
      <c r="S932" s="9" t="s">
        <v>430</v>
      </c>
      <c r="T932" t="s">
        <v>77</v>
      </c>
    </row>
    <row r="933" spans="1:20" x14ac:dyDescent="0.2">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v>21.248000000000001</v>
      </c>
      <c r="Q933">
        <v>4</v>
      </c>
      <c r="R933">
        <v>7.4367999999999999</v>
      </c>
      <c r="S933" s="9" t="s">
        <v>430</v>
      </c>
      <c r="T933" t="s">
        <v>77</v>
      </c>
    </row>
    <row r="934" spans="1:20" x14ac:dyDescent="0.2">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v>248.98</v>
      </c>
      <c r="Q934">
        <v>2</v>
      </c>
      <c r="R934">
        <v>54.775599999999997</v>
      </c>
      <c r="S934" s="9" t="s">
        <v>430</v>
      </c>
      <c r="T934" t="s">
        <v>48</v>
      </c>
    </row>
    <row r="935" spans="1:20" x14ac:dyDescent="0.2">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v>418.29599999999999</v>
      </c>
      <c r="Q935">
        <v>3</v>
      </c>
      <c r="R935">
        <v>5.2286999999999999</v>
      </c>
      <c r="S935" s="9" t="s">
        <v>47</v>
      </c>
      <c r="T935" t="s">
        <v>253</v>
      </c>
    </row>
    <row r="936" spans="1:20" x14ac:dyDescent="0.2">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v>8.1280000000000001</v>
      </c>
      <c r="Q936">
        <v>2</v>
      </c>
      <c r="R936">
        <v>1.4224000000000001</v>
      </c>
      <c r="S936" s="9" t="s">
        <v>70</v>
      </c>
      <c r="T936" t="s">
        <v>96</v>
      </c>
    </row>
    <row r="937" spans="1:20" x14ac:dyDescent="0.2">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v>909.72</v>
      </c>
      <c r="Q937">
        <v>6</v>
      </c>
      <c r="R937">
        <v>-51.984000000000002</v>
      </c>
      <c r="S937" s="9" t="s">
        <v>70</v>
      </c>
      <c r="T937" t="s">
        <v>96</v>
      </c>
    </row>
    <row r="938" spans="1:20" x14ac:dyDescent="0.2">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v>917.92349999999999</v>
      </c>
      <c r="Q938">
        <v>9</v>
      </c>
      <c r="R938">
        <v>75.593699999999998</v>
      </c>
      <c r="S938" s="9" t="s">
        <v>58</v>
      </c>
      <c r="T938" t="s">
        <v>59</v>
      </c>
    </row>
    <row r="939" spans="1:20" x14ac:dyDescent="0.2">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v>23.99</v>
      </c>
      <c r="Q939">
        <v>1</v>
      </c>
      <c r="R939">
        <v>5.5176999999999996</v>
      </c>
      <c r="S939" s="9" t="s">
        <v>58</v>
      </c>
      <c r="T939" t="s">
        <v>96</v>
      </c>
    </row>
    <row r="940" spans="1:20" x14ac:dyDescent="0.2">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v>171.28800000000001</v>
      </c>
      <c r="Q940">
        <v>3</v>
      </c>
      <c r="R940">
        <v>-6.4233000000000002</v>
      </c>
      <c r="S940" s="9" t="s">
        <v>129</v>
      </c>
      <c r="T940" t="s">
        <v>161</v>
      </c>
    </row>
    <row r="941" spans="1:20" x14ac:dyDescent="0.2">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v>37.299999999999997</v>
      </c>
      <c r="Q941">
        <v>2</v>
      </c>
      <c r="R941">
        <v>17.158000000000001</v>
      </c>
      <c r="S941" s="9" t="s">
        <v>83</v>
      </c>
      <c r="T941" t="s">
        <v>34</v>
      </c>
    </row>
    <row r="942" spans="1:20" x14ac:dyDescent="0.2">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v>290.98</v>
      </c>
      <c r="Q942">
        <v>1</v>
      </c>
      <c r="R942">
        <v>75.654799999999994</v>
      </c>
      <c r="S942" s="9" t="s">
        <v>58</v>
      </c>
      <c r="T942" t="s">
        <v>48</v>
      </c>
    </row>
    <row r="943" spans="1:20" x14ac:dyDescent="0.2">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v>20.32</v>
      </c>
      <c r="Q943">
        <v>4</v>
      </c>
      <c r="R943">
        <v>6.9088000000000003</v>
      </c>
      <c r="S943" s="9" t="s">
        <v>129</v>
      </c>
      <c r="T943" t="s">
        <v>297</v>
      </c>
    </row>
    <row r="944" spans="1:20" x14ac:dyDescent="0.2">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v>89.34</v>
      </c>
      <c r="Q944">
        <v>6</v>
      </c>
      <c r="R944">
        <v>24.1218</v>
      </c>
      <c r="S944" s="9" t="s">
        <v>83</v>
      </c>
      <c r="T944" t="s">
        <v>34</v>
      </c>
    </row>
    <row r="945" spans="1:20" x14ac:dyDescent="0.2">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v>39.08</v>
      </c>
      <c r="Q945">
        <v>4</v>
      </c>
      <c r="R945">
        <v>14.4596</v>
      </c>
      <c r="S945" s="9" t="s">
        <v>129</v>
      </c>
      <c r="T945" t="s">
        <v>71</v>
      </c>
    </row>
    <row r="946" spans="1:20" x14ac:dyDescent="0.2">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v>408.00599999999997</v>
      </c>
      <c r="Q946">
        <v>2</v>
      </c>
      <c r="R946">
        <v>72.534400000000005</v>
      </c>
      <c r="S946" s="9" t="s">
        <v>33</v>
      </c>
      <c r="T946" t="s">
        <v>34</v>
      </c>
    </row>
    <row r="947" spans="1:20" x14ac:dyDescent="0.2">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v>122.352</v>
      </c>
      <c r="Q947">
        <v>3</v>
      </c>
      <c r="R947">
        <v>13.7646</v>
      </c>
      <c r="S947" s="9" t="s">
        <v>430</v>
      </c>
      <c r="T947" t="s">
        <v>48</v>
      </c>
    </row>
    <row r="948" spans="1:20" x14ac:dyDescent="0.2">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v>15.84</v>
      </c>
      <c r="Q948">
        <v>3</v>
      </c>
      <c r="R948">
        <v>4.9104000000000001</v>
      </c>
      <c r="S948" s="9" t="s">
        <v>83</v>
      </c>
      <c r="T948" t="s">
        <v>71</v>
      </c>
    </row>
    <row r="949" spans="1:20" x14ac:dyDescent="0.2">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v>493.92</v>
      </c>
      <c r="Q949">
        <v>7</v>
      </c>
      <c r="R949">
        <v>-28.224</v>
      </c>
      <c r="S949" s="9" t="s">
        <v>33</v>
      </c>
      <c r="T949" t="s">
        <v>297</v>
      </c>
    </row>
    <row r="950" spans="1:20" x14ac:dyDescent="0.2">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v>383.60700000000003</v>
      </c>
      <c r="Q950">
        <v>9</v>
      </c>
      <c r="R950">
        <v>-5.4801000000000002</v>
      </c>
      <c r="S950" s="9" t="s">
        <v>58</v>
      </c>
      <c r="T950" t="s">
        <v>71</v>
      </c>
    </row>
    <row r="951" spans="1:20" x14ac:dyDescent="0.2">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v>7.76</v>
      </c>
      <c r="Q951">
        <v>1</v>
      </c>
      <c r="R951">
        <v>-2.1339999999999999</v>
      </c>
      <c r="S951" s="9" t="s">
        <v>58</v>
      </c>
      <c r="T951" t="s">
        <v>71</v>
      </c>
    </row>
    <row r="952" spans="1:20" x14ac:dyDescent="0.2">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v>351.21600000000001</v>
      </c>
      <c r="Q952">
        <v>3</v>
      </c>
      <c r="R952">
        <v>4.3902000000000001</v>
      </c>
      <c r="S952" s="9" t="s">
        <v>83</v>
      </c>
      <c r="T952" t="s">
        <v>71</v>
      </c>
    </row>
    <row r="953" spans="1:20" x14ac:dyDescent="0.2">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v>230.28</v>
      </c>
      <c r="Q953">
        <v>3</v>
      </c>
      <c r="R953">
        <v>23.027999999999999</v>
      </c>
      <c r="S953" s="9" t="s">
        <v>129</v>
      </c>
      <c r="T953" t="s">
        <v>96</v>
      </c>
    </row>
    <row r="954" spans="1:20" x14ac:dyDescent="0.2">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v>127.869</v>
      </c>
      <c r="Q954">
        <v>3</v>
      </c>
      <c r="R954">
        <v>-9.1334999999999997</v>
      </c>
      <c r="S954" s="9" t="s">
        <v>33</v>
      </c>
      <c r="T954" t="s">
        <v>161</v>
      </c>
    </row>
    <row r="955" spans="1:20" x14ac:dyDescent="0.2">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v>36.4</v>
      </c>
      <c r="Q955">
        <v>5</v>
      </c>
      <c r="R955">
        <v>13.832000000000001</v>
      </c>
      <c r="S955" s="9" t="s">
        <v>58</v>
      </c>
      <c r="T955" t="s">
        <v>96</v>
      </c>
    </row>
    <row r="956" spans="1:20" x14ac:dyDescent="0.2">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v>419.13600000000002</v>
      </c>
      <c r="Q956">
        <v>4</v>
      </c>
      <c r="R956">
        <v>-57.6312</v>
      </c>
      <c r="S956" s="9" t="s">
        <v>83</v>
      </c>
      <c r="T956" t="s">
        <v>77</v>
      </c>
    </row>
    <row r="957" spans="1:20" x14ac:dyDescent="0.2">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v>76.14</v>
      </c>
      <c r="Q957">
        <v>3</v>
      </c>
      <c r="R957">
        <v>26.649000000000001</v>
      </c>
      <c r="S957" s="9" t="s">
        <v>70</v>
      </c>
      <c r="T957" t="s">
        <v>113</v>
      </c>
    </row>
    <row r="958" spans="1:20" x14ac:dyDescent="0.2">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v>33.479999999999997</v>
      </c>
      <c r="Q958">
        <v>4</v>
      </c>
      <c r="R958">
        <v>8.7048000000000005</v>
      </c>
      <c r="S958" s="9" t="s">
        <v>129</v>
      </c>
      <c r="T958" t="s">
        <v>96</v>
      </c>
    </row>
    <row r="959" spans="1:20" x14ac:dyDescent="0.2">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v>25.632000000000001</v>
      </c>
      <c r="Q959">
        <v>3</v>
      </c>
      <c r="R959">
        <v>3.8448000000000002</v>
      </c>
      <c r="S959" s="9" t="s">
        <v>33</v>
      </c>
      <c r="T959" t="s">
        <v>77</v>
      </c>
    </row>
    <row r="960" spans="1:20" x14ac:dyDescent="0.2">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v>25.02</v>
      </c>
      <c r="Q960">
        <v>3</v>
      </c>
      <c r="R960">
        <v>10.5084</v>
      </c>
      <c r="S960" s="9" t="s">
        <v>70</v>
      </c>
      <c r="T960" t="s">
        <v>34</v>
      </c>
    </row>
    <row r="961" spans="1:20" x14ac:dyDescent="0.2">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v>146.352</v>
      </c>
      <c r="Q961">
        <v>3</v>
      </c>
      <c r="R961">
        <v>-5.4882</v>
      </c>
      <c r="S961" s="9" t="s">
        <v>58</v>
      </c>
      <c r="T961" t="s">
        <v>96</v>
      </c>
    </row>
    <row r="962" spans="1:20" x14ac:dyDescent="0.2">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v>902.71199999999999</v>
      </c>
      <c r="Q962">
        <v>3</v>
      </c>
      <c r="R962">
        <v>33.851700000000001</v>
      </c>
      <c r="S962" s="9" t="s">
        <v>58</v>
      </c>
      <c r="T962" t="s">
        <v>96</v>
      </c>
    </row>
    <row r="963" spans="1:20" x14ac:dyDescent="0.2">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v>150.97999999999999</v>
      </c>
      <c r="Q963">
        <v>1</v>
      </c>
      <c r="R963">
        <v>43.784199999999998</v>
      </c>
      <c r="S963" s="9" t="s">
        <v>83</v>
      </c>
      <c r="T963" t="s">
        <v>71</v>
      </c>
    </row>
    <row r="964" spans="1:20" x14ac:dyDescent="0.2">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v>47.12</v>
      </c>
      <c r="Q964">
        <v>8</v>
      </c>
      <c r="R964">
        <v>20.732800000000001</v>
      </c>
      <c r="S964" s="9" t="s">
        <v>58</v>
      </c>
      <c r="T964" t="s">
        <v>34</v>
      </c>
    </row>
    <row r="965" spans="1:20" x14ac:dyDescent="0.2">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v>542.94000000000005</v>
      </c>
      <c r="Q965">
        <v>3</v>
      </c>
      <c r="R965">
        <v>141.1644</v>
      </c>
      <c r="S965" s="9" t="s">
        <v>58</v>
      </c>
      <c r="T965" t="s">
        <v>77</v>
      </c>
    </row>
    <row r="966" spans="1:20" x14ac:dyDescent="0.2">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v>14.135999999999999</v>
      </c>
      <c r="Q966">
        <v>3</v>
      </c>
      <c r="R966">
        <v>4.2408000000000001</v>
      </c>
      <c r="S966" s="9" t="s">
        <v>58</v>
      </c>
      <c r="T966" t="s">
        <v>77</v>
      </c>
    </row>
    <row r="967" spans="1:20" x14ac:dyDescent="0.2">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v>17.14</v>
      </c>
      <c r="Q967">
        <v>2</v>
      </c>
      <c r="R967">
        <v>6.1703999999999999</v>
      </c>
      <c r="S967" s="9" t="s">
        <v>430</v>
      </c>
      <c r="T967" t="s">
        <v>48</v>
      </c>
    </row>
    <row r="968" spans="1:20" x14ac:dyDescent="0.2">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v>123.96</v>
      </c>
      <c r="Q968">
        <v>3</v>
      </c>
      <c r="R968">
        <v>11.1564</v>
      </c>
      <c r="S968" s="9" t="s">
        <v>58</v>
      </c>
      <c r="T968" t="s">
        <v>253</v>
      </c>
    </row>
    <row r="969" spans="1:20" x14ac:dyDescent="0.2">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v>586.39800000000002</v>
      </c>
      <c r="Q969">
        <v>6</v>
      </c>
      <c r="R969">
        <v>34.494</v>
      </c>
      <c r="S969" s="9" t="s">
        <v>58</v>
      </c>
      <c r="T969" t="s">
        <v>253</v>
      </c>
    </row>
    <row r="970" spans="1:20" x14ac:dyDescent="0.2">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v>579.13599999999997</v>
      </c>
      <c r="Q970">
        <v>4</v>
      </c>
      <c r="R970">
        <v>-28.956800000000001</v>
      </c>
      <c r="S970" s="9" t="s">
        <v>70</v>
      </c>
      <c r="T970" t="s">
        <v>48</v>
      </c>
    </row>
    <row r="971" spans="1:20" x14ac:dyDescent="0.2">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v>145.76400000000001</v>
      </c>
      <c r="Q971">
        <v>2</v>
      </c>
      <c r="R971">
        <v>-8.0980000000000008</v>
      </c>
      <c r="S971" s="9" t="s">
        <v>83</v>
      </c>
      <c r="T971" t="s">
        <v>253</v>
      </c>
    </row>
    <row r="972" spans="1:20" x14ac:dyDescent="0.2">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v>434.64600000000002</v>
      </c>
      <c r="Q972">
        <v>3</v>
      </c>
      <c r="R972">
        <v>62.782200000000003</v>
      </c>
      <c r="S972" s="9" t="s">
        <v>58</v>
      </c>
      <c r="T972" t="s">
        <v>113</v>
      </c>
    </row>
    <row r="973" spans="1:20" x14ac:dyDescent="0.2">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v>844.11599999999999</v>
      </c>
      <c r="Q973">
        <v>6</v>
      </c>
      <c r="R973">
        <v>-36.176400000000001</v>
      </c>
      <c r="S973" s="9" t="s">
        <v>83</v>
      </c>
      <c r="T973" t="s">
        <v>161</v>
      </c>
    </row>
    <row r="974" spans="1:20" x14ac:dyDescent="0.2">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v>79.92</v>
      </c>
      <c r="Q974">
        <v>4</v>
      </c>
      <c r="R974">
        <v>34.365600000000001</v>
      </c>
      <c r="S974" s="9" t="s">
        <v>47</v>
      </c>
      <c r="T974" t="s">
        <v>169</v>
      </c>
    </row>
    <row r="975" spans="1:20" x14ac:dyDescent="0.2">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v>623.46479999999997</v>
      </c>
      <c r="Q975">
        <v>7</v>
      </c>
      <c r="R975">
        <v>-119.1918</v>
      </c>
      <c r="S975" s="9" t="s">
        <v>58</v>
      </c>
      <c r="T975" t="s">
        <v>161</v>
      </c>
    </row>
    <row r="976" spans="1:20" x14ac:dyDescent="0.2">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v>272.94</v>
      </c>
      <c r="Q976">
        <v>3</v>
      </c>
      <c r="R976">
        <v>30.023399999999999</v>
      </c>
      <c r="S976" s="9" t="s">
        <v>129</v>
      </c>
      <c r="T976" t="s">
        <v>71</v>
      </c>
    </row>
    <row r="977" spans="1:20" x14ac:dyDescent="0.2">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v>15.007999999999999</v>
      </c>
      <c r="Q977">
        <v>2</v>
      </c>
      <c r="R977">
        <v>1.5007999999999999</v>
      </c>
      <c r="S977" s="9" t="s">
        <v>70</v>
      </c>
      <c r="T977" t="s">
        <v>195</v>
      </c>
    </row>
    <row r="978" spans="1:20" x14ac:dyDescent="0.2">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v>241.92</v>
      </c>
      <c r="Q978">
        <v>4</v>
      </c>
      <c r="R978">
        <v>-56.448</v>
      </c>
      <c r="S978" s="9" t="s">
        <v>58</v>
      </c>
      <c r="T978" t="s">
        <v>253</v>
      </c>
    </row>
    <row r="979" spans="1:20" x14ac:dyDescent="0.2">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v>163.88</v>
      </c>
      <c r="Q979">
        <v>4</v>
      </c>
      <c r="R979">
        <v>-81.94</v>
      </c>
      <c r="S979" s="9" t="s">
        <v>58</v>
      </c>
      <c r="T979" t="s">
        <v>253</v>
      </c>
    </row>
    <row r="980" spans="1:20" x14ac:dyDescent="0.2">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v>51.968000000000004</v>
      </c>
      <c r="Q980">
        <v>2</v>
      </c>
      <c r="R980">
        <v>10.393599999999999</v>
      </c>
      <c r="S980" s="9" t="s">
        <v>70</v>
      </c>
      <c r="T980" t="s">
        <v>96</v>
      </c>
    </row>
    <row r="981" spans="1:20" x14ac:dyDescent="0.2">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v>242.352</v>
      </c>
      <c r="Q981">
        <v>3</v>
      </c>
      <c r="R981">
        <v>-42.4116</v>
      </c>
      <c r="S981" s="9" t="s">
        <v>70</v>
      </c>
      <c r="T981" t="s">
        <v>96</v>
      </c>
    </row>
    <row r="982" spans="1:20" x14ac:dyDescent="0.2">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v>302.94</v>
      </c>
      <c r="Q982">
        <v>3</v>
      </c>
      <c r="R982">
        <v>48.470399999999998</v>
      </c>
      <c r="S982" s="9" t="s">
        <v>430</v>
      </c>
      <c r="T982" t="s">
        <v>96</v>
      </c>
    </row>
    <row r="983" spans="1:20" x14ac:dyDescent="0.2">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v>142.36000000000001</v>
      </c>
      <c r="Q983">
        <v>2</v>
      </c>
      <c r="R983">
        <v>38.437199999999997</v>
      </c>
      <c r="S983" s="9" t="s">
        <v>430</v>
      </c>
      <c r="T983" t="s">
        <v>96</v>
      </c>
    </row>
    <row r="984" spans="1:20" x14ac:dyDescent="0.2">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v>546.66</v>
      </c>
      <c r="Q984">
        <v>9</v>
      </c>
      <c r="R984">
        <v>136.66499999999999</v>
      </c>
      <c r="S984" s="9" t="s">
        <v>430</v>
      </c>
      <c r="T984" t="s">
        <v>96</v>
      </c>
    </row>
    <row r="985" spans="1:20" x14ac:dyDescent="0.2">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v>212.13</v>
      </c>
      <c r="Q985">
        <v>3</v>
      </c>
      <c r="R985">
        <v>14.8491</v>
      </c>
      <c r="S985" s="9" t="s">
        <v>430</v>
      </c>
      <c r="T985" t="s">
        <v>96</v>
      </c>
    </row>
    <row r="986" spans="1:20" x14ac:dyDescent="0.2">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v>7.9960000000000004</v>
      </c>
      <c r="Q986">
        <v>1</v>
      </c>
      <c r="R986">
        <v>-6.9965000000000002</v>
      </c>
      <c r="S986" s="9" t="s">
        <v>129</v>
      </c>
      <c r="T986" t="s">
        <v>161</v>
      </c>
    </row>
    <row r="987" spans="1:20" x14ac:dyDescent="0.2">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v>173.24</v>
      </c>
      <c r="Q987">
        <v>4</v>
      </c>
      <c r="R987">
        <v>17.324000000000002</v>
      </c>
      <c r="S987" s="9" t="s">
        <v>123</v>
      </c>
      <c r="T987" t="s">
        <v>161</v>
      </c>
    </row>
    <row r="988" spans="1:20" x14ac:dyDescent="0.2">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v>56.567999999999998</v>
      </c>
      <c r="Q988">
        <v>2</v>
      </c>
      <c r="R988">
        <v>-74.952600000000004</v>
      </c>
      <c r="S988" s="9" t="s">
        <v>58</v>
      </c>
      <c r="T988" t="s">
        <v>96</v>
      </c>
    </row>
    <row r="989" spans="1:20" x14ac:dyDescent="0.2">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v>521.96</v>
      </c>
      <c r="Q989">
        <v>2</v>
      </c>
      <c r="R989">
        <v>88.733199999999997</v>
      </c>
      <c r="S989" s="9" t="s">
        <v>83</v>
      </c>
      <c r="T989" t="s">
        <v>96</v>
      </c>
    </row>
    <row r="990" spans="1:20" x14ac:dyDescent="0.2">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v>268.935</v>
      </c>
      <c r="Q990">
        <v>3</v>
      </c>
      <c r="R990">
        <v>-209.76929999999999</v>
      </c>
      <c r="S990" s="9" t="s">
        <v>83</v>
      </c>
      <c r="T990" t="s">
        <v>59</v>
      </c>
    </row>
    <row r="991" spans="1:20" x14ac:dyDescent="0.2">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v>275.952</v>
      </c>
      <c r="Q991">
        <v>3</v>
      </c>
      <c r="R991">
        <v>-37.943399999999997</v>
      </c>
      <c r="S991" s="9" t="s">
        <v>83</v>
      </c>
      <c r="T991" t="s">
        <v>34</v>
      </c>
    </row>
    <row r="992" spans="1:20" x14ac:dyDescent="0.2">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v>19.920000000000002</v>
      </c>
      <c r="Q992">
        <v>3</v>
      </c>
      <c r="R992">
        <v>9.5616000000000003</v>
      </c>
      <c r="S992" s="9" t="s">
        <v>70</v>
      </c>
      <c r="T992" t="s">
        <v>195</v>
      </c>
    </row>
    <row r="993" spans="1:20" x14ac:dyDescent="0.2">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v>658.74599999999998</v>
      </c>
      <c r="Q993">
        <v>3</v>
      </c>
      <c r="R993">
        <v>146.38800000000001</v>
      </c>
      <c r="S993" s="9" t="s">
        <v>58</v>
      </c>
      <c r="T993" t="s">
        <v>113</v>
      </c>
    </row>
    <row r="994" spans="1:20" x14ac:dyDescent="0.2">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v>35.543999999999997</v>
      </c>
      <c r="Q994">
        <v>1</v>
      </c>
      <c r="R994">
        <v>-0.88859999999999995</v>
      </c>
      <c r="S994" s="9" t="s">
        <v>129</v>
      </c>
      <c r="T994" t="s">
        <v>297</v>
      </c>
    </row>
    <row r="995" spans="1:20" x14ac:dyDescent="0.2">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v>35.28</v>
      </c>
      <c r="Q995">
        <v>3</v>
      </c>
      <c r="R995">
        <v>11.995200000000001</v>
      </c>
      <c r="S995" s="9" t="s">
        <v>430</v>
      </c>
      <c r="T995" t="s">
        <v>195</v>
      </c>
    </row>
    <row r="996" spans="1:20" x14ac:dyDescent="0.2">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v>209.56800000000001</v>
      </c>
      <c r="Q996">
        <v>2</v>
      </c>
      <c r="R996">
        <v>-23.5764</v>
      </c>
      <c r="S996" s="9" t="s">
        <v>83</v>
      </c>
      <c r="T996" t="s">
        <v>34</v>
      </c>
    </row>
    <row r="997" spans="1:20" x14ac:dyDescent="0.2">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v>6.4640000000000004</v>
      </c>
      <c r="Q997">
        <v>1</v>
      </c>
      <c r="R997">
        <v>-4.04</v>
      </c>
      <c r="S997" s="9" t="s">
        <v>83</v>
      </c>
      <c r="T997" t="s">
        <v>34</v>
      </c>
    </row>
    <row r="998" spans="1:20" x14ac:dyDescent="0.2">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v>63.881999999999998</v>
      </c>
      <c r="Q998">
        <v>1</v>
      </c>
      <c r="R998">
        <v>10.647</v>
      </c>
      <c r="S998" s="9" t="s">
        <v>70</v>
      </c>
      <c r="T998" t="s">
        <v>71</v>
      </c>
    </row>
    <row r="999" spans="1:20" x14ac:dyDescent="0.2">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v>683.14400000000001</v>
      </c>
      <c r="Q999">
        <v>4</v>
      </c>
      <c r="R999">
        <v>0</v>
      </c>
      <c r="S999" s="9" t="s">
        <v>58</v>
      </c>
      <c r="T999" t="s">
        <v>34</v>
      </c>
    </row>
    <row r="1000" spans="1:20" x14ac:dyDescent="0.2">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v>69.575999999999993</v>
      </c>
      <c r="Q1000">
        <v>4</v>
      </c>
      <c r="R1000">
        <v>-143.79040000000001</v>
      </c>
      <c r="S1000" s="9" t="s">
        <v>58</v>
      </c>
      <c r="T1000" t="s">
        <v>96</v>
      </c>
    </row>
    <row r="1001" spans="1:20" x14ac:dyDescent="0.2">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v>52.415999999999997</v>
      </c>
      <c r="Q1001">
        <v>9</v>
      </c>
      <c r="R1001">
        <v>15.069599999999999</v>
      </c>
      <c r="S1001" s="9" t="s">
        <v>58</v>
      </c>
      <c r="T1001" t="s">
        <v>96</v>
      </c>
    </row>
    <row r="1002" spans="1:20" x14ac:dyDescent="0.2">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v>54.92</v>
      </c>
      <c r="Q1002">
        <v>5</v>
      </c>
      <c r="R1002">
        <v>10.984</v>
      </c>
      <c r="S1002" s="9" t="s">
        <v>58</v>
      </c>
      <c r="T1002" t="s">
        <v>96</v>
      </c>
    </row>
    <row r="1003" spans="1:20" x14ac:dyDescent="0.2">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v>364.95</v>
      </c>
      <c r="Q1003">
        <v>5</v>
      </c>
      <c r="R1003">
        <v>-248.166</v>
      </c>
      <c r="S1003" s="9" t="s">
        <v>58</v>
      </c>
      <c r="T1003" t="s">
        <v>96</v>
      </c>
    </row>
    <row r="1004" spans="1:20" x14ac:dyDescent="0.2">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v>43.13</v>
      </c>
      <c r="Q1004">
        <v>1</v>
      </c>
      <c r="R1004">
        <v>18.114599999999999</v>
      </c>
      <c r="S1004" s="9" t="s">
        <v>47</v>
      </c>
      <c r="T1004" t="s">
        <v>195</v>
      </c>
    </row>
    <row r="1005" spans="1:20" x14ac:dyDescent="0.2">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v>30.192</v>
      </c>
      <c r="Q1005">
        <v>3</v>
      </c>
      <c r="R1005">
        <v>8.3027999999999995</v>
      </c>
      <c r="S1005" s="9" t="s">
        <v>58</v>
      </c>
      <c r="T1005" t="s">
        <v>161</v>
      </c>
    </row>
    <row r="1006" spans="1:20" x14ac:dyDescent="0.2">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v>91.007999999999996</v>
      </c>
      <c r="Q1006">
        <v>9</v>
      </c>
      <c r="R1006">
        <v>19.339200000000002</v>
      </c>
      <c r="S1006" s="9" t="s">
        <v>83</v>
      </c>
      <c r="T1006" t="s">
        <v>71</v>
      </c>
    </row>
    <row r="1007" spans="1:20" x14ac:dyDescent="0.2">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v>380.05799999999999</v>
      </c>
      <c r="Q1007">
        <v>3</v>
      </c>
      <c r="R1007">
        <v>-21.717600000000001</v>
      </c>
      <c r="S1007" s="9" t="s">
        <v>58</v>
      </c>
      <c r="T1007" t="s">
        <v>34</v>
      </c>
    </row>
    <row r="1008" spans="1:20" x14ac:dyDescent="0.2">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v>48.576000000000001</v>
      </c>
      <c r="Q1008">
        <v>3</v>
      </c>
      <c r="R1008">
        <v>9.7151999999999994</v>
      </c>
      <c r="S1008" s="9" t="s">
        <v>58</v>
      </c>
      <c r="T1008" t="s">
        <v>34</v>
      </c>
    </row>
    <row r="1009" spans="1:20" x14ac:dyDescent="0.2">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v>127.554</v>
      </c>
      <c r="Q1009">
        <v>3</v>
      </c>
      <c r="R1009">
        <v>-9.1110000000000007</v>
      </c>
      <c r="S1009" s="9" t="s">
        <v>58</v>
      </c>
      <c r="T1009" t="s">
        <v>34</v>
      </c>
    </row>
    <row r="1010" spans="1:20" x14ac:dyDescent="0.2">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v>77.951999999999998</v>
      </c>
      <c r="Q1010">
        <v>3</v>
      </c>
      <c r="R1010">
        <v>15.590400000000001</v>
      </c>
      <c r="S1010" s="9" t="s">
        <v>58</v>
      </c>
      <c r="T1010" t="s">
        <v>34</v>
      </c>
    </row>
    <row r="1011" spans="1:20" x14ac:dyDescent="0.2">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v>27.58</v>
      </c>
      <c r="Q1011">
        <v>2</v>
      </c>
      <c r="R1011">
        <v>11.583600000000001</v>
      </c>
      <c r="S1011" s="9" t="s">
        <v>58</v>
      </c>
      <c r="T1011" t="s">
        <v>34</v>
      </c>
    </row>
    <row r="1012" spans="1:20" x14ac:dyDescent="0.2">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v>975.92</v>
      </c>
      <c r="Q1012">
        <v>5</v>
      </c>
      <c r="R1012">
        <v>121.99</v>
      </c>
      <c r="S1012" s="9" t="s">
        <v>129</v>
      </c>
      <c r="T1012" t="s">
        <v>77</v>
      </c>
    </row>
    <row r="1013" spans="1:20" x14ac:dyDescent="0.2">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v>12.54</v>
      </c>
      <c r="Q1013">
        <v>3</v>
      </c>
      <c r="R1013">
        <v>4.5144000000000002</v>
      </c>
      <c r="S1013" s="9" t="s">
        <v>33</v>
      </c>
      <c r="T1013" t="s">
        <v>96</v>
      </c>
    </row>
    <row r="1014" spans="1:20" x14ac:dyDescent="0.2">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v>9.24</v>
      </c>
      <c r="Q1014">
        <v>3</v>
      </c>
      <c r="R1014">
        <v>4.4352</v>
      </c>
      <c r="S1014" s="9" t="s">
        <v>33</v>
      </c>
      <c r="T1014" t="s">
        <v>96</v>
      </c>
    </row>
    <row r="1015" spans="1:20" x14ac:dyDescent="0.2">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v>77.599999999999994</v>
      </c>
      <c r="Q1015">
        <v>4</v>
      </c>
      <c r="R1015">
        <v>38.024000000000001</v>
      </c>
      <c r="S1015" s="9" t="s">
        <v>83</v>
      </c>
      <c r="T1015" t="s">
        <v>169</v>
      </c>
    </row>
    <row r="1016" spans="1:20" x14ac:dyDescent="0.2">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v>464.85</v>
      </c>
      <c r="Q1016">
        <v>9</v>
      </c>
      <c r="R1016">
        <v>92.97</v>
      </c>
      <c r="S1016" s="9" t="s">
        <v>83</v>
      </c>
      <c r="T1016" t="s">
        <v>169</v>
      </c>
    </row>
    <row r="1017" spans="1:20" x14ac:dyDescent="0.2">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v>2404.7040000000002</v>
      </c>
      <c r="Q1017">
        <v>6</v>
      </c>
      <c r="R1017">
        <v>150.29400000000001</v>
      </c>
      <c r="S1017" s="9" t="s">
        <v>58</v>
      </c>
      <c r="T1017" t="s">
        <v>34</v>
      </c>
    </row>
    <row r="1018" spans="1:20" x14ac:dyDescent="0.2">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v>975.92</v>
      </c>
      <c r="Q1018">
        <v>4</v>
      </c>
      <c r="R1018">
        <v>292.77600000000001</v>
      </c>
      <c r="S1018" s="9" t="s">
        <v>33</v>
      </c>
      <c r="T1018" t="s">
        <v>34</v>
      </c>
    </row>
    <row r="1019" spans="1:20" x14ac:dyDescent="0.2">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v>182.67</v>
      </c>
      <c r="Q1019">
        <v>3</v>
      </c>
      <c r="R1019">
        <v>52.974299999999999</v>
      </c>
      <c r="S1019" s="9" t="s">
        <v>33</v>
      </c>
      <c r="T1019" t="s">
        <v>34</v>
      </c>
    </row>
    <row r="1020" spans="1:20" x14ac:dyDescent="0.2">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v>183.37200000000001</v>
      </c>
      <c r="Q1020">
        <v>2</v>
      </c>
      <c r="R1020">
        <v>-7.8587999999999996</v>
      </c>
      <c r="S1020" s="9" t="s">
        <v>70</v>
      </c>
      <c r="T1020" t="s">
        <v>48</v>
      </c>
    </row>
    <row r="1021" spans="1:20" x14ac:dyDescent="0.2">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v>674.05799999999999</v>
      </c>
      <c r="Q1021">
        <v>3</v>
      </c>
      <c r="R1021">
        <v>-19.258800000000001</v>
      </c>
      <c r="S1021" s="9" t="s">
        <v>70</v>
      </c>
      <c r="T1021" t="s">
        <v>96</v>
      </c>
    </row>
    <row r="1022" spans="1:20" x14ac:dyDescent="0.2">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v>254.05799999999999</v>
      </c>
      <c r="Q1022">
        <v>3</v>
      </c>
      <c r="R1022">
        <v>-32.6646</v>
      </c>
      <c r="S1022" s="9" t="s">
        <v>70</v>
      </c>
      <c r="T1022" t="s">
        <v>48</v>
      </c>
    </row>
    <row r="1023" spans="1:20" x14ac:dyDescent="0.2">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v>173.94</v>
      </c>
      <c r="Q1023">
        <v>3</v>
      </c>
      <c r="R1023">
        <v>38.266800000000003</v>
      </c>
      <c r="S1023" s="9" t="s">
        <v>58</v>
      </c>
      <c r="T1023" t="s">
        <v>169</v>
      </c>
    </row>
    <row r="1024" spans="1:20" x14ac:dyDescent="0.2">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v>91.275000000000006</v>
      </c>
      <c r="Q1024">
        <v>1</v>
      </c>
      <c r="R1024">
        <v>-67.543499999999995</v>
      </c>
      <c r="S1024" s="9" t="s">
        <v>83</v>
      </c>
      <c r="T1024" t="s">
        <v>48</v>
      </c>
    </row>
    <row r="1025" spans="1:20" x14ac:dyDescent="0.2">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v>897.15</v>
      </c>
      <c r="Q1025">
        <v>3</v>
      </c>
      <c r="R1025">
        <v>251.202</v>
      </c>
      <c r="S1025" s="9" t="s">
        <v>58</v>
      </c>
      <c r="T1025" t="s">
        <v>96</v>
      </c>
    </row>
    <row r="1026" spans="1:20" x14ac:dyDescent="0.2">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v>333.99900000000002</v>
      </c>
      <c r="Q1026">
        <v>3</v>
      </c>
      <c r="R1026">
        <v>3.9293999999999998</v>
      </c>
      <c r="S1026" s="9" t="s">
        <v>58</v>
      </c>
      <c r="T1026" t="s">
        <v>169</v>
      </c>
    </row>
    <row r="1027" spans="1:20" x14ac:dyDescent="0.2">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v>1268.82</v>
      </c>
      <c r="Q1027">
        <v>9</v>
      </c>
      <c r="R1027">
        <v>266.4522</v>
      </c>
      <c r="S1027" s="9" t="s">
        <v>47</v>
      </c>
      <c r="T1027" t="s">
        <v>297</v>
      </c>
    </row>
    <row r="1028" spans="1:20" x14ac:dyDescent="0.2">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v>283.92</v>
      </c>
      <c r="Q1028">
        <v>4</v>
      </c>
      <c r="R1028">
        <v>82.336799999999997</v>
      </c>
      <c r="S1028" s="9" t="s">
        <v>47</v>
      </c>
      <c r="T1028" t="s">
        <v>297</v>
      </c>
    </row>
    <row r="1029" spans="1:20" x14ac:dyDescent="0.2">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v>18.84</v>
      </c>
      <c r="Q1029">
        <v>3</v>
      </c>
      <c r="R1029">
        <v>6.0288000000000004</v>
      </c>
      <c r="S1029" s="9" t="s">
        <v>58</v>
      </c>
      <c r="T1029" t="s">
        <v>34</v>
      </c>
    </row>
    <row r="1030" spans="1:20" x14ac:dyDescent="0.2">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v>37.4</v>
      </c>
      <c r="Q1030">
        <v>2</v>
      </c>
      <c r="R1030">
        <v>14.212</v>
      </c>
      <c r="S1030" s="9" t="s">
        <v>83</v>
      </c>
      <c r="T1030" t="s">
        <v>59</v>
      </c>
    </row>
    <row r="1031" spans="1:20" x14ac:dyDescent="0.2">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v>48.712000000000003</v>
      </c>
      <c r="Q1031">
        <v>1</v>
      </c>
      <c r="R1031">
        <v>5.4801000000000002</v>
      </c>
      <c r="S1031" s="9" t="s">
        <v>123</v>
      </c>
      <c r="T1031" t="s">
        <v>195</v>
      </c>
    </row>
    <row r="1032" spans="1:20" x14ac:dyDescent="0.2">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v>110.98</v>
      </c>
      <c r="Q1032">
        <v>1</v>
      </c>
      <c r="R1032">
        <v>15.5372</v>
      </c>
      <c r="S1032" s="9" t="s">
        <v>33</v>
      </c>
      <c r="T1032" t="s">
        <v>253</v>
      </c>
    </row>
    <row r="1033" spans="1:20" x14ac:dyDescent="0.2">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v>207.98400000000001</v>
      </c>
      <c r="Q1033">
        <v>2</v>
      </c>
      <c r="R1033">
        <v>-28.597799999999999</v>
      </c>
      <c r="S1033" s="9" t="s">
        <v>33</v>
      </c>
      <c r="T1033" t="s">
        <v>34</v>
      </c>
    </row>
    <row r="1034" spans="1:20" x14ac:dyDescent="0.2">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v>35.567999999999998</v>
      </c>
      <c r="Q1034">
        <v>2</v>
      </c>
      <c r="R1034">
        <v>5.7797999999999998</v>
      </c>
      <c r="S1034" s="9" t="s">
        <v>33</v>
      </c>
      <c r="T1034" t="s">
        <v>34</v>
      </c>
    </row>
    <row r="1035" spans="1:20" x14ac:dyDescent="0.2">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v>1325.76</v>
      </c>
      <c r="Q1035">
        <v>6</v>
      </c>
      <c r="R1035">
        <v>149.148</v>
      </c>
      <c r="S1035" s="9" t="s">
        <v>83</v>
      </c>
      <c r="T1035" t="s">
        <v>113</v>
      </c>
    </row>
    <row r="1036" spans="1:20" x14ac:dyDescent="0.2">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v>20.32</v>
      </c>
      <c r="Q1036">
        <v>5</v>
      </c>
      <c r="R1036">
        <v>3.556</v>
      </c>
      <c r="S1036" s="9" t="s">
        <v>47</v>
      </c>
      <c r="T1036" t="s">
        <v>96</v>
      </c>
    </row>
    <row r="1037" spans="1:20" x14ac:dyDescent="0.2">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v>209.97900000000001</v>
      </c>
      <c r="Q1037">
        <v>7</v>
      </c>
      <c r="R1037">
        <v>-356.96429999999998</v>
      </c>
      <c r="S1037" s="9" t="s">
        <v>70</v>
      </c>
      <c r="T1037" t="s">
        <v>161</v>
      </c>
    </row>
    <row r="1038" spans="1:20" x14ac:dyDescent="0.2">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v>35.167999999999999</v>
      </c>
      <c r="Q1038">
        <v>7</v>
      </c>
      <c r="R1038">
        <v>9.6712000000000007</v>
      </c>
      <c r="S1038" s="9" t="s">
        <v>58</v>
      </c>
      <c r="T1038" t="s">
        <v>34</v>
      </c>
    </row>
    <row r="1039" spans="1:20" x14ac:dyDescent="0.2">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v>10.11</v>
      </c>
      <c r="Q1039">
        <v>3</v>
      </c>
      <c r="R1039">
        <v>3.2351999999999999</v>
      </c>
      <c r="S1039" s="9" t="s">
        <v>33</v>
      </c>
      <c r="T1039" t="s">
        <v>34</v>
      </c>
    </row>
    <row r="1040" spans="1:20" x14ac:dyDescent="0.2">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v>39.92</v>
      </c>
      <c r="Q1040">
        <v>4</v>
      </c>
      <c r="R1040">
        <v>11.1776</v>
      </c>
      <c r="S1040" s="9" t="s">
        <v>129</v>
      </c>
      <c r="T1040" t="s">
        <v>96</v>
      </c>
    </row>
    <row r="1041" spans="1:20" x14ac:dyDescent="0.2">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v>302.67</v>
      </c>
      <c r="Q1041">
        <v>3</v>
      </c>
      <c r="R1041">
        <v>72.640799999999999</v>
      </c>
      <c r="S1041" s="9" t="s">
        <v>58</v>
      </c>
      <c r="T1041" t="s">
        <v>71</v>
      </c>
    </row>
    <row r="1042" spans="1:20" x14ac:dyDescent="0.2">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v>212.94</v>
      </c>
      <c r="Q1042">
        <v>3</v>
      </c>
      <c r="R1042">
        <v>25.552800000000001</v>
      </c>
      <c r="S1042" s="9" t="s">
        <v>47</v>
      </c>
      <c r="T1042" t="s">
        <v>96</v>
      </c>
    </row>
    <row r="1043" spans="1:20" x14ac:dyDescent="0.2">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v>687.4</v>
      </c>
      <c r="Q1043">
        <v>5</v>
      </c>
      <c r="R1043">
        <v>48.118000000000002</v>
      </c>
      <c r="S1043" s="9" t="s">
        <v>83</v>
      </c>
      <c r="T1043" t="s">
        <v>253</v>
      </c>
    </row>
    <row r="1044" spans="1:20" x14ac:dyDescent="0.2">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v>653.54999999999995</v>
      </c>
      <c r="Q1044">
        <v>3</v>
      </c>
      <c r="R1044">
        <v>111.1035</v>
      </c>
      <c r="S1044" s="9" t="s">
        <v>129</v>
      </c>
      <c r="T1044" t="s">
        <v>113</v>
      </c>
    </row>
    <row r="1045" spans="1:20" x14ac:dyDescent="0.2">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v>199.83600000000001</v>
      </c>
      <c r="Q1045">
        <v>4</v>
      </c>
      <c r="R1045">
        <v>-37.112400000000001</v>
      </c>
      <c r="S1045" s="9" t="s">
        <v>123</v>
      </c>
      <c r="T1045" t="s">
        <v>71</v>
      </c>
    </row>
    <row r="1046" spans="1:20" x14ac:dyDescent="0.2">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v>467.46</v>
      </c>
      <c r="Q1046">
        <v>9</v>
      </c>
      <c r="R1046">
        <v>191.65860000000001</v>
      </c>
      <c r="S1046" s="9" t="s">
        <v>33</v>
      </c>
      <c r="T1046" t="s">
        <v>34</v>
      </c>
    </row>
    <row r="1047" spans="1:20" x14ac:dyDescent="0.2">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v>1352.3976</v>
      </c>
      <c r="Q1047">
        <v>9</v>
      </c>
      <c r="R1047">
        <v>-437.54039999999998</v>
      </c>
      <c r="S1047" s="9" t="s">
        <v>58</v>
      </c>
      <c r="T1047" t="s">
        <v>169</v>
      </c>
    </row>
    <row r="1048" spans="1:20" x14ac:dyDescent="0.2">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v>123.96</v>
      </c>
      <c r="Q1048">
        <v>3</v>
      </c>
      <c r="R1048">
        <v>11.1564</v>
      </c>
      <c r="S1048" s="9" t="s">
        <v>83</v>
      </c>
      <c r="T1048" t="s">
        <v>161</v>
      </c>
    </row>
    <row r="1049" spans="1:20" x14ac:dyDescent="0.2">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v>1781.682</v>
      </c>
      <c r="Q1049">
        <v>7</v>
      </c>
      <c r="R1049">
        <v>-653.28340000000003</v>
      </c>
      <c r="S1049" s="9" t="s">
        <v>47</v>
      </c>
      <c r="T1049" t="s">
        <v>34</v>
      </c>
    </row>
    <row r="1050" spans="1:20" x14ac:dyDescent="0.2">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v>53.88</v>
      </c>
      <c r="Q1050">
        <v>6</v>
      </c>
      <c r="R1050">
        <v>22.6296</v>
      </c>
      <c r="S1050" s="9" t="s">
        <v>83</v>
      </c>
      <c r="T1050" t="s">
        <v>253</v>
      </c>
    </row>
    <row r="1051" spans="1:20" x14ac:dyDescent="0.2">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v>744.1</v>
      </c>
      <c r="Q1051">
        <v>5</v>
      </c>
      <c r="R1051">
        <v>-95.67</v>
      </c>
      <c r="S1051" s="9" t="s">
        <v>70</v>
      </c>
      <c r="T1051" t="s">
        <v>113</v>
      </c>
    </row>
    <row r="1052" spans="1:20" x14ac:dyDescent="0.2">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v>401.59</v>
      </c>
      <c r="Q1052">
        <v>2</v>
      </c>
      <c r="R1052">
        <v>-131.95099999999999</v>
      </c>
      <c r="S1052" s="9" t="s">
        <v>70</v>
      </c>
      <c r="T1052" t="s">
        <v>113</v>
      </c>
    </row>
    <row r="1053" spans="1:20" x14ac:dyDescent="0.2">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v>359.49900000000002</v>
      </c>
      <c r="Q1053">
        <v>3</v>
      </c>
      <c r="R1053">
        <v>-29.605799999999999</v>
      </c>
      <c r="S1053" s="9" t="s">
        <v>83</v>
      </c>
      <c r="T1053" t="s">
        <v>34</v>
      </c>
    </row>
    <row r="1054" spans="1:20" x14ac:dyDescent="0.2">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v>214.95</v>
      </c>
      <c r="Q1054">
        <v>5</v>
      </c>
      <c r="R1054">
        <v>-120.372</v>
      </c>
      <c r="S1054" s="9" t="s">
        <v>83</v>
      </c>
      <c r="T1054" t="s">
        <v>96</v>
      </c>
    </row>
    <row r="1055" spans="1:20" x14ac:dyDescent="0.2">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v>10.776</v>
      </c>
      <c r="Q1055">
        <v>3</v>
      </c>
      <c r="R1055">
        <v>-4.8491999999999997</v>
      </c>
      <c r="S1055" s="9" t="s">
        <v>83</v>
      </c>
      <c r="T1055" t="s">
        <v>96</v>
      </c>
    </row>
    <row r="1056" spans="1:20" x14ac:dyDescent="0.2">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v>186.304</v>
      </c>
      <c r="Q1056">
        <v>4</v>
      </c>
      <c r="R1056">
        <v>13.972799999999999</v>
      </c>
      <c r="S1056" s="9" t="s">
        <v>129</v>
      </c>
      <c r="T1056" t="s">
        <v>96</v>
      </c>
    </row>
    <row r="1057" spans="1:20" x14ac:dyDescent="0.2">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v>17.495999999999999</v>
      </c>
      <c r="Q1057">
        <v>9</v>
      </c>
      <c r="R1057">
        <v>-7.4358000000000004</v>
      </c>
      <c r="S1057" s="9" t="s">
        <v>430</v>
      </c>
      <c r="T1057" t="s">
        <v>34</v>
      </c>
    </row>
    <row r="1058" spans="1:20" x14ac:dyDescent="0.2">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v>464.29199999999997</v>
      </c>
      <c r="Q1058">
        <v>9</v>
      </c>
      <c r="R1058">
        <v>-108.3348</v>
      </c>
      <c r="S1058" s="9" t="s">
        <v>430</v>
      </c>
      <c r="T1058" t="s">
        <v>77</v>
      </c>
    </row>
    <row r="1059" spans="1:20" x14ac:dyDescent="0.2">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v>101.12</v>
      </c>
      <c r="Q1059">
        <v>8</v>
      </c>
      <c r="R1059">
        <v>37.414400000000001</v>
      </c>
      <c r="S1059" s="9" t="s">
        <v>47</v>
      </c>
      <c r="T1059" t="s">
        <v>96</v>
      </c>
    </row>
    <row r="1060" spans="1:20" x14ac:dyDescent="0.2">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v>30.36</v>
      </c>
      <c r="Q1060">
        <v>4</v>
      </c>
      <c r="R1060">
        <v>13.0548</v>
      </c>
      <c r="S1060" s="9" t="s">
        <v>83</v>
      </c>
      <c r="T1060" t="s">
        <v>34</v>
      </c>
    </row>
    <row r="1061" spans="1:20" x14ac:dyDescent="0.2">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v>1317.492</v>
      </c>
      <c r="Q1061">
        <v>6</v>
      </c>
      <c r="R1061">
        <v>292.77600000000001</v>
      </c>
      <c r="S1061" s="9" t="s">
        <v>83</v>
      </c>
      <c r="T1061" t="s">
        <v>113</v>
      </c>
    </row>
    <row r="1062" spans="1:20" x14ac:dyDescent="0.2">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v>86.26</v>
      </c>
      <c r="Q1062">
        <v>2</v>
      </c>
      <c r="R1062">
        <v>29.328399999999998</v>
      </c>
      <c r="S1062" s="9" t="s">
        <v>58</v>
      </c>
      <c r="T1062" t="s">
        <v>297</v>
      </c>
    </row>
    <row r="1063" spans="1:20" x14ac:dyDescent="0.2">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v>8.5440000000000005</v>
      </c>
      <c r="Q1063">
        <v>4</v>
      </c>
      <c r="R1063">
        <v>1.9224000000000001</v>
      </c>
      <c r="S1063" s="9" t="s">
        <v>47</v>
      </c>
      <c r="T1063" t="s">
        <v>96</v>
      </c>
    </row>
    <row r="1064" spans="1:20" x14ac:dyDescent="0.2">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v>842.37599999999998</v>
      </c>
      <c r="Q1064">
        <v>3</v>
      </c>
      <c r="R1064">
        <v>105.297</v>
      </c>
      <c r="S1064" s="9" t="s">
        <v>47</v>
      </c>
      <c r="T1064" t="s">
        <v>96</v>
      </c>
    </row>
    <row r="1065" spans="1:20" x14ac:dyDescent="0.2">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v>212.94</v>
      </c>
      <c r="Q1065">
        <v>3</v>
      </c>
      <c r="R1065">
        <v>34.070399999999999</v>
      </c>
      <c r="S1065" s="9" t="s">
        <v>123</v>
      </c>
      <c r="T1065" t="s">
        <v>253</v>
      </c>
    </row>
    <row r="1066" spans="1:20" x14ac:dyDescent="0.2">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v>569.05799999999999</v>
      </c>
      <c r="Q1066">
        <v>3</v>
      </c>
      <c r="R1066">
        <v>-178.8468</v>
      </c>
      <c r="S1066" s="9" t="s">
        <v>83</v>
      </c>
      <c r="T1066" t="s">
        <v>59</v>
      </c>
    </row>
    <row r="1067" spans="1:20" x14ac:dyDescent="0.2">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v>14.224</v>
      </c>
      <c r="Q1067">
        <v>2</v>
      </c>
      <c r="R1067">
        <v>-10.3124</v>
      </c>
      <c r="S1067" s="9" t="s">
        <v>83</v>
      </c>
      <c r="T1067" t="s">
        <v>59</v>
      </c>
    </row>
    <row r="1068" spans="1:20" x14ac:dyDescent="0.2">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v>1367.84</v>
      </c>
      <c r="Q1068">
        <v>8</v>
      </c>
      <c r="R1068">
        <v>259.88959999999997</v>
      </c>
      <c r="S1068" s="9" t="s">
        <v>129</v>
      </c>
      <c r="T1068" t="s">
        <v>71</v>
      </c>
    </row>
    <row r="1069" spans="1:20" x14ac:dyDescent="0.2">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v>301.95999999999998</v>
      </c>
      <c r="Q1069">
        <v>2</v>
      </c>
      <c r="R1069">
        <v>33.215600000000002</v>
      </c>
      <c r="S1069" s="9" t="s">
        <v>58</v>
      </c>
      <c r="T1069" t="s">
        <v>34</v>
      </c>
    </row>
    <row r="1070" spans="1:20" x14ac:dyDescent="0.2">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v>170.352</v>
      </c>
      <c r="Q1070">
        <v>3</v>
      </c>
      <c r="R1070">
        <v>-17.0352</v>
      </c>
      <c r="S1070" s="9" t="s">
        <v>58</v>
      </c>
      <c r="T1070" t="s">
        <v>71</v>
      </c>
    </row>
    <row r="1071" spans="1:20" x14ac:dyDescent="0.2">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v>563.94000000000005</v>
      </c>
      <c r="Q1071">
        <v>3</v>
      </c>
      <c r="R1071">
        <v>112.788</v>
      </c>
      <c r="S1071" s="9" t="s">
        <v>129</v>
      </c>
      <c r="T1071" t="s">
        <v>34</v>
      </c>
    </row>
    <row r="1072" spans="1:20" x14ac:dyDescent="0.2">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v>3504.9</v>
      </c>
      <c r="Q1072">
        <v>5</v>
      </c>
      <c r="R1072">
        <v>700.98</v>
      </c>
      <c r="S1072" s="9" t="s">
        <v>70</v>
      </c>
      <c r="T1072" t="s">
        <v>161</v>
      </c>
    </row>
    <row r="1073" spans="1:20" x14ac:dyDescent="0.2">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v>328.39920000000001</v>
      </c>
      <c r="Q1073">
        <v>3</v>
      </c>
      <c r="R1073">
        <v>-91.758600000000001</v>
      </c>
      <c r="S1073" s="9" t="s">
        <v>58</v>
      </c>
      <c r="T1073" t="s">
        <v>48</v>
      </c>
    </row>
    <row r="1074" spans="1:20" x14ac:dyDescent="0.2">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v>37.68</v>
      </c>
      <c r="Q1074">
        <v>2</v>
      </c>
      <c r="R1074">
        <v>15.8256</v>
      </c>
      <c r="S1074" s="9" t="s">
        <v>129</v>
      </c>
      <c r="T1074" t="s">
        <v>113</v>
      </c>
    </row>
    <row r="1075" spans="1:20" x14ac:dyDescent="0.2">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v>1516.2</v>
      </c>
      <c r="Q1075">
        <v>7</v>
      </c>
      <c r="R1075">
        <v>394.21199999999999</v>
      </c>
      <c r="S1075" s="9" t="s">
        <v>58</v>
      </c>
      <c r="T1075" t="s">
        <v>77</v>
      </c>
    </row>
    <row r="1076" spans="1:20" x14ac:dyDescent="0.2">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v>397.6</v>
      </c>
      <c r="Q1076">
        <v>5</v>
      </c>
      <c r="R1076">
        <v>43.735999999999997</v>
      </c>
      <c r="S1076" s="9" t="s">
        <v>33</v>
      </c>
      <c r="T1076" t="s">
        <v>34</v>
      </c>
    </row>
    <row r="1077" spans="1:20" x14ac:dyDescent="0.2">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v>104.23</v>
      </c>
      <c r="Q1077">
        <v>7</v>
      </c>
      <c r="R1077">
        <v>28.142099999999999</v>
      </c>
      <c r="S1077" s="9" t="s">
        <v>83</v>
      </c>
      <c r="T1077" t="s">
        <v>253</v>
      </c>
    </row>
    <row r="1078" spans="1:20" x14ac:dyDescent="0.2">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v>498.26</v>
      </c>
      <c r="Q1078">
        <v>7</v>
      </c>
      <c r="R1078">
        <v>134.53020000000001</v>
      </c>
      <c r="S1078" s="9" t="s">
        <v>430</v>
      </c>
      <c r="T1078" t="s">
        <v>77</v>
      </c>
    </row>
    <row r="1079" spans="1:20" x14ac:dyDescent="0.2">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v>212.94</v>
      </c>
      <c r="Q1079">
        <v>3</v>
      </c>
      <c r="R1079">
        <v>57.4938</v>
      </c>
      <c r="S1079" s="9" t="s">
        <v>129</v>
      </c>
      <c r="T1079" t="s">
        <v>59</v>
      </c>
    </row>
    <row r="1080" spans="1:20" x14ac:dyDescent="0.2">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v>353.56799999999998</v>
      </c>
      <c r="Q1080">
        <v>2</v>
      </c>
      <c r="R1080">
        <v>-44.195999999999998</v>
      </c>
      <c r="S1080" s="9" t="s">
        <v>58</v>
      </c>
      <c r="T1080" t="s">
        <v>59</v>
      </c>
    </row>
    <row r="1081" spans="1:20" x14ac:dyDescent="0.2">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v>697.16</v>
      </c>
      <c r="Q1081">
        <v>5</v>
      </c>
      <c r="R1081">
        <v>8.7144999999999992</v>
      </c>
      <c r="S1081" s="9" t="s">
        <v>33</v>
      </c>
      <c r="T1081" t="s">
        <v>195</v>
      </c>
    </row>
    <row r="1082" spans="1:20" x14ac:dyDescent="0.2">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v>30.93</v>
      </c>
      <c r="Q1082">
        <v>1</v>
      </c>
      <c r="R1082">
        <v>12.6813</v>
      </c>
      <c r="S1082" s="9" t="s">
        <v>33</v>
      </c>
      <c r="T1082" t="s">
        <v>195</v>
      </c>
    </row>
    <row r="1083" spans="1:20" x14ac:dyDescent="0.2">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v>605.34</v>
      </c>
      <c r="Q1083">
        <v>6</v>
      </c>
      <c r="R1083">
        <v>145.2816</v>
      </c>
      <c r="S1083" s="9" t="s">
        <v>83</v>
      </c>
      <c r="T1083" t="s">
        <v>48</v>
      </c>
    </row>
    <row r="1084" spans="1:20" x14ac:dyDescent="0.2">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v>210.00800000000001</v>
      </c>
      <c r="Q1084">
        <v>1</v>
      </c>
      <c r="R1084">
        <v>2.6251000000000002</v>
      </c>
      <c r="S1084" s="9" t="s">
        <v>123</v>
      </c>
      <c r="T1084" t="s">
        <v>253</v>
      </c>
    </row>
    <row r="1085" spans="1:20" x14ac:dyDescent="0.2">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v>164.22</v>
      </c>
      <c r="Q1085">
        <v>3</v>
      </c>
      <c r="R1085">
        <v>50.908200000000001</v>
      </c>
      <c r="S1085" s="9" t="s">
        <v>83</v>
      </c>
      <c r="T1085" t="s">
        <v>77</v>
      </c>
    </row>
    <row r="1086" spans="1:20" x14ac:dyDescent="0.2">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v>362.94</v>
      </c>
      <c r="Q1086">
        <v>3</v>
      </c>
      <c r="R1086">
        <v>36.293999999999997</v>
      </c>
      <c r="S1086" s="9" t="s">
        <v>83</v>
      </c>
      <c r="T1086" t="s">
        <v>77</v>
      </c>
    </row>
    <row r="1087" spans="1:20" x14ac:dyDescent="0.2">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v>136.464</v>
      </c>
      <c r="Q1087">
        <v>2</v>
      </c>
      <c r="R1087">
        <v>15.3522</v>
      </c>
      <c r="S1087" s="9" t="s">
        <v>70</v>
      </c>
      <c r="T1087" t="s">
        <v>253</v>
      </c>
    </row>
    <row r="1088" spans="1:20" x14ac:dyDescent="0.2">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v>99.372</v>
      </c>
      <c r="Q1088">
        <v>2</v>
      </c>
      <c r="R1088">
        <v>-7.0979999999999999</v>
      </c>
      <c r="S1088" s="9" t="s">
        <v>70</v>
      </c>
      <c r="T1088" t="s">
        <v>195</v>
      </c>
    </row>
    <row r="1089" spans="1:20" x14ac:dyDescent="0.2">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v>33.567999999999998</v>
      </c>
      <c r="Q1089">
        <v>2</v>
      </c>
      <c r="R1089">
        <v>-5.4547999999999996</v>
      </c>
      <c r="S1089" s="9" t="s">
        <v>70</v>
      </c>
      <c r="T1089" t="s">
        <v>195</v>
      </c>
    </row>
    <row r="1090" spans="1:20" x14ac:dyDescent="0.2">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v>200.79499999999999</v>
      </c>
      <c r="Q1090">
        <v>1</v>
      </c>
      <c r="R1090">
        <v>-22.948</v>
      </c>
      <c r="S1090" s="9" t="s">
        <v>33</v>
      </c>
      <c r="T1090" t="s">
        <v>77</v>
      </c>
    </row>
    <row r="1091" spans="1:20" x14ac:dyDescent="0.2">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v>32.36</v>
      </c>
      <c r="Q1091">
        <v>4</v>
      </c>
      <c r="R1091">
        <v>11.6496</v>
      </c>
      <c r="S1091" s="9" t="s">
        <v>430</v>
      </c>
      <c r="T1091" t="s">
        <v>77</v>
      </c>
    </row>
    <row r="1092" spans="1:20" x14ac:dyDescent="0.2">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v>27.92</v>
      </c>
      <c r="Q1092">
        <v>4</v>
      </c>
      <c r="R1092">
        <v>8.0968</v>
      </c>
      <c r="S1092" s="9" t="s">
        <v>430</v>
      </c>
      <c r="T1092" t="s">
        <v>169</v>
      </c>
    </row>
    <row r="1093" spans="1:20" x14ac:dyDescent="0.2">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v>399.67200000000003</v>
      </c>
      <c r="Q1093">
        <v>7</v>
      </c>
      <c r="R1093">
        <v>-14.9877</v>
      </c>
      <c r="S1093" s="9" t="s">
        <v>430</v>
      </c>
      <c r="T1093" t="s">
        <v>169</v>
      </c>
    </row>
    <row r="1094" spans="1:20" x14ac:dyDescent="0.2">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v>715.2</v>
      </c>
      <c r="Q1094">
        <v>3</v>
      </c>
      <c r="R1094">
        <v>178.8</v>
      </c>
      <c r="S1094" s="9" t="s">
        <v>70</v>
      </c>
      <c r="T1094" t="s">
        <v>34</v>
      </c>
    </row>
    <row r="1095" spans="1:20" x14ac:dyDescent="0.2">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v>340.11599999999999</v>
      </c>
      <c r="Q1095">
        <v>6</v>
      </c>
      <c r="R1095">
        <v>-9.7175999999999991</v>
      </c>
      <c r="S1095" s="9" t="s">
        <v>83</v>
      </c>
      <c r="T1095" t="s">
        <v>77</v>
      </c>
    </row>
    <row r="1096" spans="1:20" x14ac:dyDescent="0.2">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v>6.16</v>
      </c>
      <c r="Q1096">
        <v>2</v>
      </c>
      <c r="R1096">
        <v>2.9567999999999999</v>
      </c>
      <c r="S1096" s="9" t="s">
        <v>58</v>
      </c>
      <c r="T1096" t="s">
        <v>77</v>
      </c>
    </row>
    <row r="1097" spans="1:20" x14ac:dyDescent="0.2">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v>89.991</v>
      </c>
      <c r="Q1097">
        <v>3</v>
      </c>
      <c r="R1097">
        <v>-152.9847</v>
      </c>
      <c r="S1097" s="9" t="s">
        <v>123</v>
      </c>
      <c r="T1097" t="s">
        <v>161</v>
      </c>
    </row>
    <row r="1098" spans="1:20" x14ac:dyDescent="0.2">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v>966.7</v>
      </c>
      <c r="Q1098">
        <v>5</v>
      </c>
      <c r="R1098">
        <v>-13.81</v>
      </c>
      <c r="S1098" s="9" t="s">
        <v>47</v>
      </c>
      <c r="T1098" t="s">
        <v>77</v>
      </c>
    </row>
    <row r="1099" spans="1:20" x14ac:dyDescent="0.2">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v>51.588000000000001</v>
      </c>
      <c r="Q1099">
        <v>1</v>
      </c>
      <c r="R1099">
        <v>-15.4764</v>
      </c>
      <c r="S1099" s="9" t="s">
        <v>83</v>
      </c>
      <c r="T1099" t="s">
        <v>96</v>
      </c>
    </row>
    <row r="1100" spans="1:20" x14ac:dyDescent="0.2">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v>14.89</v>
      </c>
      <c r="Q1100">
        <v>1</v>
      </c>
      <c r="R1100">
        <v>4.0202999999999998</v>
      </c>
      <c r="S1100" s="9" t="s">
        <v>83</v>
      </c>
      <c r="T1100" t="s">
        <v>71</v>
      </c>
    </row>
    <row r="1101" spans="1:20" x14ac:dyDescent="0.2">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v>2275.5</v>
      </c>
      <c r="Q1101">
        <v>10</v>
      </c>
      <c r="R1101">
        <v>386.83499999999998</v>
      </c>
      <c r="S1101" s="9" t="s">
        <v>83</v>
      </c>
      <c r="T1101" t="s">
        <v>161</v>
      </c>
    </row>
    <row r="1102" spans="1:20" x14ac:dyDescent="0.2">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v>37.295999999999999</v>
      </c>
      <c r="Q1102">
        <v>2</v>
      </c>
      <c r="R1102">
        <v>-1.0656000000000001</v>
      </c>
      <c r="S1102" s="9" t="s">
        <v>83</v>
      </c>
      <c r="T1102" t="s">
        <v>34</v>
      </c>
    </row>
    <row r="1103" spans="1:20" x14ac:dyDescent="0.2">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v>8.5440000000000005</v>
      </c>
      <c r="Q1103">
        <v>2</v>
      </c>
      <c r="R1103">
        <v>-7.476</v>
      </c>
      <c r="S1103" s="9" t="s">
        <v>70</v>
      </c>
      <c r="T1103" t="s">
        <v>77</v>
      </c>
    </row>
    <row r="1104" spans="1:20" x14ac:dyDescent="0.2">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v>68.95</v>
      </c>
      <c r="Q1104">
        <v>5</v>
      </c>
      <c r="R1104">
        <v>28.959</v>
      </c>
      <c r="S1104" s="9" t="s">
        <v>58</v>
      </c>
      <c r="T1104" t="s">
        <v>297</v>
      </c>
    </row>
    <row r="1105" spans="1:20" x14ac:dyDescent="0.2">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v>191.05799999999999</v>
      </c>
      <c r="Q1105">
        <v>3</v>
      </c>
      <c r="R1105">
        <v>-46.399799999999999</v>
      </c>
      <c r="S1105" s="9" t="s">
        <v>70</v>
      </c>
      <c r="T1105" t="s">
        <v>34</v>
      </c>
    </row>
    <row r="1106" spans="1:20" x14ac:dyDescent="0.2">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v>64.959999999999994</v>
      </c>
      <c r="Q1106">
        <v>2</v>
      </c>
      <c r="R1106">
        <v>21.436800000000002</v>
      </c>
      <c r="S1106" s="9" t="s">
        <v>58</v>
      </c>
      <c r="T1106" t="s">
        <v>113</v>
      </c>
    </row>
    <row r="1107" spans="1:20" x14ac:dyDescent="0.2">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v>187.05600000000001</v>
      </c>
      <c r="Q1107">
        <v>9</v>
      </c>
      <c r="R1107">
        <v>11.691000000000001</v>
      </c>
      <c r="S1107" s="9" t="s">
        <v>129</v>
      </c>
      <c r="T1107" t="s">
        <v>161</v>
      </c>
    </row>
    <row r="1108" spans="1:20" x14ac:dyDescent="0.2">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v>11.808</v>
      </c>
      <c r="Q1108">
        <v>2</v>
      </c>
      <c r="R1108">
        <v>1.3284</v>
      </c>
      <c r="S1108" s="9" t="s">
        <v>33</v>
      </c>
      <c r="T1108" t="s">
        <v>48</v>
      </c>
    </row>
    <row r="1109" spans="1:20" x14ac:dyDescent="0.2">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v>9.6560000000000006</v>
      </c>
      <c r="Q1109">
        <v>1</v>
      </c>
      <c r="R1109">
        <v>1.5690999999999999</v>
      </c>
      <c r="S1109" s="9" t="s">
        <v>33</v>
      </c>
      <c r="T1109" t="s">
        <v>48</v>
      </c>
    </row>
    <row r="1110" spans="1:20" x14ac:dyDescent="0.2">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v>2314.116</v>
      </c>
      <c r="Q1110">
        <v>7</v>
      </c>
      <c r="R1110">
        <v>-1002.7836</v>
      </c>
      <c r="S1110" s="9" t="s">
        <v>33</v>
      </c>
      <c r="T1110" t="s">
        <v>48</v>
      </c>
    </row>
    <row r="1111" spans="1:20" x14ac:dyDescent="0.2">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v>19.760000000000002</v>
      </c>
      <c r="Q1111">
        <v>2</v>
      </c>
      <c r="R1111">
        <v>5.9279999999999999</v>
      </c>
      <c r="S1111" s="9" t="s">
        <v>33</v>
      </c>
      <c r="T1111" t="s">
        <v>48</v>
      </c>
    </row>
    <row r="1112" spans="1:20" x14ac:dyDescent="0.2">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v>25.08</v>
      </c>
      <c r="Q1112">
        <v>6</v>
      </c>
      <c r="R1112">
        <v>9.0288000000000004</v>
      </c>
      <c r="S1112" s="9" t="s">
        <v>58</v>
      </c>
      <c r="T1112" t="s">
        <v>96</v>
      </c>
    </row>
    <row r="1113" spans="1:20" x14ac:dyDescent="0.2">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v>63.94</v>
      </c>
      <c r="Q1113">
        <v>1</v>
      </c>
      <c r="R1113">
        <v>24.936599999999999</v>
      </c>
      <c r="S1113" s="9" t="s">
        <v>83</v>
      </c>
      <c r="T1113" t="s">
        <v>77</v>
      </c>
    </row>
    <row r="1114" spans="1:20" x14ac:dyDescent="0.2">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v>10.68</v>
      </c>
      <c r="Q1114">
        <v>4</v>
      </c>
      <c r="R1114">
        <v>4.0583999999999998</v>
      </c>
      <c r="S1114" s="9" t="s">
        <v>129</v>
      </c>
      <c r="T1114" t="s">
        <v>253</v>
      </c>
    </row>
    <row r="1115" spans="1:20" x14ac:dyDescent="0.2">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v>279.45600000000002</v>
      </c>
      <c r="Q1115">
        <v>6</v>
      </c>
      <c r="R1115">
        <v>20.959199999999999</v>
      </c>
      <c r="S1115" s="9" t="s">
        <v>129</v>
      </c>
      <c r="T1115" t="s">
        <v>161</v>
      </c>
    </row>
    <row r="1116" spans="1:20" x14ac:dyDescent="0.2">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v>198.27199999999999</v>
      </c>
      <c r="Q1116">
        <v>8</v>
      </c>
      <c r="R1116">
        <v>-32.219200000000001</v>
      </c>
      <c r="S1116" s="9" t="s">
        <v>83</v>
      </c>
      <c r="T1116" t="s">
        <v>113</v>
      </c>
    </row>
    <row r="1117" spans="1:20" x14ac:dyDescent="0.2">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v>70.56</v>
      </c>
      <c r="Q1117">
        <v>6</v>
      </c>
      <c r="R1117">
        <v>23.990400000000001</v>
      </c>
      <c r="S1117" s="9" t="s">
        <v>83</v>
      </c>
      <c r="T1117" t="s">
        <v>96</v>
      </c>
    </row>
    <row r="1118" spans="1:20" x14ac:dyDescent="0.2">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v>273.95999999999998</v>
      </c>
      <c r="Q1118">
        <v>2</v>
      </c>
      <c r="R1118">
        <v>71.229600000000005</v>
      </c>
      <c r="S1118" s="9" t="s">
        <v>83</v>
      </c>
      <c r="T1118" t="s">
        <v>113</v>
      </c>
    </row>
    <row r="1119" spans="1:20" x14ac:dyDescent="0.2">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v>306.89999999999998</v>
      </c>
      <c r="Q1119">
        <v>3</v>
      </c>
      <c r="R1119">
        <v>79.793999999999997</v>
      </c>
      <c r="S1119" s="9" t="s">
        <v>83</v>
      </c>
      <c r="T1119" t="s">
        <v>113</v>
      </c>
    </row>
    <row r="1120" spans="1:20" x14ac:dyDescent="0.2">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v>347.36099999999999</v>
      </c>
      <c r="Q1120">
        <v>7</v>
      </c>
      <c r="R1120">
        <v>-69.472200000000001</v>
      </c>
      <c r="S1120" s="9" t="s">
        <v>129</v>
      </c>
      <c r="T1120" t="s">
        <v>48</v>
      </c>
    </row>
    <row r="1121" spans="1:20" x14ac:dyDescent="0.2">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v>1025.8800000000001</v>
      </c>
      <c r="Q1121">
        <v>6</v>
      </c>
      <c r="R1121">
        <v>235.95240000000001</v>
      </c>
      <c r="S1121" s="9" t="s">
        <v>129</v>
      </c>
      <c r="T1121" t="s">
        <v>34</v>
      </c>
    </row>
    <row r="1122" spans="1:20" x14ac:dyDescent="0.2">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v>63.2</v>
      </c>
      <c r="Q1122">
        <v>5</v>
      </c>
      <c r="R1122">
        <v>23.384</v>
      </c>
      <c r="S1122" s="9" t="s">
        <v>430</v>
      </c>
      <c r="T1122" t="s">
        <v>77</v>
      </c>
    </row>
    <row r="1123" spans="1:20" x14ac:dyDescent="0.2">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v>556.66499999999996</v>
      </c>
      <c r="Q1123">
        <v>5</v>
      </c>
      <c r="R1123">
        <v>6.5490000000000004</v>
      </c>
      <c r="S1123" s="9" t="s">
        <v>58</v>
      </c>
      <c r="T1123" t="s">
        <v>113</v>
      </c>
    </row>
    <row r="1124" spans="1:20" x14ac:dyDescent="0.2">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v>111.9</v>
      </c>
      <c r="Q1124">
        <v>6</v>
      </c>
      <c r="R1124">
        <v>51.473999999999997</v>
      </c>
      <c r="S1124" s="9" t="s">
        <v>33</v>
      </c>
      <c r="T1124" t="s">
        <v>96</v>
      </c>
    </row>
    <row r="1125" spans="1:20" x14ac:dyDescent="0.2">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v>599.16499999999996</v>
      </c>
      <c r="Q1125">
        <v>5</v>
      </c>
      <c r="R1125">
        <v>35.244999999999997</v>
      </c>
      <c r="S1125" s="9" t="s">
        <v>430</v>
      </c>
      <c r="T1125" t="s">
        <v>59</v>
      </c>
    </row>
    <row r="1126" spans="1:20" x14ac:dyDescent="0.2">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v>31.984000000000002</v>
      </c>
      <c r="Q1126">
        <v>2</v>
      </c>
      <c r="R1126">
        <v>1.9990000000000001</v>
      </c>
      <c r="S1126" s="9" t="s">
        <v>70</v>
      </c>
      <c r="T1126" t="s">
        <v>77</v>
      </c>
    </row>
    <row r="1127" spans="1:20" x14ac:dyDescent="0.2">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v>19.52</v>
      </c>
      <c r="Q1127">
        <v>2</v>
      </c>
      <c r="R1127">
        <v>5.3680000000000003</v>
      </c>
      <c r="S1127" s="9" t="s">
        <v>33</v>
      </c>
      <c r="T1127" t="s">
        <v>71</v>
      </c>
    </row>
    <row r="1128" spans="1:20" x14ac:dyDescent="0.2">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v>213.21600000000001</v>
      </c>
      <c r="Q1128">
        <v>3</v>
      </c>
      <c r="R1128">
        <v>15.991199999999999</v>
      </c>
      <c r="S1128" s="9" t="s">
        <v>33</v>
      </c>
      <c r="T1128" t="s">
        <v>71</v>
      </c>
    </row>
    <row r="1129" spans="1:20" x14ac:dyDescent="0.2">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v>40.56</v>
      </c>
      <c r="Q1129">
        <v>2</v>
      </c>
      <c r="R1129">
        <v>12.979200000000001</v>
      </c>
      <c r="S1129" s="9" t="s">
        <v>47</v>
      </c>
      <c r="T1129" t="s">
        <v>77</v>
      </c>
    </row>
    <row r="1130" spans="1:20" x14ac:dyDescent="0.2">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v>68.459999999999994</v>
      </c>
      <c r="Q1130">
        <v>2</v>
      </c>
      <c r="R1130">
        <v>20.538</v>
      </c>
      <c r="S1130" s="9" t="s">
        <v>83</v>
      </c>
      <c r="T1130" t="s">
        <v>96</v>
      </c>
    </row>
    <row r="1131" spans="1:20" x14ac:dyDescent="0.2">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v>1478.2719999999999</v>
      </c>
      <c r="Q1131">
        <v>8</v>
      </c>
      <c r="R1131">
        <v>92.391999999999996</v>
      </c>
      <c r="S1131" s="9" t="s">
        <v>70</v>
      </c>
      <c r="T1131" t="s">
        <v>77</v>
      </c>
    </row>
    <row r="1132" spans="1:20" x14ac:dyDescent="0.2">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v>9.24</v>
      </c>
      <c r="Q1132">
        <v>3</v>
      </c>
      <c r="R1132">
        <v>4.4352</v>
      </c>
      <c r="S1132" s="9" t="s">
        <v>129</v>
      </c>
      <c r="T1132" t="s">
        <v>77</v>
      </c>
    </row>
    <row r="1133" spans="1:20" x14ac:dyDescent="0.2">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v>181.47</v>
      </c>
      <c r="Q1133">
        <v>5</v>
      </c>
      <c r="R1133">
        <v>-320.59699999999998</v>
      </c>
      <c r="S1133" s="9" t="s">
        <v>123</v>
      </c>
      <c r="T1133" t="s">
        <v>169</v>
      </c>
    </row>
    <row r="1134" spans="1:20" x14ac:dyDescent="0.2">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v>122.352</v>
      </c>
      <c r="Q1134">
        <v>3</v>
      </c>
      <c r="R1134">
        <v>13.7646</v>
      </c>
      <c r="S1134" s="9" t="s">
        <v>58</v>
      </c>
      <c r="T1134" t="s">
        <v>59</v>
      </c>
    </row>
    <row r="1135" spans="1:20" x14ac:dyDescent="0.2">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v>585.55200000000002</v>
      </c>
      <c r="Q1135">
        <v>3</v>
      </c>
      <c r="R1135">
        <v>73.194000000000003</v>
      </c>
      <c r="S1135" s="9" t="s">
        <v>123</v>
      </c>
      <c r="T1135" t="s">
        <v>77</v>
      </c>
    </row>
    <row r="1136" spans="1:20" x14ac:dyDescent="0.2">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v>13.36</v>
      </c>
      <c r="Q1136">
        <v>5</v>
      </c>
      <c r="R1136">
        <v>4.008</v>
      </c>
      <c r="S1136" s="9" t="s">
        <v>83</v>
      </c>
      <c r="T1136" t="s">
        <v>96</v>
      </c>
    </row>
    <row r="1137" spans="1:20" x14ac:dyDescent="0.2">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v>102.018</v>
      </c>
      <c r="Q1137">
        <v>7</v>
      </c>
      <c r="R1137">
        <v>-183.63239999999999</v>
      </c>
      <c r="S1137" s="9" t="s">
        <v>83</v>
      </c>
      <c r="T1137" t="s">
        <v>96</v>
      </c>
    </row>
    <row r="1138" spans="1:20" x14ac:dyDescent="0.2">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v>419.13600000000002</v>
      </c>
      <c r="Q1138">
        <v>4</v>
      </c>
      <c r="R1138">
        <v>-68.1096</v>
      </c>
      <c r="S1138" s="9" t="s">
        <v>58</v>
      </c>
      <c r="T1138" t="s">
        <v>169</v>
      </c>
    </row>
    <row r="1139" spans="1:20" x14ac:dyDescent="0.2">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v>218.352</v>
      </c>
      <c r="Q1139">
        <v>3</v>
      </c>
      <c r="R1139">
        <v>-19.105799999999999</v>
      </c>
      <c r="S1139" s="9" t="s">
        <v>33</v>
      </c>
      <c r="T1139" t="s">
        <v>113</v>
      </c>
    </row>
    <row r="1140" spans="1:20" x14ac:dyDescent="0.2">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v>411.33199999999999</v>
      </c>
      <c r="Q1140">
        <v>4</v>
      </c>
      <c r="R1140">
        <v>-4.8391999999999999</v>
      </c>
      <c r="S1140" s="9" t="s">
        <v>430</v>
      </c>
      <c r="T1140" t="s">
        <v>34</v>
      </c>
    </row>
    <row r="1141" spans="1:20" x14ac:dyDescent="0.2">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v>664.14599999999996</v>
      </c>
      <c r="Q1141">
        <v>6</v>
      </c>
      <c r="R1141">
        <v>88.552800000000005</v>
      </c>
      <c r="S1141" s="9" t="s">
        <v>33</v>
      </c>
      <c r="T1141" t="s">
        <v>71</v>
      </c>
    </row>
    <row r="1142" spans="1:20" x14ac:dyDescent="0.2">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v>3.3119999999999998</v>
      </c>
      <c r="Q1142">
        <v>1</v>
      </c>
      <c r="R1142">
        <v>0.66239999999999999</v>
      </c>
      <c r="S1142" s="9" t="s">
        <v>83</v>
      </c>
      <c r="T1142" t="s">
        <v>34</v>
      </c>
    </row>
    <row r="1143" spans="1:20" x14ac:dyDescent="0.2">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v>145.9</v>
      </c>
      <c r="Q1143">
        <v>5</v>
      </c>
      <c r="R1143">
        <v>62.737000000000002</v>
      </c>
      <c r="S1143" s="9" t="s">
        <v>83</v>
      </c>
      <c r="T1143" t="s">
        <v>48</v>
      </c>
    </row>
    <row r="1144" spans="1:20" x14ac:dyDescent="0.2">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v>239.96</v>
      </c>
      <c r="Q1144">
        <v>10</v>
      </c>
      <c r="R1144">
        <v>-10.284000000000001</v>
      </c>
      <c r="S1144" s="9" t="s">
        <v>58</v>
      </c>
      <c r="T1144" t="s">
        <v>96</v>
      </c>
    </row>
    <row r="1145" spans="1:20" x14ac:dyDescent="0.2">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v>54.768000000000001</v>
      </c>
      <c r="Q1145">
        <v>2</v>
      </c>
      <c r="R1145">
        <v>6.8460000000000001</v>
      </c>
      <c r="S1145" s="9" t="s">
        <v>58</v>
      </c>
      <c r="T1145" t="s">
        <v>96</v>
      </c>
    </row>
    <row r="1146" spans="1:20" x14ac:dyDescent="0.2">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v>181.98599999999999</v>
      </c>
      <c r="Q1146">
        <v>2</v>
      </c>
      <c r="R1146">
        <v>-54.595799999999997</v>
      </c>
      <c r="S1146" s="9" t="s">
        <v>83</v>
      </c>
      <c r="T1146" t="s">
        <v>161</v>
      </c>
    </row>
    <row r="1147" spans="1:20" x14ac:dyDescent="0.2">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v>455.97</v>
      </c>
      <c r="Q1147">
        <v>6</v>
      </c>
      <c r="R1147">
        <v>-218.8656</v>
      </c>
      <c r="S1147" s="9" t="s">
        <v>129</v>
      </c>
      <c r="T1147" t="s">
        <v>96</v>
      </c>
    </row>
    <row r="1148" spans="1:20" x14ac:dyDescent="0.2">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v>25.16</v>
      </c>
      <c r="Q1148">
        <v>2</v>
      </c>
      <c r="R1148">
        <v>10.5672</v>
      </c>
      <c r="S1148" s="9" t="s">
        <v>123</v>
      </c>
      <c r="T1148" t="s">
        <v>77</v>
      </c>
    </row>
    <row r="1149" spans="1:20" x14ac:dyDescent="0.2">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v>67.993200000000002</v>
      </c>
      <c r="Q1149">
        <v>1</v>
      </c>
      <c r="R1149">
        <v>-12.998699999999999</v>
      </c>
      <c r="S1149" s="9" t="s">
        <v>83</v>
      </c>
      <c r="T1149" t="s">
        <v>34</v>
      </c>
    </row>
    <row r="1150" spans="1:20" x14ac:dyDescent="0.2">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v>10.16</v>
      </c>
      <c r="Q1150">
        <v>2</v>
      </c>
      <c r="R1150">
        <v>3.4544000000000001</v>
      </c>
      <c r="S1150" s="9" t="s">
        <v>83</v>
      </c>
      <c r="T1150" t="s">
        <v>48</v>
      </c>
    </row>
    <row r="1151" spans="1:20" x14ac:dyDescent="0.2">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v>6.16</v>
      </c>
      <c r="Q1151">
        <v>2</v>
      </c>
      <c r="R1151">
        <v>1.9712000000000001</v>
      </c>
      <c r="S1151" s="9" t="s">
        <v>83</v>
      </c>
      <c r="T1151" t="s">
        <v>96</v>
      </c>
    </row>
    <row r="1152" spans="1:20" x14ac:dyDescent="0.2">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v>89.768000000000001</v>
      </c>
      <c r="Q1152">
        <v>1</v>
      </c>
      <c r="R1152">
        <v>-2.5648</v>
      </c>
      <c r="S1152" s="9" t="s">
        <v>430</v>
      </c>
      <c r="T1152" t="s">
        <v>195</v>
      </c>
    </row>
    <row r="1153" spans="1:20" x14ac:dyDescent="0.2">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v>383.64</v>
      </c>
      <c r="Q1153">
        <v>6</v>
      </c>
      <c r="R1153">
        <v>122.76479999999999</v>
      </c>
      <c r="S1153" s="9" t="s">
        <v>83</v>
      </c>
      <c r="T1153" t="s">
        <v>96</v>
      </c>
    </row>
    <row r="1154" spans="1:20" x14ac:dyDescent="0.2">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v>243.92</v>
      </c>
      <c r="Q1154">
        <v>5</v>
      </c>
      <c r="R1154">
        <v>-15.244999999999999</v>
      </c>
      <c r="S1154" s="9" t="s">
        <v>58</v>
      </c>
      <c r="T1154" t="s">
        <v>77</v>
      </c>
    </row>
    <row r="1155" spans="1:20" x14ac:dyDescent="0.2">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v>19.98</v>
      </c>
      <c r="Q1155">
        <v>1</v>
      </c>
      <c r="R1155">
        <v>8.5914000000000001</v>
      </c>
      <c r="S1155" s="9" t="s">
        <v>83</v>
      </c>
      <c r="T1155" t="s">
        <v>48</v>
      </c>
    </row>
    <row r="1156" spans="1:20" x14ac:dyDescent="0.2">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v>6.16</v>
      </c>
      <c r="Q1156">
        <v>2</v>
      </c>
      <c r="R1156">
        <v>1.9712000000000001</v>
      </c>
      <c r="S1156" s="9" t="s">
        <v>83</v>
      </c>
      <c r="T1156" t="s">
        <v>96</v>
      </c>
    </row>
    <row r="1157" spans="1:20" x14ac:dyDescent="0.2">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v>245.98</v>
      </c>
      <c r="Q1157">
        <v>2</v>
      </c>
      <c r="R1157">
        <v>27.0578</v>
      </c>
      <c r="S1157" s="9" t="s">
        <v>58</v>
      </c>
      <c r="T1157" t="s">
        <v>48</v>
      </c>
    </row>
    <row r="1158" spans="1:20" x14ac:dyDescent="0.2">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v>17.088000000000001</v>
      </c>
      <c r="Q1158">
        <v>2</v>
      </c>
      <c r="R1158">
        <v>1.0680000000000001</v>
      </c>
      <c r="S1158" s="9" t="s">
        <v>58</v>
      </c>
      <c r="T1158" t="s">
        <v>77</v>
      </c>
    </row>
    <row r="1159" spans="1:20" x14ac:dyDescent="0.2">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v>98.391999999999996</v>
      </c>
      <c r="Q1159">
        <v>1</v>
      </c>
      <c r="R1159">
        <v>-11.069100000000001</v>
      </c>
      <c r="S1159" s="9" t="s">
        <v>58</v>
      </c>
      <c r="T1159" t="s">
        <v>77</v>
      </c>
    </row>
    <row r="1160" spans="1:20" x14ac:dyDescent="0.2">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v>19.52</v>
      </c>
      <c r="Q1160">
        <v>2</v>
      </c>
      <c r="R1160">
        <v>5.3680000000000003</v>
      </c>
      <c r="S1160" s="9" t="s">
        <v>83</v>
      </c>
      <c r="T1160" t="s">
        <v>59</v>
      </c>
    </row>
    <row r="1161" spans="1:20" x14ac:dyDescent="0.2">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v>201.96</v>
      </c>
      <c r="Q1161">
        <v>2</v>
      </c>
      <c r="R1161">
        <v>50.49</v>
      </c>
      <c r="S1161" s="9" t="s">
        <v>58</v>
      </c>
      <c r="T1161" t="s">
        <v>77</v>
      </c>
    </row>
    <row r="1162" spans="1:20" x14ac:dyDescent="0.2">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v>68.64</v>
      </c>
      <c r="Q1162">
        <v>11</v>
      </c>
      <c r="R1162">
        <v>17.16</v>
      </c>
      <c r="S1162" s="9" t="s">
        <v>58</v>
      </c>
      <c r="T1162" t="s">
        <v>77</v>
      </c>
    </row>
    <row r="1163" spans="1:20" x14ac:dyDescent="0.2">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v>6.16</v>
      </c>
      <c r="Q1163">
        <v>2</v>
      </c>
      <c r="R1163">
        <v>2.9567999999999999</v>
      </c>
      <c r="S1163" s="9" t="s">
        <v>70</v>
      </c>
      <c r="T1163" t="s">
        <v>77</v>
      </c>
    </row>
    <row r="1164" spans="1:20" x14ac:dyDescent="0.2">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v>2348.8200000000002</v>
      </c>
      <c r="Q1164">
        <v>9</v>
      </c>
      <c r="R1164">
        <v>399.29939999999999</v>
      </c>
      <c r="S1164" s="9" t="s">
        <v>70</v>
      </c>
      <c r="T1164" t="s">
        <v>77</v>
      </c>
    </row>
    <row r="1165" spans="1:20" x14ac:dyDescent="0.2">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v>273.55200000000002</v>
      </c>
      <c r="Q1165">
        <v>3</v>
      </c>
      <c r="R1165">
        <v>-13.6776</v>
      </c>
      <c r="S1165" s="9" t="s">
        <v>58</v>
      </c>
      <c r="T1165" t="s">
        <v>59</v>
      </c>
    </row>
    <row r="1166" spans="1:20" x14ac:dyDescent="0.2">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v>815.29200000000003</v>
      </c>
      <c r="Q1166">
        <v>9</v>
      </c>
      <c r="R1166">
        <v>-339.70499999999998</v>
      </c>
      <c r="S1166" s="9" t="s">
        <v>70</v>
      </c>
      <c r="T1166" t="s">
        <v>253</v>
      </c>
    </row>
    <row r="1167" spans="1:20" x14ac:dyDescent="0.2">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v>1256.22</v>
      </c>
      <c r="Q1167">
        <v>6</v>
      </c>
      <c r="R1167">
        <v>75.373199999999997</v>
      </c>
      <c r="S1167" s="9" t="s">
        <v>83</v>
      </c>
      <c r="T1167" t="s">
        <v>297</v>
      </c>
    </row>
    <row r="1168" spans="1:20" x14ac:dyDescent="0.2">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v>60.84</v>
      </c>
      <c r="Q1168">
        <v>3</v>
      </c>
      <c r="R1168">
        <v>23.119199999999999</v>
      </c>
      <c r="S1168" s="9" t="s">
        <v>47</v>
      </c>
      <c r="T1168" t="s">
        <v>195</v>
      </c>
    </row>
    <row r="1169" spans="1:20" x14ac:dyDescent="0.2">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v>1325.76</v>
      </c>
      <c r="Q1169">
        <v>6</v>
      </c>
      <c r="R1169">
        <v>149.148</v>
      </c>
      <c r="S1169" s="9" t="s">
        <v>129</v>
      </c>
      <c r="T1169" t="s">
        <v>96</v>
      </c>
    </row>
    <row r="1170" spans="1:20" x14ac:dyDescent="0.2">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v>572.16</v>
      </c>
      <c r="Q1170">
        <v>3</v>
      </c>
      <c r="R1170">
        <v>35.76</v>
      </c>
      <c r="S1170" s="9" t="s">
        <v>129</v>
      </c>
      <c r="T1170" t="s">
        <v>96</v>
      </c>
    </row>
    <row r="1171" spans="1:20" x14ac:dyDescent="0.2">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v>7.04</v>
      </c>
      <c r="Q1171">
        <v>4</v>
      </c>
      <c r="R1171">
        <v>3.0975999999999999</v>
      </c>
      <c r="S1171" s="9" t="s">
        <v>83</v>
      </c>
      <c r="T1171" t="s">
        <v>113</v>
      </c>
    </row>
    <row r="1172" spans="1:20" x14ac:dyDescent="0.2">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v>74.45</v>
      </c>
      <c r="Q1172">
        <v>5</v>
      </c>
      <c r="R1172">
        <v>20.101500000000001</v>
      </c>
      <c r="S1172" s="9" t="s">
        <v>58</v>
      </c>
      <c r="T1172" t="s">
        <v>113</v>
      </c>
    </row>
    <row r="1173" spans="1:20" x14ac:dyDescent="0.2">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v>192.22</v>
      </c>
      <c r="Q1173">
        <v>14</v>
      </c>
      <c r="R1173">
        <v>69.199200000000005</v>
      </c>
      <c r="S1173" s="9" t="s">
        <v>58</v>
      </c>
      <c r="T1173" t="s">
        <v>169</v>
      </c>
    </row>
    <row r="1174" spans="1:20" x14ac:dyDescent="0.2">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v>1194.165</v>
      </c>
      <c r="Q1174">
        <v>5</v>
      </c>
      <c r="R1174">
        <v>210.73500000000001</v>
      </c>
      <c r="S1174" s="9" t="s">
        <v>70</v>
      </c>
      <c r="T1174" t="s">
        <v>71</v>
      </c>
    </row>
    <row r="1175" spans="1:20" x14ac:dyDescent="0.2">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v>377.45</v>
      </c>
      <c r="Q1175">
        <v>5</v>
      </c>
      <c r="R1175">
        <v>-264.21499999999997</v>
      </c>
      <c r="S1175" s="9" t="s">
        <v>33</v>
      </c>
      <c r="T1175" t="s">
        <v>96</v>
      </c>
    </row>
    <row r="1176" spans="1:20" x14ac:dyDescent="0.2">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v>21.44</v>
      </c>
      <c r="Q1176">
        <v>2</v>
      </c>
      <c r="R1176">
        <v>7.5039999999999996</v>
      </c>
      <c r="S1176" s="9" t="s">
        <v>47</v>
      </c>
      <c r="T1176" t="s">
        <v>77</v>
      </c>
    </row>
    <row r="1177" spans="1:20" x14ac:dyDescent="0.2">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v>355.36</v>
      </c>
      <c r="Q1177">
        <v>4</v>
      </c>
      <c r="R1177">
        <v>92.393600000000006</v>
      </c>
      <c r="S1177" s="9" t="s">
        <v>70</v>
      </c>
      <c r="T1177" t="s">
        <v>59</v>
      </c>
    </row>
    <row r="1178" spans="1:20" x14ac:dyDescent="0.2">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v>38.975999999999999</v>
      </c>
      <c r="Q1178">
        <v>3</v>
      </c>
      <c r="R1178">
        <v>-50.668799999999997</v>
      </c>
      <c r="S1178" s="9" t="s">
        <v>47</v>
      </c>
      <c r="T1178" t="s">
        <v>96</v>
      </c>
    </row>
    <row r="1179" spans="1:20" x14ac:dyDescent="0.2">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v>129.88800000000001</v>
      </c>
      <c r="Q1179">
        <v>6</v>
      </c>
      <c r="R1179">
        <v>12.988799999999999</v>
      </c>
      <c r="S1179" s="9" t="s">
        <v>430</v>
      </c>
      <c r="T1179" t="s">
        <v>71</v>
      </c>
    </row>
    <row r="1180" spans="1:20" x14ac:dyDescent="0.2">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v>275.05799999999999</v>
      </c>
      <c r="Q1180">
        <v>3</v>
      </c>
      <c r="R1180">
        <v>-90.376199999999997</v>
      </c>
      <c r="S1180" s="9" t="s">
        <v>58</v>
      </c>
      <c r="T1180" t="s">
        <v>96</v>
      </c>
    </row>
    <row r="1181" spans="1:20" x14ac:dyDescent="0.2">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v>542.94000000000005</v>
      </c>
      <c r="Q1181">
        <v>3</v>
      </c>
      <c r="R1181">
        <v>141.1644</v>
      </c>
      <c r="S1181" s="9" t="s">
        <v>129</v>
      </c>
      <c r="T1181" t="s">
        <v>96</v>
      </c>
    </row>
    <row r="1182" spans="1:20" x14ac:dyDescent="0.2">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v>71.087999999999994</v>
      </c>
      <c r="Q1182">
        <v>2</v>
      </c>
      <c r="R1182">
        <v>-1.7771999999999999</v>
      </c>
      <c r="S1182" s="9" t="s">
        <v>70</v>
      </c>
      <c r="T1182" t="s">
        <v>161</v>
      </c>
    </row>
    <row r="1183" spans="1:20" x14ac:dyDescent="0.2">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v>136.53</v>
      </c>
      <c r="Q1183">
        <v>1</v>
      </c>
      <c r="R1183">
        <v>-52.336500000000001</v>
      </c>
      <c r="S1183" s="9" t="s">
        <v>47</v>
      </c>
      <c r="T1183" t="s">
        <v>96</v>
      </c>
    </row>
    <row r="1184" spans="1:20" x14ac:dyDescent="0.2">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v>79.44</v>
      </c>
      <c r="Q1184">
        <v>3</v>
      </c>
      <c r="R1184">
        <v>30.187200000000001</v>
      </c>
      <c r="S1184" s="9" t="s">
        <v>47</v>
      </c>
      <c r="T1184" t="s">
        <v>161</v>
      </c>
    </row>
    <row r="1185" spans="1:20" x14ac:dyDescent="0.2">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v>127.764</v>
      </c>
      <c r="Q1185">
        <v>2</v>
      </c>
      <c r="R1185">
        <v>21.294</v>
      </c>
      <c r="S1185" s="9" t="s">
        <v>47</v>
      </c>
      <c r="T1185" t="s">
        <v>161</v>
      </c>
    </row>
    <row r="1186" spans="1:20" x14ac:dyDescent="0.2">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v>459.92</v>
      </c>
      <c r="Q1186">
        <v>4</v>
      </c>
      <c r="R1186">
        <v>41.392800000000001</v>
      </c>
      <c r="S1186" s="9" t="s">
        <v>58</v>
      </c>
      <c r="T1186" t="s">
        <v>96</v>
      </c>
    </row>
    <row r="1187" spans="1:20" x14ac:dyDescent="0.2">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v>638.82000000000005</v>
      </c>
      <c r="Q1187">
        <v>9</v>
      </c>
      <c r="R1187">
        <v>185.2578</v>
      </c>
      <c r="S1187" s="9" t="s">
        <v>33</v>
      </c>
      <c r="T1187" t="s">
        <v>59</v>
      </c>
    </row>
    <row r="1188" spans="1:20" x14ac:dyDescent="0.2">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v>25.16</v>
      </c>
      <c r="Q1188">
        <v>2</v>
      </c>
      <c r="R1188">
        <v>8.5543999999999993</v>
      </c>
      <c r="S1188" s="9" t="s">
        <v>33</v>
      </c>
      <c r="T1188" t="s">
        <v>59</v>
      </c>
    </row>
    <row r="1189" spans="1:20" x14ac:dyDescent="0.2">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v>19.3</v>
      </c>
      <c r="Q1189">
        <v>2</v>
      </c>
      <c r="R1189">
        <v>5.79</v>
      </c>
      <c r="S1189" s="9" t="s">
        <v>58</v>
      </c>
      <c r="T1189" t="s">
        <v>169</v>
      </c>
    </row>
    <row r="1190" spans="1:20" x14ac:dyDescent="0.2">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v>26.48</v>
      </c>
      <c r="Q1190">
        <v>1</v>
      </c>
      <c r="R1190">
        <v>10.0624</v>
      </c>
      <c r="S1190" s="9" t="s">
        <v>33</v>
      </c>
      <c r="T1190" t="s">
        <v>195</v>
      </c>
    </row>
    <row r="1191" spans="1:20" x14ac:dyDescent="0.2">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v>21.56</v>
      </c>
      <c r="Q1191">
        <v>7</v>
      </c>
      <c r="R1191">
        <v>6.8992000000000004</v>
      </c>
      <c r="S1191" s="9" t="s">
        <v>33</v>
      </c>
      <c r="T1191" t="s">
        <v>195</v>
      </c>
    </row>
    <row r="1192" spans="1:20" x14ac:dyDescent="0.2">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v>355.45499999999998</v>
      </c>
      <c r="Q1192">
        <v>3</v>
      </c>
      <c r="R1192">
        <v>-184.8366</v>
      </c>
      <c r="S1192" s="9" t="s">
        <v>129</v>
      </c>
      <c r="T1192" t="s">
        <v>161</v>
      </c>
    </row>
    <row r="1193" spans="1:20" x14ac:dyDescent="0.2">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v>866.4</v>
      </c>
      <c r="Q1193">
        <v>4</v>
      </c>
      <c r="R1193">
        <v>225.26400000000001</v>
      </c>
      <c r="S1193" s="9" t="s">
        <v>47</v>
      </c>
      <c r="T1193" t="s">
        <v>297</v>
      </c>
    </row>
    <row r="1194" spans="1:20" x14ac:dyDescent="0.2">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v>46.152000000000001</v>
      </c>
      <c r="Q1194">
        <v>3</v>
      </c>
      <c r="R1194">
        <v>12.1149</v>
      </c>
      <c r="S1194" s="9" t="s">
        <v>58</v>
      </c>
      <c r="T1194" t="s">
        <v>253</v>
      </c>
    </row>
    <row r="1195" spans="1:20" x14ac:dyDescent="0.2">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v>54.92</v>
      </c>
      <c r="Q1195">
        <v>4</v>
      </c>
      <c r="R1195">
        <v>19.7712</v>
      </c>
      <c r="S1195" s="9" t="s">
        <v>33</v>
      </c>
      <c r="T1195" t="s">
        <v>253</v>
      </c>
    </row>
    <row r="1196" spans="1:20" x14ac:dyDescent="0.2">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v>1448.82</v>
      </c>
      <c r="Q1196">
        <v>10</v>
      </c>
      <c r="R1196">
        <v>209.274</v>
      </c>
      <c r="S1196" s="9" t="s">
        <v>70</v>
      </c>
      <c r="T1196" t="s">
        <v>34</v>
      </c>
    </row>
    <row r="1197" spans="1:20" x14ac:dyDescent="0.2">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v>14.91</v>
      </c>
      <c r="Q1197">
        <v>3</v>
      </c>
      <c r="R1197">
        <v>4.6220999999999997</v>
      </c>
      <c r="S1197" s="9" t="s">
        <v>83</v>
      </c>
      <c r="T1197" t="s">
        <v>77</v>
      </c>
    </row>
    <row r="1198" spans="1:20" x14ac:dyDescent="0.2">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v>638.28800000000001</v>
      </c>
      <c r="Q1198">
        <v>7</v>
      </c>
      <c r="R1198">
        <v>-31.914400000000001</v>
      </c>
      <c r="S1198" s="9" t="s">
        <v>83</v>
      </c>
      <c r="T1198" t="s">
        <v>113</v>
      </c>
    </row>
    <row r="1199" spans="1:20" x14ac:dyDescent="0.2">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v>112.648</v>
      </c>
      <c r="Q1199">
        <v>1</v>
      </c>
      <c r="R1199">
        <v>11.264799999999999</v>
      </c>
      <c r="S1199" s="9" t="s">
        <v>47</v>
      </c>
      <c r="T1199" t="s">
        <v>34</v>
      </c>
    </row>
    <row r="1200" spans="1:20" x14ac:dyDescent="0.2">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v>217.76400000000001</v>
      </c>
      <c r="Q1200">
        <v>6</v>
      </c>
      <c r="R1200">
        <v>-384.71640000000002</v>
      </c>
      <c r="S1200" s="9" t="s">
        <v>129</v>
      </c>
      <c r="T1200" t="s">
        <v>48</v>
      </c>
    </row>
    <row r="1201" spans="1:20" x14ac:dyDescent="0.2">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v>12.32</v>
      </c>
      <c r="Q1201">
        <v>5</v>
      </c>
      <c r="R1201">
        <v>1.8480000000000001</v>
      </c>
      <c r="S1201" s="9" t="s">
        <v>83</v>
      </c>
      <c r="T1201" t="s">
        <v>113</v>
      </c>
    </row>
    <row r="1202" spans="1:20" x14ac:dyDescent="0.2">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v>72.784000000000006</v>
      </c>
      <c r="Q1202">
        <v>1</v>
      </c>
      <c r="R1202">
        <v>0</v>
      </c>
      <c r="S1202" s="9" t="s">
        <v>33</v>
      </c>
      <c r="T1202" t="s">
        <v>77</v>
      </c>
    </row>
    <row r="1203" spans="1:20" x14ac:dyDescent="0.2">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v>51.75</v>
      </c>
      <c r="Q1203">
        <v>1</v>
      </c>
      <c r="R1203">
        <v>15.525</v>
      </c>
      <c r="S1203" s="9" t="s">
        <v>33</v>
      </c>
      <c r="T1203" t="s">
        <v>77</v>
      </c>
    </row>
    <row r="1204" spans="1:20" x14ac:dyDescent="0.2">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v>117.36</v>
      </c>
      <c r="Q1204">
        <v>4</v>
      </c>
      <c r="R1204">
        <v>36.381599999999999</v>
      </c>
      <c r="S1204" s="9" t="s">
        <v>83</v>
      </c>
      <c r="T1204" t="s">
        <v>77</v>
      </c>
    </row>
    <row r="1205" spans="1:20" x14ac:dyDescent="0.2">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v>421.37200000000001</v>
      </c>
      <c r="Q1205">
        <v>2</v>
      </c>
      <c r="R1205">
        <v>-6.0195999999999996</v>
      </c>
      <c r="S1205" s="9" t="s">
        <v>58</v>
      </c>
      <c r="T1205" t="s">
        <v>253</v>
      </c>
    </row>
    <row r="1206" spans="1:20" x14ac:dyDescent="0.2">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v>205.9992</v>
      </c>
      <c r="Q1206">
        <v>3</v>
      </c>
      <c r="R1206">
        <v>-27.264600000000002</v>
      </c>
      <c r="S1206" s="9" t="s">
        <v>129</v>
      </c>
      <c r="T1206" t="s">
        <v>34</v>
      </c>
    </row>
    <row r="1207" spans="1:20" x14ac:dyDescent="0.2">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v>132.22399999999999</v>
      </c>
      <c r="Q1207">
        <v>4</v>
      </c>
      <c r="R1207">
        <v>-18.180800000000001</v>
      </c>
      <c r="S1207" s="9" t="s">
        <v>58</v>
      </c>
      <c r="T1207" t="s">
        <v>297</v>
      </c>
    </row>
    <row r="1208" spans="1:20" x14ac:dyDescent="0.2">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v>91.96</v>
      </c>
      <c r="Q1208">
        <v>2</v>
      </c>
      <c r="R1208">
        <v>15.6332</v>
      </c>
      <c r="S1208" s="9" t="s">
        <v>83</v>
      </c>
      <c r="T1208" t="s">
        <v>195</v>
      </c>
    </row>
    <row r="1209" spans="1:20" x14ac:dyDescent="0.2">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v>285.48</v>
      </c>
      <c r="Q1209">
        <v>5</v>
      </c>
      <c r="R1209">
        <v>-10.705500000000001</v>
      </c>
      <c r="S1209" s="9" t="s">
        <v>129</v>
      </c>
      <c r="T1209" t="s">
        <v>161</v>
      </c>
    </row>
    <row r="1210" spans="1:20" x14ac:dyDescent="0.2">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v>90.801000000000002</v>
      </c>
      <c r="Q1210">
        <v>1</v>
      </c>
      <c r="R1210">
        <v>14.124599999999999</v>
      </c>
      <c r="S1210" s="9" t="s">
        <v>33</v>
      </c>
      <c r="T1210" t="s">
        <v>77</v>
      </c>
    </row>
    <row r="1211" spans="1:20" x14ac:dyDescent="0.2">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v>181.76400000000001</v>
      </c>
      <c r="Q1211">
        <v>2</v>
      </c>
      <c r="R1211">
        <v>-8.0784000000000002</v>
      </c>
      <c r="S1211" s="9" t="s">
        <v>33</v>
      </c>
      <c r="T1211" t="s">
        <v>77</v>
      </c>
    </row>
    <row r="1212" spans="1:20" x14ac:dyDescent="0.2">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v>581.96</v>
      </c>
      <c r="Q1212">
        <v>2</v>
      </c>
      <c r="R1212">
        <v>104.75279999999999</v>
      </c>
      <c r="S1212" s="9" t="s">
        <v>83</v>
      </c>
      <c r="T1212" t="s">
        <v>96</v>
      </c>
    </row>
    <row r="1213" spans="1:20" x14ac:dyDescent="0.2">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v>29.98</v>
      </c>
      <c r="Q1213">
        <v>1</v>
      </c>
      <c r="R1213">
        <v>8.0945999999999998</v>
      </c>
      <c r="S1213" s="9" t="s">
        <v>83</v>
      </c>
      <c r="T1213" t="s">
        <v>96</v>
      </c>
    </row>
    <row r="1214" spans="1:20" x14ac:dyDescent="0.2">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v>363.92</v>
      </c>
      <c r="Q1214">
        <v>5</v>
      </c>
      <c r="R1214">
        <v>0</v>
      </c>
      <c r="S1214" s="9" t="s">
        <v>58</v>
      </c>
      <c r="T1214" t="s">
        <v>71</v>
      </c>
    </row>
    <row r="1215" spans="1:20" x14ac:dyDescent="0.2">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v>47.98</v>
      </c>
      <c r="Q1215">
        <v>2</v>
      </c>
      <c r="R1215">
        <v>11.035399999999999</v>
      </c>
      <c r="S1215" s="9" t="s">
        <v>83</v>
      </c>
      <c r="T1215" t="s">
        <v>77</v>
      </c>
    </row>
    <row r="1216" spans="1:20" x14ac:dyDescent="0.2">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v>80.959999999999994</v>
      </c>
      <c r="Q1216">
        <v>4</v>
      </c>
      <c r="R1216">
        <v>29.145600000000002</v>
      </c>
      <c r="S1216" s="9" t="s">
        <v>83</v>
      </c>
      <c r="T1216" t="s">
        <v>34</v>
      </c>
    </row>
    <row r="1217" spans="1:20" x14ac:dyDescent="0.2">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v>225.56800000000001</v>
      </c>
      <c r="Q1217">
        <v>2</v>
      </c>
      <c r="R1217">
        <v>2.8195999999999999</v>
      </c>
      <c r="S1217" s="9" t="s">
        <v>83</v>
      </c>
      <c r="T1217" t="s">
        <v>34</v>
      </c>
    </row>
    <row r="1218" spans="1:20" x14ac:dyDescent="0.2">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v>36.6</v>
      </c>
      <c r="Q1218">
        <v>3</v>
      </c>
      <c r="R1218">
        <v>15.372</v>
      </c>
      <c r="S1218" s="9" t="s">
        <v>83</v>
      </c>
      <c r="T1218" t="s">
        <v>34</v>
      </c>
    </row>
    <row r="1219" spans="1:20" x14ac:dyDescent="0.2">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v>29.22</v>
      </c>
      <c r="Q1219">
        <v>3</v>
      </c>
      <c r="R1219">
        <v>12.8568</v>
      </c>
      <c r="S1219" s="9" t="s">
        <v>83</v>
      </c>
      <c r="T1219" t="s">
        <v>34</v>
      </c>
    </row>
    <row r="1220" spans="1:20" x14ac:dyDescent="0.2">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v>14.76</v>
      </c>
      <c r="Q1220">
        <v>5</v>
      </c>
      <c r="R1220">
        <v>-11.439</v>
      </c>
      <c r="S1220" s="9" t="s">
        <v>129</v>
      </c>
      <c r="T1220" t="s">
        <v>253</v>
      </c>
    </row>
    <row r="1221" spans="1:20" x14ac:dyDescent="0.2">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v>239.666</v>
      </c>
      <c r="Q1221">
        <v>2</v>
      </c>
      <c r="R1221">
        <v>14.098000000000001</v>
      </c>
      <c r="S1221" s="9" t="s">
        <v>83</v>
      </c>
      <c r="T1221" t="s">
        <v>77</v>
      </c>
    </row>
    <row r="1222" spans="1:20" x14ac:dyDescent="0.2">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v>301.95999999999998</v>
      </c>
      <c r="Q1222">
        <v>2</v>
      </c>
      <c r="R1222">
        <v>45.293999999999997</v>
      </c>
      <c r="S1222" s="9" t="s">
        <v>47</v>
      </c>
      <c r="T1222" t="s">
        <v>34</v>
      </c>
    </row>
    <row r="1223" spans="1:20" x14ac:dyDescent="0.2">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v>1133.3499999999999</v>
      </c>
      <c r="Q1223">
        <v>5</v>
      </c>
      <c r="R1223">
        <v>294.67099999999999</v>
      </c>
      <c r="S1223" s="9" t="s">
        <v>70</v>
      </c>
      <c r="T1223" t="s">
        <v>253</v>
      </c>
    </row>
    <row r="1224" spans="1:20" x14ac:dyDescent="0.2">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v>1603.136</v>
      </c>
      <c r="Q1224">
        <v>4</v>
      </c>
      <c r="R1224">
        <v>100.196</v>
      </c>
      <c r="S1224" s="9" t="s">
        <v>58</v>
      </c>
      <c r="T1224" t="s">
        <v>34</v>
      </c>
    </row>
    <row r="1225" spans="1:20" x14ac:dyDescent="0.2">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v>1293.4880000000001</v>
      </c>
      <c r="Q1225">
        <v>7</v>
      </c>
      <c r="R1225">
        <v>80.843000000000004</v>
      </c>
      <c r="S1225" s="9" t="s">
        <v>430</v>
      </c>
      <c r="T1225" t="s">
        <v>59</v>
      </c>
    </row>
    <row r="1226" spans="1:20" x14ac:dyDescent="0.2">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v>127.95</v>
      </c>
      <c r="Q1226">
        <v>3</v>
      </c>
      <c r="R1226">
        <v>21.7515</v>
      </c>
      <c r="S1226" s="9" t="s">
        <v>83</v>
      </c>
      <c r="T1226" t="s">
        <v>77</v>
      </c>
    </row>
    <row r="1227" spans="1:20" x14ac:dyDescent="0.2">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v>801.56799999999998</v>
      </c>
      <c r="Q1227">
        <v>2</v>
      </c>
      <c r="R1227">
        <v>50.097999999999999</v>
      </c>
      <c r="S1227" s="9" t="s">
        <v>83</v>
      </c>
      <c r="T1227" t="s">
        <v>77</v>
      </c>
    </row>
    <row r="1228" spans="1:20" x14ac:dyDescent="0.2">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v>885.52800000000002</v>
      </c>
      <c r="Q1228">
        <v>9</v>
      </c>
      <c r="R1228">
        <v>-99.621899999999997</v>
      </c>
      <c r="S1228" s="9" t="s">
        <v>83</v>
      </c>
      <c r="T1228" t="s">
        <v>77</v>
      </c>
    </row>
    <row r="1229" spans="1:20" x14ac:dyDescent="0.2">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v>28.28</v>
      </c>
      <c r="Q1229">
        <v>2</v>
      </c>
      <c r="R1229">
        <v>7.3528000000000002</v>
      </c>
      <c r="S1229" s="9" t="s">
        <v>70</v>
      </c>
      <c r="T1229" t="s">
        <v>195</v>
      </c>
    </row>
    <row r="1230" spans="1:20" x14ac:dyDescent="0.2">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v>71.12</v>
      </c>
      <c r="Q1230">
        <v>4</v>
      </c>
      <c r="R1230">
        <v>22.0472</v>
      </c>
      <c r="S1230" s="9" t="s">
        <v>129</v>
      </c>
      <c r="T1230" t="s">
        <v>113</v>
      </c>
    </row>
    <row r="1231" spans="1:20" x14ac:dyDescent="0.2">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v>31.56</v>
      </c>
      <c r="Q1231">
        <v>3</v>
      </c>
      <c r="R1231">
        <v>10.4148</v>
      </c>
      <c r="S1231" s="9" t="s">
        <v>58</v>
      </c>
      <c r="T1231" t="s">
        <v>34</v>
      </c>
    </row>
    <row r="1232" spans="1:20" x14ac:dyDescent="0.2">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v>14.52</v>
      </c>
      <c r="Q1232">
        <v>3</v>
      </c>
      <c r="R1232">
        <v>5.6627999999999998</v>
      </c>
      <c r="S1232" s="9" t="s">
        <v>58</v>
      </c>
      <c r="T1232" t="s">
        <v>96</v>
      </c>
    </row>
    <row r="1233" spans="1:20" x14ac:dyDescent="0.2">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v>199.76400000000001</v>
      </c>
      <c r="Q1233">
        <v>2</v>
      </c>
      <c r="R1233">
        <v>8.8783999999999992</v>
      </c>
      <c r="S1233" s="9" t="s">
        <v>129</v>
      </c>
      <c r="T1233" t="s">
        <v>77</v>
      </c>
    </row>
    <row r="1234" spans="1:20" x14ac:dyDescent="0.2">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v>4228.7039999999997</v>
      </c>
      <c r="Q1234">
        <v>6</v>
      </c>
      <c r="R1234">
        <v>158.57640000000001</v>
      </c>
      <c r="S1234" s="9" t="s">
        <v>129</v>
      </c>
      <c r="T1234" t="s">
        <v>77</v>
      </c>
    </row>
    <row r="1235" spans="1:20" x14ac:dyDescent="0.2">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v>2003.92</v>
      </c>
      <c r="Q1235">
        <v>5</v>
      </c>
      <c r="R1235">
        <v>-25.048999999999999</v>
      </c>
      <c r="S1235" s="9" t="s">
        <v>129</v>
      </c>
      <c r="T1235" t="s">
        <v>77</v>
      </c>
    </row>
    <row r="1236" spans="1:20" x14ac:dyDescent="0.2">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v>313.17599999999999</v>
      </c>
      <c r="Q1236">
        <v>2</v>
      </c>
      <c r="R1236">
        <v>-120.0508</v>
      </c>
      <c r="S1236" s="9" t="s">
        <v>83</v>
      </c>
      <c r="T1236" t="s">
        <v>34</v>
      </c>
    </row>
    <row r="1237" spans="1:20" x14ac:dyDescent="0.2">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v>1215.92</v>
      </c>
      <c r="Q1237">
        <v>8</v>
      </c>
      <c r="R1237">
        <v>316.13920000000002</v>
      </c>
      <c r="S1237" s="9" t="s">
        <v>83</v>
      </c>
      <c r="T1237" t="s">
        <v>113</v>
      </c>
    </row>
    <row r="1238" spans="1:20" x14ac:dyDescent="0.2">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v>8.92</v>
      </c>
      <c r="Q1238">
        <v>4</v>
      </c>
      <c r="R1238">
        <v>3.9247999999999998</v>
      </c>
      <c r="S1238" s="9" t="s">
        <v>83</v>
      </c>
      <c r="T1238" t="s">
        <v>48</v>
      </c>
    </row>
    <row r="1239" spans="1:20" x14ac:dyDescent="0.2">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v>87.21</v>
      </c>
      <c r="Q1239">
        <v>3</v>
      </c>
      <c r="R1239">
        <v>-45.349200000000003</v>
      </c>
      <c r="S1239" s="9" t="s">
        <v>70</v>
      </c>
      <c r="T1239" t="s">
        <v>71</v>
      </c>
    </row>
    <row r="1240" spans="1:20" x14ac:dyDescent="0.2">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v>25.4</v>
      </c>
      <c r="Q1240">
        <v>5</v>
      </c>
      <c r="R1240">
        <v>8.6359999999999992</v>
      </c>
      <c r="S1240" s="9" t="s">
        <v>430</v>
      </c>
      <c r="T1240" t="s">
        <v>71</v>
      </c>
    </row>
    <row r="1241" spans="1:20" x14ac:dyDescent="0.2">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v>6.28</v>
      </c>
      <c r="Q1241">
        <v>1</v>
      </c>
      <c r="R1241">
        <v>2.6375999999999999</v>
      </c>
      <c r="S1241" s="9" t="s">
        <v>83</v>
      </c>
      <c r="T1241" t="s">
        <v>253</v>
      </c>
    </row>
    <row r="1242" spans="1:20" x14ac:dyDescent="0.2">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v>23.968</v>
      </c>
      <c r="Q1242">
        <v>2</v>
      </c>
      <c r="R1242">
        <v>7.7896000000000001</v>
      </c>
      <c r="S1242" s="9" t="s">
        <v>83</v>
      </c>
      <c r="T1242" t="s">
        <v>34</v>
      </c>
    </row>
    <row r="1243" spans="1:20" x14ac:dyDescent="0.2">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v>521.96</v>
      </c>
      <c r="Q1243">
        <v>4</v>
      </c>
      <c r="R1243">
        <v>-250.54079999999999</v>
      </c>
      <c r="S1243" s="9" t="s">
        <v>83</v>
      </c>
      <c r="T1243" t="s">
        <v>34</v>
      </c>
    </row>
    <row r="1244" spans="1:20" x14ac:dyDescent="0.2">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v>770.35199999999998</v>
      </c>
      <c r="Q1244">
        <v>3</v>
      </c>
      <c r="R1244">
        <v>77.035200000000003</v>
      </c>
      <c r="S1244" s="9" t="s">
        <v>33</v>
      </c>
      <c r="T1244" t="s">
        <v>195</v>
      </c>
    </row>
    <row r="1245" spans="1:20" x14ac:dyDescent="0.2">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v>21.12</v>
      </c>
      <c r="Q1245">
        <v>4</v>
      </c>
      <c r="R1245">
        <v>6.5472000000000001</v>
      </c>
      <c r="S1245" s="9" t="s">
        <v>58</v>
      </c>
      <c r="T1245" t="s">
        <v>297</v>
      </c>
    </row>
    <row r="1246" spans="1:20" x14ac:dyDescent="0.2">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v>43.02</v>
      </c>
      <c r="Q1246">
        <v>3</v>
      </c>
      <c r="R1246">
        <v>15.4872</v>
      </c>
      <c r="S1246" s="9" t="s">
        <v>70</v>
      </c>
      <c r="T1246" t="s">
        <v>71</v>
      </c>
    </row>
    <row r="1247" spans="1:20" x14ac:dyDescent="0.2">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v>240.78399999999999</v>
      </c>
      <c r="Q1247">
        <v>1</v>
      </c>
      <c r="R1247">
        <v>30.097999999999999</v>
      </c>
      <c r="S1247" s="9" t="s">
        <v>58</v>
      </c>
      <c r="T1247" t="s">
        <v>297</v>
      </c>
    </row>
    <row r="1248" spans="1:20" x14ac:dyDescent="0.2">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v>429.9</v>
      </c>
      <c r="Q1248">
        <v>5</v>
      </c>
      <c r="R1248">
        <v>111.774</v>
      </c>
      <c r="S1248" s="9" t="s">
        <v>129</v>
      </c>
      <c r="T1248" t="s">
        <v>77</v>
      </c>
    </row>
    <row r="1249" spans="1:20" x14ac:dyDescent="0.2">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v>161.96</v>
      </c>
      <c r="Q1249">
        <v>2</v>
      </c>
      <c r="R1249">
        <v>45.348799999999997</v>
      </c>
      <c r="S1249" s="9" t="s">
        <v>129</v>
      </c>
      <c r="T1249" t="s">
        <v>77</v>
      </c>
    </row>
    <row r="1250" spans="1:20" x14ac:dyDescent="0.2">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v>185.58</v>
      </c>
      <c r="Q1250">
        <v>6</v>
      </c>
      <c r="R1250">
        <v>76.087800000000001</v>
      </c>
      <c r="S1250" s="9" t="s">
        <v>129</v>
      </c>
      <c r="T1250" t="s">
        <v>71</v>
      </c>
    </row>
    <row r="1251" spans="1:20" x14ac:dyDescent="0.2">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v>504.9</v>
      </c>
      <c r="Q1251">
        <v>5</v>
      </c>
      <c r="R1251">
        <v>126.22499999999999</v>
      </c>
      <c r="S1251" s="9" t="s">
        <v>129</v>
      </c>
      <c r="T1251" t="s">
        <v>71</v>
      </c>
    </row>
    <row r="1252" spans="1:20" x14ac:dyDescent="0.2">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v>184.75200000000001</v>
      </c>
      <c r="Q1252">
        <v>3</v>
      </c>
      <c r="R1252">
        <v>-20.784600000000001</v>
      </c>
      <c r="S1252" s="9" t="s">
        <v>129</v>
      </c>
      <c r="T1252" t="s">
        <v>77</v>
      </c>
    </row>
    <row r="1253" spans="1:20" x14ac:dyDescent="0.2">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v>458.43</v>
      </c>
      <c r="Q1253">
        <v>5</v>
      </c>
      <c r="R1253">
        <v>-137.529</v>
      </c>
      <c r="S1253" s="9" t="s">
        <v>430</v>
      </c>
      <c r="T1253" t="s">
        <v>96</v>
      </c>
    </row>
    <row r="1254" spans="1:20" x14ac:dyDescent="0.2">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v>328.59</v>
      </c>
      <c r="Q1254">
        <v>3</v>
      </c>
      <c r="R1254">
        <v>-147.8655</v>
      </c>
      <c r="S1254" s="9" t="s">
        <v>430</v>
      </c>
      <c r="T1254" t="s">
        <v>96</v>
      </c>
    </row>
    <row r="1255" spans="1:20" x14ac:dyDescent="0.2">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v>338.35199999999998</v>
      </c>
      <c r="Q1255">
        <v>3</v>
      </c>
      <c r="R1255">
        <v>4.2294</v>
      </c>
      <c r="S1255" s="9" t="s">
        <v>83</v>
      </c>
      <c r="T1255" t="s">
        <v>96</v>
      </c>
    </row>
    <row r="1256" spans="1:20" x14ac:dyDescent="0.2">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v>87.96</v>
      </c>
      <c r="Q1256">
        <v>3</v>
      </c>
      <c r="R1256">
        <v>7.6965000000000003</v>
      </c>
      <c r="S1256" s="9" t="s">
        <v>83</v>
      </c>
      <c r="T1256" t="s">
        <v>96</v>
      </c>
    </row>
    <row r="1257" spans="1:20" x14ac:dyDescent="0.2">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v>19.760000000000002</v>
      </c>
      <c r="Q1257">
        <v>4</v>
      </c>
      <c r="R1257">
        <v>8.2992000000000008</v>
      </c>
      <c r="S1257" s="9" t="s">
        <v>83</v>
      </c>
      <c r="T1257" t="s">
        <v>77</v>
      </c>
    </row>
    <row r="1258" spans="1:20" x14ac:dyDescent="0.2">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v>109.764</v>
      </c>
      <c r="Q1258">
        <v>2</v>
      </c>
      <c r="R1258">
        <v>8.5372000000000003</v>
      </c>
      <c r="S1258" s="9" t="s">
        <v>58</v>
      </c>
      <c r="T1258" t="s">
        <v>34</v>
      </c>
    </row>
    <row r="1259" spans="1:20" x14ac:dyDescent="0.2">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v>127.95</v>
      </c>
      <c r="Q1259">
        <v>3</v>
      </c>
      <c r="R1259">
        <v>21.7515</v>
      </c>
      <c r="S1259" s="9" t="s">
        <v>70</v>
      </c>
      <c r="T1259" t="s">
        <v>113</v>
      </c>
    </row>
    <row r="1260" spans="1:20" x14ac:dyDescent="0.2">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v>91.96</v>
      </c>
      <c r="Q1260">
        <v>2</v>
      </c>
      <c r="R1260">
        <v>15.6332</v>
      </c>
      <c r="S1260" s="9" t="s">
        <v>129</v>
      </c>
      <c r="T1260" t="s">
        <v>113</v>
      </c>
    </row>
    <row r="1261" spans="1:20" x14ac:dyDescent="0.2">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v>33.11</v>
      </c>
      <c r="Q1261">
        <v>7</v>
      </c>
      <c r="R1261">
        <v>12.9129</v>
      </c>
      <c r="S1261" s="9" t="s">
        <v>129</v>
      </c>
      <c r="T1261" t="s">
        <v>113</v>
      </c>
    </row>
    <row r="1262" spans="1:20" x14ac:dyDescent="0.2">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v>239.24</v>
      </c>
      <c r="Q1262">
        <v>1</v>
      </c>
      <c r="R1262">
        <v>23.923999999999999</v>
      </c>
      <c r="S1262" s="9" t="s">
        <v>430</v>
      </c>
      <c r="T1262" t="s">
        <v>71</v>
      </c>
    </row>
    <row r="1263" spans="1:20" x14ac:dyDescent="0.2">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v>21.12</v>
      </c>
      <c r="Q1263">
        <v>4</v>
      </c>
      <c r="R1263">
        <v>6.5472000000000001</v>
      </c>
      <c r="S1263" s="9" t="s">
        <v>47</v>
      </c>
      <c r="T1263" t="s">
        <v>96</v>
      </c>
    </row>
    <row r="1264" spans="1:20" x14ac:dyDescent="0.2">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v>15.24</v>
      </c>
      <c r="Q1264">
        <v>3</v>
      </c>
      <c r="R1264">
        <v>5.1816000000000004</v>
      </c>
      <c r="S1264" s="9" t="s">
        <v>83</v>
      </c>
      <c r="T1264" t="s">
        <v>96</v>
      </c>
    </row>
    <row r="1265" spans="1:20" x14ac:dyDescent="0.2">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v>42.6</v>
      </c>
      <c r="Q1265">
        <v>3</v>
      </c>
      <c r="R1265">
        <v>16.614000000000001</v>
      </c>
      <c r="S1265" s="9" t="s">
        <v>83</v>
      </c>
      <c r="T1265" t="s">
        <v>77</v>
      </c>
    </row>
    <row r="1266" spans="1:20" x14ac:dyDescent="0.2">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v>14.368</v>
      </c>
      <c r="Q1266">
        <v>2</v>
      </c>
      <c r="R1266">
        <v>3.9512</v>
      </c>
      <c r="S1266" s="9" t="s">
        <v>83</v>
      </c>
      <c r="T1266" t="s">
        <v>297</v>
      </c>
    </row>
    <row r="1267" spans="1:20" x14ac:dyDescent="0.2">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v>314.35199999999998</v>
      </c>
      <c r="Q1267">
        <v>3</v>
      </c>
      <c r="R1267">
        <v>-35.364600000000003</v>
      </c>
      <c r="S1267" s="9" t="s">
        <v>58</v>
      </c>
      <c r="T1267" t="s">
        <v>161</v>
      </c>
    </row>
    <row r="1268" spans="1:20" x14ac:dyDescent="0.2">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v>238.15199999999999</v>
      </c>
      <c r="Q1268">
        <v>3</v>
      </c>
      <c r="R1268">
        <v>89.307000000000002</v>
      </c>
      <c r="S1268" s="9" t="s">
        <v>58</v>
      </c>
      <c r="T1268" t="s">
        <v>77</v>
      </c>
    </row>
    <row r="1269" spans="1:20" x14ac:dyDescent="0.2">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v>692.94</v>
      </c>
      <c r="Q1269">
        <v>3</v>
      </c>
      <c r="R1269">
        <v>173.23500000000001</v>
      </c>
      <c r="S1269" s="9" t="s">
        <v>47</v>
      </c>
      <c r="T1269" t="s">
        <v>59</v>
      </c>
    </row>
    <row r="1270" spans="1:20" x14ac:dyDescent="0.2">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v>28</v>
      </c>
      <c r="Q1270">
        <v>4</v>
      </c>
      <c r="R1270">
        <v>7.7</v>
      </c>
      <c r="S1270" s="9" t="s">
        <v>33</v>
      </c>
      <c r="T1270" t="s">
        <v>77</v>
      </c>
    </row>
    <row r="1271" spans="1:20" x14ac:dyDescent="0.2">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v>518.27200000000005</v>
      </c>
      <c r="Q1271">
        <v>8</v>
      </c>
      <c r="R1271">
        <v>-97.176000000000002</v>
      </c>
      <c r="S1271" s="9" t="s">
        <v>83</v>
      </c>
      <c r="T1271" t="s">
        <v>161</v>
      </c>
    </row>
    <row r="1272" spans="1:20" x14ac:dyDescent="0.2">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v>6.98</v>
      </c>
      <c r="Q1272">
        <v>1</v>
      </c>
      <c r="R1272">
        <v>3.3504</v>
      </c>
      <c r="S1272" s="9" t="s">
        <v>83</v>
      </c>
      <c r="T1272" t="s">
        <v>161</v>
      </c>
    </row>
    <row r="1273" spans="1:20" x14ac:dyDescent="0.2">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v>191.82</v>
      </c>
      <c r="Q1273">
        <v>3</v>
      </c>
      <c r="R1273">
        <v>61.382399999999997</v>
      </c>
      <c r="S1273" s="9" t="s">
        <v>129</v>
      </c>
      <c r="T1273" t="s">
        <v>77</v>
      </c>
    </row>
    <row r="1274" spans="1:20" x14ac:dyDescent="0.2">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v>25.16</v>
      </c>
      <c r="Q1274">
        <v>5</v>
      </c>
      <c r="R1274">
        <v>-11.321999999999999</v>
      </c>
      <c r="S1274" s="9" t="s">
        <v>430</v>
      </c>
      <c r="T1274" t="s">
        <v>297</v>
      </c>
    </row>
    <row r="1275" spans="1:20" x14ac:dyDescent="0.2">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v>29.22</v>
      </c>
      <c r="Q1275">
        <v>3</v>
      </c>
      <c r="R1275">
        <v>12.8568</v>
      </c>
      <c r="S1275" s="9" t="s">
        <v>83</v>
      </c>
      <c r="T1275" t="s">
        <v>96</v>
      </c>
    </row>
    <row r="1276" spans="1:20" x14ac:dyDescent="0.2">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v>272.64600000000002</v>
      </c>
      <c r="Q1276">
        <v>3</v>
      </c>
      <c r="R1276">
        <v>18.176400000000001</v>
      </c>
      <c r="S1276" s="9" t="s">
        <v>129</v>
      </c>
      <c r="T1276" t="s">
        <v>77</v>
      </c>
    </row>
    <row r="1277" spans="1:20" x14ac:dyDescent="0.2">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v>80.991</v>
      </c>
      <c r="Q1277">
        <v>1</v>
      </c>
      <c r="R1277">
        <v>8.0991</v>
      </c>
      <c r="S1277" s="9" t="s">
        <v>129</v>
      </c>
      <c r="T1277" t="s">
        <v>77</v>
      </c>
    </row>
    <row r="1278" spans="1:20" x14ac:dyDescent="0.2">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v>2888.127</v>
      </c>
      <c r="Q1278">
        <v>11</v>
      </c>
      <c r="R1278">
        <v>609.71569999999997</v>
      </c>
      <c r="S1278" s="9" t="s">
        <v>129</v>
      </c>
      <c r="T1278" t="s">
        <v>77</v>
      </c>
    </row>
    <row r="1279" spans="1:20" x14ac:dyDescent="0.2">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v>2254.41</v>
      </c>
      <c r="Q1279">
        <v>5</v>
      </c>
      <c r="R1279">
        <v>375.73500000000001</v>
      </c>
      <c r="S1279" s="9" t="s">
        <v>129</v>
      </c>
      <c r="T1279" t="s">
        <v>77</v>
      </c>
    </row>
    <row r="1280" spans="1:20" x14ac:dyDescent="0.2">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v>314.53199999999998</v>
      </c>
      <c r="Q1280">
        <v>2</v>
      </c>
      <c r="R1280">
        <v>-83.875200000000007</v>
      </c>
      <c r="S1280" s="9" t="s">
        <v>70</v>
      </c>
      <c r="T1280" t="s">
        <v>253</v>
      </c>
    </row>
    <row r="1281" spans="1:20" x14ac:dyDescent="0.2">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v>1474.8019999999999</v>
      </c>
      <c r="Q1281">
        <v>7</v>
      </c>
      <c r="R1281">
        <v>-21.0686</v>
      </c>
      <c r="S1281" s="9" t="s">
        <v>83</v>
      </c>
      <c r="T1281" t="s">
        <v>34</v>
      </c>
    </row>
    <row r="1282" spans="1:20" x14ac:dyDescent="0.2">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v>1537.0740000000001</v>
      </c>
      <c r="Q1282">
        <v>9</v>
      </c>
      <c r="R1282">
        <v>0</v>
      </c>
      <c r="S1282" s="9" t="s">
        <v>83</v>
      </c>
      <c r="T1282" t="s">
        <v>34</v>
      </c>
    </row>
    <row r="1283" spans="1:20" x14ac:dyDescent="0.2">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v>449.37200000000001</v>
      </c>
      <c r="Q1283">
        <v>2</v>
      </c>
      <c r="R1283">
        <v>-12.8392</v>
      </c>
      <c r="S1283" s="9" t="s">
        <v>83</v>
      </c>
      <c r="T1283" t="s">
        <v>34</v>
      </c>
    </row>
    <row r="1284" spans="1:20" x14ac:dyDescent="0.2">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v>409.21600000000001</v>
      </c>
      <c r="Q1284">
        <v>8</v>
      </c>
      <c r="R1284">
        <v>61.382399999999997</v>
      </c>
      <c r="S1284" s="9" t="s">
        <v>129</v>
      </c>
      <c r="T1284" t="s">
        <v>77</v>
      </c>
    </row>
    <row r="1285" spans="1:20" x14ac:dyDescent="0.2">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v>72.587999999999994</v>
      </c>
      <c r="Q1285">
        <v>2</v>
      </c>
      <c r="R1285">
        <v>-128.2388</v>
      </c>
      <c r="S1285" s="9" t="s">
        <v>129</v>
      </c>
      <c r="T1285" t="s">
        <v>77</v>
      </c>
    </row>
    <row r="1286" spans="1:20" x14ac:dyDescent="0.2">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v>327.99599999999998</v>
      </c>
      <c r="Q1286">
        <v>6</v>
      </c>
      <c r="R1286">
        <v>54.665999999999997</v>
      </c>
      <c r="S1286" s="9" t="s">
        <v>129</v>
      </c>
      <c r="T1286" t="s">
        <v>195</v>
      </c>
    </row>
    <row r="1287" spans="1:20" x14ac:dyDescent="0.2">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v>767.21400000000006</v>
      </c>
      <c r="Q1287">
        <v>14</v>
      </c>
      <c r="R1287">
        <v>161.9674</v>
      </c>
      <c r="S1287" s="9" t="s">
        <v>83</v>
      </c>
      <c r="T1287" t="s">
        <v>96</v>
      </c>
    </row>
    <row r="1288" spans="1:20" x14ac:dyDescent="0.2">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v>161.28</v>
      </c>
      <c r="Q1288">
        <v>2</v>
      </c>
      <c r="R1288">
        <v>12.096</v>
      </c>
      <c r="S1288" s="9" t="s">
        <v>33</v>
      </c>
      <c r="T1288" t="s">
        <v>253</v>
      </c>
    </row>
    <row r="1289" spans="1:20" x14ac:dyDescent="0.2">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v>205.666</v>
      </c>
      <c r="Q1289">
        <v>2</v>
      </c>
      <c r="R1289">
        <v>-12.098000000000001</v>
      </c>
      <c r="S1289" s="9" t="s">
        <v>58</v>
      </c>
      <c r="T1289" t="s">
        <v>195</v>
      </c>
    </row>
    <row r="1290" spans="1:20" x14ac:dyDescent="0.2">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v>340.70400000000001</v>
      </c>
      <c r="Q1290">
        <v>6</v>
      </c>
      <c r="R1290">
        <v>-34.070399999999999</v>
      </c>
      <c r="S1290" s="9" t="s">
        <v>33</v>
      </c>
      <c r="T1290" t="s">
        <v>96</v>
      </c>
    </row>
    <row r="1291" spans="1:20" x14ac:dyDescent="0.2">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v>354.9</v>
      </c>
      <c r="Q1291">
        <v>5</v>
      </c>
      <c r="R1291">
        <v>88.724999999999994</v>
      </c>
      <c r="S1291" s="9" t="s">
        <v>33</v>
      </c>
      <c r="T1291" t="s">
        <v>113</v>
      </c>
    </row>
    <row r="1292" spans="1:20" x14ac:dyDescent="0.2">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v>1198.33</v>
      </c>
      <c r="Q1292">
        <v>10</v>
      </c>
      <c r="R1292">
        <v>70.489999999999995</v>
      </c>
      <c r="S1292" s="9" t="s">
        <v>33</v>
      </c>
      <c r="T1292" t="s">
        <v>195</v>
      </c>
    </row>
    <row r="1293" spans="1:20" x14ac:dyDescent="0.2">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v>51.968000000000004</v>
      </c>
      <c r="Q1293">
        <v>2</v>
      </c>
      <c r="R1293">
        <v>10.393599999999999</v>
      </c>
      <c r="S1293" s="9" t="s">
        <v>33</v>
      </c>
      <c r="T1293" t="s">
        <v>113</v>
      </c>
    </row>
    <row r="1294" spans="1:20" x14ac:dyDescent="0.2">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v>42.408000000000001</v>
      </c>
      <c r="Q1294">
        <v>3</v>
      </c>
      <c r="R1294">
        <v>9.5418000000000003</v>
      </c>
      <c r="S1294" s="9" t="s">
        <v>33</v>
      </c>
      <c r="T1294" t="s">
        <v>113</v>
      </c>
    </row>
    <row r="1295" spans="1:20" x14ac:dyDescent="0.2">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v>4.992</v>
      </c>
      <c r="Q1295">
        <v>3</v>
      </c>
      <c r="R1295">
        <v>1.3728</v>
      </c>
      <c r="S1295" s="9" t="s">
        <v>70</v>
      </c>
      <c r="T1295" t="s">
        <v>195</v>
      </c>
    </row>
    <row r="1296" spans="1:20" x14ac:dyDescent="0.2">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v>20.015999999999998</v>
      </c>
      <c r="Q1296">
        <v>3</v>
      </c>
      <c r="R1296">
        <v>5.5044000000000004</v>
      </c>
      <c r="S1296" s="9" t="s">
        <v>70</v>
      </c>
      <c r="T1296" t="s">
        <v>195</v>
      </c>
    </row>
    <row r="1297" spans="1:20" x14ac:dyDescent="0.2">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v>1690.04</v>
      </c>
      <c r="Q1297">
        <v>4</v>
      </c>
      <c r="R1297">
        <v>422.51</v>
      </c>
      <c r="S1297" s="9" t="s">
        <v>58</v>
      </c>
      <c r="T1297" t="s">
        <v>77</v>
      </c>
    </row>
    <row r="1298" spans="1:20" x14ac:dyDescent="0.2">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v>403.92</v>
      </c>
      <c r="Q1298">
        <v>5</v>
      </c>
      <c r="R1298">
        <v>25.245000000000001</v>
      </c>
      <c r="S1298" s="9" t="s">
        <v>70</v>
      </c>
      <c r="T1298" t="s">
        <v>96</v>
      </c>
    </row>
    <row r="1299" spans="1:20" x14ac:dyDescent="0.2">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v>799.56</v>
      </c>
      <c r="Q1299">
        <v>9</v>
      </c>
      <c r="R1299">
        <v>207.88560000000001</v>
      </c>
      <c r="S1299" s="9" t="s">
        <v>83</v>
      </c>
      <c r="T1299" t="s">
        <v>96</v>
      </c>
    </row>
    <row r="1300" spans="1:20" x14ac:dyDescent="0.2">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v>563.91999999999996</v>
      </c>
      <c r="Q1300">
        <v>5</v>
      </c>
      <c r="R1300">
        <v>7.0490000000000004</v>
      </c>
      <c r="S1300" s="9" t="s">
        <v>47</v>
      </c>
      <c r="T1300" t="s">
        <v>96</v>
      </c>
    </row>
    <row r="1301" spans="1:20" x14ac:dyDescent="0.2">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v>7.7119999999999997</v>
      </c>
      <c r="Q1301">
        <v>2</v>
      </c>
      <c r="R1301">
        <v>1.7352000000000001</v>
      </c>
      <c r="S1301" s="9" t="s">
        <v>70</v>
      </c>
      <c r="T1301" t="s">
        <v>96</v>
      </c>
    </row>
    <row r="1302" spans="1:20" x14ac:dyDescent="0.2">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v>56.686</v>
      </c>
      <c r="Q1302">
        <v>1</v>
      </c>
      <c r="R1302">
        <v>-14.5764</v>
      </c>
      <c r="S1302" s="9" t="s">
        <v>83</v>
      </c>
      <c r="T1302" t="s">
        <v>48</v>
      </c>
    </row>
    <row r="1303" spans="1:20" x14ac:dyDescent="0.2">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v>65.94</v>
      </c>
      <c r="Q1303">
        <v>3</v>
      </c>
      <c r="R1303">
        <v>22.419599999999999</v>
      </c>
      <c r="S1303" s="9" t="s">
        <v>47</v>
      </c>
      <c r="T1303" t="s">
        <v>253</v>
      </c>
    </row>
    <row r="1304" spans="1:20" x14ac:dyDescent="0.2">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v>68.16</v>
      </c>
      <c r="Q1304">
        <v>3</v>
      </c>
      <c r="R1304">
        <v>27.945599999999999</v>
      </c>
      <c r="S1304" s="9" t="s">
        <v>58</v>
      </c>
      <c r="T1304" t="s">
        <v>34</v>
      </c>
    </row>
    <row r="1305" spans="1:20" x14ac:dyDescent="0.2">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v>72.703999999999994</v>
      </c>
      <c r="Q1305">
        <v>4</v>
      </c>
      <c r="R1305">
        <v>19.084800000000001</v>
      </c>
      <c r="S1305" s="9" t="s">
        <v>83</v>
      </c>
      <c r="T1305" t="s">
        <v>96</v>
      </c>
    </row>
    <row r="1306" spans="1:20" x14ac:dyDescent="0.2">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v>66.293999999999997</v>
      </c>
      <c r="Q1306">
        <v>1</v>
      </c>
      <c r="R1306">
        <v>-103.86060000000001</v>
      </c>
      <c r="S1306" s="9" t="s">
        <v>83</v>
      </c>
      <c r="T1306" t="s">
        <v>48</v>
      </c>
    </row>
    <row r="1307" spans="1:20" x14ac:dyDescent="0.2">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v>291.16800000000001</v>
      </c>
      <c r="Q1307">
        <v>4</v>
      </c>
      <c r="R1307">
        <v>-14.558400000000001</v>
      </c>
      <c r="S1307" s="9" t="s">
        <v>83</v>
      </c>
      <c r="T1307" t="s">
        <v>48</v>
      </c>
    </row>
    <row r="1308" spans="1:20" x14ac:dyDescent="0.2">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v>177.56800000000001</v>
      </c>
      <c r="Q1308">
        <v>2</v>
      </c>
      <c r="R1308">
        <v>8.8783999999999992</v>
      </c>
      <c r="S1308" s="9" t="s">
        <v>430</v>
      </c>
      <c r="T1308" t="s">
        <v>77</v>
      </c>
    </row>
    <row r="1309" spans="1:20" x14ac:dyDescent="0.2">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v>166.5</v>
      </c>
      <c r="Q1309">
        <v>3</v>
      </c>
      <c r="R1309">
        <v>21.645</v>
      </c>
      <c r="S1309" s="9" t="s">
        <v>83</v>
      </c>
      <c r="T1309" t="s">
        <v>96</v>
      </c>
    </row>
    <row r="1310" spans="1:20" x14ac:dyDescent="0.2">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v>247.44</v>
      </c>
      <c r="Q1310">
        <v>8</v>
      </c>
      <c r="R1310">
        <v>101.4504</v>
      </c>
      <c r="S1310" s="9" t="s">
        <v>33</v>
      </c>
      <c r="T1310" t="s">
        <v>161</v>
      </c>
    </row>
    <row r="1311" spans="1:20" x14ac:dyDescent="0.2">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v>22.14</v>
      </c>
      <c r="Q1311">
        <v>3</v>
      </c>
      <c r="R1311">
        <v>6.4206000000000003</v>
      </c>
      <c r="S1311" s="9" t="s">
        <v>58</v>
      </c>
      <c r="T1311" t="s">
        <v>34</v>
      </c>
    </row>
    <row r="1312" spans="1:20" x14ac:dyDescent="0.2">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v>6.24</v>
      </c>
      <c r="Q1312">
        <v>3</v>
      </c>
      <c r="R1312">
        <v>2.6208</v>
      </c>
      <c r="S1312" s="9" t="s">
        <v>129</v>
      </c>
      <c r="T1312" t="s">
        <v>161</v>
      </c>
    </row>
    <row r="1313" spans="1:20" x14ac:dyDescent="0.2">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v>21.36</v>
      </c>
      <c r="Q1313">
        <v>8</v>
      </c>
      <c r="R1313">
        <v>8.1167999999999996</v>
      </c>
      <c r="S1313" s="9" t="s">
        <v>129</v>
      </c>
      <c r="T1313" t="s">
        <v>77</v>
      </c>
    </row>
    <row r="1314" spans="1:20" x14ac:dyDescent="0.2">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v>1159.056</v>
      </c>
      <c r="Q1314">
        <v>9</v>
      </c>
      <c r="R1314">
        <v>43.464599999999997</v>
      </c>
      <c r="S1314" s="9" t="s">
        <v>83</v>
      </c>
      <c r="T1314" t="s">
        <v>96</v>
      </c>
    </row>
    <row r="1315" spans="1:20" x14ac:dyDescent="0.2">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v>12.42</v>
      </c>
      <c r="Q1315">
        <v>3</v>
      </c>
      <c r="R1315">
        <v>4.4711999999999996</v>
      </c>
      <c r="S1315" s="9" t="s">
        <v>58</v>
      </c>
      <c r="T1315" t="s">
        <v>71</v>
      </c>
    </row>
    <row r="1316" spans="1:20" x14ac:dyDescent="0.2">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v>24.75</v>
      </c>
      <c r="Q1316">
        <v>5</v>
      </c>
      <c r="R1316">
        <v>10.89</v>
      </c>
      <c r="S1316" s="9" t="s">
        <v>58</v>
      </c>
      <c r="T1316" t="s">
        <v>71</v>
      </c>
    </row>
    <row r="1317" spans="1:20" x14ac:dyDescent="0.2">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v>63.823999999999998</v>
      </c>
      <c r="Q1317">
        <v>2</v>
      </c>
      <c r="R1317">
        <v>9.5736000000000008</v>
      </c>
      <c r="S1317" s="9" t="s">
        <v>129</v>
      </c>
      <c r="T1317" t="s">
        <v>34</v>
      </c>
    </row>
    <row r="1318" spans="1:20" x14ac:dyDescent="0.2">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v>563.24</v>
      </c>
      <c r="Q1318">
        <v>5</v>
      </c>
      <c r="R1318">
        <v>56.323999999999998</v>
      </c>
      <c r="S1318" s="9" t="s">
        <v>83</v>
      </c>
      <c r="T1318" t="s">
        <v>77</v>
      </c>
    </row>
    <row r="1319" spans="1:20" x14ac:dyDescent="0.2">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v>661.17600000000004</v>
      </c>
      <c r="Q1319">
        <v>2</v>
      </c>
      <c r="R1319">
        <v>-231.41159999999999</v>
      </c>
      <c r="S1319" s="9" t="s">
        <v>58</v>
      </c>
      <c r="T1319" t="s">
        <v>48</v>
      </c>
    </row>
    <row r="1320" spans="1:20" x14ac:dyDescent="0.2">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v>502.488</v>
      </c>
      <c r="Q1320">
        <v>3</v>
      </c>
      <c r="R1320">
        <v>-87.935400000000001</v>
      </c>
      <c r="S1320" s="9" t="s">
        <v>83</v>
      </c>
      <c r="T1320" t="s">
        <v>71</v>
      </c>
    </row>
    <row r="1321" spans="1:20" x14ac:dyDescent="0.2">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v>915.13599999999997</v>
      </c>
      <c r="Q1321">
        <v>4</v>
      </c>
      <c r="R1321">
        <v>102.9528</v>
      </c>
      <c r="S1321" s="9" t="s">
        <v>58</v>
      </c>
      <c r="T1321" t="s">
        <v>195</v>
      </c>
    </row>
    <row r="1322" spans="1:20" x14ac:dyDescent="0.2">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v>327.76</v>
      </c>
      <c r="Q1322">
        <v>8</v>
      </c>
      <c r="R1322">
        <v>91.772800000000004</v>
      </c>
      <c r="S1322" s="9" t="s">
        <v>58</v>
      </c>
      <c r="T1322" t="s">
        <v>195</v>
      </c>
    </row>
    <row r="1323" spans="1:20" x14ac:dyDescent="0.2">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v>701.96</v>
      </c>
      <c r="Q1323">
        <v>2</v>
      </c>
      <c r="R1323">
        <v>168.47040000000001</v>
      </c>
      <c r="S1323" s="9" t="s">
        <v>33</v>
      </c>
      <c r="T1323" t="s">
        <v>96</v>
      </c>
    </row>
    <row r="1324" spans="1:20" x14ac:dyDescent="0.2">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v>25.83</v>
      </c>
      <c r="Q1324">
        <v>3</v>
      </c>
      <c r="R1324">
        <v>9.5571000000000002</v>
      </c>
      <c r="S1324" s="9" t="s">
        <v>33</v>
      </c>
      <c r="T1324" t="s">
        <v>34</v>
      </c>
    </row>
    <row r="1325" spans="1:20" x14ac:dyDescent="0.2">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v>104.78400000000001</v>
      </c>
      <c r="Q1325">
        <v>1</v>
      </c>
      <c r="R1325">
        <v>-14.4078</v>
      </c>
      <c r="S1325" s="9" t="s">
        <v>70</v>
      </c>
      <c r="T1325" t="s">
        <v>34</v>
      </c>
    </row>
    <row r="1326" spans="1:20" x14ac:dyDescent="0.2">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v>650.35199999999998</v>
      </c>
      <c r="Q1326">
        <v>3</v>
      </c>
      <c r="R1326">
        <v>-97.552800000000005</v>
      </c>
      <c r="S1326" s="9" t="s">
        <v>70</v>
      </c>
      <c r="T1326" t="s">
        <v>34</v>
      </c>
    </row>
    <row r="1327" spans="1:20" x14ac:dyDescent="0.2">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v>127.95</v>
      </c>
      <c r="Q1327">
        <v>3</v>
      </c>
      <c r="R1327">
        <v>21.7515</v>
      </c>
      <c r="S1327" s="9" t="s">
        <v>58</v>
      </c>
      <c r="T1327" t="s">
        <v>77</v>
      </c>
    </row>
    <row r="1328" spans="1:20" x14ac:dyDescent="0.2">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v>272.94</v>
      </c>
      <c r="Q1328">
        <v>3</v>
      </c>
      <c r="R1328">
        <v>30.023399999999999</v>
      </c>
      <c r="S1328" s="9" t="s">
        <v>129</v>
      </c>
      <c r="T1328" t="s">
        <v>169</v>
      </c>
    </row>
    <row r="1329" spans="1:20" x14ac:dyDescent="0.2">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v>14.73</v>
      </c>
      <c r="Q1329">
        <v>3</v>
      </c>
      <c r="R1329">
        <v>4.8609</v>
      </c>
      <c r="S1329" s="9" t="s">
        <v>129</v>
      </c>
      <c r="T1329" t="s">
        <v>169</v>
      </c>
    </row>
    <row r="1330" spans="1:20" x14ac:dyDescent="0.2">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v>47.04</v>
      </c>
      <c r="Q1330">
        <v>4</v>
      </c>
      <c r="R1330">
        <v>15.993600000000001</v>
      </c>
      <c r="S1330" s="9" t="s">
        <v>47</v>
      </c>
      <c r="T1330" t="s">
        <v>253</v>
      </c>
    </row>
    <row r="1331" spans="1:20" x14ac:dyDescent="0.2">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v>221.38200000000001</v>
      </c>
      <c r="Q1331">
        <v>2</v>
      </c>
      <c r="R1331">
        <v>2.4598</v>
      </c>
      <c r="S1331" s="9" t="s">
        <v>83</v>
      </c>
      <c r="T1331" t="s">
        <v>48</v>
      </c>
    </row>
    <row r="1332" spans="1:20" x14ac:dyDescent="0.2">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v>108.4</v>
      </c>
      <c r="Q1332">
        <v>5</v>
      </c>
      <c r="R1332">
        <v>-105.69</v>
      </c>
      <c r="S1332" s="9" t="s">
        <v>58</v>
      </c>
      <c r="T1332" t="s">
        <v>77</v>
      </c>
    </row>
    <row r="1333" spans="1:20" x14ac:dyDescent="0.2">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v>38.08</v>
      </c>
      <c r="Q1333">
        <v>5</v>
      </c>
      <c r="R1333">
        <v>-29.512</v>
      </c>
      <c r="S1333" s="9" t="s">
        <v>83</v>
      </c>
      <c r="T1333" t="s">
        <v>48</v>
      </c>
    </row>
    <row r="1334" spans="1:20" x14ac:dyDescent="0.2">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v>113.568</v>
      </c>
      <c r="Q1334">
        <v>2</v>
      </c>
      <c r="R1334">
        <v>12.776400000000001</v>
      </c>
      <c r="S1334" s="9" t="s">
        <v>430</v>
      </c>
      <c r="T1334" t="s">
        <v>34</v>
      </c>
    </row>
    <row r="1335" spans="1:20" x14ac:dyDescent="0.2">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v>83.92</v>
      </c>
      <c r="Q1335">
        <v>4</v>
      </c>
      <c r="R1335">
        <v>21.819199999999999</v>
      </c>
      <c r="S1335" s="9" t="s">
        <v>70</v>
      </c>
      <c r="T1335" t="s">
        <v>48</v>
      </c>
    </row>
    <row r="1336" spans="1:20" x14ac:dyDescent="0.2">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v>561.58399999999995</v>
      </c>
      <c r="Q1336">
        <v>2</v>
      </c>
      <c r="R1336">
        <v>70.197999999999993</v>
      </c>
      <c r="S1336" s="9" t="s">
        <v>83</v>
      </c>
      <c r="T1336" t="s">
        <v>113</v>
      </c>
    </row>
    <row r="1337" spans="1:20" x14ac:dyDescent="0.2">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v>14.76</v>
      </c>
      <c r="Q1337">
        <v>2</v>
      </c>
      <c r="R1337">
        <v>4.2804000000000002</v>
      </c>
      <c r="S1337" s="9" t="s">
        <v>47</v>
      </c>
      <c r="T1337" t="s">
        <v>96</v>
      </c>
    </row>
    <row r="1338" spans="1:20" x14ac:dyDescent="0.2">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v>299.97500000000002</v>
      </c>
      <c r="Q1338">
        <v>5</v>
      </c>
      <c r="R1338">
        <v>-167.98599999999999</v>
      </c>
      <c r="S1338" s="9" t="s">
        <v>83</v>
      </c>
      <c r="T1338" t="s">
        <v>195</v>
      </c>
    </row>
    <row r="1339" spans="1:20" x14ac:dyDescent="0.2">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v>396.92</v>
      </c>
      <c r="Q1339">
        <v>4</v>
      </c>
      <c r="R1339">
        <v>198.46</v>
      </c>
      <c r="S1339" s="9" t="s">
        <v>58</v>
      </c>
      <c r="T1339" t="s">
        <v>96</v>
      </c>
    </row>
    <row r="1340" spans="1:20" x14ac:dyDescent="0.2">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v>241.96</v>
      </c>
      <c r="Q1340">
        <v>2</v>
      </c>
      <c r="R1340">
        <v>33.874400000000001</v>
      </c>
      <c r="S1340" s="9" t="s">
        <v>123</v>
      </c>
      <c r="T1340" t="s">
        <v>161</v>
      </c>
    </row>
    <row r="1341" spans="1:20" x14ac:dyDescent="0.2">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v>8.01</v>
      </c>
      <c r="Q1341">
        <v>3</v>
      </c>
      <c r="R1341">
        <v>3.0438000000000001</v>
      </c>
      <c r="S1341" s="9" t="s">
        <v>123</v>
      </c>
      <c r="T1341" t="s">
        <v>161</v>
      </c>
    </row>
    <row r="1342" spans="1:20" x14ac:dyDescent="0.2">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v>569.56799999999998</v>
      </c>
      <c r="Q1342">
        <v>2</v>
      </c>
      <c r="R1342">
        <v>7.1196000000000002</v>
      </c>
      <c r="S1342" s="9" t="s">
        <v>70</v>
      </c>
      <c r="T1342" t="s">
        <v>253</v>
      </c>
    </row>
    <row r="1343" spans="1:20" x14ac:dyDescent="0.2">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v>899.43</v>
      </c>
      <c r="Q1343">
        <v>5</v>
      </c>
      <c r="R1343">
        <v>-12.849</v>
      </c>
      <c r="S1343" s="9" t="s">
        <v>123</v>
      </c>
      <c r="T1343" t="s">
        <v>161</v>
      </c>
    </row>
    <row r="1344" spans="1:20" x14ac:dyDescent="0.2">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v>368.97</v>
      </c>
      <c r="Q1344">
        <v>3</v>
      </c>
      <c r="R1344">
        <v>81.173400000000001</v>
      </c>
      <c r="S1344" s="9" t="s">
        <v>58</v>
      </c>
      <c r="T1344" t="s">
        <v>48</v>
      </c>
    </row>
    <row r="1345" spans="1:20" x14ac:dyDescent="0.2">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v>454.27199999999999</v>
      </c>
      <c r="Q1345">
        <v>8</v>
      </c>
      <c r="R1345">
        <v>-73.819199999999995</v>
      </c>
      <c r="S1345" s="9" t="s">
        <v>33</v>
      </c>
      <c r="T1345" t="s">
        <v>48</v>
      </c>
    </row>
    <row r="1346" spans="1:20" x14ac:dyDescent="0.2">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v>945.03599999999994</v>
      </c>
      <c r="Q1346">
        <v>6</v>
      </c>
      <c r="R1346">
        <v>-299.26139999999998</v>
      </c>
      <c r="S1346" s="9" t="s">
        <v>83</v>
      </c>
      <c r="T1346" t="s">
        <v>34</v>
      </c>
    </row>
    <row r="1347" spans="1:20" x14ac:dyDescent="0.2">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v>410.35199999999998</v>
      </c>
      <c r="Q1347">
        <v>3</v>
      </c>
      <c r="R1347">
        <v>-51.293999999999997</v>
      </c>
      <c r="S1347" s="9" t="s">
        <v>83</v>
      </c>
      <c r="T1347" t="s">
        <v>34</v>
      </c>
    </row>
    <row r="1348" spans="1:20" x14ac:dyDescent="0.2">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v>35</v>
      </c>
      <c r="Q1348">
        <v>4</v>
      </c>
      <c r="R1348">
        <v>14.7</v>
      </c>
      <c r="S1348" s="9" t="s">
        <v>70</v>
      </c>
      <c r="T1348" t="s">
        <v>161</v>
      </c>
    </row>
    <row r="1349" spans="1:20" x14ac:dyDescent="0.2">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v>974.98800000000006</v>
      </c>
      <c r="Q1349">
        <v>4</v>
      </c>
      <c r="R1349">
        <v>-97.498800000000003</v>
      </c>
      <c r="S1349" s="9" t="s">
        <v>58</v>
      </c>
      <c r="T1349" t="s">
        <v>96</v>
      </c>
    </row>
    <row r="1350" spans="1:20" x14ac:dyDescent="0.2">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v>589.41</v>
      </c>
      <c r="Q1350">
        <v>5</v>
      </c>
      <c r="R1350">
        <v>-6.5490000000000004</v>
      </c>
      <c r="S1350" s="9" t="s">
        <v>70</v>
      </c>
      <c r="T1350" t="s">
        <v>48</v>
      </c>
    </row>
    <row r="1351" spans="1:20" x14ac:dyDescent="0.2">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v>82.26</v>
      </c>
      <c r="Q1351">
        <v>3</v>
      </c>
      <c r="R1351">
        <v>33.726599999999998</v>
      </c>
      <c r="S1351" s="9" t="s">
        <v>47</v>
      </c>
      <c r="T1351" t="s">
        <v>48</v>
      </c>
    </row>
    <row r="1352" spans="1:20" x14ac:dyDescent="0.2">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v>103.5</v>
      </c>
      <c r="Q1352">
        <v>5</v>
      </c>
      <c r="R1352">
        <v>-77.625</v>
      </c>
      <c r="S1352" s="9" t="s">
        <v>70</v>
      </c>
      <c r="T1352" t="s">
        <v>195</v>
      </c>
    </row>
    <row r="1353" spans="1:20" x14ac:dyDescent="0.2">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v>36.96</v>
      </c>
      <c r="Q1353">
        <v>7</v>
      </c>
      <c r="R1353">
        <v>11.457599999999999</v>
      </c>
      <c r="S1353" s="9" t="s">
        <v>33</v>
      </c>
      <c r="T1353" t="s">
        <v>71</v>
      </c>
    </row>
    <row r="1354" spans="1:20" x14ac:dyDescent="0.2">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v>261.95999999999998</v>
      </c>
      <c r="Q1354">
        <v>2</v>
      </c>
      <c r="R1354">
        <v>23.5764</v>
      </c>
      <c r="S1354" s="9" t="s">
        <v>33</v>
      </c>
      <c r="T1354" t="s">
        <v>161</v>
      </c>
    </row>
    <row r="1355" spans="1:20" x14ac:dyDescent="0.2">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v>13.28</v>
      </c>
      <c r="Q1355">
        <v>2</v>
      </c>
      <c r="R1355">
        <v>6.3743999999999996</v>
      </c>
      <c r="S1355" s="9" t="s">
        <v>129</v>
      </c>
      <c r="T1355" t="s">
        <v>77</v>
      </c>
    </row>
    <row r="1356" spans="1:20" x14ac:dyDescent="0.2">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v>72.42</v>
      </c>
      <c r="Q1356">
        <v>6</v>
      </c>
      <c r="R1356">
        <v>23.898599999999998</v>
      </c>
      <c r="S1356" s="9" t="s">
        <v>129</v>
      </c>
      <c r="T1356" t="s">
        <v>96</v>
      </c>
    </row>
    <row r="1357" spans="1:20" x14ac:dyDescent="0.2">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v>61.96</v>
      </c>
      <c r="Q1357">
        <v>4</v>
      </c>
      <c r="R1357">
        <v>-53.285600000000002</v>
      </c>
      <c r="S1357" s="9" t="s">
        <v>123</v>
      </c>
      <c r="T1357" t="s">
        <v>169</v>
      </c>
    </row>
    <row r="1358" spans="1:20" x14ac:dyDescent="0.2">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v>241.56800000000001</v>
      </c>
      <c r="Q1358">
        <v>2</v>
      </c>
      <c r="R1358">
        <v>0</v>
      </c>
      <c r="S1358" s="9" t="s">
        <v>47</v>
      </c>
      <c r="T1358" t="s">
        <v>59</v>
      </c>
    </row>
    <row r="1359" spans="1:20" x14ac:dyDescent="0.2">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v>384.76799999999997</v>
      </c>
      <c r="Q1359">
        <v>2</v>
      </c>
      <c r="R1359">
        <v>-115.43040000000001</v>
      </c>
      <c r="S1359" s="9" t="s">
        <v>129</v>
      </c>
      <c r="T1359" t="s">
        <v>59</v>
      </c>
    </row>
    <row r="1360" spans="1:20" x14ac:dyDescent="0.2">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v>103.93600000000001</v>
      </c>
      <c r="Q1360">
        <v>4</v>
      </c>
      <c r="R1360">
        <v>16.889600000000002</v>
      </c>
      <c r="S1360" s="9" t="s">
        <v>83</v>
      </c>
      <c r="T1360" t="s">
        <v>77</v>
      </c>
    </row>
    <row r="1361" spans="1:20" x14ac:dyDescent="0.2">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v>289.56799999999998</v>
      </c>
      <c r="Q1361">
        <v>2</v>
      </c>
      <c r="R1361">
        <v>10.8588</v>
      </c>
      <c r="S1361" s="9" t="s">
        <v>58</v>
      </c>
      <c r="T1361" t="s">
        <v>34</v>
      </c>
    </row>
    <row r="1362" spans="1:20" x14ac:dyDescent="0.2">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v>20.94</v>
      </c>
      <c r="Q1362">
        <v>3</v>
      </c>
      <c r="R1362">
        <v>6.0726000000000004</v>
      </c>
      <c r="S1362" s="9" t="s">
        <v>83</v>
      </c>
      <c r="T1362" t="s">
        <v>71</v>
      </c>
    </row>
    <row r="1363" spans="1:20" x14ac:dyDescent="0.2">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v>332.83199999999999</v>
      </c>
      <c r="Q1363">
        <v>4</v>
      </c>
      <c r="R1363">
        <v>-24.962399999999999</v>
      </c>
      <c r="S1363" s="9" t="s">
        <v>70</v>
      </c>
      <c r="T1363" t="s">
        <v>48</v>
      </c>
    </row>
    <row r="1364" spans="1:20" x14ac:dyDescent="0.2">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v>218.352</v>
      </c>
      <c r="Q1364">
        <v>3</v>
      </c>
      <c r="R1364">
        <v>0</v>
      </c>
      <c r="S1364" s="9" t="s">
        <v>83</v>
      </c>
      <c r="T1364" t="s">
        <v>77</v>
      </c>
    </row>
    <row r="1365" spans="1:20" x14ac:dyDescent="0.2">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v>529.9</v>
      </c>
      <c r="Q1365">
        <v>5</v>
      </c>
      <c r="R1365">
        <v>105.98</v>
      </c>
      <c r="S1365" s="9" t="s">
        <v>83</v>
      </c>
      <c r="T1365" t="s">
        <v>77</v>
      </c>
    </row>
    <row r="1366" spans="1:20" x14ac:dyDescent="0.2">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v>302.67</v>
      </c>
      <c r="Q1366">
        <v>3</v>
      </c>
      <c r="R1366">
        <v>72.640799999999999</v>
      </c>
      <c r="S1366" s="9" t="s">
        <v>70</v>
      </c>
      <c r="T1366" t="s">
        <v>169</v>
      </c>
    </row>
    <row r="1367" spans="1:20" x14ac:dyDescent="0.2">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v>4007.84</v>
      </c>
      <c r="Q1367">
        <v>10</v>
      </c>
      <c r="R1367">
        <v>-50.097999999999999</v>
      </c>
      <c r="S1367" s="9" t="s">
        <v>58</v>
      </c>
      <c r="T1367" t="s">
        <v>34</v>
      </c>
    </row>
    <row r="1368" spans="1:20" x14ac:dyDescent="0.2">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v>328.59</v>
      </c>
      <c r="Q1368">
        <v>3</v>
      </c>
      <c r="R1368">
        <v>-147.8655</v>
      </c>
      <c r="S1368" s="9" t="s">
        <v>33</v>
      </c>
      <c r="T1368" t="s">
        <v>48</v>
      </c>
    </row>
    <row r="1369" spans="1:20" x14ac:dyDescent="0.2">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v>291.10000000000002</v>
      </c>
      <c r="Q1369">
        <v>5</v>
      </c>
      <c r="R1369">
        <v>75.686000000000007</v>
      </c>
      <c r="S1369" s="9" t="s">
        <v>58</v>
      </c>
      <c r="T1369" t="s">
        <v>48</v>
      </c>
    </row>
    <row r="1370" spans="1:20" x14ac:dyDescent="0.2">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v>139.91999999999999</v>
      </c>
      <c r="Q1370">
        <v>2</v>
      </c>
      <c r="R1370">
        <v>23.7864</v>
      </c>
      <c r="S1370" s="9" t="s">
        <v>33</v>
      </c>
      <c r="T1370" t="s">
        <v>34</v>
      </c>
    </row>
    <row r="1371" spans="1:20" x14ac:dyDescent="0.2">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v>634.11599999999999</v>
      </c>
      <c r="Q1371">
        <v>6</v>
      </c>
      <c r="R1371">
        <v>-172.1172</v>
      </c>
      <c r="S1371" s="9" t="s">
        <v>83</v>
      </c>
      <c r="T1371" t="s">
        <v>195</v>
      </c>
    </row>
    <row r="1372" spans="1:20" x14ac:dyDescent="0.2">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v>155.88</v>
      </c>
      <c r="Q1372">
        <v>6</v>
      </c>
      <c r="R1372">
        <v>38.97</v>
      </c>
      <c r="S1372" s="9" t="s">
        <v>70</v>
      </c>
      <c r="T1372" t="s">
        <v>71</v>
      </c>
    </row>
    <row r="1373" spans="1:20" x14ac:dyDescent="0.2">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v>327.56400000000002</v>
      </c>
      <c r="Q1373">
        <v>4</v>
      </c>
      <c r="R1373">
        <v>21.837599999999998</v>
      </c>
      <c r="S1373" s="9" t="s">
        <v>70</v>
      </c>
      <c r="T1373" t="s">
        <v>34</v>
      </c>
    </row>
    <row r="1374" spans="1:20" x14ac:dyDescent="0.2">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v>1522.6379999999999</v>
      </c>
      <c r="Q1374">
        <v>9</v>
      </c>
      <c r="R1374">
        <v>169.18199999999999</v>
      </c>
      <c r="S1374" s="9" t="s">
        <v>58</v>
      </c>
      <c r="T1374" t="s">
        <v>59</v>
      </c>
    </row>
    <row r="1375" spans="1:20" x14ac:dyDescent="0.2">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v>194.25</v>
      </c>
      <c r="Q1375">
        <v>2</v>
      </c>
      <c r="R1375">
        <v>-38.85</v>
      </c>
      <c r="S1375" s="9" t="s">
        <v>58</v>
      </c>
      <c r="T1375" t="s">
        <v>161</v>
      </c>
    </row>
    <row r="1376" spans="1:20" x14ac:dyDescent="0.2">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v>872.32</v>
      </c>
      <c r="Q1376">
        <v>4</v>
      </c>
      <c r="R1376">
        <v>244.24959999999999</v>
      </c>
      <c r="S1376" s="9" t="s">
        <v>58</v>
      </c>
      <c r="T1376" t="s">
        <v>161</v>
      </c>
    </row>
    <row r="1377" spans="1:20" x14ac:dyDescent="0.2">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v>317.05799999999999</v>
      </c>
      <c r="Q1377">
        <v>3</v>
      </c>
      <c r="R1377">
        <v>-18.117599999999999</v>
      </c>
      <c r="S1377" s="9" t="s">
        <v>83</v>
      </c>
      <c r="T1377" t="s">
        <v>113</v>
      </c>
    </row>
    <row r="1378" spans="1:20" x14ac:dyDescent="0.2">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v>170.352</v>
      </c>
      <c r="Q1378">
        <v>3</v>
      </c>
      <c r="R1378">
        <v>-17.0352</v>
      </c>
      <c r="S1378" s="9" t="s">
        <v>58</v>
      </c>
      <c r="T1378" t="s">
        <v>195</v>
      </c>
    </row>
    <row r="1379" spans="1:20" x14ac:dyDescent="0.2">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v>101.94</v>
      </c>
      <c r="Q1379">
        <v>3</v>
      </c>
      <c r="R1379">
        <v>30.582000000000001</v>
      </c>
      <c r="S1379" s="9" t="s">
        <v>430</v>
      </c>
      <c r="T1379" t="s">
        <v>48</v>
      </c>
    </row>
    <row r="1380" spans="1:20" x14ac:dyDescent="0.2">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v>8.8000000000000007</v>
      </c>
      <c r="Q1380">
        <v>5</v>
      </c>
      <c r="R1380">
        <v>3.8719999999999999</v>
      </c>
      <c r="S1380" s="9" t="s">
        <v>129</v>
      </c>
      <c r="T1380" t="s">
        <v>71</v>
      </c>
    </row>
    <row r="1381" spans="1:20" x14ac:dyDescent="0.2">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v>302.94</v>
      </c>
      <c r="Q1381">
        <v>3</v>
      </c>
      <c r="R1381">
        <v>69.676199999999994</v>
      </c>
      <c r="S1381" s="9" t="s">
        <v>129</v>
      </c>
      <c r="T1381" t="s">
        <v>71</v>
      </c>
    </row>
    <row r="1382" spans="1:20" x14ac:dyDescent="0.2">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v>60.72</v>
      </c>
      <c r="Q1382">
        <v>3</v>
      </c>
      <c r="R1382">
        <v>23.680800000000001</v>
      </c>
      <c r="S1382" s="9" t="s">
        <v>58</v>
      </c>
      <c r="T1382" t="s">
        <v>96</v>
      </c>
    </row>
    <row r="1383" spans="1:20" x14ac:dyDescent="0.2">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v>239.84</v>
      </c>
      <c r="Q1383">
        <v>8</v>
      </c>
      <c r="R1383">
        <v>64.756799999999998</v>
      </c>
      <c r="S1383" s="9" t="s">
        <v>58</v>
      </c>
      <c r="T1383" t="s">
        <v>96</v>
      </c>
    </row>
    <row r="1384" spans="1:20" x14ac:dyDescent="0.2">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v>484.70400000000001</v>
      </c>
      <c r="Q1384">
        <v>6</v>
      </c>
      <c r="R1384">
        <v>-84.8232</v>
      </c>
      <c r="S1384" s="9" t="s">
        <v>58</v>
      </c>
      <c r="T1384" t="s">
        <v>161</v>
      </c>
    </row>
    <row r="1385" spans="1:20" x14ac:dyDescent="0.2">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v>191.96</v>
      </c>
      <c r="Q1385">
        <v>2</v>
      </c>
      <c r="R1385">
        <v>51.8292</v>
      </c>
      <c r="S1385" s="9" t="s">
        <v>47</v>
      </c>
      <c r="T1385" t="s">
        <v>113</v>
      </c>
    </row>
    <row r="1386" spans="1:20" x14ac:dyDescent="0.2">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v>209.88</v>
      </c>
      <c r="Q1386">
        <v>3</v>
      </c>
      <c r="R1386">
        <v>35.679600000000001</v>
      </c>
      <c r="S1386" s="9" t="s">
        <v>47</v>
      </c>
      <c r="T1386" t="s">
        <v>113</v>
      </c>
    </row>
    <row r="1387" spans="1:20" x14ac:dyDescent="0.2">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v>239.666</v>
      </c>
      <c r="Q1387">
        <v>2</v>
      </c>
      <c r="R1387">
        <v>14.098000000000001</v>
      </c>
      <c r="S1387" s="9" t="s">
        <v>70</v>
      </c>
      <c r="T1387" t="s">
        <v>59</v>
      </c>
    </row>
    <row r="1388" spans="1:20" x14ac:dyDescent="0.2">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v>212.94</v>
      </c>
      <c r="Q1388">
        <v>3</v>
      </c>
      <c r="R1388">
        <v>53.234999999999999</v>
      </c>
      <c r="S1388" s="9" t="s">
        <v>58</v>
      </c>
      <c r="T1388" t="s">
        <v>169</v>
      </c>
    </row>
    <row r="1389" spans="1:20" x14ac:dyDescent="0.2">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v>41.88</v>
      </c>
      <c r="Q1389">
        <v>6</v>
      </c>
      <c r="R1389">
        <v>12.145200000000001</v>
      </c>
      <c r="S1389" s="9" t="s">
        <v>33</v>
      </c>
      <c r="T1389" t="s">
        <v>77</v>
      </c>
    </row>
    <row r="1390" spans="1:20" x14ac:dyDescent="0.2">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v>102.438</v>
      </c>
      <c r="Q1390">
        <v>1</v>
      </c>
      <c r="R1390">
        <v>-13.1706</v>
      </c>
      <c r="S1390" s="9" t="s">
        <v>83</v>
      </c>
      <c r="T1390" t="s">
        <v>169</v>
      </c>
    </row>
    <row r="1391" spans="1:20" x14ac:dyDescent="0.2">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v>199.304</v>
      </c>
      <c r="Q1391">
        <v>4</v>
      </c>
      <c r="R1391">
        <v>-8.5416000000000007</v>
      </c>
      <c r="S1391" s="9" t="s">
        <v>83</v>
      </c>
      <c r="T1391" t="s">
        <v>169</v>
      </c>
    </row>
    <row r="1392" spans="1:20" x14ac:dyDescent="0.2">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v>698.35199999999998</v>
      </c>
      <c r="Q1392">
        <v>3</v>
      </c>
      <c r="R1392">
        <v>52.376399999999997</v>
      </c>
      <c r="S1392" s="9" t="s">
        <v>58</v>
      </c>
      <c r="T1392" t="s">
        <v>96</v>
      </c>
    </row>
    <row r="1393" spans="1:20" x14ac:dyDescent="0.2">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v>1747.25</v>
      </c>
      <c r="Q1393">
        <v>5</v>
      </c>
      <c r="R1393">
        <v>629.01</v>
      </c>
      <c r="S1393" s="9" t="s">
        <v>58</v>
      </c>
      <c r="T1393" t="s">
        <v>96</v>
      </c>
    </row>
    <row r="1394" spans="1:20" x14ac:dyDescent="0.2">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v>1421.664</v>
      </c>
      <c r="Q1394">
        <v>8</v>
      </c>
      <c r="R1394">
        <v>-734.52639999999997</v>
      </c>
      <c r="S1394" s="9" t="s">
        <v>70</v>
      </c>
      <c r="T1394" t="s">
        <v>48</v>
      </c>
    </row>
    <row r="1395" spans="1:20" x14ac:dyDescent="0.2">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v>564.19500000000005</v>
      </c>
      <c r="Q1395">
        <v>3</v>
      </c>
      <c r="R1395">
        <v>-304.6653</v>
      </c>
      <c r="S1395" s="9" t="s">
        <v>129</v>
      </c>
      <c r="T1395" t="s">
        <v>96</v>
      </c>
    </row>
    <row r="1396" spans="1:20" x14ac:dyDescent="0.2">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v>21.184000000000001</v>
      </c>
      <c r="Q1396">
        <v>2</v>
      </c>
      <c r="R1396">
        <v>-11.651199999999999</v>
      </c>
      <c r="S1396" s="9" t="s">
        <v>33</v>
      </c>
      <c r="T1396" t="s">
        <v>77</v>
      </c>
    </row>
    <row r="1397" spans="1:20" x14ac:dyDescent="0.2">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v>213.43</v>
      </c>
      <c r="Q1397">
        <v>5</v>
      </c>
      <c r="R1397">
        <v>-39.637</v>
      </c>
      <c r="S1397" s="9" t="s">
        <v>33</v>
      </c>
      <c r="T1397" t="s">
        <v>77</v>
      </c>
    </row>
    <row r="1398" spans="1:20" x14ac:dyDescent="0.2">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v>68.703999999999994</v>
      </c>
      <c r="Q1398">
        <v>2</v>
      </c>
      <c r="R1398">
        <v>16.3172</v>
      </c>
      <c r="S1398" s="9" t="s">
        <v>47</v>
      </c>
      <c r="T1398" t="s">
        <v>297</v>
      </c>
    </row>
    <row r="1399" spans="1:20" x14ac:dyDescent="0.2">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v>386.91</v>
      </c>
      <c r="Q1399">
        <v>9</v>
      </c>
      <c r="R1399">
        <v>-185.71680000000001</v>
      </c>
      <c r="S1399" s="9" t="s">
        <v>47</v>
      </c>
      <c r="T1399" t="s">
        <v>297</v>
      </c>
    </row>
    <row r="1400" spans="1:20" x14ac:dyDescent="0.2">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v>356.85</v>
      </c>
      <c r="Q1400">
        <v>5</v>
      </c>
      <c r="R1400">
        <v>60.664499999999997</v>
      </c>
      <c r="S1400" s="9" t="s">
        <v>129</v>
      </c>
      <c r="T1400" t="s">
        <v>48</v>
      </c>
    </row>
    <row r="1401" spans="1:20" x14ac:dyDescent="0.2">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v>42.85</v>
      </c>
      <c r="Q1401">
        <v>5</v>
      </c>
      <c r="R1401">
        <v>15.426</v>
      </c>
      <c r="S1401" s="9" t="s">
        <v>70</v>
      </c>
      <c r="T1401" t="s">
        <v>161</v>
      </c>
    </row>
    <row r="1402" spans="1:20" x14ac:dyDescent="0.2">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v>67.959999999999994</v>
      </c>
      <c r="Q1402">
        <v>4</v>
      </c>
      <c r="R1402">
        <v>12.232799999999999</v>
      </c>
      <c r="S1402" s="9" t="s">
        <v>47</v>
      </c>
      <c r="T1402" t="s">
        <v>77</v>
      </c>
    </row>
    <row r="1403" spans="1:20" x14ac:dyDescent="0.2">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v>46.872</v>
      </c>
      <c r="Q1403">
        <v>7</v>
      </c>
      <c r="R1403">
        <v>3.5154000000000001</v>
      </c>
      <c r="S1403" s="9" t="s">
        <v>83</v>
      </c>
      <c r="T1403" t="s">
        <v>48</v>
      </c>
    </row>
    <row r="1404" spans="1:20" x14ac:dyDescent="0.2">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v>20.04</v>
      </c>
      <c r="Q1404">
        <v>6</v>
      </c>
      <c r="R1404">
        <v>8.8176000000000005</v>
      </c>
      <c r="S1404" s="9" t="s">
        <v>58</v>
      </c>
      <c r="T1404" t="s">
        <v>34</v>
      </c>
    </row>
    <row r="1405" spans="1:20" x14ac:dyDescent="0.2">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v>41.552</v>
      </c>
      <c r="Q1405">
        <v>2</v>
      </c>
      <c r="R1405">
        <v>-19.737200000000001</v>
      </c>
      <c r="S1405" s="9" t="s">
        <v>58</v>
      </c>
      <c r="T1405" t="s">
        <v>96</v>
      </c>
    </row>
    <row r="1406" spans="1:20" x14ac:dyDescent="0.2">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v>225.29599999999999</v>
      </c>
      <c r="Q1406">
        <v>2</v>
      </c>
      <c r="R1406">
        <v>22.529599999999999</v>
      </c>
      <c r="S1406" s="9" t="s">
        <v>83</v>
      </c>
      <c r="T1406" t="s">
        <v>71</v>
      </c>
    </row>
    <row r="1407" spans="1:20" x14ac:dyDescent="0.2">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v>163.136</v>
      </c>
      <c r="Q1407">
        <v>4</v>
      </c>
      <c r="R1407">
        <v>20.391999999999999</v>
      </c>
      <c r="S1407" s="9" t="s">
        <v>83</v>
      </c>
      <c r="T1407" t="s">
        <v>161</v>
      </c>
    </row>
    <row r="1408" spans="1:20" x14ac:dyDescent="0.2">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v>883.84</v>
      </c>
      <c r="Q1408">
        <v>4</v>
      </c>
      <c r="R1408">
        <v>99.432000000000002</v>
      </c>
      <c r="S1408" s="9" t="s">
        <v>58</v>
      </c>
      <c r="T1408" t="s">
        <v>34</v>
      </c>
    </row>
    <row r="1409" spans="1:20" x14ac:dyDescent="0.2">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v>230.352</v>
      </c>
      <c r="Q1409">
        <v>3</v>
      </c>
      <c r="R1409">
        <v>20.155799999999999</v>
      </c>
      <c r="S1409" s="9" t="s">
        <v>58</v>
      </c>
      <c r="T1409" t="s">
        <v>34</v>
      </c>
    </row>
    <row r="1410" spans="1:20" x14ac:dyDescent="0.2">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v>266.35199999999998</v>
      </c>
      <c r="Q1410">
        <v>6</v>
      </c>
      <c r="R1410">
        <v>-292.98719999999997</v>
      </c>
      <c r="S1410" s="9" t="s">
        <v>430</v>
      </c>
      <c r="T1410" t="s">
        <v>96</v>
      </c>
    </row>
    <row r="1411" spans="1:20" x14ac:dyDescent="0.2">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v>56.328000000000003</v>
      </c>
      <c r="Q1411">
        <v>3</v>
      </c>
      <c r="R1411">
        <v>-26.755800000000001</v>
      </c>
      <c r="S1411" s="9" t="s">
        <v>430</v>
      </c>
      <c r="T1411" t="s">
        <v>96</v>
      </c>
    </row>
    <row r="1412" spans="1:20" x14ac:dyDescent="0.2">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v>159.91999999999999</v>
      </c>
      <c r="Q1412">
        <v>4</v>
      </c>
      <c r="R1412">
        <v>31.984000000000002</v>
      </c>
      <c r="S1412" s="9" t="s">
        <v>47</v>
      </c>
      <c r="T1412" t="s">
        <v>113</v>
      </c>
    </row>
    <row r="1413" spans="1:20" x14ac:dyDescent="0.2">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v>50.496000000000002</v>
      </c>
      <c r="Q1413">
        <v>6</v>
      </c>
      <c r="R1413">
        <v>8.2056000000000004</v>
      </c>
      <c r="S1413" s="9" t="s">
        <v>58</v>
      </c>
      <c r="T1413" t="s">
        <v>34</v>
      </c>
    </row>
    <row r="1414" spans="1:20" x14ac:dyDescent="0.2">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v>643.13599999999997</v>
      </c>
      <c r="Q1414">
        <v>4</v>
      </c>
      <c r="R1414">
        <v>56.2744</v>
      </c>
      <c r="S1414" s="9" t="s">
        <v>70</v>
      </c>
      <c r="T1414" t="s">
        <v>59</v>
      </c>
    </row>
    <row r="1415" spans="1:20" x14ac:dyDescent="0.2">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v>359.77199999999999</v>
      </c>
      <c r="Q1415">
        <v>2</v>
      </c>
      <c r="R1415">
        <v>-5.1395999999999997</v>
      </c>
      <c r="S1415" s="9" t="s">
        <v>58</v>
      </c>
      <c r="T1415" t="s">
        <v>161</v>
      </c>
    </row>
    <row r="1416" spans="1:20" x14ac:dyDescent="0.2">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v>122.136</v>
      </c>
      <c r="Q1416">
        <v>3</v>
      </c>
      <c r="R1416">
        <v>-13.7403</v>
      </c>
      <c r="S1416" s="9" t="s">
        <v>58</v>
      </c>
      <c r="T1416" t="s">
        <v>71</v>
      </c>
    </row>
    <row r="1417" spans="1:20" x14ac:dyDescent="0.2">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v>121.96</v>
      </c>
      <c r="Q1417">
        <v>2</v>
      </c>
      <c r="R1417">
        <v>20.7332</v>
      </c>
      <c r="S1417" s="9" t="s">
        <v>70</v>
      </c>
      <c r="T1417" t="s">
        <v>59</v>
      </c>
    </row>
    <row r="1418" spans="1:20" x14ac:dyDescent="0.2">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v>47.4</v>
      </c>
      <c r="Q1418">
        <v>5</v>
      </c>
      <c r="R1418">
        <v>18.96</v>
      </c>
      <c r="S1418" s="9" t="s">
        <v>83</v>
      </c>
      <c r="T1418" t="s">
        <v>77</v>
      </c>
    </row>
    <row r="1419" spans="1:20" x14ac:dyDescent="0.2">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v>512.96</v>
      </c>
      <c r="Q1419">
        <v>4</v>
      </c>
      <c r="R1419">
        <v>143.62880000000001</v>
      </c>
      <c r="S1419" s="9" t="s">
        <v>83</v>
      </c>
      <c r="T1419" t="s">
        <v>77</v>
      </c>
    </row>
    <row r="1420" spans="1:20" x14ac:dyDescent="0.2">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v>253.76400000000001</v>
      </c>
      <c r="Q1420">
        <v>2</v>
      </c>
      <c r="R1420">
        <v>31.015599999999999</v>
      </c>
      <c r="S1420" s="9" t="s">
        <v>70</v>
      </c>
      <c r="T1420" t="s">
        <v>71</v>
      </c>
    </row>
    <row r="1421" spans="1:20" x14ac:dyDescent="0.2">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v>317.05799999999999</v>
      </c>
      <c r="Q1421">
        <v>3</v>
      </c>
      <c r="R1421">
        <v>-18.117599999999999</v>
      </c>
      <c r="S1421" s="9" t="s">
        <v>83</v>
      </c>
      <c r="T1421" t="s">
        <v>113</v>
      </c>
    </row>
    <row r="1422" spans="1:20" x14ac:dyDescent="0.2">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v>14.56</v>
      </c>
      <c r="Q1422">
        <v>5</v>
      </c>
      <c r="R1422">
        <v>-6.1879999999999997</v>
      </c>
      <c r="S1422" s="9" t="s">
        <v>83</v>
      </c>
      <c r="T1422" t="s">
        <v>113</v>
      </c>
    </row>
    <row r="1423" spans="1:20" x14ac:dyDescent="0.2">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v>344.94</v>
      </c>
      <c r="Q1423">
        <v>3</v>
      </c>
      <c r="R1423">
        <v>31.044599999999999</v>
      </c>
      <c r="S1423" s="9" t="s">
        <v>58</v>
      </c>
      <c r="T1423" t="s">
        <v>77</v>
      </c>
    </row>
    <row r="1424" spans="1:20" x14ac:dyDescent="0.2">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v>14.76</v>
      </c>
      <c r="Q1424">
        <v>2</v>
      </c>
      <c r="R1424">
        <v>4.2804000000000002</v>
      </c>
      <c r="S1424" s="9" t="s">
        <v>58</v>
      </c>
      <c r="T1424" t="s">
        <v>77</v>
      </c>
    </row>
    <row r="1425" spans="1:20" x14ac:dyDescent="0.2">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v>20.096</v>
      </c>
      <c r="Q1425">
        <v>4</v>
      </c>
      <c r="R1425">
        <v>3.0144000000000002</v>
      </c>
      <c r="S1425" s="9" t="s">
        <v>33</v>
      </c>
      <c r="T1425" t="s">
        <v>71</v>
      </c>
    </row>
    <row r="1426" spans="1:20" x14ac:dyDescent="0.2">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v>138.58799999999999</v>
      </c>
      <c r="Q1426">
        <v>1</v>
      </c>
      <c r="R1426">
        <v>-34.646999999999998</v>
      </c>
      <c r="S1426" s="9" t="s">
        <v>33</v>
      </c>
      <c r="T1426" t="s">
        <v>71</v>
      </c>
    </row>
    <row r="1427" spans="1:20" x14ac:dyDescent="0.2">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v>129.93</v>
      </c>
      <c r="Q1427">
        <v>3</v>
      </c>
      <c r="R1427">
        <v>12.993</v>
      </c>
      <c r="S1427" s="9" t="s">
        <v>47</v>
      </c>
      <c r="T1427" t="s">
        <v>77</v>
      </c>
    </row>
    <row r="1428" spans="1:20" x14ac:dyDescent="0.2">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v>9.98</v>
      </c>
      <c r="Q1428">
        <v>1</v>
      </c>
      <c r="R1428">
        <v>2.7944</v>
      </c>
      <c r="S1428" s="9" t="s">
        <v>58</v>
      </c>
      <c r="T1428" t="s">
        <v>34</v>
      </c>
    </row>
    <row r="1429" spans="1:20" x14ac:dyDescent="0.2">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v>34.503999999999998</v>
      </c>
      <c r="Q1429">
        <v>2</v>
      </c>
      <c r="R1429">
        <v>-15.5268</v>
      </c>
      <c r="S1429" s="9" t="s">
        <v>83</v>
      </c>
      <c r="T1429" t="s">
        <v>34</v>
      </c>
    </row>
    <row r="1430" spans="1:20" x14ac:dyDescent="0.2">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v>20.103999999999999</v>
      </c>
      <c r="Q1430">
        <v>2</v>
      </c>
      <c r="R1430">
        <v>-16.585799999999999</v>
      </c>
      <c r="S1430" s="9" t="s">
        <v>430</v>
      </c>
      <c r="T1430" t="s">
        <v>253</v>
      </c>
    </row>
    <row r="1431" spans="1:20" x14ac:dyDescent="0.2">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v>7.88</v>
      </c>
      <c r="Q1431">
        <v>5</v>
      </c>
      <c r="R1431">
        <v>-3.94</v>
      </c>
      <c r="S1431" s="9" t="s">
        <v>430</v>
      </c>
      <c r="T1431" t="s">
        <v>253</v>
      </c>
    </row>
    <row r="1432" spans="1:20" x14ac:dyDescent="0.2">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v>35.445</v>
      </c>
      <c r="Q1432">
        <v>1</v>
      </c>
      <c r="R1432">
        <v>-24.102599999999999</v>
      </c>
      <c r="S1432" s="9" t="s">
        <v>47</v>
      </c>
      <c r="T1432" t="s">
        <v>96</v>
      </c>
    </row>
    <row r="1433" spans="1:20" x14ac:dyDescent="0.2">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v>47.968000000000004</v>
      </c>
      <c r="Q1433">
        <v>2</v>
      </c>
      <c r="R1433">
        <v>4.1971999999999996</v>
      </c>
      <c r="S1433" s="9" t="s">
        <v>47</v>
      </c>
      <c r="T1433" t="s">
        <v>96</v>
      </c>
    </row>
    <row r="1434" spans="1:20" x14ac:dyDescent="0.2">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v>22.38</v>
      </c>
      <c r="Q1434">
        <v>3</v>
      </c>
      <c r="R1434">
        <v>-7.8330000000000002</v>
      </c>
      <c r="S1434" s="9" t="s">
        <v>58</v>
      </c>
      <c r="T1434" t="s">
        <v>195</v>
      </c>
    </row>
    <row r="1435" spans="1:20" x14ac:dyDescent="0.2">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v>113.372</v>
      </c>
      <c r="Q1435">
        <v>2</v>
      </c>
      <c r="R1435">
        <v>-29.152799999999999</v>
      </c>
      <c r="S1435" s="9" t="s">
        <v>123</v>
      </c>
      <c r="T1435" t="s">
        <v>77</v>
      </c>
    </row>
    <row r="1436" spans="1:20" x14ac:dyDescent="0.2">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v>127.93600000000001</v>
      </c>
      <c r="Q1436">
        <v>8</v>
      </c>
      <c r="R1436">
        <v>4.7976000000000001</v>
      </c>
      <c r="S1436" s="9" t="s">
        <v>123</v>
      </c>
      <c r="T1436" t="s">
        <v>77</v>
      </c>
    </row>
    <row r="1437" spans="1:20" x14ac:dyDescent="0.2">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v>6.24</v>
      </c>
      <c r="Q1437">
        <v>3</v>
      </c>
      <c r="R1437">
        <v>2.6208</v>
      </c>
      <c r="S1437" s="9" t="s">
        <v>83</v>
      </c>
      <c r="T1437" t="s">
        <v>59</v>
      </c>
    </row>
    <row r="1438" spans="1:20" x14ac:dyDescent="0.2">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v>7.968</v>
      </c>
      <c r="Q1438">
        <v>3</v>
      </c>
      <c r="R1438">
        <v>-2.3904000000000001</v>
      </c>
      <c r="S1438" s="9" t="s">
        <v>83</v>
      </c>
      <c r="T1438" t="s">
        <v>96</v>
      </c>
    </row>
    <row r="1439" spans="1:20" x14ac:dyDescent="0.2">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v>113.372</v>
      </c>
      <c r="Q1439">
        <v>2</v>
      </c>
      <c r="R1439">
        <v>-3.2391999999999999</v>
      </c>
      <c r="S1439" s="9" t="s">
        <v>83</v>
      </c>
      <c r="T1439" t="s">
        <v>96</v>
      </c>
    </row>
    <row r="1440" spans="1:20" x14ac:dyDescent="0.2">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v>2.96</v>
      </c>
      <c r="Q1440">
        <v>2</v>
      </c>
      <c r="R1440">
        <v>-1.4059999999999999</v>
      </c>
      <c r="S1440" s="9" t="s">
        <v>83</v>
      </c>
      <c r="T1440" t="s">
        <v>96</v>
      </c>
    </row>
    <row r="1441" spans="1:20" x14ac:dyDescent="0.2">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v>358.58</v>
      </c>
      <c r="Q1441">
        <v>2</v>
      </c>
      <c r="R1441">
        <v>39.443800000000003</v>
      </c>
      <c r="S1441" s="9" t="s">
        <v>83</v>
      </c>
      <c r="T1441" t="s">
        <v>71</v>
      </c>
    </row>
    <row r="1442" spans="1:20" x14ac:dyDescent="0.2">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v>146.04</v>
      </c>
      <c r="Q1442">
        <v>1</v>
      </c>
      <c r="R1442">
        <v>-12.778499999999999</v>
      </c>
      <c r="S1442" s="9" t="s">
        <v>430</v>
      </c>
      <c r="T1442" t="s">
        <v>77</v>
      </c>
    </row>
    <row r="1443" spans="1:20" x14ac:dyDescent="0.2">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v>22.72</v>
      </c>
      <c r="Q1443">
        <v>1</v>
      </c>
      <c r="R1443">
        <v>9.3152000000000008</v>
      </c>
      <c r="S1443" s="9" t="s">
        <v>58</v>
      </c>
      <c r="T1443" t="s">
        <v>48</v>
      </c>
    </row>
    <row r="1444" spans="1:20" x14ac:dyDescent="0.2">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v>1059.1199999999999</v>
      </c>
      <c r="Q1444">
        <v>4</v>
      </c>
      <c r="R1444">
        <v>307.14479999999998</v>
      </c>
      <c r="S1444" s="9" t="s">
        <v>58</v>
      </c>
      <c r="T1444" t="s">
        <v>77</v>
      </c>
    </row>
    <row r="1445" spans="1:20" x14ac:dyDescent="0.2">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v>478.48</v>
      </c>
      <c r="Q1445">
        <v>2</v>
      </c>
      <c r="R1445">
        <v>47.847999999999999</v>
      </c>
      <c r="S1445" s="9" t="s">
        <v>129</v>
      </c>
      <c r="T1445" t="s">
        <v>71</v>
      </c>
    </row>
    <row r="1446" spans="1:20" x14ac:dyDescent="0.2">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v>59.92</v>
      </c>
      <c r="Q1446">
        <v>4</v>
      </c>
      <c r="R1446">
        <v>27.563199999999998</v>
      </c>
      <c r="S1446" s="9" t="s">
        <v>58</v>
      </c>
      <c r="T1446" t="s">
        <v>113</v>
      </c>
    </row>
    <row r="1447" spans="1:20" x14ac:dyDescent="0.2">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v>1565.88</v>
      </c>
      <c r="Q1447">
        <v>6</v>
      </c>
      <c r="R1447">
        <v>407.12880000000001</v>
      </c>
      <c r="S1447" s="9" t="s">
        <v>83</v>
      </c>
      <c r="T1447" t="s">
        <v>169</v>
      </c>
    </row>
    <row r="1448" spans="1:20" x14ac:dyDescent="0.2">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v>218.352</v>
      </c>
      <c r="Q1448">
        <v>3</v>
      </c>
      <c r="R1448">
        <v>-19.105799999999999</v>
      </c>
      <c r="S1448" s="9" t="s">
        <v>58</v>
      </c>
      <c r="T1448" t="s">
        <v>113</v>
      </c>
    </row>
    <row r="1449" spans="1:20" x14ac:dyDescent="0.2">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v>2887.056</v>
      </c>
      <c r="Q1449">
        <v>9</v>
      </c>
      <c r="R1449">
        <v>180.441</v>
      </c>
      <c r="S1449" s="9" t="s">
        <v>47</v>
      </c>
      <c r="T1449" t="s">
        <v>253</v>
      </c>
    </row>
    <row r="1450" spans="1:20" x14ac:dyDescent="0.2">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v>1652.94</v>
      </c>
      <c r="Q1450">
        <v>3</v>
      </c>
      <c r="R1450">
        <v>314.05860000000001</v>
      </c>
      <c r="S1450" s="9" t="s">
        <v>58</v>
      </c>
      <c r="T1450" t="s">
        <v>77</v>
      </c>
    </row>
    <row r="1451" spans="1:20" x14ac:dyDescent="0.2">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v>131.376</v>
      </c>
      <c r="Q1451">
        <v>6</v>
      </c>
      <c r="R1451">
        <v>-95.247600000000006</v>
      </c>
      <c r="S1451" s="9" t="s">
        <v>430</v>
      </c>
      <c r="T1451" t="s">
        <v>48</v>
      </c>
    </row>
    <row r="1452" spans="1:20" x14ac:dyDescent="0.2">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v>2003.92</v>
      </c>
      <c r="Q1452">
        <v>5</v>
      </c>
      <c r="R1452">
        <v>125.245</v>
      </c>
      <c r="S1452" s="9" t="s">
        <v>83</v>
      </c>
      <c r="T1452" t="s">
        <v>96</v>
      </c>
    </row>
    <row r="1453" spans="1:20" x14ac:dyDescent="0.2">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v>1913.4</v>
      </c>
      <c r="Q1453">
        <v>9</v>
      </c>
      <c r="R1453">
        <v>401.81400000000002</v>
      </c>
      <c r="S1453" s="9" t="s">
        <v>83</v>
      </c>
      <c r="T1453" t="s">
        <v>96</v>
      </c>
    </row>
    <row r="1454" spans="1:20" x14ac:dyDescent="0.2">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v>2567.84</v>
      </c>
      <c r="Q1454">
        <v>8</v>
      </c>
      <c r="R1454">
        <v>770.35199999999998</v>
      </c>
      <c r="S1454" s="9" t="s">
        <v>83</v>
      </c>
      <c r="T1454" t="s">
        <v>161</v>
      </c>
    </row>
    <row r="1455" spans="1:20" x14ac:dyDescent="0.2">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v>20.32</v>
      </c>
      <c r="Q1455">
        <v>4</v>
      </c>
      <c r="R1455">
        <v>6.9088000000000003</v>
      </c>
      <c r="S1455" s="9" t="s">
        <v>83</v>
      </c>
      <c r="T1455" t="s">
        <v>77</v>
      </c>
    </row>
    <row r="1456" spans="1:20" x14ac:dyDescent="0.2">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v>602.65099999999995</v>
      </c>
      <c r="Q1456">
        <v>7</v>
      </c>
      <c r="R1456">
        <v>-163.57669999999999</v>
      </c>
      <c r="S1456" s="9" t="s">
        <v>70</v>
      </c>
      <c r="T1456" t="s">
        <v>161</v>
      </c>
    </row>
    <row r="1457" spans="1:20" x14ac:dyDescent="0.2">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v>14.76</v>
      </c>
      <c r="Q1457">
        <v>2</v>
      </c>
      <c r="R1457">
        <v>4.2804000000000002</v>
      </c>
      <c r="S1457" s="9" t="s">
        <v>58</v>
      </c>
      <c r="T1457" t="s">
        <v>96</v>
      </c>
    </row>
    <row r="1458" spans="1:20" x14ac:dyDescent="0.2">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v>115.96</v>
      </c>
      <c r="Q1458">
        <v>2</v>
      </c>
      <c r="R1458">
        <v>25.511199999999999</v>
      </c>
      <c r="S1458" s="9" t="s">
        <v>83</v>
      </c>
      <c r="T1458" t="s">
        <v>71</v>
      </c>
    </row>
    <row r="1459" spans="1:20" x14ac:dyDescent="0.2">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v>1403.92</v>
      </c>
      <c r="Q1459">
        <v>5</v>
      </c>
      <c r="R1459">
        <v>70.195999999999998</v>
      </c>
      <c r="S1459" s="9" t="s">
        <v>58</v>
      </c>
      <c r="T1459" t="s">
        <v>96</v>
      </c>
    </row>
    <row r="1460" spans="1:20" x14ac:dyDescent="0.2">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v>681.40800000000002</v>
      </c>
      <c r="Q1460">
        <v>12</v>
      </c>
      <c r="R1460">
        <v>42.588000000000001</v>
      </c>
      <c r="S1460" s="9" t="s">
        <v>83</v>
      </c>
      <c r="T1460" t="s">
        <v>34</v>
      </c>
    </row>
    <row r="1461" spans="1:20" x14ac:dyDescent="0.2">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v>31.984000000000002</v>
      </c>
      <c r="Q1461">
        <v>2</v>
      </c>
      <c r="R1461">
        <v>1.1994</v>
      </c>
      <c r="S1461" s="9" t="s">
        <v>83</v>
      </c>
      <c r="T1461" t="s">
        <v>71</v>
      </c>
    </row>
    <row r="1462" spans="1:20" x14ac:dyDescent="0.2">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v>84.272000000000006</v>
      </c>
      <c r="Q1462">
        <v>2</v>
      </c>
      <c r="R1462">
        <v>-75.844800000000006</v>
      </c>
      <c r="S1462" s="9" t="s">
        <v>70</v>
      </c>
      <c r="T1462" t="s">
        <v>77</v>
      </c>
    </row>
    <row r="1463" spans="1:20" x14ac:dyDescent="0.2">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v>523.91999999999996</v>
      </c>
      <c r="Q1463">
        <v>5</v>
      </c>
      <c r="R1463">
        <v>-26.196000000000002</v>
      </c>
      <c r="S1463" s="9" t="s">
        <v>83</v>
      </c>
      <c r="T1463" t="s">
        <v>77</v>
      </c>
    </row>
    <row r="1464" spans="1:20" x14ac:dyDescent="0.2">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v>128.05799999999999</v>
      </c>
      <c r="Q1464">
        <v>3</v>
      </c>
      <c r="R1464">
        <v>-23.7822</v>
      </c>
      <c r="S1464" s="9" t="s">
        <v>83</v>
      </c>
      <c r="T1464" t="s">
        <v>113</v>
      </c>
    </row>
    <row r="1465" spans="1:20" x14ac:dyDescent="0.2">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v>79.974000000000004</v>
      </c>
      <c r="Q1465">
        <v>3</v>
      </c>
      <c r="R1465">
        <v>-29.323799999999999</v>
      </c>
      <c r="S1465" s="9" t="s">
        <v>430</v>
      </c>
      <c r="T1465" t="s">
        <v>34</v>
      </c>
    </row>
    <row r="1466" spans="1:20" x14ac:dyDescent="0.2">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v>51.75</v>
      </c>
      <c r="Q1466">
        <v>1</v>
      </c>
      <c r="R1466">
        <v>15.525</v>
      </c>
      <c r="S1466" s="9" t="s">
        <v>58</v>
      </c>
      <c r="T1466" t="s">
        <v>71</v>
      </c>
    </row>
    <row r="1467" spans="1:20" x14ac:dyDescent="0.2">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v>24.85</v>
      </c>
      <c r="Q1467">
        <v>5</v>
      </c>
      <c r="R1467">
        <v>7.7035</v>
      </c>
      <c r="S1467" s="9" t="s">
        <v>33</v>
      </c>
      <c r="T1467" t="s">
        <v>169</v>
      </c>
    </row>
    <row r="1468" spans="1:20" x14ac:dyDescent="0.2">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v>621.76</v>
      </c>
      <c r="Q1468">
        <v>4</v>
      </c>
      <c r="R1468">
        <v>46.631999999999998</v>
      </c>
      <c r="S1468" s="9" t="s">
        <v>83</v>
      </c>
      <c r="T1468" t="s">
        <v>59</v>
      </c>
    </row>
    <row r="1469" spans="1:20" x14ac:dyDescent="0.2">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v>186.54</v>
      </c>
      <c r="Q1469">
        <v>3</v>
      </c>
      <c r="R1469">
        <v>41.038800000000002</v>
      </c>
      <c r="S1469" s="9" t="s">
        <v>58</v>
      </c>
      <c r="T1469" t="s">
        <v>34</v>
      </c>
    </row>
    <row r="1470" spans="1:20" x14ac:dyDescent="0.2">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v>366.74400000000003</v>
      </c>
      <c r="Q1470">
        <v>4</v>
      </c>
      <c r="R1470">
        <v>-110.0232</v>
      </c>
      <c r="S1470" s="9" t="s">
        <v>83</v>
      </c>
      <c r="T1470" t="s">
        <v>195</v>
      </c>
    </row>
    <row r="1471" spans="1:20" x14ac:dyDescent="0.2">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v>289.24</v>
      </c>
      <c r="Q1471">
        <v>7</v>
      </c>
      <c r="R1471">
        <v>26.031600000000001</v>
      </c>
      <c r="S1471" s="9" t="s">
        <v>70</v>
      </c>
      <c r="T1471" t="s">
        <v>253</v>
      </c>
    </row>
    <row r="1472" spans="1:20" x14ac:dyDescent="0.2">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v>205.16399999999999</v>
      </c>
      <c r="Q1472">
        <v>2</v>
      </c>
      <c r="R1472">
        <v>13.6776</v>
      </c>
      <c r="S1472" s="9" t="s">
        <v>83</v>
      </c>
      <c r="T1472" t="s">
        <v>34</v>
      </c>
    </row>
    <row r="1473" spans="1:20" x14ac:dyDescent="0.2">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v>8.5440000000000005</v>
      </c>
      <c r="Q1473">
        <v>2</v>
      </c>
      <c r="R1473">
        <v>-7.476</v>
      </c>
      <c r="S1473" s="9" t="s">
        <v>129</v>
      </c>
      <c r="T1473" t="s">
        <v>96</v>
      </c>
    </row>
    <row r="1474" spans="1:20" x14ac:dyDescent="0.2">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v>598.45799999999997</v>
      </c>
      <c r="Q1474">
        <v>3</v>
      </c>
      <c r="R1474">
        <v>-42.747</v>
      </c>
      <c r="S1474" s="9" t="s">
        <v>83</v>
      </c>
      <c r="T1474" t="s">
        <v>253</v>
      </c>
    </row>
    <row r="1475" spans="1:20" x14ac:dyDescent="0.2">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v>25.984000000000002</v>
      </c>
      <c r="Q1475">
        <v>1</v>
      </c>
      <c r="R1475">
        <v>-3.8976000000000002</v>
      </c>
      <c r="S1475" s="9" t="s">
        <v>83</v>
      </c>
      <c r="T1475" t="s">
        <v>253</v>
      </c>
    </row>
    <row r="1476" spans="1:20" x14ac:dyDescent="0.2">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v>148.25700000000001</v>
      </c>
      <c r="Q1476">
        <v>3</v>
      </c>
      <c r="R1476">
        <v>15.697800000000001</v>
      </c>
      <c r="S1476" s="9" t="s">
        <v>70</v>
      </c>
      <c r="T1476" t="s">
        <v>96</v>
      </c>
    </row>
    <row r="1477" spans="1:20" x14ac:dyDescent="0.2">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v>4.2240000000000002</v>
      </c>
      <c r="Q1477">
        <v>3</v>
      </c>
      <c r="R1477">
        <v>1.2672000000000001</v>
      </c>
      <c r="S1477" s="9" t="s">
        <v>83</v>
      </c>
      <c r="T1477" t="s">
        <v>253</v>
      </c>
    </row>
    <row r="1478" spans="1:20" x14ac:dyDescent="0.2">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v>245.64599999999999</v>
      </c>
      <c r="Q1478">
        <v>3</v>
      </c>
      <c r="R1478">
        <v>8.1882000000000001</v>
      </c>
      <c r="S1478" s="9" t="s">
        <v>58</v>
      </c>
      <c r="T1478" t="s">
        <v>34</v>
      </c>
    </row>
    <row r="1479" spans="1:20" x14ac:dyDescent="0.2">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v>523.39200000000005</v>
      </c>
      <c r="Q1479">
        <v>3</v>
      </c>
      <c r="R1479">
        <v>52.339199999999998</v>
      </c>
      <c r="S1479" s="9" t="s">
        <v>83</v>
      </c>
      <c r="T1479" t="s">
        <v>34</v>
      </c>
    </row>
    <row r="1480" spans="1:20" x14ac:dyDescent="0.2">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v>124.36</v>
      </c>
      <c r="Q1480">
        <v>2</v>
      </c>
      <c r="R1480">
        <v>27.359200000000001</v>
      </c>
      <c r="S1480" s="9" t="s">
        <v>129</v>
      </c>
      <c r="T1480" t="s">
        <v>96</v>
      </c>
    </row>
    <row r="1481" spans="1:20" x14ac:dyDescent="0.2">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v>198.744</v>
      </c>
      <c r="Q1481">
        <v>4</v>
      </c>
      <c r="R1481">
        <v>-14.196</v>
      </c>
      <c r="S1481" s="9" t="s">
        <v>58</v>
      </c>
      <c r="T1481" t="s">
        <v>71</v>
      </c>
    </row>
    <row r="1482" spans="1:20" x14ac:dyDescent="0.2">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v>99.591999999999999</v>
      </c>
      <c r="Q1482">
        <v>1</v>
      </c>
      <c r="R1482">
        <v>2.4897999999999998</v>
      </c>
      <c r="S1482" s="9" t="s">
        <v>83</v>
      </c>
      <c r="T1482" t="s">
        <v>113</v>
      </c>
    </row>
    <row r="1483" spans="1:20" x14ac:dyDescent="0.2">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v>363.92</v>
      </c>
      <c r="Q1483">
        <v>5</v>
      </c>
      <c r="R1483">
        <v>-31.843</v>
      </c>
      <c r="S1483" s="9" t="s">
        <v>430</v>
      </c>
      <c r="T1483" t="s">
        <v>96</v>
      </c>
    </row>
    <row r="1484" spans="1:20" x14ac:dyDescent="0.2">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v>892.13599999999997</v>
      </c>
      <c r="Q1484">
        <v>7</v>
      </c>
      <c r="R1484">
        <v>111.517</v>
      </c>
      <c r="S1484" s="9" t="s">
        <v>430</v>
      </c>
      <c r="T1484" t="s">
        <v>96</v>
      </c>
    </row>
    <row r="1485" spans="1:20" x14ac:dyDescent="0.2">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v>472.51799999999997</v>
      </c>
      <c r="Q1485">
        <v>3</v>
      </c>
      <c r="R1485">
        <v>-149.63069999999999</v>
      </c>
      <c r="S1485" s="9" t="s">
        <v>83</v>
      </c>
      <c r="T1485" t="s">
        <v>77</v>
      </c>
    </row>
    <row r="1486" spans="1:20" x14ac:dyDescent="0.2">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v>760.11599999999999</v>
      </c>
      <c r="Q1486">
        <v>6</v>
      </c>
      <c r="R1486">
        <v>-43.435200000000002</v>
      </c>
      <c r="S1486" s="9" t="s">
        <v>70</v>
      </c>
      <c r="T1486" t="s">
        <v>59</v>
      </c>
    </row>
    <row r="1487" spans="1:20" x14ac:dyDescent="0.2">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v>38.783999999999999</v>
      </c>
      <c r="Q1487">
        <v>3</v>
      </c>
      <c r="R1487">
        <v>7.2720000000000002</v>
      </c>
      <c r="S1487" s="9" t="s">
        <v>70</v>
      </c>
      <c r="T1487" t="s">
        <v>59</v>
      </c>
    </row>
    <row r="1488" spans="1:20" x14ac:dyDescent="0.2">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v>1685.88</v>
      </c>
      <c r="Q1488">
        <v>6</v>
      </c>
      <c r="R1488">
        <v>320.31720000000001</v>
      </c>
      <c r="S1488" s="9" t="s">
        <v>123</v>
      </c>
      <c r="T1488" t="s">
        <v>161</v>
      </c>
    </row>
    <row r="1489" spans="1:20" x14ac:dyDescent="0.2">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v>141.96</v>
      </c>
      <c r="Q1489">
        <v>2</v>
      </c>
      <c r="R1489">
        <v>41.168399999999998</v>
      </c>
      <c r="S1489" s="9" t="s">
        <v>47</v>
      </c>
      <c r="T1489" t="s">
        <v>96</v>
      </c>
    </row>
    <row r="1490" spans="1:20" x14ac:dyDescent="0.2">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v>10.02</v>
      </c>
      <c r="Q1490">
        <v>3</v>
      </c>
      <c r="R1490">
        <v>4.4088000000000003</v>
      </c>
      <c r="S1490" s="9" t="s">
        <v>47</v>
      </c>
      <c r="T1490" t="s">
        <v>253</v>
      </c>
    </row>
    <row r="1491" spans="1:20" x14ac:dyDescent="0.2">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v>19.920000000000002</v>
      </c>
      <c r="Q1491">
        <v>4</v>
      </c>
      <c r="R1491">
        <v>6.5735999999999999</v>
      </c>
      <c r="S1491" s="9" t="s">
        <v>129</v>
      </c>
      <c r="T1491" t="s">
        <v>34</v>
      </c>
    </row>
    <row r="1492" spans="1:20" x14ac:dyDescent="0.2">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v>257.94</v>
      </c>
      <c r="Q1492">
        <v>3</v>
      </c>
      <c r="R1492">
        <v>67.064400000000006</v>
      </c>
      <c r="S1492" s="9" t="s">
        <v>58</v>
      </c>
      <c r="T1492" t="s">
        <v>34</v>
      </c>
    </row>
    <row r="1493" spans="1:20" x14ac:dyDescent="0.2">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v>27.46</v>
      </c>
      <c r="Q1493">
        <v>2</v>
      </c>
      <c r="R1493">
        <v>9.8856000000000002</v>
      </c>
      <c r="S1493" s="9" t="s">
        <v>58</v>
      </c>
      <c r="T1493" t="s">
        <v>34</v>
      </c>
    </row>
    <row r="1494" spans="1:20" x14ac:dyDescent="0.2">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v>828.6</v>
      </c>
      <c r="Q1494">
        <v>3</v>
      </c>
      <c r="R1494">
        <v>240.29400000000001</v>
      </c>
      <c r="S1494" s="9" t="s">
        <v>58</v>
      </c>
      <c r="T1494" t="s">
        <v>34</v>
      </c>
    </row>
    <row r="1495" spans="1:20" x14ac:dyDescent="0.2">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v>290.35199999999998</v>
      </c>
      <c r="Q1495">
        <v>3</v>
      </c>
      <c r="R1495">
        <v>-36.293999999999997</v>
      </c>
      <c r="S1495" s="9" t="s">
        <v>47</v>
      </c>
      <c r="T1495" t="s">
        <v>34</v>
      </c>
    </row>
    <row r="1496" spans="1:20" x14ac:dyDescent="0.2">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v>135.30000000000001</v>
      </c>
      <c r="Q1496">
        <v>5</v>
      </c>
      <c r="R1496">
        <v>37.884</v>
      </c>
      <c r="S1496" s="9" t="s">
        <v>430</v>
      </c>
      <c r="T1496" t="s">
        <v>77</v>
      </c>
    </row>
    <row r="1497" spans="1:20" x14ac:dyDescent="0.2">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v>111.15</v>
      </c>
      <c r="Q1497">
        <v>5</v>
      </c>
      <c r="R1497">
        <v>48.905999999999999</v>
      </c>
      <c r="S1497" s="9" t="s">
        <v>58</v>
      </c>
      <c r="T1497" t="s">
        <v>34</v>
      </c>
    </row>
    <row r="1498" spans="1:20" x14ac:dyDescent="0.2">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v>154.76400000000001</v>
      </c>
      <c r="Q1498">
        <v>3</v>
      </c>
      <c r="R1498">
        <v>-46.429200000000002</v>
      </c>
      <c r="S1498" s="9" t="s">
        <v>58</v>
      </c>
      <c r="T1498" t="s">
        <v>195</v>
      </c>
    </row>
    <row r="1499" spans="1:20" x14ac:dyDescent="0.2">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v>141.96</v>
      </c>
      <c r="Q1499">
        <v>2</v>
      </c>
      <c r="R1499">
        <v>35.49</v>
      </c>
      <c r="S1499" s="9" t="s">
        <v>83</v>
      </c>
      <c r="T1499" t="s">
        <v>96</v>
      </c>
    </row>
    <row r="1500" spans="1:20" x14ac:dyDescent="0.2">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v>182.55</v>
      </c>
      <c r="Q1500">
        <v>2</v>
      </c>
      <c r="R1500">
        <v>-135.08699999999999</v>
      </c>
      <c r="S1500" s="9" t="s">
        <v>33</v>
      </c>
      <c r="T1500" t="s">
        <v>96</v>
      </c>
    </row>
    <row r="1501" spans="1:20" x14ac:dyDescent="0.2">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v>275.88</v>
      </c>
      <c r="Q1501">
        <v>6</v>
      </c>
      <c r="R1501">
        <v>46.8996</v>
      </c>
      <c r="S1501" s="9" t="s">
        <v>70</v>
      </c>
      <c r="T1501" t="s">
        <v>96</v>
      </c>
    </row>
    <row r="1502" spans="1:20" x14ac:dyDescent="0.2">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v>717.72</v>
      </c>
      <c r="Q1502">
        <v>3</v>
      </c>
      <c r="R1502">
        <v>71.772000000000006</v>
      </c>
      <c r="S1502" s="9" t="s">
        <v>70</v>
      </c>
      <c r="T1502" t="s">
        <v>71</v>
      </c>
    </row>
    <row r="1503" spans="1:20" x14ac:dyDescent="0.2">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v>170.352</v>
      </c>
      <c r="Q1503">
        <v>3</v>
      </c>
      <c r="R1503">
        <v>19.1646</v>
      </c>
      <c r="S1503" s="9" t="s">
        <v>70</v>
      </c>
      <c r="T1503" t="s">
        <v>71</v>
      </c>
    </row>
    <row r="1504" spans="1:20" x14ac:dyDescent="0.2">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v>145.76400000000001</v>
      </c>
      <c r="Q1504">
        <v>2</v>
      </c>
      <c r="R1504">
        <v>3.2391999999999999</v>
      </c>
      <c r="S1504" s="9" t="s">
        <v>129</v>
      </c>
      <c r="T1504" t="s">
        <v>48</v>
      </c>
    </row>
    <row r="1505" spans="1:20" x14ac:dyDescent="0.2">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v>908.82</v>
      </c>
      <c r="Q1505">
        <v>9</v>
      </c>
      <c r="R1505">
        <v>227.20500000000001</v>
      </c>
      <c r="S1505" s="9" t="s">
        <v>70</v>
      </c>
      <c r="T1505" t="s">
        <v>113</v>
      </c>
    </row>
    <row r="1506" spans="1:20" x14ac:dyDescent="0.2">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v>74.591999999999999</v>
      </c>
      <c r="Q1506">
        <v>4</v>
      </c>
      <c r="R1506">
        <v>-2.1312000000000002</v>
      </c>
      <c r="S1506" s="9" t="s">
        <v>47</v>
      </c>
      <c r="T1506" t="s">
        <v>253</v>
      </c>
    </row>
    <row r="1507" spans="1:20" x14ac:dyDescent="0.2">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v>16.783999999999999</v>
      </c>
      <c r="Q1507">
        <v>2</v>
      </c>
      <c r="R1507">
        <v>-22.238800000000001</v>
      </c>
      <c r="S1507" s="9" t="s">
        <v>47</v>
      </c>
      <c r="T1507" t="s">
        <v>253</v>
      </c>
    </row>
    <row r="1508" spans="1:20" x14ac:dyDescent="0.2">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v>674.35199999999998</v>
      </c>
      <c r="Q1508">
        <v>3</v>
      </c>
      <c r="R1508">
        <v>-8.4293999999999993</v>
      </c>
      <c r="S1508" s="9" t="s">
        <v>33</v>
      </c>
      <c r="T1508" t="s">
        <v>34</v>
      </c>
    </row>
    <row r="1509" spans="1:20" x14ac:dyDescent="0.2">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v>19.54</v>
      </c>
      <c r="Q1509">
        <v>2</v>
      </c>
      <c r="R1509">
        <v>7.2298</v>
      </c>
      <c r="S1509" s="9" t="s">
        <v>83</v>
      </c>
      <c r="T1509" t="s">
        <v>34</v>
      </c>
    </row>
    <row r="1510" spans="1:20" x14ac:dyDescent="0.2">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v>331.02300000000002</v>
      </c>
      <c r="Q1510">
        <v>7</v>
      </c>
      <c r="R1510">
        <v>-114.35339999999999</v>
      </c>
      <c r="S1510" s="9" t="s">
        <v>129</v>
      </c>
      <c r="T1510" t="s">
        <v>34</v>
      </c>
    </row>
    <row r="1511" spans="1:20" x14ac:dyDescent="0.2">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v>756.8</v>
      </c>
      <c r="Q1511">
        <v>5</v>
      </c>
      <c r="R1511">
        <v>75.680000000000007</v>
      </c>
      <c r="S1511" s="9" t="s">
        <v>430</v>
      </c>
      <c r="T1511" t="s">
        <v>48</v>
      </c>
    </row>
    <row r="1512" spans="1:20" x14ac:dyDescent="0.2">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v>8.7360000000000007</v>
      </c>
      <c r="Q1512">
        <v>3</v>
      </c>
      <c r="R1512">
        <v>-4.8048000000000002</v>
      </c>
      <c r="S1512" s="9" t="s">
        <v>83</v>
      </c>
      <c r="T1512" t="s">
        <v>96</v>
      </c>
    </row>
    <row r="1513" spans="1:20" x14ac:dyDescent="0.2">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v>17.46</v>
      </c>
      <c r="Q1513">
        <v>2</v>
      </c>
      <c r="R1513">
        <v>5.9363999999999999</v>
      </c>
      <c r="S1513" s="9" t="s">
        <v>83</v>
      </c>
      <c r="T1513" t="s">
        <v>48</v>
      </c>
    </row>
    <row r="1514" spans="1:20" x14ac:dyDescent="0.2">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v>30.8</v>
      </c>
      <c r="Q1514">
        <v>4</v>
      </c>
      <c r="R1514">
        <v>10.164</v>
      </c>
      <c r="S1514" s="9" t="s">
        <v>83</v>
      </c>
      <c r="T1514" t="s">
        <v>71</v>
      </c>
    </row>
    <row r="1515" spans="1:20" x14ac:dyDescent="0.2">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v>113.6</v>
      </c>
      <c r="Q1515">
        <v>8</v>
      </c>
      <c r="R1515">
        <v>44.304000000000002</v>
      </c>
      <c r="S1515" s="9" t="s">
        <v>83</v>
      </c>
      <c r="T1515" t="s">
        <v>195</v>
      </c>
    </row>
    <row r="1516" spans="1:20" x14ac:dyDescent="0.2">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v>43.96</v>
      </c>
      <c r="Q1516">
        <v>7</v>
      </c>
      <c r="R1516">
        <v>18.463200000000001</v>
      </c>
      <c r="S1516" s="9" t="s">
        <v>129</v>
      </c>
      <c r="T1516" t="s">
        <v>96</v>
      </c>
    </row>
    <row r="1517" spans="1:20" x14ac:dyDescent="0.2">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v>66.36</v>
      </c>
      <c r="Q1517">
        <v>7</v>
      </c>
      <c r="R1517">
        <v>26.544</v>
      </c>
      <c r="S1517" s="9" t="s">
        <v>70</v>
      </c>
      <c r="T1517" t="s">
        <v>113</v>
      </c>
    </row>
    <row r="1518" spans="1:20" x14ac:dyDescent="0.2">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v>24.14</v>
      </c>
      <c r="Q1518">
        <v>2</v>
      </c>
      <c r="R1518">
        <v>7.9661999999999997</v>
      </c>
      <c r="S1518" s="9" t="s">
        <v>70</v>
      </c>
      <c r="T1518" t="s">
        <v>113</v>
      </c>
    </row>
    <row r="1519" spans="1:20" x14ac:dyDescent="0.2">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v>4416.174</v>
      </c>
      <c r="Q1519">
        <v>9</v>
      </c>
      <c r="R1519">
        <v>-630.88199999999995</v>
      </c>
      <c r="S1519" s="9" t="s">
        <v>58</v>
      </c>
      <c r="T1519" t="s">
        <v>253</v>
      </c>
    </row>
    <row r="1520" spans="1:20" x14ac:dyDescent="0.2">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v>302.45</v>
      </c>
      <c r="Q1520">
        <v>5</v>
      </c>
      <c r="R1520">
        <v>-199.61699999999999</v>
      </c>
      <c r="S1520" s="9" t="s">
        <v>58</v>
      </c>
      <c r="T1520" t="s">
        <v>195</v>
      </c>
    </row>
    <row r="1521" spans="1:20" x14ac:dyDescent="0.2">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v>47.4</v>
      </c>
      <c r="Q1521">
        <v>5</v>
      </c>
      <c r="R1521">
        <v>21.33</v>
      </c>
      <c r="S1521" s="9" t="s">
        <v>58</v>
      </c>
      <c r="T1521" t="s">
        <v>161</v>
      </c>
    </row>
    <row r="1522" spans="1:20" x14ac:dyDescent="0.2">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v>155.37200000000001</v>
      </c>
      <c r="Q1522">
        <v>2</v>
      </c>
      <c r="R1522">
        <v>-35.513599999999997</v>
      </c>
      <c r="S1522" s="9" t="s">
        <v>33</v>
      </c>
      <c r="T1522" t="s">
        <v>34</v>
      </c>
    </row>
    <row r="1523" spans="1:20" x14ac:dyDescent="0.2">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v>315.77600000000001</v>
      </c>
      <c r="Q1523">
        <v>8</v>
      </c>
      <c r="R1523">
        <v>31.5776</v>
      </c>
      <c r="S1523" s="9" t="s">
        <v>129</v>
      </c>
      <c r="T1523" t="s">
        <v>169</v>
      </c>
    </row>
    <row r="1524" spans="1:20" x14ac:dyDescent="0.2">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v>273.666</v>
      </c>
      <c r="Q1524">
        <v>2</v>
      </c>
      <c r="R1524">
        <v>-12.878399999999999</v>
      </c>
      <c r="S1524" s="9" t="s">
        <v>129</v>
      </c>
      <c r="T1524" t="s">
        <v>77</v>
      </c>
    </row>
    <row r="1525" spans="1:20" x14ac:dyDescent="0.2">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v>63.98</v>
      </c>
      <c r="Q1525">
        <v>7</v>
      </c>
      <c r="R1525">
        <v>21.7532</v>
      </c>
      <c r="S1525" s="9" t="s">
        <v>83</v>
      </c>
      <c r="T1525" t="s">
        <v>34</v>
      </c>
    </row>
    <row r="1526" spans="1:20" x14ac:dyDescent="0.2">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v>66.111999999999995</v>
      </c>
      <c r="Q1526">
        <v>2</v>
      </c>
      <c r="R1526">
        <v>-9.0904000000000007</v>
      </c>
      <c r="S1526" s="9" t="s">
        <v>83</v>
      </c>
      <c r="T1526" t="s">
        <v>77</v>
      </c>
    </row>
    <row r="1527" spans="1:20" x14ac:dyDescent="0.2">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v>57.69</v>
      </c>
      <c r="Q1527">
        <v>3</v>
      </c>
      <c r="R1527">
        <v>23.652899999999999</v>
      </c>
      <c r="S1527" s="9" t="s">
        <v>58</v>
      </c>
      <c r="T1527" t="s">
        <v>59</v>
      </c>
    </row>
    <row r="1528" spans="1:20" x14ac:dyDescent="0.2">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v>59.99</v>
      </c>
      <c r="Q1528">
        <v>7</v>
      </c>
      <c r="R1528">
        <v>21.596399999999999</v>
      </c>
      <c r="S1528" s="9" t="s">
        <v>129</v>
      </c>
      <c r="T1528" t="s">
        <v>169</v>
      </c>
    </row>
    <row r="1529" spans="1:20" x14ac:dyDescent="0.2">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v>20.239999999999998</v>
      </c>
      <c r="Q1529">
        <v>1</v>
      </c>
      <c r="R1529">
        <v>7.8936000000000002</v>
      </c>
      <c r="S1529" s="9" t="s">
        <v>58</v>
      </c>
      <c r="T1529" t="s">
        <v>161</v>
      </c>
    </row>
    <row r="1530" spans="1:20" x14ac:dyDescent="0.2">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v>292.10000000000002</v>
      </c>
      <c r="Q1530">
        <v>4</v>
      </c>
      <c r="R1530">
        <v>-175.26</v>
      </c>
      <c r="S1530" s="9" t="s">
        <v>33</v>
      </c>
      <c r="T1530" t="s">
        <v>34</v>
      </c>
    </row>
    <row r="1531" spans="1:20" x14ac:dyDescent="0.2">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v>8.5440000000000005</v>
      </c>
      <c r="Q1531">
        <v>2</v>
      </c>
      <c r="R1531">
        <v>-7.476</v>
      </c>
      <c r="S1531" s="9" t="s">
        <v>33</v>
      </c>
      <c r="T1531" t="s">
        <v>34</v>
      </c>
    </row>
    <row r="1532" spans="1:20" x14ac:dyDescent="0.2">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v>424.11599999999999</v>
      </c>
      <c r="Q1532">
        <v>6</v>
      </c>
      <c r="R1532">
        <v>-30.294</v>
      </c>
      <c r="S1532" s="9" t="s">
        <v>33</v>
      </c>
      <c r="T1532" t="s">
        <v>34</v>
      </c>
    </row>
    <row r="1533" spans="1:20" x14ac:dyDescent="0.2">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v>97.183999999999997</v>
      </c>
      <c r="Q1533">
        <v>2</v>
      </c>
      <c r="R1533">
        <v>6.0739999999999998</v>
      </c>
      <c r="S1533" s="9" t="s">
        <v>83</v>
      </c>
      <c r="T1533" t="s">
        <v>77</v>
      </c>
    </row>
    <row r="1534" spans="1:20" x14ac:dyDescent="0.2">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v>890.84100000000001</v>
      </c>
      <c r="Q1534">
        <v>3</v>
      </c>
      <c r="R1534">
        <v>-152.71559999999999</v>
      </c>
      <c r="S1534" s="9" t="s">
        <v>83</v>
      </c>
      <c r="T1534" t="s">
        <v>195</v>
      </c>
    </row>
    <row r="1535" spans="1:20" x14ac:dyDescent="0.2">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v>113.88800000000001</v>
      </c>
      <c r="Q1535">
        <v>2</v>
      </c>
      <c r="R1535">
        <v>9.9651999999999994</v>
      </c>
      <c r="S1535" s="9" t="s">
        <v>70</v>
      </c>
      <c r="T1535" t="s">
        <v>34</v>
      </c>
    </row>
    <row r="1536" spans="1:20" x14ac:dyDescent="0.2">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v>142.18199999999999</v>
      </c>
      <c r="Q1536">
        <v>1</v>
      </c>
      <c r="R1536">
        <v>-37.915199999999999</v>
      </c>
      <c r="S1536" s="9" t="s">
        <v>83</v>
      </c>
      <c r="T1536" t="s">
        <v>48</v>
      </c>
    </row>
    <row r="1537" spans="1:20" x14ac:dyDescent="0.2">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v>135.30000000000001</v>
      </c>
      <c r="Q1537">
        <v>5</v>
      </c>
      <c r="R1537">
        <v>37.884</v>
      </c>
      <c r="S1537" s="9" t="s">
        <v>33</v>
      </c>
      <c r="T1537" t="s">
        <v>34</v>
      </c>
    </row>
    <row r="1538" spans="1:20" x14ac:dyDescent="0.2">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v>41.96</v>
      </c>
      <c r="Q1538">
        <v>2</v>
      </c>
      <c r="R1538">
        <v>10.909599999999999</v>
      </c>
      <c r="S1538" s="9" t="s">
        <v>33</v>
      </c>
      <c r="T1538" t="s">
        <v>96</v>
      </c>
    </row>
    <row r="1539" spans="1:20" x14ac:dyDescent="0.2">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v>111</v>
      </c>
      <c r="Q1539">
        <v>2</v>
      </c>
      <c r="R1539">
        <v>14.43</v>
      </c>
      <c r="S1539" s="9" t="s">
        <v>129</v>
      </c>
      <c r="T1539" t="s">
        <v>195</v>
      </c>
    </row>
    <row r="1540" spans="1:20" x14ac:dyDescent="0.2">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v>22.751999999999999</v>
      </c>
      <c r="Q1540">
        <v>6</v>
      </c>
      <c r="R1540">
        <v>-8.532</v>
      </c>
      <c r="S1540" s="9" t="s">
        <v>123</v>
      </c>
      <c r="T1540" t="s">
        <v>34</v>
      </c>
    </row>
    <row r="1541" spans="1:20" x14ac:dyDescent="0.2">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v>67.36</v>
      </c>
      <c r="Q1541">
        <v>2</v>
      </c>
      <c r="R1541">
        <v>10.103999999999999</v>
      </c>
      <c r="S1541" s="9" t="s">
        <v>129</v>
      </c>
      <c r="T1541" t="s">
        <v>113</v>
      </c>
    </row>
    <row r="1542" spans="1:20" x14ac:dyDescent="0.2">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v>54.527999999999999</v>
      </c>
      <c r="Q1542">
        <v>3</v>
      </c>
      <c r="R1542">
        <v>14.313599999999999</v>
      </c>
      <c r="S1542" s="9" t="s">
        <v>129</v>
      </c>
      <c r="T1542" t="s">
        <v>113</v>
      </c>
    </row>
    <row r="1543" spans="1:20" x14ac:dyDescent="0.2">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v>449.56799999999998</v>
      </c>
      <c r="Q1543">
        <v>2</v>
      </c>
      <c r="R1543">
        <v>56.195999999999998</v>
      </c>
      <c r="S1543" s="9" t="s">
        <v>58</v>
      </c>
      <c r="T1543" t="s">
        <v>96</v>
      </c>
    </row>
    <row r="1544" spans="1:20" x14ac:dyDescent="0.2">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v>192.18600000000001</v>
      </c>
      <c r="Q1544">
        <v>3</v>
      </c>
      <c r="R1544">
        <v>36.3018</v>
      </c>
      <c r="S1544" s="9" t="s">
        <v>33</v>
      </c>
      <c r="T1544" t="s">
        <v>96</v>
      </c>
    </row>
    <row r="1545" spans="1:20" x14ac:dyDescent="0.2">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v>67.88</v>
      </c>
      <c r="Q1545">
        <v>2</v>
      </c>
      <c r="R1545">
        <v>18.3276</v>
      </c>
      <c r="S1545" s="9" t="s">
        <v>129</v>
      </c>
      <c r="T1545" t="s">
        <v>71</v>
      </c>
    </row>
    <row r="1546" spans="1:20" x14ac:dyDescent="0.2">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v>25.71</v>
      </c>
      <c r="Q1546">
        <v>3</v>
      </c>
      <c r="R1546">
        <v>9.2555999999999994</v>
      </c>
      <c r="S1546" s="9" t="s">
        <v>129</v>
      </c>
      <c r="T1546" t="s">
        <v>71</v>
      </c>
    </row>
    <row r="1547" spans="1:20" x14ac:dyDescent="0.2">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v>721.875</v>
      </c>
      <c r="Q1547">
        <v>6</v>
      </c>
      <c r="R1547">
        <v>-420</v>
      </c>
      <c r="S1547" s="9" t="s">
        <v>129</v>
      </c>
      <c r="T1547" t="s">
        <v>96</v>
      </c>
    </row>
    <row r="1548" spans="1:20" x14ac:dyDescent="0.2">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v>64.784000000000006</v>
      </c>
      <c r="Q1548">
        <v>1</v>
      </c>
      <c r="R1548">
        <v>-12.147</v>
      </c>
      <c r="S1548" s="9" t="s">
        <v>129</v>
      </c>
      <c r="T1548" t="s">
        <v>96</v>
      </c>
    </row>
    <row r="1549" spans="1:20" x14ac:dyDescent="0.2">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v>169.56800000000001</v>
      </c>
      <c r="Q1549">
        <v>2</v>
      </c>
      <c r="R1549">
        <v>0</v>
      </c>
      <c r="S1549" s="9" t="s">
        <v>58</v>
      </c>
      <c r="T1549" t="s">
        <v>48</v>
      </c>
    </row>
    <row r="1550" spans="1:20" x14ac:dyDescent="0.2">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v>523.76400000000001</v>
      </c>
      <c r="Q1550">
        <v>3</v>
      </c>
      <c r="R1550">
        <v>-192.04679999999999</v>
      </c>
      <c r="S1550" s="9" t="s">
        <v>83</v>
      </c>
      <c r="T1550" t="s">
        <v>96</v>
      </c>
    </row>
    <row r="1551" spans="1:20" x14ac:dyDescent="0.2">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v>194.352</v>
      </c>
      <c r="Q1551">
        <v>3</v>
      </c>
      <c r="R1551">
        <v>-36.441000000000003</v>
      </c>
      <c r="S1551" s="9" t="s">
        <v>70</v>
      </c>
      <c r="T1551" t="s">
        <v>113</v>
      </c>
    </row>
    <row r="1552" spans="1:20" x14ac:dyDescent="0.2">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v>347.80200000000002</v>
      </c>
      <c r="Q1552">
        <v>7</v>
      </c>
      <c r="R1552">
        <v>-24.843</v>
      </c>
      <c r="S1552" s="9" t="s">
        <v>129</v>
      </c>
      <c r="T1552" t="s">
        <v>34</v>
      </c>
    </row>
    <row r="1553" spans="1:20" x14ac:dyDescent="0.2">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v>1336.44</v>
      </c>
      <c r="Q1553">
        <v>14</v>
      </c>
      <c r="R1553">
        <v>387.56760000000003</v>
      </c>
      <c r="S1553" s="9" t="s">
        <v>58</v>
      </c>
      <c r="T1553" t="s">
        <v>77</v>
      </c>
    </row>
    <row r="1554" spans="1:20" x14ac:dyDescent="0.2">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v>390.36799999999999</v>
      </c>
      <c r="Q1554">
        <v>2</v>
      </c>
      <c r="R1554">
        <v>48.795999999999999</v>
      </c>
      <c r="S1554" s="9" t="s">
        <v>83</v>
      </c>
      <c r="T1554" t="s">
        <v>34</v>
      </c>
    </row>
    <row r="1555" spans="1:20" x14ac:dyDescent="0.2">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v>101.52</v>
      </c>
      <c r="Q1555">
        <v>5</v>
      </c>
      <c r="R1555">
        <v>19.035</v>
      </c>
      <c r="S1555" s="9" t="s">
        <v>83</v>
      </c>
      <c r="T1555" t="s">
        <v>34</v>
      </c>
    </row>
    <row r="1556" spans="1:20" x14ac:dyDescent="0.2">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v>313.17599999999999</v>
      </c>
      <c r="Q1556">
        <v>2</v>
      </c>
      <c r="R1556">
        <v>-120.0508</v>
      </c>
      <c r="S1556" s="9" t="s">
        <v>58</v>
      </c>
      <c r="T1556" t="s">
        <v>96</v>
      </c>
    </row>
    <row r="1557" spans="1:20" x14ac:dyDescent="0.2">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v>866.64599999999996</v>
      </c>
      <c r="Q1557">
        <v>3</v>
      </c>
      <c r="R1557">
        <v>173.32919999999999</v>
      </c>
      <c r="S1557" s="9" t="s">
        <v>58</v>
      </c>
      <c r="T1557" t="s">
        <v>96</v>
      </c>
    </row>
    <row r="1558" spans="1:20" x14ac:dyDescent="0.2">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v>43.13</v>
      </c>
      <c r="Q1558">
        <v>1</v>
      </c>
      <c r="R1558">
        <v>14.664199999999999</v>
      </c>
      <c r="S1558" s="9" t="s">
        <v>58</v>
      </c>
      <c r="T1558" t="s">
        <v>77</v>
      </c>
    </row>
    <row r="1559" spans="1:20" x14ac:dyDescent="0.2">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v>509.95749999999998</v>
      </c>
      <c r="Q1559">
        <v>5</v>
      </c>
      <c r="R1559">
        <v>41.996499999999997</v>
      </c>
      <c r="S1559" s="9" t="s">
        <v>58</v>
      </c>
      <c r="T1559" t="s">
        <v>161</v>
      </c>
    </row>
    <row r="1560" spans="1:20" x14ac:dyDescent="0.2">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v>122.91</v>
      </c>
      <c r="Q1560">
        <v>3</v>
      </c>
      <c r="R1560">
        <v>34.4148</v>
      </c>
      <c r="S1560" s="9" t="s">
        <v>58</v>
      </c>
      <c r="T1560" t="s">
        <v>161</v>
      </c>
    </row>
    <row r="1561" spans="1:20" x14ac:dyDescent="0.2">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v>97.567999999999998</v>
      </c>
      <c r="Q1561">
        <v>2</v>
      </c>
      <c r="R1561">
        <v>-6.0979999999999999</v>
      </c>
      <c r="S1561" s="9" t="s">
        <v>58</v>
      </c>
      <c r="T1561" t="s">
        <v>161</v>
      </c>
    </row>
    <row r="1562" spans="1:20" x14ac:dyDescent="0.2">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v>722.35199999999998</v>
      </c>
      <c r="Q1562">
        <v>3</v>
      </c>
      <c r="R1562">
        <v>81.264600000000002</v>
      </c>
      <c r="S1562" s="9" t="s">
        <v>58</v>
      </c>
      <c r="T1562" t="s">
        <v>161</v>
      </c>
    </row>
    <row r="1563" spans="1:20" x14ac:dyDescent="0.2">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v>167.84</v>
      </c>
      <c r="Q1563">
        <v>8</v>
      </c>
      <c r="R1563">
        <v>11.748799999999999</v>
      </c>
      <c r="S1563" s="9" t="s">
        <v>47</v>
      </c>
      <c r="T1563" t="s">
        <v>161</v>
      </c>
    </row>
    <row r="1564" spans="1:20" x14ac:dyDescent="0.2">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v>172.11</v>
      </c>
      <c r="Q1564">
        <v>1</v>
      </c>
      <c r="R1564">
        <v>-94.660499999999999</v>
      </c>
      <c r="S1564" s="9" t="s">
        <v>83</v>
      </c>
      <c r="T1564" t="s">
        <v>113</v>
      </c>
    </row>
    <row r="1565" spans="1:20" x14ac:dyDescent="0.2">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v>13.592000000000001</v>
      </c>
      <c r="Q1565">
        <v>1</v>
      </c>
      <c r="R1565">
        <v>-0.33979999999999999</v>
      </c>
      <c r="S1565" s="9" t="s">
        <v>83</v>
      </c>
      <c r="T1565" t="s">
        <v>161</v>
      </c>
    </row>
    <row r="1566" spans="1:20" x14ac:dyDescent="0.2">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v>386.68</v>
      </c>
      <c r="Q1566">
        <v>2</v>
      </c>
      <c r="R1566">
        <v>-5.524</v>
      </c>
      <c r="S1566" s="9" t="s">
        <v>70</v>
      </c>
      <c r="T1566" t="s">
        <v>195</v>
      </c>
    </row>
    <row r="1567" spans="1:20" x14ac:dyDescent="0.2">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v>36.671999999999997</v>
      </c>
      <c r="Q1567">
        <v>3</v>
      </c>
      <c r="R1567">
        <v>6.4176000000000002</v>
      </c>
      <c r="S1567" s="9" t="s">
        <v>83</v>
      </c>
      <c r="T1567" t="s">
        <v>113</v>
      </c>
    </row>
    <row r="1568" spans="1:20" x14ac:dyDescent="0.2">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v>85.245999999999995</v>
      </c>
      <c r="Q1568">
        <v>2</v>
      </c>
      <c r="R1568">
        <v>-6.0890000000000004</v>
      </c>
      <c r="S1568" s="9" t="s">
        <v>70</v>
      </c>
      <c r="T1568" t="s">
        <v>59</v>
      </c>
    </row>
    <row r="1569" spans="1:20" x14ac:dyDescent="0.2">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v>32.712000000000003</v>
      </c>
      <c r="Q1569">
        <v>2</v>
      </c>
      <c r="R1569">
        <v>-26.169599999999999</v>
      </c>
      <c r="S1569" s="9" t="s">
        <v>70</v>
      </c>
      <c r="T1569" t="s">
        <v>59</v>
      </c>
    </row>
    <row r="1570" spans="1:20" x14ac:dyDescent="0.2">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v>46.9</v>
      </c>
      <c r="Q1570">
        <v>5</v>
      </c>
      <c r="R1570">
        <v>13.132</v>
      </c>
      <c r="S1570" s="9" t="s">
        <v>33</v>
      </c>
      <c r="T1570" t="s">
        <v>195</v>
      </c>
    </row>
    <row r="1571" spans="1:20" x14ac:dyDescent="0.2">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v>236.52799999999999</v>
      </c>
      <c r="Q1571">
        <v>2</v>
      </c>
      <c r="R1571">
        <v>-2.9565999999999999</v>
      </c>
      <c r="S1571" s="9" t="s">
        <v>83</v>
      </c>
      <c r="T1571" t="s">
        <v>77</v>
      </c>
    </row>
    <row r="1572" spans="1:20" x14ac:dyDescent="0.2">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v>22.2</v>
      </c>
      <c r="Q1572">
        <v>1</v>
      </c>
      <c r="R1572">
        <v>-26.085000000000001</v>
      </c>
      <c r="S1572" s="9" t="s">
        <v>83</v>
      </c>
      <c r="T1572" t="s">
        <v>297</v>
      </c>
    </row>
    <row r="1573" spans="1:20" x14ac:dyDescent="0.2">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v>88.92</v>
      </c>
      <c r="Q1573">
        <v>5</v>
      </c>
      <c r="R1573">
        <v>14.4495</v>
      </c>
      <c r="S1573" s="9" t="s">
        <v>33</v>
      </c>
      <c r="T1573" t="s">
        <v>34</v>
      </c>
    </row>
    <row r="1574" spans="1:20" x14ac:dyDescent="0.2">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v>318.43</v>
      </c>
      <c r="Q1574">
        <v>5</v>
      </c>
      <c r="R1574">
        <v>-77.332999999999998</v>
      </c>
      <c r="S1574" s="9" t="s">
        <v>58</v>
      </c>
      <c r="T1574" t="s">
        <v>77</v>
      </c>
    </row>
    <row r="1575" spans="1:20" x14ac:dyDescent="0.2">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v>1196.8599999999999</v>
      </c>
      <c r="Q1575">
        <v>7</v>
      </c>
      <c r="R1575">
        <v>119.68600000000001</v>
      </c>
      <c r="S1575" s="9" t="s">
        <v>70</v>
      </c>
      <c r="T1575" t="s">
        <v>113</v>
      </c>
    </row>
    <row r="1576" spans="1:20" x14ac:dyDescent="0.2">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v>523.26</v>
      </c>
      <c r="Q1576">
        <v>9</v>
      </c>
      <c r="R1576">
        <v>125.58240000000001</v>
      </c>
      <c r="S1576" s="9" t="s">
        <v>70</v>
      </c>
      <c r="T1576" t="s">
        <v>113</v>
      </c>
    </row>
    <row r="1577" spans="1:20" x14ac:dyDescent="0.2">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v>34.92</v>
      </c>
      <c r="Q1577">
        <v>4</v>
      </c>
      <c r="R1577">
        <v>11.8728</v>
      </c>
      <c r="S1577" s="9" t="s">
        <v>83</v>
      </c>
      <c r="T1577" t="s">
        <v>34</v>
      </c>
    </row>
    <row r="1578" spans="1:20" x14ac:dyDescent="0.2">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v>14.56</v>
      </c>
      <c r="Q1578">
        <v>2</v>
      </c>
      <c r="R1578">
        <v>6.2607999999999997</v>
      </c>
      <c r="S1578" s="9" t="s">
        <v>58</v>
      </c>
      <c r="T1578" t="s">
        <v>77</v>
      </c>
    </row>
    <row r="1579" spans="1:20" x14ac:dyDescent="0.2">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v>2573.8200000000002</v>
      </c>
      <c r="Q1579">
        <v>9</v>
      </c>
      <c r="R1579">
        <v>746.40779999999995</v>
      </c>
      <c r="S1579" s="9" t="s">
        <v>83</v>
      </c>
      <c r="T1579" t="s">
        <v>169</v>
      </c>
    </row>
    <row r="1580" spans="1:20" x14ac:dyDescent="0.2">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v>445.80200000000002</v>
      </c>
      <c r="Q1580">
        <v>7</v>
      </c>
      <c r="R1580">
        <v>-108.2662</v>
      </c>
      <c r="S1580" s="9" t="s">
        <v>70</v>
      </c>
      <c r="T1580" t="s">
        <v>96</v>
      </c>
    </row>
    <row r="1581" spans="1:20" x14ac:dyDescent="0.2">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v>1053.164</v>
      </c>
      <c r="Q1581">
        <v>4</v>
      </c>
      <c r="R1581">
        <v>-105.3164</v>
      </c>
      <c r="S1581" s="9" t="s">
        <v>58</v>
      </c>
      <c r="T1581" t="s">
        <v>96</v>
      </c>
    </row>
    <row r="1582" spans="1:20" x14ac:dyDescent="0.2">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v>106.68</v>
      </c>
      <c r="Q1582">
        <v>6</v>
      </c>
      <c r="R1582">
        <v>33.070799999999998</v>
      </c>
      <c r="S1582" s="9" t="s">
        <v>129</v>
      </c>
      <c r="T1582" t="s">
        <v>77</v>
      </c>
    </row>
    <row r="1583" spans="1:20" x14ac:dyDescent="0.2">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v>512.19000000000005</v>
      </c>
      <c r="Q1583">
        <v>5</v>
      </c>
      <c r="R1583">
        <v>-65.852999999999994</v>
      </c>
      <c r="S1583" s="9" t="s">
        <v>58</v>
      </c>
      <c r="T1583" t="s">
        <v>77</v>
      </c>
    </row>
    <row r="1584" spans="1:20" x14ac:dyDescent="0.2">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v>276.69</v>
      </c>
      <c r="Q1584">
        <v>3</v>
      </c>
      <c r="R1584">
        <v>49.804200000000002</v>
      </c>
      <c r="S1584" s="9" t="s">
        <v>83</v>
      </c>
      <c r="T1584" t="s">
        <v>71</v>
      </c>
    </row>
    <row r="1585" spans="1:20" x14ac:dyDescent="0.2">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v>18.84</v>
      </c>
      <c r="Q1585">
        <v>3</v>
      </c>
      <c r="R1585">
        <v>7.9127999999999998</v>
      </c>
      <c r="S1585" s="9" t="s">
        <v>83</v>
      </c>
      <c r="T1585" t="s">
        <v>71</v>
      </c>
    </row>
    <row r="1586" spans="1:20" x14ac:dyDescent="0.2">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v>396.92</v>
      </c>
      <c r="Q1586">
        <v>5</v>
      </c>
      <c r="R1586">
        <v>148.845</v>
      </c>
      <c r="S1586" s="9" t="s">
        <v>83</v>
      </c>
      <c r="T1586" t="s">
        <v>71</v>
      </c>
    </row>
    <row r="1587" spans="1:20" x14ac:dyDescent="0.2">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v>85.245999999999995</v>
      </c>
      <c r="Q1587">
        <v>2</v>
      </c>
      <c r="R1587">
        <v>-1.2178</v>
      </c>
      <c r="S1587" s="9" t="s">
        <v>129</v>
      </c>
      <c r="T1587" t="s">
        <v>77</v>
      </c>
    </row>
    <row r="1588" spans="1:20" x14ac:dyDescent="0.2">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v>1487.04</v>
      </c>
      <c r="Q1588">
        <v>5</v>
      </c>
      <c r="R1588">
        <v>148.70400000000001</v>
      </c>
      <c r="S1588" s="9" t="s">
        <v>129</v>
      </c>
      <c r="T1588" t="s">
        <v>77</v>
      </c>
    </row>
    <row r="1589" spans="1:20" x14ac:dyDescent="0.2">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v>9.24</v>
      </c>
      <c r="Q1589">
        <v>3</v>
      </c>
      <c r="R1589">
        <v>2.9567999999999999</v>
      </c>
      <c r="S1589" s="9" t="s">
        <v>430</v>
      </c>
      <c r="T1589" t="s">
        <v>77</v>
      </c>
    </row>
    <row r="1590" spans="1:20" x14ac:dyDescent="0.2">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v>266.35199999999998</v>
      </c>
      <c r="Q1590">
        <v>3</v>
      </c>
      <c r="R1590">
        <v>-13.317600000000001</v>
      </c>
      <c r="S1590" s="9" t="s">
        <v>70</v>
      </c>
      <c r="T1590" t="s">
        <v>59</v>
      </c>
    </row>
    <row r="1591" spans="1:20" x14ac:dyDescent="0.2">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v>483.13600000000002</v>
      </c>
      <c r="Q1591">
        <v>4</v>
      </c>
      <c r="R1591">
        <v>54.352800000000002</v>
      </c>
      <c r="S1591" s="9" t="s">
        <v>70</v>
      </c>
      <c r="T1591" t="s">
        <v>59</v>
      </c>
    </row>
    <row r="1592" spans="1:20" x14ac:dyDescent="0.2">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v>196.78399999999999</v>
      </c>
      <c r="Q1592">
        <v>2</v>
      </c>
      <c r="R1592">
        <v>-22.138200000000001</v>
      </c>
      <c r="S1592" s="9" t="s">
        <v>83</v>
      </c>
      <c r="T1592" t="s">
        <v>297</v>
      </c>
    </row>
    <row r="1593" spans="1:20" x14ac:dyDescent="0.2">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v>231.92</v>
      </c>
      <c r="Q1593">
        <v>5</v>
      </c>
      <c r="R1593">
        <v>5.798</v>
      </c>
      <c r="S1593" s="9" t="s">
        <v>83</v>
      </c>
      <c r="T1593" t="s">
        <v>297</v>
      </c>
    </row>
    <row r="1594" spans="1:20" x14ac:dyDescent="0.2">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v>13.592000000000001</v>
      </c>
      <c r="Q1594">
        <v>2</v>
      </c>
      <c r="R1594">
        <v>-14.271599999999999</v>
      </c>
      <c r="S1594" s="9" t="s">
        <v>58</v>
      </c>
      <c r="T1594" t="s">
        <v>96</v>
      </c>
    </row>
    <row r="1595" spans="1:20" x14ac:dyDescent="0.2">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v>242.352</v>
      </c>
      <c r="Q1595">
        <v>8</v>
      </c>
      <c r="R1595">
        <v>-363.52800000000002</v>
      </c>
      <c r="S1595" s="9" t="s">
        <v>83</v>
      </c>
      <c r="T1595" t="s">
        <v>96</v>
      </c>
    </row>
    <row r="1596" spans="1:20" x14ac:dyDescent="0.2">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v>508.70400000000001</v>
      </c>
      <c r="Q1596">
        <v>6</v>
      </c>
      <c r="R1596">
        <v>0</v>
      </c>
      <c r="S1596" s="9" t="s">
        <v>83</v>
      </c>
      <c r="T1596" t="s">
        <v>96</v>
      </c>
    </row>
    <row r="1597" spans="1:20" x14ac:dyDescent="0.2">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v>906.68</v>
      </c>
      <c r="Q1597">
        <v>5</v>
      </c>
      <c r="R1597">
        <v>68.001000000000005</v>
      </c>
      <c r="S1597" s="9" t="s">
        <v>83</v>
      </c>
      <c r="T1597" t="s">
        <v>96</v>
      </c>
    </row>
    <row r="1598" spans="1:20" x14ac:dyDescent="0.2">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v>21.204000000000001</v>
      </c>
      <c r="Q1598">
        <v>3</v>
      </c>
      <c r="R1598">
        <v>-11.6622</v>
      </c>
      <c r="S1598" s="9" t="s">
        <v>70</v>
      </c>
      <c r="T1598" t="s">
        <v>77</v>
      </c>
    </row>
    <row r="1599" spans="1:20" x14ac:dyDescent="0.2">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v>349.96499999999997</v>
      </c>
      <c r="Q1599">
        <v>7</v>
      </c>
      <c r="R1599">
        <v>-216.97829999999999</v>
      </c>
      <c r="S1599" s="9" t="s">
        <v>83</v>
      </c>
      <c r="T1599" t="s">
        <v>161</v>
      </c>
    </row>
    <row r="1600" spans="1:20" x14ac:dyDescent="0.2">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v>31.68</v>
      </c>
      <c r="Q1600">
        <v>6</v>
      </c>
      <c r="R1600">
        <v>9.8208000000000002</v>
      </c>
      <c r="S1600" s="9" t="s">
        <v>83</v>
      </c>
      <c r="T1600" t="s">
        <v>34</v>
      </c>
    </row>
    <row r="1601" spans="1:20" x14ac:dyDescent="0.2">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v>170.786</v>
      </c>
      <c r="Q1601">
        <v>1</v>
      </c>
      <c r="R1601">
        <v>0</v>
      </c>
      <c r="S1601" s="9" t="s">
        <v>70</v>
      </c>
      <c r="T1601" t="s">
        <v>96</v>
      </c>
    </row>
    <row r="1602" spans="1:20" x14ac:dyDescent="0.2">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v>198.744</v>
      </c>
      <c r="Q1602">
        <v>4</v>
      </c>
      <c r="R1602">
        <v>0</v>
      </c>
      <c r="S1602" s="9" t="s">
        <v>83</v>
      </c>
      <c r="T1602" t="s">
        <v>77</v>
      </c>
    </row>
    <row r="1603" spans="1:20" x14ac:dyDescent="0.2">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v>435.16800000000001</v>
      </c>
      <c r="Q1603">
        <v>4</v>
      </c>
      <c r="R1603">
        <v>-59.835599999999999</v>
      </c>
      <c r="S1603" s="9" t="s">
        <v>70</v>
      </c>
      <c r="T1603" t="s">
        <v>169</v>
      </c>
    </row>
    <row r="1604" spans="1:20" x14ac:dyDescent="0.2">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v>48.58</v>
      </c>
      <c r="Q1604">
        <v>1</v>
      </c>
      <c r="R1604">
        <v>7.7728000000000002</v>
      </c>
      <c r="S1604" s="9" t="s">
        <v>70</v>
      </c>
      <c r="T1604" t="s">
        <v>169</v>
      </c>
    </row>
    <row r="1605" spans="1:20" x14ac:dyDescent="0.2">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v>591.32000000000005</v>
      </c>
      <c r="Q1605">
        <v>4</v>
      </c>
      <c r="R1605">
        <v>112.35080000000001</v>
      </c>
      <c r="S1605" s="9" t="s">
        <v>58</v>
      </c>
      <c r="T1605" t="s">
        <v>48</v>
      </c>
    </row>
    <row r="1606" spans="1:20" x14ac:dyDescent="0.2">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v>563.94000000000005</v>
      </c>
      <c r="Q1606">
        <v>3</v>
      </c>
      <c r="R1606">
        <v>112.788</v>
      </c>
      <c r="S1606" s="9" t="s">
        <v>33</v>
      </c>
      <c r="T1606" t="s">
        <v>96</v>
      </c>
    </row>
    <row r="1607" spans="1:20" x14ac:dyDescent="0.2">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v>127.764</v>
      </c>
      <c r="Q1607">
        <v>2</v>
      </c>
      <c r="R1607">
        <v>2.8391999999999999</v>
      </c>
      <c r="S1607" s="9" t="s">
        <v>58</v>
      </c>
      <c r="T1607" t="s">
        <v>113</v>
      </c>
    </row>
    <row r="1608" spans="1:20" x14ac:dyDescent="0.2">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v>17.309999999999999</v>
      </c>
      <c r="Q1608">
        <v>3</v>
      </c>
      <c r="R1608">
        <v>5.1929999999999996</v>
      </c>
      <c r="S1608" s="9" t="s">
        <v>129</v>
      </c>
      <c r="T1608" t="s">
        <v>34</v>
      </c>
    </row>
    <row r="1609" spans="1:20" x14ac:dyDescent="0.2">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v>58.247999999999998</v>
      </c>
      <c r="Q1609">
        <v>9</v>
      </c>
      <c r="R1609">
        <v>11.6496</v>
      </c>
      <c r="S1609" s="9" t="s">
        <v>83</v>
      </c>
      <c r="T1609" t="s">
        <v>77</v>
      </c>
    </row>
    <row r="1610" spans="1:20" x14ac:dyDescent="0.2">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v>71.245999999999995</v>
      </c>
      <c r="Q1610">
        <v>2</v>
      </c>
      <c r="R1610">
        <v>-19.338200000000001</v>
      </c>
      <c r="S1610" s="9" t="s">
        <v>83</v>
      </c>
      <c r="T1610" t="s">
        <v>77</v>
      </c>
    </row>
    <row r="1611" spans="1:20" x14ac:dyDescent="0.2">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v>887.27099999999996</v>
      </c>
      <c r="Q1611">
        <v>3</v>
      </c>
      <c r="R1611">
        <v>-63.3765</v>
      </c>
      <c r="S1611" s="9" t="s">
        <v>83</v>
      </c>
      <c r="T1611" t="s">
        <v>77</v>
      </c>
    </row>
    <row r="1612" spans="1:20" x14ac:dyDescent="0.2">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v>25.175999999999998</v>
      </c>
      <c r="Q1612">
        <v>3</v>
      </c>
      <c r="R1612">
        <v>-33.358199999999997</v>
      </c>
      <c r="S1612" s="9" t="s">
        <v>83</v>
      </c>
      <c r="T1612" t="s">
        <v>161</v>
      </c>
    </row>
    <row r="1613" spans="1:20" x14ac:dyDescent="0.2">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v>5.5839999999999996</v>
      </c>
      <c r="Q1613">
        <v>2</v>
      </c>
      <c r="R1613">
        <v>-1.6752</v>
      </c>
      <c r="S1613" s="9" t="s">
        <v>83</v>
      </c>
      <c r="T1613" t="s">
        <v>161</v>
      </c>
    </row>
    <row r="1614" spans="1:20" x14ac:dyDescent="0.2">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v>14.91</v>
      </c>
      <c r="Q1614">
        <v>3</v>
      </c>
      <c r="R1614">
        <v>4.6220999999999997</v>
      </c>
      <c r="S1614" s="9" t="s">
        <v>83</v>
      </c>
      <c r="T1614" t="s">
        <v>253</v>
      </c>
    </row>
    <row r="1615" spans="1:20" x14ac:dyDescent="0.2">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v>189.57599999999999</v>
      </c>
      <c r="Q1615">
        <v>1</v>
      </c>
      <c r="R1615">
        <v>9.4787999999999997</v>
      </c>
      <c r="S1615" s="9" t="s">
        <v>70</v>
      </c>
      <c r="T1615" t="s">
        <v>48</v>
      </c>
    </row>
    <row r="1616" spans="1:20" x14ac:dyDescent="0.2">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v>725.34400000000005</v>
      </c>
      <c r="Q1616">
        <v>4</v>
      </c>
      <c r="R1616">
        <v>54.400799999999997</v>
      </c>
      <c r="S1616" s="9" t="s">
        <v>83</v>
      </c>
      <c r="T1616" t="s">
        <v>34</v>
      </c>
    </row>
    <row r="1617" spans="1:20" x14ac:dyDescent="0.2">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v>75.33</v>
      </c>
      <c r="Q1617">
        <v>9</v>
      </c>
      <c r="R1617">
        <v>19.585799999999999</v>
      </c>
      <c r="S1617" s="9" t="s">
        <v>83</v>
      </c>
      <c r="T1617" t="s">
        <v>161</v>
      </c>
    </row>
    <row r="1618" spans="1:20" x14ac:dyDescent="0.2">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v>127.30200000000001</v>
      </c>
      <c r="Q1618">
        <v>7</v>
      </c>
      <c r="R1618">
        <v>-9.093</v>
      </c>
      <c r="S1618" s="9" t="s">
        <v>70</v>
      </c>
      <c r="T1618" t="s">
        <v>195</v>
      </c>
    </row>
    <row r="1619" spans="1:20" x14ac:dyDescent="0.2">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v>1207.8399999999999</v>
      </c>
      <c r="Q1619">
        <v>8</v>
      </c>
      <c r="R1619">
        <v>314.03840000000002</v>
      </c>
      <c r="S1619" s="9" t="s">
        <v>33</v>
      </c>
      <c r="T1619" t="s">
        <v>96</v>
      </c>
    </row>
    <row r="1620" spans="1:20" x14ac:dyDescent="0.2">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v>300.98</v>
      </c>
      <c r="Q1620">
        <v>1</v>
      </c>
      <c r="R1620">
        <v>87.284199999999998</v>
      </c>
      <c r="S1620" s="9" t="s">
        <v>33</v>
      </c>
      <c r="T1620" t="s">
        <v>96</v>
      </c>
    </row>
    <row r="1621" spans="1:20" x14ac:dyDescent="0.2">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v>258.75</v>
      </c>
      <c r="Q1621">
        <v>3</v>
      </c>
      <c r="R1621">
        <v>77.625</v>
      </c>
      <c r="S1621" s="9" t="s">
        <v>33</v>
      </c>
      <c r="T1621" t="s">
        <v>96</v>
      </c>
    </row>
    <row r="1622" spans="1:20" x14ac:dyDescent="0.2">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v>441.96</v>
      </c>
      <c r="Q1622">
        <v>2</v>
      </c>
      <c r="R1622">
        <v>101.6508</v>
      </c>
      <c r="S1622" s="9" t="s">
        <v>129</v>
      </c>
      <c r="T1622" t="s">
        <v>195</v>
      </c>
    </row>
    <row r="1623" spans="1:20" x14ac:dyDescent="0.2">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v>892.22400000000005</v>
      </c>
      <c r="Q1623">
        <v>3</v>
      </c>
      <c r="R1623">
        <v>89.222399999999993</v>
      </c>
      <c r="S1623" s="9" t="s">
        <v>129</v>
      </c>
      <c r="T1623" t="s">
        <v>113</v>
      </c>
    </row>
    <row r="1624" spans="1:20" x14ac:dyDescent="0.2">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v>1352.0319999999999</v>
      </c>
      <c r="Q1624">
        <v>4</v>
      </c>
      <c r="R1624">
        <v>84.501999999999995</v>
      </c>
      <c r="S1624" s="9" t="s">
        <v>123</v>
      </c>
      <c r="T1624" t="s">
        <v>195</v>
      </c>
    </row>
    <row r="1625" spans="1:20" x14ac:dyDescent="0.2">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v>1548.99</v>
      </c>
      <c r="Q1625">
        <v>9</v>
      </c>
      <c r="R1625">
        <v>-464.697</v>
      </c>
      <c r="S1625" s="9" t="s">
        <v>83</v>
      </c>
      <c r="T1625" t="s">
        <v>96</v>
      </c>
    </row>
    <row r="1626" spans="1:20" x14ac:dyDescent="0.2">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v>80.959999999999994</v>
      </c>
      <c r="Q1626">
        <v>4</v>
      </c>
      <c r="R1626">
        <v>29.145600000000002</v>
      </c>
      <c r="S1626" s="9" t="s">
        <v>70</v>
      </c>
      <c r="T1626" t="s">
        <v>34</v>
      </c>
    </row>
    <row r="1627" spans="1:20" x14ac:dyDescent="0.2">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v>187.76</v>
      </c>
      <c r="Q1627">
        <v>4</v>
      </c>
      <c r="R1627">
        <v>76.9816</v>
      </c>
      <c r="S1627" s="9" t="s">
        <v>430</v>
      </c>
      <c r="T1627" t="s">
        <v>113</v>
      </c>
    </row>
    <row r="1628" spans="1:20" x14ac:dyDescent="0.2">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v>76.727999999999994</v>
      </c>
      <c r="Q1628">
        <v>3</v>
      </c>
      <c r="R1628">
        <v>-53.709600000000002</v>
      </c>
      <c r="S1628" s="9" t="s">
        <v>58</v>
      </c>
      <c r="T1628" t="s">
        <v>169</v>
      </c>
    </row>
    <row r="1629" spans="1:20" x14ac:dyDescent="0.2">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v>129.91999999999999</v>
      </c>
      <c r="Q1629">
        <v>4</v>
      </c>
      <c r="R1629">
        <v>10.393599999999999</v>
      </c>
      <c r="S1629" s="9" t="s">
        <v>83</v>
      </c>
      <c r="T1629" t="s">
        <v>48</v>
      </c>
    </row>
    <row r="1630" spans="1:20" x14ac:dyDescent="0.2">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v>170.98</v>
      </c>
      <c r="Q1630">
        <v>1</v>
      </c>
      <c r="R1630">
        <v>32.486199999999997</v>
      </c>
      <c r="S1630" s="9" t="s">
        <v>70</v>
      </c>
      <c r="T1630" t="s">
        <v>34</v>
      </c>
    </row>
    <row r="1631" spans="1:20" x14ac:dyDescent="0.2">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v>38.97</v>
      </c>
      <c r="Q1631">
        <v>3</v>
      </c>
      <c r="R1631">
        <v>4.6764000000000001</v>
      </c>
      <c r="S1631" s="9" t="s">
        <v>70</v>
      </c>
      <c r="T1631" t="s">
        <v>34</v>
      </c>
    </row>
    <row r="1632" spans="1:20" x14ac:dyDescent="0.2">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v>446.06799999999998</v>
      </c>
      <c r="Q1632">
        <v>4</v>
      </c>
      <c r="R1632">
        <v>0</v>
      </c>
      <c r="S1632" s="9" t="s">
        <v>70</v>
      </c>
      <c r="T1632" t="s">
        <v>34</v>
      </c>
    </row>
    <row r="1633" spans="1:20" x14ac:dyDescent="0.2">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v>341.96</v>
      </c>
      <c r="Q1633">
        <v>2</v>
      </c>
      <c r="R1633">
        <v>78.650800000000004</v>
      </c>
      <c r="S1633" s="9" t="s">
        <v>47</v>
      </c>
      <c r="T1633" t="s">
        <v>96</v>
      </c>
    </row>
    <row r="1634" spans="1:20" x14ac:dyDescent="0.2">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v>605.88</v>
      </c>
      <c r="Q1634">
        <v>6</v>
      </c>
      <c r="R1634">
        <v>151.47</v>
      </c>
      <c r="S1634" s="9" t="s">
        <v>47</v>
      </c>
      <c r="T1634" t="s">
        <v>96</v>
      </c>
    </row>
    <row r="1635" spans="1:20" x14ac:dyDescent="0.2">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v>1568.61</v>
      </c>
      <c r="Q1635">
        <v>9</v>
      </c>
      <c r="R1635">
        <v>329.40809999999999</v>
      </c>
      <c r="S1635" s="9" t="s">
        <v>83</v>
      </c>
      <c r="T1635" t="s">
        <v>34</v>
      </c>
    </row>
    <row r="1636" spans="1:20" x14ac:dyDescent="0.2">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v>872.94</v>
      </c>
      <c r="Q1636">
        <v>3</v>
      </c>
      <c r="R1636">
        <v>157.1292</v>
      </c>
      <c r="S1636" s="9" t="s">
        <v>70</v>
      </c>
      <c r="T1636" t="s">
        <v>71</v>
      </c>
    </row>
    <row r="1637" spans="1:20" x14ac:dyDescent="0.2">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v>167.88800000000001</v>
      </c>
      <c r="Q1637">
        <v>7</v>
      </c>
      <c r="R1637">
        <v>14.690200000000001</v>
      </c>
      <c r="S1637" s="9" t="s">
        <v>430</v>
      </c>
      <c r="T1637" t="s">
        <v>195</v>
      </c>
    </row>
    <row r="1638" spans="1:20" x14ac:dyDescent="0.2">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v>526.58199999999999</v>
      </c>
      <c r="Q1638">
        <v>2</v>
      </c>
      <c r="R1638">
        <v>-52.658200000000001</v>
      </c>
      <c r="S1638" s="9" t="s">
        <v>83</v>
      </c>
      <c r="T1638" t="s">
        <v>96</v>
      </c>
    </row>
    <row r="1639" spans="1:20" x14ac:dyDescent="0.2">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v>447.84</v>
      </c>
      <c r="Q1639">
        <v>4</v>
      </c>
      <c r="R1639">
        <v>98.524799999999999</v>
      </c>
      <c r="S1639" s="9" t="s">
        <v>47</v>
      </c>
      <c r="T1639" t="s">
        <v>253</v>
      </c>
    </row>
    <row r="1640" spans="1:20" x14ac:dyDescent="0.2">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v>77.951999999999998</v>
      </c>
      <c r="Q1640">
        <v>3</v>
      </c>
      <c r="R1640">
        <v>15.590400000000001</v>
      </c>
      <c r="S1640" s="9" t="s">
        <v>70</v>
      </c>
      <c r="T1640" t="s">
        <v>48</v>
      </c>
    </row>
    <row r="1641" spans="1:20" x14ac:dyDescent="0.2">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v>179.886</v>
      </c>
      <c r="Q1641">
        <v>1</v>
      </c>
      <c r="R1641">
        <v>-2.5697999999999999</v>
      </c>
      <c r="S1641" s="9" t="s">
        <v>83</v>
      </c>
      <c r="T1641" t="s">
        <v>77</v>
      </c>
    </row>
    <row r="1642" spans="1:20" x14ac:dyDescent="0.2">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v>291.13600000000002</v>
      </c>
      <c r="Q1642">
        <v>4</v>
      </c>
      <c r="R1642">
        <v>-25.474399999999999</v>
      </c>
      <c r="S1642" s="9" t="s">
        <v>129</v>
      </c>
      <c r="T1642" t="s">
        <v>59</v>
      </c>
    </row>
    <row r="1643" spans="1:20" x14ac:dyDescent="0.2">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v>60.84</v>
      </c>
      <c r="Q1643">
        <v>3</v>
      </c>
      <c r="R1643">
        <v>19.468800000000002</v>
      </c>
      <c r="S1643" s="9" t="s">
        <v>129</v>
      </c>
      <c r="T1643" t="s">
        <v>59</v>
      </c>
    </row>
    <row r="1644" spans="1:20" x14ac:dyDescent="0.2">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v>17.088000000000001</v>
      </c>
      <c r="Q1644">
        <v>2</v>
      </c>
      <c r="R1644">
        <v>1.0680000000000001</v>
      </c>
      <c r="S1644" s="9" t="s">
        <v>33</v>
      </c>
      <c r="T1644" t="s">
        <v>34</v>
      </c>
    </row>
    <row r="1645" spans="1:20" x14ac:dyDescent="0.2">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v>154.94999999999999</v>
      </c>
      <c r="Q1645">
        <v>3</v>
      </c>
      <c r="R1645">
        <v>30.99</v>
      </c>
      <c r="S1645" s="9" t="s">
        <v>33</v>
      </c>
      <c r="T1645" t="s">
        <v>34</v>
      </c>
    </row>
    <row r="1646" spans="1:20" x14ac:dyDescent="0.2">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v>1779.9</v>
      </c>
      <c r="Q1646">
        <v>5</v>
      </c>
      <c r="R1646">
        <v>373.779</v>
      </c>
      <c r="S1646" s="9" t="s">
        <v>430</v>
      </c>
      <c r="T1646" t="s">
        <v>253</v>
      </c>
    </row>
    <row r="1647" spans="1:20" x14ac:dyDescent="0.2">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v>876.3</v>
      </c>
      <c r="Q1647">
        <v>10</v>
      </c>
      <c r="R1647">
        <v>-292.10000000000002</v>
      </c>
      <c r="S1647" s="9" t="s">
        <v>70</v>
      </c>
      <c r="T1647" t="s">
        <v>34</v>
      </c>
    </row>
    <row r="1648" spans="1:20" x14ac:dyDescent="0.2">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v>22.608000000000001</v>
      </c>
      <c r="Q1648">
        <v>3</v>
      </c>
      <c r="R1648">
        <v>-10.1736</v>
      </c>
      <c r="S1648" s="9" t="s">
        <v>33</v>
      </c>
      <c r="T1648" t="s">
        <v>161</v>
      </c>
    </row>
    <row r="1649" spans="1:20" x14ac:dyDescent="0.2">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v>207.846</v>
      </c>
      <c r="Q1649">
        <v>3</v>
      </c>
      <c r="R1649">
        <v>2.3094000000000001</v>
      </c>
      <c r="S1649" s="9" t="s">
        <v>33</v>
      </c>
      <c r="T1649" t="s">
        <v>195</v>
      </c>
    </row>
    <row r="1650" spans="1:20" x14ac:dyDescent="0.2">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v>40.479999999999997</v>
      </c>
      <c r="Q1650">
        <v>2</v>
      </c>
      <c r="R1650">
        <v>14.572800000000001</v>
      </c>
      <c r="S1650" s="9" t="s">
        <v>58</v>
      </c>
      <c r="T1650" t="s">
        <v>195</v>
      </c>
    </row>
    <row r="1651" spans="1:20" x14ac:dyDescent="0.2">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v>550.43100000000004</v>
      </c>
      <c r="Q1651">
        <v>3</v>
      </c>
      <c r="R1651">
        <v>-47.1798</v>
      </c>
      <c r="S1651" s="9" t="s">
        <v>123</v>
      </c>
      <c r="T1651" t="s">
        <v>297</v>
      </c>
    </row>
    <row r="1652" spans="1:20" x14ac:dyDescent="0.2">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v>10.56</v>
      </c>
      <c r="Q1652">
        <v>6</v>
      </c>
      <c r="R1652">
        <v>4.6463999999999999</v>
      </c>
      <c r="S1652" s="9" t="s">
        <v>123</v>
      </c>
      <c r="T1652" t="s">
        <v>297</v>
      </c>
    </row>
    <row r="1653" spans="1:20" x14ac:dyDescent="0.2">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v>1497.6659999999999</v>
      </c>
      <c r="Q1653">
        <v>2</v>
      </c>
      <c r="R1653">
        <v>140.95679999999999</v>
      </c>
      <c r="S1653" s="9" t="s">
        <v>70</v>
      </c>
      <c r="T1653" t="s">
        <v>59</v>
      </c>
    </row>
    <row r="1654" spans="1:20" x14ac:dyDescent="0.2">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v>232.88</v>
      </c>
      <c r="Q1654">
        <v>5</v>
      </c>
      <c r="R1654">
        <v>17.466000000000001</v>
      </c>
      <c r="S1654" s="9" t="s">
        <v>47</v>
      </c>
      <c r="T1654" t="s">
        <v>161</v>
      </c>
    </row>
    <row r="1655" spans="1:20" x14ac:dyDescent="0.2">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v>90.882000000000005</v>
      </c>
      <c r="Q1655">
        <v>1</v>
      </c>
      <c r="R1655">
        <v>15.147</v>
      </c>
      <c r="S1655" s="9" t="s">
        <v>83</v>
      </c>
      <c r="T1655" t="s">
        <v>297</v>
      </c>
    </row>
    <row r="1656" spans="1:20" x14ac:dyDescent="0.2">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v>63.936</v>
      </c>
      <c r="Q1656">
        <v>3</v>
      </c>
      <c r="R1656">
        <v>6.3936000000000002</v>
      </c>
      <c r="S1656" s="9" t="s">
        <v>58</v>
      </c>
      <c r="T1656" t="s">
        <v>113</v>
      </c>
    </row>
    <row r="1657" spans="1:20" x14ac:dyDescent="0.2">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v>241.56800000000001</v>
      </c>
      <c r="Q1657">
        <v>2</v>
      </c>
      <c r="R1657">
        <v>-15.098000000000001</v>
      </c>
      <c r="S1657" s="9" t="s">
        <v>83</v>
      </c>
      <c r="T1657" t="s">
        <v>113</v>
      </c>
    </row>
    <row r="1658" spans="1:20" x14ac:dyDescent="0.2">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v>307.13600000000002</v>
      </c>
      <c r="Q1658">
        <v>4</v>
      </c>
      <c r="R1658">
        <v>-11.5176</v>
      </c>
      <c r="S1658" s="9" t="s">
        <v>58</v>
      </c>
      <c r="T1658" t="s">
        <v>77</v>
      </c>
    </row>
    <row r="1659" spans="1:20" x14ac:dyDescent="0.2">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v>1184.72</v>
      </c>
      <c r="Q1659">
        <v>4</v>
      </c>
      <c r="R1659">
        <v>106.62479999999999</v>
      </c>
      <c r="S1659" s="9" t="s">
        <v>58</v>
      </c>
      <c r="T1659" t="s">
        <v>195</v>
      </c>
    </row>
    <row r="1660" spans="1:20" x14ac:dyDescent="0.2">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v>124.404</v>
      </c>
      <c r="Q1660">
        <v>4</v>
      </c>
      <c r="R1660">
        <v>-21.3264</v>
      </c>
      <c r="S1660" s="9" t="s">
        <v>83</v>
      </c>
      <c r="T1660" t="s">
        <v>71</v>
      </c>
    </row>
    <row r="1661" spans="1:20" x14ac:dyDescent="0.2">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v>16.192</v>
      </c>
      <c r="Q1661">
        <v>2</v>
      </c>
      <c r="R1661">
        <v>-6.8815999999999997</v>
      </c>
      <c r="S1661" s="9" t="s">
        <v>83</v>
      </c>
      <c r="T1661" t="s">
        <v>297</v>
      </c>
    </row>
    <row r="1662" spans="1:20" x14ac:dyDescent="0.2">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v>441.92</v>
      </c>
      <c r="Q1662">
        <v>2</v>
      </c>
      <c r="R1662">
        <v>49.716000000000001</v>
      </c>
      <c r="S1662" s="9" t="s">
        <v>58</v>
      </c>
      <c r="T1662" t="s">
        <v>71</v>
      </c>
    </row>
    <row r="1663" spans="1:20" x14ac:dyDescent="0.2">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v>127.764</v>
      </c>
      <c r="Q1663">
        <v>6</v>
      </c>
      <c r="R1663">
        <v>-191.64599999999999</v>
      </c>
      <c r="S1663" s="9" t="s">
        <v>58</v>
      </c>
      <c r="T1663" t="s">
        <v>71</v>
      </c>
    </row>
    <row r="1664" spans="1:20" x14ac:dyDescent="0.2">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v>915.13599999999997</v>
      </c>
      <c r="Q1664">
        <v>4</v>
      </c>
      <c r="R1664">
        <v>102.9528</v>
      </c>
      <c r="S1664" s="9" t="s">
        <v>83</v>
      </c>
      <c r="T1664" t="s">
        <v>48</v>
      </c>
    </row>
    <row r="1665" spans="1:20" x14ac:dyDescent="0.2">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v>242.17599999999999</v>
      </c>
      <c r="Q1665">
        <v>4</v>
      </c>
      <c r="R1665">
        <v>-302.72000000000003</v>
      </c>
      <c r="S1665" s="9" t="s">
        <v>58</v>
      </c>
      <c r="T1665" t="s">
        <v>34</v>
      </c>
    </row>
    <row r="1666" spans="1:20" x14ac:dyDescent="0.2">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v>337.17599999999999</v>
      </c>
      <c r="Q1666">
        <v>2</v>
      </c>
      <c r="R1666">
        <v>-118.0116</v>
      </c>
      <c r="S1666" s="9" t="s">
        <v>47</v>
      </c>
      <c r="T1666" t="s">
        <v>59</v>
      </c>
    </row>
    <row r="1667" spans="1:20" x14ac:dyDescent="0.2">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v>23.376000000000001</v>
      </c>
      <c r="Q1667">
        <v>3</v>
      </c>
      <c r="R1667">
        <v>7.0128000000000004</v>
      </c>
      <c r="S1667" s="9" t="s">
        <v>33</v>
      </c>
      <c r="T1667" t="s">
        <v>96</v>
      </c>
    </row>
    <row r="1668" spans="1:20" x14ac:dyDescent="0.2">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v>16.72</v>
      </c>
      <c r="Q1668">
        <v>5</v>
      </c>
      <c r="R1668">
        <v>3.3439999999999999</v>
      </c>
      <c r="S1668" s="9" t="s">
        <v>33</v>
      </c>
      <c r="T1668" t="s">
        <v>96</v>
      </c>
    </row>
    <row r="1669" spans="1:20" x14ac:dyDescent="0.2">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v>16.192</v>
      </c>
      <c r="Q1669">
        <v>1</v>
      </c>
      <c r="R1669">
        <v>4.6551999999999998</v>
      </c>
      <c r="S1669" s="9" t="s">
        <v>33</v>
      </c>
      <c r="T1669" t="s">
        <v>96</v>
      </c>
    </row>
    <row r="1670" spans="1:20" x14ac:dyDescent="0.2">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v>343.85</v>
      </c>
      <c r="Q1670">
        <v>5</v>
      </c>
      <c r="R1670">
        <v>137.54</v>
      </c>
      <c r="S1670" s="9" t="s">
        <v>83</v>
      </c>
      <c r="T1670" t="s">
        <v>96</v>
      </c>
    </row>
    <row r="1671" spans="1:20" x14ac:dyDescent="0.2">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v>31.984000000000002</v>
      </c>
      <c r="Q1671">
        <v>1</v>
      </c>
      <c r="R1671">
        <v>0</v>
      </c>
      <c r="S1671" s="9" t="s">
        <v>58</v>
      </c>
      <c r="T1671" t="s">
        <v>253</v>
      </c>
    </row>
    <row r="1672" spans="1:20" x14ac:dyDescent="0.2">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v>423.64800000000002</v>
      </c>
      <c r="Q1672">
        <v>2</v>
      </c>
      <c r="R1672">
        <v>47.660400000000003</v>
      </c>
      <c r="S1672" s="9" t="s">
        <v>58</v>
      </c>
      <c r="T1672" t="s">
        <v>253</v>
      </c>
    </row>
    <row r="1673" spans="1:20" x14ac:dyDescent="0.2">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v>268.70400000000001</v>
      </c>
      <c r="Q1673">
        <v>3</v>
      </c>
      <c r="R1673">
        <v>6.7176</v>
      </c>
      <c r="S1673" s="9" t="s">
        <v>83</v>
      </c>
      <c r="T1673" t="s">
        <v>96</v>
      </c>
    </row>
    <row r="1674" spans="1:20" x14ac:dyDescent="0.2">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v>205.666</v>
      </c>
      <c r="Q1674">
        <v>2</v>
      </c>
      <c r="R1674">
        <v>-12.098000000000001</v>
      </c>
      <c r="S1674" s="9" t="s">
        <v>83</v>
      </c>
      <c r="T1674" t="s">
        <v>96</v>
      </c>
    </row>
    <row r="1675" spans="1:20" x14ac:dyDescent="0.2">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v>30.344000000000001</v>
      </c>
      <c r="Q1675">
        <v>2</v>
      </c>
      <c r="R1675">
        <v>-31.8612</v>
      </c>
      <c r="S1675" s="9" t="s">
        <v>70</v>
      </c>
      <c r="T1675" t="s">
        <v>113</v>
      </c>
    </row>
    <row r="1676" spans="1:20" x14ac:dyDescent="0.2">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v>344.37200000000001</v>
      </c>
      <c r="Q1676">
        <v>4</v>
      </c>
      <c r="R1676">
        <v>-93.472399999999993</v>
      </c>
      <c r="S1676" s="9" t="s">
        <v>83</v>
      </c>
      <c r="T1676" t="s">
        <v>34</v>
      </c>
    </row>
    <row r="1677" spans="1:20" x14ac:dyDescent="0.2">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v>50.97</v>
      </c>
      <c r="Q1677">
        <v>3</v>
      </c>
      <c r="R1677">
        <v>9.1745999999999999</v>
      </c>
      <c r="S1677" s="9" t="s">
        <v>83</v>
      </c>
      <c r="T1677" t="s">
        <v>34</v>
      </c>
    </row>
    <row r="1678" spans="1:20" x14ac:dyDescent="0.2">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v>298.11599999999999</v>
      </c>
      <c r="Q1678">
        <v>6</v>
      </c>
      <c r="R1678">
        <v>-4.2587999999999999</v>
      </c>
      <c r="S1678" s="9" t="s">
        <v>70</v>
      </c>
      <c r="T1678" t="s">
        <v>71</v>
      </c>
    </row>
    <row r="1679" spans="1:20" x14ac:dyDescent="0.2">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v>230.28</v>
      </c>
      <c r="Q1679">
        <v>3</v>
      </c>
      <c r="R1679">
        <v>23.027999999999999</v>
      </c>
      <c r="S1679" s="9" t="s">
        <v>58</v>
      </c>
      <c r="T1679" t="s">
        <v>71</v>
      </c>
    </row>
    <row r="1680" spans="1:20" x14ac:dyDescent="0.2">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v>81.424000000000007</v>
      </c>
      <c r="Q1680">
        <v>2</v>
      </c>
      <c r="R1680">
        <v>-9.1601999999999997</v>
      </c>
      <c r="S1680" s="9" t="s">
        <v>33</v>
      </c>
      <c r="T1680" t="s">
        <v>96</v>
      </c>
    </row>
    <row r="1681" spans="1:20" x14ac:dyDescent="0.2">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v>362.25</v>
      </c>
      <c r="Q1681">
        <v>6</v>
      </c>
      <c r="R1681">
        <v>0</v>
      </c>
      <c r="S1681" s="9" t="s">
        <v>83</v>
      </c>
      <c r="T1681" t="s">
        <v>195</v>
      </c>
    </row>
    <row r="1682" spans="1:20" x14ac:dyDescent="0.2">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v>63.552</v>
      </c>
      <c r="Q1682">
        <v>6</v>
      </c>
      <c r="R1682">
        <v>-34.953600000000002</v>
      </c>
      <c r="S1682" s="9" t="s">
        <v>83</v>
      </c>
      <c r="T1682" t="s">
        <v>195</v>
      </c>
    </row>
    <row r="1683" spans="1:20" x14ac:dyDescent="0.2">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v>435.16800000000001</v>
      </c>
      <c r="Q1683">
        <v>4</v>
      </c>
      <c r="R1683">
        <v>-59.835599999999999</v>
      </c>
      <c r="S1683" s="9" t="s">
        <v>58</v>
      </c>
      <c r="T1683" t="s">
        <v>48</v>
      </c>
    </row>
    <row r="1684" spans="1:20" x14ac:dyDescent="0.2">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v>72.900000000000006</v>
      </c>
      <c r="Q1684">
        <v>5</v>
      </c>
      <c r="R1684">
        <v>26.972999999999999</v>
      </c>
      <c r="S1684" s="9" t="s">
        <v>58</v>
      </c>
      <c r="T1684" t="s">
        <v>48</v>
      </c>
    </row>
    <row r="1685" spans="1:20" x14ac:dyDescent="0.2">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v>206.352</v>
      </c>
      <c r="Q1685">
        <v>3</v>
      </c>
      <c r="R1685">
        <v>5.1588000000000003</v>
      </c>
      <c r="S1685" s="9" t="s">
        <v>58</v>
      </c>
      <c r="T1685" t="s">
        <v>48</v>
      </c>
    </row>
    <row r="1686" spans="1:20" x14ac:dyDescent="0.2">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v>90.882000000000005</v>
      </c>
      <c r="Q1686">
        <v>3</v>
      </c>
      <c r="R1686">
        <v>-190.85220000000001</v>
      </c>
      <c r="S1686" s="9" t="s">
        <v>70</v>
      </c>
      <c r="T1686" t="s">
        <v>48</v>
      </c>
    </row>
    <row r="1687" spans="1:20" x14ac:dyDescent="0.2">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v>120.78400000000001</v>
      </c>
      <c r="Q1687">
        <v>1</v>
      </c>
      <c r="R1687">
        <v>13.588200000000001</v>
      </c>
      <c r="S1687" s="9" t="s">
        <v>70</v>
      </c>
      <c r="T1687" t="s">
        <v>48</v>
      </c>
    </row>
    <row r="1688" spans="1:20" x14ac:dyDescent="0.2">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v>254.352</v>
      </c>
      <c r="Q1688">
        <v>3</v>
      </c>
      <c r="R1688">
        <v>0</v>
      </c>
      <c r="S1688" s="9" t="s">
        <v>83</v>
      </c>
      <c r="T1688" t="s">
        <v>253</v>
      </c>
    </row>
    <row r="1689" spans="1:20" x14ac:dyDescent="0.2">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v>254.9</v>
      </c>
      <c r="Q1689">
        <v>5</v>
      </c>
      <c r="R1689">
        <v>76.47</v>
      </c>
      <c r="S1689" s="9" t="s">
        <v>33</v>
      </c>
      <c r="T1689" t="s">
        <v>77</v>
      </c>
    </row>
    <row r="1690" spans="1:20" x14ac:dyDescent="0.2">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v>145.76400000000001</v>
      </c>
      <c r="Q1690">
        <v>6</v>
      </c>
      <c r="R1690">
        <v>-247.7988</v>
      </c>
      <c r="S1690" s="9" t="s">
        <v>33</v>
      </c>
      <c r="T1690" t="s">
        <v>34</v>
      </c>
    </row>
    <row r="1691" spans="1:20" x14ac:dyDescent="0.2">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v>1673.184</v>
      </c>
      <c r="Q1691">
        <v>12</v>
      </c>
      <c r="R1691">
        <v>20.9148</v>
      </c>
      <c r="S1691" s="9" t="s">
        <v>70</v>
      </c>
      <c r="T1691" t="s">
        <v>34</v>
      </c>
    </row>
    <row r="1692" spans="1:20" x14ac:dyDescent="0.2">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v>12.18</v>
      </c>
      <c r="Q1692">
        <v>7</v>
      </c>
      <c r="R1692">
        <v>3.8976000000000002</v>
      </c>
      <c r="S1692" s="9" t="s">
        <v>33</v>
      </c>
      <c r="T1692" t="s">
        <v>161</v>
      </c>
    </row>
    <row r="1693" spans="1:20" x14ac:dyDescent="0.2">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v>45.84</v>
      </c>
      <c r="Q1693">
        <v>3</v>
      </c>
      <c r="R1693">
        <v>15.585599999999999</v>
      </c>
      <c r="S1693" s="9" t="s">
        <v>70</v>
      </c>
      <c r="T1693" t="s">
        <v>96</v>
      </c>
    </row>
    <row r="1694" spans="1:20" x14ac:dyDescent="0.2">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v>9.82</v>
      </c>
      <c r="Q1694">
        <v>2</v>
      </c>
      <c r="R1694">
        <v>3.2406000000000001</v>
      </c>
      <c r="S1694" s="9" t="s">
        <v>70</v>
      </c>
      <c r="T1694" t="s">
        <v>96</v>
      </c>
    </row>
    <row r="1695" spans="1:20" x14ac:dyDescent="0.2">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v>1323.9</v>
      </c>
      <c r="Q1695">
        <v>5</v>
      </c>
      <c r="R1695">
        <v>383.93099999999998</v>
      </c>
      <c r="S1695" s="9" t="s">
        <v>47</v>
      </c>
      <c r="T1695" t="s">
        <v>34</v>
      </c>
    </row>
    <row r="1696" spans="1:20" x14ac:dyDescent="0.2">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v>18.84</v>
      </c>
      <c r="Q1696">
        <v>3</v>
      </c>
      <c r="R1696">
        <v>6.0288000000000004</v>
      </c>
      <c r="S1696" s="9" t="s">
        <v>430</v>
      </c>
      <c r="T1696" t="s">
        <v>161</v>
      </c>
    </row>
    <row r="1697" spans="1:20" x14ac:dyDescent="0.2">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v>60.671999999999997</v>
      </c>
      <c r="Q1697">
        <v>6</v>
      </c>
      <c r="R1697">
        <v>12.892799999999999</v>
      </c>
      <c r="S1697" s="9" t="s">
        <v>70</v>
      </c>
      <c r="T1697" t="s">
        <v>77</v>
      </c>
    </row>
    <row r="1698" spans="1:20" x14ac:dyDescent="0.2">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v>657.93</v>
      </c>
      <c r="Q1698">
        <v>5</v>
      </c>
      <c r="R1698">
        <v>-93.99</v>
      </c>
      <c r="S1698" s="9" t="s">
        <v>83</v>
      </c>
      <c r="T1698" t="s">
        <v>71</v>
      </c>
    </row>
    <row r="1699" spans="1:20" x14ac:dyDescent="0.2">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v>210.68</v>
      </c>
      <c r="Q1699">
        <v>2</v>
      </c>
      <c r="R1699">
        <v>50.563200000000002</v>
      </c>
      <c r="S1699" s="9" t="s">
        <v>83</v>
      </c>
      <c r="T1699" t="s">
        <v>77</v>
      </c>
    </row>
    <row r="1700" spans="1:20" x14ac:dyDescent="0.2">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v>23.076000000000001</v>
      </c>
      <c r="Q1700">
        <v>3</v>
      </c>
      <c r="R1700">
        <v>-10.9611</v>
      </c>
      <c r="S1700" s="9" t="s">
        <v>83</v>
      </c>
      <c r="T1700" t="s">
        <v>169</v>
      </c>
    </row>
    <row r="1701" spans="1:20" x14ac:dyDescent="0.2">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v>75.384</v>
      </c>
      <c r="Q1701">
        <v>9</v>
      </c>
      <c r="R1701">
        <v>-20.730599999999999</v>
      </c>
      <c r="S1701" s="9" t="s">
        <v>33</v>
      </c>
      <c r="T1701" t="s">
        <v>59</v>
      </c>
    </row>
    <row r="1702" spans="1:20" x14ac:dyDescent="0.2">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v>435.99900000000002</v>
      </c>
      <c r="Q1702">
        <v>3</v>
      </c>
      <c r="R1702">
        <v>5.1294000000000004</v>
      </c>
      <c r="S1702" s="9" t="s">
        <v>70</v>
      </c>
      <c r="T1702" t="s">
        <v>59</v>
      </c>
    </row>
    <row r="1703" spans="1:20" x14ac:dyDescent="0.2">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v>388.70400000000001</v>
      </c>
      <c r="Q1703">
        <v>6</v>
      </c>
      <c r="R1703">
        <v>38.870399999999997</v>
      </c>
      <c r="S1703" s="9" t="s">
        <v>83</v>
      </c>
      <c r="T1703" t="s">
        <v>253</v>
      </c>
    </row>
    <row r="1704" spans="1:20" x14ac:dyDescent="0.2">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v>26.72</v>
      </c>
      <c r="Q1704">
        <v>1</v>
      </c>
      <c r="R1704">
        <v>11.7568</v>
      </c>
      <c r="S1704" s="9" t="s">
        <v>83</v>
      </c>
      <c r="T1704" t="s">
        <v>195</v>
      </c>
    </row>
    <row r="1705" spans="1:20" x14ac:dyDescent="0.2">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v>21.184000000000001</v>
      </c>
      <c r="Q1705">
        <v>1</v>
      </c>
      <c r="R1705">
        <v>4.7664</v>
      </c>
      <c r="S1705" s="9" t="s">
        <v>83</v>
      </c>
      <c r="T1705" t="s">
        <v>77</v>
      </c>
    </row>
    <row r="1706" spans="1:20" x14ac:dyDescent="0.2">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v>307.666</v>
      </c>
      <c r="Q1706">
        <v>2</v>
      </c>
      <c r="R1706">
        <v>28.956800000000001</v>
      </c>
      <c r="S1706" s="9" t="s">
        <v>47</v>
      </c>
      <c r="T1706" t="s">
        <v>253</v>
      </c>
    </row>
    <row r="1707" spans="1:20" x14ac:dyDescent="0.2">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v>4.16</v>
      </c>
      <c r="Q1707">
        <v>2</v>
      </c>
      <c r="R1707">
        <v>1.7472000000000001</v>
      </c>
      <c r="S1707" s="9" t="s">
        <v>47</v>
      </c>
      <c r="T1707" t="s">
        <v>253</v>
      </c>
    </row>
    <row r="1708" spans="1:20" x14ac:dyDescent="0.2">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v>16.02</v>
      </c>
      <c r="Q1708">
        <v>6</v>
      </c>
      <c r="R1708">
        <v>6.0876000000000001</v>
      </c>
      <c r="S1708" s="9" t="s">
        <v>83</v>
      </c>
      <c r="T1708" t="s">
        <v>48</v>
      </c>
    </row>
    <row r="1709" spans="1:20" x14ac:dyDescent="0.2">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v>141.41999999999999</v>
      </c>
      <c r="Q1709">
        <v>5</v>
      </c>
      <c r="R1709">
        <v>-187.38149999999999</v>
      </c>
      <c r="S1709" s="9" t="s">
        <v>83</v>
      </c>
      <c r="T1709" t="s">
        <v>169</v>
      </c>
    </row>
    <row r="1710" spans="1:20" x14ac:dyDescent="0.2">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v>310.74400000000003</v>
      </c>
      <c r="Q1710">
        <v>4</v>
      </c>
      <c r="R1710">
        <v>-26.635200000000001</v>
      </c>
      <c r="S1710" s="9" t="s">
        <v>83</v>
      </c>
      <c r="T1710" t="s">
        <v>169</v>
      </c>
    </row>
    <row r="1711" spans="1:20" x14ac:dyDescent="0.2">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v>27.42</v>
      </c>
      <c r="Q1711">
        <v>3</v>
      </c>
      <c r="R1711">
        <v>9.3228000000000009</v>
      </c>
      <c r="S1711" s="9" t="s">
        <v>129</v>
      </c>
      <c r="T1711" t="s">
        <v>59</v>
      </c>
    </row>
    <row r="1712" spans="1:20" x14ac:dyDescent="0.2">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v>61.1</v>
      </c>
      <c r="Q1712">
        <v>5</v>
      </c>
      <c r="R1712">
        <v>18.329999999999998</v>
      </c>
      <c r="S1712" s="9" t="s">
        <v>129</v>
      </c>
      <c r="T1712" t="s">
        <v>48</v>
      </c>
    </row>
    <row r="1713" spans="1:20" x14ac:dyDescent="0.2">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v>23.88</v>
      </c>
      <c r="Q1713">
        <v>3</v>
      </c>
      <c r="R1713">
        <v>10.507199999999999</v>
      </c>
      <c r="S1713" s="9" t="s">
        <v>58</v>
      </c>
      <c r="T1713" t="s">
        <v>71</v>
      </c>
    </row>
    <row r="1714" spans="1:20" x14ac:dyDescent="0.2">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v>89.066400000000002</v>
      </c>
      <c r="Q1714">
        <v>1</v>
      </c>
      <c r="R1714">
        <v>-17.0274</v>
      </c>
      <c r="S1714" s="9" t="s">
        <v>70</v>
      </c>
      <c r="T1714" t="s">
        <v>297</v>
      </c>
    </row>
    <row r="1715" spans="1:20" x14ac:dyDescent="0.2">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v>215.54400000000001</v>
      </c>
      <c r="Q1715">
        <v>4</v>
      </c>
      <c r="R1715">
        <v>-58.504800000000003</v>
      </c>
      <c r="S1715" s="9" t="s">
        <v>47</v>
      </c>
      <c r="T1715" t="s">
        <v>96</v>
      </c>
    </row>
    <row r="1716" spans="1:20" x14ac:dyDescent="0.2">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v>127.386</v>
      </c>
      <c r="Q1716">
        <v>2</v>
      </c>
      <c r="R1716">
        <v>-25.4772</v>
      </c>
      <c r="S1716" s="9" t="s">
        <v>58</v>
      </c>
      <c r="T1716" t="s">
        <v>34</v>
      </c>
    </row>
    <row r="1717" spans="1:20" x14ac:dyDescent="0.2">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v>248.43</v>
      </c>
      <c r="Q1717">
        <v>5</v>
      </c>
      <c r="R1717">
        <v>-17.745000000000001</v>
      </c>
      <c r="S1717" s="9" t="s">
        <v>70</v>
      </c>
      <c r="T1717" t="s">
        <v>96</v>
      </c>
    </row>
    <row r="1718" spans="1:20" x14ac:dyDescent="0.2">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v>85.245999999999995</v>
      </c>
      <c r="Q1718">
        <v>2</v>
      </c>
      <c r="R1718">
        <v>-1.2178</v>
      </c>
      <c r="S1718" s="9" t="s">
        <v>70</v>
      </c>
      <c r="T1718" t="s">
        <v>96</v>
      </c>
    </row>
    <row r="1719" spans="1:20" x14ac:dyDescent="0.2">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v>148.02000000000001</v>
      </c>
      <c r="Q1719">
        <v>3</v>
      </c>
      <c r="R1719">
        <v>41.445599999999999</v>
      </c>
      <c r="S1719" s="9" t="s">
        <v>129</v>
      </c>
      <c r="T1719" t="s">
        <v>253</v>
      </c>
    </row>
    <row r="1720" spans="1:20" x14ac:dyDescent="0.2">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v>526.34400000000005</v>
      </c>
      <c r="Q1720">
        <v>4</v>
      </c>
      <c r="R1720">
        <v>-75.191999999999993</v>
      </c>
      <c r="S1720" s="9" t="s">
        <v>58</v>
      </c>
      <c r="T1720" t="s">
        <v>71</v>
      </c>
    </row>
    <row r="1721" spans="1:20" x14ac:dyDescent="0.2">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v>41.96</v>
      </c>
      <c r="Q1721">
        <v>2</v>
      </c>
      <c r="R1721">
        <v>10.909599999999999</v>
      </c>
      <c r="S1721" s="9" t="s">
        <v>58</v>
      </c>
      <c r="T1721" t="s">
        <v>34</v>
      </c>
    </row>
    <row r="1722" spans="1:20" x14ac:dyDescent="0.2">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v>451.15199999999999</v>
      </c>
      <c r="Q1722">
        <v>3</v>
      </c>
      <c r="R1722">
        <v>0</v>
      </c>
      <c r="S1722" s="9" t="s">
        <v>58</v>
      </c>
      <c r="T1722" t="s">
        <v>34</v>
      </c>
    </row>
    <row r="1723" spans="1:20" x14ac:dyDescent="0.2">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v>161.56800000000001</v>
      </c>
      <c r="Q1723">
        <v>2</v>
      </c>
      <c r="R1723">
        <v>-28.2744</v>
      </c>
      <c r="S1723" s="9" t="s">
        <v>58</v>
      </c>
      <c r="T1723" t="s">
        <v>77</v>
      </c>
    </row>
    <row r="1724" spans="1:20" x14ac:dyDescent="0.2">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v>64.959999999999994</v>
      </c>
      <c r="Q1724">
        <v>5</v>
      </c>
      <c r="R1724">
        <v>-43.847999999999999</v>
      </c>
      <c r="S1724" s="9" t="s">
        <v>129</v>
      </c>
      <c r="T1724" t="s">
        <v>253</v>
      </c>
    </row>
    <row r="1725" spans="1:20" x14ac:dyDescent="0.2">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v>72.78</v>
      </c>
      <c r="Q1725">
        <v>3</v>
      </c>
      <c r="R1725">
        <v>-70.960499999999996</v>
      </c>
      <c r="S1725" s="9" t="s">
        <v>58</v>
      </c>
      <c r="T1725" t="s">
        <v>48</v>
      </c>
    </row>
    <row r="1726" spans="1:20" x14ac:dyDescent="0.2">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v>562.29250000000002</v>
      </c>
      <c r="Q1726">
        <v>7</v>
      </c>
      <c r="R1726">
        <v>-255.58750000000001</v>
      </c>
      <c r="S1726" s="9" t="s">
        <v>83</v>
      </c>
      <c r="T1726" t="s">
        <v>253</v>
      </c>
    </row>
    <row r="1727" spans="1:20" x14ac:dyDescent="0.2">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v>56.52</v>
      </c>
      <c r="Q1727">
        <v>9</v>
      </c>
      <c r="R1727">
        <v>21.477599999999999</v>
      </c>
      <c r="S1727" s="9" t="s">
        <v>83</v>
      </c>
      <c r="T1727" t="s">
        <v>34</v>
      </c>
    </row>
    <row r="1728" spans="1:20" x14ac:dyDescent="0.2">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v>557.72799999999995</v>
      </c>
      <c r="Q1728">
        <v>4</v>
      </c>
      <c r="R1728">
        <v>6.9715999999999996</v>
      </c>
      <c r="S1728" s="9" t="s">
        <v>58</v>
      </c>
      <c r="T1728" t="s">
        <v>297</v>
      </c>
    </row>
    <row r="1729" spans="1:20" x14ac:dyDescent="0.2">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v>141.96</v>
      </c>
      <c r="Q1729">
        <v>2</v>
      </c>
      <c r="R1729">
        <v>39.748800000000003</v>
      </c>
      <c r="S1729" s="9" t="s">
        <v>33</v>
      </c>
      <c r="T1729" t="s">
        <v>169</v>
      </c>
    </row>
    <row r="1730" spans="1:20" x14ac:dyDescent="0.2">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v>239.37200000000001</v>
      </c>
      <c r="Q1730">
        <v>2</v>
      </c>
      <c r="R1730">
        <v>-23.937200000000001</v>
      </c>
      <c r="S1730" s="9" t="s">
        <v>58</v>
      </c>
      <c r="T1730" t="s">
        <v>48</v>
      </c>
    </row>
    <row r="1731" spans="1:20" x14ac:dyDescent="0.2">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v>227.96</v>
      </c>
      <c r="Q1731">
        <v>2</v>
      </c>
      <c r="R1731">
        <v>36.473599999999998</v>
      </c>
      <c r="S1731" s="9" t="s">
        <v>83</v>
      </c>
      <c r="T1731" t="s">
        <v>297</v>
      </c>
    </row>
    <row r="1732" spans="1:20" x14ac:dyDescent="0.2">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v>96.96</v>
      </c>
      <c r="Q1732">
        <v>6</v>
      </c>
      <c r="R1732">
        <v>33.936</v>
      </c>
      <c r="S1732" s="9" t="s">
        <v>83</v>
      </c>
      <c r="T1732" t="s">
        <v>34</v>
      </c>
    </row>
    <row r="1733" spans="1:20" x14ac:dyDescent="0.2">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v>512.49900000000002</v>
      </c>
      <c r="Q1733">
        <v>3</v>
      </c>
      <c r="R1733">
        <v>-30.146999999999998</v>
      </c>
      <c r="S1733" s="9" t="s">
        <v>83</v>
      </c>
      <c r="T1733" t="s">
        <v>34</v>
      </c>
    </row>
    <row r="1734" spans="1:20" x14ac:dyDescent="0.2">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v>863.12800000000004</v>
      </c>
      <c r="Q1734">
        <v>7</v>
      </c>
      <c r="R1734">
        <v>-32.3673</v>
      </c>
      <c r="S1734" s="9" t="s">
        <v>58</v>
      </c>
      <c r="T1734" t="s">
        <v>71</v>
      </c>
    </row>
    <row r="1735" spans="1:20" x14ac:dyDescent="0.2">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v>2036.86</v>
      </c>
      <c r="Q1735">
        <v>7</v>
      </c>
      <c r="R1735">
        <v>366.63479999999998</v>
      </c>
      <c r="S1735" s="9" t="s">
        <v>47</v>
      </c>
      <c r="T1735" t="s">
        <v>34</v>
      </c>
    </row>
    <row r="1736" spans="1:20" x14ac:dyDescent="0.2">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v>449.56799999999998</v>
      </c>
      <c r="Q1736">
        <v>2</v>
      </c>
      <c r="R1736">
        <v>-73.0548</v>
      </c>
      <c r="S1736" s="9" t="s">
        <v>47</v>
      </c>
      <c r="T1736" t="s">
        <v>34</v>
      </c>
    </row>
    <row r="1737" spans="1:20" x14ac:dyDescent="0.2">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v>277.5</v>
      </c>
      <c r="Q1737">
        <v>4</v>
      </c>
      <c r="R1737">
        <v>-188.7</v>
      </c>
      <c r="S1737" s="9" t="s">
        <v>83</v>
      </c>
      <c r="T1737" t="s">
        <v>253</v>
      </c>
    </row>
    <row r="1738" spans="1:20" x14ac:dyDescent="0.2">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v>1252.704</v>
      </c>
      <c r="Q1738">
        <v>8</v>
      </c>
      <c r="R1738">
        <v>-480.20319999999998</v>
      </c>
      <c r="S1738" s="9" t="s">
        <v>83</v>
      </c>
      <c r="T1738" t="s">
        <v>34</v>
      </c>
    </row>
    <row r="1739" spans="1:20" x14ac:dyDescent="0.2">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v>22.608000000000001</v>
      </c>
      <c r="Q1739">
        <v>3</v>
      </c>
      <c r="R1739">
        <v>-10.1736</v>
      </c>
      <c r="S1739" s="9" t="s">
        <v>83</v>
      </c>
      <c r="T1739" t="s">
        <v>161</v>
      </c>
    </row>
    <row r="1740" spans="1:20" x14ac:dyDescent="0.2">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v>1.8919999999999999</v>
      </c>
      <c r="Q1740">
        <v>1</v>
      </c>
      <c r="R1740">
        <v>-0.99329999999999996</v>
      </c>
      <c r="S1740" s="9" t="s">
        <v>83</v>
      </c>
      <c r="T1740" t="s">
        <v>161</v>
      </c>
    </row>
    <row r="1741" spans="1:20" x14ac:dyDescent="0.2">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v>170.072</v>
      </c>
      <c r="Q1741">
        <v>4</v>
      </c>
      <c r="R1741">
        <v>-12.148</v>
      </c>
      <c r="S1741" s="9" t="s">
        <v>83</v>
      </c>
      <c r="T1741" t="s">
        <v>77</v>
      </c>
    </row>
    <row r="1742" spans="1:20" x14ac:dyDescent="0.2">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v>187.76</v>
      </c>
      <c r="Q1742">
        <v>4</v>
      </c>
      <c r="R1742">
        <v>76.9816</v>
      </c>
      <c r="S1742" s="9" t="s">
        <v>83</v>
      </c>
      <c r="T1742" t="s">
        <v>34</v>
      </c>
    </row>
    <row r="1743" spans="1:20" x14ac:dyDescent="0.2">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v>335.74400000000003</v>
      </c>
      <c r="Q1743">
        <v>2</v>
      </c>
      <c r="R1743">
        <v>25.180800000000001</v>
      </c>
      <c r="S1743" s="9" t="s">
        <v>33</v>
      </c>
      <c r="T1743" t="s">
        <v>34</v>
      </c>
    </row>
    <row r="1744" spans="1:20" x14ac:dyDescent="0.2">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v>11.82</v>
      </c>
      <c r="Q1744">
        <v>3</v>
      </c>
      <c r="R1744">
        <v>4.7279999999999998</v>
      </c>
      <c r="S1744" s="9" t="s">
        <v>430</v>
      </c>
      <c r="T1744" t="s">
        <v>34</v>
      </c>
    </row>
    <row r="1745" spans="1:20" x14ac:dyDescent="0.2">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v>577.76400000000001</v>
      </c>
      <c r="Q1745">
        <v>2</v>
      </c>
      <c r="R1745">
        <v>115.5528</v>
      </c>
      <c r="S1745" s="9" t="s">
        <v>430</v>
      </c>
      <c r="T1745" t="s">
        <v>34</v>
      </c>
    </row>
    <row r="1746" spans="1:20" x14ac:dyDescent="0.2">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v>191.5155</v>
      </c>
      <c r="Q1746">
        <v>1</v>
      </c>
      <c r="R1746">
        <v>-76.606200000000001</v>
      </c>
      <c r="S1746" s="9" t="s">
        <v>83</v>
      </c>
      <c r="T1746" t="s">
        <v>113</v>
      </c>
    </row>
    <row r="1747" spans="1:20" x14ac:dyDescent="0.2">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v>44.46</v>
      </c>
      <c r="Q1747">
        <v>5</v>
      </c>
      <c r="R1747">
        <v>-17.783999999999999</v>
      </c>
      <c r="S1747" s="9" t="s">
        <v>58</v>
      </c>
      <c r="T1747" t="s">
        <v>34</v>
      </c>
    </row>
    <row r="1748" spans="1:20" x14ac:dyDescent="0.2">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v>31.776</v>
      </c>
      <c r="Q1748">
        <v>3</v>
      </c>
      <c r="R1748">
        <v>-19.0656</v>
      </c>
      <c r="S1748" s="9" t="s">
        <v>83</v>
      </c>
      <c r="T1748" t="s">
        <v>48</v>
      </c>
    </row>
    <row r="1749" spans="1:20" x14ac:dyDescent="0.2">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v>82.64</v>
      </c>
      <c r="Q1749">
        <v>2</v>
      </c>
      <c r="R1749">
        <v>7.4375999999999998</v>
      </c>
      <c r="S1749" s="9" t="s">
        <v>83</v>
      </c>
      <c r="T1749" t="s">
        <v>113</v>
      </c>
    </row>
    <row r="1750" spans="1:20" x14ac:dyDescent="0.2">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v>1266.8599999999999</v>
      </c>
      <c r="Q1750">
        <v>7</v>
      </c>
      <c r="R1750">
        <v>291.37779999999998</v>
      </c>
      <c r="S1750" s="9" t="s">
        <v>70</v>
      </c>
      <c r="T1750" t="s">
        <v>59</v>
      </c>
    </row>
    <row r="1751" spans="1:20" x14ac:dyDescent="0.2">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v>933.26199999999994</v>
      </c>
      <c r="Q1751">
        <v>4</v>
      </c>
      <c r="R1751">
        <v>-458.14679999999998</v>
      </c>
      <c r="S1751" s="9" t="s">
        <v>58</v>
      </c>
      <c r="T1751" t="s">
        <v>161</v>
      </c>
    </row>
    <row r="1752" spans="1:20" x14ac:dyDescent="0.2">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v>2803.92</v>
      </c>
      <c r="Q1752">
        <v>5</v>
      </c>
      <c r="R1752">
        <v>0</v>
      </c>
      <c r="S1752" s="9" t="s">
        <v>58</v>
      </c>
      <c r="T1752" t="s">
        <v>161</v>
      </c>
    </row>
    <row r="1753" spans="1:20" x14ac:dyDescent="0.2">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v>43.936</v>
      </c>
      <c r="Q1753">
        <v>4</v>
      </c>
      <c r="R1753">
        <v>6.0411999999999999</v>
      </c>
      <c r="S1753" s="9" t="s">
        <v>430</v>
      </c>
      <c r="T1753" t="s">
        <v>48</v>
      </c>
    </row>
    <row r="1754" spans="1:20" x14ac:dyDescent="0.2">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v>85.44</v>
      </c>
      <c r="Q1754">
        <v>3</v>
      </c>
      <c r="R1754">
        <v>31.6128</v>
      </c>
      <c r="S1754" s="9" t="s">
        <v>83</v>
      </c>
      <c r="T1754" t="s">
        <v>253</v>
      </c>
    </row>
    <row r="1755" spans="1:20" x14ac:dyDescent="0.2">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v>4.7119999999999997</v>
      </c>
      <c r="Q1755">
        <v>2</v>
      </c>
      <c r="R1755">
        <v>-1.8848</v>
      </c>
      <c r="S1755" s="9" t="s">
        <v>83</v>
      </c>
      <c r="T1755" t="s">
        <v>195</v>
      </c>
    </row>
    <row r="1756" spans="1:20" x14ac:dyDescent="0.2">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v>69.375</v>
      </c>
      <c r="Q1756">
        <v>1</v>
      </c>
      <c r="R1756">
        <v>-47.174999999999997</v>
      </c>
      <c r="S1756" s="9" t="s">
        <v>47</v>
      </c>
      <c r="T1756" t="s">
        <v>169</v>
      </c>
    </row>
    <row r="1757" spans="1:20" x14ac:dyDescent="0.2">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v>2563.056</v>
      </c>
      <c r="Q1757">
        <v>8</v>
      </c>
      <c r="R1757">
        <v>313.26240000000001</v>
      </c>
      <c r="S1757" s="9" t="s">
        <v>129</v>
      </c>
      <c r="T1757" t="s">
        <v>96</v>
      </c>
    </row>
    <row r="1758" spans="1:20" x14ac:dyDescent="0.2">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v>387.13600000000002</v>
      </c>
      <c r="Q1758">
        <v>4</v>
      </c>
      <c r="R1758">
        <v>4.8391999999999999</v>
      </c>
      <c r="S1758" s="9" t="s">
        <v>58</v>
      </c>
      <c r="T1758" t="s">
        <v>48</v>
      </c>
    </row>
    <row r="1759" spans="1:20" x14ac:dyDescent="0.2">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v>207</v>
      </c>
      <c r="Q1759">
        <v>3</v>
      </c>
      <c r="R1759">
        <v>25.875</v>
      </c>
      <c r="S1759" s="9" t="s">
        <v>123</v>
      </c>
      <c r="T1759" t="s">
        <v>161</v>
      </c>
    </row>
    <row r="1760" spans="1:20" x14ac:dyDescent="0.2">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v>51.756</v>
      </c>
      <c r="Q1760">
        <v>3</v>
      </c>
      <c r="R1760">
        <v>-33.641399999999997</v>
      </c>
      <c r="S1760" s="9" t="s">
        <v>58</v>
      </c>
      <c r="T1760" t="s">
        <v>96</v>
      </c>
    </row>
    <row r="1761" spans="1:20" x14ac:dyDescent="0.2">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v>4.9279999999999999</v>
      </c>
      <c r="Q1761">
        <v>2</v>
      </c>
      <c r="R1761">
        <v>0.73919999999999997</v>
      </c>
      <c r="S1761" s="9" t="s">
        <v>129</v>
      </c>
      <c r="T1761" t="s">
        <v>71</v>
      </c>
    </row>
    <row r="1762" spans="1:20" x14ac:dyDescent="0.2">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v>362.35199999999998</v>
      </c>
      <c r="Q1762">
        <v>3</v>
      </c>
      <c r="R1762">
        <v>45.293999999999997</v>
      </c>
      <c r="S1762" s="9" t="s">
        <v>129</v>
      </c>
      <c r="T1762" t="s">
        <v>71</v>
      </c>
    </row>
    <row r="1763" spans="1:20" x14ac:dyDescent="0.2">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v>486.36799999999999</v>
      </c>
      <c r="Q1763">
        <v>4</v>
      </c>
      <c r="R1763">
        <v>36.477600000000002</v>
      </c>
      <c r="S1763" s="9" t="s">
        <v>129</v>
      </c>
      <c r="T1763" t="s">
        <v>34</v>
      </c>
    </row>
    <row r="1764" spans="1:20" x14ac:dyDescent="0.2">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v>376.50900000000001</v>
      </c>
      <c r="Q1764">
        <v>3</v>
      </c>
      <c r="R1764">
        <v>-43.029600000000002</v>
      </c>
      <c r="S1764" s="9" t="s">
        <v>129</v>
      </c>
      <c r="T1764" t="s">
        <v>195</v>
      </c>
    </row>
    <row r="1765" spans="1:20" x14ac:dyDescent="0.2">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v>62.72</v>
      </c>
      <c r="Q1765">
        <v>4</v>
      </c>
      <c r="R1765">
        <v>24.460799999999999</v>
      </c>
      <c r="S1765" s="9" t="s">
        <v>58</v>
      </c>
      <c r="T1765" t="s">
        <v>169</v>
      </c>
    </row>
    <row r="1766" spans="1:20" x14ac:dyDescent="0.2">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v>512.35799999999995</v>
      </c>
      <c r="Q1766">
        <v>3</v>
      </c>
      <c r="R1766">
        <v>-14.6388</v>
      </c>
      <c r="S1766" s="9" t="s">
        <v>83</v>
      </c>
      <c r="T1766" t="s">
        <v>71</v>
      </c>
    </row>
    <row r="1767" spans="1:20" x14ac:dyDescent="0.2">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v>354.9</v>
      </c>
      <c r="Q1767">
        <v>5</v>
      </c>
      <c r="R1767">
        <v>88.724999999999994</v>
      </c>
      <c r="S1767" s="9" t="s">
        <v>33</v>
      </c>
      <c r="T1767" t="s">
        <v>195</v>
      </c>
    </row>
    <row r="1768" spans="1:20" x14ac:dyDescent="0.2">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v>436.70400000000001</v>
      </c>
      <c r="Q1768">
        <v>6</v>
      </c>
      <c r="R1768">
        <v>-38.211599999999997</v>
      </c>
      <c r="S1768" s="9" t="s">
        <v>83</v>
      </c>
      <c r="T1768" t="s">
        <v>113</v>
      </c>
    </row>
    <row r="1769" spans="1:20" x14ac:dyDescent="0.2">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v>32.951999999999998</v>
      </c>
      <c r="Q1769">
        <v>3</v>
      </c>
      <c r="R1769">
        <v>6.5903999999999998</v>
      </c>
      <c r="S1769" s="9" t="s">
        <v>83</v>
      </c>
      <c r="T1769" t="s">
        <v>195</v>
      </c>
    </row>
    <row r="1770" spans="1:20" x14ac:dyDescent="0.2">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v>218.376</v>
      </c>
      <c r="Q1770">
        <v>3</v>
      </c>
      <c r="R1770">
        <v>-10.918799999999999</v>
      </c>
      <c r="S1770" s="9" t="s">
        <v>83</v>
      </c>
      <c r="T1770" t="s">
        <v>195</v>
      </c>
    </row>
    <row r="1771" spans="1:20" x14ac:dyDescent="0.2">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v>31.4</v>
      </c>
      <c r="Q1771">
        <v>5</v>
      </c>
      <c r="R1771">
        <v>13.188000000000001</v>
      </c>
      <c r="S1771" s="9" t="s">
        <v>83</v>
      </c>
      <c r="T1771" t="s">
        <v>113</v>
      </c>
    </row>
    <row r="1772" spans="1:20" x14ac:dyDescent="0.2">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v>9.48</v>
      </c>
      <c r="Q1772">
        <v>1</v>
      </c>
      <c r="R1772">
        <v>3.7919999999999998</v>
      </c>
      <c r="S1772" s="9" t="s">
        <v>83</v>
      </c>
      <c r="T1772" t="s">
        <v>113</v>
      </c>
    </row>
    <row r="1773" spans="1:20" x14ac:dyDescent="0.2">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v>24.3</v>
      </c>
      <c r="Q1773">
        <v>5</v>
      </c>
      <c r="R1773">
        <v>10.449</v>
      </c>
      <c r="S1773" s="9" t="s">
        <v>83</v>
      </c>
      <c r="T1773" t="s">
        <v>113</v>
      </c>
    </row>
    <row r="1774" spans="1:20" x14ac:dyDescent="0.2">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v>32.448</v>
      </c>
      <c r="Q1774">
        <v>2</v>
      </c>
      <c r="R1774">
        <v>7.3007999999999997</v>
      </c>
      <c r="S1774" s="9" t="s">
        <v>58</v>
      </c>
      <c r="T1774" t="s">
        <v>161</v>
      </c>
    </row>
    <row r="1775" spans="1:20" x14ac:dyDescent="0.2">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v>373.47</v>
      </c>
      <c r="Q1775">
        <v>5</v>
      </c>
      <c r="R1775">
        <v>-112.041</v>
      </c>
      <c r="S1775" s="9" t="s">
        <v>58</v>
      </c>
      <c r="T1775" t="s">
        <v>161</v>
      </c>
    </row>
    <row r="1776" spans="1:20" x14ac:dyDescent="0.2">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v>186.54</v>
      </c>
      <c r="Q1776">
        <v>3</v>
      </c>
      <c r="R1776">
        <v>41.038800000000002</v>
      </c>
      <c r="S1776" s="9" t="s">
        <v>83</v>
      </c>
      <c r="T1776" t="s">
        <v>253</v>
      </c>
    </row>
    <row r="1777" spans="1:20" x14ac:dyDescent="0.2">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v>913.43</v>
      </c>
      <c r="Q1777">
        <v>5</v>
      </c>
      <c r="R1777">
        <v>-169.637</v>
      </c>
      <c r="S1777" s="9" t="s">
        <v>70</v>
      </c>
      <c r="T1777" t="s">
        <v>169</v>
      </c>
    </row>
    <row r="1778" spans="1:20" x14ac:dyDescent="0.2">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v>902.71199999999999</v>
      </c>
      <c r="Q1778">
        <v>3</v>
      </c>
      <c r="R1778">
        <v>33.851700000000001</v>
      </c>
      <c r="S1778" s="9" t="s">
        <v>58</v>
      </c>
      <c r="T1778" t="s">
        <v>59</v>
      </c>
    </row>
    <row r="1779" spans="1:20" x14ac:dyDescent="0.2">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v>120.666</v>
      </c>
      <c r="Q1779">
        <v>2</v>
      </c>
      <c r="R1779">
        <v>21.294</v>
      </c>
      <c r="S1779" s="9" t="s">
        <v>83</v>
      </c>
      <c r="T1779" t="s">
        <v>48</v>
      </c>
    </row>
    <row r="1780" spans="1:20" x14ac:dyDescent="0.2">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v>82.26</v>
      </c>
      <c r="Q1780">
        <v>3</v>
      </c>
      <c r="R1780">
        <v>33.726599999999998</v>
      </c>
      <c r="S1780" s="9" t="s">
        <v>47</v>
      </c>
      <c r="T1780" t="s">
        <v>34</v>
      </c>
    </row>
    <row r="1781" spans="1:20" x14ac:dyDescent="0.2">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v>241.5</v>
      </c>
      <c r="Q1781">
        <v>4</v>
      </c>
      <c r="R1781">
        <v>0</v>
      </c>
      <c r="S1781" s="9" t="s">
        <v>47</v>
      </c>
      <c r="T1781" t="s">
        <v>297</v>
      </c>
    </row>
    <row r="1782" spans="1:20" x14ac:dyDescent="0.2">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v>27.46</v>
      </c>
      <c r="Q1782">
        <v>2</v>
      </c>
      <c r="R1782">
        <v>9.8856000000000002</v>
      </c>
      <c r="S1782" s="9" t="s">
        <v>47</v>
      </c>
      <c r="T1782" t="s">
        <v>96</v>
      </c>
    </row>
    <row r="1783" spans="1:20" x14ac:dyDescent="0.2">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v>111.15</v>
      </c>
      <c r="Q1783">
        <v>5</v>
      </c>
      <c r="R1783">
        <v>48.905999999999999</v>
      </c>
      <c r="S1783" s="9" t="s">
        <v>58</v>
      </c>
      <c r="T1783" t="s">
        <v>96</v>
      </c>
    </row>
    <row r="1784" spans="1:20" x14ac:dyDescent="0.2">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v>366.00900000000001</v>
      </c>
      <c r="Q1784">
        <v>3</v>
      </c>
      <c r="R1784">
        <v>-47.058300000000003</v>
      </c>
      <c r="S1784" s="9" t="s">
        <v>58</v>
      </c>
      <c r="T1784" t="s">
        <v>96</v>
      </c>
    </row>
    <row r="1785" spans="1:20" x14ac:dyDescent="0.2">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v>155.37200000000001</v>
      </c>
      <c r="Q1785">
        <v>2</v>
      </c>
      <c r="R1785">
        <v>-35.513599999999997</v>
      </c>
      <c r="S1785" s="9" t="s">
        <v>58</v>
      </c>
      <c r="T1785" t="s">
        <v>34</v>
      </c>
    </row>
    <row r="1786" spans="1:20" x14ac:dyDescent="0.2">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v>164.64599999999999</v>
      </c>
      <c r="Q1786">
        <v>3</v>
      </c>
      <c r="R1786">
        <v>12.8058</v>
      </c>
      <c r="S1786" s="9" t="s">
        <v>83</v>
      </c>
      <c r="T1786" t="s">
        <v>96</v>
      </c>
    </row>
    <row r="1787" spans="1:20" x14ac:dyDescent="0.2">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v>83.92</v>
      </c>
      <c r="Q1787">
        <v>4</v>
      </c>
      <c r="R1787">
        <v>5.8743999999999996</v>
      </c>
      <c r="S1787" s="9" t="s">
        <v>83</v>
      </c>
      <c r="T1787" t="s">
        <v>71</v>
      </c>
    </row>
    <row r="1788" spans="1:20" x14ac:dyDescent="0.2">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v>39.979999999999997</v>
      </c>
      <c r="Q1788">
        <v>2</v>
      </c>
      <c r="R1788">
        <v>9.1953999999999994</v>
      </c>
      <c r="S1788" s="9" t="s">
        <v>83</v>
      </c>
      <c r="T1788" t="s">
        <v>71</v>
      </c>
    </row>
    <row r="1789" spans="1:20" x14ac:dyDescent="0.2">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v>630.024</v>
      </c>
      <c r="Q1789">
        <v>4</v>
      </c>
      <c r="R1789">
        <v>-199.5076</v>
      </c>
      <c r="S1789" s="9" t="s">
        <v>430</v>
      </c>
      <c r="T1789" t="s">
        <v>34</v>
      </c>
    </row>
    <row r="1790" spans="1:20" x14ac:dyDescent="0.2">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v>933.40800000000002</v>
      </c>
      <c r="Q1790">
        <v>4</v>
      </c>
      <c r="R1790">
        <v>-173.34719999999999</v>
      </c>
      <c r="S1790" s="9" t="s">
        <v>83</v>
      </c>
      <c r="T1790" t="s">
        <v>195</v>
      </c>
    </row>
    <row r="1791" spans="1:20" x14ac:dyDescent="0.2">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v>286.85000000000002</v>
      </c>
      <c r="Q1791">
        <v>1</v>
      </c>
      <c r="R1791">
        <v>63.106999999999999</v>
      </c>
      <c r="S1791" s="9" t="s">
        <v>70</v>
      </c>
      <c r="T1791" t="s">
        <v>161</v>
      </c>
    </row>
    <row r="1792" spans="1:20" x14ac:dyDescent="0.2">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v>40.479999999999997</v>
      </c>
      <c r="Q1792">
        <v>2</v>
      </c>
      <c r="R1792">
        <v>17.406400000000001</v>
      </c>
      <c r="S1792" s="9" t="s">
        <v>83</v>
      </c>
      <c r="T1792" t="s">
        <v>48</v>
      </c>
    </row>
    <row r="1793" spans="1:20" x14ac:dyDescent="0.2">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v>2154.9</v>
      </c>
      <c r="Q1793">
        <v>5</v>
      </c>
      <c r="R1793">
        <v>129.29400000000001</v>
      </c>
      <c r="S1793" s="9" t="s">
        <v>83</v>
      </c>
      <c r="T1793" t="s">
        <v>48</v>
      </c>
    </row>
    <row r="1794" spans="1:20" x14ac:dyDescent="0.2">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v>303.92</v>
      </c>
      <c r="Q1794">
        <v>5</v>
      </c>
      <c r="R1794">
        <v>-30.391999999999999</v>
      </c>
      <c r="S1794" s="9" t="s">
        <v>70</v>
      </c>
      <c r="T1794" t="s">
        <v>96</v>
      </c>
    </row>
    <row r="1795" spans="1:20" x14ac:dyDescent="0.2">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v>274.2</v>
      </c>
      <c r="Q1795">
        <v>10</v>
      </c>
      <c r="R1795">
        <v>112.422</v>
      </c>
      <c r="S1795" s="9" t="s">
        <v>58</v>
      </c>
      <c r="T1795" t="s">
        <v>34</v>
      </c>
    </row>
    <row r="1796" spans="1:20" x14ac:dyDescent="0.2">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v>9.9600000000000009</v>
      </c>
      <c r="Q1796">
        <v>5</v>
      </c>
      <c r="R1796">
        <v>-6.7229999999999999</v>
      </c>
      <c r="S1796" s="9" t="s">
        <v>83</v>
      </c>
      <c r="T1796" t="s">
        <v>77</v>
      </c>
    </row>
    <row r="1797" spans="1:20" x14ac:dyDescent="0.2">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v>240.744</v>
      </c>
      <c r="Q1797">
        <v>4</v>
      </c>
      <c r="R1797">
        <v>-13.7568</v>
      </c>
      <c r="S1797" s="9" t="s">
        <v>123</v>
      </c>
      <c r="T1797" t="s">
        <v>48</v>
      </c>
    </row>
    <row r="1798" spans="1:20" x14ac:dyDescent="0.2">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v>35</v>
      </c>
      <c r="Q1798">
        <v>4</v>
      </c>
      <c r="R1798">
        <v>14.7</v>
      </c>
      <c r="S1798" s="9" t="s">
        <v>123</v>
      </c>
      <c r="T1798" t="s">
        <v>48</v>
      </c>
    </row>
    <row r="1799" spans="1:20" x14ac:dyDescent="0.2">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v>210.68</v>
      </c>
      <c r="Q1799">
        <v>2</v>
      </c>
      <c r="R1799">
        <v>50.563200000000002</v>
      </c>
      <c r="S1799" s="9" t="s">
        <v>123</v>
      </c>
      <c r="T1799" t="s">
        <v>48</v>
      </c>
    </row>
    <row r="1800" spans="1:20" x14ac:dyDescent="0.2">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v>637.89599999999996</v>
      </c>
      <c r="Q1800">
        <v>3</v>
      </c>
      <c r="R1800">
        <v>-127.5792</v>
      </c>
      <c r="S1800" s="9" t="s">
        <v>123</v>
      </c>
      <c r="T1800" t="s">
        <v>48</v>
      </c>
    </row>
    <row r="1801" spans="1:20" x14ac:dyDescent="0.2">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v>344.37200000000001</v>
      </c>
      <c r="Q1801">
        <v>4</v>
      </c>
      <c r="R1801">
        <v>-93.472399999999993</v>
      </c>
      <c r="S1801" s="9" t="s">
        <v>58</v>
      </c>
      <c r="T1801" t="s">
        <v>113</v>
      </c>
    </row>
    <row r="1802" spans="1:20" x14ac:dyDescent="0.2">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v>127.88</v>
      </c>
      <c r="Q1802">
        <v>5</v>
      </c>
      <c r="R1802">
        <v>-67.137</v>
      </c>
      <c r="S1802" s="9" t="s">
        <v>58</v>
      </c>
      <c r="T1802" t="s">
        <v>113</v>
      </c>
    </row>
    <row r="1803" spans="1:20" x14ac:dyDescent="0.2">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v>106.869</v>
      </c>
      <c r="Q1803">
        <v>3</v>
      </c>
      <c r="R1803">
        <v>-29.007300000000001</v>
      </c>
      <c r="S1803" s="9" t="s">
        <v>58</v>
      </c>
      <c r="T1803" t="s">
        <v>161</v>
      </c>
    </row>
    <row r="1804" spans="1:20" x14ac:dyDescent="0.2">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v>2678.94</v>
      </c>
      <c r="Q1804">
        <v>6</v>
      </c>
      <c r="R1804">
        <v>241.1046</v>
      </c>
      <c r="S1804" s="9" t="s">
        <v>129</v>
      </c>
      <c r="T1804" t="s">
        <v>34</v>
      </c>
    </row>
    <row r="1805" spans="1:20" x14ac:dyDescent="0.2">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v>387.13600000000002</v>
      </c>
      <c r="Q1805">
        <v>4</v>
      </c>
      <c r="R1805">
        <v>-14.5176</v>
      </c>
      <c r="S1805" s="9" t="s">
        <v>83</v>
      </c>
      <c r="T1805" t="s">
        <v>113</v>
      </c>
    </row>
    <row r="1806" spans="1:20" x14ac:dyDescent="0.2">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v>77.951999999999998</v>
      </c>
      <c r="Q1806">
        <v>3</v>
      </c>
      <c r="R1806">
        <v>-11.6928</v>
      </c>
      <c r="S1806" s="9" t="s">
        <v>83</v>
      </c>
      <c r="T1806" t="s">
        <v>113</v>
      </c>
    </row>
    <row r="1807" spans="1:20" x14ac:dyDescent="0.2">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v>199.8</v>
      </c>
      <c r="Q1807">
        <v>10</v>
      </c>
      <c r="R1807">
        <v>71.927999999999997</v>
      </c>
      <c r="S1807" s="9" t="s">
        <v>430</v>
      </c>
      <c r="T1807" t="s">
        <v>77</v>
      </c>
    </row>
    <row r="1808" spans="1:20" x14ac:dyDescent="0.2">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v>18.690000000000001</v>
      </c>
      <c r="Q1808">
        <v>7</v>
      </c>
      <c r="R1808">
        <v>7.1021999999999998</v>
      </c>
      <c r="S1808" s="9" t="s">
        <v>70</v>
      </c>
      <c r="T1808" t="s">
        <v>297</v>
      </c>
    </row>
    <row r="1809" spans="1:20" x14ac:dyDescent="0.2">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v>184.75200000000001</v>
      </c>
      <c r="Q1809">
        <v>3</v>
      </c>
      <c r="R1809">
        <v>-20.784600000000001</v>
      </c>
      <c r="S1809" s="9" t="s">
        <v>70</v>
      </c>
      <c r="T1809" t="s">
        <v>195</v>
      </c>
    </row>
    <row r="1810" spans="1:20" x14ac:dyDescent="0.2">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v>366.74400000000003</v>
      </c>
      <c r="Q1810">
        <v>4</v>
      </c>
      <c r="R1810">
        <v>-110.0232</v>
      </c>
      <c r="S1810" s="9" t="s">
        <v>83</v>
      </c>
      <c r="T1810" t="s">
        <v>161</v>
      </c>
    </row>
    <row r="1811" spans="1:20" x14ac:dyDescent="0.2">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v>73.784000000000006</v>
      </c>
      <c r="Q1811">
        <v>2</v>
      </c>
      <c r="R1811">
        <v>-77.473200000000006</v>
      </c>
      <c r="S1811" s="9" t="s">
        <v>129</v>
      </c>
      <c r="T1811" t="s">
        <v>297</v>
      </c>
    </row>
    <row r="1812" spans="1:20" x14ac:dyDescent="0.2">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v>30.335999999999999</v>
      </c>
      <c r="Q1812">
        <v>6</v>
      </c>
      <c r="R1812">
        <v>-17.443200000000001</v>
      </c>
      <c r="S1812" s="9" t="s">
        <v>33</v>
      </c>
      <c r="T1812" t="s">
        <v>59</v>
      </c>
    </row>
    <row r="1813" spans="1:20" x14ac:dyDescent="0.2">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v>12.99</v>
      </c>
      <c r="Q1813">
        <v>1</v>
      </c>
      <c r="R1813">
        <v>1.5588</v>
      </c>
      <c r="S1813" s="9" t="s">
        <v>129</v>
      </c>
      <c r="T1813" t="s">
        <v>96</v>
      </c>
    </row>
    <row r="1814" spans="1:20" x14ac:dyDescent="0.2">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v>182.22</v>
      </c>
      <c r="Q1814">
        <v>3</v>
      </c>
      <c r="R1814">
        <v>45.555</v>
      </c>
      <c r="S1814" s="9" t="s">
        <v>129</v>
      </c>
      <c r="T1814" t="s">
        <v>96</v>
      </c>
    </row>
    <row r="1815" spans="1:20" x14ac:dyDescent="0.2">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v>302.94</v>
      </c>
      <c r="Q1815">
        <v>3</v>
      </c>
      <c r="R1815">
        <v>18.176400000000001</v>
      </c>
      <c r="S1815" s="9" t="s">
        <v>129</v>
      </c>
      <c r="T1815" t="s">
        <v>96</v>
      </c>
    </row>
    <row r="1816" spans="1:20" x14ac:dyDescent="0.2">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v>54.991999999999997</v>
      </c>
      <c r="Q1816">
        <v>14</v>
      </c>
      <c r="R1816">
        <v>8.9361999999999995</v>
      </c>
      <c r="S1816" s="9" t="s">
        <v>83</v>
      </c>
      <c r="T1816" t="s">
        <v>169</v>
      </c>
    </row>
    <row r="1817" spans="1:20" x14ac:dyDescent="0.2">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v>51.264000000000003</v>
      </c>
      <c r="Q1817">
        <v>6</v>
      </c>
      <c r="R1817">
        <v>7.6896000000000004</v>
      </c>
      <c r="S1817" s="9" t="s">
        <v>430</v>
      </c>
      <c r="T1817" t="s">
        <v>195</v>
      </c>
    </row>
    <row r="1818" spans="1:20" x14ac:dyDescent="0.2">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v>241.42400000000001</v>
      </c>
      <c r="Q1818">
        <v>2</v>
      </c>
      <c r="R1818">
        <v>-36.2136</v>
      </c>
      <c r="S1818" s="9" t="s">
        <v>47</v>
      </c>
      <c r="T1818" t="s">
        <v>34</v>
      </c>
    </row>
    <row r="1819" spans="1:20" x14ac:dyDescent="0.2">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v>389.97</v>
      </c>
      <c r="Q1819">
        <v>3</v>
      </c>
      <c r="R1819">
        <v>35.097299999999997</v>
      </c>
      <c r="S1819" s="9" t="s">
        <v>129</v>
      </c>
      <c r="T1819" t="s">
        <v>34</v>
      </c>
    </row>
    <row r="1820" spans="1:20" x14ac:dyDescent="0.2">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v>422.625</v>
      </c>
      <c r="Q1820">
        <v>7</v>
      </c>
      <c r="R1820">
        <v>0</v>
      </c>
      <c r="S1820" s="9" t="s">
        <v>123</v>
      </c>
      <c r="T1820" t="s">
        <v>96</v>
      </c>
    </row>
    <row r="1821" spans="1:20" x14ac:dyDescent="0.2">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v>20.239999999999998</v>
      </c>
      <c r="Q1821">
        <v>1</v>
      </c>
      <c r="R1821">
        <v>8.7032000000000007</v>
      </c>
      <c r="S1821" s="9" t="s">
        <v>83</v>
      </c>
      <c r="T1821" t="s">
        <v>195</v>
      </c>
    </row>
    <row r="1822" spans="1:20" x14ac:dyDescent="0.2">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v>39.92</v>
      </c>
      <c r="Q1822">
        <v>4</v>
      </c>
      <c r="R1822">
        <v>11.1776</v>
      </c>
      <c r="S1822" s="9" t="s">
        <v>83</v>
      </c>
      <c r="T1822" t="s">
        <v>195</v>
      </c>
    </row>
    <row r="1823" spans="1:20" x14ac:dyDescent="0.2">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v>24.64</v>
      </c>
      <c r="Q1823">
        <v>4</v>
      </c>
      <c r="R1823">
        <v>4.0039999999999996</v>
      </c>
      <c r="S1823" s="9" t="s">
        <v>123</v>
      </c>
      <c r="T1823" t="s">
        <v>77</v>
      </c>
    </row>
    <row r="1824" spans="1:20" x14ac:dyDescent="0.2">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v>1056.8599999999999</v>
      </c>
      <c r="Q1824">
        <v>7</v>
      </c>
      <c r="R1824">
        <v>158.529</v>
      </c>
      <c r="S1824" s="9" t="s">
        <v>70</v>
      </c>
      <c r="T1824" t="s">
        <v>96</v>
      </c>
    </row>
    <row r="1825" spans="1:20" x14ac:dyDescent="0.2">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v>2.3279999999999998</v>
      </c>
      <c r="Q1825">
        <v>2</v>
      </c>
      <c r="R1825">
        <v>-0.75660000000000005</v>
      </c>
      <c r="S1825" s="9" t="s">
        <v>33</v>
      </c>
      <c r="T1825" t="s">
        <v>96</v>
      </c>
    </row>
    <row r="1826" spans="1:20" x14ac:dyDescent="0.2">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v>1454.9</v>
      </c>
      <c r="Q1826">
        <v>5</v>
      </c>
      <c r="R1826">
        <v>378.274</v>
      </c>
      <c r="S1826" s="9" t="s">
        <v>83</v>
      </c>
      <c r="T1826" t="s">
        <v>113</v>
      </c>
    </row>
    <row r="1827" spans="1:20" x14ac:dyDescent="0.2">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v>220.70400000000001</v>
      </c>
      <c r="Q1827">
        <v>6</v>
      </c>
      <c r="R1827">
        <v>-8.2764000000000006</v>
      </c>
      <c r="S1827" s="9" t="s">
        <v>83</v>
      </c>
      <c r="T1827" t="s">
        <v>113</v>
      </c>
    </row>
    <row r="1828" spans="1:20" x14ac:dyDescent="0.2">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v>102.3</v>
      </c>
      <c r="Q1828">
        <v>1</v>
      </c>
      <c r="R1828">
        <v>26.597999999999999</v>
      </c>
      <c r="S1828" s="9" t="s">
        <v>123</v>
      </c>
      <c r="T1828" t="s">
        <v>71</v>
      </c>
    </row>
    <row r="1829" spans="1:20" x14ac:dyDescent="0.2">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v>607.52</v>
      </c>
      <c r="Q1829">
        <v>2</v>
      </c>
      <c r="R1829">
        <v>97.203199999999995</v>
      </c>
      <c r="S1829" s="9" t="s">
        <v>83</v>
      </c>
      <c r="T1829" t="s">
        <v>96</v>
      </c>
    </row>
    <row r="1830" spans="1:20" x14ac:dyDescent="0.2">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v>10.332000000000001</v>
      </c>
      <c r="Q1830">
        <v>3</v>
      </c>
      <c r="R1830">
        <v>-5.9409000000000001</v>
      </c>
      <c r="S1830" s="9" t="s">
        <v>70</v>
      </c>
      <c r="T1830" t="s">
        <v>161</v>
      </c>
    </row>
    <row r="1831" spans="1:20" x14ac:dyDescent="0.2">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v>11.664</v>
      </c>
      <c r="Q1831">
        <v>3</v>
      </c>
      <c r="R1831">
        <v>3.3534000000000002</v>
      </c>
      <c r="S1831" s="9" t="s">
        <v>33</v>
      </c>
      <c r="T1831" t="s">
        <v>113</v>
      </c>
    </row>
    <row r="1832" spans="1:20" x14ac:dyDescent="0.2">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v>56.96</v>
      </c>
      <c r="Q1832">
        <v>2</v>
      </c>
      <c r="R1832">
        <v>21.075199999999999</v>
      </c>
      <c r="S1832" s="9" t="s">
        <v>58</v>
      </c>
      <c r="T1832" t="s">
        <v>59</v>
      </c>
    </row>
    <row r="1833" spans="1:20" x14ac:dyDescent="0.2">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v>353.56799999999998</v>
      </c>
      <c r="Q1833">
        <v>2</v>
      </c>
      <c r="R1833">
        <v>-44.195999999999998</v>
      </c>
      <c r="S1833" s="9" t="s">
        <v>58</v>
      </c>
      <c r="T1833" t="s">
        <v>59</v>
      </c>
    </row>
    <row r="1834" spans="1:20" x14ac:dyDescent="0.2">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v>13.96</v>
      </c>
      <c r="Q1834">
        <v>2</v>
      </c>
      <c r="R1834">
        <v>6.7008000000000001</v>
      </c>
      <c r="S1834" s="9" t="s">
        <v>58</v>
      </c>
      <c r="T1834" t="s">
        <v>59</v>
      </c>
    </row>
    <row r="1835" spans="1:20" x14ac:dyDescent="0.2">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v>399.67200000000003</v>
      </c>
      <c r="Q1835">
        <v>7</v>
      </c>
      <c r="R1835">
        <v>-14.9877</v>
      </c>
      <c r="S1835" s="9" t="s">
        <v>58</v>
      </c>
      <c r="T1835" t="s">
        <v>195</v>
      </c>
    </row>
    <row r="1836" spans="1:20" x14ac:dyDescent="0.2">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v>30.56</v>
      </c>
      <c r="Q1836">
        <v>5</v>
      </c>
      <c r="R1836">
        <v>-19.864000000000001</v>
      </c>
      <c r="S1836" s="9" t="s">
        <v>33</v>
      </c>
      <c r="T1836" t="s">
        <v>34</v>
      </c>
    </row>
    <row r="1837" spans="1:20" x14ac:dyDescent="0.2">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v>481.17599999999999</v>
      </c>
      <c r="Q1837">
        <v>2</v>
      </c>
      <c r="R1837">
        <v>-120.294</v>
      </c>
      <c r="S1837" s="9" t="s">
        <v>58</v>
      </c>
      <c r="T1837" t="s">
        <v>77</v>
      </c>
    </row>
    <row r="1838" spans="1:20" x14ac:dyDescent="0.2">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v>177.45</v>
      </c>
      <c r="Q1838">
        <v>5</v>
      </c>
      <c r="R1838">
        <v>-78.078000000000003</v>
      </c>
      <c r="S1838" s="9" t="s">
        <v>123</v>
      </c>
      <c r="T1838" t="s">
        <v>71</v>
      </c>
    </row>
    <row r="1839" spans="1:20" x14ac:dyDescent="0.2">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v>130.97999999999999</v>
      </c>
      <c r="Q1839">
        <v>2</v>
      </c>
      <c r="R1839">
        <v>-89.066400000000002</v>
      </c>
      <c r="S1839" s="9" t="s">
        <v>83</v>
      </c>
      <c r="T1839" t="s">
        <v>253</v>
      </c>
    </row>
    <row r="1840" spans="1:20" x14ac:dyDescent="0.2">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v>139.58000000000001</v>
      </c>
      <c r="Q1840">
        <v>7</v>
      </c>
      <c r="R1840">
        <v>39.0824</v>
      </c>
      <c r="S1840" s="9" t="s">
        <v>58</v>
      </c>
      <c r="T1840" t="s">
        <v>113</v>
      </c>
    </row>
    <row r="1841" spans="1:20" x14ac:dyDescent="0.2">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v>4.7119999999999997</v>
      </c>
      <c r="Q1841">
        <v>1</v>
      </c>
      <c r="R1841">
        <v>1.4136</v>
      </c>
      <c r="S1841" s="9" t="s">
        <v>47</v>
      </c>
      <c r="T1841" t="s">
        <v>34</v>
      </c>
    </row>
    <row r="1842" spans="1:20" x14ac:dyDescent="0.2">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v>194.352</v>
      </c>
      <c r="Q1842">
        <v>3</v>
      </c>
      <c r="R1842">
        <v>19.435199999999998</v>
      </c>
      <c r="S1842" s="9" t="s">
        <v>83</v>
      </c>
      <c r="T1842" t="s">
        <v>34</v>
      </c>
    </row>
    <row r="1843" spans="1:20" x14ac:dyDescent="0.2">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v>97.424000000000007</v>
      </c>
      <c r="Q1843">
        <v>2</v>
      </c>
      <c r="R1843">
        <v>10.9602</v>
      </c>
      <c r="S1843" s="9" t="s">
        <v>33</v>
      </c>
      <c r="T1843" t="s">
        <v>96</v>
      </c>
    </row>
    <row r="1844" spans="1:20" x14ac:dyDescent="0.2">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v>14.19</v>
      </c>
      <c r="Q1844">
        <v>3</v>
      </c>
      <c r="R1844">
        <v>5.5340999999999996</v>
      </c>
      <c r="S1844" s="9" t="s">
        <v>430</v>
      </c>
      <c r="T1844" t="s">
        <v>77</v>
      </c>
    </row>
    <row r="1845" spans="1:20" x14ac:dyDescent="0.2">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v>723.92</v>
      </c>
      <c r="Q1845">
        <v>5</v>
      </c>
      <c r="R1845">
        <v>-81.441000000000003</v>
      </c>
      <c r="S1845" s="9" t="s">
        <v>58</v>
      </c>
      <c r="T1845" t="s">
        <v>34</v>
      </c>
    </row>
    <row r="1846" spans="1:20" x14ac:dyDescent="0.2">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v>21.968</v>
      </c>
      <c r="Q1846">
        <v>4</v>
      </c>
      <c r="R1846">
        <v>-15.9268</v>
      </c>
      <c r="S1846" s="9" t="s">
        <v>58</v>
      </c>
      <c r="T1846" t="s">
        <v>161</v>
      </c>
    </row>
    <row r="1847" spans="1:20" x14ac:dyDescent="0.2">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v>94.2</v>
      </c>
      <c r="Q1847">
        <v>5</v>
      </c>
      <c r="R1847">
        <v>39.564</v>
      </c>
      <c r="S1847" s="9" t="s">
        <v>70</v>
      </c>
      <c r="T1847" t="s">
        <v>195</v>
      </c>
    </row>
    <row r="1848" spans="1:20" x14ac:dyDescent="0.2">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v>182.352</v>
      </c>
      <c r="Q1848">
        <v>3</v>
      </c>
      <c r="R1848">
        <v>-18.235199999999999</v>
      </c>
      <c r="S1848" s="9" t="s">
        <v>58</v>
      </c>
      <c r="T1848" t="s">
        <v>96</v>
      </c>
    </row>
    <row r="1849" spans="1:20" x14ac:dyDescent="0.2">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v>600.55799999999999</v>
      </c>
      <c r="Q1849">
        <v>3</v>
      </c>
      <c r="R1849">
        <v>-8.5793999999999997</v>
      </c>
      <c r="S1849" s="9" t="s">
        <v>58</v>
      </c>
      <c r="T1849" t="s">
        <v>297</v>
      </c>
    </row>
    <row r="1850" spans="1:20" x14ac:dyDescent="0.2">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v>7.6920000000000002</v>
      </c>
      <c r="Q1850">
        <v>1</v>
      </c>
      <c r="R1850">
        <v>-3.6537000000000002</v>
      </c>
      <c r="S1850" s="9" t="s">
        <v>58</v>
      </c>
      <c r="T1850" t="s">
        <v>297</v>
      </c>
    </row>
    <row r="1851" spans="1:20" x14ac:dyDescent="0.2">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v>517.40499999999997</v>
      </c>
      <c r="Q1851">
        <v>5</v>
      </c>
      <c r="R1851">
        <v>-81.3065</v>
      </c>
      <c r="S1851" s="9" t="s">
        <v>70</v>
      </c>
      <c r="T1851" t="s">
        <v>48</v>
      </c>
    </row>
    <row r="1852" spans="1:20" x14ac:dyDescent="0.2">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v>300.904</v>
      </c>
      <c r="Q1852">
        <v>1</v>
      </c>
      <c r="R1852">
        <v>11.283899999999999</v>
      </c>
      <c r="S1852" s="9" t="s">
        <v>70</v>
      </c>
      <c r="T1852" t="s">
        <v>77</v>
      </c>
    </row>
    <row r="1853" spans="1:20" x14ac:dyDescent="0.2">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v>31.167999999999999</v>
      </c>
      <c r="Q1853">
        <v>4</v>
      </c>
      <c r="R1853">
        <v>9.3504000000000005</v>
      </c>
      <c r="S1853" s="9" t="s">
        <v>58</v>
      </c>
      <c r="T1853" t="s">
        <v>59</v>
      </c>
    </row>
    <row r="1854" spans="1:20" x14ac:dyDescent="0.2">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v>120.96</v>
      </c>
      <c r="Q1854">
        <v>2</v>
      </c>
      <c r="R1854">
        <v>-28.224</v>
      </c>
      <c r="S1854" s="9" t="s">
        <v>58</v>
      </c>
      <c r="T1854" t="s">
        <v>59</v>
      </c>
    </row>
    <row r="1855" spans="1:20" x14ac:dyDescent="0.2">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v>172.76400000000001</v>
      </c>
      <c r="Q1855">
        <v>2</v>
      </c>
      <c r="R1855">
        <v>13.437200000000001</v>
      </c>
      <c r="S1855" s="9" t="s">
        <v>58</v>
      </c>
      <c r="T1855" t="s">
        <v>77</v>
      </c>
    </row>
    <row r="1856" spans="1:20" x14ac:dyDescent="0.2">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v>305.97449999999998</v>
      </c>
      <c r="Q1856">
        <v>3</v>
      </c>
      <c r="R1856">
        <v>25.197900000000001</v>
      </c>
      <c r="S1856" s="9" t="s">
        <v>70</v>
      </c>
      <c r="T1856" t="s">
        <v>34</v>
      </c>
    </row>
    <row r="1857" spans="1:20" x14ac:dyDescent="0.2">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v>626.35199999999998</v>
      </c>
      <c r="Q1857">
        <v>3</v>
      </c>
      <c r="R1857">
        <v>-23.488199999999999</v>
      </c>
      <c r="S1857" s="9" t="s">
        <v>83</v>
      </c>
      <c r="T1857" t="s">
        <v>195</v>
      </c>
    </row>
    <row r="1858" spans="1:20" x14ac:dyDescent="0.2">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v>359.49900000000002</v>
      </c>
      <c r="Q1858">
        <v>3</v>
      </c>
      <c r="R1858">
        <v>-29.605799999999999</v>
      </c>
      <c r="S1858" s="9" t="s">
        <v>83</v>
      </c>
      <c r="T1858" t="s">
        <v>96</v>
      </c>
    </row>
    <row r="1859" spans="1:20" x14ac:dyDescent="0.2">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v>6.984</v>
      </c>
      <c r="Q1859">
        <v>2</v>
      </c>
      <c r="R1859">
        <v>-4.5396000000000001</v>
      </c>
      <c r="S1859" s="9" t="s">
        <v>83</v>
      </c>
      <c r="T1859" t="s">
        <v>59</v>
      </c>
    </row>
    <row r="1860" spans="1:20" x14ac:dyDescent="0.2">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v>379.37200000000001</v>
      </c>
      <c r="Q1860">
        <v>2</v>
      </c>
      <c r="R1860">
        <v>-119.2312</v>
      </c>
      <c r="S1860" s="9" t="s">
        <v>83</v>
      </c>
      <c r="T1860" t="s">
        <v>59</v>
      </c>
    </row>
    <row r="1861" spans="1:20" x14ac:dyDescent="0.2">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v>53.351999999999997</v>
      </c>
      <c r="Q1861">
        <v>3</v>
      </c>
      <c r="R1861">
        <v>16.005600000000001</v>
      </c>
      <c r="S1861" s="9" t="s">
        <v>83</v>
      </c>
      <c r="T1861" t="s">
        <v>96</v>
      </c>
    </row>
    <row r="1862" spans="1:20" x14ac:dyDescent="0.2">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v>131.10400000000001</v>
      </c>
      <c r="Q1862">
        <v>2</v>
      </c>
      <c r="R1862">
        <v>8.1940000000000008</v>
      </c>
      <c r="S1862" s="9" t="s">
        <v>83</v>
      </c>
      <c r="T1862" t="s">
        <v>96</v>
      </c>
    </row>
    <row r="1863" spans="1:20" x14ac:dyDescent="0.2">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v>126.3</v>
      </c>
      <c r="Q1863">
        <v>3</v>
      </c>
      <c r="R1863">
        <v>40.415999999999997</v>
      </c>
      <c r="S1863" s="9" t="s">
        <v>70</v>
      </c>
      <c r="T1863" t="s">
        <v>59</v>
      </c>
    </row>
    <row r="1864" spans="1:20" x14ac:dyDescent="0.2">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v>11.032</v>
      </c>
      <c r="Q1864">
        <v>1</v>
      </c>
      <c r="R1864">
        <v>3.0337999999999998</v>
      </c>
      <c r="S1864" s="9" t="s">
        <v>70</v>
      </c>
      <c r="T1864" t="s">
        <v>48</v>
      </c>
    </row>
    <row r="1865" spans="1:20" x14ac:dyDescent="0.2">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v>210.58</v>
      </c>
      <c r="Q1865">
        <v>2</v>
      </c>
      <c r="R1865">
        <v>12.6348</v>
      </c>
      <c r="S1865" s="9" t="s">
        <v>58</v>
      </c>
      <c r="T1865" t="s">
        <v>297</v>
      </c>
    </row>
    <row r="1866" spans="1:20" x14ac:dyDescent="0.2">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v>27.42</v>
      </c>
      <c r="Q1866">
        <v>3</v>
      </c>
      <c r="R1866">
        <v>9.3228000000000009</v>
      </c>
      <c r="S1866" s="9" t="s">
        <v>83</v>
      </c>
      <c r="T1866" t="s">
        <v>71</v>
      </c>
    </row>
    <row r="1867" spans="1:20" x14ac:dyDescent="0.2">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v>83.135999999999996</v>
      </c>
      <c r="Q1867">
        <v>4</v>
      </c>
      <c r="R1867">
        <v>5.1959999999999997</v>
      </c>
      <c r="S1867" s="9" t="s">
        <v>123</v>
      </c>
      <c r="T1867" t="s">
        <v>77</v>
      </c>
    </row>
    <row r="1868" spans="1:20" x14ac:dyDescent="0.2">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v>528.42999999999995</v>
      </c>
      <c r="Q1868">
        <v>5</v>
      </c>
      <c r="R1868">
        <v>0</v>
      </c>
      <c r="S1868" s="9" t="s">
        <v>123</v>
      </c>
      <c r="T1868" t="s">
        <v>71</v>
      </c>
    </row>
    <row r="1869" spans="1:20" x14ac:dyDescent="0.2">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v>287.976</v>
      </c>
      <c r="Q1869">
        <v>3</v>
      </c>
      <c r="R1869">
        <v>7.1993999999999998</v>
      </c>
      <c r="S1869" s="9" t="s">
        <v>58</v>
      </c>
      <c r="T1869" t="s">
        <v>96</v>
      </c>
    </row>
    <row r="1870" spans="1:20" x14ac:dyDescent="0.2">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v>1227.9983999999999</v>
      </c>
      <c r="Q1870">
        <v>6</v>
      </c>
      <c r="R1870">
        <v>-36.117600000000003</v>
      </c>
      <c r="S1870" s="9" t="s">
        <v>33</v>
      </c>
      <c r="T1870" t="s">
        <v>195</v>
      </c>
    </row>
    <row r="1871" spans="1:20" x14ac:dyDescent="0.2">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v>1128.3900000000001</v>
      </c>
      <c r="Q1871">
        <v>3</v>
      </c>
      <c r="R1871">
        <v>259.52969999999999</v>
      </c>
      <c r="S1871" s="9" t="s">
        <v>58</v>
      </c>
      <c r="T1871" t="s">
        <v>77</v>
      </c>
    </row>
    <row r="1872" spans="1:20" x14ac:dyDescent="0.2">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v>698.35199999999998</v>
      </c>
      <c r="Q1872">
        <v>3</v>
      </c>
      <c r="R1872">
        <v>52.376399999999997</v>
      </c>
      <c r="S1872" s="9" t="s">
        <v>83</v>
      </c>
      <c r="T1872" t="s">
        <v>59</v>
      </c>
    </row>
    <row r="1873" spans="1:20" x14ac:dyDescent="0.2">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v>77.727999999999994</v>
      </c>
      <c r="Q1873">
        <v>2</v>
      </c>
      <c r="R1873">
        <v>-3.8864000000000001</v>
      </c>
      <c r="S1873" s="9" t="s">
        <v>83</v>
      </c>
      <c r="T1873" t="s">
        <v>59</v>
      </c>
    </row>
    <row r="1874" spans="1:20" x14ac:dyDescent="0.2">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v>341.96</v>
      </c>
      <c r="Q1874">
        <v>2</v>
      </c>
      <c r="R1874">
        <v>54.7136</v>
      </c>
      <c r="S1874" s="9" t="s">
        <v>70</v>
      </c>
      <c r="T1874" t="s">
        <v>34</v>
      </c>
    </row>
    <row r="1875" spans="1:20" x14ac:dyDescent="0.2">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v>40.479999999999997</v>
      </c>
      <c r="Q1875">
        <v>2</v>
      </c>
      <c r="R1875">
        <v>14.572800000000001</v>
      </c>
      <c r="S1875" s="9" t="s">
        <v>83</v>
      </c>
      <c r="T1875" t="s">
        <v>77</v>
      </c>
    </row>
    <row r="1876" spans="1:20" x14ac:dyDescent="0.2">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v>266.35199999999998</v>
      </c>
      <c r="Q1876">
        <v>3</v>
      </c>
      <c r="R1876">
        <v>13.317600000000001</v>
      </c>
      <c r="S1876" s="9" t="s">
        <v>58</v>
      </c>
      <c r="T1876" t="s">
        <v>71</v>
      </c>
    </row>
    <row r="1877" spans="1:20" x14ac:dyDescent="0.2">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v>39.96</v>
      </c>
      <c r="Q1877">
        <v>2</v>
      </c>
      <c r="R1877">
        <v>14.3856</v>
      </c>
      <c r="S1877" s="9" t="s">
        <v>83</v>
      </c>
      <c r="T1877" t="s">
        <v>34</v>
      </c>
    </row>
    <row r="1878" spans="1:20" x14ac:dyDescent="0.2">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v>159.84</v>
      </c>
      <c r="Q1878">
        <v>10</v>
      </c>
      <c r="R1878">
        <v>45.954000000000001</v>
      </c>
      <c r="S1878" s="9" t="s">
        <v>70</v>
      </c>
      <c r="T1878" t="s">
        <v>71</v>
      </c>
    </row>
    <row r="1879" spans="1:20" x14ac:dyDescent="0.2">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v>8.92</v>
      </c>
      <c r="Q1879">
        <v>4</v>
      </c>
      <c r="R1879">
        <v>3.9247999999999998</v>
      </c>
      <c r="S1879" s="9" t="s">
        <v>47</v>
      </c>
      <c r="T1879" t="s">
        <v>77</v>
      </c>
    </row>
    <row r="1880" spans="1:20" x14ac:dyDescent="0.2">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v>493.43</v>
      </c>
      <c r="Q1880">
        <v>5</v>
      </c>
      <c r="R1880">
        <v>-70.489999999999995</v>
      </c>
      <c r="S1880" s="9" t="s">
        <v>33</v>
      </c>
      <c r="T1880" t="s">
        <v>77</v>
      </c>
    </row>
    <row r="1881" spans="1:20" x14ac:dyDescent="0.2">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v>70.680000000000007</v>
      </c>
      <c r="Q1881">
        <v>12</v>
      </c>
      <c r="R1881">
        <v>31.0992</v>
      </c>
      <c r="S1881" s="9" t="s">
        <v>58</v>
      </c>
      <c r="T1881" t="s">
        <v>96</v>
      </c>
    </row>
    <row r="1882" spans="1:20" x14ac:dyDescent="0.2">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v>629.64</v>
      </c>
      <c r="Q1882">
        <v>9</v>
      </c>
      <c r="R1882">
        <v>107.03879999999999</v>
      </c>
      <c r="S1882" s="9" t="s">
        <v>129</v>
      </c>
      <c r="T1882" t="s">
        <v>96</v>
      </c>
    </row>
    <row r="1883" spans="1:20" x14ac:dyDescent="0.2">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v>121.78</v>
      </c>
      <c r="Q1883">
        <v>2</v>
      </c>
      <c r="R1883">
        <v>30.445</v>
      </c>
      <c r="S1883" s="9" t="s">
        <v>70</v>
      </c>
      <c r="T1883" t="s">
        <v>77</v>
      </c>
    </row>
    <row r="1884" spans="1:20" x14ac:dyDescent="0.2">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v>2676.672</v>
      </c>
      <c r="Q1884">
        <v>9</v>
      </c>
      <c r="R1884">
        <v>267.66719999999998</v>
      </c>
      <c r="S1884" s="9" t="s">
        <v>58</v>
      </c>
      <c r="T1884" t="s">
        <v>96</v>
      </c>
    </row>
    <row r="1885" spans="1:20" x14ac:dyDescent="0.2">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v>489.23</v>
      </c>
      <c r="Q1885">
        <v>2</v>
      </c>
      <c r="R1885">
        <v>41.933999999999997</v>
      </c>
      <c r="S1885" s="9" t="s">
        <v>47</v>
      </c>
      <c r="T1885" t="s">
        <v>253</v>
      </c>
    </row>
    <row r="1886" spans="1:20" x14ac:dyDescent="0.2">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v>312.02999999999997</v>
      </c>
      <c r="Q1886">
        <v>3</v>
      </c>
      <c r="R1886">
        <v>43.684199999999997</v>
      </c>
      <c r="S1886" s="9" t="s">
        <v>47</v>
      </c>
      <c r="T1886" t="s">
        <v>253</v>
      </c>
    </row>
    <row r="1887" spans="1:20" x14ac:dyDescent="0.2">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v>32.064</v>
      </c>
      <c r="Q1887">
        <v>3</v>
      </c>
      <c r="R1887">
        <v>-12.8256</v>
      </c>
      <c r="S1887" s="9" t="s">
        <v>83</v>
      </c>
      <c r="T1887" t="s">
        <v>161</v>
      </c>
    </row>
    <row r="1888" spans="1:20" x14ac:dyDescent="0.2">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v>191.07900000000001</v>
      </c>
      <c r="Q1888">
        <v>3</v>
      </c>
      <c r="R1888">
        <v>-38.215800000000002</v>
      </c>
      <c r="S1888" s="9" t="s">
        <v>83</v>
      </c>
      <c r="T1888" t="s">
        <v>161</v>
      </c>
    </row>
    <row r="1889" spans="1:20" x14ac:dyDescent="0.2">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v>177.68</v>
      </c>
      <c r="Q1889">
        <v>2</v>
      </c>
      <c r="R1889">
        <v>46.196800000000003</v>
      </c>
      <c r="S1889" s="9" t="s">
        <v>129</v>
      </c>
      <c r="T1889" t="s">
        <v>113</v>
      </c>
    </row>
    <row r="1890" spans="1:20" x14ac:dyDescent="0.2">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v>11.568</v>
      </c>
      <c r="Q1890">
        <v>3</v>
      </c>
      <c r="R1890">
        <v>2.6027999999999998</v>
      </c>
      <c r="S1890" s="9" t="s">
        <v>83</v>
      </c>
      <c r="T1890" t="s">
        <v>48</v>
      </c>
    </row>
    <row r="1891" spans="1:20" x14ac:dyDescent="0.2">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v>626.1</v>
      </c>
      <c r="Q1891">
        <v>3</v>
      </c>
      <c r="R1891">
        <v>-538.44600000000003</v>
      </c>
      <c r="S1891" s="9" t="s">
        <v>83</v>
      </c>
      <c r="T1891" t="s">
        <v>169</v>
      </c>
    </row>
    <row r="1892" spans="1:20" x14ac:dyDescent="0.2">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v>609.98</v>
      </c>
      <c r="Q1892">
        <v>4</v>
      </c>
      <c r="R1892">
        <v>-113.282</v>
      </c>
      <c r="S1892" s="9" t="s">
        <v>83</v>
      </c>
      <c r="T1892" t="s">
        <v>113</v>
      </c>
    </row>
    <row r="1893" spans="1:20" x14ac:dyDescent="0.2">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v>211.37200000000001</v>
      </c>
      <c r="Q1893">
        <v>2</v>
      </c>
      <c r="R1893">
        <v>-45.293999999999997</v>
      </c>
      <c r="S1893" s="9" t="s">
        <v>83</v>
      </c>
      <c r="T1893" t="s">
        <v>113</v>
      </c>
    </row>
    <row r="1894" spans="1:20" x14ac:dyDescent="0.2">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v>99.95</v>
      </c>
      <c r="Q1894">
        <v>5</v>
      </c>
      <c r="R1894">
        <v>22.988499999999998</v>
      </c>
      <c r="S1894" s="9" t="s">
        <v>129</v>
      </c>
      <c r="T1894" t="s">
        <v>96</v>
      </c>
    </row>
    <row r="1895" spans="1:20" x14ac:dyDescent="0.2">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v>16.739999999999998</v>
      </c>
      <c r="Q1895">
        <v>2</v>
      </c>
      <c r="R1895">
        <v>4.3524000000000003</v>
      </c>
      <c r="S1895" s="9" t="s">
        <v>58</v>
      </c>
      <c r="T1895" t="s">
        <v>195</v>
      </c>
    </row>
    <row r="1896" spans="1:20" x14ac:dyDescent="0.2">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v>239.358</v>
      </c>
      <c r="Q1896">
        <v>3</v>
      </c>
      <c r="R1896">
        <v>-47.871600000000001</v>
      </c>
      <c r="S1896" s="9" t="s">
        <v>129</v>
      </c>
      <c r="T1896" t="s">
        <v>48</v>
      </c>
    </row>
    <row r="1897" spans="1:20" x14ac:dyDescent="0.2">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v>934.95600000000002</v>
      </c>
      <c r="Q1897">
        <v>6</v>
      </c>
      <c r="R1897">
        <v>-249.32159999999999</v>
      </c>
      <c r="S1897" s="9" t="s">
        <v>129</v>
      </c>
      <c r="T1897" t="s">
        <v>96</v>
      </c>
    </row>
    <row r="1898" spans="1:20" x14ac:dyDescent="0.2">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v>155.45599999999999</v>
      </c>
      <c r="Q1898">
        <v>4</v>
      </c>
      <c r="R1898">
        <v>-7.7728000000000002</v>
      </c>
      <c r="S1898" s="9" t="s">
        <v>70</v>
      </c>
      <c r="T1898" t="s">
        <v>253</v>
      </c>
    </row>
    <row r="1899" spans="1:20" x14ac:dyDescent="0.2">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v>21</v>
      </c>
      <c r="Q1899">
        <v>3</v>
      </c>
      <c r="R1899">
        <v>5.7750000000000004</v>
      </c>
      <c r="S1899" s="9" t="s">
        <v>33</v>
      </c>
      <c r="T1899" t="s">
        <v>96</v>
      </c>
    </row>
    <row r="1900" spans="1:20" x14ac:dyDescent="0.2">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v>853.93</v>
      </c>
      <c r="Q1900">
        <v>5</v>
      </c>
      <c r="R1900">
        <v>-24.398</v>
      </c>
      <c r="S1900" s="9" t="s">
        <v>58</v>
      </c>
      <c r="T1900" t="s">
        <v>34</v>
      </c>
    </row>
    <row r="1901" spans="1:20" x14ac:dyDescent="0.2">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v>273.95999999999998</v>
      </c>
      <c r="Q1901">
        <v>2</v>
      </c>
      <c r="R1901">
        <v>71.229600000000005</v>
      </c>
      <c r="S1901" s="9" t="s">
        <v>70</v>
      </c>
      <c r="T1901" t="s">
        <v>34</v>
      </c>
    </row>
    <row r="1902" spans="1:20" x14ac:dyDescent="0.2">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v>756.8</v>
      </c>
      <c r="Q1902">
        <v>5</v>
      </c>
      <c r="R1902">
        <v>75.680000000000007</v>
      </c>
      <c r="S1902" s="9" t="s">
        <v>70</v>
      </c>
      <c r="T1902" t="s">
        <v>34</v>
      </c>
    </row>
    <row r="1903" spans="1:20" x14ac:dyDescent="0.2">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v>470.15499999999997</v>
      </c>
      <c r="Q1903">
        <v>7</v>
      </c>
      <c r="R1903">
        <v>-13.433</v>
      </c>
      <c r="S1903" s="9" t="s">
        <v>83</v>
      </c>
      <c r="T1903" t="s">
        <v>34</v>
      </c>
    </row>
    <row r="1904" spans="1:20" x14ac:dyDescent="0.2">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v>271.76400000000001</v>
      </c>
      <c r="Q1904">
        <v>2</v>
      </c>
      <c r="R1904">
        <v>60.392000000000003</v>
      </c>
      <c r="S1904" s="9" t="s">
        <v>83</v>
      </c>
      <c r="T1904" t="s">
        <v>195</v>
      </c>
    </row>
    <row r="1905" spans="1:20" x14ac:dyDescent="0.2">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v>344.98099999999999</v>
      </c>
      <c r="Q1905">
        <v>7</v>
      </c>
      <c r="R1905">
        <v>28.4102</v>
      </c>
      <c r="S1905" s="9" t="s">
        <v>70</v>
      </c>
      <c r="T1905" t="s">
        <v>113</v>
      </c>
    </row>
    <row r="1906" spans="1:20" x14ac:dyDescent="0.2">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v>127.785</v>
      </c>
      <c r="Q1906">
        <v>1</v>
      </c>
      <c r="R1906">
        <v>-31.0335</v>
      </c>
      <c r="S1906" s="9" t="s">
        <v>33</v>
      </c>
      <c r="T1906" t="s">
        <v>34</v>
      </c>
    </row>
    <row r="1907" spans="1:20" x14ac:dyDescent="0.2">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v>159.04</v>
      </c>
      <c r="Q1907">
        <v>5</v>
      </c>
      <c r="R1907">
        <v>-194.82400000000001</v>
      </c>
      <c r="S1907" s="9" t="s">
        <v>129</v>
      </c>
      <c r="T1907" t="s">
        <v>195</v>
      </c>
    </row>
    <row r="1908" spans="1:20" x14ac:dyDescent="0.2">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v>145.97999999999999</v>
      </c>
      <c r="Q1908">
        <v>2</v>
      </c>
      <c r="R1908">
        <v>-99.266400000000004</v>
      </c>
      <c r="S1908" s="9" t="s">
        <v>129</v>
      </c>
      <c r="T1908" t="s">
        <v>195</v>
      </c>
    </row>
    <row r="1909" spans="1:20" x14ac:dyDescent="0.2">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v>77.951999999999998</v>
      </c>
      <c r="Q1909">
        <v>3</v>
      </c>
      <c r="R1909">
        <v>12.667199999999999</v>
      </c>
      <c r="S1909" s="9" t="s">
        <v>83</v>
      </c>
      <c r="T1909" t="s">
        <v>96</v>
      </c>
    </row>
    <row r="1910" spans="1:20" x14ac:dyDescent="0.2">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v>9.68</v>
      </c>
      <c r="Q1910">
        <v>2</v>
      </c>
      <c r="R1910">
        <v>3.7751999999999999</v>
      </c>
      <c r="S1910" s="9" t="s">
        <v>129</v>
      </c>
      <c r="T1910" t="s">
        <v>96</v>
      </c>
    </row>
    <row r="1911" spans="1:20" x14ac:dyDescent="0.2">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v>1875.258</v>
      </c>
      <c r="Q1911">
        <v>7</v>
      </c>
      <c r="R1911">
        <v>-968.88329999999996</v>
      </c>
      <c r="S1911" s="9" t="s">
        <v>58</v>
      </c>
      <c r="T1911" t="s">
        <v>48</v>
      </c>
    </row>
    <row r="1912" spans="1:20" x14ac:dyDescent="0.2">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v>458.43</v>
      </c>
      <c r="Q1912">
        <v>5</v>
      </c>
      <c r="R1912">
        <v>-124.431</v>
      </c>
      <c r="S1912" s="9" t="s">
        <v>83</v>
      </c>
      <c r="T1912" t="s">
        <v>161</v>
      </c>
    </row>
    <row r="1913" spans="1:20" x14ac:dyDescent="0.2">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v>5.82</v>
      </c>
      <c r="Q1913">
        <v>2</v>
      </c>
      <c r="R1913">
        <v>2.7353999999999998</v>
      </c>
      <c r="S1913" s="9" t="s">
        <v>430</v>
      </c>
      <c r="T1913" t="s">
        <v>34</v>
      </c>
    </row>
    <row r="1914" spans="1:20" x14ac:dyDescent="0.2">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v>135.80000000000001</v>
      </c>
      <c r="Q1914">
        <v>7</v>
      </c>
      <c r="R1914">
        <v>66.542000000000002</v>
      </c>
      <c r="S1914" s="9" t="s">
        <v>123</v>
      </c>
      <c r="T1914" t="s">
        <v>297</v>
      </c>
    </row>
    <row r="1915" spans="1:20" x14ac:dyDescent="0.2">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v>29.46</v>
      </c>
      <c r="Q1915">
        <v>6</v>
      </c>
      <c r="R1915">
        <v>9.7218</v>
      </c>
      <c r="S1915" s="9" t="s">
        <v>70</v>
      </c>
      <c r="T1915" t="s">
        <v>96</v>
      </c>
    </row>
    <row r="1916" spans="1:20" x14ac:dyDescent="0.2">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v>98.328000000000003</v>
      </c>
      <c r="Q1916">
        <v>3</v>
      </c>
      <c r="R1916">
        <v>9.8328000000000007</v>
      </c>
      <c r="S1916" s="9" t="s">
        <v>123</v>
      </c>
      <c r="T1916" t="s">
        <v>253</v>
      </c>
    </row>
    <row r="1917" spans="1:20" x14ac:dyDescent="0.2">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v>117.88200000000001</v>
      </c>
      <c r="Q1917">
        <v>1</v>
      </c>
      <c r="R1917">
        <v>1.3098000000000001</v>
      </c>
      <c r="S1917" s="9" t="s">
        <v>33</v>
      </c>
      <c r="T1917" t="s">
        <v>59</v>
      </c>
    </row>
    <row r="1918" spans="1:20" x14ac:dyDescent="0.2">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v>37.74</v>
      </c>
      <c r="Q1918">
        <v>3</v>
      </c>
      <c r="R1918">
        <v>12.8316</v>
      </c>
      <c r="S1918" s="9" t="s">
        <v>129</v>
      </c>
      <c r="T1918" t="s">
        <v>59</v>
      </c>
    </row>
    <row r="1919" spans="1:20" x14ac:dyDescent="0.2">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v>14.82</v>
      </c>
      <c r="Q1919">
        <v>3</v>
      </c>
      <c r="R1919">
        <v>6.2244000000000002</v>
      </c>
      <c r="S1919" s="9" t="s">
        <v>58</v>
      </c>
      <c r="T1919" t="s">
        <v>77</v>
      </c>
    </row>
    <row r="1920" spans="1:20" x14ac:dyDescent="0.2">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v>191.82</v>
      </c>
      <c r="Q1920">
        <v>3</v>
      </c>
      <c r="R1920">
        <v>61.382399999999997</v>
      </c>
      <c r="S1920" s="9" t="s">
        <v>58</v>
      </c>
      <c r="T1920" t="s">
        <v>77</v>
      </c>
    </row>
    <row r="1921" spans="1:20" x14ac:dyDescent="0.2">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v>283.56</v>
      </c>
      <c r="Q1921">
        <v>4</v>
      </c>
      <c r="R1921">
        <v>45.369599999999998</v>
      </c>
      <c r="S1921" s="9" t="s">
        <v>430</v>
      </c>
      <c r="T1921" t="s">
        <v>77</v>
      </c>
    </row>
    <row r="1922" spans="1:20" x14ac:dyDescent="0.2">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v>487.96</v>
      </c>
      <c r="Q1922">
        <v>2</v>
      </c>
      <c r="R1922">
        <v>146.38800000000001</v>
      </c>
      <c r="S1922" s="9" t="s">
        <v>83</v>
      </c>
      <c r="T1922" t="s">
        <v>59</v>
      </c>
    </row>
    <row r="1923" spans="1:20" x14ac:dyDescent="0.2">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v>73.915000000000006</v>
      </c>
      <c r="Q1923">
        <v>1</v>
      </c>
      <c r="R1923">
        <v>-45.827300000000001</v>
      </c>
      <c r="S1923" s="9" t="s">
        <v>58</v>
      </c>
      <c r="T1923" t="s">
        <v>77</v>
      </c>
    </row>
    <row r="1924" spans="1:20" x14ac:dyDescent="0.2">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v>337.08800000000002</v>
      </c>
      <c r="Q1924">
        <v>4</v>
      </c>
      <c r="R1924">
        <v>16.854399999999998</v>
      </c>
      <c r="S1924" s="9" t="s">
        <v>58</v>
      </c>
      <c r="T1924" t="s">
        <v>77</v>
      </c>
    </row>
    <row r="1925" spans="1:20" x14ac:dyDescent="0.2">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v>2621.3220000000001</v>
      </c>
      <c r="Q1925">
        <v>11</v>
      </c>
      <c r="R1925">
        <v>553.39020000000005</v>
      </c>
      <c r="S1925" s="9" t="s">
        <v>70</v>
      </c>
      <c r="T1925" t="s">
        <v>34</v>
      </c>
    </row>
    <row r="1926" spans="1:20" x14ac:dyDescent="0.2">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v>74.760000000000005</v>
      </c>
      <c r="Q1926">
        <v>7</v>
      </c>
      <c r="R1926">
        <v>23.923200000000001</v>
      </c>
      <c r="S1926" s="9" t="s">
        <v>83</v>
      </c>
      <c r="T1926" t="s">
        <v>48</v>
      </c>
    </row>
    <row r="1927" spans="1:20" x14ac:dyDescent="0.2">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v>364.77600000000001</v>
      </c>
      <c r="Q1927">
        <v>3</v>
      </c>
      <c r="R1927">
        <v>27.3582</v>
      </c>
      <c r="S1927" s="9" t="s">
        <v>83</v>
      </c>
      <c r="T1927" t="s">
        <v>48</v>
      </c>
    </row>
    <row r="1928" spans="1:20" x14ac:dyDescent="0.2">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v>1115.17</v>
      </c>
      <c r="Q1928">
        <v>7</v>
      </c>
      <c r="R1928">
        <v>334.55099999999999</v>
      </c>
      <c r="S1928" s="9" t="s">
        <v>83</v>
      </c>
      <c r="T1928" t="s">
        <v>59</v>
      </c>
    </row>
    <row r="1929" spans="1:20" x14ac:dyDescent="0.2">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v>215.976</v>
      </c>
      <c r="Q1929">
        <v>3</v>
      </c>
      <c r="R1929">
        <v>-2.6997</v>
      </c>
      <c r="S1929" s="9" t="s">
        <v>33</v>
      </c>
      <c r="T1929" t="s">
        <v>77</v>
      </c>
    </row>
    <row r="1930" spans="1:20" x14ac:dyDescent="0.2">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v>11.352</v>
      </c>
      <c r="Q1930">
        <v>3</v>
      </c>
      <c r="R1930">
        <v>2.6960999999999999</v>
      </c>
      <c r="S1930" s="9" t="s">
        <v>123</v>
      </c>
      <c r="T1930" t="s">
        <v>96</v>
      </c>
    </row>
    <row r="1931" spans="1:20" x14ac:dyDescent="0.2">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v>318.08</v>
      </c>
      <c r="Q1931">
        <v>4</v>
      </c>
      <c r="R1931">
        <v>34.988799999999998</v>
      </c>
      <c r="S1931" s="9" t="s">
        <v>47</v>
      </c>
      <c r="T1931" t="s">
        <v>297</v>
      </c>
    </row>
    <row r="1932" spans="1:20" x14ac:dyDescent="0.2">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v>454.96499999999997</v>
      </c>
      <c r="Q1932">
        <v>5</v>
      </c>
      <c r="R1932">
        <v>-136.48949999999999</v>
      </c>
      <c r="S1932" s="9" t="s">
        <v>83</v>
      </c>
      <c r="T1932" t="s">
        <v>77</v>
      </c>
    </row>
    <row r="1933" spans="1:20" x14ac:dyDescent="0.2">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v>482.94</v>
      </c>
      <c r="Q1933">
        <v>6</v>
      </c>
      <c r="R1933">
        <v>-376.69319999999999</v>
      </c>
      <c r="S1933" s="9" t="s">
        <v>58</v>
      </c>
      <c r="T1933" t="s">
        <v>59</v>
      </c>
    </row>
    <row r="1934" spans="1:20" x14ac:dyDescent="0.2">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v>64.959999999999994</v>
      </c>
      <c r="Q1934">
        <v>5</v>
      </c>
      <c r="R1934">
        <v>-84.447999999999993</v>
      </c>
      <c r="S1934" s="9" t="s">
        <v>58</v>
      </c>
      <c r="T1934" t="s">
        <v>34</v>
      </c>
    </row>
    <row r="1935" spans="1:20" x14ac:dyDescent="0.2">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v>31.968</v>
      </c>
      <c r="Q1935">
        <v>2</v>
      </c>
      <c r="R1935">
        <v>6.3936000000000002</v>
      </c>
      <c r="S1935" s="9" t="s">
        <v>58</v>
      </c>
      <c r="T1935" t="s">
        <v>169</v>
      </c>
    </row>
    <row r="1936" spans="1:20" x14ac:dyDescent="0.2">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v>887.27099999999996</v>
      </c>
      <c r="Q1936">
        <v>3</v>
      </c>
      <c r="R1936">
        <v>-63.3765</v>
      </c>
      <c r="S1936" s="9" t="s">
        <v>58</v>
      </c>
      <c r="T1936" t="s">
        <v>169</v>
      </c>
    </row>
    <row r="1937" spans="1:20" x14ac:dyDescent="0.2">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v>9.5519999999999996</v>
      </c>
      <c r="Q1937">
        <v>3</v>
      </c>
      <c r="R1937">
        <v>-3.8208000000000002</v>
      </c>
      <c r="S1937" s="9" t="s">
        <v>70</v>
      </c>
      <c r="T1937" t="s">
        <v>253</v>
      </c>
    </row>
    <row r="1938" spans="1:20" x14ac:dyDescent="0.2">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v>5.3440000000000003</v>
      </c>
      <c r="Q1938">
        <v>4</v>
      </c>
      <c r="R1938">
        <v>-2.1375999999999999</v>
      </c>
      <c r="S1938" s="9" t="s">
        <v>70</v>
      </c>
      <c r="T1938" t="s">
        <v>253</v>
      </c>
    </row>
    <row r="1939" spans="1:20" x14ac:dyDescent="0.2">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v>301.47000000000003</v>
      </c>
      <c r="Q1939">
        <v>3</v>
      </c>
      <c r="R1939">
        <v>-241.17599999999999</v>
      </c>
      <c r="S1939" s="9" t="s">
        <v>70</v>
      </c>
      <c r="T1939" t="s">
        <v>195</v>
      </c>
    </row>
    <row r="1940" spans="1:20" x14ac:dyDescent="0.2">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v>27.46</v>
      </c>
      <c r="Q1940">
        <v>2</v>
      </c>
      <c r="R1940">
        <v>9.8856000000000002</v>
      </c>
      <c r="S1940" s="9" t="s">
        <v>83</v>
      </c>
      <c r="T1940" t="s">
        <v>161</v>
      </c>
    </row>
    <row r="1941" spans="1:20" x14ac:dyDescent="0.2">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v>19.312000000000001</v>
      </c>
      <c r="Q1941">
        <v>2</v>
      </c>
      <c r="R1941">
        <v>3.1381999999999999</v>
      </c>
      <c r="S1941" s="9" t="s">
        <v>70</v>
      </c>
      <c r="T1941" t="s">
        <v>253</v>
      </c>
    </row>
    <row r="1942" spans="1:20" x14ac:dyDescent="0.2">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v>405.86</v>
      </c>
      <c r="Q1942">
        <v>7</v>
      </c>
      <c r="R1942">
        <v>32.468800000000002</v>
      </c>
      <c r="S1942" s="9" t="s">
        <v>83</v>
      </c>
      <c r="T1942" t="s">
        <v>96</v>
      </c>
    </row>
    <row r="1943" spans="1:20" x14ac:dyDescent="0.2">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v>680.01</v>
      </c>
      <c r="Q1943">
        <v>3</v>
      </c>
      <c r="R1943">
        <v>176.80260000000001</v>
      </c>
      <c r="S1943" s="9" t="s">
        <v>83</v>
      </c>
      <c r="T1943" t="s">
        <v>96</v>
      </c>
    </row>
    <row r="1944" spans="1:20" x14ac:dyDescent="0.2">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v>31.96</v>
      </c>
      <c r="Q1944">
        <v>2</v>
      </c>
      <c r="R1944">
        <v>1.5980000000000001</v>
      </c>
      <c r="S1944" s="9" t="s">
        <v>430</v>
      </c>
      <c r="T1944" t="s">
        <v>96</v>
      </c>
    </row>
    <row r="1945" spans="1:20" x14ac:dyDescent="0.2">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v>51.75</v>
      </c>
      <c r="Q1945">
        <v>1</v>
      </c>
      <c r="R1945">
        <v>15.525</v>
      </c>
      <c r="S1945" s="9" t="s">
        <v>83</v>
      </c>
      <c r="T1945" t="s">
        <v>253</v>
      </c>
    </row>
    <row r="1946" spans="1:20" x14ac:dyDescent="0.2">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v>207.184</v>
      </c>
      <c r="Q1946">
        <v>1</v>
      </c>
      <c r="R1946">
        <v>25.898</v>
      </c>
      <c r="S1946" s="9" t="s">
        <v>83</v>
      </c>
      <c r="T1946" t="s">
        <v>253</v>
      </c>
    </row>
    <row r="1947" spans="1:20" x14ac:dyDescent="0.2">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v>256.78399999999999</v>
      </c>
      <c r="Q1947">
        <v>1</v>
      </c>
      <c r="R1947">
        <v>32.097999999999999</v>
      </c>
      <c r="S1947" s="9" t="s">
        <v>58</v>
      </c>
      <c r="T1947" t="s">
        <v>161</v>
      </c>
    </row>
    <row r="1948" spans="1:20" x14ac:dyDescent="0.2">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v>120.98</v>
      </c>
      <c r="Q1948">
        <v>1</v>
      </c>
      <c r="R1948">
        <v>12.098000000000001</v>
      </c>
      <c r="S1948" s="9" t="s">
        <v>33</v>
      </c>
      <c r="T1948" t="s">
        <v>48</v>
      </c>
    </row>
    <row r="1949" spans="1:20" x14ac:dyDescent="0.2">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v>39.880000000000003</v>
      </c>
      <c r="Q1949">
        <v>2</v>
      </c>
      <c r="R1949">
        <v>11.166399999999999</v>
      </c>
      <c r="S1949" s="9" t="s">
        <v>47</v>
      </c>
      <c r="T1949" t="s">
        <v>96</v>
      </c>
    </row>
    <row r="1950" spans="1:20" x14ac:dyDescent="0.2">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v>79.44</v>
      </c>
      <c r="Q1950">
        <v>3</v>
      </c>
      <c r="R1950">
        <v>28.598400000000002</v>
      </c>
      <c r="S1950" s="9" t="s">
        <v>47</v>
      </c>
      <c r="T1950" t="s">
        <v>96</v>
      </c>
    </row>
    <row r="1951" spans="1:20" x14ac:dyDescent="0.2">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v>301.47000000000003</v>
      </c>
      <c r="Q1951">
        <v>3</v>
      </c>
      <c r="R1951">
        <v>-204.99959999999999</v>
      </c>
      <c r="S1951" s="9" t="s">
        <v>83</v>
      </c>
      <c r="T1951" t="s">
        <v>253</v>
      </c>
    </row>
    <row r="1952" spans="1:20" x14ac:dyDescent="0.2">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v>1504.52</v>
      </c>
      <c r="Q1952">
        <v>4</v>
      </c>
      <c r="R1952">
        <v>346.03960000000001</v>
      </c>
      <c r="S1952" s="9" t="s">
        <v>123</v>
      </c>
      <c r="T1952" t="s">
        <v>48</v>
      </c>
    </row>
    <row r="1953" spans="1:20" x14ac:dyDescent="0.2">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v>94.68</v>
      </c>
      <c r="Q1953">
        <v>9</v>
      </c>
      <c r="R1953">
        <v>31.244399999999999</v>
      </c>
      <c r="S1953" s="9" t="s">
        <v>83</v>
      </c>
      <c r="T1953" t="s">
        <v>77</v>
      </c>
    </row>
    <row r="1954" spans="1:20" x14ac:dyDescent="0.2">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v>568.72799999999995</v>
      </c>
      <c r="Q1954">
        <v>3</v>
      </c>
      <c r="R1954">
        <v>28.436399999999999</v>
      </c>
      <c r="S1954" s="9" t="s">
        <v>83</v>
      </c>
      <c r="T1954" t="s">
        <v>77</v>
      </c>
    </row>
    <row r="1955" spans="1:20" x14ac:dyDescent="0.2">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v>147.56800000000001</v>
      </c>
      <c r="Q1955">
        <v>2</v>
      </c>
      <c r="R1955">
        <v>-3.6892</v>
      </c>
      <c r="S1955" s="9" t="s">
        <v>33</v>
      </c>
      <c r="T1955" t="s">
        <v>297</v>
      </c>
    </row>
    <row r="1956" spans="1:20" x14ac:dyDescent="0.2">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v>119.833</v>
      </c>
      <c r="Q1956">
        <v>1</v>
      </c>
      <c r="R1956">
        <v>7.0490000000000004</v>
      </c>
      <c r="S1956" s="9" t="s">
        <v>58</v>
      </c>
      <c r="T1956" t="s">
        <v>71</v>
      </c>
    </row>
    <row r="1957" spans="1:20" x14ac:dyDescent="0.2">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v>60.89</v>
      </c>
      <c r="Q1957">
        <v>1</v>
      </c>
      <c r="R1957">
        <v>15.2225</v>
      </c>
      <c r="S1957" s="9" t="s">
        <v>83</v>
      </c>
      <c r="T1957" t="s">
        <v>297</v>
      </c>
    </row>
    <row r="1958" spans="1:20" x14ac:dyDescent="0.2">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v>332.94</v>
      </c>
      <c r="Q1958">
        <v>3</v>
      </c>
      <c r="R1958">
        <v>53.270400000000002</v>
      </c>
      <c r="S1958" s="9" t="s">
        <v>83</v>
      </c>
      <c r="T1958" t="s">
        <v>297</v>
      </c>
    </row>
    <row r="1959" spans="1:20" x14ac:dyDescent="0.2">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v>215.976</v>
      </c>
      <c r="Q1959">
        <v>3</v>
      </c>
      <c r="R1959">
        <v>-2.6997</v>
      </c>
      <c r="S1959" s="9" t="s">
        <v>430</v>
      </c>
      <c r="T1959" t="s">
        <v>77</v>
      </c>
    </row>
    <row r="1960" spans="1:20" x14ac:dyDescent="0.2">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v>389.97</v>
      </c>
      <c r="Q1960">
        <v>3</v>
      </c>
      <c r="R1960">
        <v>35.097299999999997</v>
      </c>
      <c r="S1960" s="9" t="s">
        <v>83</v>
      </c>
      <c r="T1960" t="s">
        <v>48</v>
      </c>
    </row>
    <row r="1961" spans="1:20" x14ac:dyDescent="0.2">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v>14.56</v>
      </c>
      <c r="Q1961">
        <v>2</v>
      </c>
      <c r="R1961">
        <v>5.5327999999999999</v>
      </c>
      <c r="S1961" s="9" t="s">
        <v>123</v>
      </c>
      <c r="T1961" t="s">
        <v>297</v>
      </c>
    </row>
    <row r="1962" spans="1:20" x14ac:dyDescent="0.2">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v>102.58199999999999</v>
      </c>
      <c r="Q1962">
        <v>1</v>
      </c>
      <c r="R1962">
        <v>6.8388</v>
      </c>
      <c r="S1962" s="9" t="s">
        <v>430</v>
      </c>
      <c r="T1962" t="s">
        <v>77</v>
      </c>
    </row>
    <row r="1963" spans="1:20" x14ac:dyDescent="0.2">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v>10.02</v>
      </c>
      <c r="Q1963">
        <v>3</v>
      </c>
      <c r="R1963">
        <v>4.4088000000000003</v>
      </c>
      <c r="S1963" s="9" t="s">
        <v>58</v>
      </c>
      <c r="T1963" t="s">
        <v>161</v>
      </c>
    </row>
    <row r="1964" spans="1:20" x14ac:dyDescent="0.2">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v>398.97199999999998</v>
      </c>
      <c r="Q1964">
        <v>2</v>
      </c>
      <c r="R1964">
        <v>-28.498000000000001</v>
      </c>
      <c r="S1964" s="9" t="s">
        <v>83</v>
      </c>
      <c r="T1964" t="s">
        <v>96</v>
      </c>
    </row>
    <row r="1965" spans="1:20" x14ac:dyDescent="0.2">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v>163.88</v>
      </c>
      <c r="Q1965">
        <v>2</v>
      </c>
      <c r="R1965">
        <v>40.97</v>
      </c>
      <c r="S1965" s="9" t="s">
        <v>83</v>
      </c>
      <c r="T1965" t="s">
        <v>77</v>
      </c>
    </row>
    <row r="1966" spans="1:20" x14ac:dyDescent="0.2">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v>392.94</v>
      </c>
      <c r="Q1966">
        <v>3</v>
      </c>
      <c r="R1966">
        <v>43.223399999999998</v>
      </c>
      <c r="S1966" s="9" t="s">
        <v>58</v>
      </c>
      <c r="T1966" t="s">
        <v>34</v>
      </c>
    </row>
    <row r="1967" spans="1:20" x14ac:dyDescent="0.2">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v>18.175999999999998</v>
      </c>
      <c r="Q1967">
        <v>1</v>
      </c>
      <c r="R1967">
        <v>4.7712000000000003</v>
      </c>
      <c r="S1967" s="9" t="s">
        <v>33</v>
      </c>
      <c r="T1967" t="s">
        <v>34</v>
      </c>
    </row>
    <row r="1968" spans="1:20" x14ac:dyDescent="0.2">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v>457.48500000000001</v>
      </c>
      <c r="Q1968">
        <v>3</v>
      </c>
      <c r="R1968">
        <v>-84.961500000000001</v>
      </c>
      <c r="S1968" s="9" t="s">
        <v>47</v>
      </c>
      <c r="T1968" t="s">
        <v>59</v>
      </c>
    </row>
    <row r="1969" spans="1:20" x14ac:dyDescent="0.2">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v>1079.316</v>
      </c>
      <c r="Q1969">
        <v>6</v>
      </c>
      <c r="R1969">
        <v>-15.418799999999999</v>
      </c>
      <c r="S1969" s="9" t="s">
        <v>33</v>
      </c>
      <c r="T1969" t="s">
        <v>34</v>
      </c>
    </row>
    <row r="1970" spans="1:20" x14ac:dyDescent="0.2">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v>115.96</v>
      </c>
      <c r="Q1970">
        <v>4</v>
      </c>
      <c r="R1970">
        <v>-64.937600000000003</v>
      </c>
      <c r="S1970" s="9" t="s">
        <v>83</v>
      </c>
      <c r="T1970" t="s">
        <v>161</v>
      </c>
    </row>
    <row r="1971" spans="1:20" x14ac:dyDescent="0.2">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v>56.686</v>
      </c>
      <c r="Q1971">
        <v>1</v>
      </c>
      <c r="R1971">
        <v>-20.245000000000001</v>
      </c>
      <c r="S1971" s="9" t="s">
        <v>83</v>
      </c>
      <c r="T1971" t="s">
        <v>113</v>
      </c>
    </row>
    <row r="1972" spans="1:20" x14ac:dyDescent="0.2">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v>163.76400000000001</v>
      </c>
      <c r="Q1972">
        <v>2</v>
      </c>
      <c r="R1972">
        <v>25.474399999999999</v>
      </c>
      <c r="S1972" s="9" t="s">
        <v>58</v>
      </c>
      <c r="T1972" t="s">
        <v>71</v>
      </c>
    </row>
    <row r="1973" spans="1:20" x14ac:dyDescent="0.2">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v>183.92</v>
      </c>
      <c r="Q1973">
        <v>4</v>
      </c>
      <c r="R1973">
        <v>31.266400000000001</v>
      </c>
      <c r="S1973" s="9" t="s">
        <v>58</v>
      </c>
      <c r="T1973" t="s">
        <v>71</v>
      </c>
    </row>
    <row r="1974" spans="1:20" x14ac:dyDescent="0.2">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v>11.375999999999999</v>
      </c>
      <c r="Q1974">
        <v>3</v>
      </c>
      <c r="R1974">
        <v>-5.6879999999999997</v>
      </c>
      <c r="S1974" s="9" t="s">
        <v>83</v>
      </c>
      <c r="T1974" t="s">
        <v>34</v>
      </c>
    </row>
    <row r="1975" spans="1:20" x14ac:dyDescent="0.2">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v>66.111999999999995</v>
      </c>
      <c r="Q1975">
        <v>4</v>
      </c>
      <c r="R1975">
        <v>-84.2928</v>
      </c>
      <c r="S1975" s="9" t="s">
        <v>83</v>
      </c>
      <c r="T1975" t="s">
        <v>34</v>
      </c>
    </row>
    <row r="1976" spans="1:20" x14ac:dyDescent="0.2">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v>594.81600000000003</v>
      </c>
      <c r="Q1976">
        <v>2</v>
      </c>
      <c r="R1976">
        <v>59.4816</v>
      </c>
      <c r="S1976" s="9" t="s">
        <v>129</v>
      </c>
      <c r="T1976" t="s">
        <v>77</v>
      </c>
    </row>
    <row r="1977" spans="1:20" x14ac:dyDescent="0.2">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v>80.959999999999994</v>
      </c>
      <c r="Q1977">
        <v>4</v>
      </c>
      <c r="R1977">
        <v>34.812800000000003</v>
      </c>
      <c r="S1977" s="9" t="s">
        <v>33</v>
      </c>
      <c r="T1977" t="s">
        <v>77</v>
      </c>
    </row>
    <row r="1978" spans="1:20" x14ac:dyDescent="0.2">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v>314.35199999999998</v>
      </c>
      <c r="Q1978">
        <v>3</v>
      </c>
      <c r="R1978">
        <v>-15.717599999999999</v>
      </c>
      <c r="S1978" s="9" t="s">
        <v>123</v>
      </c>
      <c r="T1978" t="s">
        <v>161</v>
      </c>
    </row>
    <row r="1979" spans="1:20" x14ac:dyDescent="0.2">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v>455.97</v>
      </c>
      <c r="Q1979">
        <v>5</v>
      </c>
      <c r="R1979">
        <v>-106.393</v>
      </c>
      <c r="S1979" s="9" t="s">
        <v>33</v>
      </c>
      <c r="T1979" t="s">
        <v>297</v>
      </c>
    </row>
    <row r="1980" spans="1:20" x14ac:dyDescent="0.2">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v>30.143999999999998</v>
      </c>
      <c r="Q1980">
        <v>2</v>
      </c>
      <c r="R1980">
        <v>8.2896000000000001</v>
      </c>
      <c r="S1980" s="9" t="s">
        <v>33</v>
      </c>
      <c r="T1980" t="s">
        <v>297</v>
      </c>
    </row>
    <row r="1981" spans="1:20" x14ac:dyDescent="0.2">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v>899.43</v>
      </c>
      <c r="Q1981">
        <v>5</v>
      </c>
      <c r="R1981">
        <v>-12.849</v>
      </c>
      <c r="S1981" s="9" t="s">
        <v>33</v>
      </c>
      <c r="T1981" t="s">
        <v>297</v>
      </c>
    </row>
    <row r="1982" spans="1:20" x14ac:dyDescent="0.2">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v>842.72</v>
      </c>
      <c r="Q1982">
        <v>8</v>
      </c>
      <c r="R1982">
        <v>202.25280000000001</v>
      </c>
      <c r="S1982" s="9" t="s">
        <v>129</v>
      </c>
      <c r="T1982" t="s">
        <v>96</v>
      </c>
    </row>
    <row r="1983" spans="1:20" x14ac:dyDescent="0.2">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v>41.96</v>
      </c>
      <c r="Q1983">
        <v>2</v>
      </c>
      <c r="R1983">
        <v>10.909599999999999</v>
      </c>
      <c r="S1983" s="9" t="s">
        <v>129</v>
      </c>
      <c r="T1983" t="s">
        <v>96</v>
      </c>
    </row>
    <row r="1984" spans="1:20" x14ac:dyDescent="0.2">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v>184.75200000000001</v>
      </c>
      <c r="Q1984">
        <v>3</v>
      </c>
      <c r="R1984">
        <v>-20.784600000000001</v>
      </c>
      <c r="S1984" s="9" t="s">
        <v>83</v>
      </c>
      <c r="T1984" t="s">
        <v>77</v>
      </c>
    </row>
    <row r="1985" spans="1:20" x14ac:dyDescent="0.2">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v>520.46400000000006</v>
      </c>
      <c r="Q1985">
        <v>2</v>
      </c>
      <c r="R1985">
        <v>-14.8704</v>
      </c>
      <c r="S1985" s="9" t="s">
        <v>70</v>
      </c>
      <c r="T1985" t="s">
        <v>77</v>
      </c>
    </row>
    <row r="1986" spans="1:20" x14ac:dyDescent="0.2">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v>313.72199999999998</v>
      </c>
      <c r="Q1986">
        <v>3</v>
      </c>
      <c r="R1986">
        <v>-99.345299999999995</v>
      </c>
      <c r="S1986" s="9" t="s">
        <v>33</v>
      </c>
      <c r="T1986" t="s">
        <v>169</v>
      </c>
    </row>
    <row r="1987" spans="1:20" x14ac:dyDescent="0.2">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v>45.98</v>
      </c>
      <c r="Q1987">
        <v>1</v>
      </c>
      <c r="R1987">
        <v>7.8166000000000002</v>
      </c>
      <c r="S1987" s="9" t="s">
        <v>33</v>
      </c>
      <c r="T1987" t="s">
        <v>169</v>
      </c>
    </row>
    <row r="1988" spans="1:20" x14ac:dyDescent="0.2">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v>22.14</v>
      </c>
      <c r="Q1988">
        <v>3</v>
      </c>
      <c r="R1988">
        <v>6.4206000000000003</v>
      </c>
      <c r="S1988" s="9" t="s">
        <v>83</v>
      </c>
      <c r="T1988" t="s">
        <v>195</v>
      </c>
    </row>
    <row r="1989" spans="1:20" x14ac:dyDescent="0.2">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v>272.97000000000003</v>
      </c>
      <c r="Q1989">
        <v>3</v>
      </c>
      <c r="R1989">
        <v>43.675199999999997</v>
      </c>
      <c r="S1989" s="9" t="s">
        <v>70</v>
      </c>
      <c r="T1989" t="s">
        <v>34</v>
      </c>
    </row>
    <row r="1990" spans="1:20" x14ac:dyDescent="0.2">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v>41.567999999999998</v>
      </c>
      <c r="Q1990">
        <v>4</v>
      </c>
      <c r="R1990">
        <v>-4.1567999999999996</v>
      </c>
      <c r="S1990" s="9" t="s">
        <v>70</v>
      </c>
      <c r="T1990" t="s">
        <v>161</v>
      </c>
    </row>
    <row r="1991" spans="1:20" x14ac:dyDescent="0.2">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v>317.05799999999999</v>
      </c>
      <c r="Q1991">
        <v>3</v>
      </c>
      <c r="R1991">
        <v>-86.058599999999998</v>
      </c>
      <c r="S1991" s="9" t="s">
        <v>70</v>
      </c>
      <c r="T1991" t="s">
        <v>161</v>
      </c>
    </row>
    <row r="1992" spans="1:20" x14ac:dyDescent="0.2">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v>64.784000000000006</v>
      </c>
      <c r="Q1992">
        <v>1</v>
      </c>
      <c r="R1992">
        <v>6.4783999999999997</v>
      </c>
      <c r="S1992" s="9" t="s">
        <v>83</v>
      </c>
      <c r="T1992" t="s">
        <v>96</v>
      </c>
    </row>
    <row r="1993" spans="1:20" x14ac:dyDescent="0.2">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v>120.57599999999999</v>
      </c>
      <c r="Q1993">
        <v>8</v>
      </c>
      <c r="R1993">
        <v>33.1584</v>
      </c>
      <c r="S1993" s="9" t="s">
        <v>83</v>
      </c>
      <c r="T1993" t="s">
        <v>253</v>
      </c>
    </row>
    <row r="1994" spans="1:20" x14ac:dyDescent="0.2">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v>582.33600000000001</v>
      </c>
      <c r="Q1994">
        <v>8</v>
      </c>
      <c r="R1994">
        <v>-29.116800000000001</v>
      </c>
      <c r="S1994" s="9" t="s">
        <v>430</v>
      </c>
      <c r="T1994" t="s">
        <v>48</v>
      </c>
    </row>
    <row r="1995" spans="1:20" x14ac:dyDescent="0.2">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v>631.78200000000004</v>
      </c>
      <c r="Q1995">
        <v>2</v>
      </c>
      <c r="R1995">
        <v>140.39599999999999</v>
      </c>
      <c r="S1995" s="9" t="s">
        <v>33</v>
      </c>
      <c r="T1995" t="s">
        <v>77</v>
      </c>
    </row>
    <row r="1996" spans="1:20" x14ac:dyDescent="0.2">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v>801.56799999999998</v>
      </c>
      <c r="Q1996">
        <v>2</v>
      </c>
      <c r="R1996">
        <v>-10.019600000000001</v>
      </c>
      <c r="S1996" s="9" t="s">
        <v>33</v>
      </c>
      <c r="T1996" t="s">
        <v>77</v>
      </c>
    </row>
    <row r="1997" spans="1:20" x14ac:dyDescent="0.2">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v>4.2720000000000002</v>
      </c>
      <c r="Q1997">
        <v>2</v>
      </c>
      <c r="R1997">
        <v>0.96120000000000005</v>
      </c>
      <c r="S1997" s="9" t="s">
        <v>83</v>
      </c>
      <c r="T1997" t="s">
        <v>59</v>
      </c>
    </row>
    <row r="1998" spans="1:20" x14ac:dyDescent="0.2">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v>209.148</v>
      </c>
      <c r="Q1998">
        <v>2</v>
      </c>
      <c r="R1998">
        <v>-66.230199999999996</v>
      </c>
      <c r="S1998" s="9" t="s">
        <v>58</v>
      </c>
      <c r="T1998" t="s">
        <v>253</v>
      </c>
    </row>
    <row r="1999" spans="1:20" x14ac:dyDescent="0.2">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v>12.07</v>
      </c>
      <c r="Q1999">
        <v>1</v>
      </c>
      <c r="R1999">
        <v>3.9830999999999999</v>
      </c>
      <c r="S1999" s="9" t="s">
        <v>70</v>
      </c>
      <c r="T1999" t="s">
        <v>77</v>
      </c>
    </row>
    <row r="2000" spans="1:20" x14ac:dyDescent="0.2">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v>87.92</v>
      </c>
      <c r="Q2000">
        <v>5</v>
      </c>
      <c r="R2000">
        <v>15.385999999999999</v>
      </c>
      <c r="S2000" s="9" t="s">
        <v>33</v>
      </c>
      <c r="T2000" t="s">
        <v>96</v>
      </c>
    </row>
    <row r="2001" spans="1:20" x14ac:dyDescent="0.2">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v>2803.92</v>
      </c>
      <c r="Q2001">
        <v>5</v>
      </c>
      <c r="R2001">
        <v>0</v>
      </c>
      <c r="S2001" s="9" t="s">
        <v>70</v>
      </c>
      <c r="T2001" t="s">
        <v>169</v>
      </c>
    </row>
    <row r="2002" spans="1:20" x14ac:dyDescent="0.2">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v>10.11</v>
      </c>
      <c r="Q2002">
        <v>3</v>
      </c>
      <c r="R2002">
        <v>3.2351999999999999</v>
      </c>
      <c r="S2002" s="9" t="s">
        <v>83</v>
      </c>
      <c r="T2002" t="s">
        <v>48</v>
      </c>
    </row>
    <row r="2003" spans="1:20" x14ac:dyDescent="0.2">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v>3785.2919999999999</v>
      </c>
      <c r="Q2003">
        <v>6</v>
      </c>
      <c r="R2003">
        <v>420.58800000000002</v>
      </c>
      <c r="S2003" s="9" t="s">
        <v>58</v>
      </c>
      <c r="T2003" t="s">
        <v>77</v>
      </c>
    </row>
    <row r="2004" spans="1:20" x14ac:dyDescent="0.2">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v>199.9</v>
      </c>
      <c r="Q2004">
        <v>5</v>
      </c>
      <c r="R2004">
        <v>39.979999999999997</v>
      </c>
      <c r="S2004" s="9" t="s">
        <v>83</v>
      </c>
      <c r="T2004" t="s">
        <v>34</v>
      </c>
    </row>
    <row r="2005" spans="1:20" x14ac:dyDescent="0.2">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v>1212.96</v>
      </c>
      <c r="Q2005">
        <v>8</v>
      </c>
      <c r="R2005">
        <v>-69.311999999999998</v>
      </c>
      <c r="S2005" s="9" t="s">
        <v>58</v>
      </c>
      <c r="T2005" t="s">
        <v>161</v>
      </c>
    </row>
    <row r="2006" spans="1:20" x14ac:dyDescent="0.2">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v>103.48099999999999</v>
      </c>
      <c r="Q2006">
        <v>1</v>
      </c>
      <c r="R2006">
        <v>-16.261299999999999</v>
      </c>
      <c r="S2006" s="9" t="s">
        <v>83</v>
      </c>
      <c r="T2006" t="s">
        <v>253</v>
      </c>
    </row>
    <row r="2007" spans="1:20" x14ac:dyDescent="0.2">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v>477.3</v>
      </c>
      <c r="Q2007">
        <v>5</v>
      </c>
      <c r="R2007">
        <v>138.417</v>
      </c>
      <c r="S2007" s="9" t="s">
        <v>47</v>
      </c>
      <c r="T2007" t="s">
        <v>161</v>
      </c>
    </row>
    <row r="2008" spans="1:20" x14ac:dyDescent="0.2">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v>701.96</v>
      </c>
      <c r="Q2008">
        <v>2</v>
      </c>
      <c r="R2008">
        <v>168.47040000000001</v>
      </c>
      <c r="S2008" s="9" t="s">
        <v>58</v>
      </c>
      <c r="T2008" t="s">
        <v>34</v>
      </c>
    </row>
    <row r="2009" spans="1:20" x14ac:dyDescent="0.2">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v>31.96</v>
      </c>
      <c r="Q2009">
        <v>2</v>
      </c>
      <c r="R2009">
        <v>1.5980000000000001</v>
      </c>
      <c r="S2009" s="9" t="s">
        <v>83</v>
      </c>
      <c r="T2009" t="s">
        <v>34</v>
      </c>
    </row>
    <row r="2010" spans="1:20" x14ac:dyDescent="0.2">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v>166.5</v>
      </c>
      <c r="Q2010">
        <v>2</v>
      </c>
      <c r="R2010">
        <v>-66.599999999999994</v>
      </c>
      <c r="S2010" s="9" t="s">
        <v>58</v>
      </c>
      <c r="T2010" t="s">
        <v>34</v>
      </c>
    </row>
    <row r="2011" spans="1:20" x14ac:dyDescent="0.2">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v>128.124</v>
      </c>
      <c r="Q2011">
        <v>2</v>
      </c>
      <c r="R2011">
        <v>24.2012</v>
      </c>
      <c r="S2011" s="9" t="s">
        <v>58</v>
      </c>
      <c r="T2011" t="s">
        <v>34</v>
      </c>
    </row>
    <row r="2012" spans="1:20" x14ac:dyDescent="0.2">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v>101.4</v>
      </c>
      <c r="Q2012">
        <v>5</v>
      </c>
      <c r="R2012">
        <v>38.531999999999996</v>
      </c>
      <c r="S2012" s="9" t="s">
        <v>58</v>
      </c>
      <c r="T2012" t="s">
        <v>34</v>
      </c>
    </row>
    <row r="2013" spans="1:20" x14ac:dyDescent="0.2">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v>51.56</v>
      </c>
      <c r="Q2013">
        <v>2</v>
      </c>
      <c r="R2013">
        <v>-61.872</v>
      </c>
      <c r="S2013" s="9" t="s">
        <v>58</v>
      </c>
      <c r="T2013" t="s">
        <v>161</v>
      </c>
    </row>
    <row r="2014" spans="1:20" x14ac:dyDescent="0.2">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v>781.86400000000003</v>
      </c>
      <c r="Q2014">
        <v>10</v>
      </c>
      <c r="R2014">
        <v>-137.976</v>
      </c>
      <c r="S2014" s="9" t="s">
        <v>70</v>
      </c>
      <c r="T2014" t="s">
        <v>96</v>
      </c>
    </row>
    <row r="2015" spans="1:20" x14ac:dyDescent="0.2">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v>673.34400000000005</v>
      </c>
      <c r="Q2015">
        <v>3</v>
      </c>
      <c r="R2015">
        <v>-76.953599999999994</v>
      </c>
      <c r="S2015" s="9" t="s">
        <v>430</v>
      </c>
      <c r="T2015" t="s">
        <v>48</v>
      </c>
    </row>
    <row r="2016" spans="1:20" x14ac:dyDescent="0.2">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v>1592.85</v>
      </c>
      <c r="Q2016">
        <v>7</v>
      </c>
      <c r="R2016">
        <v>350.42700000000002</v>
      </c>
      <c r="S2016" s="9" t="s">
        <v>58</v>
      </c>
      <c r="T2016" t="s">
        <v>169</v>
      </c>
    </row>
    <row r="2017" spans="1:20" x14ac:dyDescent="0.2">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v>26.94</v>
      </c>
      <c r="Q2017">
        <v>3</v>
      </c>
      <c r="R2017">
        <v>11.3148</v>
      </c>
      <c r="S2017" s="9" t="s">
        <v>83</v>
      </c>
      <c r="T2017" t="s">
        <v>161</v>
      </c>
    </row>
    <row r="2018" spans="1:20" x14ac:dyDescent="0.2">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v>32.04</v>
      </c>
      <c r="Q2018">
        <v>3</v>
      </c>
      <c r="R2018">
        <v>8.01</v>
      </c>
      <c r="S2018" s="9" t="s">
        <v>83</v>
      </c>
      <c r="T2018" t="s">
        <v>34</v>
      </c>
    </row>
    <row r="2019" spans="1:20" x14ac:dyDescent="0.2">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v>204.66640000000001</v>
      </c>
      <c r="Q2019">
        <v>1</v>
      </c>
      <c r="R2019">
        <v>-6.0195999999999996</v>
      </c>
      <c r="S2019" s="9" t="s">
        <v>83</v>
      </c>
      <c r="T2019" t="s">
        <v>161</v>
      </c>
    </row>
    <row r="2020" spans="1:20" x14ac:dyDescent="0.2">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v>199.9</v>
      </c>
      <c r="Q2020">
        <v>5</v>
      </c>
      <c r="R2020">
        <v>39.979999999999997</v>
      </c>
      <c r="S2020" s="9" t="s">
        <v>123</v>
      </c>
      <c r="T2020" t="s">
        <v>96</v>
      </c>
    </row>
    <row r="2021" spans="1:20" x14ac:dyDescent="0.2">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v>427.64400000000001</v>
      </c>
      <c r="Q2021">
        <v>14</v>
      </c>
      <c r="R2021">
        <v>80.777199999999993</v>
      </c>
      <c r="S2021" s="9" t="s">
        <v>83</v>
      </c>
      <c r="T2021" t="s">
        <v>48</v>
      </c>
    </row>
    <row r="2022" spans="1:20" x14ac:dyDescent="0.2">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v>8.8559999999999999</v>
      </c>
      <c r="Q2022">
        <v>3</v>
      </c>
      <c r="R2022">
        <v>-6.8634000000000004</v>
      </c>
      <c r="S2022" s="9" t="s">
        <v>70</v>
      </c>
      <c r="T2022" t="s">
        <v>59</v>
      </c>
    </row>
    <row r="2023" spans="1:20" x14ac:dyDescent="0.2">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v>477.666</v>
      </c>
      <c r="Q2023">
        <v>2</v>
      </c>
      <c r="R2023">
        <v>84.293999999999997</v>
      </c>
      <c r="S2023" s="9" t="s">
        <v>70</v>
      </c>
      <c r="T2023" t="s">
        <v>77</v>
      </c>
    </row>
    <row r="2024" spans="1:20" x14ac:dyDescent="0.2">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v>191.96799999999999</v>
      </c>
      <c r="Q2024">
        <v>7</v>
      </c>
      <c r="R2024">
        <v>16.7972</v>
      </c>
      <c r="S2024" s="9" t="s">
        <v>58</v>
      </c>
      <c r="T2024" t="s">
        <v>161</v>
      </c>
    </row>
    <row r="2025" spans="1:20" x14ac:dyDescent="0.2">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v>369.19920000000002</v>
      </c>
      <c r="Q2025">
        <v>3</v>
      </c>
      <c r="R2025">
        <v>-114.01739999999999</v>
      </c>
      <c r="S2025" s="9" t="s">
        <v>83</v>
      </c>
      <c r="T2025" t="s">
        <v>253</v>
      </c>
    </row>
    <row r="2026" spans="1:20" x14ac:dyDescent="0.2">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v>68.432000000000002</v>
      </c>
      <c r="Q2026">
        <v>7</v>
      </c>
      <c r="R2026">
        <v>8.5540000000000003</v>
      </c>
      <c r="S2026" s="9" t="s">
        <v>58</v>
      </c>
      <c r="T2026" t="s">
        <v>77</v>
      </c>
    </row>
    <row r="2027" spans="1:20" x14ac:dyDescent="0.2">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v>71.12</v>
      </c>
      <c r="Q2027">
        <v>5</v>
      </c>
      <c r="R2027">
        <v>9.7789999999999999</v>
      </c>
      <c r="S2027" s="9" t="s">
        <v>83</v>
      </c>
      <c r="T2027" t="s">
        <v>34</v>
      </c>
    </row>
    <row r="2028" spans="1:20" x14ac:dyDescent="0.2">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v>5.3120000000000003</v>
      </c>
      <c r="Q2028">
        <v>2</v>
      </c>
      <c r="R2028">
        <v>-1.5935999999999999</v>
      </c>
      <c r="S2028" s="9" t="s">
        <v>70</v>
      </c>
      <c r="T2028" t="s">
        <v>48</v>
      </c>
    </row>
    <row r="2029" spans="1:20" x14ac:dyDescent="0.2">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v>51.968000000000004</v>
      </c>
      <c r="Q2029">
        <v>2</v>
      </c>
      <c r="R2029">
        <v>10.393599999999999</v>
      </c>
      <c r="S2029" s="9" t="s">
        <v>70</v>
      </c>
      <c r="T2029" t="s">
        <v>161</v>
      </c>
    </row>
    <row r="2030" spans="1:20" x14ac:dyDescent="0.2">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v>1125.4880000000001</v>
      </c>
      <c r="Q2030">
        <v>7</v>
      </c>
      <c r="R2030">
        <v>98.480199999999996</v>
      </c>
      <c r="S2030" s="9" t="s">
        <v>430</v>
      </c>
      <c r="T2030" t="s">
        <v>195</v>
      </c>
    </row>
    <row r="2031" spans="1:20" x14ac:dyDescent="0.2">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v>31.56</v>
      </c>
      <c r="Q2031">
        <v>3</v>
      </c>
      <c r="R2031">
        <v>10.4148</v>
      </c>
      <c r="S2031" s="9" t="s">
        <v>430</v>
      </c>
      <c r="T2031" t="s">
        <v>253</v>
      </c>
    </row>
    <row r="2032" spans="1:20" x14ac:dyDescent="0.2">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v>105.68600000000001</v>
      </c>
      <c r="Q2032">
        <v>1</v>
      </c>
      <c r="R2032">
        <v>-28.686199999999999</v>
      </c>
      <c r="S2032" s="9" t="s">
        <v>70</v>
      </c>
      <c r="T2032" t="s">
        <v>161</v>
      </c>
    </row>
    <row r="2033" spans="1:20" x14ac:dyDescent="0.2">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v>104.93</v>
      </c>
      <c r="Q2033">
        <v>5</v>
      </c>
      <c r="R2033">
        <v>-4.4969999999999999</v>
      </c>
      <c r="S2033" s="9" t="s">
        <v>70</v>
      </c>
      <c r="T2033" t="s">
        <v>161</v>
      </c>
    </row>
    <row r="2034" spans="1:20" x14ac:dyDescent="0.2">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v>589.41</v>
      </c>
      <c r="Q2034">
        <v>5</v>
      </c>
      <c r="R2034">
        <v>-6.5490000000000004</v>
      </c>
      <c r="S2034" s="9" t="s">
        <v>70</v>
      </c>
      <c r="T2034" t="s">
        <v>77</v>
      </c>
    </row>
    <row r="2035" spans="1:20" x14ac:dyDescent="0.2">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v>400.78399999999999</v>
      </c>
      <c r="Q2035">
        <v>1</v>
      </c>
      <c r="R2035">
        <v>-5.0098000000000003</v>
      </c>
      <c r="S2035" s="9" t="s">
        <v>70</v>
      </c>
      <c r="T2035" t="s">
        <v>59</v>
      </c>
    </row>
    <row r="2036" spans="1:20" x14ac:dyDescent="0.2">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v>24.7</v>
      </c>
      <c r="Q2036">
        <v>5</v>
      </c>
      <c r="R2036">
        <v>-9.8800000000000008</v>
      </c>
      <c r="S2036" s="9" t="s">
        <v>83</v>
      </c>
      <c r="T2036" t="s">
        <v>71</v>
      </c>
    </row>
    <row r="2037" spans="1:20" x14ac:dyDescent="0.2">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v>302.72000000000003</v>
      </c>
      <c r="Q2037">
        <v>5</v>
      </c>
      <c r="R2037">
        <v>-378.4</v>
      </c>
      <c r="S2037" s="9" t="s">
        <v>83</v>
      </c>
      <c r="T2037" t="s">
        <v>71</v>
      </c>
    </row>
    <row r="2038" spans="1:20" x14ac:dyDescent="0.2">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v>60.84</v>
      </c>
      <c r="Q2038">
        <v>3</v>
      </c>
      <c r="R2038">
        <v>19.468800000000002</v>
      </c>
      <c r="S2038" s="9" t="s">
        <v>83</v>
      </c>
      <c r="T2038" t="s">
        <v>77</v>
      </c>
    </row>
    <row r="2039" spans="1:20" x14ac:dyDescent="0.2">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v>376.86599999999999</v>
      </c>
      <c r="Q2039">
        <v>3</v>
      </c>
      <c r="R2039">
        <v>-213.5574</v>
      </c>
      <c r="S2039" s="9" t="s">
        <v>129</v>
      </c>
      <c r="T2039" t="s">
        <v>59</v>
      </c>
    </row>
    <row r="2040" spans="1:20" x14ac:dyDescent="0.2">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v>282.83999999999997</v>
      </c>
      <c r="Q2040">
        <v>4</v>
      </c>
      <c r="R2040">
        <v>19.7988</v>
      </c>
      <c r="S2040" s="9" t="s">
        <v>33</v>
      </c>
      <c r="T2040" t="s">
        <v>161</v>
      </c>
    </row>
    <row r="2041" spans="1:20" x14ac:dyDescent="0.2">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v>307.31400000000002</v>
      </c>
      <c r="Q2041">
        <v>3</v>
      </c>
      <c r="R2041">
        <v>-39.511800000000001</v>
      </c>
      <c r="S2041" s="9" t="s">
        <v>123</v>
      </c>
      <c r="T2041" t="s">
        <v>59</v>
      </c>
    </row>
    <row r="2042" spans="1:20" x14ac:dyDescent="0.2">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v>409.99919999999997</v>
      </c>
      <c r="Q2042">
        <v>3</v>
      </c>
      <c r="R2042">
        <v>-96.470399999999998</v>
      </c>
      <c r="S2042" s="9" t="s">
        <v>123</v>
      </c>
      <c r="T2042" t="s">
        <v>59</v>
      </c>
    </row>
    <row r="2043" spans="1:20" x14ac:dyDescent="0.2">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v>1628.82</v>
      </c>
      <c r="Q2043">
        <v>9</v>
      </c>
      <c r="R2043">
        <v>260.6112</v>
      </c>
      <c r="S2043" s="9" t="s">
        <v>33</v>
      </c>
      <c r="T2043" t="s">
        <v>48</v>
      </c>
    </row>
    <row r="2044" spans="1:20" x14ac:dyDescent="0.2">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v>137.54</v>
      </c>
      <c r="Q2044">
        <v>2</v>
      </c>
      <c r="R2044">
        <v>55.015999999999998</v>
      </c>
      <c r="S2044" s="9" t="s">
        <v>47</v>
      </c>
      <c r="T2044" t="s">
        <v>34</v>
      </c>
    </row>
    <row r="2045" spans="1:20" x14ac:dyDescent="0.2">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v>730.2</v>
      </c>
      <c r="Q2045">
        <v>4</v>
      </c>
      <c r="R2045">
        <v>94.926000000000002</v>
      </c>
      <c r="S2045" s="9" t="s">
        <v>47</v>
      </c>
      <c r="T2045" t="s">
        <v>34</v>
      </c>
    </row>
    <row r="2046" spans="1:20" x14ac:dyDescent="0.2">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v>4297.6440000000002</v>
      </c>
      <c r="Q2046">
        <v>13</v>
      </c>
      <c r="R2046">
        <v>-1862.3124</v>
      </c>
      <c r="S2046" s="9" t="s">
        <v>33</v>
      </c>
      <c r="T2046" t="s">
        <v>169</v>
      </c>
    </row>
    <row r="2047" spans="1:20" x14ac:dyDescent="0.2">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v>436.70400000000001</v>
      </c>
      <c r="Q2047">
        <v>6</v>
      </c>
      <c r="R2047">
        <v>21.8352</v>
      </c>
      <c r="S2047" s="9" t="s">
        <v>58</v>
      </c>
      <c r="T2047" t="s">
        <v>195</v>
      </c>
    </row>
    <row r="2048" spans="1:20" x14ac:dyDescent="0.2">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v>481.56799999999998</v>
      </c>
      <c r="Q2048">
        <v>2</v>
      </c>
      <c r="R2048">
        <v>54.176400000000001</v>
      </c>
      <c r="S2048" s="9" t="s">
        <v>58</v>
      </c>
      <c r="T2048" t="s">
        <v>195</v>
      </c>
    </row>
    <row r="2049" spans="1:20" x14ac:dyDescent="0.2">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v>3406.6640000000002</v>
      </c>
      <c r="Q2049">
        <v>8</v>
      </c>
      <c r="R2049">
        <v>160.31360000000001</v>
      </c>
      <c r="S2049" s="9" t="s">
        <v>83</v>
      </c>
      <c r="T2049" t="s">
        <v>34</v>
      </c>
    </row>
    <row r="2050" spans="1:20" x14ac:dyDescent="0.2">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v>595.38</v>
      </c>
      <c r="Q2050">
        <v>6</v>
      </c>
      <c r="R2050">
        <v>297.69</v>
      </c>
      <c r="S2050" s="9" t="s">
        <v>83</v>
      </c>
      <c r="T2050" t="s">
        <v>34</v>
      </c>
    </row>
    <row r="2051" spans="1:20" x14ac:dyDescent="0.2">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v>97.44</v>
      </c>
      <c r="Q2051">
        <v>3</v>
      </c>
      <c r="R2051">
        <v>35.078400000000002</v>
      </c>
      <c r="S2051" s="9" t="s">
        <v>47</v>
      </c>
      <c r="T2051" t="s">
        <v>77</v>
      </c>
    </row>
    <row r="2052" spans="1:20" x14ac:dyDescent="0.2">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v>579.52800000000002</v>
      </c>
      <c r="Q2052">
        <v>4</v>
      </c>
      <c r="R2052">
        <v>83.709599999999995</v>
      </c>
      <c r="S2052" s="9" t="s">
        <v>47</v>
      </c>
      <c r="T2052" t="s">
        <v>77</v>
      </c>
    </row>
    <row r="2053" spans="1:20" x14ac:dyDescent="0.2">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v>119.94</v>
      </c>
      <c r="Q2053">
        <v>3</v>
      </c>
      <c r="R2053">
        <v>23.988</v>
      </c>
      <c r="S2053" s="9" t="s">
        <v>83</v>
      </c>
      <c r="T2053" t="s">
        <v>34</v>
      </c>
    </row>
    <row r="2054" spans="1:20" x14ac:dyDescent="0.2">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v>12.42</v>
      </c>
      <c r="Q2054">
        <v>3</v>
      </c>
      <c r="R2054">
        <v>4.4711999999999996</v>
      </c>
      <c r="S2054" s="9" t="s">
        <v>83</v>
      </c>
      <c r="T2054" t="s">
        <v>34</v>
      </c>
    </row>
    <row r="2055" spans="1:20" x14ac:dyDescent="0.2">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v>41.6</v>
      </c>
      <c r="Q2055">
        <v>4</v>
      </c>
      <c r="R2055">
        <v>14.144</v>
      </c>
      <c r="S2055" s="9" t="s">
        <v>83</v>
      </c>
      <c r="T2055" t="s">
        <v>161</v>
      </c>
    </row>
    <row r="2056" spans="1:20" x14ac:dyDescent="0.2">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v>201.04</v>
      </c>
      <c r="Q2056">
        <v>8</v>
      </c>
      <c r="R2056">
        <v>54.280799999999999</v>
      </c>
      <c r="S2056" s="9" t="s">
        <v>58</v>
      </c>
      <c r="T2056" t="s">
        <v>96</v>
      </c>
    </row>
    <row r="2057" spans="1:20" x14ac:dyDescent="0.2">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v>613.99919999999997</v>
      </c>
      <c r="Q2057">
        <v>3</v>
      </c>
      <c r="R2057">
        <v>-18.058800000000002</v>
      </c>
      <c r="S2057" s="9" t="s">
        <v>83</v>
      </c>
      <c r="T2057" t="s">
        <v>34</v>
      </c>
    </row>
    <row r="2058" spans="1:20" x14ac:dyDescent="0.2">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v>30.335999999999999</v>
      </c>
      <c r="Q2058">
        <v>4</v>
      </c>
      <c r="R2058">
        <v>9.48</v>
      </c>
      <c r="S2058" s="9" t="s">
        <v>430</v>
      </c>
      <c r="T2058" t="s">
        <v>195</v>
      </c>
    </row>
    <row r="2059" spans="1:20" x14ac:dyDescent="0.2">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v>242.136</v>
      </c>
      <c r="Q2059">
        <v>3</v>
      </c>
      <c r="R2059">
        <v>12.1068</v>
      </c>
      <c r="S2059" s="9" t="s">
        <v>129</v>
      </c>
      <c r="T2059" t="s">
        <v>48</v>
      </c>
    </row>
    <row r="2060" spans="1:20" x14ac:dyDescent="0.2">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v>19.96</v>
      </c>
      <c r="Q2060">
        <v>2</v>
      </c>
      <c r="R2060">
        <v>5.5888</v>
      </c>
      <c r="S2060" s="9" t="s">
        <v>129</v>
      </c>
      <c r="T2060" t="s">
        <v>48</v>
      </c>
    </row>
    <row r="2061" spans="1:20" x14ac:dyDescent="0.2">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v>273.56799999999998</v>
      </c>
      <c r="Q2061">
        <v>2</v>
      </c>
      <c r="R2061">
        <v>-34.195999999999998</v>
      </c>
      <c r="S2061" s="9" t="s">
        <v>58</v>
      </c>
      <c r="T2061" t="s">
        <v>34</v>
      </c>
    </row>
    <row r="2062" spans="1:20" x14ac:dyDescent="0.2">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v>18.96</v>
      </c>
      <c r="Q2062">
        <v>2</v>
      </c>
      <c r="R2062">
        <v>7.5839999999999996</v>
      </c>
      <c r="S2062" s="9" t="s">
        <v>83</v>
      </c>
      <c r="T2062" t="s">
        <v>77</v>
      </c>
    </row>
    <row r="2063" spans="1:20" x14ac:dyDescent="0.2">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v>326.64600000000002</v>
      </c>
      <c r="Q2063">
        <v>3</v>
      </c>
      <c r="R2063">
        <v>39.923400000000001</v>
      </c>
      <c r="S2063" s="9" t="s">
        <v>83</v>
      </c>
      <c r="T2063" t="s">
        <v>297</v>
      </c>
    </row>
    <row r="2064" spans="1:20" x14ac:dyDescent="0.2">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v>500.24</v>
      </c>
      <c r="Q2064">
        <v>13</v>
      </c>
      <c r="R2064">
        <v>145.06960000000001</v>
      </c>
      <c r="S2064" s="9" t="s">
        <v>58</v>
      </c>
      <c r="T2064" t="s">
        <v>253</v>
      </c>
    </row>
    <row r="2065" spans="1:20" x14ac:dyDescent="0.2">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v>4404.8999999999996</v>
      </c>
      <c r="Q2065">
        <v>5</v>
      </c>
      <c r="R2065">
        <v>1013.127</v>
      </c>
      <c r="S2065" s="9" t="s">
        <v>83</v>
      </c>
      <c r="T2065" t="s">
        <v>34</v>
      </c>
    </row>
    <row r="2066" spans="1:20" x14ac:dyDescent="0.2">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v>364.08</v>
      </c>
      <c r="Q2066">
        <v>2</v>
      </c>
      <c r="R2066">
        <v>9.1020000000000003</v>
      </c>
      <c r="S2066" s="9" t="s">
        <v>430</v>
      </c>
      <c r="T2066" t="s">
        <v>34</v>
      </c>
    </row>
    <row r="2067" spans="1:20" x14ac:dyDescent="0.2">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v>71.087999999999994</v>
      </c>
      <c r="Q2067">
        <v>2</v>
      </c>
      <c r="R2067">
        <v>-1.7771999999999999</v>
      </c>
      <c r="S2067" s="9" t="s">
        <v>430</v>
      </c>
      <c r="T2067" t="s">
        <v>34</v>
      </c>
    </row>
    <row r="2068" spans="1:20" x14ac:dyDescent="0.2">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v>10.984</v>
      </c>
      <c r="Q2068">
        <v>2</v>
      </c>
      <c r="R2068">
        <v>-7.9634</v>
      </c>
      <c r="S2068" s="9" t="s">
        <v>83</v>
      </c>
      <c r="T2068" t="s">
        <v>34</v>
      </c>
    </row>
    <row r="2069" spans="1:20" x14ac:dyDescent="0.2">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v>797.94399999999996</v>
      </c>
      <c r="Q2069">
        <v>4</v>
      </c>
      <c r="R2069">
        <v>-56.996000000000002</v>
      </c>
      <c r="S2069" s="9" t="s">
        <v>83</v>
      </c>
      <c r="T2069" t="s">
        <v>34</v>
      </c>
    </row>
    <row r="2070" spans="1:20" x14ac:dyDescent="0.2">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v>292.10000000000002</v>
      </c>
      <c r="Q2070">
        <v>2</v>
      </c>
      <c r="R2070">
        <v>58.42</v>
      </c>
      <c r="S2070" s="9" t="s">
        <v>70</v>
      </c>
      <c r="T2070" t="s">
        <v>195</v>
      </c>
    </row>
    <row r="2071" spans="1:20" x14ac:dyDescent="0.2">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v>1403.92</v>
      </c>
      <c r="Q2071">
        <v>5</v>
      </c>
      <c r="R2071">
        <v>70.195999999999998</v>
      </c>
      <c r="S2071" s="9" t="s">
        <v>58</v>
      </c>
      <c r="T2071" t="s">
        <v>48</v>
      </c>
    </row>
    <row r="2072" spans="1:20" x14ac:dyDescent="0.2">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v>339.92</v>
      </c>
      <c r="Q2072">
        <v>5</v>
      </c>
      <c r="R2072">
        <v>8.4979999999999993</v>
      </c>
      <c r="S2072" s="9" t="s">
        <v>129</v>
      </c>
      <c r="T2072" t="s">
        <v>34</v>
      </c>
    </row>
    <row r="2073" spans="1:20" x14ac:dyDescent="0.2">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v>17.495999999999999</v>
      </c>
      <c r="Q2073">
        <v>3</v>
      </c>
      <c r="R2073">
        <v>-10.0602</v>
      </c>
      <c r="S2073" s="9" t="s">
        <v>83</v>
      </c>
      <c r="T2073" t="s">
        <v>71</v>
      </c>
    </row>
    <row r="2074" spans="1:20" x14ac:dyDescent="0.2">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v>8.2799999999999994</v>
      </c>
      <c r="Q2074">
        <v>2</v>
      </c>
      <c r="R2074">
        <v>2.9807999999999999</v>
      </c>
      <c r="S2074" s="9" t="s">
        <v>70</v>
      </c>
      <c r="T2074" t="s">
        <v>161</v>
      </c>
    </row>
    <row r="2075" spans="1:20" x14ac:dyDescent="0.2">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v>149.9</v>
      </c>
      <c r="Q2075">
        <v>5</v>
      </c>
      <c r="R2075">
        <v>40.472999999999999</v>
      </c>
      <c r="S2075" s="9" t="s">
        <v>430</v>
      </c>
      <c r="T2075" t="s">
        <v>34</v>
      </c>
    </row>
    <row r="2076" spans="1:20" x14ac:dyDescent="0.2">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v>1023.332</v>
      </c>
      <c r="Q2076">
        <v>5</v>
      </c>
      <c r="R2076">
        <v>-30.097999999999999</v>
      </c>
      <c r="S2076" s="9" t="s">
        <v>58</v>
      </c>
      <c r="T2076" t="s">
        <v>195</v>
      </c>
    </row>
    <row r="2077" spans="1:20" x14ac:dyDescent="0.2">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v>600.55799999999999</v>
      </c>
      <c r="Q2077">
        <v>3</v>
      </c>
      <c r="R2077">
        <v>-8.5793999999999997</v>
      </c>
      <c r="S2077" s="9" t="s">
        <v>58</v>
      </c>
      <c r="T2077" t="s">
        <v>195</v>
      </c>
    </row>
    <row r="2078" spans="1:20" x14ac:dyDescent="0.2">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v>211.24600000000001</v>
      </c>
      <c r="Q2078">
        <v>2</v>
      </c>
      <c r="R2078">
        <v>-66.391599999999997</v>
      </c>
      <c r="S2078" s="9" t="s">
        <v>58</v>
      </c>
      <c r="T2078" t="s">
        <v>195</v>
      </c>
    </row>
    <row r="2079" spans="1:20" x14ac:dyDescent="0.2">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v>107.77200000000001</v>
      </c>
      <c r="Q2079">
        <v>2</v>
      </c>
      <c r="R2079">
        <v>-29.252400000000002</v>
      </c>
      <c r="S2079" s="9" t="s">
        <v>70</v>
      </c>
      <c r="T2079" t="s">
        <v>161</v>
      </c>
    </row>
    <row r="2080" spans="1:20" x14ac:dyDescent="0.2">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v>7.38</v>
      </c>
      <c r="Q2080">
        <v>1</v>
      </c>
      <c r="R2080">
        <v>2.1402000000000001</v>
      </c>
      <c r="S2080" s="9" t="s">
        <v>70</v>
      </c>
      <c r="T2080" t="s">
        <v>71</v>
      </c>
    </row>
    <row r="2081" spans="1:20" x14ac:dyDescent="0.2">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v>45.567999999999998</v>
      </c>
      <c r="Q2081">
        <v>2</v>
      </c>
      <c r="R2081">
        <v>9.6831999999999994</v>
      </c>
      <c r="S2081" s="9" t="s">
        <v>58</v>
      </c>
      <c r="T2081" t="s">
        <v>48</v>
      </c>
    </row>
    <row r="2082" spans="1:20" x14ac:dyDescent="0.2">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v>194.84800000000001</v>
      </c>
      <c r="Q2082">
        <v>4</v>
      </c>
      <c r="R2082">
        <v>12.178000000000001</v>
      </c>
      <c r="S2082" s="9" t="s">
        <v>58</v>
      </c>
      <c r="T2082" t="s">
        <v>71</v>
      </c>
    </row>
    <row r="2083" spans="1:20" x14ac:dyDescent="0.2">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v>173.208</v>
      </c>
      <c r="Q2083">
        <v>7</v>
      </c>
      <c r="R2083">
        <v>45.467100000000002</v>
      </c>
      <c r="S2083" s="9" t="s">
        <v>83</v>
      </c>
      <c r="T2083" t="s">
        <v>59</v>
      </c>
    </row>
    <row r="2084" spans="1:20" x14ac:dyDescent="0.2">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v>195.136</v>
      </c>
      <c r="Q2084">
        <v>4</v>
      </c>
      <c r="R2084">
        <v>-12.196</v>
      </c>
      <c r="S2084" s="9" t="s">
        <v>83</v>
      </c>
      <c r="T2084" t="s">
        <v>253</v>
      </c>
    </row>
    <row r="2085" spans="1:20" x14ac:dyDescent="0.2">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v>242.352</v>
      </c>
      <c r="Q2085">
        <v>3</v>
      </c>
      <c r="R2085">
        <v>15.147</v>
      </c>
      <c r="S2085" s="9" t="s">
        <v>47</v>
      </c>
      <c r="T2085" t="s">
        <v>71</v>
      </c>
    </row>
    <row r="2086" spans="1:20" x14ac:dyDescent="0.2">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v>8.6240000000000006</v>
      </c>
      <c r="Q2086">
        <v>7</v>
      </c>
      <c r="R2086">
        <v>-2.5872000000000002</v>
      </c>
      <c r="S2086" s="9" t="s">
        <v>70</v>
      </c>
      <c r="T2086" t="s">
        <v>96</v>
      </c>
    </row>
    <row r="2087" spans="1:20" x14ac:dyDescent="0.2">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v>14</v>
      </c>
      <c r="Q2087">
        <v>4</v>
      </c>
      <c r="R2087">
        <v>-6.3</v>
      </c>
      <c r="S2087" s="9" t="s">
        <v>70</v>
      </c>
      <c r="T2087" t="s">
        <v>48</v>
      </c>
    </row>
    <row r="2088" spans="1:20" x14ac:dyDescent="0.2">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v>483.13600000000002</v>
      </c>
      <c r="Q2088">
        <v>4</v>
      </c>
      <c r="R2088">
        <v>60.392000000000003</v>
      </c>
      <c r="S2088" s="9" t="s">
        <v>129</v>
      </c>
      <c r="T2088" t="s">
        <v>77</v>
      </c>
    </row>
    <row r="2089" spans="1:20" x14ac:dyDescent="0.2">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v>61.543999999999997</v>
      </c>
      <c r="Q2089">
        <v>7</v>
      </c>
      <c r="R2089">
        <v>-40.003599999999999</v>
      </c>
      <c r="S2089" s="9" t="s">
        <v>33</v>
      </c>
      <c r="T2089" t="s">
        <v>59</v>
      </c>
    </row>
    <row r="2090" spans="1:20" x14ac:dyDescent="0.2">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v>511.5</v>
      </c>
      <c r="Q2090">
        <v>5</v>
      </c>
      <c r="R2090">
        <v>132.99</v>
      </c>
      <c r="S2090" s="9" t="s">
        <v>70</v>
      </c>
      <c r="T2090" t="s">
        <v>77</v>
      </c>
    </row>
    <row r="2091" spans="1:20" x14ac:dyDescent="0.2">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v>12.56</v>
      </c>
      <c r="Q2091">
        <v>2</v>
      </c>
      <c r="R2091">
        <v>4.0191999999999997</v>
      </c>
      <c r="S2091" s="9" t="s">
        <v>83</v>
      </c>
      <c r="T2091" t="s">
        <v>161</v>
      </c>
    </row>
    <row r="2092" spans="1:20" x14ac:dyDescent="0.2">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v>214.7</v>
      </c>
      <c r="Q2092">
        <v>5</v>
      </c>
      <c r="R2092">
        <v>83.733000000000004</v>
      </c>
      <c r="S2092" s="9" t="s">
        <v>83</v>
      </c>
      <c r="T2092" t="s">
        <v>161</v>
      </c>
    </row>
    <row r="2093" spans="1:20" x14ac:dyDescent="0.2">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v>50.32</v>
      </c>
      <c r="Q2093">
        <v>4</v>
      </c>
      <c r="R2093">
        <v>21.134399999999999</v>
      </c>
      <c r="S2093" s="9" t="s">
        <v>83</v>
      </c>
      <c r="T2093" t="s">
        <v>59</v>
      </c>
    </row>
    <row r="2094" spans="1:20" x14ac:dyDescent="0.2">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v>3393.68</v>
      </c>
      <c r="Q2094">
        <v>8</v>
      </c>
      <c r="R2094">
        <v>610.86239999999998</v>
      </c>
      <c r="S2094" s="9" t="s">
        <v>83</v>
      </c>
      <c r="T2094" t="s">
        <v>195</v>
      </c>
    </row>
    <row r="2095" spans="1:20" x14ac:dyDescent="0.2">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v>18.96</v>
      </c>
      <c r="Q2095">
        <v>2</v>
      </c>
      <c r="R2095">
        <v>8.532</v>
      </c>
      <c r="S2095" s="9" t="s">
        <v>129</v>
      </c>
      <c r="T2095" t="s">
        <v>169</v>
      </c>
    </row>
    <row r="2096" spans="1:20" x14ac:dyDescent="0.2">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v>68.703999999999994</v>
      </c>
      <c r="Q2096">
        <v>2</v>
      </c>
      <c r="R2096">
        <v>16.3172</v>
      </c>
      <c r="S2096" s="9" t="s">
        <v>70</v>
      </c>
      <c r="T2096" t="s">
        <v>34</v>
      </c>
    </row>
    <row r="2097" spans="1:20" x14ac:dyDescent="0.2">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v>573.17399999999998</v>
      </c>
      <c r="Q2097">
        <v>7</v>
      </c>
      <c r="R2097">
        <v>63.686</v>
      </c>
      <c r="S2097" s="9" t="s">
        <v>83</v>
      </c>
      <c r="T2097" t="s">
        <v>253</v>
      </c>
    </row>
    <row r="2098" spans="1:20" x14ac:dyDescent="0.2">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v>403.56</v>
      </c>
      <c r="Q2098">
        <v>4</v>
      </c>
      <c r="R2098">
        <v>96.854399999999998</v>
      </c>
      <c r="S2098" s="9" t="s">
        <v>33</v>
      </c>
      <c r="T2098" t="s">
        <v>71</v>
      </c>
    </row>
    <row r="2099" spans="1:20" x14ac:dyDescent="0.2">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v>95.2</v>
      </c>
      <c r="Q2099">
        <v>5</v>
      </c>
      <c r="R2099">
        <v>27.608000000000001</v>
      </c>
      <c r="S2099" s="9" t="s">
        <v>33</v>
      </c>
      <c r="T2099" t="s">
        <v>71</v>
      </c>
    </row>
    <row r="2100" spans="1:20" x14ac:dyDescent="0.2">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v>466.32</v>
      </c>
      <c r="Q2100">
        <v>3</v>
      </c>
      <c r="R2100">
        <v>34.973999999999997</v>
      </c>
      <c r="S2100" s="9" t="s">
        <v>83</v>
      </c>
      <c r="T2100" t="s">
        <v>59</v>
      </c>
    </row>
    <row r="2101" spans="1:20" x14ac:dyDescent="0.2">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v>82.64</v>
      </c>
      <c r="Q2101">
        <v>2</v>
      </c>
      <c r="R2101">
        <v>0</v>
      </c>
      <c r="S2101" s="9" t="s">
        <v>83</v>
      </c>
      <c r="T2101" t="s">
        <v>59</v>
      </c>
    </row>
    <row r="2102" spans="1:20" x14ac:dyDescent="0.2">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v>330.58800000000002</v>
      </c>
      <c r="Q2102">
        <v>1</v>
      </c>
      <c r="R2102">
        <v>-143.25479999999999</v>
      </c>
      <c r="S2102" s="9" t="s">
        <v>129</v>
      </c>
      <c r="T2102" t="s">
        <v>195</v>
      </c>
    </row>
    <row r="2103" spans="1:20" x14ac:dyDescent="0.2">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v>22.751999999999999</v>
      </c>
      <c r="Q2103">
        <v>3</v>
      </c>
      <c r="R2103">
        <v>7.11</v>
      </c>
      <c r="S2103" s="9" t="s">
        <v>83</v>
      </c>
      <c r="T2103" t="s">
        <v>253</v>
      </c>
    </row>
    <row r="2104" spans="1:20" x14ac:dyDescent="0.2">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v>25.128</v>
      </c>
      <c r="Q2104">
        <v>3</v>
      </c>
      <c r="R2104">
        <v>-6.9101999999999997</v>
      </c>
      <c r="S2104" s="9" t="s">
        <v>129</v>
      </c>
      <c r="T2104" t="s">
        <v>34</v>
      </c>
    </row>
    <row r="2105" spans="1:20" x14ac:dyDescent="0.2">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v>131.88</v>
      </c>
      <c r="Q2105">
        <v>7</v>
      </c>
      <c r="R2105">
        <v>55.389600000000002</v>
      </c>
      <c r="S2105" s="9" t="s">
        <v>70</v>
      </c>
      <c r="T2105" t="s">
        <v>77</v>
      </c>
    </row>
    <row r="2106" spans="1:20" x14ac:dyDescent="0.2">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v>717.72</v>
      </c>
      <c r="Q2106">
        <v>3</v>
      </c>
      <c r="R2106">
        <v>71.772000000000006</v>
      </c>
      <c r="S2106" s="9" t="s">
        <v>70</v>
      </c>
      <c r="T2106" t="s">
        <v>77</v>
      </c>
    </row>
    <row r="2107" spans="1:20" x14ac:dyDescent="0.2">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v>207.35</v>
      </c>
      <c r="Q2107">
        <v>5</v>
      </c>
      <c r="R2107">
        <v>24.882000000000001</v>
      </c>
      <c r="S2107" s="9" t="s">
        <v>70</v>
      </c>
      <c r="T2107" t="s">
        <v>77</v>
      </c>
    </row>
    <row r="2108" spans="1:20" x14ac:dyDescent="0.2">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v>44.67</v>
      </c>
      <c r="Q2108">
        <v>3</v>
      </c>
      <c r="R2108">
        <v>12.0609</v>
      </c>
      <c r="S2108" s="9" t="s">
        <v>70</v>
      </c>
      <c r="T2108" t="s">
        <v>77</v>
      </c>
    </row>
    <row r="2109" spans="1:20" x14ac:dyDescent="0.2">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v>362.13600000000002</v>
      </c>
      <c r="Q2109">
        <v>3</v>
      </c>
      <c r="R2109">
        <v>-54.320399999999999</v>
      </c>
      <c r="S2109" s="9" t="s">
        <v>70</v>
      </c>
      <c r="T2109" t="s">
        <v>48</v>
      </c>
    </row>
    <row r="2110" spans="1:20" x14ac:dyDescent="0.2">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v>14.91</v>
      </c>
      <c r="Q2110">
        <v>3</v>
      </c>
      <c r="R2110">
        <v>4.6220999999999997</v>
      </c>
      <c r="S2110" s="9" t="s">
        <v>70</v>
      </c>
      <c r="T2110" t="s">
        <v>169</v>
      </c>
    </row>
    <row r="2111" spans="1:20" x14ac:dyDescent="0.2">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v>528.42999999999995</v>
      </c>
      <c r="Q2111">
        <v>5</v>
      </c>
      <c r="R2111">
        <v>-143.43100000000001</v>
      </c>
      <c r="S2111" s="9" t="s">
        <v>83</v>
      </c>
      <c r="T2111" t="s">
        <v>195</v>
      </c>
    </row>
    <row r="2112" spans="1:20" x14ac:dyDescent="0.2">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v>24.27</v>
      </c>
      <c r="Q2112">
        <v>3</v>
      </c>
      <c r="R2112">
        <v>8.7371999999999996</v>
      </c>
      <c r="S2112" s="9" t="s">
        <v>430</v>
      </c>
      <c r="T2112" t="s">
        <v>77</v>
      </c>
    </row>
    <row r="2113" spans="1:20" x14ac:dyDescent="0.2">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v>683.33199999999999</v>
      </c>
      <c r="Q2113">
        <v>4</v>
      </c>
      <c r="R2113">
        <v>-40.195999999999998</v>
      </c>
      <c r="S2113" s="9" t="s">
        <v>83</v>
      </c>
      <c r="T2113" t="s">
        <v>34</v>
      </c>
    </row>
    <row r="2114" spans="1:20" x14ac:dyDescent="0.2">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v>71.087999999999994</v>
      </c>
      <c r="Q2114">
        <v>2</v>
      </c>
      <c r="R2114">
        <v>-1.7771999999999999</v>
      </c>
      <c r="S2114" s="9" t="s">
        <v>33</v>
      </c>
      <c r="T2114" t="s">
        <v>59</v>
      </c>
    </row>
    <row r="2115" spans="1:20" x14ac:dyDescent="0.2">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v>60.35</v>
      </c>
      <c r="Q2115">
        <v>5</v>
      </c>
      <c r="R2115">
        <v>19.915500000000002</v>
      </c>
      <c r="S2115" s="9" t="s">
        <v>58</v>
      </c>
      <c r="T2115" t="s">
        <v>96</v>
      </c>
    </row>
    <row r="2116" spans="1:20" x14ac:dyDescent="0.2">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v>1925.88</v>
      </c>
      <c r="Q2116">
        <v>6</v>
      </c>
      <c r="R2116">
        <v>539.24639999999999</v>
      </c>
      <c r="S2116" s="9" t="s">
        <v>70</v>
      </c>
      <c r="T2116" t="s">
        <v>59</v>
      </c>
    </row>
    <row r="2117" spans="1:20" x14ac:dyDescent="0.2">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v>273.56799999999998</v>
      </c>
      <c r="Q2117">
        <v>2</v>
      </c>
      <c r="R2117">
        <v>10.258800000000001</v>
      </c>
      <c r="S2117" s="9" t="s">
        <v>70</v>
      </c>
      <c r="T2117" t="s">
        <v>96</v>
      </c>
    </row>
    <row r="2118" spans="1:20" x14ac:dyDescent="0.2">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v>383.46559999999999</v>
      </c>
      <c r="Q2118">
        <v>4</v>
      </c>
      <c r="R2118">
        <v>-67.670400000000001</v>
      </c>
      <c r="S2118" s="9" t="s">
        <v>33</v>
      </c>
      <c r="T2118" t="s">
        <v>195</v>
      </c>
    </row>
    <row r="2119" spans="1:20" x14ac:dyDescent="0.2">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v>13.4</v>
      </c>
      <c r="Q2119">
        <v>1</v>
      </c>
      <c r="R2119">
        <v>6.4320000000000004</v>
      </c>
      <c r="S2119" s="9" t="s">
        <v>58</v>
      </c>
      <c r="T2119" t="s">
        <v>96</v>
      </c>
    </row>
    <row r="2120" spans="1:20" x14ac:dyDescent="0.2">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v>85.98</v>
      </c>
      <c r="Q2120">
        <v>1</v>
      </c>
      <c r="R2120">
        <v>22.354800000000001</v>
      </c>
      <c r="S2120" s="9" t="s">
        <v>33</v>
      </c>
      <c r="T2120" t="s">
        <v>77</v>
      </c>
    </row>
    <row r="2121" spans="1:20" x14ac:dyDescent="0.2">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v>25.248000000000001</v>
      </c>
      <c r="Q2121">
        <v>3</v>
      </c>
      <c r="R2121">
        <v>4.1028000000000002</v>
      </c>
      <c r="S2121" s="9" t="s">
        <v>70</v>
      </c>
      <c r="T2121" t="s">
        <v>169</v>
      </c>
    </row>
    <row r="2122" spans="1:20" x14ac:dyDescent="0.2">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v>91.96</v>
      </c>
      <c r="Q2122">
        <v>2</v>
      </c>
      <c r="R2122">
        <v>15.6332</v>
      </c>
      <c r="S2122" s="9" t="s">
        <v>58</v>
      </c>
      <c r="T2122" t="s">
        <v>297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4811AC26-939A-47E4-A4CC-915A907565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Furniture_data (power query)</vt:lpstr>
      <vt:lpstr>Furniture_data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evangeline835@gmail.com</cp:lastModifiedBy>
  <cp:lastPrinted>2025-05-23T14:22:00Z</cp:lastPrinted>
  <dcterms:created xsi:type="dcterms:W3CDTF">2025-05-22T14:54:59Z</dcterms:created>
  <dcterms:modified xsi:type="dcterms:W3CDTF">2026-05-15T08:30:25Z</dcterms:modified>
</cp:coreProperties>
</file>