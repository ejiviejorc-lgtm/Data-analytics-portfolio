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
    </mc:Choice>
  </mc:AlternateContent>
  <xr:revisionPtr revIDLastSave="0" documentId="8_{0EB28A6A-DE0F-2A4C-BB40-D26CDC660965}" xr6:coauthVersionLast="47" xr6:coauthVersionMax="47" xr10:uidLastSave="{00000000-0000-0000-0000-000000000000}"/>
  <bookViews>
    <workbookView xWindow="-120" yWindow="-120" windowWidth="20730" windowHeight="11160" firstSheet="2" activeTab="3" xr2:uid="{00000000-000D-0000-FFFF-FFFF00000000}"/>
  </bookViews>
  <sheets>
    <sheet name="Sales Data data set" sheetId="1" r:id="rId1"/>
    <sheet name="Cleaned_data" sheetId="3" r:id="rId2"/>
    <sheet name="Pivot Table" sheetId="6" r:id="rId3"/>
    <sheet name="DASH BOARD" sheetId="15" r:id="rId4"/>
  </sheets>
  <definedNames>
    <definedName name="Slicer_Category1">#N/A</definedName>
    <definedName name="Slicer_Region1">#N/A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ZxAyflsN4jOXSvRQ2y578+ogFusioKnmYnY84ElrfQ8="/>
    </ext>
  </extLst>
</workbook>
</file>

<file path=xl/calcChain.xml><?xml version="1.0" encoding="utf-8"?>
<calcChain xmlns="http://schemas.openxmlformats.org/spreadsheetml/2006/main">
  <c r="B2" i="3" l="1"/>
  <c r="C2" i="3"/>
  <c r="B3" i="3"/>
  <c r="C3" i="3"/>
  <c r="B4" i="3"/>
  <c r="C4" i="3"/>
  <c r="B5" i="3"/>
  <c r="C5" i="3"/>
  <c r="B6" i="3"/>
  <c r="C6" i="3"/>
  <c r="B7" i="3"/>
  <c r="C7" i="3"/>
  <c r="B8" i="3"/>
  <c r="C8" i="3"/>
  <c r="B9" i="3"/>
  <c r="C9" i="3"/>
  <c r="B10" i="3"/>
  <c r="C10" i="3"/>
  <c r="B11" i="3"/>
  <c r="C11" i="3"/>
  <c r="B12" i="3"/>
  <c r="C12" i="3"/>
  <c r="B13" i="3"/>
  <c r="C13" i="3"/>
  <c r="B14" i="3"/>
  <c r="C14" i="3"/>
  <c r="B15" i="3"/>
  <c r="C15" i="3"/>
  <c r="B16" i="3"/>
  <c r="C16" i="3"/>
  <c r="B17" i="3"/>
  <c r="C17" i="3"/>
  <c r="B18" i="3"/>
  <c r="C18" i="3"/>
  <c r="B19" i="3"/>
  <c r="C19" i="3"/>
  <c r="B20" i="3"/>
  <c r="C20" i="3"/>
  <c r="B21" i="3"/>
  <c r="C21" i="3"/>
  <c r="B22" i="3"/>
  <c r="C22" i="3"/>
  <c r="B23" i="3"/>
  <c r="C23" i="3"/>
  <c r="B24" i="3"/>
  <c r="C24" i="3"/>
  <c r="B25" i="3"/>
  <c r="C25" i="3"/>
  <c r="B26" i="3"/>
  <c r="C26" i="3"/>
  <c r="B27" i="3"/>
  <c r="C27" i="3"/>
  <c r="B28" i="3"/>
  <c r="C28" i="3"/>
  <c r="B29" i="3"/>
  <c r="C29" i="3"/>
  <c r="B30" i="3"/>
  <c r="C30" i="3"/>
  <c r="B31" i="3"/>
  <c r="C31" i="3"/>
  <c r="B32" i="3"/>
  <c r="C32" i="3"/>
  <c r="B33" i="3"/>
  <c r="C33" i="3"/>
  <c r="B34" i="3"/>
  <c r="C34" i="3"/>
  <c r="B35" i="3"/>
  <c r="C35" i="3"/>
  <c r="B36" i="3"/>
  <c r="C36" i="3"/>
  <c r="B37" i="3"/>
  <c r="C37" i="3"/>
  <c r="B38" i="3"/>
  <c r="C38" i="3"/>
  <c r="B39" i="3"/>
  <c r="C39" i="3"/>
  <c r="B40" i="3"/>
  <c r="C40" i="3"/>
  <c r="B41" i="3"/>
  <c r="C41" i="3"/>
  <c r="B42" i="3"/>
  <c r="C42" i="3"/>
  <c r="B43" i="3"/>
  <c r="C43" i="3"/>
  <c r="B44" i="3"/>
  <c r="C44" i="3"/>
  <c r="B45" i="3"/>
  <c r="C45" i="3"/>
  <c r="B46" i="3"/>
  <c r="C46" i="3"/>
  <c r="B47" i="3"/>
  <c r="C47" i="3"/>
  <c r="B48" i="3"/>
  <c r="C48" i="3"/>
  <c r="B49" i="3"/>
  <c r="C49" i="3"/>
  <c r="B50" i="3"/>
  <c r="C50" i="3"/>
  <c r="B51" i="3"/>
  <c r="C51" i="3"/>
  <c r="B52" i="3"/>
  <c r="C52" i="3"/>
  <c r="B53" i="3"/>
  <c r="C53" i="3"/>
  <c r="B54" i="3"/>
  <c r="C54" i="3"/>
  <c r="B55" i="3"/>
  <c r="C55" i="3"/>
  <c r="B56" i="3"/>
  <c r="C56" i="3"/>
  <c r="B57" i="3"/>
  <c r="C57" i="3"/>
  <c r="B58" i="3"/>
  <c r="C58" i="3"/>
  <c r="B59" i="3"/>
  <c r="C59" i="3"/>
  <c r="B60" i="3"/>
  <c r="C60" i="3"/>
  <c r="B61" i="3"/>
  <c r="C61" i="3"/>
  <c r="B62" i="3"/>
  <c r="C62" i="3"/>
  <c r="B63" i="3"/>
  <c r="C63" i="3"/>
  <c r="B64" i="3"/>
  <c r="C64" i="3"/>
  <c r="B65" i="3"/>
  <c r="C65" i="3"/>
  <c r="B66" i="3"/>
  <c r="C66" i="3"/>
  <c r="B67" i="3"/>
  <c r="C67" i="3"/>
  <c r="B68" i="3"/>
  <c r="C68" i="3"/>
  <c r="B69" i="3"/>
  <c r="C69" i="3"/>
  <c r="B70" i="3"/>
  <c r="C70" i="3"/>
  <c r="B71" i="3"/>
  <c r="C71" i="3"/>
  <c r="B72" i="3"/>
  <c r="C72" i="3"/>
  <c r="B73" i="3"/>
  <c r="C73" i="3"/>
  <c r="B74" i="3"/>
  <c r="C74" i="3"/>
  <c r="B75" i="3"/>
  <c r="C75" i="3"/>
  <c r="B76" i="3"/>
  <c r="C76" i="3"/>
  <c r="B77" i="3"/>
  <c r="C77" i="3"/>
  <c r="B78" i="3"/>
  <c r="C78" i="3"/>
  <c r="B79" i="3"/>
  <c r="C79" i="3"/>
  <c r="B80" i="3"/>
  <c r="C80" i="3"/>
  <c r="B81" i="3"/>
  <c r="C81" i="3"/>
  <c r="B82" i="3"/>
  <c r="C82" i="3"/>
  <c r="B83" i="3"/>
  <c r="C83" i="3"/>
  <c r="B84" i="3"/>
  <c r="C84" i="3"/>
  <c r="B85" i="3"/>
  <c r="C85" i="3"/>
  <c r="B86" i="3"/>
  <c r="C86" i="3"/>
  <c r="B87" i="3"/>
  <c r="C87" i="3"/>
  <c r="B88" i="3"/>
  <c r="C88" i="3"/>
  <c r="B89" i="3"/>
  <c r="C89" i="3"/>
  <c r="B90" i="3"/>
  <c r="C90" i="3"/>
  <c r="B91" i="3"/>
  <c r="C91" i="3"/>
  <c r="B92" i="3"/>
  <c r="C92" i="3"/>
  <c r="B93" i="3"/>
  <c r="C93" i="3"/>
  <c r="B94" i="3"/>
  <c r="C94" i="3"/>
  <c r="B95" i="3"/>
  <c r="C95" i="3"/>
  <c r="B96" i="3"/>
  <c r="C96" i="3"/>
  <c r="B97" i="3"/>
  <c r="C97" i="3"/>
  <c r="B98" i="3"/>
  <c r="C98" i="3"/>
  <c r="B99" i="3"/>
  <c r="C99" i="3"/>
  <c r="B100" i="3"/>
  <c r="C100" i="3"/>
  <c r="B101" i="3"/>
  <c r="C101" i="3"/>
  <c r="B102" i="3"/>
  <c r="C102" i="3"/>
  <c r="B103" i="3"/>
  <c r="C103" i="3"/>
  <c r="B104" i="3"/>
  <c r="C104" i="3"/>
  <c r="B105" i="3"/>
  <c r="C105" i="3"/>
  <c r="B106" i="3"/>
  <c r="C106" i="3"/>
  <c r="B107" i="3"/>
  <c r="C107" i="3"/>
  <c r="B108" i="3"/>
  <c r="C108" i="3"/>
  <c r="B109" i="3"/>
  <c r="C109" i="3"/>
  <c r="B110" i="3"/>
  <c r="C110" i="3"/>
  <c r="B111" i="3"/>
  <c r="C111" i="3"/>
  <c r="B112" i="3"/>
  <c r="C112" i="3"/>
  <c r="B113" i="3"/>
  <c r="C113" i="3"/>
  <c r="B114" i="3"/>
  <c r="C114" i="3"/>
  <c r="B115" i="3"/>
  <c r="C115" i="3"/>
  <c r="B116" i="3"/>
  <c r="C116" i="3"/>
  <c r="B117" i="3"/>
  <c r="C117" i="3"/>
  <c r="B118" i="3"/>
  <c r="C118" i="3"/>
  <c r="B119" i="3"/>
  <c r="C119" i="3"/>
  <c r="B120" i="3"/>
  <c r="C120" i="3"/>
  <c r="B121" i="3"/>
  <c r="C121" i="3"/>
  <c r="B122" i="3"/>
  <c r="C122" i="3"/>
  <c r="B123" i="3"/>
  <c r="C123" i="3"/>
  <c r="B124" i="3"/>
  <c r="C124" i="3"/>
  <c r="B125" i="3"/>
  <c r="C125" i="3"/>
  <c r="B126" i="3"/>
  <c r="C126" i="3"/>
  <c r="B127" i="3"/>
  <c r="C127" i="3"/>
  <c r="B128" i="3"/>
  <c r="C128" i="3"/>
  <c r="B129" i="3"/>
  <c r="C129" i="3"/>
  <c r="B130" i="3"/>
  <c r="C130" i="3"/>
  <c r="B131" i="3"/>
  <c r="C131" i="3"/>
  <c r="B132" i="3"/>
  <c r="C132" i="3"/>
  <c r="B133" i="3"/>
  <c r="C133" i="3"/>
  <c r="B134" i="3"/>
  <c r="C134" i="3"/>
  <c r="B135" i="3"/>
  <c r="C135" i="3"/>
  <c r="B136" i="3"/>
  <c r="C136" i="3"/>
  <c r="B137" i="3"/>
  <c r="C137" i="3"/>
  <c r="B138" i="3"/>
  <c r="C138" i="3"/>
  <c r="B139" i="3"/>
  <c r="C139" i="3"/>
  <c r="B140" i="3"/>
  <c r="C140" i="3"/>
  <c r="B141" i="3"/>
  <c r="C141" i="3"/>
  <c r="B142" i="3"/>
  <c r="C142" i="3"/>
  <c r="B143" i="3"/>
  <c r="C143" i="3"/>
  <c r="B144" i="3"/>
  <c r="C144" i="3"/>
  <c r="B145" i="3"/>
  <c r="C145" i="3"/>
  <c r="B146" i="3"/>
  <c r="C146" i="3"/>
  <c r="B147" i="3"/>
  <c r="C147" i="3"/>
  <c r="B148" i="3"/>
  <c r="C148" i="3"/>
  <c r="B149" i="3"/>
  <c r="C149" i="3"/>
  <c r="B150" i="3"/>
  <c r="C150" i="3"/>
  <c r="B151" i="3"/>
  <c r="C151" i="3"/>
  <c r="B152" i="3"/>
  <c r="C152" i="3"/>
  <c r="B153" i="3"/>
  <c r="C153" i="3"/>
  <c r="B154" i="3"/>
  <c r="C154" i="3"/>
  <c r="B155" i="3"/>
  <c r="C155" i="3"/>
  <c r="B156" i="3"/>
  <c r="C156" i="3"/>
  <c r="B157" i="3"/>
  <c r="C157" i="3"/>
  <c r="B158" i="3"/>
  <c r="C158" i="3"/>
  <c r="B159" i="3"/>
  <c r="C159" i="3"/>
  <c r="B160" i="3"/>
  <c r="C160" i="3"/>
  <c r="B161" i="3"/>
  <c r="C161" i="3"/>
  <c r="B162" i="3"/>
  <c r="C162" i="3"/>
  <c r="B163" i="3"/>
  <c r="C163" i="3"/>
  <c r="B164" i="3"/>
  <c r="C164" i="3"/>
  <c r="B165" i="3"/>
  <c r="C165" i="3"/>
  <c r="B166" i="3"/>
  <c r="C166" i="3"/>
  <c r="B167" i="3"/>
  <c r="C167" i="3"/>
  <c r="B168" i="3"/>
  <c r="C168" i="3"/>
  <c r="B169" i="3"/>
  <c r="C169" i="3"/>
  <c r="B170" i="3"/>
  <c r="C170" i="3"/>
  <c r="B171" i="3"/>
  <c r="C171" i="3"/>
  <c r="B172" i="3"/>
  <c r="C172" i="3"/>
  <c r="B173" i="3"/>
  <c r="C173" i="3"/>
  <c r="B174" i="3"/>
  <c r="C174" i="3"/>
  <c r="B175" i="3"/>
  <c r="C175" i="3"/>
  <c r="B176" i="3"/>
  <c r="C176" i="3"/>
  <c r="B177" i="3"/>
  <c r="C177" i="3"/>
  <c r="B178" i="3"/>
  <c r="C178" i="3"/>
  <c r="B179" i="3"/>
  <c r="C179" i="3"/>
  <c r="B180" i="3"/>
  <c r="C180" i="3"/>
  <c r="B181" i="3"/>
  <c r="C181" i="3"/>
  <c r="B182" i="3"/>
  <c r="C182" i="3"/>
  <c r="B183" i="3"/>
  <c r="C183" i="3"/>
  <c r="B184" i="3"/>
  <c r="C184" i="3"/>
  <c r="B185" i="3"/>
  <c r="C185" i="3"/>
  <c r="B186" i="3"/>
  <c r="C186" i="3"/>
  <c r="B187" i="3"/>
  <c r="C187" i="3"/>
  <c r="B188" i="3"/>
  <c r="C188" i="3"/>
  <c r="B189" i="3"/>
  <c r="C189" i="3"/>
  <c r="B190" i="3"/>
  <c r="C190" i="3"/>
  <c r="B191" i="3"/>
  <c r="C191" i="3"/>
  <c r="B192" i="3"/>
  <c r="C192" i="3"/>
  <c r="B193" i="3"/>
  <c r="C193" i="3"/>
  <c r="B194" i="3"/>
  <c r="C194" i="3"/>
  <c r="B195" i="3"/>
  <c r="C195" i="3"/>
  <c r="B196" i="3"/>
  <c r="C196" i="3"/>
  <c r="B197" i="3"/>
  <c r="C197" i="3"/>
  <c r="B198" i="3"/>
  <c r="C198" i="3"/>
  <c r="B199" i="3"/>
  <c r="C199" i="3"/>
  <c r="B200" i="3"/>
  <c r="C200" i="3"/>
  <c r="B201" i="3"/>
  <c r="C201" i="3"/>
  <c r="B202" i="3"/>
  <c r="C202" i="3"/>
  <c r="B203" i="3"/>
  <c r="C203" i="3"/>
  <c r="B204" i="3"/>
  <c r="C204" i="3"/>
  <c r="B205" i="3"/>
  <c r="C205" i="3"/>
  <c r="B206" i="3"/>
  <c r="C206" i="3"/>
  <c r="B207" i="3"/>
  <c r="C207" i="3"/>
  <c r="B208" i="3"/>
  <c r="C208" i="3"/>
  <c r="B209" i="3"/>
  <c r="C209" i="3"/>
  <c r="B210" i="3"/>
  <c r="C210" i="3"/>
  <c r="B211" i="3"/>
  <c r="C211" i="3"/>
  <c r="B212" i="3"/>
  <c r="C212" i="3"/>
  <c r="B213" i="3"/>
  <c r="C213" i="3"/>
  <c r="B214" i="3"/>
  <c r="C214" i="3"/>
  <c r="B215" i="3"/>
  <c r="C215" i="3"/>
  <c r="B216" i="3"/>
  <c r="C216" i="3"/>
  <c r="B217" i="3"/>
  <c r="C217" i="3"/>
  <c r="B218" i="3"/>
  <c r="C218" i="3"/>
  <c r="B219" i="3"/>
  <c r="C219" i="3"/>
  <c r="B220" i="3"/>
  <c r="C220" i="3"/>
  <c r="B221" i="3"/>
  <c r="C221" i="3"/>
  <c r="B222" i="3"/>
  <c r="C222" i="3"/>
  <c r="B223" i="3"/>
  <c r="C223" i="3"/>
  <c r="B224" i="3"/>
  <c r="C224" i="3"/>
  <c r="B225" i="3"/>
  <c r="C225" i="3"/>
  <c r="B226" i="3"/>
  <c r="C226" i="3"/>
  <c r="B227" i="3"/>
  <c r="C227" i="3"/>
  <c r="B228" i="3"/>
  <c r="C228" i="3"/>
  <c r="B229" i="3"/>
  <c r="C229" i="3"/>
  <c r="B230" i="3"/>
  <c r="C230" i="3"/>
  <c r="B231" i="3"/>
  <c r="C231" i="3"/>
  <c r="B232" i="3"/>
  <c r="C232" i="3"/>
  <c r="B233" i="3"/>
  <c r="C233" i="3"/>
  <c r="B234" i="3"/>
  <c r="C234" i="3"/>
  <c r="B235" i="3"/>
  <c r="C235" i="3"/>
  <c r="B236" i="3"/>
  <c r="C236" i="3"/>
  <c r="B237" i="3"/>
  <c r="C237" i="3"/>
  <c r="B238" i="3"/>
  <c r="C238" i="3"/>
  <c r="B239" i="3"/>
  <c r="C239" i="3"/>
  <c r="B240" i="3"/>
  <c r="C240" i="3"/>
  <c r="B241" i="3"/>
  <c r="C241" i="3"/>
  <c r="B242" i="3"/>
  <c r="C242" i="3"/>
  <c r="B243" i="3"/>
  <c r="C243" i="3"/>
  <c r="B244" i="3"/>
  <c r="C244" i="3"/>
  <c r="B245" i="3"/>
  <c r="C245" i="3"/>
  <c r="B246" i="3"/>
  <c r="C246" i="3"/>
  <c r="B247" i="3"/>
  <c r="C247" i="3"/>
  <c r="B248" i="3"/>
  <c r="C248" i="3"/>
  <c r="B249" i="3"/>
  <c r="C249" i="3"/>
  <c r="B250" i="3"/>
  <c r="C250" i="3"/>
  <c r="B251" i="3"/>
  <c r="C251" i="3"/>
  <c r="B252" i="3"/>
  <c r="C252" i="3"/>
  <c r="B253" i="3"/>
  <c r="C253" i="3"/>
  <c r="B254" i="3"/>
  <c r="C254" i="3"/>
  <c r="B255" i="3"/>
  <c r="C255" i="3"/>
  <c r="B256" i="3"/>
  <c r="C256" i="3"/>
  <c r="B257" i="3"/>
  <c r="C257" i="3"/>
  <c r="B258" i="3"/>
  <c r="C258" i="3"/>
  <c r="B259" i="3"/>
  <c r="C259" i="3"/>
  <c r="B260" i="3"/>
  <c r="C260" i="3"/>
  <c r="B261" i="3"/>
  <c r="C261" i="3"/>
  <c r="B262" i="3"/>
  <c r="C262" i="3"/>
  <c r="B263" i="3"/>
  <c r="C263" i="3"/>
  <c r="B264" i="3"/>
  <c r="C264" i="3"/>
  <c r="B265" i="3"/>
  <c r="C265" i="3"/>
  <c r="B266" i="3"/>
  <c r="C266" i="3"/>
  <c r="B267" i="3"/>
  <c r="C267" i="3"/>
  <c r="B268" i="3"/>
  <c r="C268" i="3"/>
  <c r="B269" i="3"/>
  <c r="C269" i="3"/>
  <c r="B270" i="3"/>
  <c r="C270" i="3"/>
  <c r="B271" i="3"/>
  <c r="C271" i="3"/>
  <c r="B272" i="3"/>
  <c r="C272" i="3"/>
  <c r="B273" i="3"/>
  <c r="C273" i="3"/>
  <c r="B274" i="3"/>
  <c r="C274" i="3"/>
  <c r="B275" i="3"/>
  <c r="C275" i="3"/>
  <c r="B276" i="3"/>
  <c r="C276" i="3"/>
  <c r="B277" i="3"/>
  <c r="C277" i="3"/>
  <c r="B278" i="3"/>
  <c r="C278" i="3"/>
  <c r="B279" i="3"/>
  <c r="C279" i="3"/>
  <c r="B280" i="3"/>
  <c r="C280" i="3"/>
  <c r="B281" i="3"/>
  <c r="C281" i="3"/>
  <c r="B282" i="3"/>
  <c r="C282" i="3"/>
  <c r="B283" i="3"/>
  <c r="C283" i="3"/>
  <c r="B284" i="3"/>
  <c r="C284" i="3"/>
  <c r="B285" i="3"/>
  <c r="C285" i="3"/>
  <c r="B286" i="3"/>
  <c r="C286" i="3"/>
  <c r="B287" i="3"/>
  <c r="C287" i="3"/>
  <c r="B288" i="3"/>
  <c r="C288" i="3"/>
  <c r="B289" i="3"/>
  <c r="C289" i="3"/>
  <c r="B290" i="3"/>
  <c r="C290" i="3"/>
  <c r="B291" i="3"/>
  <c r="C291" i="3"/>
  <c r="B292" i="3"/>
  <c r="C292" i="3"/>
  <c r="B293" i="3"/>
  <c r="C293" i="3"/>
  <c r="B294" i="3"/>
  <c r="C294" i="3"/>
  <c r="B295" i="3"/>
  <c r="C295" i="3"/>
  <c r="B296" i="3"/>
  <c r="C296" i="3"/>
  <c r="B297" i="3"/>
  <c r="C297" i="3"/>
  <c r="B298" i="3"/>
  <c r="C298" i="3"/>
  <c r="B299" i="3"/>
  <c r="C299" i="3"/>
  <c r="B300" i="3"/>
  <c r="C300" i="3"/>
  <c r="B301" i="3"/>
  <c r="C301" i="3"/>
  <c r="B302" i="3"/>
  <c r="C302" i="3"/>
  <c r="B303" i="3"/>
  <c r="C303" i="3"/>
  <c r="B304" i="3"/>
  <c r="C304" i="3"/>
  <c r="B305" i="3"/>
  <c r="C305" i="3"/>
  <c r="B306" i="3"/>
  <c r="C306" i="3"/>
  <c r="B307" i="3"/>
  <c r="C307" i="3"/>
  <c r="B308" i="3"/>
  <c r="C308" i="3"/>
  <c r="B309" i="3"/>
  <c r="C309" i="3"/>
  <c r="B310" i="3"/>
  <c r="C310" i="3"/>
  <c r="B311" i="3"/>
  <c r="C311" i="3"/>
  <c r="B312" i="3"/>
  <c r="C312" i="3"/>
  <c r="B313" i="3"/>
  <c r="C313" i="3"/>
  <c r="B314" i="3"/>
  <c r="C314" i="3"/>
  <c r="B315" i="3"/>
  <c r="C315" i="3"/>
  <c r="B316" i="3"/>
  <c r="C316" i="3"/>
  <c r="B317" i="3"/>
  <c r="C317" i="3"/>
  <c r="B318" i="3"/>
  <c r="C318" i="3"/>
  <c r="B319" i="3"/>
  <c r="C319" i="3"/>
  <c r="B320" i="3"/>
  <c r="C320" i="3"/>
  <c r="B321" i="3"/>
  <c r="C321" i="3"/>
  <c r="B322" i="3"/>
  <c r="C322" i="3"/>
  <c r="B323" i="3"/>
  <c r="C323" i="3"/>
  <c r="B324" i="3"/>
  <c r="C324" i="3"/>
  <c r="B325" i="3"/>
  <c r="C325" i="3"/>
  <c r="B326" i="3"/>
  <c r="C326" i="3"/>
  <c r="B327" i="3"/>
  <c r="C327" i="3"/>
  <c r="B328" i="3"/>
  <c r="C328" i="3"/>
  <c r="B329" i="3"/>
  <c r="C329" i="3"/>
  <c r="B330" i="3"/>
  <c r="C330" i="3"/>
  <c r="B331" i="3"/>
  <c r="C331" i="3"/>
  <c r="B332" i="3"/>
  <c r="C332" i="3"/>
  <c r="B333" i="3"/>
  <c r="C333" i="3"/>
  <c r="B334" i="3"/>
  <c r="C334" i="3"/>
  <c r="B335" i="3"/>
  <c r="C335" i="3"/>
  <c r="B336" i="3"/>
  <c r="C336" i="3"/>
  <c r="B337" i="3"/>
  <c r="C337" i="3"/>
  <c r="B338" i="3"/>
  <c r="C338" i="3"/>
  <c r="B339" i="3"/>
  <c r="C339" i="3"/>
  <c r="B340" i="3"/>
  <c r="C340" i="3"/>
  <c r="B341" i="3"/>
  <c r="C341" i="3"/>
  <c r="B342" i="3"/>
  <c r="C342" i="3"/>
  <c r="B343" i="3"/>
  <c r="C343" i="3"/>
  <c r="B344" i="3"/>
  <c r="C344" i="3"/>
  <c r="B345" i="3"/>
  <c r="C345" i="3"/>
  <c r="B346" i="3"/>
  <c r="C346" i="3"/>
  <c r="B347" i="3"/>
  <c r="C347" i="3"/>
  <c r="B348" i="3"/>
  <c r="C348" i="3"/>
  <c r="B349" i="3"/>
  <c r="C349" i="3"/>
  <c r="B350" i="3"/>
  <c r="C350" i="3"/>
  <c r="B351" i="3"/>
  <c r="C351" i="3"/>
  <c r="B352" i="3"/>
  <c r="C352" i="3"/>
  <c r="B353" i="3"/>
  <c r="C353" i="3"/>
  <c r="B354" i="3"/>
  <c r="C354" i="3"/>
  <c r="B355" i="3"/>
  <c r="C355" i="3"/>
  <c r="B356" i="3"/>
  <c r="C356" i="3"/>
  <c r="B357" i="3"/>
  <c r="C357" i="3"/>
  <c r="B358" i="3"/>
  <c r="C358" i="3"/>
  <c r="B359" i="3"/>
  <c r="C359" i="3"/>
  <c r="B360" i="3"/>
  <c r="C360" i="3"/>
  <c r="B361" i="3"/>
  <c r="C361" i="3"/>
  <c r="B362" i="3"/>
  <c r="C362" i="3"/>
  <c r="B363" i="3"/>
  <c r="C363" i="3"/>
  <c r="B364" i="3"/>
  <c r="C364" i="3"/>
  <c r="B365" i="3"/>
  <c r="C365" i="3"/>
  <c r="B366" i="3"/>
  <c r="C366" i="3"/>
  <c r="B367" i="3"/>
  <c r="C367" i="3"/>
  <c r="B368" i="3"/>
  <c r="C368" i="3"/>
  <c r="B369" i="3"/>
  <c r="C369" i="3"/>
  <c r="B370" i="3"/>
  <c r="C370" i="3"/>
  <c r="B371" i="3"/>
  <c r="C371" i="3"/>
  <c r="B372" i="3"/>
  <c r="C372" i="3"/>
  <c r="B373" i="3"/>
  <c r="C373" i="3"/>
  <c r="B374" i="3"/>
  <c r="C374" i="3"/>
  <c r="B375" i="3"/>
  <c r="C375" i="3"/>
  <c r="B376" i="3"/>
  <c r="C376" i="3"/>
  <c r="B377" i="3"/>
  <c r="C377" i="3"/>
  <c r="B378" i="3"/>
  <c r="C378" i="3"/>
  <c r="B379" i="3"/>
  <c r="C379" i="3"/>
  <c r="B380" i="3"/>
  <c r="C380" i="3"/>
  <c r="B381" i="3"/>
  <c r="C381" i="3"/>
  <c r="B382" i="3"/>
  <c r="C382" i="3"/>
  <c r="B383" i="3"/>
  <c r="C383" i="3"/>
  <c r="B384" i="3"/>
  <c r="C384" i="3"/>
  <c r="B385" i="3"/>
  <c r="C385" i="3"/>
  <c r="B386" i="3"/>
  <c r="C386" i="3"/>
  <c r="B387" i="3"/>
  <c r="C387" i="3"/>
  <c r="B388" i="3"/>
  <c r="C388" i="3"/>
  <c r="B389" i="3"/>
  <c r="C389" i="3"/>
  <c r="B390" i="3"/>
  <c r="C390" i="3"/>
  <c r="B391" i="3"/>
  <c r="C391" i="3"/>
  <c r="B392" i="3"/>
  <c r="C392" i="3"/>
  <c r="B393" i="3"/>
  <c r="C393" i="3"/>
  <c r="B394" i="3"/>
  <c r="C394" i="3"/>
  <c r="B395" i="3"/>
  <c r="C395" i="3"/>
  <c r="B396" i="3"/>
  <c r="C396" i="3"/>
  <c r="B397" i="3"/>
  <c r="C397" i="3"/>
  <c r="B398" i="3"/>
  <c r="C398" i="3"/>
  <c r="B399" i="3"/>
  <c r="C399" i="3"/>
  <c r="B400" i="3"/>
  <c r="C400" i="3"/>
  <c r="B401" i="3"/>
  <c r="C401" i="3"/>
  <c r="B402" i="3"/>
  <c r="C402" i="3"/>
  <c r="B403" i="3"/>
  <c r="C403" i="3"/>
  <c r="B404" i="3"/>
  <c r="C404" i="3"/>
  <c r="B405" i="3"/>
  <c r="C405" i="3"/>
  <c r="B406" i="3"/>
  <c r="C406" i="3"/>
  <c r="B407" i="3"/>
  <c r="C407" i="3"/>
  <c r="B408" i="3"/>
  <c r="C408" i="3"/>
  <c r="B409" i="3"/>
  <c r="C409" i="3"/>
  <c r="B410" i="3"/>
  <c r="C410" i="3"/>
  <c r="B411" i="3"/>
  <c r="C411" i="3"/>
  <c r="B412" i="3"/>
  <c r="C412" i="3"/>
  <c r="B413" i="3"/>
  <c r="C413" i="3"/>
  <c r="B414" i="3"/>
  <c r="C414" i="3"/>
  <c r="B415" i="3"/>
  <c r="C415" i="3"/>
  <c r="B416" i="3"/>
  <c r="C416" i="3"/>
  <c r="B417" i="3"/>
  <c r="C417" i="3"/>
  <c r="B418" i="3"/>
  <c r="C418" i="3"/>
  <c r="B419" i="3"/>
  <c r="C419" i="3"/>
  <c r="B420" i="3"/>
  <c r="C420" i="3"/>
  <c r="B421" i="3"/>
  <c r="C421" i="3"/>
  <c r="B422" i="3"/>
  <c r="C422" i="3"/>
  <c r="B423" i="3"/>
  <c r="C423" i="3"/>
  <c r="B424" i="3"/>
  <c r="C424" i="3"/>
  <c r="B425" i="3"/>
  <c r="C425" i="3"/>
  <c r="B426" i="3"/>
  <c r="C426" i="3"/>
  <c r="B427" i="3"/>
  <c r="C427" i="3"/>
  <c r="B428" i="3"/>
  <c r="C428" i="3"/>
  <c r="B429" i="3"/>
  <c r="C429" i="3"/>
  <c r="B430" i="3"/>
  <c r="C430" i="3"/>
  <c r="B431" i="3"/>
  <c r="C431" i="3"/>
  <c r="B432" i="3"/>
  <c r="C432" i="3"/>
  <c r="B433" i="3"/>
  <c r="C433" i="3"/>
  <c r="B434" i="3"/>
  <c r="C434" i="3"/>
  <c r="B435" i="3"/>
  <c r="C435" i="3"/>
  <c r="B436" i="3"/>
  <c r="C436" i="3"/>
  <c r="B437" i="3"/>
  <c r="C437" i="3"/>
  <c r="B438" i="3"/>
  <c r="C438" i="3"/>
  <c r="B439" i="3"/>
  <c r="C439" i="3"/>
  <c r="B440" i="3"/>
  <c r="C440" i="3"/>
  <c r="B441" i="3"/>
  <c r="C441" i="3"/>
  <c r="B442" i="3"/>
  <c r="C442" i="3"/>
  <c r="B443" i="3"/>
  <c r="C443" i="3"/>
  <c r="B444" i="3"/>
  <c r="C444" i="3"/>
  <c r="B445" i="3"/>
  <c r="C445" i="3"/>
  <c r="B446" i="3"/>
  <c r="C446" i="3"/>
  <c r="B447" i="3"/>
  <c r="C447" i="3"/>
  <c r="B448" i="3"/>
  <c r="C448" i="3"/>
  <c r="B449" i="3"/>
  <c r="C449" i="3"/>
  <c r="B450" i="3"/>
  <c r="C450" i="3"/>
  <c r="B451" i="3"/>
  <c r="C451" i="3"/>
  <c r="B452" i="3"/>
  <c r="C452" i="3"/>
  <c r="B453" i="3"/>
  <c r="C453" i="3"/>
  <c r="B454" i="3"/>
  <c r="C454" i="3"/>
  <c r="B455" i="3"/>
  <c r="C455" i="3"/>
  <c r="B456" i="3"/>
  <c r="C456" i="3"/>
  <c r="B457" i="3"/>
  <c r="C457" i="3"/>
  <c r="B458" i="3"/>
  <c r="C458" i="3"/>
  <c r="B459" i="3"/>
  <c r="C459" i="3"/>
  <c r="B460" i="3"/>
  <c r="C460" i="3"/>
  <c r="B461" i="3"/>
  <c r="C461" i="3"/>
  <c r="B462" i="3"/>
  <c r="C462" i="3"/>
  <c r="B463" i="3"/>
  <c r="C463" i="3"/>
  <c r="B464" i="3"/>
  <c r="C464" i="3"/>
  <c r="B465" i="3"/>
  <c r="C465" i="3"/>
  <c r="B466" i="3"/>
  <c r="C466" i="3"/>
  <c r="B467" i="3"/>
  <c r="C467" i="3"/>
  <c r="B468" i="3"/>
  <c r="C468" i="3"/>
  <c r="B469" i="3"/>
  <c r="C469" i="3"/>
  <c r="B470" i="3"/>
  <c r="C470" i="3"/>
  <c r="B471" i="3"/>
  <c r="C471" i="3"/>
  <c r="B472" i="3"/>
  <c r="C472" i="3"/>
  <c r="B473" i="3"/>
  <c r="C473" i="3"/>
  <c r="B474" i="3"/>
  <c r="C474" i="3"/>
  <c r="B475" i="3"/>
  <c r="C475" i="3"/>
  <c r="B476" i="3"/>
  <c r="C476" i="3"/>
  <c r="B477" i="3"/>
  <c r="C477" i="3"/>
  <c r="B478" i="3"/>
  <c r="C478" i="3"/>
  <c r="B479" i="3"/>
  <c r="C479" i="3"/>
  <c r="B480" i="3"/>
  <c r="C480" i="3"/>
  <c r="B481" i="3"/>
  <c r="C481" i="3"/>
  <c r="B482" i="3"/>
  <c r="C482" i="3"/>
  <c r="B483" i="3"/>
  <c r="C483" i="3"/>
  <c r="B484" i="3"/>
  <c r="C484" i="3"/>
  <c r="B485" i="3"/>
  <c r="C485" i="3"/>
  <c r="B486" i="3"/>
  <c r="C486" i="3"/>
  <c r="B487" i="3"/>
  <c r="C487" i="3"/>
  <c r="B488" i="3"/>
  <c r="C488" i="3"/>
  <c r="B489" i="3"/>
  <c r="C489" i="3"/>
  <c r="B490" i="3"/>
  <c r="C490" i="3"/>
  <c r="B491" i="3"/>
  <c r="C491" i="3"/>
  <c r="B492" i="3"/>
  <c r="C492" i="3"/>
  <c r="B493" i="3"/>
  <c r="C493" i="3"/>
  <c r="B494" i="3"/>
  <c r="C494" i="3"/>
  <c r="B495" i="3"/>
  <c r="C495" i="3"/>
  <c r="B496" i="3"/>
  <c r="C496" i="3"/>
  <c r="B497" i="3"/>
  <c r="C497" i="3"/>
  <c r="B498" i="3"/>
  <c r="C498" i="3"/>
  <c r="B499" i="3"/>
  <c r="C499" i="3"/>
  <c r="B500" i="3"/>
  <c r="C500" i="3"/>
  <c r="B501" i="3"/>
  <c r="C501" i="3"/>
  <c r="B502" i="3"/>
  <c r="C502" i="3"/>
  <c r="B503" i="3"/>
  <c r="C503" i="3"/>
  <c r="B504" i="3"/>
  <c r="C504" i="3"/>
  <c r="B505" i="3"/>
  <c r="C505" i="3"/>
  <c r="B506" i="3"/>
  <c r="C506" i="3"/>
  <c r="B507" i="3"/>
  <c r="C507" i="3"/>
  <c r="B508" i="3"/>
  <c r="C508" i="3"/>
  <c r="B509" i="3"/>
  <c r="C509" i="3"/>
  <c r="B510" i="3"/>
  <c r="C510" i="3"/>
  <c r="B511" i="3"/>
  <c r="C511" i="3"/>
  <c r="B512" i="3"/>
  <c r="C512" i="3"/>
  <c r="B513" i="3"/>
  <c r="C513" i="3"/>
  <c r="B514" i="3"/>
  <c r="C514" i="3"/>
  <c r="B515" i="3"/>
  <c r="C515" i="3"/>
  <c r="B516" i="3"/>
  <c r="C516" i="3"/>
  <c r="B517" i="3"/>
  <c r="C517" i="3"/>
  <c r="B518" i="3"/>
  <c r="C518" i="3"/>
  <c r="B519" i="3"/>
  <c r="C519" i="3"/>
  <c r="B520" i="3"/>
  <c r="C520" i="3"/>
  <c r="B521" i="3"/>
  <c r="C521" i="3"/>
  <c r="B522" i="3"/>
  <c r="C522" i="3"/>
  <c r="B523" i="3"/>
  <c r="C523" i="3"/>
  <c r="B524" i="3"/>
  <c r="C524" i="3"/>
  <c r="B525" i="3"/>
  <c r="C525" i="3"/>
  <c r="B526" i="3"/>
  <c r="C526" i="3"/>
  <c r="B527" i="3"/>
  <c r="C527" i="3"/>
  <c r="B528" i="3"/>
  <c r="C528" i="3"/>
  <c r="B529" i="3"/>
  <c r="C529" i="3"/>
  <c r="B530" i="3"/>
  <c r="C530" i="3"/>
  <c r="B531" i="3"/>
  <c r="C531" i="3"/>
  <c r="B532" i="3"/>
  <c r="C532" i="3"/>
  <c r="B533" i="3"/>
  <c r="C533" i="3"/>
  <c r="B534" i="3"/>
  <c r="C534" i="3"/>
  <c r="B535" i="3"/>
  <c r="C535" i="3"/>
  <c r="B536" i="3"/>
  <c r="C536" i="3"/>
  <c r="B537" i="3"/>
  <c r="C537" i="3"/>
  <c r="B538" i="3"/>
  <c r="C538" i="3"/>
  <c r="B539" i="3"/>
  <c r="C539" i="3"/>
  <c r="B540" i="3"/>
  <c r="C540" i="3"/>
  <c r="B541" i="3"/>
  <c r="C541" i="3"/>
  <c r="B542" i="3"/>
  <c r="C542" i="3"/>
  <c r="B543" i="3"/>
  <c r="C543" i="3"/>
  <c r="B544" i="3"/>
  <c r="C544" i="3"/>
  <c r="B545" i="3"/>
  <c r="C545" i="3"/>
  <c r="B546" i="3"/>
  <c r="C546" i="3"/>
  <c r="B547" i="3"/>
  <c r="C547" i="3"/>
  <c r="B548" i="3"/>
  <c r="C548" i="3"/>
  <c r="B549" i="3"/>
  <c r="C549" i="3"/>
  <c r="B550" i="3"/>
  <c r="C550" i="3"/>
  <c r="B551" i="3"/>
  <c r="C551" i="3"/>
  <c r="B552" i="3"/>
  <c r="C552" i="3"/>
  <c r="B553" i="3"/>
  <c r="C553" i="3"/>
  <c r="B554" i="3"/>
  <c r="C554" i="3"/>
  <c r="B555" i="3"/>
  <c r="C555" i="3"/>
  <c r="B556" i="3"/>
  <c r="C556" i="3"/>
  <c r="B557" i="3"/>
  <c r="C557" i="3"/>
  <c r="B558" i="3"/>
  <c r="C558" i="3"/>
  <c r="B559" i="3"/>
  <c r="C559" i="3"/>
  <c r="B560" i="3"/>
  <c r="C560" i="3"/>
  <c r="B561" i="3"/>
  <c r="C561" i="3"/>
  <c r="B562" i="3"/>
  <c r="C562" i="3"/>
  <c r="B563" i="3"/>
  <c r="C563" i="3"/>
  <c r="B564" i="3"/>
  <c r="C564" i="3"/>
  <c r="B565" i="3"/>
  <c r="C565" i="3"/>
  <c r="B566" i="3"/>
  <c r="C566" i="3"/>
  <c r="B567" i="3"/>
  <c r="C567" i="3"/>
  <c r="B568" i="3"/>
  <c r="C568" i="3"/>
  <c r="B569" i="3"/>
  <c r="C569" i="3"/>
  <c r="B570" i="3"/>
  <c r="C570" i="3"/>
  <c r="B571" i="3"/>
  <c r="C571" i="3"/>
  <c r="B572" i="3"/>
  <c r="C572" i="3"/>
  <c r="B573" i="3"/>
  <c r="C573" i="3"/>
  <c r="B574" i="3"/>
  <c r="C574" i="3"/>
  <c r="B575" i="3"/>
  <c r="C575" i="3"/>
  <c r="B576" i="3"/>
  <c r="C576" i="3"/>
  <c r="B577" i="3"/>
  <c r="C577" i="3"/>
  <c r="B578" i="3"/>
  <c r="C578" i="3"/>
  <c r="B579" i="3"/>
  <c r="C579" i="3"/>
  <c r="B580" i="3"/>
  <c r="C580" i="3"/>
  <c r="B581" i="3"/>
  <c r="C581" i="3"/>
  <c r="B582" i="3"/>
  <c r="C582" i="3"/>
  <c r="B583" i="3"/>
  <c r="C583" i="3"/>
  <c r="B584" i="3"/>
  <c r="C584" i="3"/>
  <c r="B585" i="3"/>
  <c r="C585" i="3"/>
  <c r="B586" i="3"/>
  <c r="C586" i="3"/>
  <c r="B587" i="3"/>
  <c r="C587" i="3"/>
  <c r="B588" i="3"/>
  <c r="C588" i="3"/>
  <c r="B589" i="3"/>
  <c r="C589" i="3"/>
  <c r="B590" i="3"/>
  <c r="C590" i="3"/>
  <c r="B591" i="3"/>
  <c r="C591" i="3"/>
  <c r="B592" i="3"/>
  <c r="C592" i="3"/>
  <c r="B593" i="3"/>
  <c r="C593" i="3"/>
  <c r="B594" i="3"/>
  <c r="C594" i="3"/>
  <c r="B595" i="3"/>
  <c r="C595" i="3"/>
  <c r="B596" i="3"/>
  <c r="C596" i="3"/>
  <c r="B597" i="3"/>
  <c r="C597" i="3"/>
  <c r="B598" i="3"/>
  <c r="C598" i="3"/>
  <c r="B599" i="3"/>
  <c r="C599" i="3"/>
  <c r="B600" i="3"/>
  <c r="C600" i="3"/>
  <c r="B601" i="3"/>
  <c r="C601" i="3"/>
  <c r="B602" i="3"/>
  <c r="C602" i="3"/>
  <c r="B603" i="3"/>
  <c r="C603" i="3"/>
  <c r="B604" i="3"/>
  <c r="C604" i="3"/>
  <c r="B605" i="3"/>
  <c r="C605" i="3"/>
  <c r="B606" i="3"/>
  <c r="C606" i="3"/>
  <c r="B607" i="3"/>
  <c r="C607" i="3"/>
  <c r="B608" i="3"/>
  <c r="C608" i="3"/>
  <c r="B609" i="3"/>
  <c r="C609" i="3"/>
  <c r="B610" i="3"/>
  <c r="C610" i="3"/>
  <c r="B611" i="3"/>
  <c r="C611" i="3"/>
  <c r="B612" i="3"/>
  <c r="C612" i="3"/>
  <c r="B613" i="3"/>
  <c r="C613" i="3"/>
  <c r="B614" i="3"/>
  <c r="C614" i="3"/>
  <c r="B615" i="3"/>
  <c r="C615" i="3"/>
  <c r="B616" i="3"/>
  <c r="C616" i="3"/>
  <c r="B617" i="3"/>
  <c r="C617" i="3"/>
  <c r="B618" i="3"/>
  <c r="C618" i="3"/>
  <c r="B619" i="3"/>
  <c r="C619" i="3"/>
  <c r="B620" i="3"/>
  <c r="C620" i="3"/>
  <c r="B621" i="3"/>
  <c r="C621" i="3"/>
  <c r="B622" i="3"/>
  <c r="C622" i="3"/>
  <c r="B623" i="3"/>
  <c r="C623" i="3"/>
  <c r="B624" i="3"/>
  <c r="C624" i="3"/>
  <c r="B625" i="3"/>
  <c r="C625" i="3"/>
  <c r="B626" i="3"/>
  <c r="C626" i="3"/>
  <c r="B627" i="3"/>
  <c r="C627" i="3"/>
  <c r="B628" i="3"/>
  <c r="C628" i="3"/>
  <c r="B629" i="3"/>
  <c r="C629" i="3"/>
  <c r="B630" i="3"/>
  <c r="C630" i="3"/>
  <c r="B631" i="3"/>
  <c r="C631" i="3"/>
  <c r="B632" i="3"/>
  <c r="C632" i="3"/>
  <c r="B633" i="3"/>
  <c r="C633" i="3"/>
  <c r="B634" i="3"/>
  <c r="C634" i="3"/>
  <c r="B635" i="3"/>
  <c r="C635" i="3"/>
  <c r="B636" i="3"/>
  <c r="C636" i="3"/>
  <c r="B637" i="3"/>
  <c r="C637" i="3"/>
  <c r="B638" i="3"/>
  <c r="C638" i="3"/>
  <c r="B639" i="3"/>
  <c r="C639" i="3"/>
  <c r="B640" i="3"/>
  <c r="C640" i="3"/>
  <c r="B641" i="3"/>
  <c r="C641" i="3"/>
  <c r="B642" i="3"/>
  <c r="C642" i="3"/>
  <c r="B643" i="3"/>
  <c r="C643" i="3"/>
  <c r="B644" i="3"/>
  <c r="C644" i="3"/>
  <c r="B645" i="3"/>
  <c r="C645" i="3"/>
  <c r="B646" i="3"/>
  <c r="C646" i="3"/>
  <c r="B647" i="3"/>
  <c r="C647" i="3"/>
  <c r="B648" i="3"/>
  <c r="C648" i="3"/>
  <c r="B649" i="3"/>
  <c r="C649" i="3"/>
  <c r="B650" i="3"/>
  <c r="C650" i="3"/>
  <c r="B651" i="3"/>
  <c r="C651" i="3"/>
  <c r="B652" i="3"/>
  <c r="C652" i="3"/>
  <c r="B653" i="3"/>
  <c r="C653" i="3"/>
  <c r="B654" i="3"/>
  <c r="C654" i="3"/>
  <c r="B655" i="3"/>
  <c r="C655" i="3"/>
  <c r="B656" i="3"/>
  <c r="C656" i="3"/>
  <c r="B657" i="3"/>
  <c r="C657" i="3"/>
  <c r="B658" i="3"/>
  <c r="C658" i="3"/>
  <c r="B659" i="3"/>
  <c r="C659" i="3"/>
  <c r="B660" i="3"/>
  <c r="C660" i="3"/>
  <c r="B661" i="3"/>
  <c r="C661" i="3"/>
  <c r="B662" i="3"/>
  <c r="C662" i="3"/>
  <c r="B663" i="3"/>
  <c r="C663" i="3"/>
  <c r="B664" i="3"/>
  <c r="C664" i="3"/>
  <c r="B665" i="3"/>
  <c r="C665" i="3"/>
  <c r="B666" i="3"/>
  <c r="C666" i="3"/>
  <c r="B667" i="3"/>
  <c r="C667" i="3"/>
  <c r="B668" i="3"/>
  <c r="C668" i="3"/>
  <c r="B669" i="3"/>
  <c r="C669" i="3"/>
  <c r="B670" i="3"/>
  <c r="C670" i="3"/>
  <c r="B671" i="3"/>
  <c r="C671" i="3"/>
  <c r="B672" i="3"/>
  <c r="C672" i="3"/>
  <c r="B673" i="3"/>
  <c r="C673" i="3"/>
  <c r="B674" i="3"/>
  <c r="C674" i="3"/>
  <c r="B675" i="3"/>
  <c r="C675" i="3"/>
  <c r="B676" i="3"/>
  <c r="C676" i="3"/>
  <c r="B677" i="3"/>
  <c r="C677" i="3"/>
  <c r="B678" i="3"/>
  <c r="C678" i="3"/>
  <c r="B679" i="3"/>
  <c r="C679" i="3"/>
  <c r="B680" i="3"/>
  <c r="C680" i="3"/>
  <c r="B681" i="3"/>
  <c r="C681" i="3"/>
  <c r="B682" i="3"/>
  <c r="C682" i="3"/>
  <c r="B683" i="3"/>
  <c r="C683" i="3"/>
  <c r="B684" i="3"/>
  <c r="C684" i="3"/>
  <c r="B685" i="3"/>
  <c r="C685" i="3"/>
  <c r="B686" i="3"/>
  <c r="C686" i="3"/>
  <c r="B687" i="3"/>
  <c r="C687" i="3"/>
  <c r="B688" i="3"/>
  <c r="C688" i="3"/>
  <c r="B689" i="3"/>
  <c r="C689" i="3"/>
  <c r="B690" i="3"/>
  <c r="C690" i="3"/>
  <c r="B691" i="3"/>
  <c r="C691" i="3"/>
  <c r="B692" i="3"/>
  <c r="C692" i="3"/>
  <c r="B693" i="3"/>
  <c r="C693" i="3"/>
  <c r="B694" i="3"/>
  <c r="C694" i="3"/>
  <c r="B695" i="3"/>
  <c r="C695" i="3"/>
  <c r="B696" i="3"/>
  <c r="C696" i="3"/>
  <c r="B697" i="3"/>
  <c r="C697" i="3"/>
  <c r="B698" i="3"/>
  <c r="C698" i="3"/>
  <c r="B699" i="3"/>
  <c r="C699" i="3"/>
  <c r="B700" i="3"/>
  <c r="C700" i="3"/>
  <c r="B701" i="3"/>
  <c r="C701" i="3"/>
  <c r="B702" i="3"/>
  <c r="C702" i="3"/>
  <c r="B703" i="3"/>
  <c r="C703" i="3"/>
  <c r="B704" i="3"/>
  <c r="C704" i="3"/>
  <c r="B705" i="3"/>
  <c r="C705" i="3"/>
  <c r="B706" i="3"/>
  <c r="C706" i="3"/>
  <c r="B707" i="3"/>
  <c r="C707" i="3"/>
  <c r="B708" i="3"/>
  <c r="C708" i="3"/>
  <c r="B709" i="3"/>
  <c r="C709" i="3"/>
  <c r="B710" i="3"/>
  <c r="C710" i="3"/>
  <c r="B711" i="3"/>
  <c r="C711" i="3"/>
  <c r="B712" i="3"/>
  <c r="C712" i="3"/>
  <c r="B713" i="3"/>
  <c r="C713" i="3"/>
  <c r="B714" i="3"/>
  <c r="C714" i="3"/>
  <c r="B715" i="3"/>
  <c r="C715" i="3"/>
  <c r="B716" i="3"/>
  <c r="C716" i="3"/>
  <c r="B717" i="3"/>
  <c r="C717" i="3"/>
  <c r="B718" i="3"/>
  <c r="C718" i="3"/>
  <c r="B719" i="3"/>
  <c r="C719" i="3"/>
  <c r="B720" i="3"/>
  <c r="C720" i="3"/>
  <c r="B721" i="3"/>
  <c r="C721" i="3"/>
  <c r="B722" i="3"/>
  <c r="C722" i="3"/>
  <c r="B723" i="3"/>
  <c r="C723" i="3"/>
  <c r="B724" i="3"/>
  <c r="C724" i="3"/>
  <c r="B725" i="3"/>
  <c r="C725" i="3"/>
  <c r="B726" i="3"/>
  <c r="C726" i="3"/>
  <c r="B727" i="3"/>
  <c r="C727" i="3"/>
  <c r="B728" i="3"/>
  <c r="C728" i="3"/>
  <c r="B729" i="3"/>
  <c r="C729" i="3"/>
  <c r="B730" i="3"/>
  <c r="C730" i="3"/>
  <c r="B731" i="3"/>
  <c r="C731" i="3"/>
  <c r="B732" i="3"/>
  <c r="C732" i="3"/>
  <c r="B733" i="3"/>
  <c r="C733" i="3"/>
  <c r="B734" i="3"/>
  <c r="C734" i="3"/>
  <c r="B735" i="3"/>
  <c r="C735" i="3"/>
  <c r="B736" i="3"/>
  <c r="C736" i="3"/>
  <c r="B737" i="3"/>
  <c r="C737" i="3"/>
  <c r="B738" i="3"/>
  <c r="C738" i="3"/>
  <c r="B739" i="3"/>
  <c r="C739" i="3"/>
  <c r="B740" i="3"/>
  <c r="C740" i="3"/>
  <c r="B741" i="3"/>
  <c r="C741" i="3"/>
  <c r="B742" i="3"/>
  <c r="C742" i="3"/>
  <c r="B743" i="3"/>
  <c r="C743" i="3"/>
  <c r="B744" i="3"/>
  <c r="C744" i="3"/>
  <c r="B745" i="3"/>
  <c r="C745" i="3"/>
  <c r="B746" i="3"/>
  <c r="C746" i="3"/>
  <c r="B747" i="3"/>
  <c r="C747" i="3"/>
  <c r="B748" i="3"/>
  <c r="C748" i="3"/>
  <c r="B749" i="3"/>
  <c r="C749" i="3"/>
  <c r="B750" i="3"/>
  <c r="C750" i="3"/>
  <c r="B751" i="3"/>
  <c r="C751" i="3"/>
  <c r="B752" i="3"/>
  <c r="C752" i="3"/>
  <c r="B753" i="3"/>
  <c r="C753" i="3"/>
  <c r="B754" i="3"/>
  <c r="C754" i="3"/>
  <c r="B755" i="3"/>
  <c r="C755" i="3"/>
  <c r="B756" i="3"/>
  <c r="C756" i="3"/>
  <c r="B757" i="3"/>
  <c r="C757" i="3"/>
  <c r="B758" i="3"/>
  <c r="C758" i="3"/>
  <c r="B759" i="3"/>
  <c r="C759" i="3"/>
  <c r="B760" i="3"/>
  <c r="C760" i="3"/>
  <c r="B761" i="3"/>
  <c r="C761" i="3"/>
  <c r="B762" i="3"/>
  <c r="C762" i="3"/>
  <c r="B763" i="3"/>
  <c r="C763" i="3"/>
  <c r="B764" i="3"/>
  <c r="C764" i="3"/>
  <c r="B765" i="3"/>
  <c r="C765" i="3"/>
  <c r="B766" i="3"/>
  <c r="C766" i="3"/>
  <c r="B767" i="3"/>
  <c r="C767" i="3"/>
  <c r="B768" i="3"/>
  <c r="C768" i="3"/>
  <c r="B769" i="3"/>
  <c r="C769" i="3"/>
  <c r="B770" i="3"/>
  <c r="C770" i="3"/>
  <c r="B771" i="3"/>
  <c r="C771" i="3"/>
  <c r="B772" i="3"/>
  <c r="C772" i="3"/>
  <c r="B773" i="3"/>
  <c r="C773" i="3"/>
  <c r="B774" i="3"/>
  <c r="C774" i="3"/>
  <c r="B775" i="3"/>
  <c r="C775" i="3"/>
  <c r="B776" i="3"/>
  <c r="C776" i="3"/>
  <c r="B777" i="3"/>
  <c r="C777" i="3"/>
  <c r="B778" i="3"/>
  <c r="C778" i="3"/>
  <c r="B779" i="3"/>
  <c r="C779" i="3"/>
  <c r="B780" i="3"/>
  <c r="C780" i="3"/>
  <c r="B781" i="3"/>
  <c r="C781" i="3"/>
  <c r="B782" i="3"/>
  <c r="C782" i="3"/>
  <c r="B783" i="3"/>
  <c r="C783" i="3"/>
  <c r="B784" i="3"/>
  <c r="C784" i="3"/>
  <c r="B785" i="3"/>
  <c r="C785" i="3"/>
  <c r="B786" i="3"/>
  <c r="C786" i="3"/>
  <c r="B787" i="3"/>
  <c r="C787" i="3"/>
  <c r="B788" i="3"/>
  <c r="C788" i="3"/>
  <c r="B789" i="3"/>
  <c r="C789" i="3"/>
  <c r="B790" i="3"/>
  <c r="C790" i="3"/>
  <c r="B791" i="3"/>
  <c r="C791" i="3"/>
  <c r="B792" i="3"/>
  <c r="C792" i="3"/>
  <c r="B793" i="3"/>
  <c r="C793" i="3"/>
  <c r="B794" i="3"/>
  <c r="C794" i="3"/>
  <c r="B795" i="3"/>
  <c r="C795" i="3"/>
  <c r="B796" i="3"/>
  <c r="C796" i="3"/>
  <c r="B797" i="3"/>
  <c r="C797" i="3"/>
  <c r="B798" i="3"/>
  <c r="C798" i="3"/>
  <c r="B799" i="3"/>
  <c r="C799" i="3"/>
  <c r="B800" i="3"/>
  <c r="C800" i="3"/>
  <c r="B801" i="3"/>
  <c r="C801" i="3"/>
  <c r="B802" i="3"/>
  <c r="C802" i="3"/>
  <c r="B803" i="3"/>
  <c r="C803" i="3"/>
  <c r="B804" i="3"/>
  <c r="C804" i="3"/>
  <c r="B805" i="3"/>
  <c r="C805" i="3"/>
  <c r="B806" i="3"/>
  <c r="C806" i="3"/>
  <c r="B807" i="3"/>
  <c r="C807" i="3"/>
  <c r="B808" i="3"/>
  <c r="C808" i="3"/>
  <c r="B809" i="3"/>
  <c r="C809" i="3"/>
  <c r="B810" i="3"/>
  <c r="C810" i="3"/>
  <c r="B811" i="3"/>
  <c r="C811" i="3"/>
  <c r="B812" i="3"/>
  <c r="C812" i="3"/>
  <c r="B813" i="3"/>
  <c r="C813" i="3"/>
  <c r="B814" i="3"/>
  <c r="C814" i="3"/>
  <c r="B815" i="3"/>
  <c r="C815" i="3"/>
  <c r="B816" i="3"/>
  <c r="C816" i="3"/>
  <c r="B817" i="3"/>
  <c r="C817" i="3"/>
  <c r="B818" i="3"/>
  <c r="C818" i="3"/>
  <c r="B819" i="3"/>
  <c r="C819" i="3"/>
  <c r="B820" i="3"/>
  <c r="C820" i="3"/>
  <c r="B821" i="3"/>
  <c r="C821" i="3"/>
  <c r="B822" i="3"/>
  <c r="C822" i="3"/>
  <c r="B823" i="3"/>
  <c r="C823" i="3"/>
  <c r="B824" i="3"/>
  <c r="C824" i="3"/>
  <c r="B825" i="3"/>
  <c r="C825" i="3"/>
  <c r="B826" i="3"/>
  <c r="C826" i="3"/>
  <c r="B827" i="3"/>
  <c r="C827" i="3"/>
  <c r="B828" i="3"/>
  <c r="C828" i="3"/>
  <c r="B829" i="3"/>
  <c r="C829" i="3"/>
  <c r="B830" i="3"/>
  <c r="C830" i="3"/>
  <c r="B831" i="3"/>
  <c r="C831" i="3"/>
  <c r="B832" i="3"/>
  <c r="C832" i="3"/>
  <c r="B833" i="3"/>
  <c r="C833" i="3"/>
  <c r="B834" i="3"/>
  <c r="C834" i="3"/>
  <c r="B835" i="3"/>
  <c r="C835" i="3"/>
  <c r="B836" i="3"/>
  <c r="C836" i="3"/>
  <c r="B837" i="3"/>
  <c r="C837" i="3"/>
  <c r="B838" i="3"/>
  <c r="C838" i="3"/>
  <c r="B839" i="3"/>
  <c r="C839" i="3"/>
  <c r="B840" i="3"/>
  <c r="C840" i="3"/>
  <c r="B841" i="3"/>
  <c r="C841" i="3"/>
  <c r="B842" i="3"/>
  <c r="C842" i="3"/>
  <c r="B843" i="3"/>
  <c r="C843" i="3"/>
  <c r="B844" i="3"/>
  <c r="C844" i="3"/>
  <c r="B845" i="3"/>
  <c r="C845" i="3"/>
  <c r="B846" i="3"/>
  <c r="C846" i="3"/>
  <c r="B847" i="3"/>
  <c r="C847" i="3"/>
  <c r="B848" i="3"/>
  <c r="C848" i="3"/>
  <c r="B849" i="3"/>
  <c r="C849" i="3"/>
  <c r="B850" i="3"/>
  <c r="C850" i="3"/>
  <c r="B851" i="3"/>
  <c r="C851" i="3"/>
  <c r="B852" i="3"/>
  <c r="C852" i="3"/>
  <c r="B853" i="3"/>
  <c r="C853" i="3"/>
  <c r="B854" i="3"/>
  <c r="C854" i="3"/>
  <c r="B855" i="3"/>
  <c r="C855" i="3"/>
  <c r="B856" i="3"/>
  <c r="C856" i="3"/>
  <c r="B857" i="3"/>
  <c r="C857" i="3"/>
  <c r="B858" i="3"/>
  <c r="C858" i="3"/>
  <c r="B859" i="3"/>
  <c r="C859" i="3"/>
  <c r="B860" i="3"/>
  <c r="C860" i="3"/>
  <c r="B861" i="3"/>
  <c r="C861" i="3"/>
  <c r="B862" i="3"/>
  <c r="C862" i="3"/>
  <c r="B863" i="3"/>
  <c r="C863" i="3"/>
  <c r="B864" i="3"/>
  <c r="C864" i="3"/>
  <c r="B865" i="3"/>
  <c r="C865" i="3"/>
  <c r="B866" i="3"/>
  <c r="C866" i="3"/>
  <c r="B867" i="3"/>
  <c r="C867" i="3"/>
  <c r="B868" i="3"/>
  <c r="C868" i="3"/>
  <c r="B869" i="3"/>
  <c r="C869" i="3"/>
  <c r="B870" i="3"/>
  <c r="C870" i="3"/>
  <c r="B871" i="3"/>
  <c r="C871" i="3"/>
  <c r="B872" i="3"/>
  <c r="C872" i="3"/>
  <c r="B873" i="3"/>
  <c r="C873" i="3"/>
  <c r="B874" i="3"/>
  <c r="C874" i="3"/>
  <c r="B875" i="3"/>
  <c r="C875" i="3"/>
  <c r="B876" i="3"/>
  <c r="C876" i="3"/>
  <c r="B877" i="3"/>
  <c r="C877" i="3"/>
  <c r="B878" i="3"/>
  <c r="C878" i="3"/>
  <c r="B879" i="3"/>
  <c r="C879" i="3"/>
  <c r="B880" i="3"/>
  <c r="C880" i="3"/>
  <c r="B881" i="3"/>
  <c r="C881" i="3"/>
  <c r="B882" i="3"/>
  <c r="C882" i="3"/>
  <c r="B883" i="3"/>
  <c r="C883" i="3"/>
  <c r="B884" i="3"/>
  <c r="C884" i="3"/>
  <c r="B885" i="3"/>
  <c r="C885" i="3"/>
  <c r="B886" i="3"/>
  <c r="C886" i="3"/>
  <c r="B887" i="3"/>
  <c r="C887" i="3"/>
  <c r="B888" i="3"/>
  <c r="C888" i="3"/>
  <c r="B889" i="3"/>
  <c r="C889" i="3"/>
  <c r="B890" i="3"/>
  <c r="C890" i="3"/>
  <c r="B891" i="3"/>
  <c r="C891" i="3"/>
  <c r="B892" i="3"/>
  <c r="C892" i="3"/>
  <c r="B893" i="3"/>
  <c r="C893" i="3"/>
  <c r="B894" i="3"/>
  <c r="C894" i="3"/>
  <c r="B895" i="3"/>
  <c r="C895" i="3"/>
  <c r="B896" i="3"/>
  <c r="C896" i="3"/>
  <c r="B897" i="3"/>
  <c r="C897" i="3"/>
  <c r="B898" i="3"/>
  <c r="C898" i="3"/>
  <c r="B899" i="3"/>
  <c r="C899" i="3"/>
  <c r="B900" i="3"/>
  <c r="C900" i="3"/>
  <c r="B901" i="3"/>
  <c r="C901" i="3"/>
  <c r="B902" i="3"/>
  <c r="C902" i="3"/>
  <c r="B903" i="3"/>
  <c r="C903" i="3"/>
  <c r="B904" i="3"/>
  <c r="C904" i="3"/>
  <c r="B905" i="3"/>
  <c r="C905" i="3"/>
  <c r="B906" i="3"/>
  <c r="C906" i="3"/>
  <c r="B907" i="3"/>
  <c r="C907" i="3"/>
  <c r="B908" i="3"/>
  <c r="C908" i="3"/>
  <c r="B909" i="3"/>
  <c r="C909" i="3"/>
  <c r="B910" i="3"/>
  <c r="C910" i="3"/>
  <c r="B911" i="3"/>
  <c r="C911" i="3"/>
  <c r="B912" i="3"/>
  <c r="C912" i="3"/>
  <c r="B913" i="3"/>
  <c r="C913" i="3"/>
  <c r="B914" i="3"/>
  <c r="C914" i="3"/>
  <c r="B915" i="3"/>
  <c r="C915" i="3"/>
  <c r="B916" i="3"/>
  <c r="C916" i="3"/>
  <c r="B917" i="3"/>
  <c r="C917" i="3"/>
  <c r="B918" i="3"/>
  <c r="C918" i="3"/>
  <c r="B919" i="3"/>
  <c r="C919" i="3"/>
  <c r="B920" i="3"/>
  <c r="C920" i="3"/>
  <c r="B921" i="3"/>
  <c r="C921" i="3"/>
  <c r="B922" i="3"/>
  <c r="C922" i="3"/>
  <c r="B923" i="3"/>
  <c r="C923" i="3"/>
  <c r="B924" i="3"/>
  <c r="C924" i="3"/>
  <c r="B925" i="3"/>
  <c r="C925" i="3"/>
  <c r="B926" i="3"/>
  <c r="C926" i="3"/>
  <c r="B927" i="3"/>
  <c r="C927" i="3"/>
  <c r="B928" i="3"/>
  <c r="C928" i="3"/>
  <c r="B929" i="3"/>
  <c r="C929" i="3"/>
  <c r="B930" i="3"/>
  <c r="C930" i="3"/>
  <c r="B931" i="3"/>
  <c r="C931" i="3"/>
  <c r="B932" i="3"/>
  <c r="C932" i="3"/>
  <c r="B933" i="3"/>
  <c r="C933" i="3"/>
  <c r="B934" i="3"/>
  <c r="C934" i="3"/>
  <c r="B935" i="3"/>
  <c r="C935" i="3"/>
  <c r="B936" i="3"/>
  <c r="C936" i="3"/>
  <c r="B937" i="3"/>
  <c r="C937" i="3"/>
  <c r="B938" i="3"/>
  <c r="C938" i="3"/>
  <c r="B939" i="3"/>
  <c r="C939" i="3"/>
  <c r="B940" i="3"/>
  <c r="C940" i="3"/>
  <c r="B941" i="3"/>
  <c r="C941" i="3"/>
  <c r="B942" i="3"/>
  <c r="C942" i="3"/>
  <c r="B943" i="3"/>
  <c r="C943" i="3"/>
  <c r="B944" i="3"/>
  <c r="C944" i="3"/>
  <c r="B945" i="3"/>
  <c r="C945" i="3"/>
  <c r="B946" i="3"/>
  <c r="C946" i="3"/>
  <c r="B947" i="3"/>
  <c r="C947" i="3"/>
  <c r="B948" i="3"/>
  <c r="C948" i="3"/>
  <c r="B949" i="3"/>
  <c r="C949" i="3"/>
  <c r="B950" i="3"/>
  <c r="C950" i="3"/>
  <c r="B951" i="3"/>
  <c r="C951" i="3"/>
  <c r="B952" i="3"/>
  <c r="C952" i="3"/>
  <c r="B953" i="3"/>
  <c r="C953" i="3"/>
  <c r="B954" i="3"/>
  <c r="C954" i="3"/>
  <c r="B955" i="3"/>
  <c r="C955" i="3"/>
  <c r="B956" i="3"/>
  <c r="C956" i="3"/>
  <c r="B957" i="3"/>
  <c r="C957" i="3"/>
  <c r="B958" i="3"/>
  <c r="C958" i="3"/>
  <c r="B959" i="3"/>
  <c r="C959" i="3"/>
  <c r="B960" i="3"/>
  <c r="C960" i="3"/>
  <c r="B961" i="3"/>
  <c r="C961" i="3"/>
  <c r="B962" i="3"/>
  <c r="C962" i="3"/>
  <c r="B963" i="3"/>
  <c r="C963" i="3"/>
  <c r="B964" i="3"/>
  <c r="C964" i="3"/>
  <c r="B965" i="3"/>
  <c r="C965" i="3"/>
  <c r="B966" i="3"/>
  <c r="C966" i="3"/>
  <c r="B967" i="3"/>
  <c r="C967" i="3"/>
  <c r="B968" i="3"/>
  <c r="C968" i="3"/>
  <c r="B969" i="3"/>
  <c r="C969" i="3"/>
  <c r="B970" i="3"/>
  <c r="C970" i="3"/>
  <c r="B971" i="3"/>
  <c r="C971" i="3"/>
  <c r="B972" i="3"/>
  <c r="C972" i="3"/>
  <c r="B973" i="3"/>
  <c r="C973" i="3"/>
  <c r="B974" i="3"/>
  <c r="C974" i="3"/>
  <c r="B975" i="3"/>
  <c r="C975" i="3"/>
  <c r="B976" i="3"/>
  <c r="C976" i="3"/>
  <c r="B977" i="3"/>
  <c r="C977" i="3"/>
  <c r="B978" i="3"/>
  <c r="C978" i="3"/>
  <c r="B979" i="3"/>
  <c r="C979" i="3"/>
  <c r="B980" i="3"/>
  <c r="C980" i="3"/>
  <c r="B981" i="3"/>
  <c r="C981" i="3"/>
  <c r="B982" i="3"/>
  <c r="C982" i="3"/>
  <c r="B983" i="3"/>
  <c r="C983" i="3"/>
  <c r="B984" i="3"/>
  <c r="C984" i="3"/>
  <c r="B985" i="3"/>
  <c r="C985" i="3"/>
  <c r="B986" i="3"/>
  <c r="C986" i="3"/>
  <c r="B987" i="3"/>
  <c r="C987" i="3"/>
  <c r="B988" i="3"/>
  <c r="C988" i="3"/>
  <c r="B989" i="3"/>
  <c r="C989" i="3"/>
  <c r="B990" i="3"/>
  <c r="C990" i="3"/>
  <c r="B991" i="3"/>
  <c r="C991" i="3"/>
  <c r="B992" i="3"/>
  <c r="C992" i="3"/>
  <c r="B993" i="3"/>
  <c r="C993" i="3"/>
  <c r="B994" i="3"/>
  <c r="C994" i="3"/>
  <c r="B995" i="3"/>
  <c r="C995" i="3"/>
  <c r="B996" i="3"/>
  <c r="C996" i="3"/>
  <c r="B997" i="3"/>
  <c r="C997" i="3"/>
  <c r="B998" i="3"/>
  <c r="C998" i="3"/>
  <c r="B999" i="3"/>
  <c r="C999" i="3"/>
  <c r="B1000" i="3"/>
  <c r="C1000" i="3"/>
  <c r="B1001" i="3"/>
  <c r="C1001" i="3"/>
  <c r="B1002" i="3"/>
  <c r="C1002" i="3"/>
  <c r="B1003" i="3"/>
  <c r="C1003" i="3"/>
  <c r="B1004" i="3"/>
  <c r="C1004" i="3"/>
  <c r="B1005" i="3"/>
  <c r="C1005" i="3"/>
  <c r="B1006" i="3"/>
  <c r="C1006" i="3"/>
  <c r="B1007" i="3"/>
  <c r="C1007" i="3"/>
  <c r="B1008" i="3"/>
  <c r="C1008" i="3"/>
  <c r="B1009" i="3"/>
  <c r="C1009" i="3"/>
  <c r="B1010" i="3"/>
  <c r="C1010" i="3"/>
  <c r="B1011" i="3"/>
  <c r="C1011" i="3"/>
  <c r="B1012" i="3"/>
  <c r="C1012" i="3"/>
  <c r="B1013" i="3"/>
  <c r="C1013" i="3"/>
  <c r="B1014" i="3"/>
  <c r="C1014" i="3"/>
  <c r="B1015" i="3"/>
  <c r="C1015" i="3"/>
  <c r="B1016" i="3"/>
  <c r="C1016" i="3"/>
  <c r="B1017" i="3"/>
  <c r="C1017" i="3"/>
  <c r="B1018" i="3"/>
  <c r="C1018" i="3"/>
  <c r="B1019" i="3"/>
  <c r="C1019" i="3"/>
  <c r="B1020" i="3"/>
  <c r="C1020" i="3"/>
  <c r="B1021" i="3"/>
  <c r="C1021" i="3"/>
  <c r="B1022" i="3"/>
  <c r="C1022" i="3"/>
  <c r="B1023" i="3"/>
  <c r="C1023" i="3"/>
  <c r="B1024" i="3"/>
  <c r="C1024" i="3"/>
  <c r="B1025" i="3"/>
  <c r="C1025" i="3"/>
  <c r="B1026" i="3"/>
  <c r="C1026" i="3"/>
  <c r="B1027" i="3"/>
  <c r="C1027" i="3"/>
  <c r="B1028" i="3"/>
  <c r="C1028" i="3"/>
  <c r="B1029" i="3"/>
  <c r="C1029" i="3"/>
  <c r="B1030" i="3"/>
  <c r="C1030" i="3"/>
  <c r="B1031" i="3"/>
  <c r="C1031" i="3"/>
  <c r="B1032" i="3"/>
  <c r="C1032" i="3"/>
  <c r="B1033" i="3"/>
  <c r="C1033" i="3"/>
  <c r="B1034" i="3"/>
  <c r="C1034" i="3"/>
  <c r="B1035" i="3"/>
  <c r="C1035" i="3"/>
  <c r="B1036" i="3"/>
  <c r="C1036" i="3"/>
  <c r="B1037" i="3"/>
  <c r="C1037" i="3"/>
  <c r="B1038" i="3"/>
  <c r="C1038" i="3"/>
  <c r="B1039" i="3"/>
  <c r="C1039" i="3"/>
  <c r="B1040" i="3"/>
  <c r="C1040" i="3"/>
  <c r="B1041" i="3"/>
  <c r="C1041" i="3"/>
  <c r="B1042" i="3"/>
  <c r="C1042" i="3"/>
  <c r="B1043" i="3"/>
  <c r="C1043" i="3"/>
  <c r="B1044" i="3"/>
  <c r="C1044" i="3"/>
  <c r="B1045" i="3"/>
  <c r="C1045" i="3"/>
  <c r="B1046" i="3"/>
  <c r="C1046" i="3"/>
  <c r="B1047" i="3"/>
  <c r="C1047" i="3"/>
  <c r="B1048" i="3"/>
  <c r="C1048" i="3"/>
  <c r="B1049" i="3"/>
  <c r="C1049" i="3"/>
  <c r="B1050" i="3"/>
  <c r="C1050" i="3"/>
  <c r="B1051" i="3"/>
  <c r="C1051" i="3"/>
  <c r="B1052" i="3"/>
  <c r="C1052" i="3"/>
  <c r="B1053" i="3"/>
  <c r="C1053" i="3"/>
  <c r="B1054" i="3"/>
  <c r="C1054" i="3"/>
  <c r="B1055" i="3"/>
  <c r="C1055" i="3"/>
  <c r="B1056" i="3"/>
  <c r="C1056" i="3"/>
  <c r="B1057" i="3"/>
  <c r="C1057" i="3"/>
  <c r="B1058" i="3"/>
  <c r="C1058" i="3"/>
  <c r="B1059" i="3"/>
  <c r="C1059" i="3"/>
  <c r="B1060" i="3"/>
  <c r="C1060" i="3"/>
  <c r="B1061" i="3"/>
  <c r="C1061" i="3"/>
  <c r="B1062" i="3"/>
  <c r="C1062" i="3"/>
  <c r="B1063" i="3"/>
  <c r="C1063" i="3"/>
  <c r="B1064" i="3"/>
  <c r="C1064" i="3"/>
  <c r="B1065" i="3"/>
  <c r="C1065" i="3"/>
  <c r="B1066" i="3"/>
  <c r="C1066" i="3"/>
  <c r="B1067" i="3"/>
  <c r="C1067" i="3"/>
  <c r="B1068" i="3"/>
  <c r="C1068" i="3"/>
  <c r="B1069" i="3"/>
  <c r="C1069" i="3"/>
  <c r="B1070" i="3"/>
  <c r="C1070" i="3"/>
  <c r="B1071" i="3"/>
  <c r="C1071" i="3"/>
  <c r="B1072" i="3"/>
  <c r="C1072" i="3"/>
  <c r="B1073" i="3"/>
  <c r="C1073" i="3"/>
  <c r="B1074" i="3"/>
  <c r="C1074" i="3"/>
  <c r="B1075" i="3"/>
  <c r="C1075" i="3"/>
  <c r="B1076" i="3"/>
  <c r="C1076" i="3"/>
  <c r="B1077" i="3"/>
  <c r="C1077" i="3"/>
  <c r="B1078" i="3"/>
  <c r="C1078" i="3"/>
  <c r="B1079" i="3"/>
  <c r="C1079" i="3"/>
  <c r="B1080" i="3"/>
  <c r="C1080" i="3"/>
  <c r="B1081" i="3"/>
  <c r="C1081" i="3"/>
  <c r="B1082" i="3"/>
  <c r="C1082" i="3"/>
  <c r="B1083" i="3"/>
  <c r="C1083" i="3"/>
  <c r="B1084" i="3"/>
  <c r="C1084" i="3"/>
  <c r="B1085" i="3"/>
  <c r="C1085" i="3"/>
  <c r="B1086" i="3"/>
  <c r="C1086" i="3"/>
  <c r="B1087" i="3"/>
  <c r="C1087" i="3"/>
  <c r="B1088" i="3"/>
  <c r="C1088" i="3"/>
  <c r="B1089" i="3"/>
  <c r="C1089" i="3"/>
  <c r="B1090" i="3"/>
  <c r="C1090" i="3"/>
  <c r="B1091" i="3"/>
  <c r="C1091" i="3"/>
  <c r="B1092" i="3"/>
  <c r="C1092" i="3"/>
  <c r="B1093" i="3"/>
  <c r="C1093" i="3"/>
  <c r="B1094" i="3"/>
  <c r="C1094" i="3"/>
  <c r="B1095" i="3"/>
  <c r="C1095" i="3"/>
  <c r="B1096" i="3"/>
  <c r="C1096" i="3"/>
  <c r="B1097" i="3"/>
  <c r="C1097" i="3"/>
  <c r="B1098" i="3"/>
  <c r="C1098" i="3"/>
  <c r="B1099" i="3"/>
  <c r="C1099" i="3"/>
  <c r="B1100" i="3"/>
  <c r="C1100" i="3"/>
  <c r="B1101" i="3"/>
  <c r="C1101" i="3"/>
  <c r="B1102" i="3"/>
  <c r="C1102" i="3"/>
  <c r="B1103" i="3"/>
  <c r="C1103" i="3"/>
  <c r="B1104" i="3"/>
  <c r="C1104" i="3"/>
  <c r="B1105" i="3"/>
  <c r="C1105" i="3"/>
  <c r="B1106" i="3"/>
  <c r="C1106" i="3"/>
  <c r="B1107" i="3"/>
  <c r="C1107" i="3"/>
  <c r="B1108" i="3"/>
  <c r="C1108" i="3"/>
  <c r="B1109" i="3"/>
  <c r="C1109" i="3"/>
  <c r="B1110" i="3"/>
  <c r="C1110" i="3"/>
  <c r="B1111" i="3"/>
  <c r="C1111" i="3"/>
  <c r="B1112" i="3"/>
  <c r="C1112" i="3"/>
  <c r="B1113" i="3"/>
  <c r="C1113" i="3"/>
  <c r="B1114" i="3"/>
  <c r="C1114" i="3"/>
  <c r="B1115" i="3"/>
  <c r="C1115" i="3"/>
  <c r="B1116" i="3"/>
  <c r="C1116" i="3"/>
  <c r="B1117" i="3"/>
  <c r="C1117" i="3"/>
  <c r="B1118" i="3"/>
  <c r="C1118" i="3"/>
  <c r="B1119" i="3"/>
  <c r="C1119" i="3"/>
  <c r="B1120" i="3"/>
  <c r="C1120" i="3"/>
  <c r="B1121" i="3"/>
  <c r="C1121" i="3"/>
  <c r="B1122" i="3"/>
  <c r="C1122" i="3"/>
  <c r="B1123" i="3"/>
  <c r="C1123" i="3"/>
  <c r="B1124" i="3"/>
  <c r="C1124" i="3"/>
  <c r="B1125" i="3"/>
  <c r="C1125" i="3"/>
  <c r="B1126" i="3"/>
  <c r="C1126" i="3"/>
  <c r="B1127" i="3"/>
  <c r="C1127" i="3"/>
  <c r="B1128" i="3"/>
  <c r="C1128" i="3"/>
  <c r="B1129" i="3"/>
  <c r="C1129" i="3"/>
  <c r="B1130" i="3"/>
  <c r="C1130" i="3"/>
  <c r="B1131" i="3"/>
  <c r="C1131" i="3"/>
  <c r="B1132" i="3"/>
  <c r="C1132" i="3"/>
  <c r="B1133" i="3"/>
  <c r="C1133" i="3"/>
  <c r="B1134" i="3"/>
  <c r="C1134" i="3"/>
  <c r="B1135" i="3"/>
  <c r="C1135" i="3"/>
  <c r="B1136" i="3"/>
  <c r="C1136" i="3"/>
  <c r="B1137" i="3"/>
  <c r="C1137" i="3"/>
  <c r="B1138" i="3"/>
  <c r="C1138" i="3"/>
  <c r="B1139" i="3"/>
  <c r="C1139" i="3"/>
  <c r="B1140" i="3"/>
  <c r="C1140" i="3"/>
  <c r="B1141" i="3"/>
  <c r="C1141" i="3"/>
  <c r="B1142" i="3"/>
  <c r="C1142" i="3"/>
  <c r="B1143" i="3"/>
  <c r="C1143" i="3"/>
  <c r="B1144" i="3"/>
  <c r="C1144" i="3"/>
  <c r="B1145" i="3"/>
  <c r="C1145" i="3"/>
  <c r="B1146" i="3"/>
  <c r="C1146" i="3"/>
  <c r="B1147" i="3"/>
  <c r="C1147" i="3"/>
  <c r="B1148" i="3"/>
  <c r="C1148" i="3"/>
  <c r="B1149" i="3"/>
  <c r="C1149" i="3"/>
  <c r="B1150" i="3"/>
  <c r="C1150" i="3"/>
  <c r="B1151" i="3"/>
  <c r="C1151" i="3"/>
  <c r="B1152" i="3"/>
  <c r="C1152" i="3"/>
  <c r="B1153" i="3"/>
  <c r="C1153" i="3"/>
  <c r="B1154" i="3"/>
  <c r="C1154" i="3"/>
  <c r="B1155" i="3"/>
  <c r="C1155" i="3"/>
  <c r="B1156" i="3"/>
  <c r="C1156" i="3"/>
  <c r="B1157" i="3"/>
  <c r="C1157" i="3"/>
  <c r="B1158" i="3"/>
  <c r="C1158" i="3"/>
  <c r="B1159" i="3"/>
  <c r="C1159" i="3"/>
  <c r="B1160" i="3"/>
  <c r="C1160" i="3"/>
  <c r="B1161" i="3"/>
  <c r="C1161" i="3"/>
  <c r="B1162" i="3"/>
  <c r="C1162" i="3"/>
  <c r="B1163" i="3"/>
  <c r="C1163" i="3"/>
  <c r="B1164" i="3"/>
  <c r="C1164" i="3"/>
  <c r="B1165" i="3"/>
  <c r="C1165" i="3"/>
  <c r="B1166" i="3"/>
  <c r="C1166" i="3"/>
  <c r="B1167" i="3"/>
  <c r="C1167" i="3"/>
  <c r="B1168" i="3"/>
  <c r="C1168" i="3"/>
  <c r="B1169" i="3"/>
  <c r="C1169" i="3"/>
  <c r="B1170" i="3"/>
  <c r="C1170" i="3"/>
  <c r="B1171" i="3"/>
  <c r="C1171" i="3"/>
  <c r="B1172" i="3"/>
  <c r="C1172" i="3"/>
  <c r="B1173" i="3"/>
  <c r="C1173" i="3"/>
  <c r="B1174" i="3"/>
  <c r="C1174" i="3"/>
  <c r="B1175" i="3"/>
  <c r="C1175" i="3"/>
  <c r="B1176" i="3"/>
  <c r="C1176" i="3"/>
  <c r="B1177" i="3"/>
  <c r="C1177" i="3"/>
  <c r="B1178" i="3"/>
  <c r="C1178" i="3"/>
  <c r="B1179" i="3"/>
  <c r="C1179" i="3"/>
  <c r="B1180" i="3"/>
  <c r="C1180" i="3"/>
  <c r="B1181" i="3"/>
  <c r="C1181" i="3"/>
  <c r="B1182" i="3"/>
  <c r="C1182" i="3"/>
  <c r="B1183" i="3"/>
  <c r="C1183" i="3"/>
  <c r="B1184" i="3"/>
  <c r="C1184" i="3"/>
  <c r="B1185" i="3"/>
  <c r="C1185" i="3"/>
  <c r="B1186" i="3"/>
  <c r="C1186" i="3"/>
  <c r="B1187" i="3"/>
  <c r="C1187" i="3"/>
  <c r="B1188" i="3"/>
  <c r="C1188" i="3"/>
  <c r="B1189" i="3"/>
  <c r="C1189" i="3"/>
  <c r="B1190" i="3"/>
  <c r="C1190" i="3"/>
  <c r="B1191" i="3"/>
  <c r="C1191" i="3"/>
  <c r="B1192" i="3"/>
  <c r="C1192" i="3"/>
  <c r="B1193" i="3"/>
  <c r="C1193" i="3"/>
  <c r="B1194" i="3"/>
  <c r="C1194" i="3"/>
  <c r="B1195" i="3"/>
  <c r="C1195" i="3"/>
  <c r="B1196" i="3"/>
  <c r="C1196" i="3"/>
  <c r="B1197" i="3"/>
  <c r="C1197" i="3"/>
  <c r="B1198" i="3"/>
  <c r="C1198" i="3"/>
  <c r="B1199" i="3"/>
  <c r="C1199" i="3"/>
  <c r="B1200" i="3"/>
  <c r="C1200" i="3"/>
  <c r="B1201" i="3"/>
  <c r="C1201" i="3"/>
  <c r="B1202" i="3"/>
  <c r="C1202" i="3"/>
  <c r="B1203" i="3"/>
  <c r="C1203" i="3"/>
  <c r="B1204" i="3"/>
  <c r="C1204" i="3"/>
  <c r="B1205" i="3"/>
  <c r="C1205" i="3"/>
  <c r="B1206" i="3"/>
  <c r="C1206" i="3"/>
  <c r="B1207" i="3"/>
  <c r="C1207" i="3"/>
  <c r="B1208" i="3"/>
  <c r="C1208" i="3"/>
  <c r="B1209" i="3"/>
  <c r="C1209" i="3"/>
  <c r="B1210" i="3"/>
  <c r="C1210" i="3"/>
  <c r="B1211" i="3"/>
  <c r="C1211" i="3"/>
  <c r="B1212" i="3"/>
  <c r="C1212" i="3"/>
  <c r="B1213" i="3"/>
  <c r="C1213" i="3"/>
  <c r="B1214" i="3"/>
  <c r="C1214" i="3"/>
  <c r="B1215" i="3"/>
  <c r="C1215" i="3"/>
  <c r="B1216" i="3"/>
  <c r="C1216" i="3"/>
  <c r="B1217" i="3"/>
  <c r="C1217" i="3"/>
  <c r="B1218" i="3"/>
  <c r="C1218" i="3"/>
  <c r="B1219" i="3"/>
  <c r="C1219" i="3"/>
  <c r="B1220" i="3"/>
  <c r="C1220" i="3"/>
  <c r="B1221" i="3"/>
  <c r="C1221" i="3"/>
  <c r="B1222" i="3"/>
  <c r="C1222" i="3"/>
  <c r="B1223" i="3"/>
  <c r="C1223" i="3"/>
  <c r="B1224" i="3"/>
  <c r="C1224" i="3"/>
  <c r="B1225" i="3"/>
  <c r="C1225" i="3"/>
  <c r="B1226" i="3"/>
  <c r="C1226" i="3"/>
  <c r="B1227" i="3"/>
  <c r="C1227" i="3"/>
  <c r="B1228" i="3"/>
  <c r="C1228" i="3"/>
  <c r="B1229" i="3"/>
  <c r="C1229" i="3"/>
  <c r="B1230" i="3"/>
  <c r="C1230" i="3"/>
  <c r="B1231" i="3"/>
  <c r="C1231" i="3"/>
  <c r="B1232" i="3"/>
  <c r="C1232" i="3"/>
  <c r="B1233" i="3"/>
  <c r="C1233" i="3"/>
  <c r="B1234" i="3"/>
  <c r="C1234" i="3"/>
  <c r="B1235" i="3"/>
  <c r="C1235" i="3"/>
  <c r="B1236" i="3"/>
  <c r="C1236" i="3"/>
  <c r="B1237" i="3"/>
  <c r="C1237" i="3"/>
  <c r="B1238" i="3"/>
  <c r="C1238" i="3"/>
  <c r="B1239" i="3"/>
  <c r="C1239" i="3"/>
  <c r="B1240" i="3"/>
  <c r="C1240" i="3"/>
  <c r="B1241" i="3"/>
  <c r="C1241" i="3"/>
  <c r="B1242" i="3"/>
  <c r="C1242" i="3"/>
  <c r="B1243" i="3"/>
  <c r="C1243" i="3"/>
  <c r="B1244" i="3"/>
  <c r="C1244" i="3"/>
  <c r="B1245" i="3"/>
  <c r="C1245" i="3"/>
  <c r="B1246" i="3"/>
  <c r="C1246" i="3"/>
  <c r="B1247" i="3"/>
  <c r="C1247" i="3"/>
  <c r="B1248" i="3"/>
  <c r="C1248" i="3"/>
  <c r="B1249" i="3"/>
  <c r="C1249" i="3"/>
  <c r="B1250" i="3"/>
  <c r="C1250" i="3"/>
  <c r="B1251" i="3"/>
  <c r="C1251" i="3"/>
  <c r="B1252" i="3"/>
  <c r="C1252" i="3"/>
  <c r="B1253" i="3"/>
  <c r="C1253" i="3"/>
  <c r="B1254" i="3"/>
  <c r="C1254" i="3"/>
  <c r="B1255" i="3"/>
  <c r="C1255" i="3"/>
  <c r="B1256" i="3"/>
  <c r="C1256" i="3"/>
  <c r="B1257" i="3"/>
  <c r="C1257" i="3"/>
  <c r="B1258" i="3"/>
  <c r="C1258" i="3"/>
  <c r="B1259" i="3"/>
  <c r="C1259" i="3"/>
  <c r="B1260" i="3"/>
  <c r="C1260" i="3"/>
  <c r="B1261" i="3"/>
  <c r="C1261" i="3"/>
  <c r="B1262" i="3"/>
  <c r="C1262" i="3"/>
  <c r="B1263" i="3"/>
  <c r="C1263" i="3"/>
  <c r="B1264" i="3"/>
  <c r="C1264" i="3"/>
  <c r="B1265" i="3"/>
  <c r="C1265" i="3"/>
  <c r="B1266" i="3"/>
  <c r="C1266" i="3"/>
  <c r="B1267" i="3"/>
  <c r="C1267" i="3"/>
  <c r="B1268" i="3"/>
  <c r="C1268" i="3"/>
  <c r="B1269" i="3"/>
  <c r="C1269" i="3"/>
  <c r="B1270" i="3"/>
  <c r="C1270" i="3"/>
  <c r="B1271" i="3"/>
  <c r="C1271" i="3"/>
  <c r="B1272" i="3"/>
  <c r="C1272" i="3"/>
  <c r="B1273" i="3"/>
  <c r="C1273" i="3"/>
  <c r="B1274" i="3"/>
  <c r="C1274" i="3"/>
  <c r="B1275" i="3"/>
  <c r="C1275" i="3"/>
  <c r="B1276" i="3"/>
  <c r="C1276" i="3"/>
  <c r="B1277" i="3"/>
  <c r="C1277" i="3"/>
  <c r="B1278" i="3"/>
  <c r="C1278" i="3"/>
  <c r="B1279" i="3"/>
  <c r="C1279" i="3"/>
  <c r="B1280" i="3"/>
  <c r="C1280" i="3"/>
  <c r="B1281" i="3"/>
  <c r="C1281" i="3"/>
  <c r="B1282" i="3"/>
  <c r="C1282" i="3"/>
  <c r="B1283" i="3"/>
  <c r="C1283" i="3"/>
  <c r="B1284" i="3"/>
  <c r="C1284" i="3"/>
  <c r="B1285" i="3"/>
  <c r="C1285" i="3"/>
  <c r="B1286" i="3"/>
  <c r="C1286" i="3"/>
  <c r="B1287" i="3"/>
  <c r="C1287" i="3"/>
  <c r="B1288" i="3"/>
  <c r="C1288" i="3"/>
  <c r="B1289" i="3"/>
  <c r="C1289" i="3"/>
  <c r="B1290" i="3"/>
  <c r="C1290" i="3"/>
  <c r="B1291" i="3"/>
  <c r="C1291" i="3"/>
  <c r="B1292" i="3"/>
  <c r="C1292" i="3"/>
  <c r="B1293" i="3"/>
  <c r="C1293" i="3"/>
  <c r="B1294" i="3"/>
  <c r="C1294" i="3"/>
  <c r="B1295" i="3"/>
  <c r="C1295" i="3"/>
  <c r="B1296" i="3"/>
  <c r="C1296" i="3"/>
  <c r="B1297" i="3"/>
  <c r="C1297" i="3"/>
  <c r="B1298" i="3"/>
  <c r="C1298" i="3"/>
  <c r="B1299" i="3"/>
  <c r="C1299" i="3"/>
  <c r="B1300" i="3"/>
  <c r="C1300" i="3"/>
  <c r="B1301" i="3"/>
  <c r="C1301" i="3"/>
  <c r="B1302" i="3"/>
  <c r="C1302" i="3"/>
  <c r="B1303" i="3"/>
  <c r="C1303" i="3"/>
  <c r="B1304" i="3"/>
  <c r="C1304" i="3"/>
  <c r="B1305" i="3"/>
  <c r="C1305" i="3"/>
  <c r="B1306" i="3"/>
  <c r="C1306" i="3"/>
  <c r="B1307" i="3"/>
  <c r="C1307" i="3"/>
  <c r="B1308" i="3"/>
  <c r="C1308" i="3"/>
  <c r="B1309" i="3"/>
  <c r="C1309" i="3"/>
  <c r="B1310" i="3"/>
  <c r="C1310" i="3"/>
  <c r="B1311" i="3"/>
  <c r="C1311" i="3"/>
  <c r="B1312" i="3"/>
  <c r="C1312" i="3"/>
  <c r="B1313" i="3"/>
  <c r="C1313" i="3"/>
  <c r="B1314" i="3"/>
  <c r="C1314" i="3"/>
  <c r="B1315" i="3"/>
  <c r="C1315" i="3"/>
  <c r="B1316" i="3"/>
  <c r="C1316" i="3"/>
  <c r="B1317" i="3"/>
  <c r="C1317" i="3"/>
  <c r="B1318" i="3"/>
  <c r="C1318" i="3"/>
  <c r="B1319" i="3"/>
  <c r="C1319" i="3"/>
  <c r="B1320" i="3"/>
  <c r="C1320" i="3"/>
  <c r="B1321" i="3"/>
  <c r="C1321" i="3"/>
  <c r="B1322" i="3"/>
  <c r="C1322" i="3"/>
  <c r="B1323" i="3"/>
  <c r="C1323" i="3"/>
  <c r="B1324" i="3"/>
  <c r="C1324" i="3"/>
  <c r="B1325" i="3"/>
  <c r="C1325" i="3"/>
  <c r="B1326" i="3"/>
  <c r="C1326" i="3"/>
  <c r="B1327" i="3"/>
  <c r="C1327" i="3"/>
  <c r="B1328" i="3"/>
  <c r="C1328" i="3"/>
  <c r="B1329" i="3"/>
  <c r="C1329" i="3"/>
  <c r="B1330" i="3"/>
  <c r="C1330" i="3"/>
  <c r="B1331" i="3"/>
  <c r="C1331" i="3"/>
  <c r="B1332" i="3"/>
  <c r="C1332" i="3"/>
  <c r="B1333" i="3"/>
  <c r="C1333" i="3"/>
  <c r="B1334" i="3"/>
  <c r="C1334" i="3"/>
  <c r="B1335" i="3"/>
  <c r="C1335" i="3"/>
  <c r="B1336" i="3"/>
  <c r="C1336" i="3"/>
  <c r="B1337" i="3"/>
  <c r="C1337" i="3"/>
  <c r="B1338" i="3"/>
  <c r="C1338" i="3"/>
  <c r="B1339" i="3"/>
  <c r="C1339" i="3"/>
  <c r="B1340" i="3"/>
  <c r="C1340" i="3"/>
  <c r="B1341" i="3"/>
  <c r="C1341" i="3"/>
  <c r="B1342" i="3"/>
  <c r="C1342" i="3"/>
  <c r="B1343" i="3"/>
  <c r="C1343" i="3"/>
  <c r="B1344" i="3"/>
  <c r="C1344" i="3"/>
  <c r="B1345" i="3"/>
  <c r="C1345" i="3"/>
  <c r="B1346" i="3"/>
  <c r="C1346" i="3"/>
  <c r="B1347" i="3"/>
  <c r="C1347" i="3"/>
  <c r="B1348" i="3"/>
  <c r="C1348" i="3"/>
  <c r="B1349" i="3"/>
  <c r="C1349" i="3"/>
  <c r="B1350" i="3"/>
  <c r="C1350" i="3"/>
  <c r="B1351" i="3"/>
  <c r="C1351" i="3"/>
  <c r="B1352" i="3"/>
  <c r="C1352" i="3"/>
  <c r="B1353" i="3"/>
  <c r="C1353" i="3"/>
  <c r="B1354" i="3"/>
  <c r="C1354" i="3"/>
  <c r="B1355" i="3"/>
  <c r="C1355" i="3"/>
  <c r="B1356" i="3"/>
  <c r="C1356" i="3"/>
  <c r="B1357" i="3"/>
  <c r="C1357" i="3"/>
  <c r="B1358" i="3"/>
  <c r="C1358" i="3"/>
  <c r="B1359" i="3"/>
  <c r="C1359" i="3"/>
  <c r="B1360" i="3"/>
  <c r="C1360" i="3"/>
  <c r="B1361" i="3"/>
  <c r="C1361" i="3"/>
  <c r="B1362" i="3"/>
  <c r="C1362" i="3"/>
  <c r="B1363" i="3"/>
  <c r="C1363" i="3"/>
  <c r="B1364" i="3"/>
  <c r="C1364" i="3"/>
  <c r="B1365" i="3"/>
  <c r="C1365" i="3"/>
  <c r="B1366" i="3"/>
  <c r="C1366" i="3"/>
  <c r="B1367" i="3"/>
  <c r="C1367" i="3"/>
  <c r="B1368" i="3"/>
  <c r="C1368" i="3"/>
  <c r="B1369" i="3"/>
  <c r="C1369" i="3"/>
  <c r="B1370" i="3"/>
  <c r="C1370" i="3"/>
  <c r="B1371" i="3"/>
  <c r="C1371" i="3"/>
  <c r="B1372" i="3"/>
  <c r="C1372" i="3"/>
  <c r="B1373" i="3"/>
  <c r="C1373" i="3"/>
  <c r="B1374" i="3"/>
  <c r="C1374" i="3"/>
  <c r="B1375" i="3"/>
  <c r="C1375" i="3"/>
  <c r="B1376" i="3"/>
  <c r="C1376" i="3"/>
  <c r="B1377" i="3"/>
  <c r="C1377" i="3"/>
  <c r="B1378" i="3"/>
  <c r="C1378" i="3"/>
  <c r="B1379" i="3"/>
  <c r="C1379" i="3"/>
  <c r="B1380" i="3"/>
  <c r="C1380" i="3"/>
  <c r="B1381" i="3"/>
  <c r="C1381" i="3"/>
  <c r="B1382" i="3"/>
  <c r="C1382" i="3"/>
  <c r="B1383" i="3"/>
  <c r="C1383" i="3"/>
  <c r="B1384" i="3"/>
  <c r="C1384" i="3"/>
  <c r="B1385" i="3"/>
  <c r="C1385" i="3"/>
  <c r="B1386" i="3"/>
  <c r="C1386" i="3"/>
  <c r="B1387" i="3"/>
  <c r="C1387" i="3"/>
  <c r="B1388" i="3"/>
  <c r="C1388" i="3"/>
  <c r="B1389" i="3"/>
  <c r="C1389" i="3"/>
  <c r="B1390" i="3"/>
  <c r="C1390" i="3"/>
  <c r="B1391" i="3"/>
  <c r="C1391" i="3"/>
  <c r="B1392" i="3"/>
  <c r="C1392" i="3"/>
  <c r="B1393" i="3"/>
  <c r="C1393" i="3"/>
  <c r="B1394" i="3"/>
  <c r="C1394" i="3"/>
  <c r="B1395" i="3"/>
  <c r="C1395" i="3"/>
  <c r="B1396" i="3"/>
  <c r="C1396" i="3"/>
  <c r="B1397" i="3"/>
  <c r="C1397" i="3"/>
  <c r="B1398" i="3"/>
  <c r="C1398" i="3"/>
  <c r="B1399" i="3"/>
  <c r="C1399" i="3"/>
  <c r="B1400" i="3"/>
  <c r="C1400" i="3"/>
  <c r="B1401" i="3"/>
  <c r="C1401" i="3"/>
  <c r="B1402" i="3"/>
  <c r="C1402" i="3"/>
  <c r="B1403" i="3"/>
  <c r="C1403" i="3"/>
  <c r="B1404" i="3"/>
  <c r="C1404" i="3"/>
  <c r="B1405" i="3"/>
  <c r="C1405" i="3"/>
  <c r="B1406" i="3"/>
  <c r="C1406" i="3"/>
  <c r="B1407" i="3"/>
  <c r="C1407" i="3"/>
  <c r="B1408" i="3"/>
  <c r="C1408" i="3"/>
  <c r="B1409" i="3"/>
  <c r="C1409" i="3"/>
  <c r="B1410" i="3"/>
  <c r="C1410" i="3"/>
  <c r="B1411" i="3"/>
  <c r="C1411" i="3"/>
  <c r="B1412" i="3"/>
  <c r="C1412" i="3"/>
  <c r="B1413" i="3"/>
  <c r="C1413" i="3"/>
  <c r="B1414" i="3"/>
  <c r="C1414" i="3"/>
  <c r="B1415" i="3"/>
  <c r="C1415" i="3"/>
  <c r="B1416" i="3"/>
  <c r="C1416" i="3"/>
  <c r="B1417" i="3"/>
  <c r="C1417" i="3"/>
  <c r="B1418" i="3"/>
  <c r="C1418" i="3"/>
  <c r="B1419" i="3"/>
  <c r="C1419" i="3"/>
  <c r="B1420" i="3"/>
  <c r="C1420" i="3"/>
  <c r="B1421" i="3"/>
  <c r="C1421" i="3"/>
  <c r="B1422" i="3"/>
  <c r="C1422" i="3"/>
  <c r="B1423" i="3"/>
  <c r="C1423" i="3"/>
  <c r="B1424" i="3"/>
  <c r="C1424" i="3"/>
  <c r="B1425" i="3"/>
  <c r="C1425" i="3"/>
  <c r="B1426" i="3"/>
  <c r="C1426" i="3"/>
  <c r="B1427" i="3"/>
  <c r="C1427" i="3"/>
  <c r="B1428" i="3"/>
  <c r="C1428" i="3"/>
  <c r="B1429" i="3"/>
  <c r="C1429" i="3"/>
  <c r="B1430" i="3"/>
  <c r="C1430" i="3"/>
  <c r="B1431" i="3"/>
  <c r="C1431" i="3"/>
  <c r="B1432" i="3"/>
  <c r="C1432" i="3"/>
  <c r="B1433" i="3"/>
  <c r="C1433" i="3"/>
  <c r="B1434" i="3"/>
  <c r="C1434" i="3"/>
  <c r="B1435" i="3"/>
  <c r="C1435" i="3"/>
  <c r="B1436" i="3"/>
  <c r="C1436" i="3"/>
  <c r="B1437" i="3"/>
  <c r="C1437" i="3"/>
  <c r="B1438" i="3"/>
  <c r="C1438" i="3"/>
  <c r="B1439" i="3"/>
  <c r="C1439" i="3"/>
  <c r="B1440" i="3"/>
  <c r="C1440" i="3"/>
  <c r="B1441" i="3"/>
  <c r="C1441" i="3"/>
  <c r="B1442" i="3"/>
  <c r="C1442" i="3"/>
  <c r="B1443" i="3"/>
  <c r="C1443" i="3"/>
  <c r="B1444" i="3"/>
  <c r="C1444" i="3"/>
  <c r="B1445" i="3"/>
  <c r="C1445" i="3"/>
  <c r="B1446" i="3"/>
  <c r="C1446" i="3"/>
  <c r="B1447" i="3"/>
  <c r="C1447" i="3"/>
  <c r="B1448" i="3"/>
  <c r="C1448" i="3"/>
  <c r="B1449" i="3"/>
  <c r="C1449" i="3"/>
  <c r="B1450" i="3"/>
  <c r="C1450" i="3"/>
  <c r="B1451" i="3"/>
  <c r="C1451" i="3"/>
  <c r="B1452" i="3"/>
  <c r="C1452" i="3"/>
  <c r="B1453" i="3"/>
  <c r="C1453" i="3"/>
  <c r="B1454" i="3"/>
  <c r="C1454" i="3"/>
  <c r="B1455" i="3"/>
  <c r="C1455" i="3"/>
  <c r="B1456" i="3"/>
  <c r="C1456" i="3"/>
  <c r="B1457" i="3"/>
  <c r="C1457" i="3"/>
  <c r="B1458" i="3"/>
  <c r="C1458" i="3"/>
  <c r="B1459" i="3"/>
  <c r="C1459" i="3"/>
  <c r="B1460" i="3"/>
  <c r="C1460" i="3"/>
  <c r="B1461" i="3"/>
  <c r="C1461" i="3"/>
  <c r="B1462" i="3"/>
  <c r="C1462" i="3"/>
  <c r="B1463" i="3"/>
  <c r="C1463" i="3"/>
  <c r="B1464" i="3"/>
  <c r="C1464" i="3"/>
  <c r="B1465" i="3"/>
  <c r="C1465" i="3"/>
  <c r="B1466" i="3"/>
  <c r="C1466" i="3"/>
  <c r="B1467" i="3"/>
  <c r="C1467" i="3"/>
  <c r="B1468" i="3"/>
  <c r="C1468" i="3"/>
  <c r="B1469" i="3"/>
  <c r="C1469" i="3"/>
  <c r="B1470" i="3"/>
  <c r="C1470" i="3"/>
  <c r="B1471" i="3"/>
  <c r="C1471" i="3"/>
  <c r="B1472" i="3"/>
  <c r="C1472" i="3"/>
  <c r="B1473" i="3"/>
  <c r="C1473" i="3"/>
  <c r="B1474" i="3"/>
  <c r="C1474" i="3"/>
  <c r="B1475" i="3"/>
  <c r="C1475" i="3"/>
  <c r="B1476" i="3"/>
  <c r="C1476" i="3"/>
  <c r="B1477" i="3"/>
  <c r="C1477" i="3"/>
  <c r="B1478" i="3"/>
  <c r="C1478" i="3"/>
  <c r="B1479" i="3"/>
  <c r="C1479" i="3"/>
  <c r="B1480" i="3"/>
  <c r="C1480" i="3"/>
  <c r="B1481" i="3"/>
  <c r="C1481" i="3"/>
  <c r="B1482" i="3"/>
  <c r="C1482" i="3"/>
  <c r="B1483" i="3"/>
  <c r="C1483" i="3"/>
  <c r="B1484" i="3"/>
  <c r="C1484" i="3"/>
  <c r="B1485" i="3"/>
  <c r="C1485" i="3"/>
  <c r="B1486" i="3"/>
  <c r="C1486" i="3"/>
  <c r="B1487" i="3"/>
  <c r="C1487" i="3"/>
  <c r="B1488" i="3"/>
  <c r="C1488" i="3"/>
  <c r="B1489" i="3"/>
  <c r="C1489" i="3"/>
  <c r="B1490" i="3"/>
  <c r="C1490" i="3"/>
  <c r="B1491" i="3"/>
  <c r="C1491" i="3"/>
  <c r="B1492" i="3"/>
  <c r="C1492" i="3"/>
  <c r="B1493" i="3"/>
  <c r="C1493" i="3"/>
  <c r="B1494" i="3"/>
  <c r="C1494" i="3"/>
  <c r="B1495" i="3"/>
  <c r="C1495" i="3"/>
  <c r="B1496" i="3"/>
  <c r="C1496" i="3"/>
  <c r="B1497" i="3"/>
  <c r="C1497" i="3"/>
  <c r="B1498" i="3"/>
  <c r="C1498" i="3"/>
  <c r="B1499" i="3"/>
  <c r="C1499" i="3"/>
  <c r="B1500" i="3"/>
  <c r="C1500" i="3"/>
  <c r="B1501" i="3"/>
  <c r="C1501" i="3"/>
  <c r="B1502" i="3"/>
  <c r="C1502" i="3"/>
  <c r="B1503" i="3"/>
  <c r="C1503" i="3"/>
  <c r="B1504" i="3"/>
  <c r="C1504" i="3"/>
  <c r="B1505" i="3"/>
  <c r="C1505" i="3"/>
  <c r="B1506" i="3"/>
  <c r="C1506" i="3"/>
  <c r="B1507" i="3"/>
  <c r="C1507" i="3"/>
  <c r="B1508" i="3"/>
  <c r="C1508" i="3"/>
  <c r="B1509" i="3"/>
  <c r="C1509" i="3"/>
  <c r="B1510" i="3"/>
  <c r="C1510" i="3"/>
  <c r="B1511" i="3"/>
  <c r="C1511" i="3"/>
  <c r="B1512" i="3"/>
  <c r="C1512" i="3"/>
  <c r="B1513" i="3"/>
  <c r="C1513" i="3"/>
  <c r="B1514" i="3"/>
  <c r="C1514" i="3"/>
  <c r="B1515" i="3"/>
  <c r="C1515" i="3"/>
  <c r="B1516" i="3"/>
  <c r="C1516" i="3"/>
  <c r="B1517" i="3"/>
  <c r="C1517" i="3"/>
  <c r="B1518" i="3"/>
  <c r="C1518" i="3"/>
  <c r="B1519" i="3"/>
  <c r="C1519" i="3"/>
  <c r="B1520" i="3"/>
  <c r="C1520" i="3"/>
  <c r="B1521" i="3"/>
  <c r="C1521" i="3"/>
  <c r="B1522" i="3"/>
  <c r="C1522" i="3"/>
  <c r="B1523" i="3"/>
  <c r="C1523" i="3"/>
  <c r="B1524" i="3"/>
  <c r="C1524" i="3"/>
  <c r="B1525" i="3"/>
  <c r="C1525" i="3"/>
  <c r="B1526" i="3"/>
  <c r="C1526" i="3"/>
  <c r="B1527" i="3"/>
  <c r="C1527" i="3"/>
  <c r="B1528" i="3"/>
  <c r="C1528" i="3"/>
  <c r="B1529" i="3"/>
  <c r="C1529" i="3"/>
  <c r="B1530" i="3"/>
  <c r="C1530" i="3"/>
  <c r="B1531" i="3"/>
  <c r="C1531" i="3"/>
  <c r="B1532" i="3"/>
  <c r="C1532" i="3"/>
  <c r="B1533" i="3"/>
  <c r="C1533" i="3"/>
  <c r="B1534" i="3"/>
  <c r="C1534" i="3"/>
  <c r="B1535" i="3"/>
  <c r="C1535" i="3"/>
  <c r="B1536" i="3"/>
  <c r="C1536" i="3"/>
  <c r="B1537" i="3"/>
  <c r="C1537" i="3"/>
  <c r="B1538" i="3"/>
  <c r="C1538" i="3"/>
  <c r="B1539" i="3"/>
  <c r="C1539" i="3"/>
  <c r="B1540" i="3"/>
  <c r="C1540" i="3"/>
  <c r="B1541" i="3"/>
  <c r="C1541" i="3"/>
  <c r="B1542" i="3"/>
  <c r="C1542" i="3"/>
  <c r="B1543" i="3"/>
  <c r="C1543" i="3"/>
  <c r="B1544" i="3"/>
  <c r="C1544" i="3"/>
  <c r="B1545" i="3"/>
  <c r="C1545" i="3"/>
  <c r="B1546" i="3"/>
  <c r="C1546" i="3"/>
  <c r="B1547" i="3"/>
  <c r="C1547" i="3"/>
  <c r="B1548" i="3"/>
  <c r="C1548" i="3"/>
  <c r="B1549" i="3"/>
  <c r="C1549" i="3"/>
  <c r="B1550" i="3"/>
  <c r="C1550" i="3"/>
  <c r="B1551" i="3"/>
  <c r="C1551" i="3"/>
  <c r="B1552" i="3"/>
  <c r="C1552" i="3"/>
  <c r="B1553" i="3"/>
  <c r="C1553" i="3"/>
  <c r="B1554" i="3"/>
  <c r="C1554" i="3"/>
  <c r="B1555" i="3"/>
  <c r="C1555" i="3"/>
  <c r="B1556" i="3"/>
  <c r="C1556" i="3"/>
  <c r="B1557" i="3"/>
  <c r="C1557" i="3"/>
  <c r="B1558" i="3"/>
  <c r="C1558" i="3"/>
  <c r="B1559" i="3"/>
  <c r="C1559" i="3"/>
  <c r="B1560" i="3"/>
  <c r="C1560" i="3"/>
  <c r="B1561" i="3"/>
  <c r="C1561" i="3"/>
  <c r="B1562" i="3"/>
  <c r="C1562" i="3"/>
  <c r="B1563" i="3"/>
  <c r="C1563" i="3"/>
  <c r="B1564" i="3"/>
  <c r="C1564" i="3"/>
  <c r="B1565" i="3"/>
  <c r="C1565" i="3"/>
  <c r="B1566" i="3"/>
  <c r="C1566" i="3"/>
  <c r="B1567" i="3"/>
  <c r="C1567" i="3"/>
  <c r="B1568" i="3"/>
  <c r="C1568" i="3"/>
  <c r="B1569" i="3"/>
  <c r="C1569" i="3"/>
  <c r="B1570" i="3"/>
  <c r="C1570" i="3"/>
  <c r="B1571" i="3"/>
  <c r="C1571" i="3"/>
  <c r="B1572" i="3"/>
  <c r="C1572" i="3"/>
  <c r="B1573" i="3"/>
  <c r="C1573" i="3"/>
  <c r="B1574" i="3"/>
  <c r="C1574" i="3"/>
  <c r="B1575" i="3"/>
  <c r="C1575" i="3"/>
  <c r="B1576" i="3"/>
  <c r="C1576" i="3"/>
  <c r="B1577" i="3"/>
  <c r="C1577" i="3"/>
  <c r="B1578" i="3"/>
  <c r="C1578" i="3"/>
  <c r="B1579" i="3"/>
  <c r="C1579" i="3"/>
  <c r="B1580" i="3"/>
  <c r="C1580" i="3"/>
  <c r="B1581" i="3"/>
  <c r="C1581" i="3"/>
  <c r="B1582" i="3"/>
  <c r="C1582" i="3"/>
  <c r="B1583" i="3"/>
  <c r="C1583" i="3"/>
  <c r="B1584" i="3"/>
  <c r="C1584" i="3"/>
  <c r="B1585" i="3"/>
  <c r="C1585" i="3"/>
  <c r="B1586" i="3"/>
  <c r="C1586" i="3"/>
  <c r="B1587" i="3"/>
  <c r="C1587" i="3"/>
  <c r="B1588" i="3"/>
  <c r="C1588" i="3"/>
  <c r="B1589" i="3"/>
  <c r="C1589" i="3"/>
  <c r="B1590" i="3"/>
  <c r="C1590" i="3"/>
  <c r="B1591" i="3"/>
  <c r="C1591" i="3"/>
  <c r="B1592" i="3"/>
  <c r="C1592" i="3"/>
  <c r="B1593" i="3"/>
  <c r="C1593" i="3"/>
  <c r="B1594" i="3"/>
  <c r="C1594" i="3"/>
  <c r="B1595" i="3"/>
  <c r="C1595" i="3"/>
  <c r="B1596" i="3"/>
  <c r="C1596" i="3"/>
  <c r="B1597" i="3"/>
  <c r="C1597" i="3"/>
  <c r="B1598" i="3"/>
  <c r="C1598" i="3"/>
  <c r="B1599" i="3"/>
  <c r="C1599" i="3"/>
  <c r="B1600" i="3"/>
  <c r="C1600" i="3"/>
  <c r="B1601" i="3"/>
  <c r="C1601" i="3"/>
  <c r="B1602" i="3"/>
  <c r="C1602" i="3"/>
  <c r="B1603" i="3"/>
  <c r="C1603" i="3"/>
  <c r="B1604" i="3"/>
  <c r="C1604" i="3"/>
  <c r="B1605" i="3"/>
  <c r="C1605" i="3"/>
  <c r="B1606" i="3"/>
  <c r="C1606" i="3"/>
  <c r="B1607" i="3"/>
  <c r="C1607" i="3"/>
  <c r="B1608" i="3"/>
  <c r="C1608" i="3"/>
  <c r="B1609" i="3"/>
  <c r="C1609" i="3"/>
  <c r="B1610" i="3"/>
  <c r="C1610" i="3"/>
  <c r="B1611" i="3"/>
  <c r="C1611" i="3"/>
  <c r="B1612" i="3"/>
  <c r="C1612" i="3"/>
  <c r="B1613" i="3"/>
  <c r="C1613" i="3"/>
  <c r="B1614" i="3"/>
  <c r="C1614" i="3"/>
  <c r="B1615" i="3"/>
  <c r="C1615" i="3"/>
  <c r="B1616" i="3"/>
  <c r="C1616" i="3"/>
  <c r="B1617" i="3"/>
  <c r="C1617" i="3"/>
  <c r="B1618" i="3"/>
  <c r="C1618" i="3"/>
  <c r="B1619" i="3"/>
  <c r="C1619" i="3"/>
  <c r="B1620" i="3"/>
  <c r="C1620" i="3"/>
  <c r="B1621" i="3"/>
  <c r="C1621" i="3"/>
  <c r="B1622" i="3"/>
  <c r="C1622" i="3"/>
  <c r="B1623" i="3"/>
  <c r="C1623" i="3"/>
  <c r="B1624" i="3"/>
  <c r="C1624" i="3"/>
  <c r="B1625" i="3"/>
  <c r="C1625" i="3"/>
  <c r="B1626" i="3"/>
  <c r="C1626" i="3"/>
  <c r="B1627" i="3"/>
  <c r="C1627" i="3"/>
  <c r="B1628" i="3"/>
  <c r="C1628" i="3"/>
  <c r="B1629" i="3"/>
  <c r="C1629" i="3"/>
  <c r="B1630" i="3"/>
  <c r="C1630" i="3"/>
  <c r="B1631" i="3"/>
  <c r="C1631" i="3"/>
  <c r="B1632" i="3"/>
  <c r="C1632" i="3"/>
  <c r="B1633" i="3"/>
  <c r="C1633" i="3"/>
  <c r="B1634" i="3"/>
  <c r="C1634" i="3"/>
  <c r="B1635" i="3"/>
  <c r="C1635" i="3"/>
  <c r="B1636" i="3"/>
  <c r="C1636" i="3"/>
  <c r="B1637" i="3"/>
  <c r="C1637" i="3"/>
  <c r="B1638" i="3"/>
  <c r="C1638" i="3"/>
  <c r="B1639" i="3"/>
  <c r="C1639" i="3"/>
  <c r="B1640" i="3"/>
  <c r="C1640" i="3"/>
  <c r="B1641" i="3"/>
  <c r="C1641" i="3"/>
  <c r="B1642" i="3"/>
  <c r="C1642" i="3"/>
  <c r="B1643" i="3"/>
  <c r="C1643" i="3"/>
  <c r="B1644" i="3"/>
  <c r="C1644" i="3"/>
  <c r="B1645" i="3"/>
  <c r="C1645" i="3"/>
  <c r="B1646" i="3"/>
  <c r="C1646" i="3"/>
  <c r="B1647" i="3"/>
  <c r="C1647" i="3"/>
  <c r="B1648" i="3"/>
  <c r="C1648" i="3"/>
  <c r="B1649" i="3"/>
  <c r="C1649" i="3"/>
  <c r="B1650" i="3"/>
  <c r="C1650" i="3"/>
  <c r="B1651" i="3"/>
  <c r="C1651" i="3"/>
  <c r="B1652" i="3"/>
  <c r="C1652" i="3"/>
  <c r="B1653" i="3"/>
  <c r="C1653" i="3"/>
  <c r="B1654" i="3"/>
  <c r="C1654" i="3"/>
  <c r="B1655" i="3"/>
  <c r="C1655" i="3"/>
  <c r="B1656" i="3"/>
  <c r="C1656" i="3"/>
  <c r="B1657" i="3"/>
  <c r="C1657" i="3"/>
  <c r="B1658" i="3"/>
  <c r="C1658" i="3"/>
  <c r="B1659" i="3"/>
  <c r="C1659" i="3"/>
  <c r="B1660" i="3"/>
  <c r="C1660" i="3"/>
  <c r="B1661" i="3"/>
  <c r="C1661" i="3"/>
  <c r="B1662" i="3"/>
  <c r="C1662" i="3"/>
  <c r="B1663" i="3"/>
  <c r="C1663" i="3"/>
  <c r="B1664" i="3"/>
  <c r="C1664" i="3"/>
  <c r="B1665" i="3"/>
  <c r="C1665" i="3"/>
  <c r="B1666" i="3"/>
  <c r="C1666" i="3"/>
  <c r="B1667" i="3"/>
  <c r="C1667" i="3"/>
  <c r="B1668" i="3"/>
  <c r="C1668" i="3"/>
  <c r="B1669" i="3"/>
  <c r="C1669" i="3"/>
  <c r="B1670" i="3"/>
  <c r="C1670" i="3"/>
  <c r="B1671" i="3"/>
  <c r="C1671" i="3"/>
  <c r="B1672" i="3"/>
  <c r="C1672" i="3"/>
  <c r="B1673" i="3"/>
  <c r="C1673" i="3"/>
  <c r="B1674" i="3"/>
  <c r="C1674" i="3"/>
  <c r="B1675" i="3"/>
  <c r="C1675" i="3"/>
  <c r="B1676" i="3"/>
  <c r="C1676" i="3"/>
  <c r="B1677" i="3"/>
  <c r="C1677" i="3"/>
  <c r="B1678" i="3"/>
  <c r="C1678" i="3"/>
  <c r="B1679" i="3"/>
  <c r="C1679" i="3"/>
  <c r="B1680" i="3"/>
  <c r="C1680" i="3"/>
  <c r="B1681" i="3"/>
  <c r="C1681" i="3"/>
  <c r="B1682" i="3"/>
  <c r="C1682" i="3"/>
  <c r="B1683" i="3"/>
  <c r="C1683" i="3"/>
  <c r="B1684" i="3"/>
  <c r="C1684" i="3"/>
  <c r="B1685" i="3"/>
  <c r="C1685" i="3"/>
  <c r="B1686" i="3"/>
  <c r="C1686" i="3"/>
  <c r="B1687" i="3"/>
  <c r="C1687" i="3"/>
  <c r="B1688" i="3"/>
  <c r="C1688" i="3"/>
  <c r="B1689" i="3"/>
  <c r="C1689" i="3"/>
  <c r="B1690" i="3"/>
  <c r="C1690" i="3"/>
  <c r="B1691" i="3"/>
  <c r="C1691" i="3"/>
  <c r="B1692" i="3"/>
  <c r="C1692" i="3"/>
  <c r="B1693" i="3"/>
  <c r="C1693" i="3"/>
  <c r="B1694" i="3"/>
  <c r="C1694" i="3"/>
  <c r="B1695" i="3"/>
  <c r="C1695" i="3"/>
  <c r="B1696" i="3"/>
  <c r="C1696" i="3"/>
  <c r="B1697" i="3"/>
  <c r="C1697" i="3"/>
  <c r="B1698" i="3"/>
  <c r="C1698" i="3"/>
  <c r="B1699" i="3"/>
  <c r="C1699" i="3"/>
  <c r="B1700" i="3"/>
  <c r="C1700" i="3"/>
  <c r="B1701" i="3"/>
  <c r="C1701" i="3"/>
  <c r="B1702" i="3"/>
  <c r="C1702" i="3"/>
  <c r="B1703" i="3"/>
  <c r="C1703" i="3"/>
  <c r="B1704" i="3"/>
  <c r="C1704" i="3"/>
  <c r="B1705" i="3"/>
  <c r="C1705" i="3"/>
  <c r="B1706" i="3"/>
  <c r="C1706" i="3"/>
  <c r="B1707" i="3"/>
  <c r="C1707" i="3"/>
  <c r="B1708" i="3"/>
  <c r="C1708" i="3"/>
  <c r="B1709" i="3"/>
  <c r="C1709" i="3"/>
  <c r="B1710" i="3"/>
  <c r="C1710" i="3"/>
  <c r="B1711" i="3"/>
  <c r="C1711" i="3"/>
  <c r="B1712" i="3"/>
  <c r="C1712" i="3"/>
  <c r="B1713" i="3"/>
  <c r="C1713" i="3"/>
  <c r="B1714" i="3"/>
  <c r="C1714" i="3"/>
  <c r="B1715" i="3"/>
  <c r="C1715" i="3"/>
  <c r="B1716" i="3"/>
  <c r="C1716" i="3"/>
  <c r="B1717" i="3"/>
  <c r="C1717" i="3"/>
  <c r="B1718" i="3"/>
  <c r="C1718" i="3"/>
  <c r="B1719" i="3"/>
  <c r="C1719" i="3"/>
  <c r="B1720" i="3"/>
  <c r="C1720" i="3"/>
  <c r="B1721" i="3"/>
  <c r="C1721" i="3"/>
  <c r="B1722" i="3"/>
  <c r="C1722" i="3"/>
  <c r="B1723" i="3"/>
  <c r="C1723" i="3"/>
  <c r="B1724" i="3"/>
  <c r="C1724" i="3"/>
  <c r="B1725" i="3"/>
  <c r="C1725" i="3"/>
  <c r="B1726" i="3"/>
  <c r="C1726" i="3"/>
  <c r="B1727" i="3"/>
  <c r="C1727" i="3"/>
  <c r="B1728" i="3"/>
  <c r="C1728" i="3"/>
  <c r="B1729" i="3"/>
  <c r="C1729" i="3"/>
  <c r="B1730" i="3"/>
  <c r="C1730" i="3"/>
  <c r="B1731" i="3"/>
  <c r="C1731" i="3"/>
  <c r="B1732" i="3"/>
  <c r="C1732" i="3"/>
  <c r="B1733" i="3"/>
  <c r="C1733" i="3"/>
  <c r="B1734" i="3"/>
  <c r="C1734" i="3"/>
  <c r="B1735" i="3"/>
  <c r="C1735" i="3"/>
  <c r="B1736" i="3"/>
  <c r="C1736" i="3"/>
  <c r="B1737" i="3"/>
  <c r="C1737" i="3"/>
  <c r="B1738" i="3"/>
  <c r="C1738" i="3"/>
  <c r="B1739" i="3"/>
  <c r="C1739" i="3"/>
  <c r="B1740" i="3"/>
  <c r="C1740" i="3"/>
  <c r="B1741" i="3"/>
  <c r="C1741" i="3"/>
  <c r="B1742" i="3"/>
  <c r="C1742" i="3"/>
  <c r="B1743" i="3"/>
  <c r="C1743" i="3"/>
  <c r="B1744" i="3"/>
  <c r="C1744" i="3"/>
  <c r="B1745" i="3"/>
  <c r="C1745" i="3"/>
  <c r="B1746" i="3"/>
  <c r="C1746" i="3"/>
  <c r="B1747" i="3"/>
  <c r="C1747" i="3"/>
  <c r="B1748" i="3"/>
  <c r="C1748" i="3"/>
  <c r="B1749" i="3"/>
  <c r="C1749" i="3"/>
  <c r="B1750" i="3"/>
  <c r="C1750" i="3"/>
  <c r="B1751" i="3"/>
  <c r="C1751" i="3"/>
  <c r="B1752" i="3"/>
  <c r="C1752" i="3"/>
  <c r="B1753" i="3"/>
  <c r="C1753" i="3"/>
  <c r="B1754" i="3"/>
  <c r="C1754" i="3"/>
  <c r="B1755" i="3"/>
  <c r="C1755" i="3"/>
  <c r="B1756" i="3"/>
  <c r="C1756" i="3"/>
  <c r="B1757" i="3"/>
  <c r="C1757" i="3"/>
  <c r="B1758" i="3"/>
  <c r="C1758" i="3"/>
  <c r="B1759" i="3"/>
  <c r="C1759" i="3"/>
  <c r="B1760" i="3"/>
  <c r="C1760" i="3"/>
  <c r="B1761" i="3"/>
  <c r="C1761" i="3"/>
  <c r="B1762" i="3"/>
  <c r="C1762" i="3"/>
  <c r="B1763" i="3"/>
  <c r="C1763" i="3"/>
  <c r="B1764" i="3"/>
  <c r="C1764" i="3"/>
  <c r="B1765" i="3"/>
  <c r="C1765" i="3"/>
  <c r="B1766" i="3"/>
  <c r="C1766" i="3"/>
  <c r="B1767" i="3"/>
  <c r="C1767" i="3"/>
  <c r="B1768" i="3"/>
  <c r="C1768" i="3"/>
  <c r="B1769" i="3"/>
  <c r="C1769" i="3"/>
  <c r="B1770" i="3"/>
  <c r="C1770" i="3"/>
  <c r="B1771" i="3"/>
  <c r="C1771" i="3"/>
  <c r="B1772" i="3"/>
  <c r="C1772" i="3"/>
  <c r="B1773" i="3"/>
  <c r="C1773" i="3"/>
  <c r="B1774" i="3"/>
  <c r="C1774" i="3"/>
  <c r="B1775" i="3"/>
  <c r="C1775" i="3"/>
  <c r="B1776" i="3"/>
  <c r="C1776" i="3"/>
  <c r="B1777" i="3"/>
  <c r="C1777" i="3"/>
  <c r="B1778" i="3"/>
  <c r="C1778" i="3"/>
  <c r="B1779" i="3"/>
  <c r="C1779" i="3"/>
  <c r="B1780" i="3"/>
  <c r="C1780" i="3"/>
  <c r="B1781" i="3"/>
  <c r="C1781" i="3"/>
  <c r="B1782" i="3"/>
  <c r="C1782" i="3"/>
  <c r="B1783" i="3"/>
  <c r="C1783" i="3"/>
  <c r="B1784" i="3"/>
  <c r="C1784" i="3"/>
  <c r="B1785" i="3"/>
  <c r="C1785" i="3"/>
  <c r="B1786" i="3"/>
  <c r="C1786" i="3"/>
  <c r="B1787" i="3"/>
  <c r="C1787" i="3"/>
  <c r="B1788" i="3"/>
  <c r="C1788" i="3"/>
  <c r="B1789" i="3"/>
  <c r="C1789" i="3"/>
  <c r="B1790" i="3"/>
  <c r="C1790" i="3"/>
  <c r="B1791" i="3"/>
  <c r="C1791" i="3"/>
  <c r="B1792" i="3"/>
  <c r="C1792" i="3"/>
  <c r="B1793" i="3"/>
  <c r="C1793" i="3"/>
  <c r="B1794" i="3"/>
  <c r="C1794" i="3"/>
  <c r="B1795" i="3"/>
  <c r="C1795" i="3"/>
  <c r="B1796" i="3"/>
  <c r="C1796" i="3"/>
  <c r="B1797" i="3"/>
  <c r="C1797" i="3"/>
  <c r="B1798" i="3"/>
  <c r="C1798" i="3"/>
  <c r="B1799" i="3"/>
  <c r="C1799" i="3"/>
  <c r="B1800" i="3"/>
  <c r="C1800" i="3"/>
  <c r="B1801" i="3"/>
  <c r="C1801" i="3"/>
  <c r="B1802" i="3"/>
  <c r="C1802" i="3"/>
  <c r="B1803" i="3"/>
  <c r="C1803" i="3"/>
  <c r="B1804" i="3"/>
  <c r="C1804" i="3"/>
  <c r="B1805" i="3"/>
  <c r="C1805" i="3"/>
  <c r="B1806" i="3"/>
  <c r="C1806" i="3"/>
  <c r="B1807" i="3"/>
  <c r="C1807" i="3"/>
  <c r="B1808" i="3"/>
  <c r="C1808" i="3"/>
  <c r="B1809" i="3"/>
  <c r="C1809" i="3"/>
  <c r="B1810" i="3"/>
  <c r="C1810" i="3"/>
  <c r="B1811" i="3"/>
  <c r="C1811" i="3"/>
  <c r="B1812" i="3"/>
  <c r="C1812" i="3"/>
  <c r="B1813" i="3"/>
  <c r="C1813" i="3"/>
  <c r="B1814" i="3"/>
  <c r="C1814" i="3"/>
  <c r="B1815" i="3"/>
  <c r="C1815" i="3"/>
  <c r="B1816" i="3"/>
  <c r="C1816" i="3"/>
  <c r="B1817" i="3"/>
  <c r="C1817" i="3"/>
  <c r="B1818" i="3"/>
  <c r="C1818" i="3"/>
  <c r="B1819" i="3"/>
  <c r="C1819" i="3"/>
  <c r="B1820" i="3"/>
  <c r="C1820" i="3"/>
  <c r="B1821" i="3"/>
  <c r="C1821" i="3"/>
  <c r="B1822" i="3"/>
  <c r="C1822" i="3"/>
  <c r="B1823" i="3"/>
  <c r="C1823" i="3"/>
  <c r="B1824" i="3"/>
  <c r="C1824" i="3"/>
  <c r="B1825" i="3"/>
  <c r="C1825" i="3"/>
  <c r="B1826" i="3"/>
  <c r="C1826" i="3"/>
  <c r="B1827" i="3"/>
  <c r="C1827" i="3"/>
  <c r="B1828" i="3"/>
  <c r="C1828" i="3"/>
  <c r="B1829" i="3"/>
  <c r="C1829" i="3"/>
  <c r="B1830" i="3"/>
  <c r="C1830" i="3"/>
  <c r="B1831" i="3"/>
  <c r="C1831" i="3"/>
  <c r="B1832" i="3"/>
  <c r="C1832" i="3"/>
  <c r="B1833" i="3"/>
  <c r="C1833" i="3"/>
  <c r="B1834" i="3"/>
  <c r="C1834" i="3"/>
  <c r="B1835" i="3"/>
  <c r="C1835" i="3"/>
  <c r="B1836" i="3"/>
  <c r="C1836" i="3"/>
  <c r="B1837" i="3"/>
  <c r="C1837" i="3"/>
  <c r="B1838" i="3"/>
  <c r="C1838" i="3"/>
  <c r="B1839" i="3"/>
  <c r="C1839" i="3"/>
  <c r="B1840" i="3"/>
  <c r="C1840" i="3"/>
  <c r="B1841" i="3"/>
  <c r="C1841" i="3"/>
  <c r="B1842" i="3"/>
  <c r="C1842" i="3"/>
  <c r="B1843" i="3"/>
  <c r="C1843" i="3"/>
  <c r="B1844" i="3"/>
  <c r="C1844" i="3"/>
  <c r="B1845" i="3"/>
  <c r="C1845" i="3"/>
  <c r="B1846" i="3"/>
  <c r="C1846" i="3"/>
  <c r="B1847" i="3"/>
  <c r="C1847" i="3"/>
  <c r="B1848" i="3"/>
  <c r="C1848" i="3"/>
  <c r="B1849" i="3"/>
  <c r="C1849" i="3"/>
  <c r="B1850" i="3"/>
  <c r="C1850" i="3"/>
  <c r="B1851" i="3"/>
  <c r="C1851" i="3"/>
  <c r="B1852" i="3"/>
  <c r="C1852" i="3"/>
  <c r="B1853" i="3"/>
  <c r="C1853" i="3"/>
  <c r="B1854" i="3"/>
  <c r="C1854" i="3"/>
  <c r="B1855" i="3"/>
  <c r="C1855" i="3"/>
  <c r="B1856" i="3"/>
  <c r="C1856" i="3"/>
  <c r="B1857" i="3"/>
  <c r="C1857" i="3"/>
  <c r="B1858" i="3"/>
  <c r="C1858" i="3"/>
  <c r="B1859" i="3"/>
  <c r="C1859" i="3"/>
  <c r="B1860" i="3"/>
  <c r="C1860" i="3"/>
  <c r="B1861" i="3"/>
  <c r="C1861" i="3"/>
  <c r="B1862" i="3"/>
  <c r="C1862" i="3"/>
  <c r="B1863" i="3"/>
  <c r="C1863" i="3"/>
  <c r="B1864" i="3"/>
  <c r="C1864" i="3"/>
  <c r="B1865" i="3"/>
  <c r="C1865" i="3"/>
  <c r="B1866" i="3"/>
  <c r="C1866" i="3"/>
  <c r="B1867" i="3"/>
  <c r="C1867" i="3"/>
  <c r="B1868" i="3"/>
  <c r="C1868" i="3"/>
  <c r="B1869" i="3"/>
  <c r="C1869" i="3"/>
  <c r="B1870" i="3"/>
  <c r="C1870" i="3"/>
  <c r="B1871" i="3"/>
  <c r="C1871" i="3"/>
  <c r="B1872" i="3"/>
  <c r="C1872" i="3"/>
  <c r="B1873" i="3"/>
  <c r="C1873" i="3"/>
  <c r="B1874" i="3"/>
  <c r="C1874" i="3"/>
  <c r="B1875" i="3"/>
  <c r="C1875" i="3"/>
  <c r="B1876" i="3"/>
  <c r="C1876" i="3"/>
  <c r="B1877" i="3"/>
  <c r="C1877" i="3"/>
  <c r="B1878" i="3"/>
  <c r="C1878" i="3"/>
  <c r="B1879" i="3"/>
  <c r="C1879" i="3"/>
  <c r="B1880" i="3"/>
  <c r="C1880" i="3"/>
  <c r="B1881" i="3"/>
  <c r="C1881" i="3"/>
  <c r="B1882" i="3"/>
  <c r="C1882" i="3"/>
  <c r="B1883" i="3"/>
  <c r="C1883" i="3"/>
  <c r="B1884" i="3"/>
  <c r="C1884" i="3"/>
  <c r="B1885" i="3"/>
  <c r="C1885" i="3"/>
  <c r="B1886" i="3"/>
  <c r="C1886" i="3"/>
  <c r="B1887" i="3"/>
  <c r="C1887" i="3"/>
  <c r="B1888" i="3"/>
  <c r="C1888" i="3"/>
  <c r="B1889" i="3"/>
  <c r="C1889" i="3"/>
  <c r="B1890" i="3"/>
  <c r="C1890" i="3"/>
  <c r="B1891" i="3"/>
  <c r="C1891" i="3"/>
  <c r="B1892" i="3"/>
  <c r="C1892" i="3"/>
  <c r="B1893" i="3"/>
  <c r="C1893" i="3"/>
  <c r="B1894" i="3"/>
  <c r="C1894" i="3"/>
  <c r="B1895" i="3"/>
  <c r="C1895" i="3"/>
  <c r="B1896" i="3"/>
  <c r="C1896" i="3"/>
  <c r="B1897" i="3"/>
  <c r="C1897" i="3"/>
  <c r="B1898" i="3"/>
  <c r="C1898" i="3"/>
  <c r="B1899" i="3"/>
  <c r="C1899" i="3"/>
  <c r="B1900" i="3"/>
  <c r="C1900" i="3"/>
  <c r="B1901" i="3"/>
  <c r="C1901" i="3"/>
  <c r="B1902" i="3"/>
  <c r="C1902" i="3"/>
  <c r="B1903" i="3"/>
  <c r="C1903" i="3"/>
  <c r="B1904" i="3"/>
  <c r="C1904" i="3"/>
  <c r="B1905" i="3"/>
  <c r="C1905" i="3"/>
  <c r="B1906" i="3"/>
  <c r="C1906" i="3"/>
  <c r="B1907" i="3"/>
  <c r="C1907" i="3"/>
  <c r="B1908" i="3"/>
  <c r="C1908" i="3"/>
  <c r="B1909" i="3"/>
  <c r="C1909" i="3"/>
  <c r="B1910" i="3"/>
  <c r="C1910" i="3"/>
  <c r="B1911" i="3"/>
  <c r="C1911" i="3"/>
  <c r="B1912" i="3"/>
  <c r="C1912" i="3"/>
  <c r="B1913" i="3"/>
  <c r="C1913" i="3"/>
  <c r="B1914" i="3"/>
  <c r="C1914" i="3"/>
  <c r="B1915" i="3"/>
  <c r="C1915" i="3"/>
  <c r="B1916" i="3"/>
  <c r="C1916" i="3"/>
  <c r="B1917" i="3"/>
  <c r="C1917" i="3"/>
  <c r="B1918" i="3"/>
  <c r="C1918" i="3"/>
  <c r="B1919" i="3"/>
  <c r="C1919" i="3"/>
  <c r="B1920" i="3"/>
  <c r="C1920" i="3"/>
  <c r="B1921" i="3"/>
  <c r="C1921" i="3"/>
  <c r="B1922" i="3"/>
  <c r="C1922" i="3"/>
  <c r="B1923" i="3"/>
  <c r="C1923" i="3"/>
  <c r="B1924" i="3"/>
  <c r="C1924" i="3"/>
  <c r="B1925" i="3"/>
  <c r="C1925" i="3"/>
  <c r="B1926" i="3"/>
  <c r="C1926" i="3"/>
  <c r="B1927" i="3"/>
  <c r="C1927" i="3"/>
  <c r="B1928" i="3"/>
  <c r="C1928" i="3"/>
  <c r="B1929" i="3"/>
  <c r="C1929" i="3"/>
  <c r="B1930" i="3"/>
  <c r="C1930" i="3"/>
  <c r="B1931" i="3"/>
  <c r="C1931" i="3"/>
  <c r="B1932" i="3"/>
  <c r="C1932" i="3"/>
  <c r="B1933" i="3"/>
  <c r="C1933" i="3"/>
  <c r="B1934" i="3"/>
  <c r="C1934" i="3"/>
  <c r="B1935" i="3"/>
  <c r="C1935" i="3"/>
  <c r="B1936" i="3"/>
  <c r="C1936" i="3"/>
  <c r="B1937" i="3"/>
  <c r="C1937" i="3"/>
  <c r="B1938" i="3"/>
  <c r="C1938" i="3"/>
  <c r="B1939" i="3"/>
  <c r="C1939" i="3"/>
  <c r="B1940" i="3"/>
  <c r="C1940" i="3"/>
  <c r="B1941" i="3"/>
  <c r="C1941" i="3"/>
  <c r="B1942" i="3"/>
  <c r="C1942" i="3"/>
  <c r="B1943" i="3"/>
  <c r="C1943" i="3"/>
  <c r="B1944" i="3"/>
  <c r="C1944" i="3"/>
  <c r="B1945" i="3"/>
  <c r="C1945" i="3"/>
  <c r="B1946" i="3"/>
  <c r="C1946" i="3"/>
  <c r="B1947" i="3"/>
  <c r="C1947" i="3"/>
  <c r="B1948" i="3"/>
  <c r="C1948" i="3"/>
  <c r="B1949" i="3"/>
  <c r="C1949" i="3"/>
  <c r="B1950" i="3"/>
  <c r="C1950" i="3"/>
  <c r="B1951" i="3"/>
  <c r="C1951" i="3"/>
  <c r="B1952" i="3"/>
  <c r="C1952" i="3"/>
  <c r="B1953" i="3"/>
  <c r="C1953" i="3"/>
  <c r="B1954" i="3"/>
  <c r="C1954" i="3"/>
  <c r="B1955" i="3"/>
  <c r="C1955" i="3"/>
  <c r="B1956" i="3"/>
  <c r="C1956" i="3"/>
  <c r="B1957" i="3"/>
  <c r="C1957" i="3"/>
  <c r="B1958" i="3"/>
  <c r="C1958" i="3"/>
  <c r="B1959" i="3"/>
  <c r="C1959" i="3"/>
  <c r="B1960" i="3"/>
  <c r="C1960" i="3"/>
  <c r="B1961" i="3"/>
  <c r="C1961" i="3"/>
  <c r="B1962" i="3"/>
  <c r="C1962" i="3"/>
  <c r="B1963" i="3"/>
  <c r="C1963" i="3"/>
  <c r="B1964" i="3"/>
  <c r="C1964" i="3"/>
  <c r="B1965" i="3"/>
  <c r="C1965" i="3"/>
  <c r="B1966" i="3"/>
  <c r="C1966" i="3"/>
  <c r="B1967" i="3"/>
  <c r="C1967" i="3"/>
  <c r="B1968" i="3"/>
  <c r="C1968" i="3"/>
  <c r="B1969" i="3"/>
  <c r="C1969" i="3"/>
  <c r="B1970" i="3"/>
  <c r="C1970" i="3"/>
  <c r="B1971" i="3"/>
  <c r="C1971" i="3"/>
  <c r="B1972" i="3"/>
  <c r="C1972" i="3"/>
  <c r="B1973" i="3"/>
  <c r="C1973" i="3"/>
  <c r="B1974" i="3"/>
  <c r="C1974" i="3"/>
  <c r="B1975" i="3"/>
  <c r="C1975" i="3"/>
  <c r="B1976" i="3"/>
  <c r="C1976" i="3"/>
  <c r="B1977" i="3"/>
  <c r="C1977" i="3"/>
  <c r="B1978" i="3"/>
  <c r="C1978" i="3"/>
  <c r="B1979" i="3"/>
  <c r="C1979" i="3"/>
  <c r="B1980" i="3"/>
  <c r="C1980" i="3"/>
  <c r="B1981" i="3"/>
  <c r="C1981" i="3"/>
  <c r="B1982" i="3"/>
  <c r="C1982" i="3"/>
  <c r="B1983" i="3"/>
  <c r="C1983" i="3"/>
  <c r="B1984" i="3"/>
  <c r="C1984" i="3"/>
  <c r="B1985" i="3"/>
  <c r="C1985" i="3"/>
  <c r="B1986" i="3"/>
  <c r="C1986" i="3"/>
  <c r="B1987" i="3"/>
  <c r="C1987" i="3"/>
  <c r="B1988" i="3"/>
  <c r="C1988" i="3"/>
  <c r="B1989" i="3"/>
  <c r="C1989" i="3"/>
  <c r="B1990" i="3"/>
  <c r="C1990" i="3"/>
  <c r="B1991" i="3"/>
  <c r="C1991" i="3"/>
  <c r="B1992" i="3"/>
  <c r="C1992" i="3"/>
  <c r="B1993" i="3"/>
  <c r="C1993" i="3"/>
  <c r="B1994" i="3"/>
  <c r="C1994" i="3"/>
  <c r="B1995" i="3"/>
  <c r="C1995" i="3"/>
  <c r="B1996" i="3"/>
  <c r="C1996" i="3"/>
  <c r="B1997" i="3"/>
  <c r="C1997" i="3"/>
  <c r="B1998" i="3"/>
  <c r="C1998" i="3"/>
  <c r="B1999" i="3"/>
  <c r="C1999" i="3"/>
  <c r="B2000" i="3"/>
  <c r="C2000" i="3"/>
  <c r="B2001" i="3"/>
  <c r="C2001" i="3"/>
  <c r="B2002" i="3"/>
  <c r="C2002" i="3"/>
  <c r="B2003" i="3"/>
  <c r="C2003" i="3"/>
  <c r="B2004" i="3"/>
  <c r="C2004" i="3"/>
  <c r="B2005" i="3"/>
  <c r="C2005" i="3"/>
  <c r="B2006" i="3"/>
  <c r="C2006" i="3"/>
  <c r="B2007" i="3"/>
  <c r="C2007" i="3"/>
  <c r="B2008" i="3"/>
  <c r="C2008" i="3"/>
  <c r="B2009" i="3"/>
  <c r="C2009" i="3"/>
  <c r="B2010" i="3"/>
  <c r="C2010" i="3"/>
  <c r="B2011" i="3"/>
  <c r="C2011" i="3"/>
  <c r="B2012" i="3"/>
  <c r="C2012" i="3"/>
  <c r="B2013" i="3"/>
  <c r="C2013" i="3"/>
  <c r="B2014" i="3"/>
  <c r="C2014" i="3"/>
  <c r="B2015" i="3"/>
  <c r="C2015" i="3"/>
  <c r="B2016" i="3"/>
  <c r="C2016" i="3"/>
  <c r="B2017" i="3"/>
  <c r="C2017" i="3"/>
  <c r="B2018" i="3"/>
  <c r="C2018" i="3"/>
  <c r="B2019" i="3"/>
  <c r="C2019" i="3"/>
  <c r="B2020" i="3"/>
  <c r="C2020" i="3"/>
  <c r="B2021" i="3"/>
  <c r="C2021" i="3"/>
  <c r="B2022" i="3"/>
  <c r="C2022" i="3"/>
  <c r="B2023" i="3"/>
  <c r="C2023" i="3"/>
  <c r="B2024" i="3"/>
  <c r="C2024" i="3"/>
  <c r="B2025" i="3"/>
  <c r="C2025" i="3"/>
  <c r="B2026" i="3"/>
  <c r="C2026" i="3"/>
  <c r="B2027" i="3"/>
  <c r="C2027" i="3"/>
  <c r="B2028" i="3"/>
  <c r="C2028" i="3"/>
  <c r="B2029" i="3"/>
  <c r="C2029" i="3"/>
  <c r="B2030" i="3"/>
  <c r="C2030" i="3"/>
  <c r="B2031" i="3"/>
  <c r="C2031" i="3"/>
  <c r="B2032" i="3"/>
  <c r="C2032" i="3"/>
  <c r="B2033" i="3"/>
  <c r="C2033" i="3"/>
  <c r="B2034" i="3"/>
  <c r="C2034" i="3"/>
  <c r="B2035" i="3"/>
  <c r="C2035" i="3"/>
  <c r="B2036" i="3"/>
  <c r="C2036" i="3"/>
  <c r="B2037" i="3"/>
  <c r="C2037" i="3"/>
  <c r="B2038" i="3"/>
  <c r="C2038" i="3"/>
  <c r="B2039" i="3"/>
  <c r="C2039" i="3"/>
  <c r="B2040" i="3"/>
  <c r="C2040" i="3"/>
  <c r="B2041" i="3"/>
  <c r="C2041" i="3"/>
  <c r="B2042" i="3"/>
  <c r="C2042" i="3"/>
  <c r="B2043" i="3"/>
  <c r="C2043" i="3"/>
  <c r="B2044" i="3"/>
  <c r="C2044" i="3"/>
  <c r="B2045" i="3"/>
  <c r="C2045" i="3"/>
  <c r="B2046" i="3"/>
  <c r="C2046" i="3"/>
  <c r="B2047" i="3"/>
  <c r="C2047" i="3"/>
  <c r="B2048" i="3"/>
  <c r="C2048" i="3"/>
  <c r="B2049" i="3"/>
  <c r="C2049" i="3"/>
  <c r="B2050" i="3"/>
  <c r="C2050" i="3"/>
  <c r="B2051" i="3"/>
  <c r="C2051" i="3"/>
  <c r="B2052" i="3"/>
  <c r="C2052" i="3"/>
  <c r="B2053" i="3"/>
  <c r="C2053" i="3"/>
  <c r="B2054" i="3"/>
  <c r="C2054" i="3"/>
  <c r="B2055" i="3"/>
  <c r="C2055" i="3"/>
  <c r="B2056" i="3"/>
  <c r="C2056" i="3"/>
  <c r="B2057" i="3"/>
  <c r="C2057" i="3"/>
  <c r="B2058" i="3"/>
  <c r="C2058" i="3"/>
  <c r="B2059" i="3"/>
  <c r="C2059" i="3"/>
  <c r="B2060" i="3"/>
  <c r="C2060" i="3"/>
  <c r="B2061" i="3"/>
  <c r="C2061" i="3"/>
  <c r="B2062" i="3"/>
  <c r="C2062" i="3"/>
  <c r="B2063" i="3"/>
  <c r="C2063" i="3"/>
  <c r="B2064" i="3"/>
  <c r="C2064" i="3"/>
  <c r="B2065" i="3"/>
  <c r="C2065" i="3"/>
  <c r="B2066" i="3"/>
  <c r="C2066" i="3"/>
  <c r="B2067" i="3"/>
  <c r="C2067" i="3"/>
  <c r="B2068" i="3"/>
  <c r="C2068" i="3"/>
  <c r="B2069" i="3"/>
  <c r="C2069" i="3"/>
  <c r="B2070" i="3"/>
  <c r="C2070" i="3"/>
  <c r="B2071" i="3"/>
  <c r="C2071" i="3"/>
  <c r="B2072" i="3"/>
  <c r="C2072" i="3"/>
  <c r="B2073" i="3"/>
  <c r="C2073" i="3"/>
  <c r="B2074" i="3"/>
  <c r="C2074" i="3"/>
  <c r="B2075" i="3"/>
  <c r="C2075" i="3"/>
  <c r="B2076" i="3"/>
  <c r="C2076" i="3"/>
  <c r="B2077" i="3"/>
  <c r="C2077" i="3"/>
  <c r="B2078" i="3"/>
  <c r="C2078" i="3"/>
  <c r="B2079" i="3"/>
  <c r="C2079" i="3"/>
  <c r="B2080" i="3"/>
  <c r="C2080" i="3"/>
  <c r="B2081" i="3"/>
  <c r="C2081" i="3"/>
  <c r="B2082" i="3"/>
  <c r="C2082" i="3"/>
  <c r="B2083" i="3"/>
  <c r="C2083" i="3"/>
  <c r="B2084" i="3"/>
  <c r="C2084" i="3"/>
  <c r="B2085" i="3"/>
  <c r="C2085" i="3"/>
  <c r="B2086" i="3"/>
  <c r="C2086" i="3"/>
  <c r="B2087" i="3"/>
  <c r="C2087" i="3"/>
  <c r="B2088" i="3"/>
  <c r="C2088" i="3"/>
  <c r="B2089" i="3"/>
  <c r="C2089" i="3"/>
  <c r="B2090" i="3"/>
  <c r="C2090" i="3"/>
  <c r="B2091" i="3"/>
  <c r="C2091" i="3"/>
  <c r="B2092" i="3"/>
  <c r="C2092" i="3"/>
  <c r="B2093" i="3"/>
  <c r="C2093" i="3"/>
  <c r="B2094" i="3"/>
  <c r="C2094" i="3"/>
  <c r="B2095" i="3"/>
  <c r="C2095" i="3"/>
  <c r="B2096" i="3"/>
  <c r="C2096" i="3"/>
  <c r="B2097" i="3"/>
  <c r="C2097" i="3"/>
  <c r="B2098" i="3"/>
  <c r="C2098" i="3"/>
  <c r="B2099" i="3"/>
  <c r="C2099" i="3"/>
  <c r="N5" i="3"/>
  <c r="N2" i="3"/>
  <c r="L2" i="1"/>
  <c r="L2094" i="1"/>
  <c r="L2082" i="1"/>
  <c r="L2086" i="1"/>
  <c r="N3" i="3"/>
  <c r="N4"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M2099" i="3"/>
  <c r="O2099" i="3"/>
  <c r="M2098" i="3"/>
  <c r="O2098" i="3"/>
  <c r="M2097" i="3"/>
  <c r="O2097" i="3"/>
  <c r="M2096" i="3"/>
  <c r="O2096" i="3"/>
  <c r="M2095" i="3"/>
  <c r="O2095" i="3"/>
  <c r="M2094" i="3"/>
  <c r="O2094" i="3"/>
  <c r="M2093" i="3"/>
  <c r="O2093" i="3"/>
  <c r="M2092" i="3"/>
  <c r="O2092" i="3"/>
  <c r="M2091" i="3"/>
  <c r="O2091" i="3"/>
  <c r="M2090" i="3"/>
  <c r="O2090" i="3"/>
  <c r="M2089" i="3"/>
  <c r="O2089" i="3"/>
  <c r="M2088" i="3"/>
  <c r="O2088" i="3"/>
  <c r="M2087" i="3"/>
  <c r="O2087" i="3"/>
  <c r="M2086" i="3"/>
  <c r="O2086" i="3"/>
  <c r="M2085" i="3"/>
  <c r="O2085" i="3"/>
  <c r="M2084" i="3"/>
  <c r="O2084" i="3"/>
  <c r="M2083" i="3"/>
  <c r="O2083" i="3"/>
  <c r="M2082" i="3"/>
  <c r="O2082" i="3"/>
  <c r="M2081" i="3"/>
  <c r="O2081" i="3"/>
  <c r="M2080" i="3"/>
  <c r="O2080" i="3"/>
  <c r="M2079" i="3"/>
  <c r="O2079" i="3"/>
  <c r="M2078" i="3"/>
  <c r="O2078" i="3"/>
  <c r="M2077" i="3"/>
  <c r="O2077" i="3"/>
  <c r="M2076" i="3"/>
  <c r="O2076" i="3"/>
  <c r="M2075" i="3"/>
  <c r="O2075" i="3"/>
  <c r="M2074" i="3"/>
  <c r="O2074" i="3"/>
  <c r="M2073" i="3"/>
  <c r="O2073" i="3"/>
  <c r="M2072" i="3"/>
  <c r="O2072" i="3"/>
  <c r="M2071" i="3"/>
  <c r="O2071" i="3"/>
  <c r="M2070" i="3"/>
  <c r="O2070" i="3"/>
  <c r="M2069" i="3"/>
  <c r="O2069" i="3"/>
  <c r="M2068" i="3"/>
  <c r="O2068" i="3"/>
  <c r="M2067" i="3"/>
  <c r="O2067" i="3"/>
  <c r="M2066" i="3"/>
  <c r="O2066" i="3"/>
  <c r="M2065" i="3"/>
  <c r="O2065" i="3"/>
  <c r="M2064" i="3"/>
  <c r="O2064" i="3"/>
  <c r="M2063" i="3"/>
  <c r="O2063" i="3"/>
  <c r="M2062" i="3"/>
  <c r="O2062" i="3"/>
  <c r="M2061" i="3"/>
  <c r="O2061" i="3"/>
  <c r="M2060" i="3"/>
  <c r="O2060" i="3"/>
  <c r="M2059" i="3"/>
  <c r="O2059" i="3"/>
  <c r="M2058" i="3"/>
  <c r="O2058" i="3"/>
  <c r="M2057" i="3"/>
  <c r="O2057" i="3"/>
  <c r="M2056" i="3"/>
  <c r="O2056" i="3"/>
  <c r="M2055" i="3"/>
  <c r="O2055" i="3"/>
  <c r="M2054" i="3"/>
  <c r="O2054" i="3"/>
  <c r="M2053" i="3"/>
  <c r="O2053" i="3"/>
  <c r="M2052" i="3"/>
  <c r="O2052" i="3"/>
  <c r="M2051" i="3"/>
  <c r="O2051" i="3"/>
  <c r="M2050" i="3"/>
  <c r="O2050" i="3"/>
  <c r="M2049" i="3"/>
  <c r="O2049" i="3"/>
  <c r="M2048" i="3"/>
  <c r="O2048" i="3"/>
  <c r="M2047" i="3"/>
  <c r="O2047" i="3"/>
  <c r="M2046" i="3"/>
  <c r="O2046" i="3"/>
  <c r="M2045" i="3"/>
  <c r="O2045" i="3"/>
  <c r="M2044" i="3"/>
  <c r="O2044" i="3"/>
  <c r="M2043" i="3"/>
  <c r="O2043" i="3"/>
  <c r="M2042" i="3"/>
  <c r="O2042" i="3"/>
  <c r="M2041" i="3"/>
  <c r="O2041" i="3"/>
  <c r="M2040" i="3"/>
  <c r="O2040" i="3"/>
  <c r="M2039" i="3"/>
  <c r="O2039" i="3"/>
  <c r="M2038" i="3"/>
  <c r="O2038" i="3"/>
  <c r="M2037" i="3"/>
  <c r="O2037" i="3"/>
  <c r="M2036" i="3"/>
  <c r="O2036" i="3"/>
  <c r="M2035" i="3"/>
  <c r="O2035" i="3"/>
  <c r="M2034" i="3"/>
  <c r="O2034" i="3"/>
  <c r="M2033" i="3"/>
  <c r="O2033" i="3"/>
  <c r="M2032" i="3"/>
  <c r="O2032" i="3"/>
  <c r="M2031" i="3"/>
  <c r="O2031" i="3"/>
  <c r="M2030" i="3"/>
  <c r="O2030" i="3"/>
  <c r="M2029" i="3"/>
  <c r="O2029" i="3"/>
  <c r="M2028" i="3"/>
  <c r="O2028" i="3"/>
  <c r="M2027" i="3"/>
  <c r="O2027" i="3"/>
  <c r="M2026" i="3"/>
  <c r="O2026" i="3"/>
  <c r="M2025" i="3"/>
  <c r="O2025" i="3"/>
  <c r="M2024" i="3"/>
  <c r="O2024" i="3"/>
  <c r="M2023" i="3"/>
  <c r="O2023" i="3"/>
  <c r="M2022" i="3"/>
  <c r="O2022" i="3"/>
  <c r="M2021" i="3"/>
  <c r="O2021" i="3"/>
  <c r="M2020" i="3"/>
  <c r="O2020" i="3"/>
  <c r="M2019" i="3"/>
  <c r="O2019" i="3"/>
  <c r="M2018" i="3"/>
  <c r="O2018" i="3"/>
  <c r="M2017" i="3"/>
  <c r="O2017" i="3"/>
  <c r="M2016" i="3"/>
  <c r="O2016" i="3"/>
  <c r="M2015" i="3"/>
  <c r="O2015" i="3"/>
  <c r="M2014" i="3"/>
  <c r="O2014" i="3"/>
  <c r="M2013" i="3"/>
  <c r="O2013" i="3"/>
  <c r="M2012" i="3"/>
  <c r="O2012" i="3"/>
  <c r="M2011" i="3"/>
  <c r="O2011" i="3"/>
  <c r="M2010" i="3"/>
  <c r="O2010" i="3"/>
  <c r="M2009" i="3"/>
  <c r="O2009" i="3"/>
  <c r="M2008" i="3"/>
  <c r="O2008" i="3"/>
  <c r="M2007" i="3"/>
  <c r="O2007" i="3"/>
  <c r="M2006" i="3"/>
  <c r="O2006" i="3"/>
  <c r="M2005" i="3"/>
  <c r="O2005" i="3"/>
  <c r="M2004" i="3"/>
  <c r="O2004" i="3"/>
  <c r="M2003" i="3"/>
  <c r="O2003" i="3"/>
  <c r="M2002" i="3"/>
  <c r="O2002" i="3"/>
  <c r="M2001" i="3"/>
  <c r="O2001" i="3"/>
  <c r="M2000" i="3"/>
  <c r="O2000" i="3"/>
  <c r="M1999" i="3"/>
  <c r="O1999" i="3"/>
  <c r="M1998" i="3"/>
  <c r="O1998" i="3"/>
  <c r="M1997" i="3"/>
  <c r="O1997" i="3"/>
  <c r="M1996" i="3"/>
  <c r="O1996" i="3"/>
  <c r="M1995" i="3"/>
  <c r="O1995" i="3"/>
  <c r="M1994" i="3"/>
  <c r="O1994" i="3"/>
  <c r="M1993" i="3"/>
  <c r="O1993" i="3"/>
  <c r="M1992" i="3"/>
  <c r="O1992" i="3"/>
  <c r="M1991" i="3"/>
  <c r="O1991" i="3"/>
  <c r="M1990" i="3"/>
  <c r="O1990" i="3"/>
  <c r="M1989" i="3"/>
  <c r="O1989" i="3"/>
  <c r="M1988" i="3"/>
  <c r="O1988" i="3"/>
  <c r="M1987" i="3"/>
  <c r="O1987" i="3"/>
  <c r="M1986" i="3"/>
  <c r="O1986" i="3"/>
  <c r="M1985" i="3"/>
  <c r="O1985" i="3"/>
  <c r="M1984" i="3"/>
  <c r="O1984" i="3"/>
  <c r="M1983" i="3"/>
  <c r="O1983" i="3"/>
  <c r="M1982" i="3"/>
  <c r="O1982" i="3"/>
  <c r="M1981" i="3"/>
  <c r="O1981" i="3"/>
  <c r="M1980" i="3"/>
  <c r="O1980" i="3"/>
  <c r="M1979" i="3"/>
  <c r="O1979" i="3"/>
  <c r="M1978" i="3"/>
  <c r="O1978" i="3"/>
  <c r="M1977" i="3"/>
  <c r="O1977" i="3"/>
  <c r="M1976" i="3"/>
  <c r="O1976" i="3"/>
  <c r="M1975" i="3"/>
  <c r="O1975" i="3"/>
  <c r="M1974" i="3"/>
  <c r="O1974" i="3"/>
  <c r="M1973" i="3"/>
  <c r="O1973" i="3"/>
  <c r="M1972" i="3"/>
  <c r="O1972" i="3"/>
  <c r="M1971" i="3"/>
  <c r="O1971" i="3"/>
  <c r="M1970" i="3"/>
  <c r="O1970" i="3"/>
  <c r="M1969" i="3"/>
  <c r="O1969" i="3"/>
  <c r="M1968" i="3"/>
  <c r="O1968" i="3"/>
  <c r="M1967" i="3"/>
  <c r="O1967" i="3"/>
  <c r="M1966" i="3"/>
  <c r="O1966" i="3"/>
  <c r="M1965" i="3"/>
  <c r="O1965" i="3"/>
  <c r="M1964" i="3"/>
  <c r="O1964" i="3"/>
  <c r="M1963" i="3"/>
  <c r="O1963" i="3"/>
  <c r="M1962" i="3"/>
  <c r="O1962" i="3"/>
  <c r="M1961" i="3"/>
  <c r="O1961" i="3"/>
  <c r="M1960" i="3"/>
  <c r="O1960" i="3"/>
  <c r="M1959" i="3"/>
  <c r="O1959" i="3"/>
  <c r="M1958" i="3"/>
  <c r="O1958" i="3"/>
  <c r="M1957" i="3"/>
  <c r="O1957" i="3"/>
  <c r="M1956" i="3"/>
  <c r="O1956" i="3"/>
  <c r="M1955" i="3"/>
  <c r="O1955" i="3"/>
  <c r="M1954" i="3"/>
  <c r="O1954" i="3"/>
  <c r="M1953" i="3"/>
  <c r="O1953" i="3"/>
  <c r="M1952" i="3"/>
  <c r="O1952" i="3"/>
  <c r="M1951" i="3"/>
  <c r="O1951" i="3"/>
  <c r="M1950" i="3"/>
  <c r="O1950" i="3"/>
  <c r="M1949" i="3"/>
  <c r="O1949" i="3"/>
  <c r="M1948" i="3"/>
  <c r="O1948" i="3"/>
  <c r="M1947" i="3"/>
  <c r="O1947" i="3"/>
  <c r="M1946" i="3"/>
  <c r="O1946" i="3"/>
  <c r="M1945" i="3"/>
  <c r="O1945" i="3"/>
  <c r="M1944" i="3"/>
  <c r="O1944" i="3"/>
  <c r="M1943" i="3"/>
  <c r="O1943" i="3"/>
  <c r="M1942" i="3"/>
  <c r="O1942" i="3"/>
  <c r="M1941" i="3"/>
  <c r="O1941" i="3"/>
  <c r="M1940" i="3"/>
  <c r="O1940" i="3"/>
  <c r="M1939" i="3"/>
  <c r="O1939" i="3"/>
  <c r="M1938" i="3"/>
  <c r="O1938" i="3"/>
  <c r="M1937" i="3"/>
  <c r="O1937" i="3"/>
  <c r="M1936" i="3"/>
  <c r="O1936" i="3"/>
  <c r="M1935" i="3"/>
  <c r="O1935" i="3"/>
  <c r="M1934" i="3"/>
  <c r="O1934" i="3"/>
  <c r="M1933" i="3"/>
  <c r="O1933" i="3"/>
  <c r="M1932" i="3"/>
  <c r="O1932" i="3"/>
  <c r="M1931" i="3"/>
  <c r="O1931" i="3"/>
  <c r="M1930" i="3"/>
  <c r="O1930" i="3"/>
  <c r="M1929" i="3"/>
  <c r="O1929" i="3"/>
  <c r="M1928" i="3"/>
  <c r="O1928" i="3"/>
  <c r="M1927" i="3"/>
  <c r="O1927" i="3"/>
  <c r="M1926" i="3"/>
  <c r="O1926" i="3"/>
  <c r="M1925" i="3"/>
  <c r="O1925" i="3"/>
  <c r="M1924" i="3"/>
  <c r="O1924" i="3"/>
  <c r="M1923" i="3"/>
  <c r="O1923" i="3"/>
  <c r="M1922" i="3"/>
  <c r="O1922" i="3"/>
  <c r="M1921" i="3"/>
  <c r="O1921" i="3"/>
  <c r="M1920" i="3"/>
  <c r="O1920" i="3"/>
  <c r="M1919" i="3"/>
  <c r="O1919" i="3"/>
  <c r="M1918" i="3"/>
  <c r="O1918" i="3"/>
  <c r="M1917" i="3"/>
  <c r="O1917" i="3"/>
  <c r="M1916" i="3"/>
  <c r="O1916" i="3"/>
  <c r="M1915" i="3"/>
  <c r="O1915" i="3"/>
  <c r="M1914" i="3"/>
  <c r="O1914" i="3"/>
  <c r="M1913" i="3"/>
  <c r="O1913" i="3"/>
  <c r="M1912" i="3"/>
  <c r="O1912" i="3"/>
  <c r="M1911" i="3"/>
  <c r="O1911" i="3"/>
  <c r="M1910" i="3"/>
  <c r="O1910" i="3"/>
  <c r="M1909" i="3"/>
  <c r="O1909" i="3"/>
  <c r="M1908" i="3"/>
  <c r="O1908" i="3"/>
  <c r="M1907" i="3"/>
  <c r="O1907" i="3"/>
  <c r="M1906" i="3"/>
  <c r="O1906" i="3"/>
  <c r="M1905" i="3"/>
  <c r="O1905" i="3"/>
  <c r="M1904" i="3"/>
  <c r="O1904" i="3"/>
  <c r="M1903" i="3"/>
  <c r="O1903" i="3"/>
  <c r="M1902" i="3"/>
  <c r="O1902" i="3"/>
  <c r="M1901" i="3"/>
  <c r="O1901" i="3"/>
  <c r="M1900" i="3"/>
  <c r="O1900" i="3"/>
  <c r="M1899" i="3"/>
  <c r="O1899" i="3"/>
  <c r="M1898" i="3"/>
  <c r="O1898" i="3"/>
  <c r="M1897" i="3"/>
  <c r="O1897" i="3"/>
  <c r="M1896" i="3"/>
  <c r="O1896" i="3"/>
  <c r="M1895" i="3"/>
  <c r="O1895" i="3"/>
  <c r="M1894" i="3"/>
  <c r="O1894" i="3"/>
  <c r="M1893" i="3"/>
  <c r="O1893" i="3"/>
  <c r="M1892" i="3"/>
  <c r="O1892" i="3"/>
  <c r="M1891" i="3"/>
  <c r="O1891" i="3"/>
  <c r="M1890" i="3"/>
  <c r="O1890" i="3"/>
  <c r="M1889" i="3"/>
  <c r="O1889" i="3"/>
  <c r="M1888" i="3"/>
  <c r="O1888" i="3"/>
  <c r="M1887" i="3"/>
  <c r="O1887" i="3"/>
  <c r="M1886" i="3"/>
  <c r="O1886" i="3"/>
  <c r="M1885" i="3"/>
  <c r="O1885" i="3"/>
  <c r="M1884" i="3"/>
  <c r="O1884" i="3"/>
  <c r="M1883" i="3"/>
  <c r="O1883" i="3"/>
  <c r="M1882" i="3"/>
  <c r="O1882" i="3"/>
  <c r="M1881" i="3"/>
  <c r="O1881" i="3"/>
  <c r="M1880" i="3"/>
  <c r="O1880" i="3"/>
  <c r="M1879" i="3"/>
  <c r="O1879" i="3"/>
  <c r="M1878" i="3"/>
  <c r="O1878" i="3"/>
  <c r="M1877" i="3"/>
  <c r="O1877" i="3"/>
  <c r="M1876" i="3"/>
  <c r="O1876" i="3"/>
  <c r="M1875" i="3"/>
  <c r="O1875" i="3"/>
  <c r="M1874" i="3"/>
  <c r="O1874" i="3"/>
  <c r="M1873" i="3"/>
  <c r="O1873" i="3"/>
  <c r="M1872" i="3"/>
  <c r="O1872" i="3"/>
  <c r="M1871" i="3"/>
  <c r="O1871" i="3"/>
  <c r="M1870" i="3"/>
  <c r="O1870" i="3"/>
  <c r="M1869" i="3"/>
  <c r="O1869" i="3"/>
  <c r="M1868" i="3"/>
  <c r="O1868" i="3"/>
  <c r="M1867" i="3"/>
  <c r="O1867" i="3"/>
  <c r="M1866" i="3"/>
  <c r="O1866" i="3"/>
  <c r="M1865" i="3"/>
  <c r="O1865" i="3"/>
  <c r="M1864" i="3"/>
  <c r="O1864" i="3"/>
  <c r="M1863" i="3"/>
  <c r="O1863" i="3"/>
  <c r="M1862" i="3"/>
  <c r="O1862" i="3"/>
  <c r="M1861" i="3"/>
  <c r="O1861" i="3"/>
  <c r="M1860" i="3"/>
  <c r="O1860" i="3"/>
  <c r="M1859" i="3"/>
  <c r="O1859" i="3"/>
  <c r="M1858" i="3"/>
  <c r="O1858" i="3"/>
  <c r="M1857" i="3"/>
  <c r="O1857" i="3"/>
  <c r="M1856" i="3"/>
  <c r="O1856" i="3"/>
  <c r="M1855" i="3"/>
  <c r="O1855" i="3"/>
  <c r="M1854" i="3"/>
  <c r="O1854" i="3"/>
  <c r="M1853" i="3"/>
  <c r="O1853" i="3"/>
  <c r="M1852" i="3"/>
  <c r="O1852" i="3"/>
  <c r="M1851" i="3"/>
  <c r="O1851" i="3"/>
  <c r="M1850" i="3"/>
  <c r="O1850" i="3"/>
  <c r="M1849" i="3"/>
  <c r="O1849" i="3"/>
  <c r="M1848" i="3"/>
  <c r="O1848" i="3"/>
  <c r="M1847" i="3"/>
  <c r="O1847" i="3"/>
  <c r="M1846" i="3"/>
  <c r="O1846" i="3"/>
  <c r="M1845" i="3"/>
  <c r="O1845" i="3"/>
  <c r="M1844" i="3"/>
  <c r="O1844" i="3"/>
  <c r="M1843" i="3"/>
  <c r="O1843" i="3"/>
  <c r="M1842" i="3"/>
  <c r="O1842" i="3"/>
  <c r="M1841" i="3"/>
  <c r="O1841" i="3"/>
  <c r="M1840" i="3"/>
  <c r="O1840" i="3"/>
  <c r="M1839" i="3"/>
  <c r="O1839" i="3"/>
  <c r="M1838" i="3"/>
  <c r="O1838" i="3"/>
  <c r="M1837" i="3"/>
  <c r="O1837" i="3"/>
  <c r="M1836" i="3"/>
  <c r="O1836" i="3"/>
  <c r="M1835" i="3"/>
  <c r="O1835" i="3"/>
  <c r="M1834" i="3"/>
  <c r="O1834" i="3"/>
  <c r="M1833" i="3"/>
  <c r="O1833" i="3"/>
  <c r="M1832" i="3"/>
  <c r="O1832" i="3"/>
  <c r="M1831" i="3"/>
  <c r="O1831" i="3"/>
  <c r="M1830" i="3"/>
  <c r="O1830" i="3"/>
  <c r="M1829" i="3"/>
  <c r="O1829" i="3"/>
  <c r="M1828" i="3"/>
  <c r="O1828" i="3"/>
  <c r="M1827" i="3"/>
  <c r="O1827" i="3"/>
  <c r="M1826" i="3"/>
  <c r="O1826" i="3"/>
  <c r="M1825" i="3"/>
  <c r="O1825" i="3"/>
  <c r="M1824" i="3"/>
  <c r="O1824" i="3"/>
  <c r="M1823" i="3"/>
  <c r="O1823" i="3"/>
  <c r="M1822" i="3"/>
  <c r="O1822" i="3"/>
  <c r="M1821" i="3"/>
  <c r="O1821" i="3"/>
  <c r="M1820" i="3"/>
  <c r="O1820" i="3"/>
  <c r="M1819" i="3"/>
  <c r="O1819" i="3"/>
  <c r="M1818" i="3"/>
  <c r="O1818" i="3"/>
  <c r="M1817" i="3"/>
  <c r="O1817" i="3"/>
  <c r="M1816" i="3"/>
  <c r="O1816" i="3"/>
  <c r="M1815" i="3"/>
  <c r="O1815" i="3"/>
  <c r="M1814" i="3"/>
  <c r="O1814" i="3"/>
  <c r="M1813" i="3"/>
  <c r="O1813" i="3"/>
  <c r="M1812" i="3"/>
  <c r="O1812" i="3"/>
  <c r="M1811" i="3"/>
  <c r="O1811" i="3"/>
  <c r="M1810" i="3"/>
  <c r="O1810" i="3"/>
  <c r="M1809" i="3"/>
  <c r="O1809" i="3"/>
  <c r="M1808" i="3"/>
  <c r="O1808" i="3"/>
  <c r="M1807" i="3"/>
  <c r="O1807" i="3"/>
  <c r="M1806" i="3"/>
  <c r="O1806" i="3"/>
  <c r="M1805" i="3"/>
  <c r="O1805" i="3"/>
  <c r="M1804" i="3"/>
  <c r="O1804" i="3"/>
  <c r="M1803" i="3"/>
  <c r="O1803" i="3"/>
  <c r="M1802" i="3"/>
  <c r="O1802" i="3"/>
  <c r="M1801" i="3"/>
  <c r="O1801" i="3"/>
  <c r="M1800" i="3"/>
  <c r="O1800" i="3"/>
  <c r="M1799" i="3"/>
  <c r="O1799" i="3"/>
  <c r="M1798" i="3"/>
  <c r="O1798" i="3"/>
  <c r="M1797" i="3"/>
  <c r="O1797" i="3"/>
  <c r="M1796" i="3"/>
  <c r="O1796" i="3"/>
  <c r="M1795" i="3"/>
  <c r="O1795" i="3"/>
  <c r="M1794" i="3"/>
  <c r="O1794" i="3"/>
  <c r="M1793" i="3"/>
  <c r="O1793" i="3"/>
  <c r="M1792" i="3"/>
  <c r="O1792" i="3"/>
  <c r="M1791" i="3"/>
  <c r="O1791" i="3"/>
  <c r="M1790" i="3"/>
  <c r="O1790" i="3"/>
  <c r="M1789" i="3"/>
  <c r="O1789" i="3"/>
  <c r="M1788" i="3"/>
  <c r="O1788" i="3"/>
  <c r="M1787" i="3"/>
  <c r="O1787" i="3"/>
  <c r="M1786" i="3"/>
  <c r="O1786" i="3"/>
  <c r="M1785" i="3"/>
  <c r="O1785" i="3"/>
  <c r="M1784" i="3"/>
  <c r="O1784" i="3"/>
  <c r="M1783" i="3"/>
  <c r="O1783" i="3"/>
  <c r="M1782" i="3"/>
  <c r="O1782" i="3"/>
  <c r="M1781" i="3"/>
  <c r="O1781" i="3"/>
  <c r="M1780" i="3"/>
  <c r="O1780" i="3"/>
  <c r="M1779" i="3"/>
  <c r="O1779" i="3"/>
  <c r="M1778" i="3"/>
  <c r="O1778" i="3"/>
  <c r="M1777" i="3"/>
  <c r="O1777" i="3"/>
  <c r="M1776" i="3"/>
  <c r="O1776" i="3"/>
  <c r="M1775" i="3"/>
  <c r="O1775" i="3"/>
  <c r="M1774" i="3"/>
  <c r="O1774" i="3"/>
  <c r="M1773" i="3"/>
  <c r="O1773" i="3"/>
  <c r="M1772" i="3"/>
  <c r="O1772" i="3"/>
  <c r="M1771" i="3"/>
  <c r="O1771" i="3"/>
  <c r="M1770" i="3"/>
  <c r="O1770" i="3"/>
  <c r="M1769" i="3"/>
  <c r="O1769" i="3"/>
  <c r="M1768" i="3"/>
  <c r="O1768" i="3"/>
  <c r="M1767" i="3"/>
  <c r="O1767" i="3"/>
  <c r="M1766" i="3"/>
  <c r="O1766" i="3"/>
  <c r="M1765" i="3"/>
  <c r="O1765" i="3"/>
  <c r="M1764" i="3"/>
  <c r="O1764" i="3"/>
  <c r="M1763" i="3"/>
  <c r="O1763" i="3"/>
  <c r="M1762" i="3"/>
  <c r="O1762" i="3"/>
  <c r="M1761" i="3"/>
  <c r="O1761" i="3"/>
  <c r="M1760" i="3"/>
  <c r="O1760" i="3"/>
  <c r="M1759" i="3"/>
  <c r="O1759" i="3"/>
  <c r="M1758" i="3"/>
  <c r="O1758" i="3"/>
  <c r="M1757" i="3"/>
  <c r="O1757" i="3"/>
  <c r="M1756" i="3"/>
  <c r="O1756" i="3"/>
  <c r="M1755" i="3"/>
  <c r="O1755" i="3"/>
  <c r="M1754" i="3"/>
  <c r="O1754" i="3"/>
  <c r="M1753" i="3"/>
  <c r="O1753" i="3"/>
  <c r="M1752" i="3"/>
  <c r="O1752" i="3"/>
  <c r="M1751" i="3"/>
  <c r="O1751" i="3"/>
  <c r="M1750" i="3"/>
  <c r="O1750" i="3"/>
  <c r="M1749" i="3"/>
  <c r="O1749" i="3"/>
  <c r="M1748" i="3"/>
  <c r="O1748" i="3"/>
  <c r="M1747" i="3"/>
  <c r="O1747" i="3"/>
  <c r="M1746" i="3"/>
  <c r="O1746" i="3"/>
  <c r="M1745" i="3"/>
  <c r="O1745" i="3"/>
  <c r="M1744" i="3"/>
  <c r="O1744" i="3"/>
  <c r="M1743" i="3"/>
  <c r="O1743" i="3"/>
  <c r="M1742" i="3"/>
  <c r="O1742" i="3"/>
  <c r="M1741" i="3"/>
  <c r="O1741" i="3"/>
  <c r="M1740" i="3"/>
  <c r="O1740" i="3"/>
  <c r="M1739" i="3"/>
  <c r="O1739" i="3"/>
  <c r="M1738" i="3"/>
  <c r="O1738" i="3"/>
  <c r="M1737" i="3"/>
  <c r="O1737" i="3"/>
  <c r="M1736" i="3"/>
  <c r="O1736" i="3"/>
  <c r="M1735" i="3"/>
  <c r="O1735" i="3"/>
  <c r="M1734" i="3"/>
  <c r="O1734" i="3"/>
  <c r="M1733" i="3"/>
  <c r="O1733" i="3"/>
  <c r="M1732" i="3"/>
  <c r="O1732" i="3"/>
  <c r="M1731" i="3"/>
  <c r="O1731" i="3"/>
  <c r="M1730" i="3"/>
  <c r="O1730" i="3"/>
  <c r="M1729" i="3"/>
  <c r="O1729" i="3"/>
  <c r="M1728" i="3"/>
  <c r="O1728" i="3"/>
  <c r="M1727" i="3"/>
  <c r="O1727" i="3"/>
  <c r="M1726" i="3"/>
  <c r="O1726" i="3"/>
  <c r="M1725" i="3"/>
  <c r="O1725" i="3"/>
  <c r="M1724" i="3"/>
  <c r="O1724" i="3"/>
  <c r="M1723" i="3"/>
  <c r="O1723" i="3"/>
  <c r="M1722" i="3"/>
  <c r="O1722" i="3"/>
  <c r="M1721" i="3"/>
  <c r="O1721" i="3"/>
  <c r="M1720" i="3"/>
  <c r="O1720" i="3"/>
  <c r="M1719" i="3"/>
  <c r="O1719" i="3"/>
  <c r="M1718" i="3"/>
  <c r="O1718" i="3"/>
  <c r="M1717" i="3"/>
  <c r="O1717" i="3"/>
  <c r="M1716" i="3"/>
  <c r="O1716" i="3"/>
  <c r="M1715" i="3"/>
  <c r="O1715" i="3"/>
  <c r="M1714" i="3"/>
  <c r="O1714" i="3"/>
  <c r="M1713" i="3"/>
  <c r="O1713" i="3"/>
  <c r="M1712" i="3"/>
  <c r="O1712" i="3"/>
  <c r="M1711" i="3"/>
  <c r="O1711" i="3"/>
  <c r="M1710" i="3"/>
  <c r="O1710" i="3"/>
  <c r="M1709" i="3"/>
  <c r="O1709" i="3"/>
  <c r="M1708" i="3"/>
  <c r="O1708" i="3"/>
  <c r="M1707" i="3"/>
  <c r="O1707" i="3"/>
  <c r="M1706" i="3"/>
  <c r="O1706" i="3"/>
  <c r="M1705" i="3"/>
  <c r="O1705" i="3"/>
  <c r="M1704" i="3"/>
  <c r="O1704" i="3"/>
  <c r="M1703" i="3"/>
  <c r="O1703" i="3"/>
  <c r="M1702" i="3"/>
  <c r="O1702" i="3"/>
  <c r="M1701" i="3"/>
  <c r="O1701" i="3"/>
  <c r="M1700" i="3"/>
  <c r="O1700" i="3"/>
  <c r="M1699" i="3"/>
  <c r="O1699" i="3"/>
  <c r="M1698" i="3"/>
  <c r="O1698" i="3"/>
  <c r="M1697" i="3"/>
  <c r="O1697" i="3"/>
  <c r="M1696" i="3"/>
  <c r="O1696" i="3"/>
  <c r="M1695" i="3"/>
  <c r="O1695" i="3"/>
  <c r="M1694" i="3"/>
  <c r="O1694" i="3"/>
  <c r="M1693" i="3"/>
  <c r="O1693" i="3"/>
  <c r="M1692" i="3"/>
  <c r="O1692" i="3"/>
  <c r="M1691" i="3"/>
  <c r="O1691" i="3"/>
  <c r="M1690" i="3"/>
  <c r="O1690" i="3"/>
  <c r="M1689" i="3"/>
  <c r="O1689" i="3"/>
  <c r="M1688" i="3"/>
  <c r="O1688" i="3"/>
  <c r="M1687" i="3"/>
  <c r="O1687" i="3"/>
  <c r="M1686" i="3"/>
  <c r="O1686" i="3"/>
  <c r="M1685" i="3"/>
  <c r="O1685" i="3"/>
  <c r="M1684" i="3"/>
  <c r="O1684" i="3"/>
  <c r="M1683" i="3"/>
  <c r="O1683" i="3"/>
  <c r="M1682" i="3"/>
  <c r="O1682" i="3"/>
  <c r="M1681" i="3"/>
  <c r="O1681" i="3"/>
  <c r="M1680" i="3"/>
  <c r="O1680" i="3"/>
  <c r="M1679" i="3"/>
  <c r="O1679" i="3"/>
  <c r="M1678" i="3"/>
  <c r="O1678" i="3"/>
  <c r="M1677" i="3"/>
  <c r="O1677" i="3"/>
  <c r="M1676" i="3"/>
  <c r="O1676" i="3"/>
  <c r="M1675" i="3"/>
  <c r="O1675" i="3"/>
  <c r="M1674" i="3"/>
  <c r="O1674" i="3"/>
  <c r="M1673" i="3"/>
  <c r="O1673" i="3"/>
  <c r="M1672" i="3"/>
  <c r="O1672" i="3"/>
  <c r="M1671" i="3"/>
  <c r="O1671" i="3"/>
  <c r="M1670" i="3"/>
  <c r="O1670" i="3"/>
  <c r="M1669" i="3"/>
  <c r="O1669" i="3"/>
  <c r="M1668" i="3"/>
  <c r="O1668" i="3"/>
  <c r="M1667" i="3"/>
  <c r="O1667" i="3"/>
  <c r="M1666" i="3"/>
  <c r="O1666" i="3"/>
  <c r="M1665" i="3"/>
  <c r="O1665" i="3"/>
  <c r="M1664" i="3"/>
  <c r="O1664" i="3"/>
  <c r="M1663" i="3"/>
  <c r="O1663" i="3"/>
  <c r="M1662" i="3"/>
  <c r="O1662" i="3"/>
  <c r="M1661" i="3"/>
  <c r="O1661" i="3"/>
  <c r="M1660" i="3"/>
  <c r="O1660" i="3"/>
  <c r="M1659" i="3"/>
  <c r="O1659" i="3"/>
  <c r="M1658" i="3"/>
  <c r="O1658" i="3"/>
  <c r="M1657" i="3"/>
  <c r="O1657" i="3"/>
  <c r="M1656" i="3"/>
  <c r="O1656" i="3"/>
  <c r="M1655" i="3"/>
  <c r="O1655" i="3"/>
  <c r="M1654" i="3"/>
  <c r="O1654" i="3"/>
  <c r="M1653" i="3"/>
  <c r="O1653" i="3"/>
  <c r="M1652" i="3"/>
  <c r="O1652" i="3"/>
  <c r="M1651" i="3"/>
  <c r="O1651" i="3"/>
  <c r="M1650" i="3"/>
  <c r="O1650" i="3"/>
  <c r="M1649" i="3"/>
  <c r="O1649" i="3"/>
  <c r="M1648" i="3"/>
  <c r="O1648" i="3"/>
  <c r="M1647" i="3"/>
  <c r="O1647" i="3"/>
  <c r="M1646" i="3"/>
  <c r="O1646" i="3"/>
  <c r="M1645" i="3"/>
  <c r="O1645" i="3"/>
  <c r="M1644" i="3"/>
  <c r="O1644" i="3"/>
  <c r="M1643" i="3"/>
  <c r="O1643" i="3"/>
  <c r="M1642" i="3"/>
  <c r="O1642" i="3"/>
  <c r="M1641" i="3"/>
  <c r="O1641" i="3"/>
  <c r="M1640" i="3"/>
  <c r="O1640" i="3"/>
  <c r="M1639" i="3"/>
  <c r="O1639" i="3"/>
  <c r="M1638" i="3"/>
  <c r="O1638" i="3"/>
  <c r="M1637" i="3"/>
  <c r="O1637" i="3"/>
  <c r="M1636" i="3"/>
  <c r="O1636" i="3"/>
  <c r="M1635" i="3"/>
  <c r="O1635" i="3"/>
  <c r="M1634" i="3"/>
  <c r="O1634" i="3"/>
  <c r="M1633" i="3"/>
  <c r="O1633" i="3"/>
  <c r="M1632" i="3"/>
  <c r="O1632" i="3"/>
  <c r="M1631" i="3"/>
  <c r="O1631" i="3"/>
  <c r="M1630" i="3"/>
  <c r="O1630" i="3"/>
  <c r="M1629" i="3"/>
  <c r="O1629" i="3"/>
  <c r="M1628" i="3"/>
  <c r="O1628" i="3"/>
  <c r="M1627" i="3"/>
  <c r="O1627" i="3"/>
  <c r="M1626" i="3"/>
  <c r="O1626" i="3"/>
  <c r="M1625" i="3"/>
  <c r="O1625" i="3"/>
  <c r="M1624" i="3"/>
  <c r="O1624" i="3"/>
  <c r="M1623" i="3"/>
  <c r="O1623" i="3"/>
  <c r="M1622" i="3"/>
  <c r="O1622" i="3"/>
  <c r="M1621" i="3"/>
  <c r="O1621" i="3"/>
  <c r="M1620" i="3"/>
  <c r="O1620" i="3"/>
  <c r="M1619" i="3"/>
  <c r="O1619" i="3"/>
  <c r="M1618" i="3"/>
  <c r="O1618" i="3"/>
  <c r="M1617" i="3"/>
  <c r="O1617" i="3"/>
  <c r="M1616" i="3"/>
  <c r="O1616" i="3"/>
  <c r="M1615" i="3"/>
  <c r="O1615" i="3"/>
  <c r="M1614" i="3"/>
  <c r="O1614" i="3"/>
  <c r="M1613" i="3"/>
  <c r="O1613" i="3"/>
  <c r="M1612" i="3"/>
  <c r="O1612" i="3"/>
  <c r="M1611" i="3"/>
  <c r="O1611" i="3"/>
  <c r="M1610" i="3"/>
  <c r="O1610" i="3"/>
  <c r="M1609" i="3"/>
  <c r="O1609" i="3"/>
  <c r="M1608" i="3"/>
  <c r="O1608" i="3"/>
  <c r="M1607" i="3"/>
  <c r="O1607" i="3"/>
  <c r="M1606" i="3"/>
  <c r="O1606" i="3"/>
  <c r="M1605" i="3"/>
  <c r="O1605" i="3"/>
  <c r="M1604" i="3"/>
  <c r="O1604" i="3"/>
  <c r="M1603" i="3"/>
  <c r="O1603" i="3"/>
  <c r="M1602" i="3"/>
  <c r="O1602" i="3"/>
  <c r="M1601" i="3"/>
  <c r="O1601" i="3"/>
  <c r="M1600" i="3"/>
  <c r="O1600" i="3"/>
  <c r="M1599" i="3"/>
  <c r="O1599" i="3"/>
  <c r="M1598" i="3"/>
  <c r="O1598" i="3"/>
  <c r="M1597" i="3"/>
  <c r="O1597" i="3"/>
  <c r="M1596" i="3"/>
  <c r="O1596" i="3"/>
  <c r="M1595" i="3"/>
  <c r="O1595" i="3"/>
  <c r="M1594" i="3"/>
  <c r="O1594" i="3"/>
  <c r="M1593" i="3"/>
  <c r="O1593" i="3"/>
  <c r="M1592" i="3"/>
  <c r="O1592" i="3"/>
  <c r="M1591" i="3"/>
  <c r="O1591" i="3"/>
  <c r="M1590" i="3"/>
  <c r="O1590" i="3"/>
  <c r="M1589" i="3"/>
  <c r="O1589" i="3"/>
  <c r="M1588" i="3"/>
  <c r="O1588" i="3"/>
  <c r="M1587" i="3"/>
  <c r="O1587" i="3"/>
  <c r="M1586" i="3"/>
  <c r="O1586" i="3"/>
  <c r="M1585" i="3"/>
  <c r="O1585" i="3"/>
  <c r="M1584" i="3"/>
  <c r="O1584" i="3"/>
  <c r="M1583" i="3"/>
  <c r="O1583" i="3"/>
  <c r="M1582" i="3"/>
  <c r="O1582" i="3"/>
  <c r="M1581" i="3"/>
  <c r="O1581" i="3"/>
  <c r="M1580" i="3"/>
  <c r="O1580" i="3"/>
  <c r="M1579" i="3"/>
  <c r="O1579" i="3"/>
  <c r="M1578" i="3"/>
  <c r="O1578" i="3"/>
  <c r="M1577" i="3"/>
  <c r="O1577" i="3"/>
  <c r="M1576" i="3"/>
  <c r="O1576" i="3"/>
  <c r="M1575" i="3"/>
  <c r="O1575" i="3"/>
  <c r="M1574" i="3"/>
  <c r="O1574" i="3"/>
  <c r="M1573" i="3"/>
  <c r="O1573" i="3"/>
  <c r="M1572" i="3"/>
  <c r="O1572" i="3"/>
  <c r="M1571" i="3"/>
  <c r="O1571" i="3"/>
  <c r="M1570" i="3"/>
  <c r="O1570" i="3"/>
  <c r="M1569" i="3"/>
  <c r="O1569" i="3"/>
  <c r="M1568" i="3"/>
  <c r="O1568" i="3"/>
  <c r="M1567" i="3"/>
  <c r="O1567" i="3"/>
  <c r="M1566" i="3"/>
  <c r="O1566" i="3"/>
  <c r="M1565" i="3"/>
  <c r="O1565" i="3"/>
  <c r="M1564" i="3"/>
  <c r="O1564" i="3"/>
  <c r="M1563" i="3"/>
  <c r="O1563" i="3"/>
  <c r="M1562" i="3"/>
  <c r="O1562" i="3"/>
  <c r="M1561" i="3"/>
  <c r="O1561" i="3"/>
  <c r="M1560" i="3"/>
  <c r="O1560" i="3"/>
  <c r="M1559" i="3"/>
  <c r="O1559" i="3"/>
  <c r="M1558" i="3"/>
  <c r="O1558" i="3"/>
  <c r="M1557" i="3"/>
  <c r="O1557" i="3"/>
  <c r="M1556" i="3"/>
  <c r="O1556" i="3"/>
  <c r="M1555" i="3"/>
  <c r="O1555" i="3"/>
  <c r="M1554" i="3"/>
  <c r="O1554" i="3"/>
  <c r="M1553" i="3"/>
  <c r="O1553" i="3"/>
  <c r="M1552" i="3"/>
  <c r="O1552" i="3"/>
  <c r="M1551" i="3"/>
  <c r="O1551" i="3"/>
  <c r="M1550" i="3"/>
  <c r="O1550" i="3"/>
  <c r="M1549" i="3"/>
  <c r="O1549" i="3"/>
  <c r="M1548" i="3"/>
  <c r="O1548" i="3"/>
  <c r="M1547" i="3"/>
  <c r="O1547" i="3"/>
  <c r="M1546" i="3"/>
  <c r="O1546" i="3"/>
  <c r="M1545" i="3"/>
  <c r="O1545" i="3"/>
  <c r="M1544" i="3"/>
  <c r="O1544" i="3"/>
  <c r="M1543" i="3"/>
  <c r="O1543" i="3"/>
  <c r="M1542" i="3"/>
  <c r="O1542" i="3"/>
  <c r="M1541" i="3"/>
  <c r="O1541" i="3"/>
  <c r="M1540" i="3"/>
  <c r="O1540" i="3"/>
  <c r="M1539" i="3"/>
  <c r="O1539" i="3"/>
  <c r="M1538" i="3"/>
  <c r="O1538" i="3"/>
  <c r="M1537" i="3"/>
  <c r="O1537" i="3"/>
  <c r="M1536" i="3"/>
  <c r="O1536" i="3"/>
  <c r="M1535" i="3"/>
  <c r="O1535" i="3"/>
  <c r="M1534" i="3"/>
  <c r="O1534" i="3"/>
  <c r="M1533" i="3"/>
  <c r="O1533" i="3"/>
  <c r="M1532" i="3"/>
  <c r="O1532" i="3"/>
  <c r="M1531" i="3"/>
  <c r="O1531" i="3"/>
  <c r="M1530" i="3"/>
  <c r="O1530" i="3"/>
  <c r="M1529" i="3"/>
  <c r="O1529" i="3"/>
  <c r="M1528" i="3"/>
  <c r="O1528" i="3"/>
  <c r="M1527" i="3"/>
  <c r="O1527" i="3"/>
  <c r="M1526" i="3"/>
  <c r="O1526" i="3"/>
  <c r="M1525" i="3"/>
  <c r="O1525" i="3"/>
  <c r="M1524" i="3"/>
  <c r="O1524" i="3"/>
  <c r="M1523" i="3"/>
  <c r="O1523" i="3"/>
  <c r="M1522" i="3"/>
  <c r="O1522" i="3"/>
  <c r="M1521" i="3"/>
  <c r="O1521" i="3"/>
  <c r="M1520" i="3"/>
  <c r="O1520" i="3"/>
  <c r="M1519" i="3"/>
  <c r="O1519" i="3"/>
  <c r="M1518" i="3"/>
  <c r="O1518" i="3"/>
  <c r="M1517" i="3"/>
  <c r="O1517" i="3"/>
  <c r="M1516" i="3"/>
  <c r="O1516" i="3"/>
  <c r="M1515" i="3"/>
  <c r="O1515" i="3"/>
  <c r="M1514" i="3"/>
  <c r="O1514" i="3"/>
  <c r="M1513" i="3"/>
  <c r="O1513" i="3"/>
  <c r="M1512" i="3"/>
  <c r="O1512" i="3"/>
  <c r="M1511" i="3"/>
  <c r="O1511" i="3"/>
  <c r="M1510" i="3"/>
  <c r="O1510" i="3"/>
  <c r="M1509" i="3"/>
  <c r="O1509" i="3"/>
  <c r="M1508" i="3"/>
  <c r="O1508" i="3"/>
  <c r="M1507" i="3"/>
  <c r="O1507" i="3"/>
  <c r="M1506" i="3"/>
  <c r="O1506" i="3"/>
  <c r="M1505" i="3"/>
  <c r="O1505" i="3"/>
  <c r="M1504" i="3"/>
  <c r="O1504" i="3"/>
  <c r="M1503" i="3"/>
  <c r="O1503" i="3"/>
  <c r="M1502" i="3"/>
  <c r="O1502" i="3"/>
  <c r="M1501" i="3"/>
  <c r="O1501" i="3"/>
  <c r="M1500" i="3"/>
  <c r="O1500" i="3"/>
  <c r="M1499" i="3"/>
  <c r="O1499" i="3"/>
  <c r="M1498" i="3"/>
  <c r="O1498" i="3"/>
  <c r="M1497" i="3"/>
  <c r="O1497" i="3"/>
  <c r="M1496" i="3"/>
  <c r="O1496" i="3"/>
  <c r="M1495" i="3"/>
  <c r="O1495" i="3"/>
  <c r="M1494" i="3"/>
  <c r="O1494" i="3"/>
  <c r="M1493" i="3"/>
  <c r="O1493" i="3"/>
  <c r="M1492" i="3"/>
  <c r="O1492" i="3"/>
  <c r="M1491" i="3"/>
  <c r="O1491" i="3"/>
  <c r="M1490" i="3"/>
  <c r="O1490" i="3"/>
  <c r="M1489" i="3"/>
  <c r="O1489" i="3"/>
  <c r="M1488" i="3"/>
  <c r="O1488" i="3"/>
  <c r="M1487" i="3"/>
  <c r="O1487" i="3"/>
  <c r="M1486" i="3"/>
  <c r="O1486" i="3"/>
  <c r="M1485" i="3"/>
  <c r="O1485" i="3"/>
  <c r="M1484" i="3"/>
  <c r="O1484" i="3"/>
  <c r="M1483" i="3"/>
  <c r="O1483" i="3"/>
  <c r="M1482" i="3"/>
  <c r="O1482" i="3"/>
  <c r="M1481" i="3"/>
  <c r="O1481" i="3"/>
  <c r="M1480" i="3"/>
  <c r="O1480" i="3"/>
  <c r="M1479" i="3"/>
  <c r="O1479" i="3"/>
  <c r="M1478" i="3"/>
  <c r="O1478" i="3"/>
  <c r="M1477" i="3"/>
  <c r="O1477" i="3"/>
  <c r="M1476" i="3"/>
  <c r="O1476" i="3"/>
  <c r="M1475" i="3"/>
  <c r="O1475" i="3"/>
  <c r="M1474" i="3"/>
  <c r="O1474" i="3"/>
  <c r="M1473" i="3"/>
  <c r="O1473" i="3"/>
  <c r="M1472" i="3"/>
  <c r="O1472" i="3"/>
  <c r="M1471" i="3"/>
  <c r="O1471" i="3"/>
  <c r="M1470" i="3"/>
  <c r="O1470" i="3"/>
  <c r="M1469" i="3"/>
  <c r="O1469" i="3"/>
  <c r="M1468" i="3"/>
  <c r="O1468" i="3"/>
  <c r="M1467" i="3"/>
  <c r="O1467" i="3"/>
  <c r="M1466" i="3"/>
  <c r="O1466" i="3"/>
  <c r="M1465" i="3"/>
  <c r="O1465" i="3"/>
  <c r="M1464" i="3"/>
  <c r="O1464" i="3"/>
  <c r="M1463" i="3"/>
  <c r="O1463" i="3"/>
  <c r="M1462" i="3"/>
  <c r="O1462" i="3"/>
  <c r="M1461" i="3"/>
  <c r="O1461" i="3"/>
  <c r="M1460" i="3"/>
  <c r="O1460" i="3"/>
  <c r="M1459" i="3"/>
  <c r="O1459" i="3"/>
  <c r="M1458" i="3"/>
  <c r="O1458" i="3"/>
  <c r="M1457" i="3"/>
  <c r="O1457" i="3"/>
  <c r="M1456" i="3"/>
  <c r="O1456" i="3"/>
  <c r="M1455" i="3"/>
  <c r="O1455" i="3"/>
  <c r="M1454" i="3"/>
  <c r="O1454" i="3"/>
  <c r="M1453" i="3"/>
  <c r="O1453" i="3"/>
  <c r="M1452" i="3"/>
  <c r="O1452" i="3"/>
  <c r="M1451" i="3"/>
  <c r="O1451" i="3"/>
  <c r="M1450" i="3"/>
  <c r="O1450" i="3"/>
  <c r="M1449" i="3"/>
  <c r="O1449" i="3"/>
  <c r="M1448" i="3"/>
  <c r="O1448" i="3"/>
  <c r="M1447" i="3"/>
  <c r="O1447" i="3"/>
  <c r="M1446" i="3"/>
  <c r="O1446" i="3"/>
  <c r="M1445" i="3"/>
  <c r="O1445" i="3"/>
  <c r="M1444" i="3"/>
  <c r="O1444" i="3"/>
  <c r="M1443" i="3"/>
  <c r="O1443" i="3"/>
  <c r="M1442" i="3"/>
  <c r="O1442" i="3"/>
  <c r="M1441" i="3"/>
  <c r="O1441" i="3"/>
  <c r="M1440" i="3"/>
  <c r="O1440" i="3"/>
  <c r="M1439" i="3"/>
  <c r="O1439" i="3"/>
  <c r="M1438" i="3"/>
  <c r="O1438" i="3"/>
  <c r="M1437" i="3"/>
  <c r="O1437" i="3"/>
  <c r="M1436" i="3"/>
  <c r="O1436" i="3"/>
  <c r="M1435" i="3"/>
  <c r="O1435" i="3"/>
  <c r="M1434" i="3"/>
  <c r="O1434" i="3"/>
  <c r="M1433" i="3"/>
  <c r="O1433" i="3"/>
  <c r="M1432" i="3"/>
  <c r="O1432" i="3"/>
  <c r="M1431" i="3"/>
  <c r="O1431" i="3"/>
  <c r="M1430" i="3"/>
  <c r="O1430" i="3"/>
  <c r="M1429" i="3"/>
  <c r="O1429" i="3"/>
  <c r="M1428" i="3"/>
  <c r="O1428" i="3"/>
  <c r="M1427" i="3"/>
  <c r="O1427" i="3"/>
  <c r="M1426" i="3"/>
  <c r="O1426" i="3"/>
  <c r="M1425" i="3"/>
  <c r="O1425" i="3"/>
  <c r="M1424" i="3"/>
  <c r="O1424" i="3"/>
  <c r="M1423" i="3"/>
  <c r="O1423" i="3"/>
  <c r="M1422" i="3"/>
  <c r="O1422" i="3"/>
  <c r="M1421" i="3"/>
  <c r="O1421" i="3"/>
  <c r="M1420" i="3"/>
  <c r="O1420" i="3"/>
  <c r="M1419" i="3"/>
  <c r="O1419" i="3"/>
  <c r="M1418" i="3"/>
  <c r="O1418" i="3"/>
  <c r="M1417" i="3"/>
  <c r="O1417" i="3"/>
  <c r="M1416" i="3"/>
  <c r="O1416" i="3"/>
  <c r="M1415" i="3"/>
  <c r="O1415" i="3"/>
  <c r="M1414" i="3"/>
  <c r="O1414" i="3"/>
  <c r="M1413" i="3"/>
  <c r="O1413" i="3"/>
  <c r="M1412" i="3"/>
  <c r="O1412" i="3"/>
  <c r="M1411" i="3"/>
  <c r="O1411" i="3"/>
  <c r="M1410" i="3"/>
  <c r="O1410" i="3"/>
  <c r="M1409" i="3"/>
  <c r="O1409" i="3"/>
  <c r="M1408" i="3"/>
  <c r="O1408" i="3"/>
  <c r="M1407" i="3"/>
  <c r="O1407" i="3"/>
  <c r="M1406" i="3"/>
  <c r="O1406" i="3"/>
  <c r="M1405" i="3"/>
  <c r="O1405" i="3"/>
  <c r="M1404" i="3"/>
  <c r="O1404" i="3"/>
  <c r="M1403" i="3"/>
  <c r="O1403" i="3"/>
  <c r="M1402" i="3"/>
  <c r="O1402" i="3"/>
  <c r="M1401" i="3"/>
  <c r="O1401" i="3"/>
  <c r="M1400" i="3"/>
  <c r="O1400" i="3"/>
  <c r="M1399" i="3"/>
  <c r="O1399" i="3"/>
  <c r="M1398" i="3"/>
  <c r="O1398" i="3"/>
  <c r="M1397" i="3"/>
  <c r="O1397" i="3"/>
  <c r="M1396" i="3"/>
  <c r="O1396" i="3"/>
  <c r="M1395" i="3"/>
  <c r="O1395" i="3"/>
  <c r="M1394" i="3"/>
  <c r="O1394" i="3"/>
  <c r="M1393" i="3"/>
  <c r="O1393" i="3"/>
  <c r="M1392" i="3"/>
  <c r="O1392" i="3"/>
  <c r="M1391" i="3"/>
  <c r="O1391" i="3"/>
  <c r="M1390" i="3"/>
  <c r="O1390" i="3"/>
  <c r="M1389" i="3"/>
  <c r="O1389" i="3"/>
  <c r="M1388" i="3"/>
  <c r="O1388" i="3"/>
  <c r="M1387" i="3"/>
  <c r="O1387" i="3"/>
  <c r="M1386" i="3"/>
  <c r="O1386" i="3"/>
  <c r="M1385" i="3"/>
  <c r="O1385" i="3"/>
  <c r="M1384" i="3"/>
  <c r="O1384" i="3"/>
  <c r="M1383" i="3"/>
  <c r="O1383" i="3"/>
  <c r="M1382" i="3"/>
  <c r="O1382" i="3"/>
  <c r="M1381" i="3"/>
  <c r="O1381" i="3"/>
  <c r="M1380" i="3"/>
  <c r="O1380" i="3"/>
  <c r="M1379" i="3"/>
  <c r="O1379" i="3"/>
  <c r="M1378" i="3"/>
  <c r="O1378" i="3"/>
  <c r="M1377" i="3"/>
  <c r="O1377" i="3"/>
  <c r="M1376" i="3"/>
  <c r="O1376" i="3"/>
  <c r="M1375" i="3"/>
  <c r="O1375" i="3"/>
  <c r="M1374" i="3"/>
  <c r="O1374" i="3"/>
  <c r="M1373" i="3"/>
  <c r="O1373" i="3"/>
  <c r="M1372" i="3"/>
  <c r="O1372" i="3"/>
  <c r="M1371" i="3"/>
  <c r="O1371" i="3"/>
  <c r="M1370" i="3"/>
  <c r="O1370" i="3"/>
  <c r="M1369" i="3"/>
  <c r="O1369" i="3"/>
  <c r="M1368" i="3"/>
  <c r="O1368" i="3"/>
  <c r="M1367" i="3"/>
  <c r="O1367" i="3"/>
  <c r="M1366" i="3"/>
  <c r="O1366" i="3"/>
  <c r="M1365" i="3"/>
  <c r="O1365" i="3"/>
  <c r="M1364" i="3"/>
  <c r="O1364" i="3"/>
  <c r="M1363" i="3"/>
  <c r="O1363" i="3"/>
  <c r="M1362" i="3"/>
  <c r="O1362" i="3"/>
  <c r="M1361" i="3"/>
  <c r="O1361" i="3"/>
  <c r="M1360" i="3"/>
  <c r="O1360" i="3"/>
  <c r="M1359" i="3"/>
  <c r="O1359" i="3"/>
  <c r="M1358" i="3"/>
  <c r="O1358" i="3"/>
  <c r="M1357" i="3"/>
  <c r="O1357" i="3"/>
  <c r="M1356" i="3"/>
  <c r="O1356" i="3"/>
  <c r="M1355" i="3"/>
  <c r="O1355" i="3"/>
  <c r="M1354" i="3"/>
  <c r="O1354" i="3"/>
  <c r="M1353" i="3"/>
  <c r="O1353" i="3"/>
  <c r="M1352" i="3"/>
  <c r="O1352" i="3"/>
  <c r="M1351" i="3"/>
  <c r="O1351" i="3"/>
  <c r="M1350" i="3"/>
  <c r="O1350" i="3"/>
  <c r="M1349" i="3"/>
  <c r="O1349" i="3"/>
  <c r="M1348" i="3"/>
  <c r="O1348" i="3"/>
  <c r="M1347" i="3"/>
  <c r="O1347" i="3"/>
  <c r="M1346" i="3"/>
  <c r="O1346" i="3"/>
  <c r="M1345" i="3"/>
  <c r="O1345" i="3"/>
  <c r="M1344" i="3"/>
  <c r="O1344" i="3"/>
  <c r="M1343" i="3"/>
  <c r="O1343" i="3"/>
  <c r="M1342" i="3"/>
  <c r="O1342" i="3"/>
  <c r="M1341" i="3"/>
  <c r="O1341" i="3"/>
  <c r="M1340" i="3"/>
  <c r="O1340" i="3"/>
  <c r="M1339" i="3"/>
  <c r="O1339" i="3"/>
  <c r="M1338" i="3"/>
  <c r="O1338" i="3"/>
  <c r="M1337" i="3"/>
  <c r="O1337" i="3"/>
  <c r="M1336" i="3"/>
  <c r="O1336" i="3"/>
  <c r="M1335" i="3"/>
  <c r="O1335" i="3"/>
  <c r="M1334" i="3"/>
  <c r="O1334" i="3"/>
  <c r="M1333" i="3"/>
  <c r="O1333" i="3"/>
  <c r="M1332" i="3"/>
  <c r="O1332" i="3"/>
  <c r="M1331" i="3"/>
  <c r="O1331" i="3"/>
  <c r="M1330" i="3"/>
  <c r="O1330" i="3"/>
  <c r="M1329" i="3"/>
  <c r="O1329" i="3"/>
  <c r="M1328" i="3"/>
  <c r="O1328" i="3"/>
  <c r="M1327" i="3"/>
  <c r="O1327" i="3"/>
  <c r="M1326" i="3"/>
  <c r="O1326" i="3"/>
  <c r="M1325" i="3"/>
  <c r="O1325" i="3"/>
  <c r="M1324" i="3"/>
  <c r="O1324" i="3"/>
  <c r="M1323" i="3"/>
  <c r="O1323" i="3"/>
  <c r="M1322" i="3"/>
  <c r="O1322" i="3"/>
  <c r="M1321" i="3"/>
  <c r="O1321" i="3"/>
  <c r="M1320" i="3"/>
  <c r="O1320" i="3"/>
  <c r="M1319" i="3"/>
  <c r="O1319" i="3"/>
  <c r="M1318" i="3"/>
  <c r="O1318" i="3"/>
  <c r="M1317" i="3"/>
  <c r="O1317" i="3"/>
  <c r="M1316" i="3"/>
  <c r="O1316" i="3"/>
  <c r="M1315" i="3"/>
  <c r="O1315" i="3"/>
  <c r="M1314" i="3"/>
  <c r="O1314" i="3"/>
  <c r="M1313" i="3"/>
  <c r="O1313" i="3"/>
  <c r="M1312" i="3"/>
  <c r="O1312" i="3"/>
  <c r="M1311" i="3"/>
  <c r="O1311" i="3"/>
  <c r="M1310" i="3"/>
  <c r="O1310" i="3"/>
  <c r="M1309" i="3"/>
  <c r="O1309" i="3"/>
  <c r="M1308" i="3"/>
  <c r="O1308" i="3"/>
  <c r="M1307" i="3"/>
  <c r="O1307" i="3"/>
  <c r="M1306" i="3"/>
  <c r="O1306" i="3"/>
  <c r="M1305" i="3"/>
  <c r="O1305" i="3"/>
  <c r="M1304" i="3"/>
  <c r="O1304" i="3"/>
  <c r="M1303" i="3"/>
  <c r="O1303" i="3"/>
  <c r="M1302" i="3"/>
  <c r="O1302" i="3"/>
  <c r="M1301" i="3"/>
  <c r="O1301" i="3"/>
  <c r="M1300" i="3"/>
  <c r="O1300" i="3"/>
  <c r="M1299" i="3"/>
  <c r="O1299" i="3"/>
  <c r="M1298" i="3"/>
  <c r="O1298" i="3"/>
  <c r="M1297" i="3"/>
  <c r="O1297" i="3"/>
  <c r="M1296" i="3"/>
  <c r="O1296" i="3"/>
  <c r="M1295" i="3"/>
  <c r="O1295" i="3"/>
  <c r="M1294" i="3"/>
  <c r="O1294" i="3"/>
  <c r="M1293" i="3"/>
  <c r="O1293" i="3"/>
  <c r="M1292" i="3"/>
  <c r="O1292" i="3"/>
  <c r="M1291" i="3"/>
  <c r="O1291" i="3"/>
  <c r="M1290" i="3"/>
  <c r="O1290" i="3"/>
  <c r="M1289" i="3"/>
  <c r="O1289" i="3"/>
  <c r="M1288" i="3"/>
  <c r="O1288" i="3"/>
  <c r="M1287" i="3"/>
  <c r="O1287" i="3"/>
  <c r="M1286" i="3"/>
  <c r="O1286" i="3"/>
  <c r="M1285" i="3"/>
  <c r="O1285" i="3"/>
  <c r="M1284" i="3"/>
  <c r="O1284" i="3"/>
  <c r="M1283" i="3"/>
  <c r="O1283" i="3"/>
  <c r="M1282" i="3"/>
  <c r="O1282" i="3"/>
  <c r="M1281" i="3"/>
  <c r="O1281" i="3"/>
  <c r="M1280" i="3"/>
  <c r="O1280" i="3"/>
  <c r="M1279" i="3"/>
  <c r="O1279" i="3"/>
  <c r="M1278" i="3"/>
  <c r="O1278" i="3"/>
  <c r="M1277" i="3"/>
  <c r="O1277" i="3"/>
  <c r="M1276" i="3"/>
  <c r="O1276" i="3"/>
  <c r="M1275" i="3"/>
  <c r="O1275" i="3"/>
  <c r="M1274" i="3"/>
  <c r="O1274" i="3"/>
  <c r="M1273" i="3"/>
  <c r="O1273" i="3"/>
  <c r="M1272" i="3"/>
  <c r="O1272" i="3"/>
  <c r="M1271" i="3"/>
  <c r="O1271" i="3"/>
  <c r="M1270" i="3"/>
  <c r="O1270" i="3"/>
  <c r="M1269" i="3"/>
  <c r="O1269" i="3"/>
  <c r="M1268" i="3"/>
  <c r="O1268" i="3"/>
  <c r="M1267" i="3"/>
  <c r="O1267" i="3"/>
  <c r="M1266" i="3"/>
  <c r="O1266" i="3"/>
  <c r="M1265" i="3"/>
  <c r="O1265" i="3"/>
  <c r="M1264" i="3"/>
  <c r="O1264" i="3"/>
  <c r="M1263" i="3"/>
  <c r="O1263" i="3"/>
  <c r="M1262" i="3"/>
  <c r="O1262" i="3"/>
  <c r="M1261" i="3"/>
  <c r="O1261" i="3"/>
  <c r="M1260" i="3"/>
  <c r="O1260" i="3"/>
  <c r="M1259" i="3"/>
  <c r="O1259" i="3"/>
  <c r="M1258" i="3"/>
  <c r="O1258" i="3"/>
  <c r="M1257" i="3"/>
  <c r="O1257" i="3"/>
  <c r="M1256" i="3"/>
  <c r="O1256" i="3"/>
  <c r="M1255" i="3"/>
  <c r="O1255" i="3"/>
  <c r="M1254" i="3"/>
  <c r="O1254" i="3"/>
  <c r="M1253" i="3"/>
  <c r="O1253" i="3"/>
  <c r="M1252" i="3"/>
  <c r="O1252" i="3"/>
  <c r="M1251" i="3"/>
  <c r="O1251" i="3"/>
  <c r="M1250" i="3"/>
  <c r="O1250" i="3"/>
  <c r="M1249" i="3"/>
  <c r="O1249" i="3"/>
  <c r="M1248" i="3"/>
  <c r="O1248" i="3"/>
  <c r="M1247" i="3"/>
  <c r="O1247" i="3"/>
  <c r="M1246" i="3"/>
  <c r="O1246" i="3"/>
  <c r="M1245" i="3"/>
  <c r="O1245" i="3"/>
  <c r="M1244" i="3"/>
  <c r="O1244" i="3"/>
  <c r="M1243" i="3"/>
  <c r="O1243" i="3"/>
  <c r="M1242" i="3"/>
  <c r="O1242" i="3"/>
  <c r="M1241" i="3"/>
  <c r="O1241" i="3"/>
  <c r="M1240" i="3"/>
  <c r="O1240" i="3"/>
  <c r="M1239" i="3"/>
  <c r="O1239" i="3"/>
  <c r="M1238" i="3"/>
  <c r="O1238" i="3"/>
  <c r="M1237" i="3"/>
  <c r="O1237" i="3"/>
  <c r="M1236" i="3"/>
  <c r="O1236" i="3"/>
  <c r="M1235" i="3"/>
  <c r="O1235" i="3"/>
  <c r="M1234" i="3"/>
  <c r="O1234" i="3"/>
  <c r="M1233" i="3"/>
  <c r="O1233" i="3"/>
  <c r="M1232" i="3"/>
  <c r="O1232" i="3"/>
  <c r="M1231" i="3"/>
  <c r="O1231" i="3"/>
  <c r="M1230" i="3"/>
  <c r="O1230" i="3"/>
  <c r="M1229" i="3"/>
  <c r="O1229" i="3"/>
  <c r="M1228" i="3"/>
  <c r="O1228" i="3"/>
  <c r="M1227" i="3"/>
  <c r="O1227" i="3"/>
  <c r="M1226" i="3"/>
  <c r="O1226" i="3"/>
  <c r="M1225" i="3"/>
  <c r="O1225" i="3"/>
  <c r="M1224" i="3"/>
  <c r="O1224" i="3"/>
  <c r="M1223" i="3"/>
  <c r="O1223" i="3"/>
  <c r="M1222" i="3"/>
  <c r="O1222" i="3"/>
  <c r="M1221" i="3"/>
  <c r="O1221" i="3"/>
  <c r="M1220" i="3"/>
  <c r="O1220" i="3"/>
  <c r="M1219" i="3"/>
  <c r="O1219" i="3"/>
  <c r="M1218" i="3"/>
  <c r="O1218" i="3"/>
  <c r="M1217" i="3"/>
  <c r="O1217" i="3"/>
  <c r="M1216" i="3"/>
  <c r="O1216" i="3"/>
  <c r="M1215" i="3"/>
  <c r="O1215" i="3"/>
  <c r="M1214" i="3"/>
  <c r="O1214" i="3"/>
  <c r="M1213" i="3"/>
  <c r="O1213" i="3"/>
  <c r="M1212" i="3"/>
  <c r="O1212" i="3"/>
  <c r="M1211" i="3"/>
  <c r="O1211" i="3"/>
  <c r="M1210" i="3"/>
  <c r="O1210" i="3"/>
  <c r="M1209" i="3"/>
  <c r="O1209" i="3"/>
  <c r="M1208" i="3"/>
  <c r="O1208" i="3"/>
  <c r="M1207" i="3"/>
  <c r="O1207" i="3"/>
  <c r="M1206" i="3"/>
  <c r="O1206" i="3"/>
  <c r="M1205" i="3"/>
  <c r="O1205" i="3"/>
  <c r="M1204" i="3"/>
  <c r="O1204" i="3"/>
  <c r="M1203" i="3"/>
  <c r="O1203" i="3"/>
  <c r="M1202" i="3"/>
  <c r="O1202" i="3"/>
  <c r="M1201" i="3"/>
  <c r="O1201" i="3"/>
  <c r="M1200" i="3"/>
  <c r="O1200" i="3"/>
  <c r="M1199" i="3"/>
  <c r="O1199" i="3"/>
  <c r="M1198" i="3"/>
  <c r="O1198" i="3"/>
  <c r="M1197" i="3"/>
  <c r="O1197" i="3"/>
  <c r="M1196" i="3"/>
  <c r="O1196" i="3"/>
  <c r="M1195" i="3"/>
  <c r="O1195" i="3"/>
  <c r="M1194" i="3"/>
  <c r="O1194" i="3"/>
  <c r="M1193" i="3"/>
  <c r="O1193" i="3"/>
  <c r="M1192" i="3"/>
  <c r="O1192" i="3"/>
  <c r="M1191" i="3"/>
  <c r="O1191" i="3"/>
  <c r="M1190" i="3"/>
  <c r="O1190" i="3"/>
  <c r="M1189" i="3"/>
  <c r="O1189" i="3"/>
  <c r="M1188" i="3"/>
  <c r="O1188" i="3"/>
  <c r="M1187" i="3"/>
  <c r="O1187" i="3"/>
  <c r="M1186" i="3"/>
  <c r="O1186" i="3"/>
  <c r="M1185" i="3"/>
  <c r="O1185" i="3"/>
  <c r="M1184" i="3"/>
  <c r="O1184" i="3"/>
  <c r="M1183" i="3"/>
  <c r="O1183" i="3"/>
  <c r="M1182" i="3"/>
  <c r="O1182" i="3"/>
  <c r="M1181" i="3"/>
  <c r="O1181" i="3"/>
  <c r="M1180" i="3"/>
  <c r="O1180" i="3"/>
  <c r="M1179" i="3"/>
  <c r="O1179" i="3"/>
  <c r="M1178" i="3"/>
  <c r="O1178" i="3"/>
  <c r="M1177" i="3"/>
  <c r="O1177" i="3"/>
  <c r="M1176" i="3"/>
  <c r="O1176" i="3"/>
  <c r="M1175" i="3"/>
  <c r="O1175" i="3"/>
  <c r="M1174" i="3"/>
  <c r="O1174" i="3"/>
  <c r="M1173" i="3"/>
  <c r="O1173" i="3"/>
  <c r="M1172" i="3"/>
  <c r="O1172" i="3"/>
  <c r="M1171" i="3"/>
  <c r="O1171" i="3"/>
  <c r="M1170" i="3"/>
  <c r="O1170" i="3"/>
  <c r="M1169" i="3"/>
  <c r="O1169" i="3"/>
  <c r="M1168" i="3"/>
  <c r="O1168" i="3"/>
  <c r="M1167" i="3"/>
  <c r="O1167" i="3"/>
  <c r="M1166" i="3"/>
  <c r="O1166" i="3"/>
  <c r="M1165" i="3"/>
  <c r="O1165" i="3"/>
  <c r="M1164" i="3"/>
  <c r="O1164" i="3"/>
  <c r="M1163" i="3"/>
  <c r="O1163" i="3"/>
  <c r="M1162" i="3"/>
  <c r="O1162" i="3"/>
  <c r="M1161" i="3"/>
  <c r="O1161" i="3"/>
  <c r="M1160" i="3"/>
  <c r="O1160" i="3"/>
  <c r="M1159" i="3"/>
  <c r="O1159" i="3"/>
  <c r="M1158" i="3"/>
  <c r="O1158" i="3"/>
  <c r="M1157" i="3"/>
  <c r="O1157" i="3"/>
  <c r="M1156" i="3"/>
  <c r="O1156" i="3"/>
  <c r="M1155" i="3"/>
  <c r="O1155" i="3"/>
  <c r="M1154" i="3"/>
  <c r="O1154" i="3"/>
  <c r="M1153" i="3"/>
  <c r="O1153" i="3"/>
  <c r="M1152" i="3"/>
  <c r="O1152" i="3"/>
  <c r="M1151" i="3"/>
  <c r="O1151" i="3"/>
  <c r="M1150" i="3"/>
  <c r="O1150" i="3"/>
  <c r="M1149" i="3"/>
  <c r="O1149" i="3"/>
  <c r="M1148" i="3"/>
  <c r="O1148" i="3"/>
  <c r="M1147" i="3"/>
  <c r="O1147" i="3"/>
  <c r="M1146" i="3"/>
  <c r="O1146" i="3"/>
  <c r="M1145" i="3"/>
  <c r="O1145" i="3"/>
  <c r="M1144" i="3"/>
  <c r="O1144" i="3"/>
  <c r="M1143" i="3"/>
  <c r="O1143" i="3"/>
  <c r="M1142" i="3"/>
  <c r="O1142" i="3"/>
  <c r="M1141" i="3"/>
  <c r="O1141" i="3"/>
  <c r="M1140" i="3"/>
  <c r="O1140" i="3"/>
  <c r="M1139" i="3"/>
  <c r="O1139" i="3"/>
  <c r="M1138" i="3"/>
  <c r="O1138" i="3"/>
  <c r="M1137" i="3"/>
  <c r="O1137" i="3"/>
  <c r="M1136" i="3"/>
  <c r="O1136" i="3"/>
  <c r="M1135" i="3"/>
  <c r="O1135" i="3"/>
  <c r="M1134" i="3"/>
  <c r="O1134" i="3"/>
  <c r="M1133" i="3"/>
  <c r="O1133" i="3"/>
  <c r="M1132" i="3"/>
  <c r="O1132" i="3"/>
  <c r="M1131" i="3"/>
  <c r="O1131" i="3"/>
  <c r="M1130" i="3"/>
  <c r="O1130" i="3"/>
  <c r="M1129" i="3"/>
  <c r="O1129" i="3"/>
  <c r="M1128" i="3"/>
  <c r="O1128" i="3"/>
  <c r="M1127" i="3"/>
  <c r="O1127" i="3"/>
  <c r="M1126" i="3"/>
  <c r="O1126" i="3"/>
  <c r="M1125" i="3"/>
  <c r="O1125" i="3"/>
  <c r="M1124" i="3"/>
  <c r="O1124" i="3"/>
  <c r="M1123" i="3"/>
  <c r="O1123" i="3"/>
  <c r="M1122" i="3"/>
  <c r="O1122" i="3"/>
  <c r="M1121" i="3"/>
  <c r="O1121" i="3"/>
  <c r="M1120" i="3"/>
  <c r="O1120" i="3"/>
  <c r="M1119" i="3"/>
  <c r="O1119" i="3"/>
  <c r="M1118" i="3"/>
  <c r="O1118" i="3"/>
  <c r="M1117" i="3"/>
  <c r="O1117" i="3"/>
  <c r="M1116" i="3"/>
  <c r="O1116" i="3"/>
  <c r="M1115" i="3"/>
  <c r="O1115" i="3"/>
  <c r="M1114" i="3"/>
  <c r="O1114" i="3"/>
  <c r="M1113" i="3"/>
  <c r="O1113" i="3"/>
  <c r="M1112" i="3"/>
  <c r="O1112" i="3"/>
  <c r="M1111" i="3"/>
  <c r="O1111" i="3"/>
  <c r="M1110" i="3"/>
  <c r="O1110" i="3"/>
  <c r="M1109" i="3"/>
  <c r="O1109" i="3"/>
  <c r="M1108" i="3"/>
  <c r="O1108" i="3"/>
  <c r="M1107" i="3"/>
  <c r="O1107" i="3"/>
  <c r="M1106" i="3"/>
  <c r="O1106" i="3"/>
  <c r="M1105" i="3"/>
  <c r="O1105" i="3"/>
  <c r="M1104" i="3"/>
  <c r="O1104" i="3"/>
  <c r="M1103" i="3"/>
  <c r="O1103" i="3"/>
  <c r="M1102" i="3"/>
  <c r="O1102" i="3"/>
  <c r="M1101" i="3"/>
  <c r="O1101" i="3"/>
  <c r="M1100" i="3"/>
  <c r="O1100" i="3"/>
  <c r="M1099" i="3"/>
  <c r="O1099" i="3"/>
  <c r="M1098" i="3"/>
  <c r="O1098" i="3"/>
  <c r="M1097" i="3"/>
  <c r="O1097" i="3"/>
  <c r="M1096" i="3"/>
  <c r="O1096" i="3"/>
  <c r="M1095" i="3"/>
  <c r="O1095" i="3"/>
  <c r="M1094" i="3"/>
  <c r="O1094" i="3"/>
  <c r="M1093" i="3"/>
  <c r="O1093" i="3"/>
  <c r="M1092" i="3"/>
  <c r="O1092" i="3"/>
  <c r="M1091" i="3"/>
  <c r="O1091" i="3"/>
  <c r="M1090" i="3"/>
  <c r="O1090" i="3"/>
  <c r="M1089" i="3"/>
  <c r="O1089" i="3"/>
  <c r="M1088" i="3"/>
  <c r="O1088" i="3"/>
  <c r="M1087" i="3"/>
  <c r="O1087" i="3"/>
  <c r="M1086" i="3"/>
  <c r="O1086" i="3"/>
  <c r="M1085" i="3"/>
  <c r="O1085" i="3"/>
  <c r="M1084" i="3"/>
  <c r="O1084" i="3"/>
  <c r="M1083" i="3"/>
  <c r="O1083" i="3"/>
  <c r="M1082" i="3"/>
  <c r="O1082" i="3"/>
  <c r="M1081" i="3"/>
  <c r="O1081" i="3"/>
  <c r="M1080" i="3"/>
  <c r="O1080" i="3"/>
  <c r="M1079" i="3"/>
  <c r="O1079" i="3"/>
  <c r="M1078" i="3"/>
  <c r="O1078" i="3"/>
  <c r="M1077" i="3"/>
  <c r="O1077" i="3"/>
  <c r="M1076" i="3"/>
  <c r="O1076" i="3"/>
  <c r="M1075" i="3"/>
  <c r="O1075" i="3"/>
  <c r="M1074" i="3"/>
  <c r="O1074" i="3"/>
  <c r="M1073" i="3"/>
  <c r="O1073" i="3"/>
  <c r="M1072" i="3"/>
  <c r="O1072" i="3"/>
  <c r="M1071" i="3"/>
  <c r="O1071" i="3"/>
  <c r="M1070" i="3"/>
  <c r="O1070" i="3"/>
  <c r="M1069" i="3"/>
  <c r="O1069" i="3"/>
  <c r="M1068" i="3"/>
  <c r="O1068" i="3"/>
  <c r="M1067" i="3"/>
  <c r="O1067" i="3"/>
  <c r="M1066" i="3"/>
  <c r="O1066" i="3"/>
  <c r="M1065" i="3"/>
  <c r="O1065" i="3"/>
  <c r="M1064" i="3"/>
  <c r="O1064" i="3"/>
  <c r="M1063" i="3"/>
  <c r="O1063" i="3"/>
  <c r="M1062" i="3"/>
  <c r="O1062" i="3"/>
  <c r="M1061" i="3"/>
  <c r="O1061" i="3"/>
  <c r="M1060" i="3"/>
  <c r="O1060" i="3"/>
  <c r="M1059" i="3"/>
  <c r="O1059" i="3"/>
  <c r="M1058" i="3"/>
  <c r="O1058" i="3"/>
  <c r="M1057" i="3"/>
  <c r="O1057" i="3"/>
  <c r="M1056" i="3"/>
  <c r="O1056" i="3"/>
  <c r="M1055" i="3"/>
  <c r="O1055" i="3"/>
  <c r="M1054" i="3"/>
  <c r="O1054" i="3"/>
  <c r="M1053" i="3"/>
  <c r="O1053" i="3"/>
  <c r="M1052" i="3"/>
  <c r="O1052" i="3"/>
  <c r="M1051" i="3"/>
  <c r="O1051" i="3"/>
  <c r="M1050" i="3"/>
  <c r="O1050" i="3"/>
  <c r="M1049" i="3"/>
  <c r="O1049" i="3"/>
  <c r="M1048" i="3"/>
  <c r="O1048" i="3"/>
  <c r="M1047" i="3"/>
  <c r="O1047" i="3"/>
  <c r="M1046" i="3"/>
  <c r="O1046" i="3"/>
  <c r="M1045" i="3"/>
  <c r="O1045" i="3"/>
  <c r="M1044" i="3"/>
  <c r="O1044" i="3"/>
  <c r="M1043" i="3"/>
  <c r="O1043" i="3"/>
  <c r="M1042" i="3"/>
  <c r="O1042" i="3"/>
  <c r="M1041" i="3"/>
  <c r="O1041" i="3"/>
  <c r="M1040" i="3"/>
  <c r="O1040" i="3"/>
  <c r="M1039" i="3"/>
  <c r="O1039" i="3"/>
  <c r="M1038" i="3"/>
  <c r="O1038" i="3"/>
  <c r="M1037" i="3"/>
  <c r="O1037" i="3"/>
  <c r="M1036" i="3"/>
  <c r="O1036" i="3"/>
  <c r="M1035" i="3"/>
  <c r="O1035" i="3"/>
  <c r="M1034" i="3"/>
  <c r="O1034" i="3"/>
  <c r="M1033" i="3"/>
  <c r="O1033" i="3"/>
  <c r="M1032" i="3"/>
  <c r="O1032" i="3"/>
  <c r="M1031" i="3"/>
  <c r="O1031" i="3"/>
  <c r="M1030" i="3"/>
  <c r="O1030" i="3"/>
  <c r="M1029" i="3"/>
  <c r="O1029" i="3"/>
  <c r="M1028" i="3"/>
  <c r="O1028" i="3"/>
  <c r="M1027" i="3"/>
  <c r="O1027" i="3"/>
  <c r="M1026" i="3"/>
  <c r="O1026" i="3"/>
  <c r="M1025" i="3"/>
  <c r="O1025" i="3"/>
  <c r="M1024" i="3"/>
  <c r="O1024" i="3"/>
  <c r="M1023" i="3"/>
  <c r="O1023" i="3"/>
  <c r="M1022" i="3"/>
  <c r="O1022" i="3"/>
  <c r="M1021" i="3"/>
  <c r="O1021" i="3"/>
  <c r="M1020" i="3"/>
  <c r="O1020" i="3"/>
  <c r="M1019" i="3"/>
  <c r="O1019" i="3"/>
  <c r="M1018" i="3"/>
  <c r="O1018" i="3"/>
  <c r="M1017" i="3"/>
  <c r="O1017" i="3"/>
  <c r="M1016" i="3"/>
  <c r="O1016" i="3"/>
  <c r="M1015" i="3"/>
  <c r="O1015" i="3"/>
  <c r="M1014" i="3"/>
  <c r="O1014" i="3"/>
  <c r="M1013" i="3"/>
  <c r="O1013" i="3"/>
  <c r="M1012" i="3"/>
  <c r="O1012" i="3"/>
  <c r="M1011" i="3"/>
  <c r="O1011" i="3"/>
  <c r="M1010" i="3"/>
  <c r="O1010" i="3"/>
  <c r="M1009" i="3"/>
  <c r="O1009" i="3"/>
  <c r="M1008" i="3"/>
  <c r="O1008" i="3"/>
  <c r="M1007" i="3"/>
  <c r="O1007" i="3"/>
  <c r="M1006" i="3"/>
  <c r="O1006" i="3"/>
  <c r="M1005" i="3"/>
  <c r="O1005" i="3"/>
  <c r="M1004" i="3"/>
  <c r="O1004" i="3"/>
  <c r="M1003" i="3"/>
  <c r="O1003" i="3"/>
  <c r="M1002" i="3"/>
  <c r="O1002" i="3"/>
  <c r="M1001" i="3"/>
  <c r="O1001" i="3"/>
  <c r="M1000" i="3"/>
  <c r="O1000" i="3"/>
  <c r="M999" i="3"/>
  <c r="O999" i="3"/>
  <c r="M998" i="3"/>
  <c r="O998" i="3"/>
  <c r="M997" i="3"/>
  <c r="O997" i="3"/>
  <c r="M996" i="3"/>
  <c r="O996" i="3"/>
  <c r="M995" i="3"/>
  <c r="O995" i="3"/>
  <c r="M994" i="3"/>
  <c r="O994" i="3"/>
  <c r="M993" i="3"/>
  <c r="O993" i="3"/>
  <c r="M992" i="3"/>
  <c r="O992" i="3"/>
  <c r="M991" i="3"/>
  <c r="O991" i="3"/>
  <c r="M990" i="3"/>
  <c r="O990" i="3"/>
  <c r="M989" i="3"/>
  <c r="O989" i="3"/>
  <c r="M988" i="3"/>
  <c r="O988" i="3"/>
  <c r="M987" i="3"/>
  <c r="O987" i="3"/>
  <c r="M986" i="3"/>
  <c r="O986" i="3"/>
  <c r="M985" i="3"/>
  <c r="O985" i="3"/>
  <c r="M984" i="3"/>
  <c r="O984" i="3"/>
  <c r="M983" i="3"/>
  <c r="O983" i="3"/>
  <c r="M982" i="3"/>
  <c r="O982" i="3"/>
  <c r="M981" i="3"/>
  <c r="O981" i="3"/>
  <c r="M980" i="3"/>
  <c r="O980" i="3"/>
  <c r="M979" i="3"/>
  <c r="O979" i="3"/>
  <c r="M978" i="3"/>
  <c r="O978" i="3"/>
  <c r="M977" i="3"/>
  <c r="O977" i="3"/>
  <c r="M976" i="3"/>
  <c r="O976" i="3"/>
  <c r="M975" i="3"/>
  <c r="O975" i="3"/>
  <c r="M974" i="3"/>
  <c r="O974" i="3"/>
  <c r="M973" i="3"/>
  <c r="O973" i="3"/>
  <c r="M972" i="3"/>
  <c r="O972" i="3"/>
  <c r="M971" i="3"/>
  <c r="O971" i="3"/>
  <c r="M970" i="3"/>
  <c r="O970" i="3"/>
  <c r="M969" i="3"/>
  <c r="O969" i="3"/>
  <c r="M968" i="3"/>
  <c r="O968" i="3"/>
  <c r="M967" i="3"/>
  <c r="O967" i="3"/>
  <c r="M966" i="3"/>
  <c r="O966" i="3"/>
  <c r="M965" i="3"/>
  <c r="O965" i="3"/>
  <c r="M964" i="3"/>
  <c r="O964" i="3"/>
  <c r="M963" i="3"/>
  <c r="O963" i="3"/>
  <c r="M962" i="3"/>
  <c r="O962" i="3"/>
  <c r="M961" i="3"/>
  <c r="O961" i="3"/>
  <c r="M960" i="3"/>
  <c r="O960" i="3"/>
  <c r="M959" i="3"/>
  <c r="O959" i="3"/>
  <c r="M958" i="3"/>
  <c r="O958" i="3"/>
  <c r="M957" i="3"/>
  <c r="O957" i="3"/>
  <c r="M956" i="3"/>
  <c r="O956" i="3"/>
  <c r="M955" i="3"/>
  <c r="O955" i="3"/>
  <c r="M954" i="3"/>
  <c r="O954" i="3"/>
  <c r="M953" i="3"/>
  <c r="O953" i="3"/>
  <c r="M952" i="3"/>
  <c r="O952" i="3"/>
  <c r="M951" i="3"/>
  <c r="O951" i="3"/>
  <c r="M950" i="3"/>
  <c r="O950" i="3"/>
  <c r="M949" i="3"/>
  <c r="O949" i="3"/>
  <c r="M948" i="3"/>
  <c r="O948" i="3"/>
  <c r="M947" i="3"/>
  <c r="O947" i="3"/>
  <c r="M946" i="3"/>
  <c r="O946" i="3"/>
  <c r="M945" i="3"/>
  <c r="O945" i="3"/>
  <c r="M944" i="3"/>
  <c r="O944" i="3"/>
  <c r="M943" i="3"/>
  <c r="O943" i="3"/>
  <c r="M942" i="3"/>
  <c r="O942" i="3"/>
  <c r="M941" i="3"/>
  <c r="O941" i="3"/>
  <c r="M940" i="3"/>
  <c r="O940" i="3"/>
  <c r="M939" i="3"/>
  <c r="O939" i="3"/>
  <c r="M938" i="3"/>
  <c r="O938" i="3"/>
  <c r="M937" i="3"/>
  <c r="O937" i="3"/>
  <c r="M936" i="3"/>
  <c r="O936" i="3"/>
  <c r="M935" i="3"/>
  <c r="O935" i="3"/>
  <c r="M934" i="3"/>
  <c r="O934" i="3"/>
  <c r="M933" i="3"/>
  <c r="O933" i="3"/>
  <c r="M932" i="3"/>
  <c r="O932" i="3"/>
  <c r="M931" i="3"/>
  <c r="O931" i="3"/>
  <c r="M930" i="3"/>
  <c r="O930" i="3"/>
  <c r="M929" i="3"/>
  <c r="O929" i="3"/>
  <c r="M928" i="3"/>
  <c r="O928" i="3"/>
  <c r="M927" i="3"/>
  <c r="O927" i="3"/>
  <c r="M926" i="3"/>
  <c r="O926" i="3"/>
  <c r="M925" i="3"/>
  <c r="O925" i="3"/>
  <c r="M924" i="3"/>
  <c r="O924" i="3"/>
  <c r="M923" i="3"/>
  <c r="O923" i="3"/>
  <c r="M922" i="3"/>
  <c r="O922" i="3"/>
  <c r="M921" i="3"/>
  <c r="O921" i="3"/>
  <c r="M920" i="3"/>
  <c r="O920" i="3"/>
  <c r="M919" i="3"/>
  <c r="O919" i="3"/>
  <c r="M918" i="3"/>
  <c r="O918" i="3"/>
  <c r="M917" i="3"/>
  <c r="O917" i="3"/>
  <c r="M916" i="3"/>
  <c r="O916" i="3"/>
  <c r="M915" i="3"/>
  <c r="O915" i="3"/>
  <c r="M914" i="3"/>
  <c r="O914" i="3"/>
  <c r="M913" i="3"/>
  <c r="O913" i="3"/>
  <c r="M912" i="3"/>
  <c r="O912" i="3"/>
  <c r="M911" i="3"/>
  <c r="O911" i="3"/>
  <c r="M910" i="3"/>
  <c r="O910" i="3"/>
  <c r="M909" i="3"/>
  <c r="O909" i="3"/>
  <c r="M908" i="3"/>
  <c r="O908" i="3"/>
  <c r="M907" i="3"/>
  <c r="O907" i="3"/>
  <c r="M906" i="3"/>
  <c r="O906" i="3"/>
  <c r="M905" i="3"/>
  <c r="O905" i="3"/>
  <c r="M904" i="3"/>
  <c r="O904" i="3"/>
  <c r="M903" i="3"/>
  <c r="O903" i="3"/>
  <c r="M902" i="3"/>
  <c r="O902" i="3"/>
  <c r="M901" i="3"/>
  <c r="O901" i="3"/>
  <c r="M900" i="3"/>
  <c r="O900" i="3"/>
  <c r="M899" i="3"/>
  <c r="O899" i="3"/>
  <c r="M898" i="3"/>
  <c r="O898" i="3"/>
  <c r="M897" i="3"/>
  <c r="O897" i="3"/>
  <c r="M896" i="3"/>
  <c r="O896" i="3"/>
  <c r="M895" i="3"/>
  <c r="O895" i="3"/>
  <c r="M894" i="3"/>
  <c r="O894" i="3"/>
  <c r="M893" i="3"/>
  <c r="O893" i="3"/>
  <c r="M892" i="3"/>
  <c r="O892" i="3"/>
  <c r="M891" i="3"/>
  <c r="O891" i="3"/>
  <c r="M890" i="3"/>
  <c r="O890" i="3"/>
  <c r="M889" i="3"/>
  <c r="O889" i="3"/>
  <c r="M888" i="3"/>
  <c r="O888" i="3"/>
  <c r="M887" i="3"/>
  <c r="O887" i="3"/>
  <c r="M886" i="3"/>
  <c r="O886" i="3"/>
  <c r="M885" i="3"/>
  <c r="O885" i="3"/>
  <c r="M884" i="3"/>
  <c r="O884" i="3"/>
  <c r="M883" i="3"/>
  <c r="O883" i="3"/>
  <c r="M882" i="3"/>
  <c r="O882" i="3"/>
  <c r="M881" i="3"/>
  <c r="O881" i="3"/>
  <c r="M880" i="3"/>
  <c r="O880" i="3"/>
  <c r="M879" i="3"/>
  <c r="O879" i="3"/>
  <c r="M878" i="3"/>
  <c r="O878" i="3"/>
  <c r="M877" i="3"/>
  <c r="O877" i="3"/>
  <c r="M876" i="3"/>
  <c r="O876" i="3"/>
  <c r="M875" i="3"/>
  <c r="O875" i="3"/>
  <c r="M874" i="3"/>
  <c r="O874" i="3"/>
  <c r="M873" i="3"/>
  <c r="O873" i="3"/>
  <c r="M872" i="3"/>
  <c r="O872" i="3"/>
  <c r="M871" i="3"/>
  <c r="O871" i="3"/>
  <c r="M870" i="3"/>
  <c r="O870" i="3"/>
  <c r="M869" i="3"/>
  <c r="O869" i="3"/>
  <c r="M868" i="3"/>
  <c r="O868" i="3"/>
  <c r="M867" i="3"/>
  <c r="O867" i="3"/>
  <c r="M866" i="3"/>
  <c r="O866" i="3"/>
  <c r="M865" i="3"/>
  <c r="O865" i="3"/>
  <c r="M864" i="3"/>
  <c r="O864" i="3"/>
  <c r="M863" i="3"/>
  <c r="O863" i="3"/>
  <c r="M862" i="3"/>
  <c r="O862" i="3"/>
  <c r="M861" i="3"/>
  <c r="O861" i="3"/>
  <c r="M860" i="3"/>
  <c r="O860" i="3"/>
  <c r="M859" i="3"/>
  <c r="O859" i="3"/>
  <c r="M858" i="3"/>
  <c r="O858" i="3"/>
  <c r="M857" i="3"/>
  <c r="O857" i="3"/>
  <c r="M856" i="3"/>
  <c r="O856" i="3"/>
  <c r="M855" i="3"/>
  <c r="O855" i="3"/>
  <c r="M854" i="3"/>
  <c r="O854" i="3"/>
  <c r="M853" i="3"/>
  <c r="O853" i="3"/>
  <c r="M852" i="3"/>
  <c r="O852" i="3"/>
  <c r="M851" i="3"/>
  <c r="O851" i="3"/>
  <c r="M850" i="3"/>
  <c r="O850" i="3"/>
  <c r="M849" i="3"/>
  <c r="O849" i="3"/>
  <c r="M848" i="3"/>
  <c r="O848" i="3"/>
  <c r="M847" i="3"/>
  <c r="O847" i="3"/>
  <c r="M846" i="3"/>
  <c r="O846" i="3"/>
  <c r="M845" i="3"/>
  <c r="O845" i="3"/>
  <c r="M844" i="3"/>
  <c r="O844" i="3"/>
  <c r="M843" i="3"/>
  <c r="O843" i="3"/>
  <c r="M842" i="3"/>
  <c r="O842" i="3"/>
  <c r="M841" i="3"/>
  <c r="O841" i="3"/>
  <c r="M840" i="3"/>
  <c r="O840" i="3"/>
  <c r="M839" i="3"/>
  <c r="O839" i="3"/>
  <c r="M838" i="3"/>
  <c r="O838" i="3"/>
  <c r="M837" i="3"/>
  <c r="O837" i="3"/>
  <c r="M836" i="3"/>
  <c r="O836" i="3"/>
  <c r="M835" i="3"/>
  <c r="O835" i="3"/>
  <c r="M834" i="3"/>
  <c r="O834" i="3"/>
  <c r="M833" i="3"/>
  <c r="O833" i="3"/>
  <c r="M832" i="3"/>
  <c r="O832" i="3"/>
  <c r="M831" i="3"/>
  <c r="O831" i="3"/>
  <c r="M830" i="3"/>
  <c r="O830" i="3"/>
  <c r="M829" i="3"/>
  <c r="O829" i="3"/>
  <c r="M828" i="3"/>
  <c r="O828" i="3"/>
  <c r="M827" i="3"/>
  <c r="O827" i="3"/>
  <c r="M826" i="3"/>
  <c r="O826" i="3"/>
  <c r="M825" i="3"/>
  <c r="O825" i="3"/>
  <c r="M824" i="3"/>
  <c r="O824" i="3"/>
  <c r="M823" i="3"/>
  <c r="O823" i="3"/>
  <c r="M822" i="3"/>
  <c r="O822" i="3"/>
  <c r="M821" i="3"/>
  <c r="O821" i="3"/>
  <c r="M820" i="3"/>
  <c r="O820" i="3"/>
  <c r="M819" i="3"/>
  <c r="O819" i="3"/>
  <c r="M818" i="3"/>
  <c r="O818" i="3"/>
  <c r="M817" i="3"/>
  <c r="O817" i="3"/>
  <c r="M816" i="3"/>
  <c r="O816" i="3"/>
  <c r="M815" i="3"/>
  <c r="O815" i="3"/>
  <c r="M814" i="3"/>
  <c r="O814" i="3"/>
  <c r="M813" i="3"/>
  <c r="O813" i="3"/>
  <c r="M812" i="3"/>
  <c r="O812" i="3"/>
  <c r="M811" i="3"/>
  <c r="O811" i="3"/>
  <c r="M810" i="3"/>
  <c r="O810" i="3"/>
  <c r="M809" i="3"/>
  <c r="O809" i="3"/>
  <c r="M808" i="3"/>
  <c r="O808" i="3"/>
  <c r="M807" i="3"/>
  <c r="O807" i="3"/>
  <c r="M806" i="3"/>
  <c r="O806" i="3"/>
  <c r="M805" i="3"/>
  <c r="O805" i="3"/>
  <c r="M804" i="3"/>
  <c r="O804" i="3"/>
  <c r="M803" i="3"/>
  <c r="O803" i="3"/>
  <c r="M802" i="3"/>
  <c r="O802" i="3"/>
  <c r="M801" i="3"/>
  <c r="O801" i="3"/>
  <c r="M800" i="3"/>
  <c r="O800" i="3"/>
  <c r="M799" i="3"/>
  <c r="O799" i="3"/>
  <c r="M798" i="3"/>
  <c r="O798" i="3"/>
  <c r="M797" i="3"/>
  <c r="O797" i="3"/>
  <c r="M796" i="3"/>
  <c r="O796" i="3"/>
  <c r="M795" i="3"/>
  <c r="O795" i="3"/>
  <c r="M794" i="3"/>
  <c r="O794" i="3"/>
  <c r="M793" i="3"/>
  <c r="O793" i="3"/>
  <c r="M792" i="3"/>
  <c r="O792" i="3"/>
  <c r="M791" i="3"/>
  <c r="O791" i="3"/>
  <c r="M790" i="3"/>
  <c r="O790" i="3"/>
  <c r="M789" i="3"/>
  <c r="O789" i="3"/>
  <c r="M788" i="3"/>
  <c r="O788" i="3"/>
  <c r="M787" i="3"/>
  <c r="O787" i="3"/>
  <c r="M786" i="3"/>
  <c r="O786" i="3"/>
  <c r="M785" i="3"/>
  <c r="O785" i="3"/>
  <c r="M784" i="3"/>
  <c r="O784" i="3"/>
  <c r="M783" i="3"/>
  <c r="O783" i="3"/>
  <c r="M782" i="3"/>
  <c r="O782" i="3"/>
  <c r="M781" i="3"/>
  <c r="O781" i="3"/>
  <c r="M780" i="3"/>
  <c r="O780" i="3"/>
  <c r="M779" i="3"/>
  <c r="O779" i="3"/>
  <c r="M778" i="3"/>
  <c r="O778" i="3"/>
  <c r="M777" i="3"/>
  <c r="O777" i="3"/>
  <c r="M776" i="3"/>
  <c r="O776" i="3"/>
  <c r="M775" i="3"/>
  <c r="O775" i="3"/>
  <c r="M774" i="3"/>
  <c r="O774" i="3"/>
  <c r="M773" i="3"/>
  <c r="O773" i="3"/>
  <c r="M772" i="3"/>
  <c r="O772" i="3"/>
  <c r="M771" i="3"/>
  <c r="O771" i="3"/>
  <c r="M770" i="3"/>
  <c r="O770" i="3"/>
  <c r="M769" i="3"/>
  <c r="O769" i="3"/>
  <c r="M768" i="3"/>
  <c r="O768" i="3"/>
  <c r="M767" i="3"/>
  <c r="O767" i="3"/>
  <c r="M766" i="3"/>
  <c r="O766" i="3"/>
  <c r="M765" i="3"/>
  <c r="O765" i="3"/>
  <c r="M764" i="3"/>
  <c r="O764" i="3"/>
  <c r="M763" i="3"/>
  <c r="O763" i="3"/>
  <c r="M762" i="3"/>
  <c r="O762" i="3"/>
  <c r="M761" i="3"/>
  <c r="O761" i="3"/>
  <c r="M760" i="3"/>
  <c r="O760" i="3"/>
  <c r="M759" i="3"/>
  <c r="O759" i="3"/>
  <c r="M758" i="3"/>
  <c r="O758" i="3"/>
  <c r="M757" i="3"/>
  <c r="O757" i="3"/>
  <c r="M756" i="3"/>
  <c r="O756" i="3"/>
  <c r="M755" i="3"/>
  <c r="O755" i="3"/>
  <c r="M754" i="3"/>
  <c r="O754" i="3"/>
  <c r="M753" i="3"/>
  <c r="O753" i="3"/>
  <c r="M752" i="3"/>
  <c r="O752" i="3"/>
  <c r="M751" i="3"/>
  <c r="O751" i="3"/>
  <c r="M750" i="3"/>
  <c r="O750" i="3"/>
  <c r="M749" i="3"/>
  <c r="O749" i="3"/>
  <c r="M748" i="3"/>
  <c r="O748" i="3"/>
  <c r="M747" i="3"/>
  <c r="O747" i="3"/>
  <c r="M746" i="3"/>
  <c r="O746" i="3"/>
  <c r="M745" i="3"/>
  <c r="O745" i="3"/>
  <c r="M744" i="3"/>
  <c r="O744" i="3"/>
  <c r="M743" i="3"/>
  <c r="O743" i="3"/>
  <c r="M742" i="3"/>
  <c r="O742" i="3"/>
  <c r="M741" i="3"/>
  <c r="O741" i="3"/>
  <c r="M740" i="3"/>
  <c r="O740" i="3"/>
  <c r="M739" i="3"/>
  <c r="O739" i="3"/>
  <c r="M738" i="3"/>
  <c r="O738" i="3"/>
  <c r="M737" i="3"/>
  <c r="O737" i="3"/>
  <c r="M736" i="3"/>
  <c r="O736" i="3"/>
  <c r="M735" i="3"/>
  <c r="O735" i="3"/>
  <c r="M734" i="3"/>
  <c r="O734" i="3"/>
  <c r="M733" i="3"/>
  <c r="O733" i="3"/>
  <c r="M732" i="3"/>
  <c r="O732" i="3"/>
  <c r="M731" i="3"/>
  <c r="O731" i="3"/>
  <c r="M730" i="3"/>
  <c r="O730" i="3"/>
  <c r="M729" i="3"/>
  <c r="O729" i="3"/>
  <c r="M728" i="3"/>
  <c r="O728" i="3"/>
  <c r="M727" i="3"/>
  <c r="O727" i="3"/>
  <c r="M726" i="3"/>
  <c r="O726" i="3"/>
  <c r="M725" i="3"/>
  <c r="O725" i="3"/>
  <c r="M724" i="3"/>
  <c r="O724" i="3"/>
  <c r="M723" i="3"/>
  <c r="O723" i="3"/>
  <c r="M722" i="3"/>
  <c r="O722" i="3"/>
  <c r="M721" i="3"/>
  <c r="O721" i="3"/>
  <c r="M720" i="3"/>
  <c r="O720" i="3"/>
  <c r="M719" i="3"/>
  <c r="O719" i="3"/>
  <c r="M718" i="3"/>
  <c r="O718" i="3"/>
  <c r="M717" i="3"/>
  <c r="O717" i="3"/>
  <c r="M716" i="3"/>
  <c r="O716" i="3"/>
  <c r="M715" i="3"/>
  <c r="O715" i="3"/>
  <c r="M714" i="3"/>
  <c r="O714" i="3"/>
  <c r="M713" i="3"/>
  <c r="O713" i="3"/>
  <c r="M712" i="3"/>
  <c r="O712" i="3"/>
  <c r="M711" i="3"/>
  <c r="O711" i="3"/>
  <c r="M710" i="3"/>
  <c r="O710" i="3"/>
  <c r="M709" i="3"/>
  <c r="O709" i="3"/>
  <c r="M708" i="3"/>
  <c r="O708" i="3"/>
  <c r="M707" i="3"/>
  <c r="O707" i="3"/>
  <c r="M706" i="3"/>
  <c r="O706" i="3"/>
  <c r="M705" i="3"/>
  <c r="O705" i="3"/>
  <c r="M704" i="3"/>
  <c r="O704" i="3"/>
  <c r="M703" i="3"/>
  <c r="O703" i="3"/>
  <c r="M702" i="3"/>
  <c r="O702" i="3"/>
  <c r="M701" i="3"/>
  <c r="O701" i="3"/>
  <c r="M700" i="3"/>
  <c r="O700" i="3"/>
  <c r="M699" i="3"/>
  <c r="O699" i="3"/>
  <c r="M698" i="3"/>
  <c r="O698" i="3"/>
  <c r="M697" i="3"/>
  <c r="O697" i="3"/>
  <c r="M696" i="3"/>
  <c r="O696" i="3"/>
  <c r="M695" i="3"/>
  <c r="O695" i="3"/>
  <c r="M694" i="3"/>
  <c r="O694" i="3"/>
  <c r="M693" i="3"/>
  <c r="O693" i="3"/>
  <c r="M692" i="3"/>
  <c r="O692" i="3"/>
  <c r="M691" i="3"/>
  <c r="O691" i="3"/>
  <c r="M690" i="3"/>
  <c r="O690" i="3"/>
  <c r="M689" i="3"/>
  <c r="O689" i="3"/>
  <c r="M688" i="3"/>
  <c r="O688" i="3"/>
  <c r="M687" i="3"/>
  <c r="O687" i="3"/>
  <c r="M686" i="3"/>
  <c r="O686" i="3"/>
  <c r="M685" i="3"/>
  <c r="O685" i="3"/>
  <c r="M684" i="3"/>
  <c r="O684" i="3"/>
  <c r="M683" i="3"/>
  <c r="O683" i="3"/>
  <c r="M682" i="3"/>
  <c r="O682" i="3"/>
  <c r="M681" i="3"/>
  <c r="O681" i="3"/>
  <c r="M680" i="3"/>
  <c r="O680" i="3"/>
  <c r="M679" i="3"/>
  <c r="O679" i="3"/>
  <c r="M678" i="3"/>
  <c r="O678" i="3"/>
  <c r="M677" i="3"/>
  <c r="O677" i="3"/>
  <c r="M676" i="3"/>
  <c r="O676" i="3"/>
  <c r="M675" i="3"/>
  <c r="O675" i="3"/>
  <c r="M674" i="3"/>
  <c r="O674" i="3"/>
  <c r="M673" i="3"/>
  <c r="O673" i="3"/>
  <c r="M672" i="3"/>
  <c r="O672" i="3"/>
  <c r="M671" i="3"/>
  <c r="O671" i="3"/>
  <c r="M670" i="3"/>
  <c r="O670" i="3"/>
  <c r="M669" i="3"/>
  <c r="O669" i="3"/>
  <c r="M668" i="3"/>
  <c r="O668" i="3"/>
  <c r="M667" i="3"/>
  <c r="O667" i="3"/>
  <c r="M666" i="3"/>
  <c r="O666" i="3"/>
  <c r="M665" i="3"/>
  <c r="O665" i="3"/>
  <c r="M664" i="3"/>
  <c r="O664" i="3"/>
  <c r="M663" i="3"/>
  <c r="O663" i="3"/>
  <c r="M662" i="3"/>
  <c r="O662" i="3"/>
  <c r="M661" i="3"/>
  <c r="O661" i="3"/>
  <c r="M660" i="3"/>
  <c r="O660" i="3"/>
  <c r="M659" i="3"/>
  <c r="O659" i="3"/>
  <c r="M658" i="3"/>
  <c r="O658" i="3"/>
  <c r="M657" i="3"/>
  <c r="O657" i="3"/>
  <c r="M656" i="3"/>
  <c r="O656" i="3"/>
  <c r="M655" i="3"/>
  <c r="O655" i="3"/>
  <c r="M654" i="3"/>
  <c r="O654" i="3"/>
  <c r="M653" i="3"/>
  <c r="O653" i="3"/>
  <c r="M652" i="3"/>
  <c r="O652" i="3"/>
  <c r="M651" i="3"/>
  <c r="O651" i="3"/>
  <c r="M650" i="3"/>
  <c r="O650" i="3"/>
  <c r="M649" i="3"/>
  <c r="O649" i="3"/>
  <c r="M648" i="3"/>
  <c r="O648" i="3"/>
  <c r="M647" i="3"/>
  <c r="O647" i="3"/>
  <c r="M646" i="3"/>
  <c r="O646" i="3"/>
  <c r="M645" i="3"/>
  <c r="O645" i="3"/>
  <c r="M644" i="3"/>
  <c r="O644" i="3"/>
  <c r="M643" i="3"/>
  <c r="O643" i="3"/>
  <c r="M642" i="3"/>
  <c r="O642" i="3"/>
  <c r="M641" i="3"/>
  <c r="O641" i="3"/>
  <c r="M640" i="3"/>
  <c r="O640" i="3"/>
  <c r="M639" i="3"/>
  <c r="O639" i="3"/>
  <c r="M638" i="3"/>
  <c r="O638" i="3"/>
  <c r="M637" i="3"/>
  <c r="O637" i="3"/>
  <c r="M636" i="3"/>
  <c r="O636" i="3"/>
  <c r="M635" i="3"/>
  <c r="O635" i="3"/>
  <c r="M634" i="3"/>
  <c r="O634" i="3"/>
  <c r="M633" i="3"/>
  <c r="O633" i="3"/>
  <c r="M632" i="3"/>
  <c r="O632" i="3"/>
  <c r="M631" i="3"/>
  <c r="O631" i="3"/>
  <c r="M630" i="3"/>
  <c r="O630" i="3"/>
  <c r="M629" i="3"/>
  <c r="O629" i="3"/>
  <c r="M628" i="3"/>
  <c r="O628" i="3"/>
  <c r="M627" i="3"/>
  <c r="O627" i="3"/>
  <c r="M626" i="3"/>
  <c r="O626" i="3"/>
  <c r="M625" i="3"/>
  <c r="O625" i="3"/>
  <c r="M624" i="3"/>
  <c r="O624" i="3"/>
  <c r="M623" i="3"/>
  <c r="O623" i="3"/>
  <c r="M622" i="3"/>
  <c r="O622" i="3"/>
  <c r="M621" i="3"/>
  <c r="O621" i="3"/>
  <c r="M620" i="3"/>
  <c r="O620" i="3"/>
  <c r="M619" i="3"/>
  <c r="O619" i="3"/>
  <c r="M618" i="3"/>
  <c r="O618" i="3"/>
  <c r="M617" i="3"/>
  <c r="O617" i="3"/>
  <c r="M616" i="3"/>
  <c r="O616" i="3"/>
  <c r="M615" i="3"/>
  <c r="O615" i="3"/>
  <c r="M614" i="3"/>
  <c r="O614" i="3"/>
  <c r="M613" i="3"/>
  <c r="O613" i="3"/>
  <c r="M612" i="3"/>
  <c r="O612" i="3"/>
  <c r="M611" i="3"/>
  <c r="O611" i="3"/>
  <c r="M610" i="3"/>
  <c r="O610" i="3"/>
  <c r="M609" i="3"/>
  <c r="O609" i="3"/>
  <c r="M608" i="3"/>
  <c r="O608" i="3"/>
  <c r="M607" i="3"/>
  <c r="O607" i="3"/>
  <c r="M606" i="3"/>
  <c r="O606" i="3"/>
  <c r="M605" i="3"/>
  <c r="O605" i="3"/>
  <c r="M604" i="3"/>
  <c r="O604" i="3"/>
  <c r="M603" i="3"/>
  <c r="O603" i="3"/>
  <c r="M602" i="3"/>
  <c r="O602" i="3"/>
  <c r="M601" i="3"/>
  <c r="O601" i="3"/>
  <c r="M600" i="3"/>
  <c r="O600" i="3"/>
  <c r="M599" i="3"/>
  <c r="O599" i="3"/>
  <c r="M598" i="3"/>
  <c r="O598" i="3"/>
  <c r="M597" i="3"/>
  <c r="O597" i="3"/>
  <c r="M596" i="3"/>
  <c r="O596" i="3"/>
  <c r="M595" i="3"/>
  <c r="O595" i="3"/>
  <c r="M594" i="3"/>
  <c r="O594" i="3"/>
  <c r="M593" i="3"/>
  <c r="O593" i="3"/>
  <c r="M592" i="3"/>
  <c r="O592" i="3"/>
  <c r="M591" i="3"/>
  <c r="O591" i="3"/>
  <c r="M590" i="3"/>
  <c r="O590" i="3"/>
  <c r="M589" i="3"/>
  <c r="O589" i="3"/>
  <c r="M588" i="3"/>
  <c r="O588" i="3"/>
  <c r="M587" i="3"/>
  <c r="O587" i="3"/>
  <c r="M586" i="3"/>
  <c r="O586" i="3"/>
  <c r="M585" i="3"/>
  <c r="O585" i="3"/>
  <c r="M584" i="3"/>
  <c r="O584" i="3"/>
  <c r="M583" i="3"/>
  <c r="O583" i="3"/>
  <c r="M582" i="3"/>
  <c r="O582" i="3"/>
  <c r="M581" i="3"/>
  <c r="O581" i="3"/>
  <c r="M580" i="3"/>
  <c r="O580" i="3"/>
  <c r="M579" i="3"/>
  <c r="O579" i="3"/>
  <c r="M578" i="3"/>
  <c r="O578" i="3"/>
  <c r="M577" i="3"/>
  <c r="O577" i="3"/>
  <c r="M576" i="3"/>
  <c r="O576" i="3"/>
  <c r="M575" i="3"/>
  <c r="O575" i="3"/>
  <c r="M574" i="3"/>
  <c r="O574" i="3"/>
  <c r="M573" i="3"/>
  <c r="O573" i="3"/>
  <c r="M572" i="3"/>
  <c r="O572" i="3"/>
  <c r="M571" i="3"/>
  <c r="O571" i="3"/>
  <c r="M570" i="3"/>
  <c r="O570" i="3"/>
  <c r="M569" i="3"/>
  <c r="O569" i="3"/>
  <c r="M568" i="3"/>
  <c r="O568" i="3"/>
  <c r="M567" i="3"/>
  <c r="O567" i="3"/>
  <c r="M566" i="3"/>
  <c r="O566" i="3"/>
  <c r="M565" i="3"/>
  <c r="O565" i="3"/>
  <c r="M564" i="3"/>
  <c r="O564" i="3"/>
  <c r="M563" i="3"/>
  <c r="O563" i="3"/>
  <c r="M562" i="3"/>
  <c r="O562" i="3"/>
  <c r="M561" i="3"/>
  <c r="O561" i="3"/>
  <c r="M560" i="3"/>
  <c r="O560" i="3"/>
  <c r="M559" i="3"/>
  <c r="O559" i="3"/>
  <c r="M558" i="3"/>
  <c r="O558" i="3"/>
  <c r="M557" i="3"/>
  <c r="O557" i="3"/>
  <c r="M556" i="3"/>
  <c r="O556" i="3"/>
  <c r="M555" i="3"/>
  <c r="O555" i="3"/>
  <c r="M554" i="3"/>
  <c r="O554" i="3"/>
  <c r="M553" i="3"/>
  <c r="O553" i="3"/>
  <c r="M552" i="3"/>
  <c r="O552" i="3"/>
  <c r="M551" i="3"/>
  <c r="O551" i="3"/>
  <c r="M550" i="3"/>
  <c r="O550" i="3"/>
  <c r="M549" i="3"/>
  <c r="O549" i="3"/>
  <c r="M548" i="3"/>
  <c r="O548" i="3"/>
  <c r="M547" i="3"/>
  <c r="O547" i="3"/>
  <c r="M546" i="3"/>
  <c r="O546" i="3"/>
  <c r="M545" i="3"/>
  <c r="O545" i="3"/>
  <c r="M544" i="3"/>
  <c r="O544" i="3"/>
  <c r="M543" i="3"/>
  <c r="O543" i="3"/>
  <c r="M542" i="3"/>
  <c r="O542" i="3"/>
  <c r="M541" i="3"/>
  <c r="O541" i="3"/>
  <c r="M540" i="3"/>
  <c r="O540" i="3"/>
  <c r="M539" i="3"/>
  <c r="O539" i="3"/>
  <c r="M538" i="3"/>
  <c r="O538" i="3"/>
  <c r="M537" i="3"/>
  <c r="O537" i="3"/>
  <c r="M536" i="3"/>
  <c r="O536" i="3"/>
  <c r="M535" i="3"/>
  <c r="O535" i="3"/>
  <c r="M534" i="3"/>
  <c r="O534" i="3"/>
  <c r="M533" i="3"/>
  <c r="O533" i="3"/>
  <c r="M532" i="3"/>
  <c r="O532" i="3"/>
  <c r="M531" i="3"/>
  <c r="O531" i="3"/>
  <c r="M530" i="3"/>
  <c r="O530" i="3"/>
  <c r="M529" i="3"/>
  <c r="O529" i="3"/>
  <c r="M528" i="3"/>
  <c r="O528" i="3"/>
  <c r="M527" i="3"/>
  <c r="O527" i="3"/>
  <c r="M526" i="3"/>
  <c r="O526" i="3"/>
  <c r="M525" i="3"/>
  <c r="O525" i="3"/>
  <c r="M524" i="3"/>
  <c r="O524" i="3"/>
  <c r="M523" i="3"/>
  <c r="O523" i="3"/>
  <c r="M522" i="3"/>
  <c r="O522" i="3"/>
  <c r="M521" i="3"/>
  <c r="O521" i="3"/>
  <c r="M520" i="3"/>
  <c r="O520" i="3"/>
  <c r="M519" i="3"/>
  <c r="O519" i="3"/>
  <c r="M518" i="3"/>
  <c r="O518" i="3"/>
  <c r="M517" i="3"/>
  <c r="O517" i="3"/>
  <c r="M516" i="3"/>
  <c r="O516" i="3"/>
  <c r="M515" i="3"/>
  <c r="O515" i="3"/>
  <c r="M514" i="3"/>
  <c r="O514" i="3"/>
  <c r="M513" i="3"/>
  <c r="O513" i="3"/>
  <c r="M512" i="3"/>
  <c r="O512" i="3"/>
  <c r="M511" i="3"/>
  <c r="O511" i="3"/>
  <c r="M510" i="3"/>
  <c r="O510" i="3"/>
  <c r="M509" i="3"/>
  <c r="O509" i="3"/>
  <c r="M508" i="3"/>
  <c r="O508" i="3"/>
  <c r="M507" i="3"/>
  <c r="O507" i="3"/>
  <c r="M506" i="3"/>
  <c r="O506" i="3"/>
  <c r="M505" i="3"/>
  <c r="O505" i="3"/>
  <c r="M504" i="3"/>
  <c r="O504" i="3"/>
  <c r="M503" i="3"/>
  <c r="O503" i="3"/>
  <c r="M502" i="3"/>
  <c r="O502" i="3"/>
  <c r="M501" i="3"/>
  <c r="O501" i="3"/>
  <c r="M500" i="3"/>
  <c r="O500" i="3"/>
  <c r="M499" i="3"/>
  <c r="O499" i="3"/>
  <c r="M498" i="3"/>
  <c r="O498" i="3"/>
  <c r="M497" i="3"/>
  <c r="O497" i="3"/>
  <c r="M496" i="3"/>
  <c r="O496" i="3"/>
  <c r="M495" i="3"/>
  <c r="O495" i="3"/>
  <c r="M494" i="3"/>
  <c r="O494" i="3"/>
  <c r="M493" i="3"/>
  <c r="O493" i="3"/>
  <c r="M492" i="3"/>
  <c r="O492" i="3"/>
  <c r="M491" i="3"/>
  <c r="O491" i="3"/>
  <c r="M490" i="3"/>
  <c r="O490" i="3"/>
  <c r="M489" i="3"/>
  <c r="O489" i="3"/>
  <c r="M488" i="3"/>
  <c r="O488" i="3"/>
  <c r="M487" i="3"/>
  <c r="O487" i="3"/>
  <c r="M486" i="3"/>
  <c r="O486" i="3"/>
  <c r="M485" i="3"/>
  <c r="O485" i="3"/>
  <c r="M484" i="3"/>
  <c r="O484" i="3"/>
  <c r="M483" i="3"/>
  <c r="O483" i="3"/>
  <c r="M482" i="3"/>
  <c r="O482" i="3"/>
  <c r="M481" i="3"/>
  <c r="O481" i="3"/>
  <c r="M480" i="3"/>
  <c r="O480" i="3"/>
  <c r="M479" i="3"/>
  <c r="O479" i="3"/>
  <c r="M478" i="3"/>
  <c r="O478" i="3"/>
  <c r="M477" i="3"/>
  <c r="O477" i="3"/>
  <c r="M476" i="3"/>
  <c r="O476" i="3"/>
  <c r="M475" i="3"/>
  <c r="O475" i="3"/>
  <c r="M474" i="3"/>
  <c r="O474" i="3"/>
  <c r="M473" i="3"/>
  <c r="O473" i="3"/>
  <c r="M472" i="3"/>
  <c r="O472" i="3"/>
  <c r="M471" i="3"/>
  <c r="O471" i="3"/>
  <c r="M470" i="3"/>
  <c r="O470" i="3"/>
  <c r="M469" i="3"/>
  <c r="O469" i="3"/>
  <c r="M468" i="3"/>
  <c r="O468" i="3"/>
  <c r="M467" i="3"/>
  <c r="O467" i="3"/>
  <c r="M466" i="3"/>
  <c r="O466" i="3"/>
  <c r="M465" i="3"/>
  <c r="O465" i="3"/>
  <c r="M464" i="3"/>
  <c r="O464" i="3"/>
  <c r="M463" i="3"/>
  <c r="O463" i="3"/>
  <c r="M462" i="3"/>
  <c r="O462" i="3"/>
  <c r="M461" i="3"/>
  <c r="O461" i="3"/>
  <c r="M460" i="3"/>
  <c r="O460" i="3"/>
  <c r="M459" i="3"/>
  <c r="O459" i="3"/>
  <c r="M458" i="3"/>
  <c r="O458" i="3"/>
  <c r="M457" i="3"/>
  <c r="O457" i="3"/>
  <c r="M456" i="3"/>
  <c r="O456" i="3"/>
  <c r="M455" i="3"/>
  <c r="O455" i="3"/>
  <c r="M454" i="3"/>
  <c r="O454" i="3"/>
  <c r="M453" i="3"/>
  <c r="O453" i="3"/>
  <c r="M452" i="3"/>
  <c r="O452" i="3"/>
  <c r="M451" i="3"/>
  <c r="O451" i="3"/>
  <c r="M450" i="3"/>
  <c r="O450" i="3"/>
  <c r="M449" i="3"/>
  <c r="O449" i="3"/>
  <c r="M448" i="3"/>
  <c r="O448" i="3"/>
  <c r="M447" i="3"/>
  <c r="O447" i="3"/>
  <c r="M446" i="3"/>
  <c r="O446" i="3"/>
  <c r="M445" i="3"/>
  <c r="O445" i="3"/>
  <c r="M444" i="3"/>
  <c r="O444" i="3"/>
  <c r="M443" i="3"/>
  <c r="O443" i="3"/>
  <c r="M442" i="3"/>
  <c r="O442" i="3"/>
  <c r="M441" i="3"/>
  <c r="O441" i="3"/>
  <c r="M440" i="3"/>
  <c r="O440" i="3"/>
  <c r="M439" i="3"/>
  <c r="O439" i="3"/>
  <c r="M438" i="3"/>
  <c r="O438" i="3"/>
  <c r="M437" i="3"/>
  <c r="O437" i="3"/>
  <c r="M436" i="3"/>
  <c r="O436" i="3"/>
  <c r="M435" i="3"/>
  <c r="O435" i="3"/>
  <c r="M434" i="3"/>
  <c r="O434" i="3"/>
  <c r="M433" i="3"/>
  <c r="O433" i="3"/>
  <c r="M432" i="3"/>
  <c r="O432" i="3"/>
  <c r="M431" i="3"/>
  <c r="O431" i="3"/>
  <c r="M430" i="3"/>
  <c r="O430" i="3"/>
  <c r="M429" i="3"/>
  <c r="O429" i="3"/>
  <c r="M428" i="3"/>
  <c r="O428" i="3"/>
  <c r="M427" i="3"/>
  <c r="O427" i="3"/>
  <c r="M426" i="3"/>
  <c r="O426" i="3"/>
  <c r="M425" i="3"/>
  <c r="O425" i="3"/>
  <c r="M424" i="3"/>
  <c r="O424" i="3"/>
  <c r="M423" i="3"/>
  <c r="O423" i="3"/>
  <c r="M422" i="3"/>
  <c r="O422" i="3"/>
  <c r="M421" i="3"/>
  <c r="O421" i="3"/>
  <c r="M420" i="3"/>
  <c r="O420" i="3"/>
  <c r="M419" i="3"/>
  <c r="O419" i="3"/>
  <c r="M418" i="3"/>
  <c r="O418" i="3"/>
  <c r="M417" i="3"/>
  <c r="O417" i="3"/>
  <c r="M416" i="3"/>
  <c r="O416" i="3"/>
  <c r="M415" i="3"/>
  <c r="O415" i="3"/>
  <c r="M414" i="3"/>
  <c r="O414" i="3"/>
  <c r="M413" i="3"/>
  <c r="O413" i="3"/>
  <c r="M412" i="3"/>
  <c r="O412" i="3"/>
  <c r="M411" i="3"/>
  <c r="O411" i="3"/>
  <c r="M410" i="3"/>
  <c r="O410" i="3"/>
  <c r="M409" i="3"/>
  <c r="O409" i="3"/>
  <c r="M408" i="3"/>
  <c r="O408" i="3"/>
  <c r="M407" i="3"/>
  <c r="O407" i="3"/>
  <c r="M406" i="3"/>
  <c r="O406" i="3"/>
  <c r="M405" i="3"/>
  <c r="O405" i="3"/>
  <c r="M404" i="3"/>
  <c r="O404" i="3"/>
  <c r="M403" i="3"/>
  <c r="O403" i="3"/>
  <c r="M402" i="3"/>
  <c r="O402" i="3"/>
  <c r="M401" i="3"/>
  <c r="O401" i="3"/>
  <c r="M400" i="3"/>
  <c r="O400" i="3"/>
  <c r="M399" i="3"/>
  <c r="O399" i="3"/>
  <c r="M398" i="3"/>
  <c r="O398" i="3"/>
  <c r="M397" i="3"/>
  <c r="O397" i="3"/>
  <c r="M396" i="3"/>
  <c r="O396" i="3"/>
  <c r="M395" i="3"/>
  <c r="O395" i="3"/>
  <c r="M394" i="3"/>
  <c r="O394" i="3"/>
  <c r="M393" i="3"/>
  <c r="O393" i="3"/>
  <c r="M392" i="3"/>
  <c r="O392" i="3"/>
  <c r="M391" i="3"/>
  <c r="O391" i="3"/>
  <c r="M390" i="3"/>
  <c r="O390" i="3"/>
  <c r="M389" i="3"/>
  <c r="O389" i="3"/>
  <c r="M388" i="3"/>
  <c r="O388" i="3"/>
  <c r="M387" i="3"/>
  <c r="O387" i="3"/>
  <c r="M386" i="3"/>
  <c r="O386" i="3"/>
  <c r="M385" i="3"/>
  <c r="O385" i="3"/>
  <c r="M384" i="3"/>
  <c r="O384" i="3"/>
  <c r="M383" i="3"/>
  <c r="O383" i="3"/>
  <c r="M382" i="3"/>
  <c r="O382" i="3"/>
  <c r="M381" i="3"/>
  <c r="O381" i="3"/>
  <c r="M380" i="3"/>
  <c r="O380" i="3"/>
  <c r="M379" i="3"/>
  <c r="O379" i="3"/>
  <c r="M378" i="3"/>
  <c r="O378" i="3"/>
  <c r="M377" i="3"/>
  <c r="O377" i="3"/>
  <c r="M376" i="3"/>
  <c r="O376" i="3"/>
  <c r="M375" i="3"/>
  <c r="O375" i="3"/>
  <c r="M374" i="3"/>
  <c r="O374" i="3"/>
  <c r="M373" i="3"/>
  <c r="O373" i="3"/>
  <c r="M372" i="3"/>
  <c r="O372" i="3"/>
  <c r="M371" i="3"/>
  <c r="O371" i="3"/>
  <c r="M370" i="3"/>
  <c r="O370" i="3"/>
  <c r="M369" i="3"/>
  <c r="O369" i="3"/>
  <c r="M368" i="3"/>
  <c r="O368" i="3"/>
  <c r="M367" i="3"/>
  <c r="O367" i="3"/>
  <c r="M366" i="3"/>
  <c r="O366" i="3"/>
  <c r="M365" i="3"/>
  <c r="O365" i="3"/>
  <c r="M364" i="3"/>
  <c r="O364" i="3"/>
  <c r="M363" i="3"/>
  <c r="O363" i="3"/>
  <c r="M362" i="3"/>
  <c r="O362" i="3"/>
  <c r="M361" i="3"/>
  <c r="O361" i="3"/>
  <c r="M360" i="3"/>
  <c r="O360" i="3"/>
  <c r="M359" i="3"/>
  <c r="O359" i="3"/>
  <c r="M358" i="3"/>
  <c r="O358" i="3"/>
  <c r="M357" i="3"/>
  <c r="O357" i="3"/>
  <c r="M356" i="3"/>
  <c r="O356" i="3"/>
  <c r="M355" i="3"/>
  <c r="O355" i="3"/>
  <c r="M354" i="3"/>
  <c r="O354" i="3"/>
  <c r="M353" i="3"/>
  <c r="O353" i="3"/>
  <c r="M352" i="3"/>
  <c r="O352" i="3"/>
  <c r="M351" i="3"/>
  <c r="O351" i="3"/>
  <c r="M350" i="3"/>
  <c r="O350" i="3"/>
  <c r="M349" i="3"/>
  <c r="O349" i="3"/>
  <c r="M348" i="3"/>
  <c r="O348" i="3"/>
  <c r="M347" i="3"/>
  <c r="O347" i="3"/>
  <c r="M346" i="3"/>
  <c r="O346" i="3"/>
  <c r="M345" i="3"/>
  <c r="O345" i="3"/>
  <c r="M344" i="3"/>
  <c r="O344" i="3"/>
  <c r="M343" i="3"/>
  <c r="O343" i="3"/>
  <c r="M342" i="3"/>
  <c r="O342" i="3"/>
  <c r="M341" i="3"/>
  <c r="O341" i="3"/>
  <c r="M340" i="3"/>
  <c r="O340" i="3"/>
  <c r="M339" i="3"/>
  <c r="O339" i="3"/>
  <c r="M338" i="3"/>
  <c r="O338" i="3"/>
  <c r="M337" i="3"/>
  <c r="O337" i="3"/>
  <c r="M336" i="3"/>
  <c r="O336" i="3"/>
  <c r="M335" i="3"/>
  <c r="O335" i="3"/>
  <c r="M334" i="3"/>
  <c r="O334" i="3"/>
  <c r="M333" i="3"/>
  <c r="O333" i="3"/>
  <c r="M332" i="3"/>
  <c r="O332" i="3"/>
  <c r="M331" i="3"/>
  <c r="O331" i="3"/>
  <c r="M330" i="3"/>
  <c r="O330" i="3"/>
  <c r="M329" i="3"/>
  <c r="O329" i="3"/>
  <c r="M328" i="3"/>
  <c r="O328" i="3"/>
  <c r="M327" i="3"/>
  <c r="O327" i="3"/>
  <c r="M326" i="3"/>
  <c r="O326" i="3"/>
  <c r="M325" i="3"/>
  <c r="O325" i="3"/>
  <c r="M324" i="3"/>
  <c r="O324" i="3"/>
  <c r="M323" i="3"/>
  <c r="O323" i="3"/>
  <c r="M322" i="3"/>
  <c r="O322" i="3"/>
  <c r="M321" i="3"/>
  <c r="O321" i="3"/>
  <c r="M320" i="3"/>
  <c r="O320" i="3"/>
  <c r="M319" i="3"/>
  <c r="O319" i="3"/>
  <c r="M318" i="3"/>
  <c r="O318" i="3"/>
  <c r="M317" i="3"/>
  <c r="O317" i="3"/>
  <c r="M316" i="3"/>
  <c r="O316" i="3"/>
  <c r="M315" i="3"/>
  <c r="O315" i="3"/>
  <c r="M314" i="3"/>
  <c r="O314" i="3"/>
  <c r="M313" i="3"/>
  <c r="O313" i="3"/>
  <c r="M312" i="3"/>
  <c r="O312" i="3"/>
  <c r="M311" i="3"/>
  <c r="O311" i="3"/>
  <c r="M310" i="3"/>
  <c r="O310" i="3"/>
  <c r="M309" i="3"/>
  <c r="O309" i="3"/>
  <c r="M308" i="3"/>
  <c r="O308" i="3"/>
  <c r="M307" i="3"/>
  <c r="O307" i="3"/>
  <c r="M306" i="3"/>
  <c r="O306" i="3"/>
  <c r="M305" i="3"/>
  <c r="O305" i="3"/>
  <c r="M304" i="3"/>
  <c r="O304" i="3"/>
  <c r="M303" i="3"/>
  <c r="O303" i="3"/>
  <c r="M302" i="3"/>
  <c r="O302" i="3"/>
  <c r="M301" i="3"/>
  <c r="O301" i="3"/>
  <c r="M300" i="3"/>
  <c r="O300" i="3"/>
  <c r="M299" i="3"/>
  <c r="O299" i="3"/>
  <c r="M298" i="3"/>
  <c r="O298" i="3"/>
  <c r="M297" i="3"/>
  <c r="O297" i="3"/>
  <c r="M296" i="3"/>
  <c r="O296" i="3"/>
  <c r="M295" i="3"/>
  <c r="O295" i="3"/>
  <c r="M294" i="3"/>
  <c r="O294" i="3"/>
  <c r="M293" i="3"/>
  <c r="O293" i="3"/>
  <c r="M292" i="3"/>
  <c r="O292" i="3"/>
  <c r="M291" i="3"/>
  <c r="O291" i="3"/>
  <c r="M290" i="3"/>
  <c r="O290" i="3"/>
  <c r="M289" i="3"/>
  <c r="O289" i="3"/>
  <c r="M288" i="3"/>
  <c r="O288" i="3"/>
  <c r="M287" i="3"/>
  <c r="O287" i="3"/>
  <c r="M286" i="3"/>
  <c r="O286" i="3"/>
  <c r="M285" i="3"/>
  <c r="O285" i="3"/>
  <c r="M284" i="3"/>
  <c r="O284" i="3"/>
  <c r="M283" i="3"/>
  <c r="O283" i="3"/>
  <c r="M282" i="3"/>
  <c r="O282" i="3"/>
  <c r="M281" i="3"/>
  <c r="O281" i="3"/>
  <c r="M280" i="3"/>
  <c r="O280" i="3"/>
  <c r="M279" i="3"/>
  <c r="O279" i="3"/>
  <c r="M278" i="3"/>
  <c r="O278" i="3"/>
  <c r="M277" i="3"/>
  <c r="O277" i="3"/>
  <c r="M276" i="3"/>
  <c r="O276" i="3"/>
  <c r="M275" i="3"/>
  <c r="O275" i="3"/>
  <c r="M274" i="3"/>
  <c r="O274" i="3"/>
  <c r="M273" i="3"/>
  <c r="O273" i="3"/>
  <c r="M272" i="3"/>
  <c r="O272" i="3"/>
  <c r="M271" i="3"/>
  <c r="O271" i="3"/>
  <c r="M270" i="3"/>
  <c r="O270" i="3"/>
  <c r="M269" i="3"/>
  <c r="O269" i="3"/>
  <c r="M268" i="3"/>
  <c r="O268" i="3"/>
  <c r="M267" i="3"/>
  <c r="O267" i="3"/>
  <c r="M266" i="3"/>
  <c r="O266" i="3"/>
  <c r="M265" i="3"/>
  <c r="O265" i="3"/>
  <c r="M264" i="3"/>
  <c r="O264" i="3"/>
  <c r="M263" i="3"/>
  <c r="O263" i="3"/>
  <c r="M262" i="3"/>
  <c r="O262" i="3"/>
  <c r="M261" i="3"/>
  <c r="O261" i="3"/>
  <c r="M260" i="3"/>
  <c r="O260" i="3"/>
  <c r="M259" i="3"/>
  <c r="O259" i="3"/>
  <c r="M258" i="3"/>
  <c r="O258" i="3"/>
  <c r="M257" i="3"/>
  <c r="O257" i="3"/>
  <c r="M256" i="3"/>
  <c r="O256" i="3"/>
  <c r="M255" i="3"/>
  <c r="O255" i="3"/>
  <c r="M254" i="3"/>
  <c r="O254" i="3"/>
  <c r="M253" i="3"/>
  <c r="O253" i="3"/>
  <c r="M252" i="3"/>
  <c r="O252" i="3"/>
  <c r="M251" i="3"/>
  <c r="O251" i="3"/>
  <c r="M250" i="3"/>
  <c r="O250" i="3"/>
  <c r="M249" i="3"/>
  <c r="O249" i="3"/>
  <c r="M248" i="3"/>
  <c r="O248" i="3"/>
  <c r="M247" i="3"/>
  <c r="O247" i="3"/>
  <c r="M246" i="3"/>
  <c r="O246" i="3"/>
  <c r="M245" i="3"/>
  <c r="O245" i="3"/>
  <c r="M244" i="3"/>
  <c r="O244" i="3"/>
  <c r="M243" i="3"/>
  <c r="O243" i="3"/>
  <c r="M242" i="3"/>
  <c r="O242" i="3"/>
  <c r="M241" i="3"/>
  <c r="O241" i="3"/>
  <c r="M240" i="3"/>
  <c r="O240" i="3"/>
  <c r="M239" i="3"/>
  <c r="O239" i="3"/>
  <c r="M238" i="3"/>
  <c r="O238" i="3"/>
  <c r="M237" i="3"/>
  <c r="O237" i="3"/>
  <c r="M236" i="3"/>
  <c r="O236" i="3"/>
  <c r="M235" i="3"/>
  <c r="O235" i="3"/>
  <c r="M234" i="3"/>
  <c r="O234" i="3"/>
  <c r="M233" i="3"/>
  <c r="O233" i="3"/>
  <c r="M232" i="3"/>
  <c r="O232" i="3"/>
  <c r="M231" i="3"/>
  <c r="O231" i="3"/>
  <c r="M230" i="3"/>
  <c r="O230" i="3"/>
  <c r="M229" i="3"/>
  <c r="O229" i="3"/>
  <c r="M228" i="3"/>
  <c r="O228" i="3"/>
  <c r="M227" i="3"/>
  <c r="O227" i="3"/>
  <c r="M226" i="3"/>
  <c r="O226" i="3"/>
  <c r="M225" i="3"/>
  <c r="O225" i="3"/>
  <c r="M224" i="3"/>
  <c r="O224" i="3"/>
  <c r="M223" i="3"/>
  <c r="O223" i="3"/>
  <c r="M222" i="3"/>
  <c r="O222" i="3"/>
  <c r="M221" i="3"/>
  <c r="O221" i="3"/>
  <c r="M220" i="3"/>
  <c r="O220" i="3"/>
  <c r="M219" i="3"/>
  <c r="O219" i="3"/>
  <c r="M218" i="3"/>
  <c r="O218" i="3"/>
  <c r="M217" i="3"/>
  <c r="O217" i="3"/>
  <c r="M216" i="3"/>
  <c r="O216" i="3"/>
  <c r="M215" i="3"/>
  <c r="O215" i="3"/>
  <c r="M214" i="3"/>
  <c r="O214" i="3"/>
  <c r="M213" i="3"/>
  <c r="O213" i="3"/>
  <c r="M212" i="3"/>
  <c r="O212" i="3"/>
  <c r="M211" i="3"/>
  <c r="O211" i="3"/>
  <c r="M210" i="3"/>
  <c r="O210" i="3"/>
  <c r="M209" i="3"/>
  <c r="O209" i="3"/>
  <c r="M208" i="3"/>
  <c r="O208" i="3"/>
  <c r="M207" i="3"/>
  <c r="O207" i="3"/>
  <c r="M206" i="3"/>
  <c r="O206" i="3"/>
  <c r="M205" i="3"/>
  <c r="O205" i="3"/>
  <c r="M204" i="3"/>
  <c r="O204" i="3"/>
  <c r="M203" i="3"/>
  <c r="O203" i="3"/>
  <c r="M202" i="3"/>
  <c r="O202" i="3"/>
  <c r="M201" i="3"/>
  <c r="O201" i="3"/>
  <c r="M200" i="3"/>
  <c r="O200" i="3"/>
  <c r="M199" i="3"/>
  <c r="O199" i="3"/>
  <c r="M198" i="3"/>
  <c r="O198" i="3"/>
  <c r="M197" i="3"/>
  <c r="O197" i="3"/>
  <c r="M196" i="3"/>
  <c r="O196" i="3"/>
  <c r="M195" i="3"/>
  <c r="O195" i="3"/>
  <c r="M194" i="3"/>
  <c r="O194" i="3"/>
  <c r="M193" i="3"/>
  <c r="O193" i="3"/>
  <c r="M192" i="3"/>
  <c r="O192" i="3"/>
  <c r="M191" i="3"/>
  <c r="O191" i="3"/>
  <c r="M190" i="3"/>
  <c r="O190" i="3"/>
  <c r="M189" i="3"/>
  <c r="O189" i="3"/>
  <c r="M188" i="3"/>
  <c r="O188" i="3"/>
  <c r="M187" i="3"/>
  <c r="O187" i="3"/>
  <c r="M186" i="3"/>
  <c r="O186" i="3"/>
  <c r="M185" i="3"/>
  <c r="O185" i="3"/>
  <c r="M184" i="3"/>
  <c r="O184" i="3"/>
  <c r="M183" i="3"/>
  <c r="O183" i="3"/>
  <c r="M182" i="3"/>
  <c r="O182" i="3"/>
  <c r="M181" i="3"/>
  <c r="O181" i="3"/>
  <c r="M180" i="3"/>
  <c r="O180" i="3"/>
  <c r="M179" i="3"/>
  <c r="O179" i="3"/>
  <c r="M178" i="3"/>
  <c r="O178" i="3"/>
  <c r="M177" i="3"/>
  <c r="O177" i="3"/>
  <c r="M176" i="3"/>
  <c r="O176" i="3"/>
  <c r="M175" i="3"/>
  <c r="O175" i="3"/>
  <c r="M174" i="3"/>
  <c r="O174" i="3"/>
  <c r="M173" i="3"/>
  <c r="O173" i="3"/>
  <c r="M172" i="3"/>
  <c r="O172" i="3"/>
  <c r="M171" i="3"/>
  <c r="O171" i="3"/>
  <c r="M170" i="3"/>
  <c r="O170" i="3"/>
  <c r="M169" i="3"/>
  <c r="O169" i="3"/>
  <c r="M168" i="3"/>
  <c r="O168" i="3"/>
  <c r="M167" i="3"/>
  <c r="O167" i="3"/>
  <c r="M166" i="3"/>
  <c r="O166" i="3"/>
  <c r="M165" i="3"/>
  <c r="O165" i="3"/>
  <c r="M164" i="3"/>
  <c r="O164" i="3"/>
  <c r="M163" i="3"/>
  <c r="O163" i="3"/>
  <c r="M162" i="3"/>
  <c r="O162" i="3"/>
  <c r="M161" i="3"/>
  <c r="O161" i="3"/>
  <c r="M160" i="3"/>
  <c r="O160" i="3"/>
  <c r="M159" i="3"/>
  <c r="O159" i="3"/>
  <c r="M158" i="3"/>
  <c r="O158" i="3"/>
  <c r="M157" i="3"/>
  <c r="O157" i="3"/>
  <c r="M156" i="3"/>
  <c r="O156" i="3"/>
  <c r="M155" i="3"/>
  <c r="O155" i="3"/>
  <c r="M154" i="3"/>
  <c r="O154" i="3"/>
  <c r="M153" i="3"/>
  <c r="O153" i="3"/>
  <c r="M152" i="3"/>
  <c r="O152" i="3"/>
  <c r="M151" i="3"/>
  <c r="O151" i="3"/>
  <c r="M150" i="3"/>
  <c r="O150" i="3"/>
  <c r="M149" i="3"/>
  <c r="O149" i="3"/>
  <c r="M148" i="3"/>
  <c r="O148" i="3"/>
  <c r="M147" i="3"/>
  <c r="O147" i="3"/>
  <c r="M146" i="3"/>
  <c r="O146" i="3"/>
  <c r="M145" i="3"/>
  <c r="O145" i="3"/>
  <c r="M144" i="3"/>
  <c r="O144" i="3"/>
  <c r="M143" i="3"/>
  <c r="O143" i="3"/>
  <c r="M142" i="3"/>
  <c r="O142" i="3"/>
  <c r="M141" i="3"/>
  <c r="O141" i="3"/>
  <c r="M140" i="3"/>
  <c r="O140" i="3"/>
  <c r="M139" i="3"/>
  <c r="O139" i="3"/>
  <c r="M138" i="3"/>
  <c r="O138" i="3"/>
  <c r="M137" i="3"/>
  <c r="O137" i="3"/>
  <c r="M136" i="3"/>
  <c r="O136" i="3"/>
  <c r="M135" i="3"/>
  <c r="O135" i="3"/>
  <c r="M134" i="3"/>
  <c r="O134" i="3"/>
  <c r="M133" i="3"/>
  <c r="O133" i="3"/>
  <c r="M132" i="3"/>
  <c r="O132" i="3"/>
  <c r="M131" i="3"/>
  <c r="O131" i="3"/>
  <c r="M130" i="3"/>
  <c r="O130" i="3"/>
  <c r="M129" i="3"/>
  <c r="O129" i="3"/>
  <c r="M128" i="3"/>
  <c r="O128" i="3"/>
  <c r="M127" i="3"/>
  <c r="O127" i="3"/>
  <c r="M126" i="3"/>
  <c r="O126" i="3"/>
  <c r="M125" i="3"/>
  <c r="O125" i="3"/>
  <c r="M124" i="3"/>
  <c r="O124" i="3"/>
  <c r="M123" i="3"/>
  <c r="O123" i="3"/>
  <c r="M122" i="3"/>
  <c r="O122" i="3"/>
  <c r="M121" i="3"/>
  <c r="O121" i="3"/>
  <c r="M120" i="3"/>
  <c r="O120" i="3"/>
  <c r="M119" i="3"/>
  <c r="O119" i="3"/>
  <c r="M118" i="3"/>
  <c r="O118" i="3"/>
  <c r="M117" i="3"/>
  <c r="O117" i="3"/>
  <c r="M116" i="3"/>
  <c r="O116" i="3"/>
  <c r="M115" i="3"/>
  <c r="O115" i="3"/>
  <c r="M114" i="3"/>
  <c r="O114" i="3"/>
  <c r="M113" i="3"/>
  <c r="O113" i="3"/>
  <c r="M112" i="3"/>
  <c r="O112" i="3"/>
  <c r="M111" i="3"/>
  <c r="O111" i="3"/>
  <c r="M110" i="3"/>
  <c r="O110" i="3"/>
  <c r="M109" i="3"/>
  <c r="O109" i="3"/>
  <c r="M108" i="3"/>
  <c r="O108" i="3"/>
  <c r="M107" i="3"/>
  <c r="O107" i="3"/>
  <c r="M106" i="3"/>
  <c r="O106" i="3"/>
  <c r="M105" i="3"/>
  <c r="O105" i="3"/>
  <c r="M104" i="3"/>
  <c r="O104" i="3"/>
  <c r="M103" i="3"/>
  <c r="O103" i="3"/>
  <c r="M102" i="3"/>
  <c r="O102" i="3"/>
  <c r="M101" i="3"/>
  <c r="O101" i="3"/>
  <c r="M100" i="3"/>
  <c r="O100" i="3"/>
  <c r="M99" i="3"/>
  <c r="O99" i="3"/>
  <c r="M98" i="3"/>
  <c r="O98" i="3"/>
  <c r="M97" i="3"/>
  <c r="O97" i="3"/>
  <c r="M96" i="3"/>
  <c r="O96" i="3"/>
  <c r="M95" i="3"/>
  <c r="O95" i="3"/>
  <c r="M94" i="3"/>
  <c r="O94" i="3"/>
  <c r="M93" i="3"/>
  <c r="O93" i="3"/>
  <c r="M92" i="3"/>
  <c r="O92" i="3"/>
  <c r="M91" i="3"/>
  <c r="O91" i="3"/>
  <c r="M90" i="3"/>
  <c r="O90" i="3"/>
  <c r="M89" i="3"/>
  <c r="O89" i="3"/>
  <c r="M88" i="3"/>
  <c r="O88" i="3"/>
  <c r="M87" i="3"/>
  <c r="O87" i="3"/>
  <c r="M86" i="3"/>
  <c r="O86" i="3"/>
  <c r="M85" i="3"/>
  <c r="O85" i="3"/>
  <c r="M84" i="3"/>
  <c r="O84" i="3"/>
  <c r="M83" i="3"/>
  <c r="O83" i="3"/>
  <c r="M82" i="3"/>
  <c r="O82" i="3"/>
  <c r="M81" i="3"/>
  <c r="O81" i="3"/>
  <c r="M80" i="3"/>
  <c r="O80" i="3"/>
  <c r="M79" i="3"/>
  <c r="O79" i="3"/>
  <c r="M78" i="3"/>
  <c r="O78" i="3"/>
  <c r="M77" i="3"/>
  <c r="O77" i="3"/>
  <c r="M76" i="3"/>
  <c r="O76" i="3"/>
  <c r="M75" i="3"/>
  <c r="O75" i="3"/>
  <c r="M74" i="3"/>
  <c r="O74" i="3"/>
  <c r="M73" i="3"/>
  <c r="O73" i="3"/>
  <c r="M72" i="3"/>
  <c r="O72" i="3"/>
  <c r="M71" i="3"/>
  <c r="O71" i="3"/>
  <c r="M70" i="3"/>
  <c r="O70" i="3"/>
  <c r="M69" i="3"/>
  <c r="O69" i="3"/>
  <c r="M68" i="3"/>
  <c r="O68" i="3"/>
  <c r="M67" i="3"/>
  <c r="O67" i="3"/>
  <c r="M66" i="3"/>
  <c r="O66" i="3"/>
  <c r="M65" i="3"/>
  <c r="O65" i="3"/>
  <c r="M64" i="3"/>
  <c r="O64" i="3"/>
  <c r="M63" i="3"/>
  <c r="O63" i="3"/>
  <c r="M62" i="3"/>
  <c r="O62" i="3"/>
  <c r="M61" i="3"/>
  <c r="O61" i="3"/>
  <c r="M60" i="3"/>
  <c r="O60" i="3"/>
  <c r="M59" i="3"/>
  <c r="O59" i="3"/>
  <c r="M58" i="3"/>
  <c r="O58" i="3"/>
  <c r="M57" i="3"/>
  <c r="O57" i="3"/>
  <c r="M56" i="3"/>
  <c r="O56" i="3"/>
  <c r="M55" i="3"/>
  <c r="O55" i="3"/>
  <c r="M54" i="3"/>
  <c r="O54" i="3"/>
  <c r="M53" i="3"/>
  <c r="O53" i="3"/>
  <c r="M52" i="3"/>
  <c r="O52" i="3"/>
  <c r="M51" i="3"/>
  <c r="O51" i="3"/>
  <c r="M50" i="3"/>
  <c r="O50" i="3"/>
  <c r="M49" i="3"/>
  <c r="O49" i="3"/>
  <c r="M48" i="3"/>
  <c r="O48" i="3"/>
  <c r="M47" i="3"/>
  <c r="O47" i="3"/>
  <c r="M46" i="3"/>
  <c r="O46" i="3"/>
  <c r="M45" i="3"/>
  <c r="O45" i="3"/>
  <c r="M44" i="3"/>
  <c r="O44" i="3"/>
  <c r="M43" i="3"/>
  <c r="O43" i="3"/>
  <c r="M42" i="3"/>
  <c r="O42" i="3"/>
  <c r="M41" i="3"/>
  <c r="O41" i="3"/>
  <c r="M40" i="3"/>
  <c r="O40" i="3"/>
  <c r="M39" i="3"/>
  <c r="O39" i="3"/>
  <c r="M38" i="3"/>
  <c r="O38" i="3"/>
  <c r="M37" i="3"/>
  <c r="O37" i="3"/>
  <c r="M36" i="3"/>
  <c r="O36" i="3"/>
  <c r="M35" i="3"/>
  <c r="O35" i="3"/>
  <c r="M34" i="3"/>
  <c r="O34" i="3"/>
  <c r="M33" i="3"/>
  <c r="O33" i="3"/>
  <c r="M32" i="3"/>
  <c r="O32" i="3"/>
  <c r="M31" i="3"/>
  <c r="O31" i="3"/>
  <c r="M30" i="3"/>
  <c r="O30" i="3"/>
  <c r="M29" i="3"/>
  <c r="O29" i="3"/>
  <c r="M28" i="3"/>
  <c r="O28" i="3"/>
  <c r="M27" i="3"/>
  <c r="O27" i="3"/>
  <c r="M26" i="3"/>
  <c r="O26" i="3"/>
  <c r="M25" i="3"/>
  <c r="O25" i="3"/>
  <c r="M24" i="3"/>
  <c r="O24" i="3"/>
  <c r="M23" i="3"/>
  <c r="O23" i="3"/>
  <c r="M22" i="3"/>
  <c r="O22" i="3"/>
  <c r="M21" i="3"/>
  <c r="O21" i="3"/>
  <c r="M20" i="3"/>
  <c r="O20" i="3"/>
  <c r="M19" i="3"/>
  <c r="O19" i="3"/>
  <c r="M18" i="3"/>
  <c r="O18" i="3"/>
  <c r="M17" i="3"/>
  <c r="O17" i="3"/>
  <c r="M16" i="3"/>
  <c r="O16" i="3"/>
  <c r="M15" i="3"/>
  <c r="O15" i="3"/>
  <c r="M14" i="3"/>
  <c r="O14" i="3"/>
  <c r="M13" i="3"/>
  <c r="O13" i="3"/>
  <c r="M12" i="3"/>
  <c r="O12" i="3"/>
  <c r="M11" i="3"/>
  <c r="O11" i="3"/>
  <c r="M10" i="3"/>
  <c r="O10" i="3"/>
  <c r="M9" i="3"/>
  <c r="O9" i="3"/>
  <c r="M8" i="3"/>
  <c r="O8" i="3"/>
  <c r="M7" i="3"/>
  <c r="O7" i="3"/>
  <c r="M6" i="3"/>
  <c r="O6" i="3"/>
  <c r="M5" i="3"/>
  <c r="O5" i="3"/>
  <c r="M4" i="3"/>
  <c r="O4" i="3"/>
  <c r="M3" i="3"/>
  <c r="O3" i="3"/>
  <c r="M2" i="3"/>
  <c r="O2" i="3"/>
  <c r="L2099" i="1"/>
  <c r="L2098" i="1"/>
  <c r="L2097" i="1"/>
  <c r="L2096" i="1"/>
  <c r="L2095" i="1"/>
  <c r="L2093" i="1"/>
  <c r="L2092" i="1"/>
  <c r="L2091" i="1"/>
  <c r="L2090" i="1"/>
  <c r="L2089" i="1"/>
  <c r="L2088" i="1"/>
  <c r="L2087" i="1"/>
  <c r="L2085" i="1"/>
  <c r="L2084" i="1"/>
  <c r="L2083"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5" i="6"/>
  <c r="P224" i="3"/>
  <c r="P268" i="3"/>
  <c r="P2" i="3"/>
  <c r="P181" i="3"/>
  <c r="P349" i="3"/>
  <c r="P413" i="3"/>
  <c r="P183" i="3"/>
  <c r="P267" i="3"/>
  <c r="P567" i="3"/>
  <c r="P695" i="3"/>
  <c r="P2099" i="3"/>
  <c r="P2095" i="3"/>
  <c r="P2091" i="3"/>
  <c r="P2087" i="3"/>
  <c r="P2083" i="3"/>
  <c r="P2079" i="3"/>
  <c r="P2075" i="3"/>
  <c r="P2071" i="3"/>
  <c r="P2067" i="3"/>
  <c r="P2063" i="3"/>
  <c r="P2059" i="3"/>
  <c r="P2055" i="3"/>
  <c r="P2051" i="3"/>
  <c r="P2047" i="3"/>
  <c r="P2043" i="3"/>
  <c r="P2039" i="3"/>
  <c r="P2035" i="3"/>
  <c r="P2023" i="3"/>
  <c r="P2007" i="3"/>
  <c r="P1991" i="3"/>
  <c r="P1975" i="3"/>
  <c r="P1959" i="3"/>
  <c r="P1943" i="3"/>
  <c r="P1927" i="3"/>
  <c r="P1911" i="3"/>
  <c r="P1895" i="3"/>
  <c r="P1879" i="3"/>
  <c r="P1863" i="3"/>
  <c r="P1847" i="3"/>
  <c r="P1831" i="3"/>
  <c r="P1815" i="3"/>
  <c r="P1799" i="3"/>
  <c r="P1783" i="3"/>
  <c r="P1767" i="3"/>
  <c r="P1751" i="3"/>
  <c r="P1735" i="3"/>
  <c r="P1719" i="3"/>
  <c r="P1703" i="3"/>
  <c r="P1687" i="3"/>
  <c r="P1291" i="3"/>
  <c r="P1504" i="3"/>
  <c r="P1163" i="3"/>
  <c r="P823" i="3"/>
  <c r="P2098" i="3"/>
  <c r="P2094" i="3"/>
  <c r="P2090" i="3"/>
  <c r="P2086" i="3"/>
  <c r="P2082" i="3"/>
  <c r="P2078" i="3"/>
  <c r="P2074" i="3"/>
  <c r="P2070" i="3"/>
  <c r="P2066" i="3"/>
  <c r="P2062" i="3"/>
  <c r="P2058" i="3"/>
  <c r="P2054" i="3"/>
  <c r="P2050" i="3"/>
  <c r="P2046" i="3"/>
  <c r="P2042" i="3"/>
  <c r="P2038" i="3"/>
  <c r="P2034" i="3"/>
  <c r="P2030" i="3"/>
  <c r="P2026" i="3"/>
  <c r="P2022" i="3"/>
  <c r="P2018" i="3"/>
  <c r="P2014" i="3"/>
  <c r="P2010" i="3"/>
  <c r="P2006" i="3"/>
  <c r="P2002" i="3"/>
  <c r="P1998" i="3"/>
  <c r="P1994" i="3"/>
  <c r="P1990" i="3"/>
  <c r="P1986" i="3"/>
  <c r="P1982" i="3"/>
  <c r="P1978" i="3"/>
  <c r="P1974" i="3"/>
  <c r="P1970" i="3"/>
  <c r="P1966" i="3"/>
  <c r="P1962" i="3"/>
  <c r="P1958" i="3"/>
  <c r="P1954" i="3"/>
  <c r="P1950" i="3"/>
  <c r="P1946" i="3"/>
  <c r="P1942" i="3"/>
  <c r="P1938" i="3"/>
  <c r="P1934" i="3"/>
  <c r="P1930" i="3"/>
  <c r="P1926" i="3"/>
  <c r="P1922" i="3"/>
  <c r="P1918" i="3"/>
  <c r="P1914" i="3"/>
  <c r="P1910" i="3"/>
  <c r="P1906" i="3"/>
  <c r="P1902" i="3"/>
  <c r="P1898" i="3"/>
  <c r="P1894" i="3"/>
  <c r="P1890" i="3"/>
  <c r="P1886" i="3"/>
  <c r="P1882" i="3"/>
  <c r="P1878" i="3"/>
  <c r="P1874" i="3"/>
  <c r="P1870" i="3"/>
  <c r="P1866" i="3"/>
  <c r="P1862" i="3"/>
  <c r="P1858" i="3"/>
  <c r="P1854" i="3"/>
  <c r="P1850" i="3"/>
  <c r="P1846" i="3"/>
  <c r="P1842" i="3"/>
  <c r="P1838" i="3"/>
  <c r="P1834" i="3"/>
  <c r="P1830" i="3"/>
  <c r="P1826" i="3"/>
  <c r="P1822" i="3"/>
  <c r="P1818" i="3"/>
  <c r="P1814" i="3"/>
  <c r="P1810" i="3"/>
  <c r="P1806" i="3"/>
  <c r="P1802" i="3"/>
  <c r="P1798" i="3"/>
  <c r="P1794" i="3"/>
  <c r="P1790" i="3"/>
  <c r="P1786" i="3"/>
  <c r="P1782" i="3"/>
  <c r="P1778" i="3"/>
  <c r="P1774" i="3"/>
  <c r="P1770" i="3"/>
  <c r="P1766" i="3"/>
  <c r="P1762" i="3"/>
  <c r="P1758" i="3"/>
  <c r="P1754" i="3"/>
  <c r="P1750" i="3"/>
  <c r="P1746" i="3"/>
  <c r="P1742" i="3"/>
  <c r="P1738" i="3"/>
  <c r="P1734" i="3"/>
  <c r="P1730" i="3"/>
  <c r="P1726" i="3"/>
  <c r="P1722" i="3"/>
  <c r="P1718" i="3"/>
  <c r="P1714" i="3"/>
  <c r="P1710" i="3"/>
  <c r="P1706" i="3"/>
  <c r="P1702" i="3"/>
  <c r="P1698" i="3"/>
  <c r="P1694" i="3"/>
  <c r="P1690" i="3"/>
  <c r="P1686" i="3"/>
  <c r="P1682" i="3"/>
  <c r="P1678" i="3"/>
  <c r="P1674" i="3"/>
  <c r="P1670" i="3"/>
  <c r="P1666" i="3"/>
  <c r="P1662" i="3"/>
  <c r="P1658" i="3"/>
  <c r="P1654" i="3"/>
  <c r="P1650" i="3"/>
  <c r="P1646" i="3"/>
  <c r="P1642" i="3"/>
  <c r="P1638" i="3"/>
  <c r="P1634" i="3"/>
  <c r="P1630" i="3"/>
  <c r="P1626" i="3"/>
  <c r="P1622" i="3"/>
  <c r="P1618" i="3"/>
  <c r="P1614" i="3"/>
  <c r="P1610" i="3"/>
  <c r="P1606" i="3"/>
  <c r="P1602" i="3"/>
  <c r="P1598" i="3"/>
  <c r="P1594" i="3"/>
  <c r="P1590" i="3"/>
  <c r="P1586" i="3"/>
  <c r="P1582" i="3"/>
  <c r="P1578" i="3"/>
  <c r="P1574" i="3"/>
  <c r="P1570" i="3"/>
  <c r="P1566" i="3"/>
  <c r="P1562" i="3"/>
  <c r="P1558" i="3"/>
  <c r="P1554" i="3"/>
  <c r="P1550" i="3"/>
  <c r="P1546" i="3"/>
  <c r="P1542" i="3"/>
  <c r="P1538" i="3"/>
  <c r="P1534" i="3"/>
  <c r="P1530" i="3"/>
  <c r="P1526" i="3"/>
  <c r="P1522" i="3"/>
  <c r="P1518" i="3"/>
  <c r="P1514" i="3"/>
  <c r="P1510" i="3"/>
  <c r="P1506" i="3"/>
  <c r="P1502" i="3"/>
  <c r="P1498" i="3"/>
  <c r="P1494" i="3"/>
  <c r="P1490" i="3"/>
  <c r="P1486" i="3"/>
  <c r="P1482" i="3"/>
  <c r="P1478" i="3"/>
  <c r="P1474" i="3"/>
  <c r="P1470" i="3"/>
  <c r="P1466" i="3"/>
  <c r="P1462" i="3"/>
  <c r="P1458" i="3"/>
  <c r="P1454" i="3"/>
  <c r="P1450" i="3"/>
  <c r="P1446" i="3"/>
  <c r="P1442" i="3"/>
  <c r="P1438" i="3"/>
  <c r="P1434" i="3"/>
  <c r="P1430" i="3"/>
  <c r="P1426" i="3"/>
  <c r="P1422" i="3"/>
  <c r="P1418" i="3"/>
  <c r="P1414" i="3"/>
  <c r="P1410" i="3"/>
  <c r="P1406" i="3"/>
  <c r="P1402" i="3"/>
  <c r="P1398" i="3"/>
  <c r="P1394" i="3"/>
  <c r="P1390" i="3"/>
  <c r="P1386" i="3"/>
  <c r="P1382" i="3"/>
  <c r="P1378" i="3"/>
  <c r="P1374" i="3"/>
  <c r="P1370" i="3"/>
  <c r="P1366" i="3"/>
  <c r="P1362" i="3"/>
  <c r="P1358" i="3"/>
  <c r="P1354" i="3"/>
  <c r="P1350" i="3"/>
  <c r="P1346" i="3"/>
  <c r="P1342" i="3"/>
  <c r="P1338" i="3"/>
  <c r="P1334" i="3"/>
  <c r="P1330" i="3"/>
  <c r="P1326" i="3"/>
  <c r="P1322" i="3"/>
  <c r="P1318" i="3"/>
  <c r="P1314" i="3"/>
  <c r="P1310" i="3"/>
  <c r="P1306" i="3"/>
  <c r="P1302" i="3"/>
  <c r="P1298" i="3"/>
  <c r="P1294" i="3"/>
  <c r="P1290" i="3"/>
  <c r="P1286" i="3"/>
  <c r="P1282" i="3"/>
  <c r="P1278" i="3"/>
  <c r="P1274" i="3"/>
  <c r="P1270" i="3"/>
  <c r="P1266" i="3"/>
  <c r="P1262" i="3"/>
  <c r="P1258" i="3"/>
  <c r="P1254" i="3"/>
  <c r="P1250" i="3"/>
  <c r="P1246" i="3"/>
  <c r="P1242" i="3"/>
  <c r="P1238" i="3"/>
  <c r="P1234" i="3"/>
  <c r="P1230" i="3"/>
  <c r="P1226" i="3"/>
  <c r="P1222" i="3"/>
  <c r="P1218" i="3"/>
  <c r="P1214" i="3"/>
  <c r="P1210" i="3"/>
  <c r="P1206" i="3"/>
  <c r="P1202" i="3"/>
  <c r="P1198" i="3"/>
  <c r="P1194" i="3"/>
  <c r="P1190" i="3"/>
  <c r="P1186" i="3"/>
  <c r="P1182" i="3"/>
  <c r="P1178" i="3"/>
  <c r="P1174" i="3"/>
  <c r="P1170" i="3"/>
  <c r="P1166" i="3"/>
  <c r="P1162" i="3"/>
  <c r="P1158" i="3"/>
  <c r="P1154" i="3"/>
  <c r="P1150" i="3"/>
  <c r="P1146" i="3"/>
  <c r="P1142" i="3"/>
  <c r="P1138" i="3"/>
  <c r="P1134" i="3"/>
  <c r="P1130" i="3"/>
  <c r="P1126" i="3"/>
  <c r="P1122" i="3"/>
  <c r="P1118" i="3"/>
  <c r="P1114" i="3"/>
  <c r="P1110" i="3"/>
  <c r="P1106" i="3"/>
  <c r="P1102" i="3"/>
  <c r="P1098" i="3"/>
  <c r="P1094" i="3"/>
  <c r="P1090" i="3"/>
  <c r="P1086" i="3"/>
  <c r="P1082" i="3"/>
  <c r="P1078" i="3"/>
  <c r="P1074" i="3"/>
  <c r="P1070" i="3"/>
  <c r="P1066" i="3"/>
  <c r="P1062" i="3"/>
  <c r="P1058" i="3"/>
  <c r="P1054" i="3"/>
  <c r="P1050" i="3"/>
  <c r="P1046" i="3"/>
  <c r="P1042" i="3"/>
  <c r="P1038" i="3"/>
  <c r="P1034" i="3"/>
  <c r="P1030" i="3"/>
  <c r="P1026" i="3"/>
  <c r="P1022" i="3"/>
  <c r="P1018" i="3"/>
  <c r="P1014" i="3"/>
  <c r="P1010" i="3"/>
  <c r="P1006" i="3"/>
  <c r="P1002" i="3"/>
  <c r="P998" i="3"/>
  <c r="P994" i="3"/>
  <c r="P990" i="3"/>
  <c r="P986" i="3"/>
  <c r="P982" i="3"/>
  <c r="P978" i="3"/>
  <c r="P974" i="3"/>
  <c r="P970" i="3"/>
  <c r="P966" i="3"/>
  <c r="P962" i="3"/>
  <c r="P958" i="3"/>
  <c r="P954" i="3"/>
  <c r="P950" i="3"/>
  <c r="P946" i="3"/>
  <c r="P942" i="3"/>
  <c r="P938" i="3"/>
  <c r="P934" i="3"/>
  <c r="P930" i="3"/>
  <c r="P926" i="3"/>
  <c r="P922" i="3"/>
  <c r="P918" i="3"/>
  <c r="P914" i="3"/>
  <c r="P910" i="3"/>
  <c r="P906" i="3"/>
  <c r="P902" i="3"/>
  <c r="P898" i="3"/>
  <c r="P894" i="3"/>
  <c r="P890" i="3"/>
  <c r="P886" i="3"/>
  <c r="P882" i="3"/>
  <c r="P878" i="3"/>
  <c r="P874" i="3"/>
  <c r="P870" i="3"/>
  <c r="P866" i="3"/>
  <c r="P862" i="3"/>
  <c r="P858" i="3"/>
  <c r="P854" i="3"/>
  <c r="P850" i="3"/>
  <c r="P846" i="3"/>
  <c r="P842" i="3"/>
  <c r="P838" i="3"/>
  <c r="P822" i="3"/>
  <c r="P806" i="3"/>
  <c r="P790" i="3"/>
  <c r="P774" i="3"/>
  <c r="P758" i="3"/>
  <c r="P742" i="3"/>
  <c r="P710" i="3"/>
  <c r="P678" i="3"/>
  <c r="P646" i="3"/>
  <c r="P614" i="3"/>
  <c r="P582" i="3"/>
  <c r="P550" i="3"/>
  <c r="P518" i="3"/>
  <c r="P486" i="3"/>
  <c r="P446" i="3"/>
  <c r="P382" i="3"/>
  <c r="P1632" i="3"/>
  <c r="P1376" i="3"/>
  <c r="P414" i="3"/>
  <c r="P470" i="3"/>
  <c r="P566" i="3"/>
  <c r="P662" i="3"/>
  <c r="P350" i="3"/>
  <c r="P502" i="3"/>
  <c r="P534" i="3"/>
  <c r="P598" i="3"/>
  <c r="P630" i="3"/>
  <c r="P694" i="3"/>
  <c r="P726" i="3"/>
  <c r="P1664" i="3"/>
  <c r="P1600" i="3"/>
  <c r="P1568" i="3"/>
  <c r="P1536" i="3"/>
  <c r="P1472" i="3"/>
  <c r="P1440" i="3"/>
  <c r="P1408" i="3"/>
  <c r="P1344" i="3"/>
  <c r="P1227" i="3"/>
  <c r="P1099" i="3"/>
  <c r="P1035" i="3"/>
  <c r="P951" i="3"/>
  <c r="P2097" i="3"/>
  <c r="P2093" i="3"/>
  <c r="P2089" i="3"/>
  <c r="P2085" i="3"/>
  <c r="P2081" i="3"/>
  <c r="P2077" i="3"/>
  <c r="P2073" i="3"/>
  <c r="P2069" i="3"/>
  <c r="P2065" i="3"/>
  <c r="P2061" i="3"/>
  <c r="P2057" i="3"/>
  <c r="P2053" i="3"/>
  <c r="P2049" i="3"/>
  <c r="P2045" i="3"/>
  <c r="P2041" i="3"/>
  <c r="P2037" i="3"/>
  <c r="P2033" i="3"/>
  <c r="P2029" i="3"/>
  <c r="P2025" i="3"/>
  <c r="P2021" i="3"/>
  <c r="P2017" i="3"/>
  <c r="P2013" i="3"/>
  <c r="P2009" i="3"/>
  <c r="P2005" i="3"/>
  <c r="P2001" i="3"/>
  <c r="P1997" i="3"/>
  <c r="P1993" i="3"/>
  <c r="P1989" i="3"/>
  <c r="P1985" i="3"/>
  <c r="P1981" i="3"/>
  <c r="P1977" i="3"/>
  <c r="P1973" i="3"/>
  <c r="P1969" i="3"/>
  <c r="P1965" i="3"/>
  <c r="P1961" i="3"/>
  <c r="P1957" i="3"/>
  <c r="P1953" i="3"/>
  <c r="P1949" i="3"/>
  <c r="P1945" i="3"/>
  <c r="P1941" i="3"/>
  <c r="P1937" i="3"/>
  <c r="P1933" i="3"/>
  <c r="P1929" i="3"/>
  <c r="P1925" i="3"/>
  <c r="P1921" i="3"/>
  <c r="P1917" i="3"/>
  <c r="P1913" i="3"/>
  <c r="P1909" i="3"/>
  <c r="P1905" i="3"/>
  <c r="P1901" i="3"/>
  <c r="P1897" i="3"/>
  <c r="P1893" i="3"/>
  <c r="P1889" i="3"/>
  <c r="P1885" i="3"/>
  <c r="P1881" i="3"/>
  <c r="P1877" i="3"/>
  <c r="P1873" i="3"/>
  <c r="P1869" i="3"/>
  <c r="P1865" i="3"/>
  <c r="P1861" i="3"/>
  <c r="P1857" i="3"/>
  <c r="P1853" i="3"/>
  <c r="P1849" i="3"/>
  <c r="P1845" i="3"/>
  <c r="P1841" i="3"/>
  <c r="P1837" i="3"/>
  <c r="P1833" i="3"/>
  <c r="P1829" i="3"/>
  <c r="P1825" i="3"/>
  <c r="P1821" i="3"/>
  <c r="P1817" i="3"/>
  <c r="P1813" i="3"/>
  <c r="P1809" i="3"/>
  <c r="P1805" i="3"/>
  <c r="P1801" i="3"/>
  <c r="P1797" i="3"/>
  <c r="P1793" i="3"/>
  <c r="P1789" i="3"/>
  <c r="P1785" i="3"/>
  <c r="P1781" i="3"/>
  <c r="P1777" i="3"/>
  <c r="P1773" i="3"/>
  <c r="P1769" i="3"/>
  <c r="P1765" i="3"/>
  <c r="P1761" i="3"/>
  <c r="P1757" i="3"/>
  <c r="P1753" i="3"/>
  <c r="P1749" i="3"/>
  <c r="P1745" i="3"/>
  <c r="P1741" i="3"/>
  <c r="P1737" i="3"/>
  <c r="P1733" i="3"/>
  <c r="P1729" i="3"/>
  <c r="P1725" i="3"/>
  <c r="P1721" i="3"/>
  <c r="P1717" i="3"/>
  <c r="P1713" i="3"/>
  <c r="P1709" i="3"/>
  <c r="P1705" i="3"/>
  <c r="P1701" i="3"/>
  <c r="P1697" i="3"/>
  <c r="P1693" i="3"/>
  <c r="P1689" i="3"/>
  <c r="P1685" i="3"/>
  <c r="P1681" i="3"/>
  <c r="P1677" i="3"/>
  <c r="P1673" i="3"/>
  <c r="P1669" i="3"/>
  <c r="P1665" i="3"/>
  <c r="P1661" i="3"/>
  <c r="P1657" i="3"/>
  <c r="P1653" i="3"/>
  <c r="P1649" i="3"/>
  <c r="P1645" i="3"/>
  <c r="P1641" i="3"/>
  <c r="P1637" i="3"/>
  <c r="P1633" i="3"/>
  <c r="P1629" i="3"/>
  <c r="P1625" i="3"/>
  <c r="P1621" i="3"/>
  <c r="P1617" i="3"/>
  <c r="P1613" i="3"/>
  <c r="P1609" i="3"/>
  <c r="P1605" i="3"/>
  <c r="P1601" i="3"/>
  <c r="P1597" i="3"/>
  <c r="P1593" i="3"/>
  <c r="P1589" i="3"/>
  <c r="P1585" i="3"/>
  <c r="P1581" i="3"/>
  <c r="P1577" i="3"/>
  <c r="P1573" i="3"/>
  <c r="P1569" i="3"/>
  <c r="P1565" i="3"/>
  <c r="P1561" i="3"/>
  <c r="P1557" i="3"/>
  <c r="P1553" i="3"/>
  <c r="P1549" i="3"/>
  <c r="P1545" i="3"/>
  <c r="P1541" i="3"/>
  <c r="P1537" i="3"/>
  <c r="P1533" i="3"/>
  <c r="P1529" i="3"/>
  <c r="P1525" i="3"/>
  <c r="P1521" i="3"/>
  <c r="P1517" i="3"/>
  <c r="P1513" i="3"/>
  <c r="P1509" i="3"/>
  <c r="P1505" i="3"/>
  <c r="P1501" i="3"/>
  <c r="P1497" i="3"/>
  <c r="P1493" i="3"/>
  <c r="P1489" i="3"/>
  <c r="P1485" i="3"/>
  <c r="P1481" i="3"/>
  <c r="P1477" i="3"/>
  <c r="P1473" i="3"/>
  <c r="P1469" i="3"/>
  <c r="P1465" i="3"/>
  <c r="P1461" i="3"/>
  <c r="P1457" i="3"/>
  <c r="P1453" i="3"/>
  <c r="P1449" i="3"/>
  <c r="P1445" i="3"/>
  <c r="P1441" i="3"/>
  <c r="P1437" i="3"/>
  <c r="P1433" i="3"/>
  <c r="P1429" i="3"/>
  <c r="P1425" i="3"/>
  <c r="P1421" i="3"/>
  <c r="P1417" i="3"/>
  <c r="P1413" i="3"/>
  <c r="P1409" i="3"/>
  <c r="P1405" i="3"/>
  <c r="P1401" i="3"/>
  <c r="P1397" i="3"/>
  <c r="P1393" i="3"/>
  <c r="P1389" i="3"/>
  <c r="P1385" i="3"/>
  <c r="P1381" i="3"/>
  <c r="P1377" i="3"/>
  <c r="P1373" i="3"/>
  <c r="P1369" i="3"/>
  <c r="P1365" i="3"/>
  <c r="P1361" i="3"/>
  <c r="P1357" i="3"/>
  <c r="P1353" i="3"/>
  <c r="P1349" i="3"/>
  <c r="P1345" i="3"/>
  <c r="P1341" i="3"/>
  <c r="P1337" i="3"/>
  <c r="P1333" i="3"/>
  <c r="P1329" i="3"/>
  <c r="P1325" i="3"/>
  <c r="P1321" i="3"/>
  <c r="P1317" i="3"/>
  <c r="P1313" i="3"/>
  <c r="P1309" i="3"/>
  <c r="P1305" i="3"/>
  <c r="P1301" i="3"/>
  <c r="P1297" i="3"/>
  <c r="P1293" i="3"/>
  <c r="P1289" i="3"/>
  <c r="P1285" i="3"/>
  <c r="P1281" i="3"/>
  <c r="P2096" i="3"/>
  <c r="P2092" i="3"/>
  <c r="P2088" i="3"/>
  <c r="P2084" i="3"/>
  <c r="P2080" i="3"/>
  <c r="P2076" i="3"/>
  <c r="P2072" i="3"/>
  <c r="P2068" i="3"/>
  <c r="P2064" i="3"/>
  <c r="P2060" i="3"/>
  <c r="P2056" i="3"/>
  <c r="P2052" i="3"/>
  <c r="P2048" i="3"/>
  <c r="P2044" i="3"/>
  <c r="P2040" i="3"/>
  <c r="P2036" i="3"/>
  <c r="P2032" i="3"/>
  <c r="P2028" i="3"/>
  <c r="P2024" i="3"/>
  <c r="P2020" i="3"/>
  <c r="P2016" i="3"/>
  <c r="P2012" i="3"/>
  <c r="P2008" i="3"/>
  <c r="P2004" i="3"/>
  <c r="P2000" i="3"/>
  <c r="P1996" i="3"/>
  <c r="P1992" i="3"/>
  <c r="P1988" i="3"/>
  <c r="P1984" i="3"/>
  <c r="P1980" i="3"/>
  <c r="P1976" i="3"/>
  <c r="P1972" i="3"/>
  <c r="P1968" i="3"/>
  <c r="P1964" i="3"/>
  <c r="P1960" i="3"/>
  <c r="P1956" i="3"/>
  <c r="P1952" i="3"/>
  <c r="P1948" i="3"/>
  <c r="P1944" i="3"/>
  <c r="P1940" i="3"/>
  <c r="P1936" i="3"/>
  <c r="P1932" i="3"/>
  <c r="P1928" i="3"/>
  <c r="P1924" i="3"/>
  <c r="P1920" i="3"/>
  <c r="P1916" i="3"/>
  <c r="P1912" i="3"/>
  <c r="P1908" i="3"/>
  <c r="P1904" i="3"/>
  <c r="P1900" i="3"/>
  <c r="P1896" i="3"/>
  <c r="P1892" i="3"/>
  <c r="P1888" i="3"/>
  <c r="P1884" i="3"/>
  <c r="P1880" i="3"/>
  <c r="P1876" i="3"/>
  <c r="P1872" i="3"/>
  <c r="P1868" i="3"/>
  <c r="P1864" i="3"/>
  <c r="P1860" i="3"/>
  <c r="P1856" i="3"/>
  <c r="P1852" i="3"/>
  <c r="P1848" i="3"/>
  <c r="P1844" i="3"/>
  <c r="P1840" i="3"/>
  <c r="P1836" i="3"/>
  <c r="P1832" i="3"/>
  <c r="P1828" i="3"/>
  <c r="P1824" i="3"/>
  <c r="P1820" i="3"/>
  <c r="P1816" i="3"/>
  <c r="P1812" i="3"/>
  <c r="P1808" i="3"/>
  <c r="P1804" i="3"/>
  <c r="P1800" i="3"/>
  <c r="P1796" i="3"/>
  <c r="P1792" i="3"/>
  <c r="P1788" i="3"/>
  <c r="P1784" i="3"/>
  <c r="P1780" i="3"/>
  <c r="P1776" i="3"/>
  <c r="P1772" i="3"/>
  <c r="P1768" i="3"/>
  <c r="P1764" i="3"/>
  <c r="P1760" i="3"/>
  <c r="P1756" i="3"/>
  <c r="P1752" i="3"/>
  <c r="P1748" i="3"/>
  <c r="P1744" i="3"/>
  <c r="P1740" i="3"/>
  <c r="P1736" i="3"/>
  <c r="P1732" i="3"/>
  <c r="P1728" i="3"/>
  <c r="P1724" i="3"/>
  <c r="P1720" i="3"/>
  <c r="P1716" i="3"/>
  <c r="P1712" i="3"/>
  <c r="P1708" i="3"/>
  <c r="P1704" i="3"/>
  <c r="P1700" i="3"/>
  <c r="P1696" i="3"/>
  <c r="P1692" i="3"/>
  <c r="P1688" i="3"/>
  <c r="P1684" i="3"/>
  <c r="P1680" i="3"/>
  <c r="P1676" i="3"/>
  <c r="P1672" i="3"/>
  <c r="P1668" i="3"/>
  <c r="P1660" i="3"/>
  <c r="P1656" i="3"/>
  <c r="P1652" i="3"/>
  <c r="P1648" i="3"/>
  <c r="P1644" i="3"/>
  <c r="P1640" i="3"/>
  <c r="P1636" i="3"/>
  <c r="P1628" i="3"/>
  <c r="P1624" i="3"/>
  <c r="P1620" i="3"/>
  <c r="P1616" i="3"/>
  <c r="P1612" i="3"/>
  <c r="P1608" i="3"/>
  <c r="P1604" i="3"/>
  <c r="P1596" i="3"/>
  <c r="P1592" i="3"/>
  <c r="P1588" i="3"/>
  <c r="P1584" i="3"/>
  <c r="P1580" i="3"/>
  <c r="P1576" i="3"/>
  <c r="P1572" i="3"/>
  <c r="P1564" i="3"/>
  <c r="P1560" i="3"/>
  <c r="P1556" i="3"/>
  <c r="P1552" i="3"/>
  <c r="P1548" i="3"/>
  <c r="P1544" i="3"/>
  <c r="P1540" i="3"/>
  <c r="P1532" i="3"/>
  <c r="P1528" i="3"/>
  <c r="P1524" i="3"/>
  <c r="P1520" i="3"/>
  <c r="P1516" i="3"/>
  <c r="P1512" i="3"/>
  <c r="P1508" i="3"/>
  <c r="P1500" i="3"/>
  <c r="P1496" i="3"/>
  <c r="P1492" i="3"/>
  <c r="P1488" i="3"/>
  <c r="P1484" i="3"/>
  <c r="P1480" i="3"/>
  <c r="P1476" i="3"/>
  <c r="P1468" i="3"/>
  <c r="P1464" i="3"/>
  <c r="P1460" i="3"/>
  <c r="P1456" i="3"/>
  <c r="P1452" i="3"/>
  <c r="P1448" i="3"/>
  <c r="P1444" i="3"/>
  <c r="P1436" i="3"/>
  <c r="P1432" i="3"/>
  <c r="P1428" i="3"/>
  <c r="P1424" i="3"/>
  <c r="P1420" i="3"/>
  <c r="P1416" i="3"/>
  <c r="P1412" i="3"/>
  <c r="P1404" i="3"/>
  <c r="P1400" i="3"/>
  <c r="P1396" i="3"/>
  <c r="P1392" i="3"/>
  <c r="P1388" i="3"/>
  <c r="P1384" i="3"/>
  <c r="P1380" i="3"/>
  <c r="P1372" i="3"/>
  <c r="P1368" i="3"/>
  <c r="P1364" i="3"/>
  <c r="P1360" i="3"/>
  <c r="P1356" i="3"/>
  <c r="P1352" i="3"/>
  <c r="P1348" i="3"/>
  <c r="P1340" i="3"/>
  <c r="P1336" i="3"/>
  <c r="P1332" i="3"/>
  <c r="P1328" i="3"/>
  <c r="P1324" i="3"/>
  <c r="P1320" i="3"/>
  <c r="P1316" i="3"/>
  <c r="P1312" i="3"/>
  <c r="P1308" i="3"/>
  <c r="P1304" i="3"/>
  <c r="P1300" i="3"/>
  <c r="P1296" i="3"/>
  <c r="P1292" i="3"/>
  <c r="P1288" i="3"/>
  <c r="P1284" i="3"/>
  <c r="P1280" i="3"/>
  <c r="P1276" i="3"/>
  <c r="P1272" i="3"/>
  <c r="P1268" i="3"/>
  <c r="P1264" i="3"/>
  <c r="P1260" i="3"/>
  <c r="P1256" i="3"/>
  <c r="P1252" i="3"/>
  <c r="P1248" i="3"/>
  <c r="P1244" i="3"/>
  <c r="P1240" i="3"/>
  <c r="P1236" i="3"/>
  <c r="P1232" i="3"/>
  <c r="P1228" i="3"/>
  <c r="P1224" i="3"/>
  <c r="P1220" i="3"/>
  <c r="P1216" i="3"/>
  <c r="P1212" i="3"/>
  <c r="P1208" i="3"/>
  <c r="P1204" i="3"/>
  <c r="P1200" i="3"/>
  <c r="P1196" i="3"/>
  <c r="P1192" i="3"/>
  <c r="P1188" i="3"/>
  <c r="P1184" i="3"/>
  <c r="P1180" i="3"/>
  <c r="P1176" i="3"/>
  <c r="P1172" i="3"/>
  <c r="P1168" i="3"/>
  <c r="P1164" i="3"/>
  <c r="P1160" i="3"/>
  <c r="P1156" i="3"/>
  <c r="P1152" i="3"/>
  <c r="P1148" i="3"/>
  <c r="P1144" i="3"/>
  <c r="P1140" i="3"/>
  <c r="P1136" i="3"/>
  <c r="P1132" i="3"/>
  <c r="P1128" i="3"/>
  <c r="P1124" i="3"/>
  <c r="P1120" i="3"/>
  <c r="P1116" i="3"/>
  <c r="P1112" i="3"/>
  <c r="P1108" i="3"/>
  <c r="P1104" i="3"/>
  <c r="P1100" i="3"/>
  <c r="P1096" i="3"/>
  <c r="P1092" i="3"/>
  <c r="P1088" i="3"/>
  <c r="P1084" i="3"/>
  <c r="P1080" i="3"/>
  <c r="P1076" i="3"/>
  <c r="P1072" i="3"/>
  <c r="P1068" i="3"/>
  <c r="P1064" i="3"/>
  <c r="P1060" i="3"/>
  <c r="P1056" i="3"/>
  <c r="P1052" i="3"/>
  <c r="P1048" i="3"/>
  <c r="P1044" i="3"/>
  <c r="P1040" i="3"/>
  <c r="P1036" i="3"/>
  <c r="P1032" i="3"/>
  <c r="P1028" i="3"/>
  <c r="P1024" i="3"/>
  <c r="P1020" i="3"/>
  <c r="P1016" i="3"/>
  <c r="P1012" i="3"/>
  <c r="P1008" i="3"/>
  <c r="P1004" i="3"/>
  <c r="P1000" i="3"/>
  <c r="P996" i="3"/>
  <c r="P992" i="3"/>
  <c r="P988" i="3"/>
  <c r="P984" i="3"/>
  <c r="P980" i="3"/>
  <c r="P976" i="3"/>
  <c r="P972" i="3"/>
  <c r="P968" i="3"/>
  <c r="P964" i="3"/>
  <c r="P960" i="3"/>
  <c r="P956" i="3"/>
  <c r="P952" i="3"/>
  <c r="P948" i="3"/>
  <c r="P944" i="3"/>
  <c r="P940" i="3"/>
  <c r="P936" i="3"/>
  <c r="P932" i="3"/>
  <c r="P928" i="3"/>
  <c r="P924" i="3"/>
  <c r="P2031" i="3"/>
  <c r="P2027" i="3"/>
  <c r="P2019" i="3"/>
  <c r="P2015" i="3"/>
  <c r="P2011" i="3"/>
  <c r="P2003" i="3"/>
  <c r="P1999" i="3"/>
  <c r="P1995" i="3"/>
  <c r="P1987" i="3"/>
  <c r="P1983" i="3"/>
  <c r="P1979" i="3"/>
  <c r="P1971" i="3"/>
  <c r="P1967" i="3"/>
  <c r="P1963" i="3"/>
  <c r="P1955" i="3"/>
  <c r="P1951" i="3"/>
  <c r="P1947" i="3"/>
  <c r="P1939" i="3"/>
  <c r="P1935" i="3"/>
  <c r="P1931" i="3"/>
  <c r="P1923" i="3"/>
  <c r="P1919" i="3"/>
  <c r="P1915" i="3"/>
  <c r="P1907" i="3"/>
  <c r="P1903" i="3"/>
  <c r="P1899" i="3"/>
  <c r="P1891" i="3"/>
  <c r="P1887" i="3"/>
  <c r="P1883" i="3"/>
  <c r="P1875" i="3"/>
  <c r="P1871" i="3"/>
  <c r="P1867" i="3"/>
  <c r="P1859" i="3"/>
  <c r="P1855" i="3"/>
  <c r="P1851" i="3"/>
  <c r="P1843" i="3"/>
  <c r="P1839" i="3"/>
  <c r="P1835" i="3"/>
  <c r="P1827" i="3"/>
  <c r="P1823" i="3"/>
  <c r="P1819" i="3"/>
  <c r="P1811" i="3"/>
  <c r="P1807" i="3"/>
  <c r="P1803" i="3"/>
  <c r="P1795" i="3"/>
  <c r="P1791" i="3"/>
  <c r="P1787" i="3"/>
  <c r="P1779" i="3"/>
  <c r="P1775" i="3"/>
  <c r="P1771" i="3"/>
  <c r="P1763" i="3"/>
  <c r="P1759" i="3"/>
  <c r="P1755" i="3"/>
  <c r="P1747" i="3"/>
  <c r="P1743" i="3"/>
  <c r="P1739" i="3"/>
  <c r="P1731" i="3"/>
  <c r="P1727" i="3"/>
  <c r="P1723" i="3"/>
  <c r="P1715" i="3"/>
  <c r="P1711" i="3"/>
  <c r="P1707" i="3"/>
  <c r="P1699" i="3"/>
  <c r="P1695" i="3"/>
  <c r="P1691" i="3"/>
  <c r="P1683" i="3"/>
  <c r="P1679" i="3"/>
  <c r="P1675" i="3"/>
  <c r="P1671" i="3"/>
  <c r="P1667" i="3"/>
  <c r="P1663" i="3"/>
  <c r="P1659" i="3"/>
  <c r="P1655" i="3"/>
  <c r="P1651" i="3"/>
  <c r="P1647" i="3"/>
  <c r="P1643" i="3"/>
  <c r="P1639" i="3"/>
  <c r="P1635" i="3"/>
  <c r="P1631" i="3"/>
  <c r="P1627" i="3"/>
  <c r="P1623" i="3"/>
  <c r="P1619" i="3"/>
  <c r="P1615" i="3"/>
  <c r="P1611" i="3"/>
  <c r="P1607" i="3"/>
  <c r="P1603" i="3"/>
  <c r="P1599" i="3"/>
  <c r="P1595" i="3"/>
  <c r="P1591" i="3"/>
  <c r="P1587" i="3"/>
  <c r="P1583" i="3"/>
  <c r="P1579" i="3"/>
  <c r="P1575" i="3"/>
  <c r="P1571" i="3"/>
  <c r="P1567" i="3"/>
  <c r="P1563" i="3"/>
  <c r="P1559" i="3"/>
  <c r="P1555" i="3"/>
  <c r="P1551" i="3"/>
  <c r="P1547" i="3"/>
  <c r="P1543" i="3"/>
  <c r="P1539" i="3"/>
  <c r="P1535" i="3"/>
  <c r="P1531" i="3"/>
  <c r="P1527" i="3"/>
  <c r="P1523" i="3"/>
  <c r="P1519" i="3"/>
  <c r="P1515" i="3"/>
  <c r="P1511" i="3"/>
  <c r="P1507" i="3"/>
  <c r="P1503" i="3"/>
  <c r="P1499" i="3"/>
  <c r="P1495" i="3"/>
  <c r="P1491" i="3"/>
  <c r="P1487" i="3"/>
  <c r="P1483" i="3"/>
  <c r="P1479" i="3"/>
  <c r="P1475" i="3"/>
  <c r="P1471" i="3"/>
  <c r="P1467" i="3"/>
  <c r="P1463" i="3"/>
  <c r="P1459" i="3"/>
  <c r="P1455" i="3"/>
  <c r="P1451" i="3"/>
  <c r="P1447" i="3"/>
  <c r="P1443" i="3"/>
  <c r="P1439" i="3"/>
  <c r="P1435" i="3"/>
  <c r="P1431" i="3"/>
  <c r="P1427" i="3"/>
  <c r="P1423" i="3"/>
  <c r="P1419" i="3"/>
  <c r="P1415" i="3"/>
  <c r="P1411" i="3"/>
  <c r="P1407" i="3"/>
  <c r="P1403" i="3"/>
  <c r="P1399" i="3"/>
  <c r="P1395" i="3"/>
  <c r="P1391" i="3"/>
  <c r="P1387" i="3"/>
  <c r="P1383" i="3"/>
  <c r="P1379" i="3"/>
  <c r="P1375" i="3"/>
  <c r="P1371" i="3"/>
  <c r="P1367" i="3"/>
  <c r="P1363" i="3"/>
  <c r="P1359" i="3"/>
  <c r="P1355" i="3"/>
  <c r="P1351" i="3"/>
  <c r="P1347" i="3"/>
  <c r="P1343" i="3"/>
  <c r="P1339" i="3"/>
  <c r="P1335" i="3"/>
  <c r="P1331" i="3"/>
  <c r="P1327" i="3"/>
  <c r="P1323" i="3"/>
  <c r="P1319" i="3"/>
  <c r="P1315" i="3"/>
  <c r="P1311" i="3"/>
  <c r="P1307" i="3"/>
  <c r="P1303" i="3"/>
  <c r="P1299" i="3"/>
  <c r="P1295" i="3"/>
  <c r="P1287" i="3"/>
  <c r="P1283" i="3"/>
  <c r="P1279" i="3"/>
  <c r="P1275" i="3"/>
  <c r="P1271" i="3"/>
  <c r="P1267" i="3"/>
  <c r="P1263" i="3"/>
  <c r="P1259" i="3"/>
  <c r="P1255" i="3"/>
  <c r="P1251" i="3"/>
  <c r="P1247" i="3"/>
  <c r="P1243" i="3"/>
  <c r="P1239" i="3"/>
  <c r="P1235" i="3"/>
  <c r="P1231" i="3"/>
  <c r="P1223" i="3"/>
  <c r="P1219" i="3"/>
  <c r="P1215" i="3"/>
  <c r="P1211" i="3"/>
  <c r="P1207" i="3"/>
  <c r="P1203" i="3"/>
  <c r="P1199" i="3"/>
  <c r="P1195" i="3"/>
  <c r="P1191" i="3"/>
  <c r="P1187" i="3"/>
  <c r="P1183" i="3"/>
  <c r="P1179" i="3"/>
  <c r="P1175" i="3"/>
  <c r="P1171" i="3"/>
  <c r="P1167" i="3"/>
  <c r="P1159" i="3"/>
  <c r="P1155" i="3"/>
  <c r="P1151" i="3"/>
  <c r="P1147" i="3"/>
  <c r="P1143" i="3"/>
  <c r="P1139" i="3"/>
  <c r="P1135" i="3"/>
  <c r="P1131" i="3"/>
  <c r="P1127" i="3"/>
  <c r="P1123" i="3"/>
  <c r="P1119" i="3"/>
  <c r="P1115" i="3"/>
  <c r="P1111" i="3"/>
  <c r="P1107" i="3"/>
  <c r="P1103" i="3"/>
  <c r="P1095" i="3"/>
  <c r="P1091" i="3"/>
  <c r="P1087" i="3"/>
  <c r="P1083" i="3"/>
  <c r="P1079" i="3"/>
  <c r="P1075" i="3"/>
  <c r="P1071" i="3"/>
  <c r="P1067" i="3"/>
  <c r="P1063" i="3"/>
  <c r="P1059" i="3"/>
  <c r="P1055" i="3"/>
  <c r="P1051" i="3"/>
  <c r="P1047" i="3"/>
  <c r="P1043" i="3"/>
  <c r="P1039" i="3"/>
  <c r="P1031" i="3"/>
  <c r="P1027" i="3"/>
  <c r="P1023" i="3"/>
  <c r="P1019" i="3"/>
  <c r="P1015" i="3"/>
  <c r="P1011" i="3"/>
  <c r="P1007" i="3"/>
  <c r="P1003" i="3"/>
  <c r="P999" i="3"/>
  <c r="P995" i="3"/>
  <c r="P991" i="3"/>
  <c r="P987" i="3"/>
  <c r="P983" i="3"/>
  <c r="P979" i="3"/>
  <c r="P975" i="3"/>
  <c r="P971" i="3"/>
  <c r="P967" i="3"/>
  <c r="P963" i="3"/>
  <c r="P959" i="3"/>
  <c r="P955" i="3"/>
  <c r="P947" i="3"/>
  <c r="P943" i="3"/>
  <c r="P939" i="3"/>
  <c r="P935" i="3"/>
  <c r="P931" i="3"/>
  <c r="P927" i="3"/>
  <c r="P919" i="3"/>
  <c r="P887" i="3"/>
  <c r="P855" i="3"/>
  <c r="P791" i="3"/>
  <c r="P759" i="3"/>
  <c r="P727" i="3"/>
  <c r="P663" i="3"/>
  <c r="P631" i="3"/>
  <c r="P599" i="3"/>
  <c r="P535" i="3"/>
  <c r="P503" i="3"/>
  <c r="P471" i="3"/>
  <c r="P1277" i="3"/>
  <c r="P1273" i="3"/>
  <c r="P1269" i="3"/>
  <c r="P1265" i="3"/>
  <c r="P1261" i="3"/>
  <c r="P1257" i="3"/>
  <c r="P1253" i="3"/>
  <c r="P1249" i="3"/>
  <c r="P1245" i="3"/>
  <c r="P1241" i="3"/>
  <c r="P1237" i="3"/>
  <c r="P1233" i="3"/>
  <c r="P1229" i="3"/>
  <c r="P1225" i="3"/>
  <c r="P1221" i="3"/>
  <c r="P1217" i="3"/>
  <c r="P1213" i="3"/>
  <c r="P1209" i="3"/>
  <c r="P1205" i="3"/>
  <c r="P1201" i="3"/>
  <c r="P1197" i="3"/>
  <c r="P1193" i="3"/>
  <c r="P1189" i="3"/>
  <c r="P1185" i="3"/>
  <c r="P1181" i="3"/>
  <c r="P1177" i="3"/>
  <c r="P1173" i="3"/>
  <c r="P1169" i="3"/>
  <c r="P1165" i="3"/>
  <c r="P1161" i="3"/>
  <c r="P1157" i="3"/>
  <c r="P1153" i="3"/>
  <c r="P1149" i="3"/>
  <c r="P1145" i="3"/>
  <c r="P1141" i="3"/>
  <c r="P1137" i="3"/>
  <c r="P1133" i="3"/>
  <c r="P1129" i="3"/>
  <c r="P1125" i="3"/>
  <c r="P1121" i="3"/>
  <c r="P1117" i="3"/>
  <c r="P1113" i="3"/>
  <c r="P1109" i="3"/>
  <c r="P1105" i="3"/>
  <c r="P1101" i="3"/>
  <c r="P1097" i="3"/>
  <c r="P1093" i="3"/>
  <c r="P1089" i="3"/>
  <c r="P1085" i="3"/>
  <c r="P1081" i="3"/>
  <c r="P1077" i="3"/>
  <c r="P1073" i="3"/>
  <c r="P1069" i="3"/>
  <c r="P1065" i="3"/>
  <c r="P1061" i="3"/>
  <c r="P1057" i="3"/>
  <c r="P1053" i="3"/>
  <c r="P1049" i="3"/>
  <c r="P1045" i="3"/>
  <c r="P1041" i="3"/>
  <c r="P1037" i="3"/>
  <c r="P1033" i="3"/>
  <c r="P1029" i="3"/>
  <c r="P1025" i="3"/>
  <c r="P1021" i="3"/>
  <c r="P1017" i="3"/>
  <c r="P1013" i="3"/>
  <c r="P1009" i="3"/>
  <c r="P1005" i="3"/>
  <c r="P1001" i="3"/>
  <c r="P997" i="3"/>
  <c r="P993" i="3"/>
  <c r="P989" i="3"/>
  <c r="P985" i="3"/>
  <c r="P981" i="3"/>
  <c r="P977" i="3"/>
  <c r="P973" i="3"/>
  <c r="P969" i="3"/>
  <c r="P965" i="3"/>
  <c r="P961" i="3"/>
  <c r="P957" i="3"/>
  <c r="P953" i="3"/>
  <c r="P949" i="3"/>
  <c r="P945" i="3"/>
  <c r="P941" i="3"/>
  <c r="P937" i="3"/>
  <c r="P933" i="3"/>
  <c r="P929" i="3"/>
  <c r="P925" i="3"/>
  <c r="P921" i="3"/>
  <c r="P917" i="3"/>
  <c r="P913" i="3"/>
  <c r="P909" i="3"/>
  <c r="P905" i="3"/>
  <c r="P901" i="3"/>
  <c r="P897" i="3"/>
  <c r="P893" i="3"/>
  <c r="P889" i="3"/>
  <c r="P885" i="3"/>
  <c r="P881" i="3"/>
  <c r="P877" i="3"/>
  <c r="P873" i="3"/>
  <c r="P869" i="3"/>
  <c r="P865" i="3"/>
  <c r="P861" i="3"/>
  <c r="P857" i="3"/>
  <c r="P853" i="3"/>
  <c r="P849" i="3"/>
  <c r="P845" i="3"/>
  <c r="P841" i="3"/>
  <c r="P837" i="3"/>
  <c r="P833" i="3"/>
  <c r="P829" i="3"/>
  <c r="P825" i="3"/>
  <c r="P821" i="3"/>
  <c r="P817" i="3"/>
  <c r="P445" i="3"/>
  <c r="P381" i="3"/>
  <c r="P309" i="3"/>
  <c r="P225" i="3"/>
  <c r="P129" i="3"/>
  <c r="P121" i="3"/>
  <c r="P920" i="3"/>
  <c r="P916" i="3"/>
  <c r="P912" i="3"/>
  <c r="P908" i="3"/>
  <c r="P904" i="3"/>
  <c r="P900" i="3"/>
  <c r="P896" i="3"/>
  <c r="P892" i="3"/>
  <c r="P888" i="3"/>
  <c r="P884" i="3"/>
  <c r="P880" i="3"/>
  <c r="P876" i="3"/>
  <c r="P872" i="3"/>
  <c r="P868" i="3"/>
  <c r="P864" i="3"/>
  <c r="P860" i="3"/>
  <c r="P856" i="3"/>
  <c r="P852" i="3"/>
  <c r="P848" i="3"/>
  <c r="P844" i="3"/>
  <c r="P840" i="3"/>
  <c r="P836" i="3"/>
  <c r="P832" i="3"/>
  <c r="P828" i="3"/>
  <c r="P824" i="3"/>
  <c r="P820" i="3"/>
  <c r="P816" i="3"/>
  <c r="P812" i="3"/>
  <c r="P808" i="3"/>
  <c r="P804" i="3"/>
  <c r="P800" i="3"/>
  <c r="P796" i="3"/>
  <c r="P792" i="3"/>
  <c r="P788" i="3"/>
  <c r="P784" i="3"/>
  <c r="P780" i="3"/>
  <c r="P776" i="3"/>
  <c r="P772" i="3"/>
  <c r="P768" i="3"/>
  <c r="P764" i="3"/>
  <c r="P760" i="3"/>
  <c r="P756" i="3"/>
  <c r="P752" i="3"/>
  <c r="P748" i="3"/>
  <c r="P744" i="3"/>
  <c r="P740" i="3"/>
  <c r="P736" i="3"/>
  <c r="P732" i="3"/>
  <c r="P728" i="3"/>
  <c r="P724" i="3"/>
  <c r="P720" i="3"/>
  <c r="P716" i="3"/>
  <c r="P712" i="3"/>
  <c r="P708" i="3"/>
  <c r="P704" i="3"/>
  <c r="P700" i="3"/>
  <c r="P696" i="3"/>
  <c r="P692" i="3"/>
  <c r="P688" i="3"/>
  <c r="P684" i="3"/>
  <c r="P680" i="3"/>
  <c r="P676" i="3"/>
  <c r="P672" i="3"/>
  <c r="P668" i="3"/>
  <c r="P664" i="3"/>
  <c r="P660" i="3"/>
  <c r="P656" i="3"/>
  <c r="P652" i="3"/>
  <c r="P648" i="3"/>
  <c r="P644" i="3"/>
  <c r="P640" i="3"/>
  <c r="P636" i="3"/>
  <c r="P632" i="3"/>
  <c r="P628" i="3"/>
  <c r="P624" i="3"/>
  <c r="P620" i="3"/>
  <c r="P616" i="3"/>
  <c r="P612" i="3"/>
  <c r="P608" i="3"/>
  <c r="P604" i="3"/>
  <c r="P600" i="3"/>
  <c r="P596" i="3"/>
  <c r="P592" i="3"/>
  <c r="P588" i="3"/>
  <c r="P584" i="3"/>
  <c r="P580" i="3"/>
  <c r="P576" i="3"/>
  <c r="P572" i="3"/>
  <c r="P568" i="3"/>
  <c r="P564" i="3"/>
  <c r="P560" i="3"/>
  <c r="P556" i="3"/>
  <c r="P552" i="3"/>
  <c r="P548" i="3"/>
  <c r="P544" i="3"/>
  <c r="P540" i="3"/>
  <c r="P536" i="3"/>
  <c r="P532" i="3"/>
  <c r="P528" i="3"/>
  <c r="P524" i="3"/>
  <c r="P520" i="3"/>
  <c r="P516" i="3"/>
  <c r="P512" i="3"/>
  <c r="P508" i="3"/>
  <c r="P504" i="3"/>
  <c r="P500" i="3"/>
  <c r="P496" i="3"/>
  <c r="P492" i="3"/>
  <c r="P488" i="3"/>
  <c r="P484" i="3"/>
  <c r="P480" i="3"/>
  <c r="P476" i="3"/>
  <c r="P472" i="3"/>
  <c r="P468" i="3"/>
  <c r="P464" i="3"/>
  <c r="P460" i="3"/>
  <c r="P456" i="3"/>
  <c r="P452" i="3"/>
  <c r="P448" i="3"/>
  <c r="P444" i="3"/>
  <c r="P440" i="3"/>
  <c r="P436" i="3"/>
  <c r="P432" i="3"/>
  <c r="P428" i="3"/>
  <c r="P424" i="3"/>
  <c r="P420" i="3"/>
  <c r="P416" i="3"/>
  <c r="P412" i="3"/>
  <c r="P408" i="3"/>
  <c r="P404" i="3"/>
  <c r="P400" i="3"/>
  <c r="P396" i="3"/>
  <c r="P392" i="3"/>
  <c r="P388" i="3"/>
  <c r="P384" i="3"/>
  <c r="P380" i="3"/>
  <c r="P376" i="3"/>
  <c r="P372" i="3"/>
  <c r="P368" i="3"/>
  <c r="P364" i="3"/>
  <c r="P360" i="3"/>
  <c r="P356" i="3"/>
  <c r="P352" i="3"/>
  <c r="P348" i="3"/>
  <c r="P344" i="3"/>
  <c r="P340" i="3"/>
  <c r="P336" i="3"/>
  <c r="P332" i="3"/>
  <c r="P328" i="3"/>
  <c r="P324" i="3"/>
  <c r="P320" i="3"/>
  <c r="P316" i="3"/>
  <c r="P312" i="3"/>
  <c r="P308" i="3"/>
  <c r="P304" i="3"/>
  <c r="P300" i="3"/>
  <c r="P296" i="3"/>
  <c r="P292" i="3"/>
  <c r="P288" i="3"/>
  <c r="P284" i="3"/>
  <c r="P280" i="3"/>
  <c r="P276" i="3"/>
  <c r="P204" i="3"/>
  <c r="P160" i="3"/>
  <c r="P923" i="3"/>
  <c r="P915" i="3"/>
  <c r="P911" i="3"/>
  <c r="P907" i="3"/>
  <c r="P903" i="3"/>
  <c r="P899" i="3"/>
  <c r="P895" i="3"/>
  <c r="P891" i="3"/>
  <c r="P883" i="3"/>
  <c r="P879" i="3"/>
  <c r="P875" i="3"/>
  <c r="P871" i="3"/>
  <c r="P867" i="3"/>
  <c r="P863" i="3"/>
  <c r="P859" i="3"/>
  <c r="P851" i="3"/>
  <c r="P847" i="3"/>
  <c r="P843" i="3"/>
  <c r="P839" i="3"/>
  <c r="P835" i="3"/>
  <c r="P831" i="3"/>
  <c r="P827" i="3"/>
  <c r="P819" i="3"/>
  <c r="P815" i="3"/>
  <c r="P811" i="3"/>
  <c r="P807" i="3"/>
  <c r="P803" i="3"/>
  <c r="P799" i="3"/>
  <c r="P795" i="3"/>
  <c r="P787" i="3"/>
  <c r="P783" i="3"/>
  <c r="P779" i="3"/>
  <c r="P775" i="3"/>
  <c r="P771" i="3"/>
  <c r="P767" i="3"/>
  <c r="P763" i="3"/>
  <c r="P755" i="3"/>
  <c r="P751" i="3"/>
  <c r="P747" i="3"/>
  <c r="P743" i="3"/>
  <c r="P739" i="3"/>
  <c r="P735" i="3"/>
  <c r="P731" i="3"/>
  <c r="P723" i="3"/>
  <c r="P719" i="3"/>
  <c r="P715" i="3"/>
  <c r="P711" i="3"/>
  <c r="P707" i="3"/>
  <c r="P703" i="3"/>
  <c r="P699" i="3"/>
  <c r="P691" i="3"/>
  <c r="P687" i="3"/>
  <c r="P683" i="3"/>
  <c r="P679" i="3"/>
  <c r="P675" i="3"/>
  <c r="P671" i="3"/>
  <c r="P667" i="3"/>
  <c r="P659" i="3"/>
  <c r="P655" i="3"/>
  <c r="P651" i="3"/>
  <c r="P647" i="3"/>
  <c r="P643" i="3"/>
  <c r="P639" i="3"/>
  <c r="P635" i="3"/>
  <c r="P627" i="3"/>
  <c r="P623" i="3"/>
  <c r="P619" i="3"/>
  <c r="P615" i="3"/>
  <c r="P611" i="3"/>
  <c r="P607" i="3"/>
  <c r="P603" i="3"/>
  <c r="P595" i="3"/>
  <c r="P591" i="3"/>
  <c r="P587" i="3"/>
  <c r="P583" i="3"/>
  <c r="P579" i="3"/>
  <c r="P575" i="3"/>
  <c r="P571" i="3"/>
  <c r="P563" i="3"/>
  <c r="P559" i="3"/>
  <c r="P555" i="3"/>
  <c r="P551" i="3"/>
  <c r="P547" i="3"/>
  <c r="P543" i="3"/>
  <c r="P539" i="3"/>
  <c r="P531" i="3"/>
  <c r="P527" i="3"/>
  <c r="P523" i="3"/>
  <c r="P519" i="3"/>
  <c r="P515" i="3"/>
  <c r="P511" i="3"/>
  <c r="P507" i="3"/>
  <c r="P499" i="3"/>
  <c r="P495" i="3"/>
  <c r="P491" i="3"/>
  <c r="P487" i="3"/>
  <c r="P483" i="3"/>
  <c r="P479" i="3"/>
  <c r="P475" i="3"/>
  <c r="P467" i="3"/>
  <c r="P463" i="3"/>
  <c r="P459" i="3"/>
  <c r="P455" i="3"/>
  <c r="P451" i="3"/>
  <c r="P447" i="3"/>
  <c r="P443" i="3"/>
  <c r="P439" i="3"/>
  <c r="P435" i="3"/>
  <c r="P431" i="3"/>
  <c r="P427" i="3"/>
  <c r="P423" i="3"/>
  <c r="P419" i="3"/>
  <c r="P415" i="3"/>
  <c r="P411" i="3"/>
  <c r="P407" i="3"/>
  <c r="P403" i="3"/>
  <c r="P399" i="3"/>
  <c r="P395" i="3"/>
  <c r="P391" i="3"/>
  <c r="P387" i="3"/>
  <c r="P383" i="3"/>
  <c r="P379" i="3"/>
  <c r="P375" i="3"/>
  <c r="P371" i="3"/>
  <c r="P367" i="3"/>
  <c r="P363" i="3"/>
  <c r="P359" i="3"/>
  <c r="P355" i="3"/>
  <c r="P351" i="3"/>
  <c r="P347" i="3"/>
  <c r="P343" i="3"/>
  <c r="P339" i="3"/>
  <c r="P335" i="3"/>
  <c r="P331" i="3"/>
  <c r="P327" i="3"/>
  <c r="P323" i="3"/>
  <c r="P319" i="3"/>
  <c r="P315" i="3"/>
  <c r="P311" i="3"/>
  <c r="P307" i="3"/>
  <c r="P303" i="3"/>
  <c r="P299" i="3"/>
  <c r="P295" i="3"/>
  <c r="P291" i="3"/>
  <c r="P287" i="3"/>
  <c r="P283" i="3"/>
  <c r="P279" i="3"/>
  <c r="P275" i="3"/>
  <c r="P247" i="3"/>
  <c r="P203" i="3"/>
  <c r="P834" i="3"/>
  <c r="P830" i="3"/>
  <c r="P826" i="3"/>
  <c r="P818" i="3"/>
  <c r="P814" i="3"/>
  <c r="P810" i="3"/>
  <c r="P802" i="3"/>
  <c r="P798" i="3"/>
  <c r="P794" i="3"/>
  <c r="P786" i="3"/>
  <c r="P782" i="3"/>
  <c r="P778" i="3"/>
  <c r="P770" i="3"/>
  <c r="P766" i="3"/>
  <c r="P762" i="3"/>
  <c r="P754" i="3"/>
  <c r="P750" i="3"/>
  <c r="P746" i="3"/>
  <c r="P738" i="3"/>
  <c r="P734" i="3"/>
  <c r="P730" i="3"/>
  <c r="P722" i="3"/>
  <c r="P718" i="3"/>
  <c r="P714" i="3"/>
  <c r="P706" i="3"/>
  <c r="P702" i="3"/>
  <c r="P698" i="3"/>
  <c r="P690" i="3"/>
  <c r="P686" i="3"/>
  <c r="P682" i="3"/>
  <c r="P674" i="3"/>
  <c r="P670" i="3"/>
  <c r="P666" i="3"/>
  <c r="P658" i="3"/>
  <c r="P654" i="3"/>
  <c r="P650" i="3"/>
  <c r="P642" i="3"/>
  <c r="P638" i="3"/>
  <c r="P634" i="3"/>
  <c r="P626" i="3"/>
  <c r="P622" i="3"/>
  <c r="P618" i="3"/>
  <c r="P610" i="3"/>
  <c r="P606" i="3"/>
  <c r="P602" i="3"/>
  <c r="P594" i="3"/>
  <c r="P590" i="3"/>
  <c r="P586" i="3"/>
  <c r="P578" i="3"/>
  <c r="P574" i="3"/>
  <c r="P570" i="3"/>
  <c r="P562" i="3"/>
  <c r="P558" i="3"/>
  <c r="P554" i="3"/>
  <c r="P546" i="3"/>
  <c r="P542" i="3"/>
  <c r="P538" i="3"/>
  <c r="P530" i="3"/>
  <c r="P526" i="3"/>
  <c r="P522" i="3"/>
  <c r="P514" i="3"/>
  <c r="P510" i="3"/>
  <c r="P506" i="3"/>
  <c r="P498" i="3"/>
  <c r="P494" i="3"/>
  <c r="P490" i="3"/>
  <c r="P482" i="3"/>
  <c r="P478" i="3"/>
  <c r="P474" i="3"/>
  <c r="P466" i="3"/>
  <c r="P462" i="3"/>
  <c r="P458" i="3"/>
  <c r="P454" i="3"/>
  <c r="P450" i="3"/>
  <c r="P442" i="3"/>
  <c r="P438" i="3"/>
  <c r="P434" i="3"/>
  <c r="P430" i="3"/>
  <c r="P426" i="3"/>
  <c r="P422" i="3"/>
  <c r="P418" i="3"/>
  <c r="P410" i="3"/>
  <c r="P406" i="3"/>
  <c r="P402" i="3"/>
  <c r="P398" i="3"/>
  <c r="P394" i="3"/>
  <c r="P390" i="3"/>
  <c r="P386" i="3"/>
  <c r="P378" i="3"/>
  <c r="P374" i="3"/>
  <c r="P370" i="3"/>
  <c r="P366" i="3"/>
  <c r="P362" i="3"/>
  <c r="P358" i="3"/>
  <c r="P354" i="3"/>
  <c r="P346" i="3"/>
  <c r="P342" i="3"/>
  <c r="P338" i="3"/>
  <c r="P334" i="3"/>
  <c r="P330" i="3"/>
  <c r="P326" i="3"/>
  <c r="P322" i="3"/>
  <c r="P318" i="3"/>
  <c r="P314" i="3"/>
  <c r="P310" i="3"/>
  <c r="P306" i="3"/>
  <c r="P302" i="3"/>
  <c r="P298" i="3"/>
  <c r="P294" i="3"/>
  <c r="P290" i="3"/>
  <c r="P286" i="3"/>
  <c r="P282" i="3"/>
  <c r="P278" i="3"/>
  <c r="P274" i="3"/>
  <c r="P270" i="3"/>
  <c r="P266" i="3"/>
  <c r="P262" i="3"/>
  <c r="P258" i="3"/>
  <c r="P254" i="3"/>
  <c r="P250" i="3"/>
  <c r="P246" i="3"/>
  <c r="P242" i="3"/>
  <c r="P238" i="3"/>
  <c r="P234" i="3"/>
  <c r="P230" i="3"/>
  <c r="P226" i="3"/>
  <c r="P222" i="3"/>
  <c r="P218" i="3"/>
  <c r="P214" i="3"/>
  <c r="P210" i="3"/>
  <c r="P206" i="3"/>
  <c r="P202" i="3"/>
  <c r="P198" i="3"/>
  <c r="P194" i="3"/>
  <c r="P190" i="3"/>
  <c r="P186" i="3"/>
  <c r="P182" i="3"/>
  <c r="P178" i="3"/>
  <c r="P174" i="3"/>
  <c r="P170" i="3"/>
  <c r="P166" i="3"/>
  <c r="P162" i="3"/>
  <c r="P158" i="3"/>
  <c r="P154" i="3"/>
  <c r="P150" i="3"/>
  <c r="P146" i="3"/>
  <c r="P142" i="3"/>
  <c r="P138" i="3"/>
  <c r="P134" i="3"/>
  <c r="P130" i="3"/>
  <c r="P126" i="3"/>
  <c r="P122" i="3"/>
  <c r="P118" i="3"/>
  <c r="P114" i="3"/>
  <c r="P110" i="3"/>
  <c r="P106" i="3"/>
  <c r="P102" i="3"/>
  <c r="P98" i="3"/>
  <c r="P94" i="3"/>
  <c r="P90" i="3"/>
  <c r="P86" i="3"/>
  <c r="P82" i="3"/>
  <c r="P78" i="3"/>
  <c r="P74" i="3"/>
  <c r="P70" i="3"/>
  <c r="P66" i="3"/>
  <c r="P62" i="3"/>
  <c r="P58" i="3"/>
  <c r="P54" i="3"/>
  <c r="P50" i="3"/>
  <c r="P46" i="3"/>
  <c r="P42" i="3"/>
  <c r="P38" i="3"/>
  <c r="P34" i="3"/>
  <c r="P30" i="3"/>
  <c r="P26" i="3"/>
  <c r="P22" i="3"/>
  <c r="P18" i="3"/>
  <c r="P14" i="3"/>
  <c r="P10" i="3"/>
  <c r="P6" i="3"/>
  <c r="P5" i="3"/>
  <c r="P813" i="3"/>
  <c r="P809" i="3"/>
  <c r="P805" i="3"/>
  <c r="P801" i="3"/>
  <c r="P797" i="3"/>
  <c r="P793" i="3"/>
  <c r="P789" i="3"/>
  <c r="P785" i="3"/>
  <c r="P781" i="3"/>
  <c r="P777" i="3"/>
  <c r="P773" i="3"/>
  <c r="P769" i="3"/>
  <c r="P765" i="3"/>
  <c r="P761" i="3"/>
  <c r="P757" i="3"/>
  <c r="P753" i="3"/>
  <c r="P749" i="3"/>
  <c r="P745" i="3"/>
  <c r="P741" i="3"/>
  <c r="P737" i="3"/>
  <c r="P733" i="3"/>
  <c r="P729" i="3"/>
  <c r="P725" i="3"/>
  <c r="P721" i="3"/>
  <c r="P717" i="3"/>
  <c r="P713" i="3"/>
  <c r="P709" i="3"/>
  <c r="P705" i="3"/>
  <c r="P701" i="3"/>
  <c r="P697" i="3"/>
  <c r="P693" i="3"/>
  <c r="P689" i="3"/>
  <c r="P685" i="3"/>
  <c r="P681" i="3"/>
  <c r="P677" i="3"/>
  <c r="P673" i="3"/>
  <c r="P669" i="3"/>
  <c r="P665" i="3"/>
  <c r="P661" i="3"/>
  <c r="P657" i="3"/>
  <c r="P653" i="3"/>
  <c r="P649" i="3"/>
  <c r="P645" i="3"/>
  <c r="P641" i="3"/>
  <c r="P637" i="3"/>
  <c r="P633" i="3"/>
  <c r="P629" i="3"/>
  <c r="P625" i="3"/>
  <c r="P621" i="3"/>
  <c r="P617" i="3"/>
  <c r="P613" i="3"/>
  <c r="P609" i="3"/>
  <c r="P605" i="3"/>
  <c r="P601" i="3"/>
  <c r="P597" i="3"/>
  <c r="P593" i="3"/>
  <c r="P589" i="3"/>
  <c r="P585" i="3"/>
  <c r="P581" i="3"/>
  <c r="P577" i="3"/>
  <c r="P573" i="3"/>
  <c r="P569" i="3"/>
  <c r="P565" i="3"/>
  <c r="P561" i="3"/>
  <c r="P557" i="3"/>
  <c r="P553" i="3"/>
  <c r="P549" i="3"/>
  <c r="P545" i="3"/>
  <c r="P541" i="3"/>
  <c r="P537" i="3"/>
  <c r="P533" i="3"/>
  <c r="P529" i="3"/>
  <c r="P525" i="3"/>
  <c r="P521" i="3"/>
  <c r="P517" i="3"/>
  <c r="P513" i="3"/>
  <c r="P509" i="3"/>
  <c r="P505" i="3"/>
  <c r="P501" i="3"/>
  <c r="P497" i="3"/>
  <c r="P493" i="3"/>
  <c r="P489" i="3"/>
  <c r="P485" i="3"/>
  <c r="P481" i="3"/>
  <c r="P477" i="3"/>
  <c r="P473" i="3"/>
  <c r="P469" i="3"/>
  <c r="P465" i="3"/>
  <c r="P461" i="3"/>
  <c r="P457" i="3"/>
  <c r="P453" i="3"/>
  <c r="P449" i="3"/>
  <c r="P441" i="3"/>
  <c r="P437" i="3"/>
  <c r="P433" i="3"/>
  <c r="P429" i="3"/>
  <c r="P425" i="3"/>
  <c r="P421" i="3"/>
  <c r="P417" i="3"/>
  <c r="P409" i="3"/>
  <c r="P405" i="3"/>
  <c r="P401" i="3"/>
  <c r="P397" i="3"/>
  <c r="P393" i="3"/>
  <c r="P389" i="3"/>
  <c r="P385" i="3"/>
  <c r="P377" i="3"/>
  <c r="P373" i="3"/>
  <c r="P369" i="3"/>
  <c r="P365" i="3"/>
  <c r="P361" i="3"/>
  <c r="P357" i="3"/>
  <c r="P353" i="3"/>
  <c r="P345" i="3"/>
  <c r="P341" i="3"/>
  <c r="P337" i="3"/>
  <c r="P333" i="3"/>
  <c r="P329" i="3"/>
  <c r="P325" i="3"/>
  <c r="P321" i="3"/>
  <c r="P317" i="3"/>
  <c r="P313" i="3"/>
  <c r="P305" i="3"/>
  <c r="P301" i="3"/>
  <c r="P297" i="3"/>
  <c r="P293" i="3"/>
  <c r="P289" i="3"/>
  <c r="P285" i="3"/>
  <c r="P281" i="3"/>
  <c r="P277" i="3"/>
  <c r="P273" i="3"/>
  <c r="P269" i="3"/>
  <c r="P265" i="3"/>
  <c r="P261" i="3"/>
  <c r="P257" i="3"/>
  <c r="P253" i="3"/>
  <c r="P249" i="3"/>
  <c r="P245" i="3"/>
  <c r="P241" i="3"/>
  <c r="P237" i="3"/>
  <c r="P233" i="3"/>
  <c r="P229" i="3"/>
  <c r="P221" i="3"/>
  <c r="P217" i="3"/>
  <c r="P213" i="3"/>
  <c r="P209" i="3"/>
  <c r="P205" i="3"/>
  <c r="P201" i="3"/>
  <c r="P197" i="3"/>
  <c r="P193" i="3"/>
  <c r="P189" i="3"/>
  <c r="P185" i="3"/>
  <c r="P177" i="3"/>
  <c r="P173" i="3"/>
  <c r="P169" i="3"/>
  <c r="P165" i="3"/>
  <c r="P161" i="3"/>
  <c r="P157" i="3"/>
  <c r="P153" i="3"/>
  <c r="P149" i="3"/>
  <c r="P145" i="3"/>
  <c r="P141" i="3"/>
  <c r="P137" i="3"/>
  <c r="P133" i="3"/>
  <c r="P125" i="3"/>
  <c r="P117" i="3"/>
  <c r="P113" i="3"/>
  <c r="P109" i="3"/>
  <c r="P105" i="3"/>
  <c r="P101" i="3"/>
  <c r="P97" i="3"/>
  <c r="P93" i="3"/>
  <c r="P89" i="3"/>
  <c r="P85" i="3"/>
  <c r="P81" i="3"/>
  <c r="P77" i="3"/>
  <c r="P73" i="3"/>
  <c r="P69" i="3"/>
  <c r="P65" i="3"/>
  <c r="P61" i="3"/>
  <c r="P57" i="3"/>
  <c r="P53" i="3"/>
  <c r="P49" i="3"/>
  <c r="P45" i="3"/>
  <c r="P41" i="3"/>
  <c r="P37" i="3"/>
  <c r="P33" i="3"/>
  <c r="P29" i="3"/>
  <c r="P25" i="3"/>
  <c r="P21" i="3"/>
  <c r="P17" i="3"/>
  <c r="P13" i="3"/>
  <c r="P9" i="3"/>
  <c r="P4" i="3"/>
  <c r="P272" i="3"/>
  <c r="P264" i="3"/>
  <c r="P260" i="3"/>
  <c r="P256" i="3"/>
  <c r="P252" i="3"/>
  <c r="P248" i="3"/>
  <c r="P244" i="3"/>
  <c r="P240" i="3"/>
  <c r="P236" i="3"/>
  <c r="P232" i="3"/>
  <c r="P228" i="3"/>
  <c r="P220" i="3"/>
  <c r="P216" i="3"/>
  <c r="P212" i="3"/>
  <c r="P208" i="3"/>
  <c r="P200" i="3"/>
  <c r="P196" i="3"/>
  <c r="P192" i="3"/>
  <c r="P188" i="3"/>
  <c r="P184" i="3"/>
  <c r="P180" i="3"/>
  <c r="P176" i="3"/>
  <c r="P172" i="3"/>
  <c r="P168" i="3"/>
  <c r="P164" i="3"/>
  <c r="P156" i="3"/>
  <c r="P152" i="3"/>
  <c r="P148" i="3"/>
  <c r="P144" i="3"/>
  <c r="P140" i="3"/>
  <c r="P136" i="3"/>
  <c r="P132" i="3"/>
  <c r="P128" i="3"/>
  <c r="P124" i="3"/>
  <c r="P120" i="3"/>
  <c r="P116" i="3"/>
  <c r="P112" i="3"/>
  <c r="P108" i="3"/>
  <c r="P104" i="3"/>
  <c r="P100" i="3"/>
  <c r="P96" i="3"/>
  <c r="P92" i="3"/>
  <c r="P88" i="3"/>
  <c r="P84" i="3"/>
  <c r="P80" i="3"/>
  <c r="P76" i="3"/>
  <c r="P72" i="3"/>
  <c r="P68" i="3"/>
  <c r="P64" i="3"/>
  <c r="P60" i="3"/>
  <c r="P56" i="3"/>
  <c r="P52" i="3"/>
  <c r="P48" i="3"/>
  <c r="P44" i="3"/>
  <c r="P40" i="3"/>
  <c r="P36" i="3"/>
  <c r="P32" i="3"/>
  <c r="P28" i="3"/>
  <c r="P24" i="3"/>
  <c r="P20" i="3"/>
  <c r="P16" i="3"/>
  <c r="P12" i="3"/>
  <c r="P8" i="3"/>
  <c r="P3" i="3"/>
  <c r="P271" i="3"/>
  <c r="P263" i="3"/>
  <c r="P259" i="3"/>
  <c r="P255" i="3"/>
  <c r="P251" i="3"/>
  <c r="P243" i="3"/>
  <c r="P239" i="3"/>
  <c r="P235" i="3"/>
  <c r="P231" i="3"/>
  <c r="P227" i="3"/>
  <c r="P223" i="3"/>
  <c r="P219" i="3"/>
  <c r="P215" i="3"/>
  <c r="P211" i="3"/>
  <c r="P207" i="3"/>
  <c r="P199" i="3"/>
  <c r="P195" i="3"/>
  <c r="P191" i="3"/>
  <c r="P187" i="3"/>
  <c r="P179" i="3"/>
  <c r="P175" i="3"/>
  <c r="P171" i="3"/>
  <c r="P167" i="3"/>
  <c r="P163" i="3"/>
  <c r="P159" i="3"/>
  <c r="P155" i="3"/>
  <c r="P151" i="3"/>
  <c r="P147" i="3"/>
  <c r="P143" i="3"/>
  <c r="P139" i="3"/>
  <c r="P135" i="3"/>
  <c r="P131" i="3"/>
  <c r="P127" i="3"/>
  <c r="P123" i="3"/>
  <c r="P119" i="3"/>
  <c r="P115" i="3"/>
  <c r="P111" i="3"/>
  <c r="P107" i="3"/>
  <c r="P103" i="3"/>
  <c r="P99" i="3"/>
  <c r="P95" i="3"/>
  <c r="P91" i="3"/>
  <c r="P87" i="3"/>
  <c r="P83" i="3"/>
  <c r="P79" i="3"/>
  <c r="P75" i="3"/>
  <c r="P71" i="3"/>
  <c r="P67" i="3"/>
  <c r="P63" i="3"/>
  <c r="P59" i="3"/>
  <c r="P55" i="3"/>
  <c r="P51" i="3"/>
  <c r="P47" i="3"/>
  <c r="P43" i="3"/>
  <c r="P39" i="3"/>
  <c r="P35" i="3"/>
  <c r="P31" i="3"/>
  <c r="P27" i="3"/>
  <c r="P23" i="3"/>
  <c r="P19" i="3"/>
  <c r="P15" i="3"/>
  <c r="P11" i="3"/>
  <c r="P7" i="3"/>
</calcChain>
</file>

<file path=xl/sharedStrings.xml><?xml version="1.0" encoding="utf-8"?>
<sst xmlns="http://schemas.openxmlformats.org/spreadsheetml/2006/main" count="29448" uniqueCount="71">
  <si>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</si>
  <si>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</si>
  <si>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</si>
  <si>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</si>
  <si>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</si>
  <si>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</si>
  <si>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</si>
  <si>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</si>
  <si>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</si>
  <si>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</si>
  <si>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</si>
  <si>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</si>
  <si>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</si>
  <si>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</si>
  <si>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</si>
  <si>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</si>
  <si>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</si>
  <si>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</si>
  <si>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</si>
  <si>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</si>
  <si>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</si>
  <si>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</si>
  <si>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</si>
  <si>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</si>
  <si>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</si>
  <si>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</si>
  <si>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</si>
  <si>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</si>
  <si>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</si>
  <si>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</si>
  <si>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</si>
  <si>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</si>
  <si>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</si>
  <si>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</si>
  <si>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</si>
  <si>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</si>
  <si>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</si>
  <si>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</si>
  <si>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</si>
  <si>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</si>
  <si>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</si>
  <si>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</si>
  <si>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Revenue</t>
  </si>
  <si>
    <t>Profit</t>
  </si>
  <si>
    <t>Grand Total</t>
  </si>
  <si>
    <t>Sum of Profit</t>
  </si>
  <si>
    <t>Sum of Revenue</t>
  </si>
  <si>
    <t>Month</t>
  </si>
  <si>
    <t>COGS</t>
  </si>
  <si>
    <t>Sum of COGS</t>
  </si>
  <si>
    <t xml:space="preserve">     City</t>
  </si>
  <si>
    <t xml:space="preserve">    Product</t>
  </si>
  <si>
    <t xml:space="preserve">     Month</t>
  </si>
  <si>
    <t>Sales Rep by Revenue</t>
  </si>
  <si>
    <t>Product by Profit</t>
  </si>
  <si>
    <t>City by COGS</t>
  </si>
  <si>
    <t>Monthly Customer</t>
  </si>
  <si>
    <t>Column1</t>
  </si>
  <si>
    <t>Month -w</t>
  </si>
  <si>
    <t>JAN</t>
  </si>
  <si>
    <t>FEB</t>
  </si>
  <si>
    <t>MAR</t>
  </si>
  <si>
    <t>APR</t>
  </si>
  <si>
    <t>MAY</t>
  </si>
  <si>
    <t>JUN</t>
  </si>
  <si>
    <t>JUL</t>
  </si>
  <si>
    <t>AUG</t>
  </si>
  <si>
    <t>SEPT</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</si>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</sst>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46A]#,##0"/>
    <numFmt numFmtId="165" formatCode="#,##0\ [$₦-467]"/>
    <numFmt numFmtId="166" formatCode="[$₦-469]\ #,##0"/>
    <numFmt numFmtId="167" formatCode="[$-409]d\-mmm\-yyyy;@"/>
  </numFmts>
  <fonts count="8" x14ac:knownFonts="1">
    <font>
      <sz val="11"/>
      <color theme="1"/>
      <name val="Calibri"/>
      <scheme val="minor"/>
    </font>
    <font>
      <sz val="11"/>
      <color theme="1"/>
      <name val="Calibri"/>
      <family val="2"/>
      <scheme val="minor"/>
    </font>
    <font>
      <sz val="11"/>
      <color rgb="FFFFFFFF"/>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4"/>
      <color theme="1"/>
      <name val="Calibri"/>
      <family val="2"/>
      <scheme val="minor"/>
    </font>
  </fonts>
  <fills count="2">
    <fill>
      <patternFill patternType="none"/>
    </fill>
    <fill>
      <patternFill patternType="gray125"/>
    </fill>
  </fills>
  <borders count="8">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right/>
      <top/>
      <bottom style="thin">
        <color rgb="FF999999"/>
      </bottom>
      <diagonal/>
    </border>
  </borders>
  <cellStyleXfs count="2">
    <xf numFmtId="0" fontId="0" fillId="0" borderId="0"/>
    <xf numFmtId="44" fontId="3" fillId="0" borderId="0" applyFont="0" applyFill="0" applyBorder="0" applyAlignment="0" applyProtection="0"/>
  </cellStyleXfs>
  <cellXfs count="38">
    <xf numFmtId="0" fontId="0" fillId="0" borderId="0" xfId="0"/>
    <xf numFmtId="0" fontId="2" fillId="0" borderId="0" xfId="0" applyFont="1"/>
    <xf numFmtId="0" fontId="3" fillId="0" borderId="0" xfId="0" applyFont="1"/>
    <xf numFmtId="0" fontId="1" fillId="0" borderId="0" xfId="0" applyFont="1"/>
    <xf numFmtId="0" fontId="0" fillId="0" borderId="1" xfId="0" pivotButton="1" applyBorder="1"/>
    <xf numFmtId="0" fontId="0" fillId="0" borderId="5" xfId="0"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164" fontId="5" fillId="0" borderId="0" xfId="1" applyNumberFormat="1" applyFont="1"/>
    <xf numFmtId="164" fontId="0" fillId="0" borderId="0" xfId="1" applyNumberFormat="1" applyFont="1"/>
    <xf numFmtId="165" fontId="2" fillId="0" borderId="0" xfId="1" applyNumberFormat="1" applyFont="1"/>
    <xf numFmtId="165" fontId="3" fillId="0" borderId="0" xfId="1" applyNumberFormat="1" applyFont="1"/>
    <xf numFmtId="165" fontId="0" fillId="0" borderId="0" xfId="1" applyNumberFormat="1" applyFont="1"/>
    <xf numFmtId="166" fontId="2" fillId="0" borderId="0" xfId="1" applyNumberFormat="1" applyFont="1"/>
    <xf numFmtId="166" fontId="3" fillId="0" borderId="0" xfId="1" applyNumberFormat="1" applyFont="1"/>
    <xf numFmtId="166" fontId="0" fillId="0" borderId="0" xfId="1" applyNumberFormat="1" applyFont="1"/>
    <xf numFmtId="166" fontId="5" fillId="0" borderId="0" xfId="1" applyNumberFormat="1" applyFont="1"/>
    <xf numFmtId="165" fontId="0" fillId="0" borderId="5" xfId="0" applyNumberFormat="1" applyBorder="1"/>
    <xf numFmtId="165" fontId="0" fillId="0" borderId="6" xfId="0" applyNumberFormat="1" applyBorder="1"/>
    <xf numFmtId="165" fontId="0" fillId="0" borderId="4" xfId="0" applyNumberFormat="1" applyBorder="1"/>
    <xf numFmtId="164" fontId="0" fillId="0" borderId="5" xfId="0" applyNumberFormat="1" applyBorder="1"/>
    <xf numFmtId="164" fontId="0" fillId="0" borderId="6" xfId="0" applyNumberFormat="1" applyBorder="1"/>
    <xf numFmtId="164" fontId="0" fillId="0" borderId="4" xfId="0" applyNumberFormat="1" applyBorder="1"/>
    <xf numFmtId="166" fontId="0" fillId="0" borderId="5" xfId="0" applyNumberFormat="1" applyBorder="1"/>
    <xf numFmtId="166" fontId="0" fillId="0" borderId="6" xfId="0" applyNumberFormat="1" applyBorder="1"/>
    <xf numFmtId="166" fontId="0" fillId="0" borderId="4" xfId="0" applyNumberFormat="1" applyBorder="1"/>
    <xf numFmtId="164" fontId="0" fillId="0" borderId="0" xfId="0" applyNumberFormat="1"/>
    <xf numFmtId="0" fontId="5" fillId="0" borderId="0" xfId="0" applyFont="1"/>
    <xf numFmtId="1" fontId="2" fillId="0" borderId="0" xfId="0" applyNumberFormat="1" applyFont="1" applyAlignment="1">
      <alignment horizontal="center" vertical="center"/>
    </xf>
    <xf numFmtId="1" fontId="3" fillId="0" borderId="0" xfId="0" applyNumberFormat="1" applyFont="1" applyAlignment="1">
      <alignment horizontal="center" vertical="center"/>
    </xf>
    <xf numFmtId="1" fontId="0" fillId="0" borderId="0" xfId="0" applyNumberFormat="1" applyAlignment="1">
      <alignment horizontal="center" vertical="center"/>
    </xf>
    <xf numFmtId="167" fontId="2" fillId="0" borderId="0" xfId="0" applyNumberFormat="1" applyFont="1"/>
    <xf numFmtId="167" fontId="3" fillId="0" borderId="0" xfId="0" applyNumberFormat="1" applyFont="1"/>
    <xf numFmtId="167" fontId="0" fillId="0" borderId="0" xfId="0" applyNumberFormat="1"/>
    <xf numFmtId="0" fontId="4" fillId="0" borderId="0" xfId="0" applyFont="1" applyAlignment="1">
      <alignment horizontal="center"/>
    </xf>
    <xf numFmtId="0" fontId="7" fillId="0" borderId="7" xfId="0" applyFont="1" applyBorder="1" applyAlignment="1">
      <alignment horizontal="center"/>
    </xf>
    <xf numFmtId="0" fontId="0" fillId="0" borderId="7" xfId="0" applyBorder="1" applyAlignment="1">
      <alignment horizontal="center"/>
    </xf>
  </cellXfs>
  <cellStyles count="2">
    <cellStyle name="Currency" xfId="1" builtinId="4"/>
    <cellStyle name="Normal" xfId="0" builtinId="0"/>
  </cellStyles>
  <dxfs count="14">
    <dxf>
      <numFmt numFmtId="164" formatCode="[$₦-46A]#,##0"/>
    </dxf>
    <dxf>
      <numFmt numFmtId="166" formatCode="[$₦-469]\ #,##0"/>
    </dxf>
    <dxf>
      <numFmt numFmtId="164" formatCode="[$₦-46A]#,##0"/>
    </dxf>
    <dxf>
      <numFmt numFmtId="165" formatCode="#,##0\ [$₦-467]"/>
    </dxf>
    <dxf>
      <numFmt numFmtId="166" formatCode="[$₦-469]\ #,##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0" indent="0" justifyLastLine="0" shrinkToFit="0" readingOrder="0"/>
    </dxf>
    <dxf>
      <numFmt numFmtId="167" formatCode="[$-409]d\-mmm\-yyyy;@"/>
    </dxf>
    <dxf>
      <numFmt numFmtId="0" formatCode="General"/>
    </dxf>
    <dxf>
      <font>
        <b val="0"/>
        <i val="0"/>
        <strike val="0"/>
        <condense val="0"/>
        <extend val="0"/>
        <outline val="0"/>
        <shadow val="0"/>
        <u val="none"/>
        <vertAlign val="baseline"/>
        <sz val="11"/>
        <color theme="1"/>
        <name val="Calibri"/>
        <family val="2"/>
        <scheme val="minor"/>
      </font>
      <numFmt numFmtId="167" formatCode="[$-409]d\-mmm\-yyyy;@"/>
    </dxf>
    <dxf>
      <numFmt numFmtId="167" formatCode="[$-409]d\-mmm\-yyyy;@"/>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Sales Data-style" pivot="0" count="3" xr9:uid="{00000000-0011-0000-FFFF-FFFF00000000}">
      <tableStyleElement type="headerRow" dxfId="1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 /><Relationship Id="rId18" Type="http://schemas.openxmlformats.org/officeDocument/2006/relationships/customXml" Target="../customXml/item1.xml" /><Relationship Id="rId3" Type="http://schemas.openxmlformats.org/officeDocument/2006/relationships/worksheet" Target="worksheets/sheet3.xml" /><Relationship Id="rId7" Type="http://schemas.microsoft.com/office/2007/relationships/slicerCache" Target="slicerCaches/slicerCache2.xml" /><Relationship Id="rId17"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sharedStrings" Target="sharedStrings.xml" /><Relationship Id="rId1" Type="http://schemas.openxmlformats.org/officeDocument/2006/relationships/worksheet" Target="worksheets/sheet1.xml" /><Relationship Id="rId6" Type="http://schemas.microsoft.com/office/2007/relationships/slicerCache" Target="slicerCaches/slicerCache1.xml" /><Relationship Id="rId5" Type="http://schemas.openxmlformats.org/officeDocument/2006/relationships/pivotCacheDefinition" Target="pivotCache/pivotCacheDefinition1.xml" /><Relationship Id="rId15" Type="http://schemas.openxmlformats.org/officeDocument/2006/relationships/styles" Target="styles.xml" /><Relationship Id="rId4" Type="http://schemas.openxmlformats.org/officeDocument/2006/relationships/worksheet" Target="worksheets/sheet4.xml" /><Relationship Id="rId14" Type="http://schemas.openxmlformats.org/officeDocument/2006/relationships/theme" Target="theme/theme1.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[TS-Academy_Project(EXCEL).xlsx]Pivot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Worst Performing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Table'!$B$37</c:f>
              <c:strCache>
                <c:ptCount val="1"/>
                <c:pt idx="0">
                  <c:v>Total</c:v>
                </c:pt>
              </c:strCache>
            </c:strRef>
          </c:tx>
          <c:spPr>
            <a:solidFill>
              <a:schemeClr val="accent6"/>
            </a:solidFill>
            <a:ln>
              <a:noFill/>
            </a:ln>
            <a:effectLst/>
          </c:spPr>
          <c:invertIfNegative val="0"/>
          <c:dPt>
            <c:idx val="10"/>
            <c:invertIfNegative val="0"/>
            <c:bubble3D val="0"/>
            <c:extLst>
              <c:ext xmlns:c16="http://schemas.microsoft.com/office/drawing/2014/chart" uri="{C3380CC4-5D6E-409C-BE32-E72D297353CC}">
                <c16:uniqueId val="{00000002-6201-4D81-85AF-F07FA84DFB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Table'!$A$38:$A$50</c:f>
              <c:strCache>
                <c:ptCount val="12"/>
                <c:pt idx="0">
                  <c:v>JAN</c:v>
                </c:pt>
                <c:pt idx="1">
                  <c:v>FEB</c:v>
                </c:pt>
                <c:pt idx="2">
                  <c:v>MAR</c:v>
                </c:pt>
                <c:pt idx="3">
                  <c:v>APR</c:v>
                </c:pt>
                <c:pt idx="4">
                  <c:v>MAY</c:v>
                </c:pt>
                <c:pt idx="5">
                  <c:v>JUN</c:v>
                </c:pt>
                <c:pt idx="6">
                  <c:v>JUL</c:v>
                </c:pt>
                <c:pt idx="7">
                  <c:v>AUG</c:v>
                </c:pt>
                <c:pt idx="8">
                  <c:v>OCT</c:v>
                </c:pt>
                <c:pt idx="9">
                  <c:v>NOV</c:v>
                </c:pt>
                <c:pt idx="10">
                  <c:v>DEC</c:v>
                </c:pt>
                <c:pt idx="11">
                  <c:v>SEPT</c:v>
                </c:pt>
              </c:strCache>
            </c:strRef>
          </c:cat>
          <c:val>
            <c:numRef>
              <c:f>'Pivot Table'!$B$38:$B$50</c:f>
              <c:numCache>
                <c:formatCode>#,##0\ [$₦-467]</c:formatCode>
                <c:ptCount val="12"/>
                <c:pt idx="0">
                  <c:v>187065000</c:v>
                </c:pt>
                <c:pt idx="1">
                  <c:v>205430000</c:v>
                </c:pt>
                <c:pt idx="2">
                  <c:v>224260000</c:v>
                </c:pt>
                <c:pt idx="3">
                  <c:v>220775000</c:v>
                </c:pt>
                <c:pt idx="4">
                  <c:v>205310000</c:v>
                </c:pt>
                <c:pt idx="5">
                  <c:v>178545000</c:v>
                </c:pt>
                <c:pt idx="6">
                  <c:v>192555000</c:v>
                </c:pt>
                <c:pt idx="7">
                  <c:v>214015000</c:v>
                </c:pt>
                <c:pt idx="8">
                  <c:v>175055000</c:v>
                </c:pt>
                <c:pt idx="9">
                  <c:v>152120000</c:v>
                </c:pt>
                <c:pt idx="10">
                  <c:v>188190000</c:v>
                </c:pt>
                <c:pt idx="11">
                  <c:v>185050000</c:v>
                </c:pt>
              </c:numCache>
            </c:numRef>
          </c:val>
          <c:extLst>
            <c:ext xmlns:c16="http://schemas.microsoft.com/office/drawing/2014/chart" uri="{C3380CC4-5D6E-409C-BE32-E72D297353CC}">
              <c16:uniqueId val="{00000000-6201-4D81-85AF-F07FA84DFB85}"/>
            </c:ext>
          </c:extLst>
        </c:ser>
        <c:dLbls>
          <c:dLblPos val="outEnd"/>
          <c:showLegendKey val="0"/>
          <c:showVal val="1"/>
          <c:showCatName val="0"/>
          <c:showSerName val="0"/>
          <c:showPercent val="0"/>
          <c:showBubbleSize val="0"/>
        </c:dLbls>
        <c:gapWidth val="182"/>
        <c:axId val="19826128"/>
        <c:axId val="19827568"/>
      </c:barChart>
      <c:catAx>
        <c:axId val="1982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568"/>
        <c:crosses val="autoZero"/>
        <c:auto val="1"/>
        <c:lblAlgn val="ctr"/>
        <c:lblOffset val="100"/>
        <c:noMultiLvlLbl val="0"/>
      </c:catAx>
      <c:valAx>
        <c:axId val="19827568"/>
        <c:scaling>
          <c:orientation val="minMax"/>
        </c:scaling>
        <c:delete val="1"/>
        <c:axPos val="b"/>
        <c:majorGridlines>
          <c:spPr>
            <a:ln w="9525" cap="flat" cmpd="sng" algn="ctr">
              <a:solidFill>
                <a:schemeClr val="tx1">
                  <a:lumMod val="15000"/>
                  <a:lumOff val="85000"/>
                </a:schemeClr>
              </a:solidFill>
              <a:round/>
            </a:ln>
            <a:effectLst/>
          </c:spPr>
        </c:majorGridlines>
        <c:numFmt formatCode="#,##0\ [$₦-467]" sourceLinked="1"/>
        <c:majorTickMark val="none"/>
        <c:minorTickMark val="none"/>
        <c:tickLblPos val="nextTo"/>
        <c:crossAx val="1982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[TS-Academy_Project(EXCEL).xlsx]Pivot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Most Profitable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s>
    <c:plotArea>
      <c:layout/>
      <c:barChart>
        <c:barDir val="bar"/>
        <c:grouping val="clustered"/>
        <c:varyColors val="0"/>
        <c:ser>
          <c:idx val="0"/>
          <c:order val="0"/>
          <c:tx>
            <c:strRef>
              <c:f>'Pivot Table'!$B$2</c:f>
              <c:strCache>
                <c:ptCount val="1"/>
                <c:pt idx="0">
                  <c:v>Total</c:v>
                </c:pt>
              </c:strCache>
            </c:strRef>
          </c:tx>
          <c:spPr>
            <a:solidFill>
              <a:schemeClr val="accent6">
                <a:lumMod val="75000"/>
              </a:schemeClr>
            </a:solidFill>
            <a:ln>
              <a:noFill/>
            </a:ln>
            <a:effectLst/>
          </c:spPr>
          <c:invertIfNegative val="0"/>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2-63D8-4589-9E10-1E9E6FB16B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Table'!$A$3:$A$13</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'Pivot Table'!$B$3:$B$13</c:f>
              <c:numCache>
                <c:formatCode>[$₦-46A]#,##0</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63D8-4589-9E10-1E9E6FB16BA3}"/>
            </c:ext>
          </c:extLst>
        </c:ser>
        <c:dLbls>
          <c:dLblPos val="outEnd"/>
          <c:showLegendKey val="0"/>
          <c:showVal val="1"/>
          <c:showCatName val="0"/>
          <c:showSerName val="0"/>
          <c:showPercent val="0"/>
          <c:showBubbleSize val="0"/>
        </c:dLbls>
        <c:gapWidth val="219"/>
        <c:axId val="19821328"/>
        <c:axId val="19835248"/>
      </c:barChart>
      <c:catAx>
        <c:axId val="1982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5248"/>
        <c:crosses val="autoZero"/>
        <c:auto val="1"/>
        <c:lblAlgn val="ctr"/>
        <c:lblOffset val="100"/>
        <c:noMultiLvlLbl val="0"/>
      </c:catAx>
      <c:valAx>
        <c:axId val="19835248"/>
        <c:scaling>
          <c:orientation val="minMax"/>
        </c:scaling>
        <c:delete val="1"/>
        <c:axPos val="b"/>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crossAx val="1982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[TS-Academy_Project(EXCEL).xlsx]Pivot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Most Profitable Sales Rep</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s>
    <c:plotArea>
      <c:layout>
        <c:manualLayout>
          <c:layoutTarget val="inner"/>
          <c:xMode val="edge"/>
          <c:yMode val="edge"/>
          <c:x val="0.15524759405074365"/>
          <c:y val="0.26328484981044037"/>
          <c:w val="0.65858530183727038"/>
          <c:h val="0.53774387576552929"/>
        </c:manualLayout>
      </c:layout>
      <c:barChart>
        <c:barDir val="col"/>
        <c:grouping val="clustered"/>
        <c:varyColors val="0"/>
        <c:ser>
          <c:idx val="0"/>
          <c:order val="0"/>
          <c:tx>
            <c:strRef>
              <c:f>'Pivot Table'!$B$17</c:f>
              <c:strCache>
                <c:ptCount val="1"/>
                <c:pt idx="0">
                  <c:v>Total</c:v>
                </c:pt>
              </c:strCache>
            </c:strRef>
          </c:tx>
          <c:spPr>
            <a:solidFill>
              <a:schemeClr val="accent6">
                <a:lumMod val="50000"/>
              </a:schemeClr>
            </a:solidFill>
            <a:ln>
              <a:noFill/>
            </a:ln>
            <a:effectLst/>
          </c:spPr>
          <c:invertIfNegative val="0"/>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2-ED78-4FB0-B5A5-996DD0C6BF79}"/>
              </c:ext>
            </c:extLst>
          </c:dPt>
          <c:cat>
            <c:strRef>
              <c:f>'Pivot Table'!$A$18:$A$24</c:f>
              <c:strCache>
                <c:ptCount val="6"/>
                <c:pt idx="0">
                  <c:v>Aisha</c:v>
                </c:pt>
                <c:pt idx="1">
                  <c:v>Chidinma</c:v>
                </c:pt>
                <c:pt idx="2">
                  <c:v>David</c:v>
                </c:pt>
                <c:pt idx="3">
                  <c:v>Grace</c:v>
                </c:pt>
                <c:pt idx="4">
                  <c:v>Musa</c:v>
                </c:pt>
                <c:pt idx="5">
                  <c:v>Peter</c:v>
                </c:pt>
              </c:strCache>
            </c:strRef>
          </c:cat>
          <c:val>
            <c:numRef>
              <c:f>'Pivot Table'!$B$18:$B$24</c:f>
              <c:numCache>
                <c:formatCode>[$₦-469]\ #,##0</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ED78-4FB0-B5A5-996DD0C6BF79}"/>
            </c:ext>
          </c:extLst>
        </c:ser>
        <c:dLbls>
          <c:showLegendKey val="0"/>
          <c:showVal val="0"/>
          <c:showCatName val="0"/>
          <c:showSerName val="0"/>
          <c:showPercent val="0"/>
          <c:showBubbleSize val="0"/>
        </c:dLbls>
        <c:gapWidth val="219"/>
        <c:axId val="19813168"/>
        <c:axId val="19812688"/>
      </c:barChart>
      <c:catAx>
        <c:axId val="1981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2688"/>
        <c:crosses val="autoZero"/>
        <c:auto val="1"/>
        <c:lblAlgn val="ctr"/>
        <c:lblOffset val="100"/>
        <c:noMultiLvlLbl val="0"/>
      </c:catAx>
      <c:valAx>
        <c:axId val="19812688"/>
        <c:scaling>
          <c:orientation val="minMax"/>
        </c:scaling>
        <c:delete val="0"/>
        <c:axPos val="l"/>
        <c:majorGridlines>
          <c:spPr>
            <a:ln w="9525" cap="flat" cmpd="sng" algn="ctr">
              <a:solidFill>
                <a:schemeClr val="tx1">
                  <a:lumMod val="15000"/>
                  <a:lumOff val="85000"/>
                </a:schemeClr>
              </a:solidFill>
              <a:round/>
            </a:ln>
            <a:effectLst/>
          </c:spPr>
        </c:majorGridlines>
        <c:numFmt formatCode="[$₦-46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[TS-Academy_Project(EXCEL).xlsx]Pivot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City by COGS</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lt1"/>
            </a:solidFill>
          </a:ln>
          <a:effectLst/>
        </c:spPr>
        <c:dLbl>
          <c:idx val="0"/>
          <c:layout>
            <c:manualLayout>
              <c:x val="-3.8647336461412003E-2"/>
              <c:y val="4.2247874503901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725170438811258"/>
                  <c:h val="9.6000080629988979E-2"/>
                </c:manualLayout>
              </c15:layout>
            </c:ext>
          </c:extLst>
        </c:dLbl>
      </c:pivotFmt>
      <c:pivotFmt>
        <c:idx val="2"/>
        <c:spPr>
          <a:solidFill>
            <a:schemeClr val="accent6"/>
          </a:solidFill>
          <a:ln w="19050">
            <a:solidFill>
              <a:schemeClr val="lt1"/>
            </a:solidFill>
          </a:ln>
          <a:effectLst/>
        </c:spPr>
        <c:dLbl>
          <c:idx val="0"/>
          <c:layout>
            <c:manualLayout>
              <c:x val="-3.4353187965699639E-2"/>
              <c:y val="-2.70524811639386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544279602490336"/>
                  <c:h val="9.6000080629988979E-2"/>
                </c:manualLayout>
              </c15:layout>
            </c:ext>
          </c:extLst>
        </c:dLbl>
      </c:pivotFmt>
      <c:pivotFmt>
        <c:idx val="3"/>
        <c:spPr>
          <a:solidFill>
            <a:schemeClr val="accent6">
              <a:lumMod val="50000"/>
            </a:schemeClr>
          </a:solidFill>
          <a:ln w="19050">
            <a:solidFill>
              <a:schemeClr val="lt1"/>
            </a:solidFill>
          </a:ln>
          <a:effectLst/>
        </c:spPr>
        <c:dLbl>
          <c:idx val="0"/>
          <c:layout>
            <c:manualLayout>
              <c:x val="5.29145603079344E-2"/>
              <c:y val="5.9578842690891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535691305498906"/>
                  <c:h val="0.1775645935800611"/>
                </c:manualLayout>
              </c15:layout>
            </c:ext>
          </c:extLst>
        </c:dLbl>
      </c:pivotFmt>
      <c:pivotFmt>
        <c:idx val="4"/>
        <c:spPr>
          <a:solidFill>
            <a:schemeClr val="accent6">
              <a:lumMod val="75000"/>
            </a:schemeClr>
          </a:solidFill>
          <a:ln w="19050">
            <a:solidFill>
              <a:schemeClr val="lt1"/>
            </a:solidFill>
          </a:ln>
          <a:effectLst/>
        </c:spPr>
        <c:dLbl>
          <c:idx val="0"/>
          <c:layout>
            <c:manualLayout>
              <c:x val="1.248549034273053E-2"/>
              <c:y val="-9.35459053403929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388617057642688"/>
                  <c:h val="0.1775645935800611"/>
                </c:manualLayout>
              </c15:layout>
            </c:ext>
          </c:extLst>
        </c:dLbl>
      </c:pivotFmt>
    </c:pivotFmts>
    <c:plotArea>
      <c:layout/>
      <c:pieChart>
        <c:varyColors val="1"/>
        <c:ser>
          <c:idx val="0"/>
          <c:order val="0"/>
          <c:tx>
            <c:strRef>
              <c:f>'Pivot Table'!$B$28</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2-DB1A-42B2-8FA1-F71BB30955CE}"/>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DB1A-42B2-8FA1-F71BB30955CE}"/>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DB1A-42B2-8FA1-F71BB30955CE}"/>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4-DB1A-42B2-8FA1-F71BB30955CE}"/>
              </c:ext>
            </c:extLst>
          </c:dPt>
          <c:dLbls>
            <c:dLbl>
              <c:idx val="0"/>
              <c:layout>
                <c:manualLayout>
                  <c:x val="-3.8647336461412003E-2"/>
                  <c:y val="4.2247874503901599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3725170438811258"/>
                      <c:h val="9.6000080629988979E-2"/>
                    </c:manualLayout>
                  </c15:layout>
                </c:ext>
                <c:ext xmlns:c16="http://schemas.microsoft.com/office/drawing/2014/chart" uri="{C3380CC4-5D6E-409C-BE32-E72D297353CC}">
                  <c16:uniqueId val="{00000002-DB1A-42B2-8FA1-F71BB30955CE}"/>
                </c:ext>
              </c:extLst>
            </c:dLbl>
            <c:dLbl>
              <c:idx val="1"/>
              <c:layout>
                <c:manualLayout>
                  <c:x val="-3.4353187965699639E-2"/>
                  <c:y val="-2.7052481163938685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2544279602490336"/>
                      <c:h val="9.6000080629988979E-2"/>
                    </c:manualLayout>
                  </c15:layout>
                </c:ext>
                <c:ext xmlns:c16="http://schemas.microsoft.com/office/drawing/2014/chart" uri="{C3380CC4-5D6E-409C-BE32-E72D297353CC}">
                  <c16:uniqueId val="{00000003-DB1A-42B2-8FA1-F71BB30955CE}"/>
                </c:ext>
              </c:extLst>
            </c:dLbl>
            <c:dLbl>
              <c:idx val="2"/>
              <c:layout>
                <c:manualLayout>
                  <c:x val="1.248549034273053E-2"/>
                  <c:y val="-9.3545905340392935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0388617057642688"/>
                      <c:h val="0.1775645935800611"/>
                    </c:manualLayout>
                  </c15:layout>
                </c:ext>
                <c:ext xmlns:c16="http://schemas.microsoft.com/office/drawing/2014/chart" uri="{C3380CC4-5D6E-409C-BE32-E72D297353CC}">
                  <c16:uniqueId val="{00000005-DB1A-42B2-8FA1-F71BB30955CE}"/>
                </c:ext>
              </c:extLst>
            </c:dLbl>
            <c:dLbl>
              <c:idx val="3"/>
              <c:layout>
                <c:manualLayout>
                  <c:x val="5.29145603079344E-2"/>
                  <c:y val="5.9578842690891497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2535691305498906"/>
                      <c:h val="0.1775645935800611"/>
                    </c:manualLayout>
                  </c15:layout>
                </c:ext>
                <c:ext xmlns:c16="http://schemas.microsoft.com/office/drawing/2014/chart" uri="{C3380CC4-5D6E-409C-BE32-E72D297353CC}">
                  <c16:uniqueId val="{00000004-DB1A-42B2-8FA1-F71BB30955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Table'!$A$29:$A$33</c:f>
              <c:strCache>
                <c:ptCount val="4"/>
                <c:pt idx="0">
                  <c:v>Abuja</c:v>
                </c:pt>
                <c:pt idx="1">
                  <c:v>Kano</c:v>
                </c:pt>
                <c:pt idx="2">
                  <c:v>Lagos</c:v>
                </c:pt>
                <c:pt idx="3">
                  <c:v>Port Harcourt</c:v>
                </c:pt>
              </c:strCache>
            </c:strRef>
          </c:cat>
          <c:val>
            <c:numRef>
              <c:f>'Pivot Table'!$B$29:$B$33</c:f>
              <c:numCache>
                <c:formatCode>[$₦-469]\ #,##0</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DB1A-42B2-8FA1-F71BB30955C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466215364057575"/>
          <c:y val="0.27265758683401864"/>
          <c:w val="0.22957295538514963"/>
          <c:h val="0.611769402710959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[TS-Academy_Project(EXCEL).xlsx]Pivot Table!PivotTable8</c:name>
    <c:fmtId val="1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Most Profitable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pivotFmt>
    </c:pivotFmts>
    <c:plotArea>
      <c:layout/>
      <c:barChart>
        <c:barDir val="bar"/>
        <c:grouping val="clustered"/>
        <c:varyColors val="0"/>
        <c:ser>
          <c:idx val="0"/>
          <c:order val="0"/>
          <c:tx>
            <c:strRef>
              <c:f>'Pivot Table'!$B$2</c:f>
              <c:strCache>
                <c:ptCount val="1"/>
                <c:pt idx="0">
                  <c:v>Total</c:v>
                </c:pt>
              </c:strCache>
            </c:strRef>
          </c:tx>
          <c:spPr>
            <a:solidFill>
              <a:schemeClr val="accent6">
                <a:lumMod val="75000"/>
              </a:schemeClr>
            </a:solidFill>
            <a:ln>
              <a:noFill/>
            </a:ln>
            <a:effectLst/>
          </c:spPr>
          <c:invertIfNegative val="0"/>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1-41DE-431D-86FC-07E9C303B1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Table'!$A$3:$A$13</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'Pivot Table'!$B$3:$B$13</c:f>
              <c:numCache>
                <c:formatCode>[$₦-46A]#,##0</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2-41DE-431D-86FC-07E9C303B118}"/>
            </c:ext>
          </c:extLst>
        </c:ser>
        <c:dLbls>
          <c:dLblPos val="outEnd"/>
          <c:showLegendKey val="0"/>
          <c:showVal val="1"/>
          <c:showCatName val="0"/>
          <c:showSerName val="0"/>
          <c:showPercent val="0"/>
          <c:showBubbleSize val="0"/>
        </c:dLbls>
        <c:gapWidth val="219"/>
        <c:axId val="19821328"/>
        <c:axId val="19835248"/>
      </c:barChart>
      <c:catAx>
        <c:axId val="1982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35248"/>
        <c:crosses val="autoZero"/>
        <c:auto val="1"/>
        <c:lblAlgn val="ctr"/>
        <c:lblOffset val="100"/>
        <c:noMultiLvlLbl val="0"/>
      </c:catAx>
      <c:valAx>
        <c:axId val="19835248"/>
        <c:scaling>
          <c:orientation val="minMax"/>
        </c:scaling>
        <c:delete val="1"/>
        <c:axPos val="b"/>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crossAx val="1982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27000">
        <a:schemeClr val="accent1">
          <a:alpha val="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[TS-Academy_Project(EXCEL).xlsx]Pivot Table!PivotTable9</c:name>
    <c:fmtId val="8"/>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b="1">
                <a:solidFill>
                  <a:schemeClr val="accent6">
                    <a:lumMod val="50000"/>
                  </a:schemeClr>
                </a:solidFill>
              </a:rPr>
              <a:t>Most Profitable Sales Rep.</a:t>
            </a:r>
          </a:p>
        </c:rich>
      </c:tx>
      <c:layout>
        <c:manualLayout>
          <c:xMode val="edge"/>
          <c:yMode val="edge"/>
          <c:x val="0.25326730963452504"/>
          <c:y val="4.0579682360139889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pivotFmt>
      <c:pivotFmt>
        <c:idx val="6"/>
        <c:spPr>
          <a:solidFill>
            <a:schemeClr val="tx1">
              <a:lumMod val="50000"/>
              <a:lumOff val="50000"/>
            </a:schemeClr>
          </a:solidFill>
          <a:ln>
            <a:noFill/>
          </a:ln>
          <a:effectLst/>
        </c:spPr>
        <c:dLbl>
          <c:idx val="0"/>
          <c:layout>
            <c:manualLayout>
              <c:x val="-3.0803082442631066E-3"/>
              <c:y val="1.6908200983391547E-2"/>
            </c:manualLayout>
          </c:layout>
          <c:spPr>
            <a:noFill/>
            <a:ln>
              <a:noFill/>
            </a:ln>
            <a:effectLst/>
          </c:spPr>
          <c:txPr>
            <a:bodyPr rot="0" spcFirstLastPara="1" vertOverflow="ellipsis" vert="horz" wrap="square" lIns="38100" tIns="19050" rIns="38100" bIns="19050" anchor="ctr" anchorCtr="1">
              <a:no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999341250614848"/>
                  <c:h val="9.4584742571974328E-2"/>
                </c:manualLayout>
              </c15:layout>
            </c:ext>
          </c:extLst>
        </c:dLbl>
      </c:pivotFmt>
      <c:pivotFmt>
        <c:idx val="7"/>
        <c:spPr>
          <a:solidFill>
            <a:schemeClr val="tx1">
              <a:lumMod val="50000"/>
              <a:lumOff val="50000"/>
            </a:schemeClr>
          </a:solidFill>
          <a:ln>
            <a:noFill/>
          </a:ln>
          <a:effectLst/>
        </c:spPr>
        <c:dLbl>
          <c:idx val="0"/>
          <c:layout>
            <c:manualLayout>
              <c:x val="-6.1606164885262722E-3"/>
              <c:y val="-2.705312157342659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4759405074365"/>
          <c:y val="0.26328484981044037"/>
          <c:w val="0.65858530183727038"/>
          <c:h val="0.53774387576552929"/>
        </c:manualLayout>
      </c:layout>
      <c:barChart>
        <c:barDir val="col"/>
        <c:grouping val="clustered"/>
        <c:varyColors val="0"/>
        <c:ser>
          <c:idx val="0"/>
          <c:order val="0"/>
          <c:tx>
            <c:strRef>
              <c:f>'Pivot Table'!$B$17</c:f>
              <c:strCache>
                <c:ptCount val="1"/>
                <c:pt idx="0">
                  <c:v>Total</c:v>
                </c:pt>
              </c:strCache>
            </c:strRef>
          </c:tx>
          <c:spPr>
            <a:solidFill>
              <a:schemeClr val="tx1">
                <a:lumMod val="50000"/>
                <a:lumOff val="50000"/>
              </a:schemeClr>
            </a:solidFill>
            <a:ln>
              <a:noFill/>
            </a:ln>
            <a:effectLst/>
          </c:spPr>
          <c:invertIfNegative val="0"/>
          <c:dPt>
            <c:idx val="1"/>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4-9ED3-4D17-B01A-2E10406669C0}"/>
              </c:ext>
            </c:extLst>
          </c:dPt>
          <c:dPt>
            <c:idx val="2"/>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2-5D0C-4470-848F-46190E9BE712}"/>
              </c:ext>
            </c:extLst>
          </c:dPt>
          <c:dPt>
            <c:idx val="5"/>
            <c:invertIfNegative val="0"/>
            <c:bubble3D val="0"/>
            <c:spPr>
              <a:solidFill>
                <a:schemeClr val="accent6">
                  <a:lumMod val="50000"/>
                </a:schemeClr>
              </a:solidFill>
              <a:ln>
                <a:noFill/>
              </a:ln>
              <a:effectLst/>
            </c:spPr>
            <c:extLst>
              <c:ext xmlns:c16="http://schemas.microsoft.com/office/drawing/2014/chart" uri="{C3380CC4-5D6E-409C-BE32-E72D297353CC}">
                <c16:uniqueId val="{00000001-9ED3-4D17-B01A-2E10406669C0}"/>
              </c:ext>
            </c:extLst>
          </c:dPt>
          <c:dLbls>
            <c:dLbl>
              <c:idx val="1"/>
              <c:layout>
                <c:manualLayout>
                  <c:x val="-3.0803082442631066E-3"/>
                  <c:y val="1.6908200983391547E-2"/>
                </c:manualLayout>
              </c:layout>
              <c:spPr>
                <a:noFill/>
                <a:ln>
                  <a:noFill/>
                </a:ln>
                <a:effectLst/>
              </c:spPr>
              <c:txPr>
                <a:bodyPr rot="0" spcFirstLastPara="1" vertOverflow="ellipsis" vert="horz" wrap="square" lIns="38100" tIns="19050" rIns="38100" bIns="19050" anchor="ctr" anchorCtr="1">
                  <a:no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999341250614848"/>
                      <c:h val="9.4584742571974328E-2"/>
                    </c:manualLayout>
                  </c15:layout>
                </c:ext>
                <c:ext xmlns:c16="http://schemas.microsoft.com/office/drawing/2014/chart" uri="{C3380CC4-5D6E-409C-BE32-E72D297353CC}">
                  <c16:uniqueId val="{00000004-9ED3-4D17-B01A-2E10406669C0}"/>
                </c:ext>
              </c:extLst>
            </c:dLbl>
            <c:dLbl>
              <c:idx val="2"/>
              <c:layout>
                <c:manualLayout>
                  <c:x val="-6.1606164885262722E-3"/>
                  <c:y val="-2.7053121573426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D0C-4470-848F-46190E9BE712}"/>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Table'!$A$18:$A$24</c:f>
              <c:strCache>
                <c:ptCount val="6"/>
                <c:pt idx="0">
                  <c:v>Aisha</c:v>
                </c:pt>
                <c:pt idx="1">
                  <c:v>Chidinma</c:v>
                </c:pt>
                <c:pt idx="2">
                  <c:v>David</c:v>
                </c:pt>
                <c:pt idx="3">
                  <c:v>Grace</c:v>
                </c:pt>
                <c:pt idx="4">
                  <c:v>Musa</c:v>
                </c:pt>
                <c:pt idx="5">
                  <c:v>Peter</c:v>
                </c:pt>
              </c:strCache>
            </c:strRef>
          </c:cat>
          <c:val>
            <c:numRef>
              <c:f>'Pivot Table'!$B$18:$B$24</c:f>
              <c:numCache>
                <c:formatCode>[$₦-469]\ #,##0</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2-9ED3-4D17-B01A-2E10406669C0}"/>
            </c:ext>
          </c:extLst>
        </c:ser>
        <c:dLbls>
          <c:showLegendKey val="0"/>
          <c:showVal val="0"/>
          <c:showCatName val="0"/>
          <c:showSerName val="0"/>
          <c:showPercent val="0"/>
          <c:showBubbleSize val="0"/>
        </c:dLbls>
        <c:gapWidth val="219"/>
        <c:axId val="19813168"/>
        <c:axId val="19812688"/>
      </c:barChart>
      <c:catAx>
        <c:axId val="19813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2688"/>
        <c:crosses val="autoZero"/>
        <c:auto val="1"/>
        <c:lblAlgn val="ctr"/>
        <c:lblOffset val="100"/>
        <c:noMultiLvlLbl val="0"/>
      </c:catAx>
      <c:valAx>
        <c:axId val="19812688"/>
        <c:scaling>
          <c:orientation val="minMax"/>
        </c:scaling>
        <c:delete val="1"/>
        <c:axPos val="l"/>
        <c:majorGridlines>
          <c:spPr>
            <a:ln w="9525" cap="flat" cmpd="sng" algn="ctr">
              <a:solidFill>
                <a:schemeClr val="tx1">
                  <a:lumMod val="15000"/>
                  <a:lumOff val="85000"/>
                </a:schemeClr>
              </a:solidFill>
              <a:round/>
            </a:ln>
            <a:effectLst/>
          </c:spPr>
        </c:majorGridlines>
        <c:numFmt formatCode="[$₦-469]\ #,##0" sourceLinked="1"/>
        <c:majorTickMark val="out"/>
        <c:minorTickMark val="none"/>
        <c:tickLblPos val="nextTo"/>
        <c:crossAx val="1981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[TS-Academy_Project(EXCEL).xlsx]Pivot Table!PivotTable10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City by COGS</a:t>
            </a:r>
          </a:p>
        </c:rich>
      </c:tx>
      <c:layout>
        <c:manualLayout>
          <c:xMode val="edge"/>
          <c:yMode val="edge"/>
          <c:x val="0.36074481019382237"/>
          <c:y val="3.3333333333333333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lt1"/>
            </a:solidFill>
          </a:ln>
          <a:effectLst/>
        </c:spPr>
        <c:dLbl>
          <c:idx val="0"/>
          <c:layout>
            <c:manualLayout>
              <c:x val="-3.8647336461412003E-2"/>
              <c:y val="4.2247874503901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725170438811258"/>
                  <c:h val="9.6000080629988979E-2"/>
                </c:manualLayout>
              </c15:layout>
            </c:ext>
          </c:extLst>
        </c:dLbl>
      </c:pivotFmt>
      <c:pivotFmt>
        <c:idx val="2"/>
        <c:spPr>
          <a:solidFill>
            <a:schemeClr val="accent6"/>
          </a:solidFill>
          <a:ln w="19050">
            <a:solidFill>
              <a:schemeClr val="lt1"/>
            </a:solidFill>
          </a:ln>
          <a:effectLst/>
        </c:spPr>
        <c:dLbl>
          <c:idx val="0"/>
          <c:layout>
            <c:manualLayout>
              <c:x val="-3.4353187965699639E-2"/>
              <c:y val="-2.70524811639386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544279602490336"/>
                  <c:h val="9.6000080629988979E-2"/>
                </c:manualLayout>
              </c15:layout>
            </c:ext>
          </c:extLst>
        </c:dLbl>
      </c:pivotFmt>
      <c:pivotFmt>
        <c:idx val="3"/>
        <c:spPr>
          <a:solidFill>
            <a:schemeClr val="accent6">
              <a:lumMod val="50000"/>
            </a:schemeClr>
          </a:solidFill>
          <a:ln w="19050">
            <a:solidFill>
              <a:schemeClr val="lt1"/>
            </a:solidFill>
          </a:ln>
          <a:effectLst/>
        </c:spPr>
        <c:dLbl>
          <c:idx val="0"/>
          <c:layout>
            <c:manualLayout>
              <c:x val="5.29145603079344E-2"/>
              <c:y val="5.9578842690891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535691305498906"/>
                  <c:h val="0.1775645935800611"/>
                </c:manualLayout>
              </c15:layout>
            </c:ext>
          </c:extLst>
        </c:dLbl>
      </c:pivotFmt>
      <c:pivotFmt>
        <c:idx val="4"/>
        <c:spPr>
          <a:solidFill>
            <a:schemeClr val="accent6">
              <a:lumMod val="75000"/>
            </a:schemeClr>
          </a:solidFill>
          <a:ln w="19050">
            <a:solidFill>
              <a:schemeClr val="lt1"/>
            </a:solidFill>
          </a:ln>
          <a:effectLst/>
        </c:spPr>
        <c:dLbl>
          <c:idx val="0"/>
          <c:layout>
            <c:manualLayout>
              <c:x val="1.248549034273053E-2"/>
              <c:y val="-9.35459053403929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388617057642688"/>
                  <c:h val="0.1775645935800611"/>
                </c:manualLayout>
              </c15:layout>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3.8647336461412003E-2"/>
              <c:y val="4.2247874503901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725170438811258"/>
                  <c:h val="9.6000080629988979E-2"/>
                </c:manualLayout>
              </c15:layout>
            </c:ext>
          </c:extLst>
        </c:dLbl>
      </c:pivotFmt>
      <c:pivotFmt>
        <c:idx val="7"/>
        <c:spPr>
          <a:solidFill>
            <a:schemeClr val="accent6"/>
          </a:solidFill>
          <a:ln w="19050">
            <a:solidFill>
              <a:schemeClr val="lt1"/>
            </a:solidFill>
          </a:ln>
          <a:effectLst/>
        </c:spPr>
        <c:dLbl>
          <c:idx val="0"/>
          <c:layout>
            <c:manualLayout>
              <c:x val="-3.4353187965699639E-2"/>
              <c:y val="-2.70524811639386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544279602490336"/>
                  <c:h val="9.6000080629988979E-2"/>
                </c:manualLayout>
              </c15:layout>
            </c:ext>
          </c:extLst>
        </c:dLbl>
      </c:pivotFmt>
      <c:pivotFmt>
        <c:idx val="8"/>
        <c:spPr>
          <a:solidFill>
            <a:schemeClr val="accent6">
              <a:lumMod val="75000"/>
            </a:schemeClr>
          </a:solidFill>
          <a:ln w="19050">
            <a:solidFill>
              <a:schemeClr val="lt1"/>
            </a:solidFill>
          </a:ln>
          <a:effectLst/>
        </c:spPr>
        <c:dLbl>
          <c:idx val="0"/>
          <c:layout>
            <c:manualLayout>
              <c:x val="1.248549034273053E-2"/>
              <c:y val="-9.35459053403929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388617057642688"/>
                  <c:h val="0.1775645935800611"/>
                </c:manualLayout>
              </c15:layout>
            </c:ext>
          </c:extLst>
        </c:dLbl>
      </c:pivotFmt>
      <c:pivotFmt>
        <c:idx val="9"/>
        <c:spPr>
          <a:solidFill>
            <a:schemeClr val="accent6">
              <a:lumMod val="50000"/>
            </a:schemeClr>
          </a:solidFill>
          <a:ln w="19050">
            <a:solidFill>
              <a:schemeClr val="lt1"/>
            </a:solidFill>
          </a:ln>
          <a:effectLst/>
        </c:spPr>
        <c:dLbl>
          <c:idx val="0"/>
          <c:layout>
            <c:manualLayout>
              <c:x val="5.29145603079344E-2"/>
              <c:y val="5.9578842690891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535691305498906"/>
                  <c:h val="0.1775645935800611"/>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w="19050">
            <a:solidFill>
              <a:schemeClr val="lt1"/>
            </a:solidFill>
          </a:ln>
          <a:effectLst/>
        </c:spPr>
        <c:dLbl>
          <c:idx val="0"/>
          <c:layout>
            <c:manualLayout>
              <c:x val="-3.8647336461412003E-2"/>
              <c:y val="4.2247874503901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725170438811258"/>
                  <c:h val="9.6000080629988979E-2"/>
                </c:manualLayout>
              </c15:layout>
            </c:ext>
          </c:extLst>
        </c:dLbl>
      </c:pivotFmt>
      <c:pivotFmt>
        <c:idx val="12"/>
        <c:spPr>
          <a:solidFill>
            <a:schemeClr val="accent6"/>
          </a:solidFill>
          <a:ln w="19050">
            <a:solidFill>
              <a:schemeClr val="lt1"/>
            </a:solidFill>
          </a:ln>
          <a:effectLst/>
        </c:spPr>
        <c:dLbl>
          <c:idx val="0"/>
          <c:layout>
            <c:manualLayout>
              <c:x val="-3.4353187965699639E-2"/>
              <c:y val="-2.70524811639386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544279602490336"/>
                  <c:h val="9.6000080629988979E-2"/>
                </c:manualLayout>
              </c15:layout>
            </c:ext>
          </c:extLst>
        </c:dLbl>
      </c:pivotFmt>
      <c:pivotFmt>
        <c:idx val="13"/>
        <c:spPr>
          <a:solidFill>
            <a:schemeClr val="accent6">
              <a:lumMod val="75000"/>
            </a:schemeClr>
          </a:solidFill>
          <a:ln w="19050">
            <a:solidFill>
              <a:schemeClr val="lt1"/>
            </a:solidFill>
          </a:ln>
          <a:effectLst/>
        </c:spPr>
        <c:dLbl>
          <c:idx val="0"/>
          <c:layout>
            <c:manualLayout>
              <c:x val="1.248549034273053E-2"/>
              <c:y val="-9.35459053403929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388617057642688"/>
                  <c:h val="0.1775645935800611"/>
                </c:manualLayout>
              </c15:layout>
            </c:ext>
          </c:extLst>
        </c:dLbl>
      </c:pivotFmt>
      <c:pivotFmt>
        <c:idx val="14"/>
        <c:spPr>
          <a:solidFill>
            <a:schemeClr val="accent6">
              <a:lumMod val="50000"/>
            </a:schemeClr>
          </a:solidFill>
          <a:ln w="19050">
            <a:solidFill>
              <a:schemeClr val="lt1"/>
            </a:solidFill>
          </a:ln>
          <a:effectLst/>
        </c:spPr>
        <c:dLbl>
          <c:idx val="0"/>
          <c:layout>
            <c:manualLayout>
              <c:x val="5.29145603079344E-2"/>
              <c:y val="5.9578842690891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535691305498906"/>
                  <c:h val="0.1775645935800611"/>
                </c:manualLayout>
              </c15:layout>
            </c:ext>
          </c:extLst>
        </c:dLbl>
      </c:pivotFmt>
    </c:pivotFmts>
    <c:plotArea>
      <c:layout/>
      <c:pieChart>
        <c:varyColors val="1"/>
        <c:ser>
          <c:idx val="0"/>
          <c:order val="0"/>
          <c:tx>
            <c:strRef>
              <c:f>'Pivot Table'!$B$28</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634-4C44-A7A9-14FAFA753BA7}"/>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E634-4C44-A7A9-14FAFA753BA7}"/>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E634-4C44-A7A9-14FAFA753BA7}"/>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E634-4C44-A7A9-14FAFA753BA7}"/>
              </c:ext>
            </c:extLst>
          </c:dPt>
          <c:dLbls>
            <c:dLbl>
              <c:idx val="0"/>
              <c:layout>
                <c:manualLayout>
                  <c:x val="-3.8647336461412003E-2"/>
                  <c:y val="4.2247874503901599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3725170438811258"/>
                      <c:h val="9.6000080629988979E-2"/>
                    </c:manualLayout>
                  </c15:layout>
                </c:ext>
                <c:ext xmlns:c16="http://schemas.microsoft.com/office/drawing/2014/chart" uri="{C3380CC4-5D6E-409C-BE32-E72D297353CC}">
                  <c16:uniqueId val="{00000001-E634-4C44-A7A9-14FAFA753BA7}"/>
                </c:ext>
              </c:extLst>
            </c:dLbl>
            <c:dLbl>
              <c:idx val="1"/>
              <c:layout>
                <c:manualLayout>
                  <c:x val="-3.4353187965699639E-2"/>
                  <c:y val="-2.7052481163938685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2544279602490336"/>
                      <c:h val="9.6000080629988979E-2"/>
                    </c:manualLayout>
                  </c15:layout>
                </c:ext>
                <c:ext xmlns:c16="http://schemas.microsoft.com/office/drawing/2014/chart" uri="{C3380CC4-5D6E-409C-BE32-E72D297353CC}">
                  <c16:uniqueId val="{00000003-E634-4C44-A7A9-14FAFA753BA7}"/>
                </c:ext>
              </c:extLst>
            </c:dLbl>
            <c:dLbl>
              <c:idx val="2"/>
              <c:layout>
                <c:manualLayout>
                  <c:x val="1.248549034273053E-2"/>
                  <c:y val="-9.3545905340392935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0388617057642688"/>
                      <c:h val="0.1775645935800611"/>
                    </c:manualLayout>
                  </c15:layout>
                </c:ext>
                <c:ext xmlns:c16="http://schemas.microsoft.com/office/drawing/2014/chart" uri="{C3380CC4-5D6E-409C-BE32-E72D297353CC}">
                  <c16:uniqueId val="{00000005-E634-4C44-A7A9-14FAFA753BA7}"/>
                </c:ext>
              </c:extLst>
            </c:dLbl>
            <c:dLbl>
              <c:idx val="3"/>
              <c:layout>
                <c:manualLayout>
                  <c:x val="5.29145603079344E-2"/>
                  <c:y val="5.9578842690891497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2535691305498906"/>
                      <c:h val="0.1775645935800611"/>
                    </c:manualLayout>
                  </c15:layout>
                </c:ext>
                <c:ext xmlns:c16="http://schemas.microsoft.com/office/drawing/2014/chart" uri="{C3380CC4-5D6E-409C-BE32-E72D297353CC}">
                  <c16:uniqueId val="{00000007-E634-4C44-A7A9-14FAFA753B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Table'!$A$29:$A$33</c:f>
              <c:strCache>
                <c:ptCount val="4"/>
                <c:pt idx="0">
                  <c:v>Abuja</c:v>
                </c:pt>
                <c:pt idx="1">
                  <c:v>Kano</c:v>
                </c:pt>
                <c:pt idx="2">
                  <c:v>Lagos</c:v>
                </c:pt>
                <c:pt idx="3">
                  <c:v>Port Harcourt</c:v>
                </c:pt>
              </c:strCache>
            </c:strRef>
          </c:cat>
          <c:val>
            <c:numRef>
              <c:f>'Pivot Table'!$B$29:$B$33</c:f>
              <c:numCache>
                <c:formatCode>[$₦-469]\ #,##0</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8-E634-4C44-A7A9-14FAFA753BA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466215364057575"/>
          <c:y val="0.27265758683401864"/>
          <c:w val="0.22957295538514963"/>
          <c:h val="0.611769402710959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[TS-Academy_Project(EXCEL).xlsx]Pivot Table!PivotTable11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Worst Performing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50000"/>
            </a:schemeClr>
          </a:solidFill>
          <a:ln>
            <a:noFill/>
          </a:ln>
          <a:effectLst/>
        </c:spPr>
      </c:pivotFmt>
    </c:pivotFmts>
    <c:plotArea>
      <c:layout/>
      <c:barChart>
        <c:barDir val="bar"/>
        <c:grouping val="clustered"/>
        <c:varyColors val="0"/>
        <c:ser>
          <c:idx val="0"/>
          <c:order val="0"/>
          <c:tx>
            <c:strRef>
              <c:f>'Pivot Table'!$B$37</c:f>
              <c:strCache>
                <c:ptCount val="1"/>
                <c:pt idx="0">
                  <c:v>Total</c:v>
                </c:pt>
              </c:strCache>
            </c:strRef>
          </c:tx>
          <c:spPr>
            <a:solidFill>
              <a:schemeClr val="accent6"/>
            </a:solidFill>
            <a:ln>
              <a:noFill/>
            </a:ln>
            <a:effectLst/>
          </c:spPr>
          <c:invertIfNegative val="0"/>
          <c:dPt>
            <c:idx val="9"/>
            <c:invertIfNegative val="0"/>
            <c:bubble3D val="0"/>
            <c:spPr>
              <a:solidFill>
                <a:schemeClr val="accent6">
                  <a:lumMod val="50000"/>
                </a:schemeClr>
              </a:solidFill>
              <a:ln>
                <a:noFill/>
              </a:ln>
              <a:effectLst/>
            </c:spPr>
            <c:extLst>
              <c:ext xmlns:c16="http://schemas.microsoft.com/office/drawing/2014/chart" uri="{C3380CC4-5D6E-409C-BE32-E72D297353CC}">
                <c16:uniqueId val="{0000000D-3ED2-47FF-BD89-68CD08EA7D6D}"/>
              </c:ext>
            </c:extLst>
          </c:dPt>
          <c:dPt>
            <c:idx val="10"/>
            <c:invertIfNegative val="0"/>
            <c:bubble3D val="0"/>
            <c:extLst>
              <c:ext xmlns:c16="http://schemas.microsoft.com/office/drawing/2014/chart" uri="{C3380CC4-5D6E-409C-BE32-E72D297353CC}">
                <c16:uniqueId val="{00000001-3F7C-47A4-BCAE-9295C49BFA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Table'!$A$38:$A$50</c:f>
              <c:strCache>
                <c:ptCount val="12"/>
                <c:pt idx="0">
                  <c:v>JAN</c:v>
                </c:pt>
                <c:pt idx="1">
                  <c:v>FEB</c:v>
                </c:pt>
                <c:pt idx="2">
                  <c:v>MAR</c:v>
                </c:pt>
                <c:pt idx="3">
                  <c:v>APR</c:v>
                </c:pt>
                <c:pt idx="4">
                  <c:v>MAY</c:v>
                </c:pt>
                <c:pt idx="5">
                  <c:v>JUN</c:v>
                </c:pt>
                <c:pt idx="6">
                  <c:v>JUL</c:v>
                </c:pt>
                <c:pt idx="7">
                  <c:v>AUG</c:v>
                </c:pt>
                <c:pt idx="8">
                  <c:v>OCT</c:v>
                </c:pt>
                <c:pt idx="9">
                  <c:v>NOV</c:v>
                </c:pt>
                <c:pt idx="10">
                  <c:v>DEC</c:v>
                </c:pt>
                <c:pt idx="11">
                  <c:v>SEPT</c:v>
                </c:pt>
              </c:strCache>
            </c:strRef>
          </c:cat>
          <c:val>
            <c:numRef>
              <c:f>'Pivot Table'!$B$38:$B$50</c:f>
              <c:numCache>
                <c:formatCode>#,##0\ [$₦-467]</c:formatCode>
                <c:ptCount val="12"/>
                <c:pt idx="0">
                  <c:v>187065000</c:v>
                </c:pt>
                <c:pt idx="1">
                  <c:v>205430000</c:v>
                </c:pt>
                <c:pt idx="2">
                  <c:v>224260000</c:v>
                </c:pt>
                <c:pt idx="3">
                  <c:v>220775000</c:v>
                </c:pt>
                <c:pt idx="4">
                  <c:v>205310000</c:v>
                </c:pt>
                <c:pt idx="5">
                  <c:v>178545000</c:v>
                </c:pt>
                <c:pt idx="6">
                  <c:v>192555000</c:v>
                </c:pt>
                <c:pt idx="7">
                  <c:v>214015000</c:v>
                </c:pt>
                <c:pt idx="8">
                  <c:v>175055000</c:v>
                </c:pt>
                <c:pt idx="9">
                  <c:v>152120000</c:v>
                </c:pt>
                <c:pt idx="10">
                  <c:v>188190000</c:v>
                </c:pt>
                <c:pt idx="11">
                  <c:v>185050000</c:v>
                </c:pt>
              </c:numCache>
            </c:numRef>
          </c:val>
          <c:extLst>
            <c:ext xmlns:c16="http://schemas.microsoft.com/office/drawing/2014/chart" uri="{C3380CC4-5D6E-409C-BE32-E72D297353CC}">
              <c16:uniqueId val="{00000002-3F7C-47A4-BCAE-9295C49BFADA}"/>
            </c:ext>
          </c:extLst>
        </c:ser>
        <c:dLbls>
          <c:dLblPos val="outEnd"/>
          <c:showLegendKey val="0"/>
          <c:showVal val="1"/>
          <c:showCatName val="0"/>
          <c:showSerName val="0"/>
          <c:showPercent val="0"/>
          <c:showBubbleSize val="0"/>
        </c:dLbls>
        <c:gapWidth val="182"/>
        <c:axId val="19826128"/>
        <c:axId val="19827568"/>
      </c:barChart>
      <c:catAx>
        <c:axId val="1982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568"/>
        <c:crosses val="autoZero"/>
        <c:auto val="1"/>
        <c:lblAlgn val="ctr"/>
        <c:lblOffset val="100"/>
        <c:noMultiLvlLbl val="0"/>
      </c:catAx>
      <c:valAx>
        <c:axId val="19827568"/>
        <c:scaling>
          <c:orientation val="minMax"/>
        </c:scaling>
        <c:delete val="1"/>
        <c:axPos val="b"/>
        <c:majorGridlines>
          <c:spPr>
            <a:ln w="9525" cap="flat" cmpd="sng" algn="ctr">
              <a:solidFill>
                <a:schemeClr val="tx1">
                  <a:lumMod val="15000"/>
                  <a:lumOff val="85000"/>
                </a:schemeClr>
              </a:solidFill>
              <a:round/>
            </a:ln>
            <a:effectLst/>
          </c:spPr>
        </c:majorGridlines>
        <c:numFmt formatCode="#,##0\ [$₦-467]" sourceLinked="1"/>
        <c:majorTickMark val="none"/>
        <c:minorTickMark val="none"/>
        <c:tickLblPos val="nextTo"/>
        <c:crossAx val="1982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4" Type="http://schemas.openxmlformats.org/officeDocument/2006/relationships/chart" Target="../charts/chart4.xml" /></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 /><Relationship Id="rId2" Type="http://schemas.openxmlformats.org/officeDocument/2006/relationships/chart" Target="../charts/chart5.xml" /><Relationship Id="rId1" Type="http://schemas.openxmlformats.org/officeDocument/2006/relationships/image" Target="../media/image1.png" /><Relationship Id="rId5" Type="http://schemas.openxmlformats.org/officeDocument/2006/relationships/chart" Target="../charts/chart8.xml" /><Relationship Id="rId4"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dr:twoCellAnchor>
    <xdr:from>
      <xdr:col>2</xdr:col>
      <xdr:colOff>428625</xdr:colOff>
      <xdr:row>35</xdr:row>
      <xdr:rowOff>171449</xdr:rowOff>
    </xdr:from>
    <xdr:to>
      <xdr:col>13</xdr:col>
      <xdr:colOff>19050</xdr:colOff>
      <xdr:row>50</xdr:row>
      <xdr:rowOff>19050</xdr:rowOff>
    </xdr:to>
    <xdr:graphicFrame macro="">
      <xdr:nvGraphicFramePr>
        <xdr:cNvPr id="3" name="Chart 2">
          <a:extLst>
            <a:ext uri="{FF2B5EF4-FFF2-40B4-BE49-F238E27FC236}">
              <a16:creationId xmlns:a16="http://schemas.microsoft.com/office/drawing/2014/main" id="{30B5D502-4DFD-A75B-7BDD-62B9E5904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438150</xdr:colOff>
      <xdr:row>1</xdr:row>
      <xdr:rowOff>1</xdr:rowOff>
    </xdr:from>
    <xdr:to>
      <xdr:col>9</xdr:col>
      <xdr:colOff>314325</xdr:colOff>
      <xdr:row>13</xdr:row>
      <xdr:rowOff>19051</xdr:rowOff>
    </xdr:to>
    <xdr:graphicFrame macro="">
      <xdr:nvGraphicFramePr>
        <xdr:cNvPr id="4" name="Chart 3">
          <a:extLst>
            <a:ext uri="{FF2B5EF4-FFF2-40B4-BE49-F238E27FC236}">
              <a16:creationId xmlns:a16="http://schemas.microsoft.com/office/drawing/2014/main" id="{17A7A093-E7AA-5DCE-78A0-09F1640E2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447675</xdr:colOff>
      <xdr:row>15</xdr:row>
      <xdr:rowOff>1</xdr:rowOff>
    </xdr:from>
    <xdr:to>
      <xdr:col>9</xdr:col>
      <xdr:colOff>323850</xdr:colOff>
      <xdr:row>25</xdr:row>
      <xdr:rowOff>9525</xdr:rowOff>
    </xdr:to>
    <xdr:graphicFrame macro="">
      <xdr:nvGraphicFramePr>
        <xdr:cNvPr id="5" name="Chart 4">
          <a:extLst>
            <a:ext uri="{FF2B5EF4-FFF2-40B4-BE49-F238E27FC236}">
              <a16:creationId xmlns:a16="http://schemas.microsoft.com/office/drawing/2014/main" id="{362A9C19-0553-2D31-7573-D38BB07BA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442912</xdr:colOff>
      <xdr:row>26</xdr:row>
      <xdr:rowOff>38101</xdr:rowOff>
    </xdr:from>
    <xdr:to>
      <xdr:col>9</xdr:col>
      <xdr:colOff>352425</xdr:colOff>
      <xdr:row>35</xdr:row>
      <xdr:rowOff>109537</xdr:rowOff>
    </xdr:to>
    <xdr:graphicFrame macro="">
      <xdr:nvGraphicFramePr>
        <xdr:cNvPr id="6" name="Chart 5">
          <a:extLst>
            <a:ext uri="{FF2B5EF4-FFF2-40B4-BE49-F238E27FC236}">
              <a16:creationId xmlns:a16="http://schemas.microsoft.com/office/drawing/2014/main" id="{6264CBD4-62D2-8DDD-B4DB-39ED57ED7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122464</xdr:rowOff>
    </xdr:from>
    <xdr:to>
      <xdr:col>13</xdr:col>
      <xdr:colOff>598714</xdr:colOff>
      <xdr:row>32</xdr:row>
      <xdr:rowOff>149678</xdr:rowOff>
    </xdr:to>
    <xdr:sp macro="" textlink="">
      <xdr:nvSpPr>
        <xdr:cNvPr id="2" name="Rectangle: Rounded Corners 1">
          <a:extLst>
            <a:ext uri="{FF2B5EF4-FFF2-40B4-BE49-F238E27FC236}">
              <a16:creationId xmlns:a16="http://schemas.microsoft.com/office/drawing/2014/main" id="{B7BB751F-D1D7-2618-F1E3-ADE0B408C410}"/>
            </a:ext>
          </a:extLst>
        </xdr:cNvPr>
        <xdr:cNvSpPr/>
      </xdr:nvSpPr>
      <xdr:spPr>
        <a:xfrm>
          <a:off x="149678" y="312964"/>
          <a:ext cx="8409215" cy="5932714"/>
        </a:xfrm>
        <a:prstGeom prst="roundRect">
          <a:avLst>
            <a:gd name="adj" fmla="val 2579"/>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197299</xdr:colOff>
      <xdr:row>10</xdr:row>
      <xdr:rowOff>68035</xdr:rowOff>
    </xdr:from>
    <xdr:to>
      <xdr:col>6</xdr:col>
      <xdr:colOff>530678</xdr:colOff>
      <xdr:row>32</xdr:row>
      <xdr:rowOff>108856</xdr:rowOff>
    </xdr:to>
    <xdr:sp macro="" textlink="">
      <xdr:nvSpPr>
        <xdr:cNvPr id="3" name="Rectangle: Rounded Corners 2">
          <a:extLst>
            <a:ext uri="{FF2B5EF4-FFF2-40B4-BE49-F238E27FC236}">
              <a16:creationId xmlns:a16="http://schemas.microsoft.com/office/drawing/2014/main" id="{9AF0D9F5-C92A-6D75-6E87-BE651D5D520A}"/>
            </a:ext>
          </a:extLst>
        </xdr:cNvPr>
        <xdr:cNvSpPr/>
      </xdr:nvSpPr>
      <xdr:spPr>
        <a:xfrm>
          <a:off x="197299" y="1973035"/>
          <a:ext cx="4007308" cy="4231821"/>
        </a:xfrm>
        <a:prstGeom prst="roundRect">
          <a:avLst>
            <a:gd name="adj" fmla="val 1609"/>
          </a:avLst>
        </a:prstGeom>
        <a:solidFill>
          <a:sysClr val="window" lastClr="FFFFFF">
            <a:alpha val="46000"/>
          </a:sys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585108</xdr:colOff>
      <xdr:row>10</xdr:row>
      <xdr:rowOff>54429</xdr:rowOff>
    </xdr:from>
    <xdr:to>
      <xdr:col>13</xdr:col>
      <xdr:colOff>560614</xdr:colOff>
      <xdr:row>32</xdr:row>
      <xdr:rowOff>108857</xdr:rowOff>
    </xdr:to>
    <xdr:sp macro="" textlink="">
      <xdr:nvSpPr>
        <xdr:cNvPr id="7" name="Rectangle: Rounded Corners 6">
          <a:extLst>
            <a:ext uri="{FF2B5EF4-FFF2-40B4-BE49-F238E27FC236}">
              <a16:creationId xmlns:a16="http://schemas.microsoft.com/office/drawing/2014/main" id="{F86B1892-3860-6884-9CEE-12228224473D}"/>
            </a:ext>
          </a:extLst>
        </xdr:cNvPr>
        <xdr:cNvSpPr/>
      </xdr:nvSpPr>
      <xdr:spPr>
        <a:xfrm>
          <a:off x="4259037" y="1959429"/>
          <a:ext cx="4261756" cy="4245428"/>
        </a:xfrm>
        <a:prstGeom prst="roundRect">
          <a:avLst>
            <a:gd name="adj" fmla="val 1800"/>
          </a:avLst>
        </a:prstGeom>
        <a:solidFill>
          <a:sysClr val="window" lastClr="FFFFFF">
            <a:alpha val="52000"/>
          </a:sys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190501</xdr:colOff>
      <xdr:row>1</xdr:row>
      <xdr:rowOff>163286</xdr:rowOff>
    </xdr:from>
    <xdr:to>
      <xdr:col>13</xdr:col>
      <xdr:colOff>585108</xdr:colOff>
      <xdr:row>9</xdr:row>
      <xdr:rowOff>176893</xdr:rowOff>
    </xdr:to>
    <xdr:sp macro="" textlink="">
      <xdr:nvSpPr>
        <xdr:cNvPr id="8" name="Rectangle: Rounded Corners 7">
          <a:extLst>
            <a:ext uri="{FF2B5EF4-FFF2-40B4-BE49-F238E27FC236}">
              <a16:creationId xmlns:a16="http://schemas.microsoft.com/office/drawing/2014/main" id="{C7E6E173-816F-67C4-8DED-95CFCC16ACE5}"/>
            </a:ext>
          </a:extLst>
        </xdr:cNvPr>
        <xdr:cNvSpPr/>
      </xdr:nvSpPr>
      <xdr:spPr>
        <a:xfrm>
          <a:off x="190501" y="353786"/>
          <a:ext cx="8354786" cy="1537607"/>
        </a:xfrm>
        <a:prstGeom prst="roundRect">
          <a:avLst>
            <a:gd name="adj" fmla="val 14579"/>
          </a:avLst>
        </a:prstGeom>
        <a:solidFill>
          <a:schemeClr val="accent6">
            <a:alpha val="48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353785</xdr:colOff>
      <xdr:row>6</xdr:row>
      <xdr:rowOff>54429</xdr:rowOff>
    </xdr:from>
    <xdr:to>
      <xdr:col>8</xdr:col>
      <xdr:colOff>332016</xdr:colOff>
      <xdr:row>9</xdr:row>
      <xdr:rowOff>100694</xdr:rowOff>
    </xdr:to>
    <xdr:sp macro="" textlink="">
      <xdr:nvSpPr>
        <xdr:cNvPr id="10" name="Rectangle: Rounded Corners 9">
          <a:extLst>
            <a:ext uri="{FF2B5EF4-FFF2-40B4-BE49-F238E27FC236}">
              <a16:creationId xmlns:a16="http://schemas.microsoft.com/office/drawing/2014/main" id="{A21360EA-045E-D525-83B9-B641597CC6E7}"/>
            </a:ext>
          </a:extLst>
        </xdr:cNvPr>
        <xdr:cNvSpPr/>
      </xdr:nvSpPr>
      <xdr:spPr>
        <a:xfrm>
          <a:off x="4027714" y="1197429"/>
          <a:ext cx="1202873" cy="617765"/>
        </a:xfrm>
        <a:prstGeom prst="roundRect">
          <a:avLst>
            <a:gd name="adj" fmla="val 15441"/>
          </a:avLst>
        </a:prstGeom>
        <a:solidFill>
          <a:sysClr val="window" lastClr="FFFFFF">
            <a:alpha val="52000"/>
          </a:sys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bg2">
                  <a:lumMod val="50000"/>
                </a:schemeClr>
              </a:solidFill>
            </a:rPr>
            <a:t> costumer's</a:t>
          </a:r>
        </a:p>
        <a:p>
          <a:pPr algn="l"/>
          <a:r>
            <a:rPr lang="en-US" sz="1400" b="1" i="1" u="none" strike="noStrike">
              <a:solidFill>
                <a:sysClr val="windowText" lastClr="000000"/>
              </a:solidFill>
              <a:effectLst/>
              <a:latin typeface="+mn-lt"/>
              <a:ea typeface="+mn-ea"/>
              <a:cs typeface="+mn-cs"/>
            </a:rPr>
            <a:t>2,098</a:t>
          </a:r>
          <a:r>
            <a:rPr lang="en-US" sz="1400">
              <a:effectLst/>
            </a:rPr>
            <a:t> </a:t>
          </a:r>
          <a:endParaRPr lang="en-US" sz="1400" b="1" baseline="0">
            <a:solidFill>
              <a:schemeClr val="bg2">
                <a:lumMod val="50000"/>
              </a:schemeClr>
            </a:solidFill>
          </a:endParaRPr>
        </a:p>
        <a:p>
          <a:pPr algn="l"/>
          <a:endParaRPr lang="en-US" sz="1400" b="1" baseline="0">
            <a:solidFill>
              <a:schemeClr val="bg2">
                <a:lumMod val="50000"/>
              </a:schemeClr>
            </a:solidFill>
          </a:endParaRPr>
        </a:p>
      </xdr:txBody>
    </xdr:sp>
    <xdr:clientData/>
  </xdr:twoCellAnchor>
  <xdr:twoCellAnchor>
    <xdr:from>
      <xdr:col>2</xdr:col>
      <xdr:colOff>176893</xdr:colOff>
      <xdr:row>4</xdr:row>
      <xdr:rowOff>81643</xdr:rowOff>
    </xdr:from>
    <xdr:to>
      <xdr:col>4</xdr:col>
      <xdr:colOff>285749</xdr:colOff>
      <xdr:row>9</xdr:row>
      <xdr:rowOff>103415</xdr:rowOff>
    </xdr:to>
    <xdr:sp macro="" textlink="">
      <xdr:nvSpPr>
        <xdr:cNvPr id="13" name="Rectangle: Rounded Corners 12">
          <a:extLst>
            <a:ext uri="{FF2B5EF4-FFF2-40B4-BE49-F238E27FC236}">
              <a16:creationId xmlns:a16="http://schemas.microsoft.com/office/drawing/2014/main" id="{BDF7A600-7A67-5A1B-DE92-79BD3EEDB5C7}"/>
            </a:ext>
          </a:extLst>
        </xdr:cNvPr>
        <xdr:cNvSpPr/>
      </xdr:nvSpPr>
      <xdr:spPr>
        <a:xfrm>
          <a:off x="1401536" y="843643"/>
          <a:ext cx="1333499" cy="974272"/>
        </a:xfrm>
        <a:prstGeom prst="roundRect">
          <a:avLst>
            <a:gd name="adj" fmla="val 15441"/>
          </a:avLst>
        </a:prstGeom>
        <a:solidFill>
          <a:sysClr val="window" lastClr="FFFFFF">
            <a:alpha val="50000"/>
          </a:sys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2">
                  <a:lumMod val="50000"/>
                </a:schemeClr>
              </a:solidFill>
            </a:rPr>
            <a:t>TOTAL</a:t>
          </a:r>
          <a:r>
            <a:rPr lang="en-US" sz="1400" b="1" baseline="0">
              <a:solidFill>
                <a:schemeClr val="bg2">
                  <a:lumMod val="50000"/>
                </a:schemeClr>
              </a:solidFill>
            </a:rPr>
            <a:t> REVENUE</a:t>
          </a:r>
        </a:p>
        <a:p>
          <a:pPr algn="ctr"/>
          <a:r>
            <a:rPr lang="en-US" sz="1200" b="1" i="1" u="none" strike="noStrike">
              <a:solidFill>
                <a:sysClr val="windowText" lastClr="000000"/>
              </a:solidFill>
              <a:effectLst/>
              <a:latin typeface="+mn-lt"/>
              <a:ea typeface="+mn-ea"/>
              <a:cs typeface="+mn-cs"/>
            </a:rPr>
            <a:t>#2,328,370,000</a:t>
          </a:r>
          <a:r>
            <a:rPr lang="en-US" sz="1400">
              <a:effectLst/>
            </a:rPr>
            <a:t> </a:t>
          </a:r>
          <a:endParaRPr lang="en-US" sz="1400" b="1">
            <a:solidFill>
              <a:sysClr val="windowText" lastClr="000000"/>
            </a:solidFill>
          </a:endParaRPr>
        </a:p>
      </xdr:txBody>
    </xdr:sp>
    <xdr:clientData/>
  </xdr:twoCellAnchor>
  <xdr:twoCellAnchor>
    <xdr:from>
      <xdr:col>4</xdr:col>
      <xdr:colOff>321130</xdr:colOff>
      <xdr:row>6</xdr:row>
      <xdr:rowOff>54430</xdr:rowOff>
    </xdr:from>
    <xdr:to>
      <xdr:col>6</xdr:col>
      <xdr:colOff>312965</xdr:colOff>
      <xdr:row>9</xdr:row>
      <xdr:rowOff>92530</xdr:rowOff>
    </xdr:to>
    <xdr:sp macro="" textlink="">
      <xdr:nvSpPr>
        <xdr:cNvPr id="14" name="Rectangle: Rounded Corners 13">
          <a:extLst>
            <a:ext uri="{FF2B5EF4-FFF2-40B4-BE49-F238E27FC236}">
              <a16:creationId xmlns:a16="http://schemas.microsoft.com/office/drawing/2014/main" id="{C037DFC0-A1CC-524C-3529-DCBD036F1291}"/>
            </a:ext>
          </a:extLst>
        </xdr:cNvPr>
        <xdr:cNvSpPr/>
      </xdr:nvSpPr>
      <xdr:spPr>
        <a:xfrm>
          <a:off x="2770416" y="1197430"/>
          <a:ext cx="1216478" cy="609600"/>
        </a:xfrm>
        <a:prstGeom prst="roundRect">
          <a:avLst>
            <a:gd name="adj" fmla="val 15441"/>
          </a:avLst>
        </a:prstGeom>
        <a:solidFill>
          <a:sysClr val="window" lastClr="FFFFFF">
            <a:alpha val="51000"/>
          </a:sys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lumMod val="50000"/>
                  <a:lumOff val="50000"/>
                </a:schemeClr>
              </a:solidFill>
            </a:rPr>
            <a:t>TOTAL</a:t>
          </a:r>
          <a:r>
            <a:rPr lang="en-US" sz="1400" b="1" baseline="0">
              <a:solidFill>
                <a:schemeClr val="tx1">
                  <a:lumMod val="50000"/>
                  <a:lumOff val="50000"/>
                </a:schemeClr>
              </a:solidFill>
            </a:rPr>
            <a:t> COGS</a:t>
          </a:r>
        </a:p>
        <a:p>
          <a:pPr algn="ctr"/>
          <a:r>
            <a:rPr lang="en-US" sz="1200" b="1" i="1" u="none" strike="noStrike">
              <a:solidFill>
                <a:sysClr val="windowText" lastClr="000000"/>
              </a:solidFill>
              <a:effectLst/>
              <a:latin typeface="+mn-lt"/>
              <a:ea typeface="+mn-ea"/>
              <a:cs typeface="+mn-cs"/>
            </a:rPr>
            <a:t>#1,862,696,000</a:t>
          </a:r>
          <a:r>
            <a:rPr lang="en-US" sz="1400">
              <a:effectLst/>
            </a:rPr>
            <a:t> </a:t>
          </a:r>
          <a:endParaRPr lang="en-US" sz="1400" b="1">
            <a:solidFill>
              <a:sysClr val="windowText" lastClr="000000"/>
            </a:solidFill>
          </a:endParaRPr>
        </a:p>
      </xdr:txBody>
    </xdr:sp>
    <xdr:clientData/>
  </xdr:twoCellAnchor>
  <xdr:twoCellAnchor>
    <xdr:from>
      <xdr:col>0</xdr:col>
      <xdr:colOff>225881</xdr:colOff>
      <xdr:row>2</xdr:row>
      <xdr:rowOff>68036</xdr:rowOff>
    </xdr:from>
    <xdr:to>
      <xdr:col>2</xdr:col>
      <xdr:colOff>133352</xdr:colOff>
      <xdr:row>9</xdr:row>
      <xdr:rowOff>92529</xdr:rowOff>
    </xdr:to>
    <xdr:sp macro="" textlink="">
      <xdr:nvSpPr>
        <xdr:cNvPr id="15" name="Rectangle: Rounded Corners 14">
          <a:extLst>
            <a:ext uri="{FF2B5EF4-FFF2-40B4-BE49-F238E27FC236}">
              <a16:creationId xmlns:a16="http://schemas.microsoft.com/office/drawing/2014/main" id="{F7A57D51-4E2C-A15F-8690-E30184583C68}"/>
            </a:ext>
          </a:extLst>
        </xdr:cNvPr>
        <xdr:cNvSpPr/>
      </xdr:nvSpPr>
      <xdr:spPr>
        <a:xfrm>
          <a:off x="225881" y="449036"/>
          <a:ext cx="1132114" cy="1357993"/>
        </a:xfrm>
        <a:prstGeom prst="roundRect">
          <a:avLst>
            <a:gd name="adj" fmla="val 15441"/>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285750</xdr:colOff>
      <xdr:row>3</xdr:row>
      <xdr:rowOff>163285</xdr:rowOff>
    </xdr:from>
    <xdr:to>
      <xdr:col>2</xdr:col>
      <xdr:colOff>89807</xdr:colOff>
      <xdr:row>9</xdr:row>
      <xdr:rowOff>48985</xdr:rowOff>
    </xdr:to>
    <xdr:pic>
      <xdr:nvPicPr>
        <xdr:cNvPr id="17" name="Picture 16">
          <a:extLst>
            <a:ext uri="{FF2B5EF4-FFF2-40B4-BE49-F238E27FC236}">
              <a16:creationId xmlns:a16="http://schemas.microsoft.com/office/drawing/2014/main" id="{8FAFBDF9-215D-89A6-E9F3-23BCC65021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0" y="734785"/>
          <a:ext cx="1028700" cy="1028700"/>
        </a:xfrm>
        <a:prstGeom prst="rect">
          <a:avLst/>
        </a:prstGeom>
      </xdr:spPr>
    </xdr:pic>
    <xdr:clientData/>
  </xdr:twoCellAnchor>
  <xdr:twoCellAnchor>
    <xdr:from>
      <xdr:col>0</xdr:col>
      <xdr:colOff>251728</xdr:colOff>
      <xdr:row>10</xdr:row>
      <xdr:rowOff>122464</xdr:rowOff>
    </xdr:from>
    <xdr:to>
      <xdr:col>6</xdr:col>
      <xdr:colOff>449035</xdr:colOff>
      <xdr:row>22</xdr:row>
      <xdr:rowOff>68036</xdr:rowOff>
    </xdr:to>
    <xdr:graphicFrame macro="">
      <xdr:nvGraphicFramePr>
        <xdr:cNvPr id="18" name="Chart 17">
          <a:extLst>
            <a:ext uri="{FF2B5EF4-FFF2-40B4-BE49-F238E27FC236}">
              <a16:creationId xmlns:a16="http://schemas.microsoft.com/office/drawing/2014/main" id="{3A48C46F-F81E-4F95-99C9-784AE174D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40822</xdr:colOff>
      <xdr:row>10</xdr:row>
      <xdr:rowOff>95249</xdr:rowOff>
    </xdr:from>
    <xdr:to>
      <xdr:col>13</xdr:col>
      <xdr:colOff>489857</xdr:colOff>
      <xdr:row>20</xdr:row>
      <xdr:rowOff>13607</xdr:rowOff>
    </xdr:to>
    <xdr:graphicFrame macro="">
      <xdr:nvGraphicFramePr>
        <xdr:cNvPr id="19" name="Chart 18">
          <a:extLst>
            <a:ext uri="{FF2B5EF4-FFF2-40B4-BE49-F238E27FC236}">
              <a16:creationId xmlns:a16="http://schemas.microsoft.com/office/drawing/2014/main" id="{FFE6E42E-162F-4C36-815E-BEBB89BC7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231322</xdr:colOff>
      <xdr:row>2</xdr:row>
      <xdr:rowOff>16329</xdr:rowOff>
    </xdr:from>
    <xdr:to>
      <xdr:col>13</xdr:col>
      <xdr:colOff>476249</xdr:colOff>
      <xdr:row>4</xdr:row>
      <xdr:rowOff>40822</xdr:rowOff>
    </xdr:to>
    <xdr:sp macro="" textlink="">
      <xdr:nvSpPr>
        <xdr:cNvPr id="20" name="Rectangle: Rounded Corners 19">
          <a:extLst>
            <a:ext uri="{FF2B5EF4-FFF2-40B4-BE49-F238E27FC236}">
              <a16:creationId xmlns:a16="http://schemas.microsoft.com/office/drawing/2014/main" id="{0E5616C9-4D0F-9D42-F65E-DCBD9C1DB3C2}"/>
            </a:ext>
          </a:extLst>
        </xdr:cNvPr>
        <xdr:cNvSpPr/>
      </xdr:nvSpPr>
      <xdr:spPr>
        <a:xfrm>
          <a:off x="1455965" y="397329"/>
          <a:ext cx="6980463" cy="405493"/>
        </a:xfrm>
        <a:prstGeom prst="roundRect">
          <a:avLst>
            <a:gd name="adj" fmla="val 41425"/>
          </a:avLst>
        </a:prstGeom>
        <a:solidFill>
          <a:sysClr val="window" lastClr="FFFFFF">
            <a:alpha val="56000"/>
          </a:sys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i="1">
              <a:solidFill>
                <a:sysClr val="windowText" lastClr="000000"/>
              </a:solidFill>
              <a:latin typeface="Times New Roman" panose="02020603050405020304" pitchFamily="18" charset="0"/>
              <a:cs typeface="Times New Roman" panose="02020603050405020304" pitchFamily="18" charset="0"/>
            </a:rPr>
            <a:t>Sales</a:t>
          </a:r>
          <a:r>
            <a:rPr lang="en-US" sz="1800" b="1" i="1" baseline="0">
              <a:solidFill>
                <a:sysClr val="windowText" lastClr="000000"/>
              </a:solidFill>
              <a:latin typeface="Times New Roman" panose="02020603050405020304" pitchFamily="18" charset="0"/>
              <a:cs typeface="Times New Roman" panose="02020603050405020304" pitchFamily="18" charset="0"/>
            </a:rPr>
            <a:t> Data Visualisation</a:t>
          </a:r>
          <a:endParaRPr lang="en-US" sz="1800" b="1" i="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editAs="absolute">
    <xdr:from>
      <xdr:col>11</xdr:col>
      <xdr:colOff>265336</xdr:colOff>
      <xdr:row>4</xdr:row>
      <xdr:rowOff>81643</xdr:rowOff>
    </xdr:from>
    <xdr:to>
      <xdr:col>13</xdr:col>
      <xdr:colOff>457040</xdr:colOff>
      <xdr:row>9</xdr:row>
      <xdr:rowOff>116744</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A33F9559-AF37-501B-AE38-F6A390612BB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000872" y="843643"/>
              <a:ext cx="1416347" cy="987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387806</xdr:colOff>
      <xdr:row>4</xdr:row>
      <xdr:rowOff>81643</xdr:rowOff>
    </xdr:from>
    <xdr:to>
      <xdr:col>11</xdr:col>
      <xdr:colOff>231322</xdr:colOff>
      <xdr:row>9</xdr:row>
      <xdr:rowOff>119514</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D5C347A8-96ED-85C5-1C81-CDF2C0C43F8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286377" y="843643"/>
              <a:ext cx="1680481" cy="990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244929</xdr:colOff>
      <xdr:row>22</xdr:row>
      <xdr:rowOff>54429</xdr:rowOff>
    </xdr:from>
    <xdr:to>
      <xdr:col>6</xdr:col>
      <xdr:colOff>449035</xdr:colOff>
      <xdr:row>32</xdr:row>
      <xdr:rowOff>54429</xdr:rowOff>
    </xdr:to>
    <xdr:graphicFrame macro="">
      <xdr:nvGraphicFramePr>
        <xdr:cNvPr id="24" name="Chart 23">
          <a:extLst>
            <a:ext uri="{FF2B5EF4-FFF2-40B4-BE49-F238E27FC236}">
              <a16:creationId xmlns:a16="http://schemas.microsoft.com/office/drawing/2014/main" id="{42C455A4-6C88-4B45-AF51-8435E3378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40821</xdr:colOff>
      <xdr:row>19</xdr:row>
      <xdr:rowOff>176893</xdr:rowOff>
    </xdr:from>
    <xdr:to>
      <xdr:col>13</xdr:col>
      <xdr:colOff>476250</xdr:colOff>
      <xdr:row>32</xdr:row>
      <xdr:rowOff>35380</xdr:rowOff>
    </xdr:to>
    <xdr:graphicFrame macro="">
      <xdr:nvGraphicFramePr>
        <xdr:cNvPr id="25" name="Chart 24">
          <a:extLst>
            <a:ext uri="{FF2B5EF4-FFF2-40B4-BE49-F238E27FC236}">
              <a16:creationId xmlns:a16="http://schemas.microsoft.com/office/drawing/2014/main" id="{92114428-D7C9-457D-9131-D8A18B51F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17</xdr:col>
      <xdr:colOff>476250</xdr:colOff>
      <xdr:row>8</xdr:row>
      <xdr:rowOff>136072</xdr:rowOff>
    </xdr:from>
    <xdr:ext cx="184731" cy="264560"/>
    <xdr:sp macro="" textlink="">
      <xdr:nvSpPr>
        <xdr:cNvPr id="27" name="TextBox 26">
          <a:extLst>
            <a:ext uri="{FF2B5EF4-FFF2-40B4-BE49-F238E27FC236}">
              <a16:creationId xmlns:a16="http://schemas.microsoft.com/office/drawing/2014/main" id="{4EA1F7CC-7325-9BEC-C47A-ED7EEA36B9C4}"/>
            </a:ext>
          </a:extLst>
        </xdr:cNvPr>
        <xdr:cNvSpPr txBox="1"/>
      </xdr:nvSpPr>
      <xdr:spPr>
        <a:xfrm>
          <a:off x="10885714" y="16600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312965</xdr:colOff>
      <xdr:row>4</xdr:row>
      <xdr:rowOff>81643</xdr:rowOff>
    </xdr:from>
    <xdr:to>
      <xdr:col>8</xdr:col>
      <xdr:colOff>353786</xdr:colOff>
      <xdr:row>6</xdr:row>
      <xdr:rowOff>27216</xdr:rowOff>
    </xdr:to>
    <xdr:sp macro="" textlink="">
      <xdr:nvSpPr>
        <xdr:cNvPr id="29" name="Rectangle: Rounded Corners 28">
          <a:extLst>
            <a:ext uri="{FF2B5EF4-FFF2-40B4-BE49-F238E27FC236}">
              <a16:creationId xmlns:a16="http://schemas.microsoft.com/office/drawing/2014/main" id="{4C30AC25-B19A-D109-34AB-DE85186EF4FD}"/>
            </a:ext>
          </a:extLst>
        </xdr:cNvPr>
        <xdr:cNvSpPr/>
      </xdr:nvSpPr>
      <xdr:spPr>
        <a:xfrm>
          <a:off x="2762251" y="843643"/>
          <a:ext cx="2490106" cy="326573"/>
        </a:xfrm>
        <a:prstGeom prst="roundRect">
          <a:avLst>
            <a:gd name="adj" fmla="val 41425"/>
          </a:avLst>
        </a:prstGeom>
        <a:solidFill>
          <a:sysClr val="window" lastClr="FFFFFF">
            <a:alpha val="35000"/>
          </a:sys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400" b="1" i="1">
              <a:solidFill>
                <a:sysClr val="windowText" lastClr="000000"/>
              </a:solidFill>
              <a:latin typeface="Times New Roman" panose="02020603050405020304" pitchFamily="18" charset="0"/>
              <a:cs typeface="Times New Roman" panose="02020603050405020304" pitchFamily="18" charset="0"/>
            </a:rPr>
            <a:t>PROFIT: #</a:t>
          </a:r>
          <a:r>
            <a:rPr lang="en-US" sz="1400" b="1" i="1" u="none" strike="noStrike">
              <a:solidFill>
                <a:sysClr val="windowText" lastClr="000000"/>
              </a:solidFill>
              <a:effectLst/>
              <a:latin typeface="+mn-lt"/>
              <a:ea typeface="+mn-ea"/>
              <a:cs typeface="+mn-cs"/>
            </a:rPr>
            <a:t>465</a:t>
          </a:r>
          <a:r>
            <a:rPr lang="en-US" sz="1400" b="1" i="1" u="none" strike="noStrike" baseline="0">
              <a:solidFill>
                <a:sysClr val="windowText" lastClr="000000"/>
              </a:solidFill>
              <a:effectLst/>
              <a:latin typeface="+mn-lt"/>
              <a:ea typeface="+mn-ea"/>
              <a:cs typeface="+mn-cs"/>
            </a:rPr>
            <a:t>,674,000</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3.639891087965" createdVersion="8" refreshedVersion="8" minRefreshableVersion="3" recordCount="2098" xr:uid="{62569498-589C-4C56-8724-63C61F96880B}">
  <cacheSource type="worksheet">
    <worksheetSource name="Table_13"/>
  </cacheSource>
  <cacheFields count="20">
    <cacheField name="Date" numFmtId="167">
      <sharedItems containsSemiMixedTypes="0" containsNonDate="0" containsDate="1" containsString="0" minDate="2025-01-19T00:00:00" maxDate="2030-10-18T00:00:00" count="2098">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sharedItems>
      <fieldGroup par="19"/>
    </cacheField>
    <cacheField name="Month" numFmtId="1">
      <sharedItems containsSemiMixedTypes="0" containsString="0" containsNumber="1" containsInteger="1" minValue="1" maxValue="12" count="12">
        <n v="1"/>
        <n v="2"/>
        <n v="3"/>
        <n v="4"/>
        <n v="5"/>
        <n v="6"/>
        <n v="7"/>
        <n v="8"/>
        <n v="9"/>
        <n v="10"/>
        <n v="11"/>
        <n v="12"/>
      </sharedItems>
    </cacheField>
    <cacheField name="Month -w" numFmtId="1">
      <sharedItems count="12">
        <s v="JAN"/>
        <s v="FEB"/>
        <s v="MAR"/>
        <s v="APR"/>
        <s v="MAY"/>
        <s v="JUN"/>
        <s v="JUL"/>
        <s v="AUG"/>
        <s v="SEPT"/>
        <s v="OCT"/>
        <s v="NOV"/>
        <s v="DEC"/>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6">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5">
      <sharedItems containsSemiMixedTypes="0" containsString="0" containsNumber="1" containsInteger="1" minValue="24000" maxValue="336000"/>
    </cacheField>
    <cacheField name="Revenue" numFmtId="164">
      <sharedItems containsSemiMixedTypes="0" containsString="0" containsNumber="1" containsInteger="1" minValue="30000" maxValue="4200000"/>
    </cacheField>
    <cacheField name="COGS" numFmtId="166">
      <sharedItems containsSemiMixedTypes="0" containsString="0" containsNumber="1" containsInteger="1" minValue="24000" maxValue="3360000"/>
    </cacheField>
    <cacheField name="Profit" numFmtId="164">
      <sharedItems containsSemiMixedTypes="0" containsString="0" containsNumber="1" containsInteger="1" minValue="6000" maxValue="840000"/>
    </cacheField>
    <cacheField name="Profit Percent" numFmtId="0" formula="Profit/SUM(Profit)*100" databaseField="0"/>
    <cacheField name="Months (Date)" numFmtId="0" databaseField="0">
      <fieldGroup base="0">
        <rangePr groupBy="months" startDate="2025-01-19T00:00:00" endDate="2030-10-18T00:00:00"/>
        <groupItems count="14">
          <s v="&lt;1/19/2025"/>
          <s v="Jan"/>
          <s v="Feb"/>
          <s v="Mar"/>
          <s v="Apr"/>
          <s v="May"/>
          <s v="Jun"/>
          <s v="Jul"/>
          <s v="Aug"/>
          <s v="Sep"/>
          <s v="Oct"/>
          <s v="Nov"/>
          <s v="Dec"/>
          <s v="&gt;10/18/2030"/>
        </groupItems>
      </fieldGroup>
    </cacheField>
    <cacheField name="Quarters (Date)" numFmtId="0" databaseField="0">
      <fieldGroup base="0">
        <rangePr groupBy="quarters" startDate="2025-01-19T00:00:00" endDate="2030-10-18T00:00:00"/>
        <groupItems count="6">
          <s v="&lt;1/19/2025"/>
          <s v="Qtr1"/>
          <s v="Qtr2"/>
          <s v="Qtr3"/>
          <s v="Qtr4"/>
          <s v="&gt;10/18/2030"/>
        </groupItems>
      </fieldGroup>
    </cacheField>
    <cacheField name="Years (Date)" numFmtId="0" databaseField="0">
      <fieldGroup base="0">
        <rangePr groupBy="years" startDate="2025-01-19T00:00:00" endDate="2030-10-18T00:00:00"/>
        <groupItems count="8">
          <s v="&lt;1/19/2025"/>
          <s v="2025"/>
          <s v="2026"/>
          <s v="2027"/>
          <s v="2028"/>
          <s v="2029"/>
          <s v="2030"/>
          <s v="&gt;10/18/2030"/>
        </groupItems>
      </fieldGroup>
    </cacheField>
  </cacheFields>
  <extLst>
    <ext xmlns:x14="http://schemas.microsoft.com/office/spreadsheetml/2009/9/main" uri="{725AE2AE-9491-48be-B2B4-4EB974FC3084}">
      <x14:pivotCacheDefinition pivotCacheId="1376175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x v="0"/>
    <s v="Retail"/>
    <s v="Online"/>
    <x v="0"/>
    <x v="0"/>
    <n v="85000"/>
    <n v="1"/>
    <x v="0"/>
    <n v="68000"/>
    <n v="85000"/>
    <n v="68000"/>
    <n v="17000"/>
  </r>
  <r>
    <x v="1"/>
    <x v="0"/>
    <x v="0"/>
    <x v="1"/>
    <x v="1"/>
    <s v="Retail"/>
    <s v="Store"/>
    <x v="1"/>
    <x v="1"/>
    <n v="30000"/>
    <n v="8"/>
    <x v="0"/>
    <n v="24000"/>
    <n v="240000"/>
    <n v="192000"/>
    <n v="48000"/>
  </r>
  <r>
    <x v="2"/>
    <x v="0"/>
    <x v="0"/>
    <x v="1"/>
    <x v="0"/>
    <s v="Corporate"/>
    <s v="Online"/>
    <x v="0"/>
    <x v="0"/>
    <n v="85000"/>
    <n v="2"/>
    <x v="1"/>
    <n v="68000"/>
    <n v="170000"/>
    <n v="136000"/>
    <n v="34000"/>
  </r>
  <r>
    <x v="3"/>
    <x v="0"/>
    <x v="0"/>
    <x v="2"/>
    <x v="2"/>
    <s v="Retail"/>
    <s v="Online"/>
    <x v="2"/>
    <x v="1"/>
    <n v="60000"/>
    <n v="2"/>
    <x v="2"/>
    <n v="48000"/>
    <n v="120000"/>
    <n v="96000"/>
    <n v="24000"/>
  </r>
  <r>
    <x v="4"/>
    <x v="0"/>
    <x v="0"/>
    <x v="3"/>
    <x v="2"/>
    <s v="Corporate"/>
    <s v="Online"/>
    <x v="3"/>
    <x v="2"/>
    <n v="300000"/>
    <n v="2"/>
    <x v="0"/>
    <n v="240000"/>
    <n v="600000"/>
    <n v="480000"/>
    <n v="120000"/>
  </r>
  <r>
    <x v="5"/>
    <x v="0"/>
    <x v="0"/>
    <x v="2"/>
    <x v="3"/>
    <s v="Retail"/>
    <s v="Online"/>
    <x v="4"/>
    <x v="1"/>
    <n v="180000"/>
    <n v="10"/>
    <x v="0"/>
    <n v="144000"/>
    <n v="1800000"/>
    <n v="1440000"/>
    <n v="360000"/>
  </r>
  <r>
    <x v="6"/>
    <x v="0"/>
    <x v="0"/>
    <x v="2"/>
    <x v="3"/>
    <s v="Corporate"/>
    <s v="Online"/>
    <x v="5"/>
    <x v="0"/>
    <n v="320000"/>
    <n v="4"/>
    <x v="2"/>
    <n v="256000"/>
    <n v="1280000"/>
    <n v="1024000"/>
    <n v="256000"/>
  </r>
  <r>
    <x v="7"/>
    <x v="0"/>
    <x v="0"/>
    <x v="2"/>
    <x v="2"/>
    <s v="Retail"/>
    <s v="Online"/>
    <x v="5"/>
    <x v="0"/>
    <n v="320000"/>
    <n v="1"/>
    <x v="3"/>
    <n v="256000"/>
    <n v="320000"/>
    <n v="256000"/>
    <n v="64000"/>
  </r>
  <r>
    <x v="8"/>
    <x v="0"/>
    <x v="0"/>
    <x v="1"/>
    <x v="1"/>
    <s v="Retail"/>
    <s v="Store"/>
    <x v="5"/>
    <x v="0"/>
    <n v="320000"/>
    <n v="9"/>
    <x v="2"/>
    <n v="256000"/>
    <n v="2880000"/>
    <n v="2304000"/>
    <n v="576000"/>
  </r>
  <r>
    <x v="9"/>
    <x v="0"/>
    <x v="0"/>
    <x v="2"/>
    <x v="1"/>
    <s v="Retail"/>
    <s v="Online"/>
    <x v="5"/>
    <x v="0"/>
    <n v="320000"/>
    <n v="3"/>
    <x v="2"/>
    <n v="256000"/>
    <n v="960000"/>
    <n v="768000"/>
    <n v="192000"/>
  </r>
  <r>
    <x v="10"/>
    <x v="0"/>
    <x v="0"/>
    <x v="2"/>
    <x v="0"/>
    <s v="Retail"/>
    <s v="Online"/>
    <x v="6"/>
    <x v="2"/>
    <n v="150000"/>
    <n v="4"/>
    <x v="3"/>
    <n v="120000"/>
    <n v="600000"/>
    <n v="480000"/>
    <n v="120000"/>
  </r>
  <r>
    <x v="11"/>
    <x v="0"/>
    <x v="0"/>
    <x v="0"/>
    <x v="2"/>
    <s v="Corporate"/>
    <s v="Online"/>
    <x v="5"/>
    <x v="0"/>
    <n v="320000"/>
    <n v="7"/>
    <x v="3"/>
    <n v="256000"/>
    <n v="2240000"/>
    <n v="1792000"/>
    <n v="448000"/>
  </r>
  <r>
    <x v="12"/>
    <x v="0"/>
    <x v="0"/>
    <x v="2"/>
    <x v="0"/>
    <s v="Retail"/>
    <s v="Store"/>
    <x v="6"/>
    <x v="2"/>
    <n v="150000"/>
    <n v="2"/>
    <x v="4"/>
    <n v="120000"/>
    <n v="300000"/>
    <n v="240000"/>
    <n v="60000"/>
  </r>
  <r>
    <x v="13"/>
    <x v="1"/>
    <x v="1"/>
    <x v="0"/>
    <x v="1"/>
    <s v="Retail"/>
    <s v="Online"/>
    <x v="7"/>
    <x v="2"/>
    <n v="420000"/>
    <n v="9"/>
    <x v="2"/>
    <n v="336000"/>
    <n v="3780000"/>
    <n v="3024000"/>
    <n v="756000"/>
  </r>
  <r>
    <x v="14"/>
    <x v="1"/>
    <x v="1"/>
    <x v="3"/>
    <x v="1"/>
    <s v="Retail"/>
    <s v="Online"/>
    <x v="7"/>
    <x v="2"/>
    <n v="420000"/>
    <n v="5"/>
    <x v="5"/>
    <n v="336000"/>
    <n v="2100000"/>
    <n v="1680000"/>
    <n v="420000"/>
  </r>
  <r>
    <x v="15"/>
    <x v="1"/>
    <x v="1"/>
    <x v="0"/>
    <x v="2"/>
    <s v="Corporate"/>
    <s v="Store"/>
    <x v="8"/>
    <x v="2"/>
    <n v="250000"/>
    <n v="4"/>
    <x v="3"/>
    <n v="200000"/>
    <n v="1000000"/>
    <n v="800000"/>
    <n v="200000"/>
  </r>
  <r>
    <x v="16"/>
    <x v="1"/>
    <x v="1"/>
    <x v="0"/>
    <x v="1"/>
    <s v="Retail"/>
    <s v="Online"/>
    <x v="9"/>
    <x v="1"/>
    <n v="220000"/>
    <n v="2"/>
    <x v="3"/>
    <n v="176000"/>
    <n v="440000"/>
    <n v="352000"/>
    <n v="88000"/>
  </r>
  <r>
    <x v="17"/>
    <x v="1"/>
    <x v="1"/>
    <x v="1"/>
    <x v="2"/>
    <s v="Retail"/>
    <s v="Store"/>
    <x v="6"/>
    <x v="2"/>
    <n v="150000"/>
    <n v="7"/>
    <x v="2"/>
    <n v="120000"/>
    <n v="1050000"/>
    <n v="840000"/>
    <n v="210000"/>
  </r>
  <r>
    <x v="18"/>
    <x v="1"/>
    <x v="1"/>
    <x v="2"/>
    <x v="3"/>
    <s v="Corporate"/>
    <s v="Store"/>
    <x v="3"/>
    <x v="2"/>
    <n v="300000"/>
    <n v="5"/>
    <x v="3"/>
    <n v="240000"/>
    <n v="1500000"/>
    <n v="1200000"/>
    <n v="300000"/>
  </r>
  <r>
    <x v="19"/>
    <x v="1"/>
    <x v="1"/>
    <x v="3"/>
    <x v="2"/>
    <s v="Retail"/>
    <s v="Online"/>
    <x v="6"/>
    <x v="2"/>
    <n v="150000"/>
    <n v="4"/>
    <x v="3"/>
    <n v="120000"/>
    <n v="600000"/>
    <n v="480000"/>
    <n v="120000"/>
  </r>
  <r>
    <x v="20"/>
    <x v="1"/>
    <x v="1"/>
    <x v="3"/>
    <x v="2"/>
    <s v="Corporate"/>
    <s v="Store"/>
    <x v="0"/>
    <x v="0"/>
    <n v="85000"/>
    <n v="1"/>
    <x v="5"/>
    <n v="68000"/>
    <n v="85000"/>
    <n v="68000"/>
    <n v="17000"/>
  </r>
  <r>
    <x v="21"/>
    <x v="1"/>
    <x v="1"/>
    <x v="1"/>
    <x v="0"/>
    <s v="Retail"/>
    <s v="Store"/>
    <x v="0"/>
    <x v="0"/>
    <n v="85000"/>
    <n v="9"/>
    <x v="1"/>
    <n v="68000"/>
    <n v="765000"/>
    <n v="612000"/>
    <n v="153000"/>
  </r>
  <r>
    <x v="22"/>
    <x v="1"/>
    <x v="1"/>
    <x v="1"/>
    <x v="1"/>
    <s v="Retail"/>
    <s v="Store"/>
    <x v="7"/>
    <x v="2"/>
    <n v="420000"/>
    <n v="8"/>
    <x v="5"/>
    <n v="336000"/>
    <n v="3360000"/>
    <n v="2688000"/>
    <n v="672000"/>
  </r>
  <r>
    <x v="23"/>
    <x v="1"/>
    <x v="1"/>
    <x v="3"/>
    <x v="1"/>
    <s v="Corporate"/>
    <s v="Online"/>
    <x v="7"/>
    <x v="2"/>
    <n v="420000"/>
    <n v="10"/>
    <x v="5"/>
    <n v="336000"/>
    <n v="4200000"/>
    <n v="3360000"/>
    <n v="840000"/>
  </r>
  <r>
    <x v="24"/>
    <x v="1"/>
    <x v="1"/>
    <x v="1"/>
    <x v="0"/>
    <s v="Retail"/>
    <s v="Store"/>
    <x v="8"/>
    <x v="2"/>
    <n v="250000"/>
    <n v="5"/>
    <x v="4"/>
    <n v="200000"/>
    <n v="1250000"/>
    <n v="1000000"/>
    <n v="250000"/>
  </r>
  <r>
    <x v="25"/>
    <x v="1"/>
    <x v="1"/>
    <x v="3"/>
    <x v="1"/>
    <s v="Corporate"/>
    <s v="Store"/>
    <x v="9"/>
    <x v="1"/>
    <n v="220000"/>
    <n v="4"/>
    <x v="5"/>
    <n v="176000"/>
    <n v="880000"/>
    <n v="704000"/>
    <n v="176000"/>
  </r>
  <r>
    <x v="26"/>
    <x v="1"/>
    <x v="1"/>
    <x v="0"/>
    <x v="3"/>
    <s v="Corporate"/>
    <s v="Online"/>
    <x v="6"/>
    <x v="2"/>
    <n v="150000"/>
    <n v="7"/>
    <x v="2"/>
    <n v="120000"/>
    <n v="1050000"/>
    <n v="840000"/>
    <n v="210000"/>
  </r>
  <r>
    <x v="27"/>
    <x v="1"/>
    <x v="1"/>
    <x v="2"/>
    <x v="2"/>
    <s v="Retail"/>
    <s v="Online"/>
    <x v="0"/>
    <x v="0"/>
    <n v="85000"/>
    <n v="3"/>
    <x v="3"/>
    <n v="68000"/>
    <n v="255000"/>
    <n v="204000"/>
    <n v="51000"/>
  </r>
  <r>
    <x v="28"/>
    <x v="1"/>
    <x v="1"/>
    <x v="1"/>
    <x v="0"/>
    <s v="Retail"/>
    <s v="Store"/>
    <x v="3"/>
    <x v="2"/>
    <n v="300000"/>
    <n v="8"/>
    <x v="5"/>
    <n v="240000"/>
    <n v="2400000"/>
    <n v="1920000"/>
    <n v="480000"/>
  </r>
  <r>
    <x v="29"/>
    <x v="1"/>
    <x v="1"/>
    <x v="0"/>
    <x v="1"/>
    <s v="Corporate"/>
    <s v="Online"/>
    <x v="9"/>
    <x v="1"/>
    <n v="220000"/>
    <n v="1"/>
    <x v="1"/>
    <n v="176000"/>
    <n v="220000"/>
    <n v="176000"/>
    <n v="44000"/>
  </r>
  <r>
    <x v="30"/>
    <x v="1"/>
    <x v="1"/>
    <x v="2"/>
    <x v="3"/>
    <s v="Corporate"/>
    <s v="Online"/>
    <x v="5"/>
    <x v="0"/>
    <n v="320000"/>
    <n v="7"/>
    <x v="5"/>
    <n v="256000"/>
    <n v="2240000"/>
    <n v="1792000"/>
    <n v="448000"/>
  </r>
  <r>
    <x v="31"/>
    <x v="1"/>
    <x v="1"/>
    <x v="0"/>
    <x v="3"/>
    <s v="Retail"/>
    <s v="Store"/>
    <x v="6"/>
    <x v="2"/>
    <n v="150000"/>
    <n v="1"/>
    <x v="0"/>
    <n v="120000"/>
    <n v="150000"/>
    <n v="120000"/>
    <n v="30000"/>
  </r>
  <r>
    <x v="32"/>
    <x v="1"/>
    <x v="1"/>
    <x v="1"/>
    <x v="2"/>
    <s v="Retail"/>
    <s v="Online"/>
    <x v="4"/>
    <x v="1"/>
    <n v="180000"/>
    <n v="9"/>
    <x v="5"/>
    <n v="144000"/>
    <n v="1620000"/>
    <n v="1296000"/>
    <n v="324000"/>
  </r>
  <r>
    <x v="33"/>
    <x v="1"/>
    <x v="1"/>
    <x v="2"/>
    <x v="2"/>
    <s v="Retail"/>
    <s v="Online"/>
    <x v="5"/>
    <x v="0"/>
    <n v="320000"/>
    <n v="5"/>
    <x v="5"/>
    <n v="256000"/>
    <n v="1600000"/>
    <n v="1280000"/>
    <n v="320000"/>
  </r>
  <r>
    <x v="34"/>
    <x v="1"/>
    <x v="1"/>
    <x v="2"/>
    <x v="2"/>
    <s v="Corporate"/>
    <s v="Store"/>
    <x v="6"/>
    <x v="2"/>
    <n v="150000"/>
    <n v="8"/>
    <x v="4"/>
    <n v="120000"/>
    <n v="1200000"/>
    <n v="960000"/>
    <n v="240000"/>
  </r>
  <r>
    <x v="35"/>
    <x v="1"/>
    <x v="1"/>
    <x v="0"/>
    <x v="0"/>
    <s v="Corporate"/>
    <s v="Store"/>
    <x v="0"/>
    <x v="0"/>
    <n v="85000"/>
    <n v="7"/>
    <x v="1"/>
    <n v="68000"/>
    <n v="595000"/>
    <n v="476000"/>
    <n v="119000"/>
  </r>
  <r>
    <x v="36"/>
    <x v="1"/>
    <x v="1"/>
    <x v="2"/>
    <x v="3"/>
    <s v="Corporate"/>
    <s v="Online"/>
    <x v="5"/>
    <x v="0"/>
    <n v="320000"/>
    <n v="6"/>
    <x v="1"/>
    <n v="256000"/>
    <n v="1920000"/>
    <n v="1536000"/>
    <n v="384000"/>
  </r>
  <r>
    <x v="37"/>
    <x v="1"/>
    <x v="1"/>
    <x v="0"/>
    <x v="2"/>
    <s v="Retail"/>
    <s v="Store"/>
    <x v="7"/>
    <x v="2"/>
    <n v="420000"/>
    <n v="8"/>
    <x v="4"/>
    <n v="336000"/>
    <n v="3360000"/>
    <n v="2688000"/>
    <n v="672000"/>
  </r>
  <r>
    <x v="38"/>
    <x v="1"/>
    <x v="1"/>
    <x v="2"/>
    <x v="0"/>
    <s v="Corporate"/>
    <s v="Online"/>
    <x v="3"/>
    <x v="2"/>
    <n v="300000"/>
    <n v="7"/>
    <x v="3"/>
    <n v="240000"/>
    <n v="2100000"/>
    <n v="1680000"/>
    <n v="420000"/>
  </r>
  <r>
    <x v="39"/>
    <x v="1"/>
    <x v="1"/>
    <x v="0"/>
    <x v="0"/>
    <s v="Retail"/>
    <s v="Online"/>
    <x v="1"/>
    <x v="1"/>
    <n v="30000"/>
    <n v="6"/>
    <x v="1"/>
    <n v="24000"/>
    <n v="180000"/>
    <n v="144000"/>
    <n v="36000"/>
  </r>
  <r>
    <x v="40"/>
    <x v="1"/>
    <x v="1"/>
    <x v="0"/>
    <x v="0"/>
    <s v="Corporate"/>
    <s v="Store"/>
    <x v="9"/>
    <x v="1"/>
    <n v="220000"/>
    <n v="2"/>
    <x v="3"/>
    <n v="176000"/>
    <n v="440000"/>
    <n v="352000"/>
    <n v="88000"/>
  </r>
  <r>
    <x v="41"/>
    <x v="2"/>
    <x v="2"/>
    <x v="0"/>
    <x v="3"/>
    <s v="Retail"/>
    <s v="Online"/>
    <x v="6"/>
    <x v="2"/>
    <n v="150000"/>
    <n v="1"/>
    <x v="1"/>
    <n v="120000"/>
    <n v="150000"/>
    <n v="120000"/>
    <n v="30000"/>
  </r>
  <r>
    <x v="42"/>
    <x v="2"/>
    <x v="2"/>
    <x v="3"/>
    <x v="1"/>
    <s v="Retail"/>
    <s v="Store"/>
    <x v="5"/>
    <x v="0"/>
    <n v="320000"/>
    <n v="1"/>
    <x v="5"/>
    <n v="256000"/>
    <n v="320000"/>
    <n v="256000"/>
    <n v="64000"/>
  </r>
  <r>
    <x v="43"/>
    <x v="2"/>
    <x v="2"/>
    <x v="3"/>
    <x v="3"/>
    <s v="Corporate"/>
    <s v="Store"/>
    <x v="1"/>
    <x v="1"/>
    <n v="30000"/>
    <n v="3"/>
    <x v="1"/>
    <n v="24000"/>
    <n v="90000"/>
    <n v="72000"/>
    <n v="18000"/>
  </r>
  <r>
    <x v="44"/>
    <x v="2"/>
    <x v="2"/>
    <x v="0"/>
    <x v="0"/>
    <s v="Corporate"/>
    <s v="Online"/>
    <x v="2"/>
    <x v="1"/>
    <n v="60000"/>
    <n v="5"/>
    <x v="2"/>
    <n v="48000"/>
    <n v="300000"/>
    <n v="240000"/>
    <n v="60000"/>
  </r>
  <r>
    <x v="45"/>
    <x v="2"/>
    <x v="2"/>
    <x v="1"/>
    <x v="2"/>
    <s v="Corporate"/>
    <s v="Online"/>
    <x v="6"/>
    <x v="2"/>
    <n v="150000"/>
    <n v="3"/>
    <x v="2"/>
    <n v="120000"/>
    <n v="450000"/>
    <n v="360000"/>
    <n v="90000"/>
  </r>
  <r>
    <x v="46"/>
    <x v="2"/>
    <x v="2"/>
    <x v="1"/>
    <x v="1"/>
    <s v="Retail"/>
    <s v="Online"/>
    <x v="5"/>
    <x v="0"/>
    <n v="320000"/>
    <n v="10"/>
    <x v="2"/>
    <n v="256000"/>
    <n v="3200000"/>
    <n v="2560000"/>
    <n v="640000"/>
  </r>
  <r>
    <x v="47"/>
    <x v="2"/>
    <x v="2"/>
    <x v="1"/>
    <x v="0"/>
    <s v="Corporate"/>
    <s v="Online"/>
    <x v="9"/>
    <x v="1"/>
    <n v="220000"/>
    <n v="6"/>
    <x v="0"/>
    <n v="176000"/>
    <n v="1320000"/>
    <n v="1056000"/>
    <n v="264000"/>
  </r>
  <r>
    <x v="48"/>
    <x v="2"/>
    <x v="2"/>
    <x v="0"/>
    <x v="3"/>
    <s v="Corporate"/>
    <s v="Online"/>
    <x v="4"/>
    <x v="1"/>
    <n v="180000"/>
    <n v="8"/>
    <x v="2"/>
    <n v="144000"/>
    <n v="1440000"/>
    <n v="1152000"/>
    <n v="288000"/>
  </r>
  <r>
    <x v="49"/>
    <x v="2"/>
    <x v="2"/>
    <x v="0"/>
    <x v="2"/>
    <s v="Retail"/>
    <s v="Store"/>
    <x v="5"/>
    <x v="0"/>
    <n v="320000"/>
    <n v="2"/>
    <x v="1"/>
    <n v="256000"/>
    <n v="640000"/>
    <n v="512000"/>
    <n v="128000"/>
  </r>
  <r>
    <x v="50"/>
    <x v="2"/>
    <x v="2"/>
    <x v="0"/>
    <x v="1"/>
    <s v="Retail"/>
    <s v="Store"/>
    <x v="3"/>
    <x v="2"/>
    <n v="300000"/>
    <n v="9"/>
    <x v="3"/>
    <n v="240000"/>
    <n v="2700000"/>
    <n v="2160000"/>
    <n v="540000"/>
  </r>
  <r>
    <x v="51"/>
    <x v="2"/>
    <x v="2"/>
    <x v="3"/>
    <x v="2"/>
    <s v="Retail"/>
    <s v="Store"/>
    <x v="7"/>
    <x v="2"/>
    <n v="420000"/>
    <n v="1"/>
    <x v="3"/>
    <n v="336000"/>
    <n v="420000"/>
    <n v="336000"/>
    <n v="84000"/>
  </r>
  <r>
    <x v="52"/>
    <x v="2"/>
    <x v="2"/>
    <x v="1"/>
    <x v="2"/>
    <s v="Retail"/>
    <s v="Online"/>
    <x v="2"/>
    <x v="1"/>
    <n v="60000"/>
    <n v="1"/>
    <x v="2"/>
    <n v="48000"/>
    <n v="60000"/>
    <n v="48000"/>
    <n v="12000"/>
  </r>
  <r>
    <x v="53"/>
    <x v="2"/>
    <x v="2"/>
    <x v="1"/>
    <x v="1"/>
    <s v="Corporate"/>
    <s v="Store"/>
    <x v="3"/>
    <x v="2"/>
    <n v="300000"/>
    <n v="9"/>
    <x v="3"/>
    <n v="240000"/>
    <n v="2700000"/>
    <n v="2160000"/>
    <n v="540000"/>
  </r>
  <r>
    <x v="54"/>
    <x v="2"/>
    <x v="2"/>
    <x v="0"/>
    <x v="2"/>
    <s v="Corporate"/>
    <s v="Online"/>
    <x v="7"/>
    <x v="2"/>
    <n v="420000"/>
    <n v="9"/>
    <x v="1"/>
    <n v="336000"/>
    <n v="3780000"/>
    <n v="3024000"/>
    <n v="756000"/>
  </r>
  <r>
    <x v="55"/>
    <x v="2"/>
    <x v="2"/>
    <x v="1"/>
    <x v="1"/>
    <s v="Retail"/>
    <s v="Online"/>
    <x v="9"/>
    <x v="1"/>
    <n v="220000"/>
    <n v="8"/>
    <x v="4"/>
    <n v="176000"/>
    <n v="1760000"/>
    <n v="1408000"/>
    <n v="352000"/>
  </r>
  <r>
    <x v="56"/>
    <x v="2"/>
    <x v="2"/>
    <x v="2"/>
    <x v="0"/>
    <s v="Retail"/>
    <s v="Online"/>
    <x v="0"/>
    <x v="0"/>
    <n v="85000"/>
    <n v="10"/>
    <x v="3"/>
    <n v="68000"/>
    <n v="850000"/>
    <n v="680000"/>
    <n v="170000"/>
  </r>
  <r>
    <x v="57"/>
    <x v="2"/>
    <x v="2"/>
    <x v="0"/>
    <x v="2"/>
    <s v="Corporate"/>
    <s v="Online"/>
    <x v="6"/>
    <x v="2"/>
    <n v="150000"/>
    <n v="4"/>
    <x v="0"/>
    <n v="120000"/>
    <n v="600000"/>
    <n v="480000"/>
    <n v="120000"/>
  </r>
  <r>
    <x v="58"/>
    <x v="2"/>
    <x v="2"/>
    <x v="1"/>
    <x v="1"/>
    <s v="Corporate"/>
    <s v="Store"/>
    <x v="8"/>
    <x v="2"/>
    <n v="250000"/>
    <n v="1"/>
    <x v="2"/>
    <n v="200000"/>
    <n v="250000"/>
    <n v="200000"/>
    <n v="50000"/>
  </r>
  <r>
    <x v="59"/>
    <x v="2"/>
    <x v="2"/>
    <x v="2"/>
    <x v="1"/>
    <s v="Retail"/>
    <s v="Online"/>
    <x v="1"/>
    <x v="1"/>
    <n v="30000"/>
    <n v="10"/>
    <x v="2"/>
    <n v="24000"/>
    <n v="300000"/>
    <n v="240000"/>
    <n v="60000"/>
  </r>
  <r>
    <x v="60"/>
    <x v="2"/>
    <x v="2"/>
    <x v="2"/>
    <x v="1"/>
    <s v="Corporate"/>
    <s v="Online"/>
    <x v="7"/>
    <x v="2"/>
    <n v="420000"/>
    <n v="4"/>
    <x v="1"/>
    <n v="336000"/>
    <n v="1680000"/>
    <n v="1344000"/>
    <n v="336000"/>
  </r>
  <r>
    <x v="61"/>
    <x v="2"/>
    <x v="2"/>
    <x v="1"/>
    <x v="1"/>
    <s v="Retail"/>
    <s v="Store"/>
    <x v="0"/>
    <x v="0"/>
    <n v="85000"/>
    <n v="2"/>
    <x v="3"/>
    <n v="68000"/>
    <n v="170000"/>
    <n v="136000"/>
    <n v="34000"/>
  </r>
  <r>
    <x v="62"/>
    <x v="2"/>
    <x v="2"/>
    <x v="1"/>
    <x v="1"/>
    <s v="Retail"/>
    <s v="Online"/>
    <x v="9"/>
    <x v="1"/>
    <n v="220000"/>
    <n v="1"/>
    <x v="2"/>
    <n v="176000"/>
    <n v="220000"/>
    <n v="176000"/>
    <n v="44000"/>
  </r>
  <r>
    <x v="63"/>
    <x v="2"/>
    <x v="2"/>
    <x v="0"/>
    <x v="0"/>
    <s v="Retail"/>
    <s v="Store"/>
    <x v="4"/>
    <x v="1"/>
    <n v="180000"/>
    <n v="9"/>
    <x v="5"/>
    <n v="144000"/>
    <n v="1620000"/>
    <n v="1296000"/>
    <n v="324000"/>
  </r>
  <r>
    <x v="64"/>
    <x v="2"/>
    <x v="2"/>
    <x v="0"/>
    <x v="2"/>
    <s v="Retail"/>
    <s v="Store"/>
    <x v="8"/>
    <x v="2"/>
    <n v="250000"/>
    <n v="6"/>
    <x v="0"/>
    <n v="200000"/>
    <n v="1500000"/>
    <n v="1200000"/>
    <n v="300000"/>
  </r>
  <r>
    <x v="65"/>
    <x v="2"/>
    <x v="2"/>
    <x v="0"/>
    <x v="0"/>
    <s v="Retail"/>
    <s v="Store"/>
    <x v="4"/>
    <x v="1"/>
    <n v="180000"/>
    <n v="3"/>
    <x v="5"/>
    <n v="144000"/>
    <n v="540000"/>
    <n v="432000"/>
    <n v="108000"/>
  </r>
  <r>
    <x v="66"/>
    <x v="2"/>
    <x v="2"/>
    <x v="2"/>
    <x v="0"/>
    <s v="Corporate"/>
    <s v="Online"/>
    <x v="2"/>
    <x v="1"/>
    <n v="60000"/>
    <n v="8"/>
    <x v="3"/>
    <n v="48000"/>
    <n v="480000"/>
    <n v="384000"/>
    <n v="96000"/>
  </r>
  <r>
    <x v="67"/>
    <x v="2"/>
    <x v="2"/>
    <x v="3"/>
    <x v="0"/>
    <s v="Retail"/>
    <s v="Online"/>
    <x v="2"/>
    <x v="1"/>
    <n v="60000"/>
    <n v="3"/>
    <x v="0"/>
    <n v="48000"/>
    <n v="180000"/>
    <n v="144000"/>
    <n v="36000"/>
  </r>
  <r>
    <x v="68"/>
    <x v="2"/>
    <x v="2"/>
    <x v="0"/>
    <x v="2"/>
    <s v="Corporate"/>
    <s v="Online"/>
    <x v="1"/>
    <x v="1"/>
    <n v="30000"/>
    <n v="8"/>
    <x v="2"/>
    <n v="24000"/>
    <n v="240000"/>
    <n v="192000"/>
    <n v="48000"/>
  </r>
  <r>
    <x v="69"/>
    <x v="2"/>
    <x v="2"/>
    <x v="2"/>
    <x v="1"/>
    <s v="Retail"/>
    <s v="Store"/>
    <x v="2"/>
    <x v="1"/>
    <n v="60000"/>
    <n v="4"/>
    <x v="5"/>
    <n v="48000"/>
    <n v="240000"/>
    <n v="192000"/>
    <n v="48000"/>
  </r>
  <r>
    <x v="70"/>
    <x v="2"/>
    <x v="2"/>
    <x v="2"/>
    <x v="0"/>
    <s v="Corporate"/>
    <s v="Store"/>
    <x v="1"/>
    <x v="1"/>
    <n v="30000"/>
    <n v="3"/>
    <x v="1"/>
    <n v="24000"/>
    <n v="90000"/>
    <n v="72000"/>
    <n v="18000"/>
  </r>
  <r>
    <x v="71"/>
    <x v="2"/>
    <x v="2"/>
    <x v="1"/>
    <x v="2"/>
    <s v="Retail"/>
    <s v="Online"/>
    <x v="4"/>
    <x v="1"/>
    <n v="180000"/>
    <n v="5"/>
    <x v="2"/>
    <n v="144000"/>
    <n v="900000"/>
    <n v="720000"/>
    <n v="180000"/>
  </r>
  <r>
    <x v="72"/>
    <x v="3"/>
    <x v="3"/>
    <x v="3"/>
    <x v="0"/>
    <s v="Retail"/>
    <s v="Store"/>
    <x v="9"/>
    <x v="1"/>
    <n v="220000"/>
    <n v="3"/>
    <x v="5"/>
    <n v="176000"/>
    <n v="660000"/>
    <n v="528000"/>
    <n v="132000"/>
  </r>
  <r>
    <x v="73"/>
    <x v="3"/>
    <x v="3"/>
    <x v="0"/>
    <x v="1"/>
    <s v="Retail"/>
    <s v="Online"/>
    <x v="2"/>
    <x v="1"/>
    <n v="60000"/>
    <n v="4"/>
    <x v="4"/>
    <n v="48000"/>
    <n v="240000"/>
    <n v="192000"/>
    <n v="48000"/>
  </r>
  <r>
    <x v="74"/>
    <x v="3"/>
    <x v="3"/>
    <x v="3"/>
    <x v="0"/>
    <s v="Corporate"/>
    <s v="Online"/>
    <x v="0"/>
    <x v="0"/>
    <n v="85000"/>
    <n v="1"/>
    <x v="4"/>
    <n v="68000"/>
    <n v="85000"/>
    <n v="68000"/>
    <n v="17000"/>
  </r>
  <r>
    <x v="75"/>
    <x v="3"/>
    <x v="3"/>
    <x v="1"/>
    <x v="0"/>
    <s v="Retail"/>
    <s v="Online"/>
    <x v="1"/>
    <x v="1"/>
    <n v="30000"/>
    <n v="5"/>
    <x v="1"/>
    <n v="24000"/>
    <n v="150000"/>
    <n v="120000"/>
    <n v="30000"/>
  </r>
  <r>
    <x v="76"/>
    <x v="3"/>
    <x v="3"/>
    <x v="1"/>
    <x v="3"/>
    <s v="Retail"/>
    <s v="Store"/>
    <x v="2"/>
    <x v="1"/>
    <n v="60000"/>
    <n v="3"/>
    <x v="4"/>
    <n v="48000"/>
    <n v="180000"/>
    <n v="144000"/>
    <n v="36000"/>
  </r>
  <r>
    <x v="77"/>
    <x v="3"/>
    <x v="3"/>
    <x v="0"/>
    <x v="3"/>
    <s v="Retail"/>
    <s v="Online"/>
    <x v="2"/>
    <x v="1"/>
    <n v="60000"/>
    <n v="6"/>
    <x v="0"/>
    <n v="48000"/>
    <n v="360000"/>
    <n v="288000"/>
    <n v="72000"/>
  </r>
  <r>
    <x v="78"/>
    <x v="3"/>
    <x v="3"/>
    <x v="2"/>
    <x v="2"/>
    <s v="Corporate"/>
    <s v="Online"/>
    <x v="3"/>
    <x v="2"/>
    <n v="300000"/>
    <n v="2"/>
    <x v="0"/>
    <n v="240000"/>
    <n v="600000"/>
    <n v="480000"/>
    <n v="120000"/>
  </r>
  <r>
    <x v="79"/>
    <x v="3"/>
    <x v="3"/>
    <x v="0"/>
    <x v="2"/>
    <s v="Retail"/>
    <s v="Online"/>
    <x v="6"/>
    <x v="2"/>
    <n v="150000"/>
    <n v="7"/>
    <x v="1"/>
    <n v="120000"/>
    <n v="1050000"/>
    <n v="840000"/>
    <n v="210000"/>
  </r>
  <r>
    <x v="80"/>
    <x v="3"/>
    <x v="3"/>
    <x v="3"/>
    <x v="2"/>
    <s v="Corporate"/>
    <s v="Store"/>
    <x v="9"/>
    <x v="1"/>
    <n v="220000"/>
    <n v="3"/>
    <x v="2"/>
    <n v="176000"/>
    <n v="660000"/>
    <n v="528000"/>
    <n v="132000"/>
  </r>
  <r>
    <x v="81"/>
    <x v="3"/>
    <x v="3"/>
    <x v="0"/>
    <x v="2"/>
    <s v="Retail"/>
    <s v="Store"/>
    <x v="2"/>
    <x v="1"/>
    <n v="60000"/>
    <n v="9"/>
    <x v="3"/>
    <n v="48000"/>
    <n v="540000"/>
    <n v="432000"/>
    <n v="108000"/>
  </r>
  <r>
    <x v="82"/>
    <x v="3"/>
    <x v="3"/>
    <x v="0"/>
    <x v="1"/>
    <s v="Corporate"/>
    <s v="Store"/>
    <x v="5"/>
    <x v="0"/>
    <n v="320000"/>
    <n v="2"/>
    <x v="2"/>
    <n v="256000"/>
    <n v="640000"/>
    <n v="512000"/>
    <n v="128000"/>
  </r>
  <r>
    <x v="83"/>
    <x v="3"/>
    <x v="3"/>
    <x v="0"/>
    <x v="2"/>
    <s v="Corporate"/>
    <s v="Online"/>
    <x v="9"/>
    <x v="1"/>
    <n v="220000"/>
    <n v="5"/>
    <x v="0"/>
    <n v="176000"/>
    <n v="1100000"/>
    <n v="880000"/>
    <n v="220000"/>
  </r>
  <r>
    <x v="84"/>
    <x v="3"/>
    <x v="3"/>
    <x v="0"/>
    <x v="0"/>
    <s v="Corporate"/>
    <s v="Online"/>
    <x v="6"/>
    <x v="2"/>
    <n v="150000"/>
    <n v="1"/>
    <x v="5"/>
    <n v="120000"/>
    <n v="150000"/>
    <n v="120000"/>
    <n v="30000"/>
  </r>
  <r>
    <x v="85"/>
    <x v="3"/>
    <x v="3"/>
    <x v="2"/>
    <x v="1"/>
    <s v="Retail"/>
    <s v="Store"/>
    <x v="3"/>
    <x v="2"/>
    <n v="300000"/>
    <n v="8"/>
    <x v="0"/>
    <n v="240000"/>
    <n v="2400000"/>
    <n v="1920000"/>
    <n v="480000"/>
  </r>
  <r>
    <x v="86"/>
    <x v="3"/>
    <x v="3"/>
    <x v="1"/>
    <x v="3"/>
    <s v="Retail"/>
    <s v="Online"/>
    <x v="9"/>
    <x v="1"/>
    <n v="220000"/>
    <n v="3"/>
    <x v="4"/>
    <n v="176000"/>
    <n v="660000"/>
    <n v="528000"/>
    <n v="132000"/>
  </r>
  <r>
    <x v="87"/>
    <x v="3"/>
    <x v="3"/>
    <x v="0"/>
    <x v="0"/>
    <s v="Retail"/>
    <s v="Online"/>
    <x v="8"/>
    <x v="2"/>
    <n v="250000"/>
    <n v="8"/>
    <x v="0"/>
    <n v="200000"/>
    <n v="2000000"/>
    <n v="1600000"/>
    <n v="400000"/>
  </r>
  <r>
    <x v="88"/>
    <x v="3"/>
    <x v="3"/>
    <x v="2"/>
    <x v="1"/>
    <s v="Corporate"/>
    <s v="Online"/>
    <x v="3"/>
    <x v="2"/>
    <n v="300000"/>
    <n v="4"/>
    <x v="2"/>
    <n v="240000"/>
    <n v="1200000"/>
    <n v="960000"/>
    <n v="240000"/>
  </r>
  <r>
    <x v="89"/>
    <x v="3"/>
    <x v="3"/>
    <x v="2"/>
    <x v="2"/>
    <s v="Corporate"/>
    <s v="Store"/>
    <x v="3"/>
    <x v="2"/>
    <n v="300000"/>
    <n v="1"/>
    <x v="2"/>
    <n v="240000"/>
    <n v="300000"/>
    <n v="240000"/>
    <n v="60000"/>
  </r>
  <r>
    <x v="90"/>
    <x v="3"/>
    <x v="3"/>
    <x v="1"/>
    <x v="3"/>
    <s v="Retail"/>
    <s v="Online"/>
    <x v="8"/>
    <x v="2"/>
    <n v="250000"/>
    <n v="8"/>
    <x v="2"/>
    <n v="200000"/>
    <n v="2000000"/>
    <n v="1600000"/>
    <n v="400000"/>
  </r>
  <r>
    <x v="91"/>
    <x v="3"/>
    <x v="3"/>
    <x v="0"/>
    <x v="3"/>
    <s v="Corporate"/>
    <s v="Store"/>
    <x v="4"/>
    <x v="1"/>
    <n v="180000"/>
    <n v="2"/>
    <x v="4"/>
    <n v="144000"/>
    <n v="360000"/>
    <n v="288000"/>
    <n v="72000"/>
  </r>
  <r>
    <x v="92"/>
    <x v="3"/>
    <x v="3"/>
    <x v="0"/>
    <x v="3"/>
    <s v="Retail"/>
    <s v="Store"/>
    <x v="4"/>
    <x v="1"/>
    <n v="180000"/>
    <n v="6"/>
    <x v="2"/>
    <n v="144000"/>
    <n v="1080000"/>
    <n v="864000"/>
    <n v="216000"/>
  </r>
  <r>
    <x v="93"/>
    <x v="3"/>
    <x v="3"/>
    <x v="3"/>
    <x v="1"/>
    <s v="Corporate"/>
    <s v="Online"/>
    <x v="3"/>
    <x v="2"/>
    <n v="300000"/>
    <n v="2"/>
    <x v="2"/>
    <n v="240000"/>
    <n v="600000"/>
    <n v="480000"/>
    <n v="120000"/>
  </r>
  <r>
    <x v="94"/>
    <x v="3"/>
    <x v="3"/>
    <x v="1"/>
    <x v="0"/>
    <s v="Corporate"/>
    <s v="Store"/>
    <x v="6"/>
    <x v="2"/>
    <n v="150000"/>
    <n v="6"/>
    <x v="0"/>
    <n v="120000"/>
    <n v="900000"/>
    <n v="720000"/>
    <n v="180000"/>
  </r>
  <r>
    <x v="95"/>
    <x v="3"/>
    <x v="3"/>
    <x v="2"/>
    <x v="1"/>
    <s v="Corporate"/>
    <s v="Store"/>
    <x v="7"/>
    <x v="2"/>
    <n v="420000"/>
    <n v="10"/>
    <x v="0"/>
    <n v="336000"/>
    <n v="4200000"/>
    <n v="3360000"/>
    <n v="840000"/>
  </r>
  <r>
    <x v="96"/>
    <x v="3"/>
    <x v="3"/>
    <x v="1"/>
    <x v="2"/>
    <s v="Retail"/>
    <s v="Online"/>
    <x v="7"/>
    <x v="2"/>
    <n v="420000"/>
    <n v="8"/>
    <x v="2"/>
    <n v="336000"/>
    <n v="3360000"/>
    <n v="2688000"/>
    <n v="672000"/>
  </r>
  <r>
    <x v="97"/>
    <x v="3"/>
    <x v="3"/>
    <x v="2"/>
    <x v="1"/>
    <s v="Retail"/>
    <s v="Store"/>
    <x v="4"/>
    <x v="1"/>
    <n v="180000"/>
    <n v="8"/>
    <x v="0"/>
    <n v="144000"/>
    <n v="1440000"/>
    <n v="1152000"/>
    <n v="288000"/>
  </r>
  <r>
    <x v="98"/>
    <x v="3"/>
    <x v="3"/>
    <x v="2"/>
    <x v="2"/>
    <s v="Retail"/>
    <s v="Store"/>
    <x v="3"/>
    <x v="2"/>
    <n v="300000"/>
    <n v="4"/>
    <x v="4"/>
    <n v="240000"/>
    <n v="1200000"/>
    <n v="960000"/>
    <n v="240000"/>
  </r>
  <r>
    <x v="99"/>
    <x v="3"/>
    <x v="3"/>
    <x v="2"/>
    <x v="2"/>
    <s v="Retail"/>
    <s v="Store"/>
    <x v="7"/>
    <x v="2"/>
    <n v="420000"/>
    <n v="1"/>
    <x v="3"/>
    <n v="336000"/>
    <n v="420000"/>
    <n v="336000"/>
    <n v="84000"/>
  </r>
  <r>
    <x v="100"/>
    <x v="3"/>
    <x v="3"/>
    <x v="0"/>
    <x v="2"/>
    <s v="Corporate"/>
    <s v="Online"/>
    <x v="1"/>
    <x v="1"/>
    <n v="30000"/>
    <n v="7"/>
    <x v="2"/>
    <n v="24000"/>
    <n v="210000"/>
    <n v="168000"/>
    <n v="42000"/>
  </r>
  <r>
    <x v="101"/>
    <x v="3"/>
    <x v="3"/>
    <x v="2"/>
    <x v="0"/>
    <s v="Retail"/>
    <s v="Online"/>
    <x v="7"/>
    <x v="2"/>
    <n v="420000"/>
    <n v="3"/>
    <x v="2"/>
    <n v="336000"/>
    <n v="1260000"/>
    <n v="1008000"/>
    <n v="252000"/>
  </r>
  <r>
    <x v="102"/>
    <x v="4"/>
    <x v="4"/>
    <x v="2"/>
    <x v="0"/>
    <s v="Retail"/>
    <s v="Store"/>
    <x v="2"/>
    <x v="1"/>
    <n v="60000"/>
    <n v="5"/>
    <x v="5"/>
    <n v="48000"/>
    <n v="300000"/>
    <n v="240000"/>
    <n v="60000"/>
  </r>
  <r>
    <x v="103"/>
    <x v="4"/>
    <x v="4"/>
    <x v="0"/>
    <x v="3"/>
    <s v="Corporate"/>
    <s v="Online"/>
    <x v="3"/>
    <x v="2"/>
    <n v="300000"/>
    <n v="9"/>
    <x v="5"/>
    <n v="240000"/>
    <n v="2700000"/>
    <n v="2160000"/>
    <n v="540000"/>
  </r>
  <r>
    <x v="104"/>
    <x v="4"/>
    <x v="4"/>
    <x v="1"/>
    <x v="2"/>
    <s v="Retail"/>
    <s v="Store"/>
    <x v="5"/>
    <x v="0"/>
    <n v="320000"/>
    <n v="4"/>
    <x v="3"/>
    <n v="256000"/>
    <n v="1280000"/>
    <n v="1024000"/>
    <n v="256000"/>
  </r>
  <r>
    <x v="105"/>
    <x v="4"/>
    <x v="4"/>
    <x v="3"/>
    <x v="1"/>
    <s v="Retail"/>
    <s v="Store"/>
    <x v="4"/>
    <x v="1"/>
    <n v="180000"/>
    <n v="2"/>
    <x v="5"/>
    <n v="144000"/>
    <n v="360000"/>
    <n v="288000"/>
    <n v="72000"/>
  </r>
  <r>
    <x v="106"/>
    <x v="4"/>
    <x v="4"/>
    <x v="1"/>
    <x v="1"/>
    <s v="Retail"/>
    <s v="Online"/>
    <x v="0"/>
    <x v="0"/>
    <n v="85000"/>
    <n v="1"/>
    <x v="3"/>
    <n v="68000"/>
    <n v="85000"/>
    <n v="68000"/>
    <n v="17000"/>
  </r>
  <r>
    <x v="107"/>
    <x v="4"/>
    <x v="4"/>
    <x v="3"/>
    <x v="2"/>
    <s v="Corporate"/>
    <s v="Store"/>
    <x v="5"/>
    <x v="0"/>
    <n v="320000"/>
    <n v="7"/>
    <x v="3"/>
    <n v="256000"/>
    <n v="2240000"/>
    <n v="1792000"/>
    <n v="448000"/>
  </r>
  <r>
    <x v="108"/>
    <x v="4"/>
    <x v="4"/>
    <x v="1"/>
    <x v="3"/>
    <s v="Corporate"/>
    <s v="Online"/>
    <x v="2"/>
    <x v="1"/>
    <n v="60000"/>
    <n v="9"/>
    <x v="0"/>
    <n v="48000"/>
    <n v="540000"/>
    <n v="432000"/>
    <n v="108000"/>
  </r>
  <r>
    <x v="109"/>
    <x v="4"/>
    <x v="4"/>
    <x v="3"/>
    <x v="3"/>
    <s v="Corporate"/>
    <s v="Store"/>
    <x v="0"/>
    <x v="0"/>
    <n v="85000"/>
    <n v="1"/>
    <x v="1"/>
    <n v="68000"/>
    <n v="85000"/>
    <n v="68000"/>
    <n v="17000"/>
  </r>
  <r>
    <x v="110"/>
    <x v="4"/>
    <x v="4"/>
    <x v="1"/>
    <x v="1"/>
    <s v="Retail"/>
    <s v="Online"/>
    <x v="3"/>
    <x v="2"/>
    <n v="300000"/>
    <n v="6"/>
    <x v="5"/>
    <n v="240000"/>
    <n v="1800000"/>
    <n v="1440000"/>
    <n v="360000"/>
  </r>
  <r>
    <x v="111"/>
    <x v="4"/>
    <x v="4"/>
    <x v="3"/>
    <x v="1"/>
    <s v="Corporate"/>
    <s v="Online"/>
    <x v="1"/>
    <x v="1"/>
    <n v="30000"/>
    <n v="5"/>
    <x v="0"/>
    <n v="24000"/>
    <n v="150000"/>
    <n v="120000"/>
    <n v="30000"/>
  </r>
  <r>
    <x v="112"/>
    <x v="4"/>
    <x v="4"/>
    <x v="3"/>
    <x v="0"/>
    <s v="Retail"/>
    <s v="Store"/>
    <x v="6"/>
    <x v="2"/>
    <n v="150000"/>
    <n v="4"/>
    <x v="4"/>
    <n v="120000"/>
    <n v="600000"/>
    <n v="480000"/>
    <n v="120000"/>
  </r>
  <r>
    <x v="113"/>
    <x v="4"/>
    <x v="4"/>
    <x v="2"/>
    <x v="0"/>
    <s v="Corporate"/>
    <s v="Store"/>
    <x v="6"/>
    <x v="2"/>
    <n v="150000"/>
    <n v="6"/>
    <x v="4"/>
    <n v="120000"/>
    <n v="900000"/>
    <n v="720000"/>
    <n v="180000"/>
  </r>
  <r>
    <x v="114"/>
    <x v="4"/>
    <x v="4"/>
    <x v="3"/>
    <x v="1"/>
    <s v="Corporate"/>
    <s v="Store"/>
    <x v="6"/>
    <x v="2"/>
    <n v="150000"/>
    <n v="8"/>
    <x v="4"/>
    <n v="120000"/>
    <n v="1200000"/>
    <n v="960000"/>
    <n v="240000"/>
  </r>
  <r>
    <x v="115"/>
    <x v="4"/>
    <x v="4"/>
    <x v="2"/>
    <x v="1"/>
    <s v="Retail"/>
    <s v="Store"/>
    <x v="1"/>
    <x v="1"/>
    <n v="30000"/>
    <n v="6"/>
    <x v="0"/>
    <n v="24000"/>
    <n v="180000"/>
    <n v="144000"/>
    <n v="36000"/>
  </r>
  <r>
    <x v="116"/>
    <x v="4"/>
    <x v="4"/>
    <x v="0"/>
    <x v="1"/>
    <s v="Retail"/>
    <s v="Online"/>
    <x v="8"/>
    <x v="2"/>
    <n v="250000"/>
    <n v="3"/>
    <x v="3"/>
    <n v="200000"/>
    <n v="750000"/>
    <n v="600000"/>
    <n v="150000"/>
  </r>
  <r>
    <x v="117"/>
    <x v="4"/>
    <x v="4"/>
    <x v="2"/>
    <x v="1"/>
    <s v="Corporate"/>
    <s v="Online"/>
    <x v="6"/>
    <x v="2"/>
    <n v="150000"/>
    <n v="5"/>
    <x v="0"/>
    <n v="120000"/>
    <n v="750000"/>
    <n v="600000"/>
    <n v="150000"/>
  </r>
  <r>
    <x v="118"/>
    <x v="4"/>
    <x v="4"/>
    <x v="0"/>
    <x v="1"/>
    <s v="Retail"/>
    <s v="Online"/>
    <x v="9"/>
    <x v="1"/>
    <n v="220000"/>
    <n v="1"/>
    <x v="4"/>
    <n v="176000"/>
    <n v="220000"/>
    <n v="176000"/>
    <n v="44000"/>
  </r>
  <r>
    <x v="119"/>
    <x v="4"/>
    <x v="4"/>
    <x v="3"/>
    <x v="1"/>
    <s v="Retail"/>
    <s v="Store"/>
    <x v="5"/>
    <x v="0"/>
    <n v="320000"/>
    <n v="10"/>
    <x v="3"/>
    <n v="256000"/>
    <n v="3200000"/>
    <n v="2560000"/>
    <n v="640000"/>
  </r>
  <r>
    <x v="120"/>
    <x v="4"/>
    <x v="4"/>
    <x v="2"/>
    <x v="0"/>
    <s v="Corporate"/>
    <s v="Store"/>
    <x v="2"/>
    <x v="1"/>
    <n v="60000"/>
    <n v="5"/>
    <x v="1"/>
    <n v="48000"/>
    <n v="300000"/>
    <n v="240000"/>
    <n v="60000"/>
  </r>
  <r>
    <x v="121"/>
    <x v="4"/>
    <x v="4"/>
    <x v="1"/>
    <x v="3"/>
    <s v="Retail"/>
    <s v="Store"/>
    <x v="6"/>
    <x v="2"/>
    <n v="150000"/>
    <n v="7"/>
    <x v="5"/>
    <n v="120000"/>
    <n v="1050000"/>
    <n v="840000"/>
    <n v="210000"/>
  </r>
  <r>
    <x v="122"/>
    <x v="4"/>
    <x v="4"/>
    <x v="3"/>
    <x v="2"/>
    <s v="Retail"/>
    <s v="Online"/>
    <x v="2"/>
    <x v="1"/>
    <n v="60000"/>
    <n v="7"/>
    <x v="2"/>
    <n v="48000"/>
    <n v="420000"/>
    <n v="336000"/>
    <n v="84000"/>
  </r>
  <r>
    <x v="123"/>
    <x v="4"/>
    <x v="4"/>
    <x v="3"/>
    <x v="0"/>
    <s v="Corporate"/>
    <s v="Store"/>
    <x v="9"/>
    <x v="1"/>
    <n v="220000"/>
    <n v="4"/>
    <x v="3"/>
    <n v="176000"/>
    <n v="880000"/>
    <n v="704000"/>
    <n v="176000"/>
  </r>
  <r>
    <x v="124"/>
    <x v="4"/>
    <x v="4"/>
    <x v="1"/>
    <x v="2"/>
    <s v="Corporate"/>
    <s v="Store"/>
    <x v="8"/>
    <x v="2"/>
    <n v="250000"/>
    <n v="6"/>
    <x v="1"/>
    <n v="200000"/>
    <n v="1500000"/>
    <n v="1200000"/>
    <n v="300000"/>
  </r>
  <r>
    <x v="125"/>
    <x v="4"/>
    <x v="4"/>
    <x v="3"/>
    <x v="0"/>
    <s v="Corporate"/>
    <s v="Online"/>
    <x v="7"/>
    <x v="2"/>
    <n v="420000"/>
    <n v="10"/>
    <x v="0"/>
    <n v="336000"/>
    <n v="4200000"/>
    <n v="3360000"/>
    <n v="840000"/>
  </r>
  <r>
    <x v="126"/>
    <x v="4"/>
    <x v="4"/>
    <x v="1"/>
    <x v="0"/>
    <s v="Retail"/>
    <s v="Online"/>
    <x v="1"/>
    <x v="1"/>
    <n v="30000"/>
    <n v="9"/>
    <x v="5"/>
    <n v="24000"/>
    <n v="270000"/>
    <n v="216000"/>
    <n v="54000"/>
  </r>
  <r>
    <x v="127"/>
    <x v="4"/>
    <x v="4"/>
    <x v="0"/>
    <x v="2"/>
    <s v="Retail"/>
    <s v="Store"/>
    <x v="4"/>
    <x v="1"/>
    <n v="180000"/>
    <n v="8"/>
    <x v="2"/>
    <n v="144000"/>
    <n v="1440000"/>
    <n v="1152000"/>
    <n v="288000"/>
  </r>
  <r>
    <x v="128"/>
    <x v="4"/>
    <x v="4"/>
    <x v="3"/>
    <x v="1"/>
    <s v="Retail"/>
    <s v="Online"/>
    <x v="7"/>
    <x v="2"/>
    <n v="420000"/>
    <n v="5"/>
    <x v="4"/>
    <n v="336000"/>
    <n v="2100000"/>
    <n v="1680000"/>
    <n v="420000"/>
  </r>
  <r>
    <x v="129"/>
    <x v="4"/>
    <x v="4"/>
    <x v="0"/>
    <x v="0"/>
    <s v="Corporate"/>
    <s v="Online"/>
    <x v="2"/>
    <x v="1"/>
    <n v="60000"/>
    <n v="9"/>
    <x v="0"/>
    <n v="48000"/>
    <n v="540000"/>
    <n v="432000"/>
    <n v="108000"/>
  </r>
  <r>
    <x v="130"/>
    <x v="4"/>
    <x v="4"/>
    <x v="2"/>
    <x v="2"/>
    <s v="Corporate"/>
    <s v="Store"/>
    <x v="0"/>
    <x v="0"/>
    <n v="85000"/>
    <n v="5"/>
    <x v="1"/>
    <n v="68000"/>
    <n v="425000"/>
    <n v="340000"/>
    <n v="85000"/>
  </r>
  <r>
    <x v="131"/>
    <x v="4"/>
    <x v="4"/>
    <x v="2"/>
    <x v="2"/>
    <s v="Corporate"/>
    <s v="Online"/>
    <x v="0"/>
    <x v="0"/>
    <n v="85000"/>
    <n v="1"/>
    <x v="2"/>
    <n v="68000"/>
    <n v="85000"/>
    <n v="68000"/>
    <n v="17000"/>
  </r>
  <r>
    <x v="132"/>
    <x v="4"/>
    <x v="4"/>
    <x v="1"/>
    <x v="1"/>
    <s v="Retail"/>
    <s v="Store"/>
    <x v="2"/>
    <x v="1"/>
    <n v="60000"/>
    <n v="8"/>
    <x v="3"/>
    <n v="48000"/>
    <n v="480000"/>
    <n v="384000"/>
    <n v="96000"/>
  </r>
  <r>
    <x v="133"/>
    <x v="5"/>
    <x v="5"/>
    <x v="0"/>
    <x v="2"/>
    <s v="Corporate"/>
    <s v="Online"/>
    <x v="6"/>
    <x v="2"/>
    <n v="150000"/>
    <n v="5"/>
    <x v="4"/>
    <n v="120000"/>
    <n v="750000"/>
    <n v="600000"/>
    <n v="150000"/>
  </r>
  <r>
    <x v="134"/>
    <x v="5"/>
    <x v="5"/>
    <x v="0"/>
    <x v="3"/>
    <s v="Retail"/>
    <s v="Online"/>
    <x v="5"/>
    <x v="0"/>
    <n v="320000"/>
    <n v="10"/>
    <x v="3"/>
    <n v="256000"/>
    <n v="3200000"/>
    <n v="2560000"/>
    <n v="640000"/>
  </r>
  <r>
    <x v="135"/>
    <x v="5"/>
    <x v="5"/>
    <x v="0"/>
    <x v="3"/>
    <s v="Corporate"/>
    <s v="Online"/>
    <x v="8"/>
    <x v="2"/>
    <n v="250000"/>
    <n v="6"/>
    <x v="5"/>
    <n v="200000"/>
    <n v="1500000"/>
    <n v="1200000"/>
    <n v="300000"/>
  </r>
  <r>
    <x v="136"/>
    <x v="5"/>
    <x v="5"/>
    <x v="2"/>
    <x v="2"/>
    <s v="Corporate"/>
    <s v="Online"/>
    <x v="6"/>
    <x v="2"/>
    <n v="150000"/>
    <n v="3"/>
    <x v="0"/>
    <n v="120000"/>
    <n v="450000"/>
    <n v="360000"/>
    <n v="90000"/>
  </r>
  <r>
    <x v="137"/>
    <x v="5"/>
    <x v="5"/>
    <x v="0"/>
    <x v="1"/>
    <s v="Corporate"/>
    <s v="Online"/>
    <x v="2"/>
    <x v="1"/>
    <n v="60000"/>
    <n v="10"/>
    <x v="4"/>
    <n v="48000"/>
    <n v="600000"/>
    <n v="480000"/>
    <n v="120000"/>
  </r>
  <r>
    <x v="138"/>
    <x v="5"/>
    <x v="5"/>
    <x v="3"/>
    <x v="2"/>
    <s v="Retail"/>
    <s v="Online"/>
    <x v="6"/>
    <x v="2"/>
    <n v="150000"/>
    <n v="8"/>
    <x v="2"/>
    <n v="120000"/>
    <n v="1200000"/>
    <n v="960000"/>
    <n v="240000"/>
  </r>
  <r>
    <x v="139"/>
    <x v="5"/>
    <x v="5"/>
    <x v="2"/>
    <x v="0"/>
    <s v="Retail"/>
    <s v="Online"/>
    <x v="8"/>
    <x v="2"/>
    <n v="250000"/>
    <n v="7"/>
    <x v="4"/>
    <n v="200000"/>
    <n v="1750000"/>
    <n v="1400000"/>
    <n v="350000"/>
  </r>
  <r>
    <x v="140"/>
    <x v="5"/>
    <x v="5"/>
    <x v="2"/>
    <x v="3"/>
    <s v="Corporate"/>
    <s v="Online"/>
    <x v="0"/>
    <x v="0"/>
    <n v="85000"/>
    <n v="6"/>
    <x v="3"/>
    <n v="68000"/>
    <n v="510000"/>
    <n v="408000"/>
    <n v="102000"/>
  </r>
  <r>
    <x v="141"/>
    <x v="5"/>
    <x v="5"/>
    <x v="3"/>
    <x v="0"/>
    <s v="Corporate"/>
    <s v="Online"/>
    <x v="4"/>
    <x v="1"/>
    <n v="180000"/>
    <n v="9"/>
    <x v="4"/>
    <n v="144000"/>
    <n v="1620000"/>
    <n v="1296000"/>
    <n v="324000"/>
  </r>
  <r>
    <x v="142"/>
    <x v="5"/>
    <x v="5"/>
    <x v="0"/>
    <x v="3"/>
    <s v="Corporate"/>
    <s v="Online"/>
    <x v="1"/>
    <x v="1"/>
    <n v="30000"/>
    <n v="8"/>
    <x v="4"/>
    <n v="24000"/>
    <n v="240000"/>
    <n v="192000"/>
    <n v="48000"/>
  </r>
  <r>
    <x v="143"/>
    <x v="5"/>
    <x v="5"/>
    <x v="2"/>
    <x v="0"/>
    <s v="Corporate"/>
    <s v="Store"/>
    <x v="0"/>
    <x v="0"/>
    <n v="85000"/>
    <n v="1"/>
    <x v="1"/>
    <n v="68000"/>
    <n v="85000"/>
    <n v="68000"/>
    <n v="17000"/>
  </r>
  <r>
    <x v="144"/>
    <x v="5"/>
    <x v="5"/>
    <x v="0"/>
    <x v="3"/>
    <s v="Corporate"/>
    <s v="Online"/>
    <x v="1"/>
    <x v="1"/>
    <n v="30000"/>
    <n v="8"/>
    <x v="5"/>
    <n v="24000"/>
    <n v="240000"/>
    <n v="192000"/>
    <n v="48000"/>
  </r>
  <r>
    <x v="145"/>
    <x v="5"/>
    <x v="5"/>
    <x v="3"/>
    <x v="2"/>
    <s v="Retail"/>
    <s v="Online"/>
    <x v="5"/>
    <x v="0"/>
    <n v="320000"/>
    <n v="2"/>
    <x v="4"/>
    <n v="256000"/>
    <n v="640000"/>
    <n v="512000"/>
    <n v="128000"/>
  </r>
  <r>
    <x v="146"/>
    <x v="5"/>
    <x v="5"/>
    <x v="1"/>
    <x v="0"/>
    <s v="Retail"/>
    <s v="Online"/>
    <x v="6"/>
    <x v="2"/>
    <n v="150000"/>
    <n v="5"/>
    <x v="4"/>
    <n v="120000"/>
    <n v="750000"/>
    <n v="600000"/>
    <n v="150000"/>
  </r>
  <r>
    <x v="147"/>
    <x v="5"/>
    <x v="5"/>
    <x v="1"/>
    <x v="2"/>
    <s v="Corporate"/>
    <s v="Online"/>
    <x v="8"/>
    <x v="2"/>
    <n v="250000"/>
    <n v="5"/>
    <x v="5"/>
    <n v="200000"/>
    <n v="1250000"/>
    <n v="1000000"/>
    <n v="250000"/>
  </r>
  <r>
    <x v="148"/>
    <x v="5"/>
    <x v="5"/>
    <x v="3"/>
    <x v="3"/>
    <s v="Corporate"/>
    <s v="Online"/>
    <x v="9"/>
    <x v="1"/>
    <n v="220000"/>
    <n v="10"/>
    <x v="1"/>
    <n v="176000"/>
    <n v="2200000"/>
    <n v="1760000"/>
    <n v="440000"/>
  </r>
  <r>
    <x v="149"/>
    <x v="5"/>
    <x v="5"/>
    <x v="3"/>
    <x v="2"/>
    <s v="Corporate"/>
    <s v="Online"/>
    <x v="2"/>
    <x v="1"/>
    <n v="60000"/>
    <n v="2"/>
    <x v="3"/>
    <n v="48000"/>
    <n v="120000"/>
    <n v="96000"/>
    <n v="24000"/>
  </r>
  <r>
    <x v="150"/>
    <x v="5"/>
    <x v="5"/>
    <x v="3"/>
    <x v="2"/>
    <s v="Corporate"/>
    <s v="Store"/>
    <x v="8"/>
    <x v="2"/>
    <n v="250000"/>
    <n v="1"/>
    <x v="4"/>
    <n v="200000"/>
    <n v="250000"/>
    <n v="200000"/>
    <n v="50000"/>
  </r>
  <r>
    <x v="151"/>
    <x v="5"/>
    <x v="5"/>
    <x v="0"/>
    <x v="0"/>
    <s v="Retail"/>
    <s v="Online"/>
    <x v="4"/>
    <x v="1"/>
    <n v="180000"/>
    <n v="8"/>
    <x v="5"/>
    <n v="144000"/>
    <n v="1440000"/>
    <n v="1152000"/>
    <n v="288000"/>
  </r>
  <r>
    <x v="152"/>
    <x v="5"/>
    <x v="5"/>
    <x v="3"/>
    <x v="1"/>
    <s v="Retail"/>
    <s v="Online"/>
    <x v="6"/>
    <x v="2"/>
    <n v="150000"/>
    <n v="1"/>
    <x v="0"/>
    <n v="120000"/>
    <n v="150000"/>
    <n v="120000"/>
    <n v="30000"/>
  </r>
  <r>
    <x v="153"/>
    <x v="5"/>
    <x v="5"/>
    <x v="3"/>
    <x v="3"/>
    <s v="Retail"/>
    <s v="Online"/>
    <x v="1"/>
    <x v="1"/>
    <n v="30000"/>
    <n v="6"/>
    <x v="1"/>
    <n v="24000"/>
    <n v="180000"/>
    <n v="144000"/>
    <n v="36000"/>
  </r>
  <r>
    <x v="154"/>
    <x v="5"/>
    <x v="5"/>
    <x v="0"/>
    <x v="0"/>
    <s v="Corporate"/>
    <s v="Online"/>
    <x v="9"/>
    <x v="1"/>
    <n v="220000"/>
    <n v="10"/>
    <x v="5"/>
    <n v="176000"/>
    <n v="2200000"/>
    <n v="1760000"/>
    <n v="440000"/>
  </r>
  <r>
    <x v="155"/>
    <x v="5"/>
    <x v="5"/>
    <x v="0"/>
    <x v="0"/>
    <s v="Retail"/>
    <s v="Store"/>
    <x v="7"/>
    <x v="2"/>
    <n v="420000"/>
    <n v="1"/>
    <x v="1"/>
    <n v="336000"/>
    <n v="420000"/>
    <n v="336000"/>
    <n v="84000"/>
  </r>
  <r>
    <x v="156"/>
    <x v="5"/>
    <x v="5"/>
    <x v="0"/>
    <x v="1"/>
    <s v="Corporate"/>
    <s v="Store"/>
    <x v="3"/>
    <x v="2"/>
    <n v="300000"/>
    <n v="8"/>
    <x v="1"/>
    <n v="240000"/>
    <n v="2400000"/>
    <n v="1920000"/>
    <n v="480000"/>
  </r>
  <r>
    <x v="157"/>
    <x v="5"/>
    <x v="5"/>
    <x v="3"/>
    <x v="3"/>
    <s v="Corporate"/>
    <s v="Online"/>
    <x v="8"/>
    <x v="2"/>
    <n v="250000"/>
    <n v="3"/>
    <x v="0"/>
    <n v="200000"/>
    <n v="750000"/>
    <n v="600000"/>
    <n v="150000"/>
  </r>
  <r>
    <x v="158"/>
    <x v="5"/>
    <x v="5"/>
    <x v="0"/>
    <x v="3"/>
    <s v="Corporate"/>
    <s v="Online"/>
    <x v="3"/>
    <x v="2"/>
    <n v="300000"/>
    <n v="4"/>
    <x v="3"/>
    <n v="240000"/>
    <n v="1200000"/>
    <n v="960000"/>
    <n v="240000"/>
  </r>
  <r>
    <x v="159"/>
    <x v="5"/>
    <x v="5"/>
    <x v="0"/>
    <x v="2"/>
    <s v="Retail"/>
    <s v="Online"/>
    <x v="6"/>
    <x v="2"/>
    <n v="150000"/>
    <n v="6"/>
    <x v="3"/>
    <n v="120000"/>
    <n v="900000"/>
    <n v="720000"/>
    <n v="180000"/>
  </r>
  <r>
    <x v="160"/>
    <x v="5"/>
    <x v="5"/>
    <x v="0"/>
    <x v="3"/>
    <s v="Retail"/>
    <s v="Online"/>
    <x v="7"/>
    <x v="2"/>
    <n v="420000"/>
    <n v="2"/>
    <x v="0"/>
    <n v="336000"/>
    <n v="840000"/>
    <n v="672000"/>
    <n v="168000"/>
  </r>
  <r>
    <x v="161"/>
    <x v="5"/>
    <x v="5"/>
    <x v="2"/>
    <x v="1"/>
    <s v="Retail"/>
    <s v="Online"/>
    <x v="9"/>
    <x v="1"/>
    <n v="220000"/>
    <n v="1"/>
    <x v="1"/>
    <n v="176000"/>
    <n v="220000"/>
    <n v="176000"/>
    <n v="44000"/>
  </r>
  <r>
    <x v="162"/>
    <x v="5"/>
    <x v="5"/>
    <x v="2"/>
    <x v="3"/>
    <s v="Retail"/>
    <s v="Store"/>
    <x v="9"/>
    <x v="1"/>
    <n v="220000"/>
    <n v="8"/>
    <x v="4"/>
    <n v="176000"/>
    <n v="1760000"/>
    <n v="1408000"/>
    <n v="352000"/>
  </r>
  <r>
    <x v="163"/>
    <x v="6"/>
    <x v="6"/>
    <x v="3"/>
    <x v="2"/>
    <s v="Retail"/>
    <s v="Store"/>
    <x v="1"/>
    <x v="1"/>
    <n v="30000"/>
    <n v="10"/>
    <x v="5"/>
    <n v="24000"/>
    <n v="300000"/>
    <n v="240000"/>
    <n v="60000"/>
  </r>
  <r>
    <x v="164"/>
    <x v="6"/>
    <x v="6"/>
    <x v="3"/>
    <x v="1"/>
    <s v="Corporate"/>
    <s v="Online"/>
    <x v="1"/>
    <x v="1"/>
    <n v="30000"/>
    <n v="4"/>
    <x v="5"/>
    <n v="24000"/>
    <n v="120000"/>
    <n v="96000"/>
    <n v="24000"/>
  </r>
  <r>
    <x v="165"/>
    <x v="6"/>
    <x v="6"/>
    <x v="0"/>
    <x v="0"/>
    <s v="Corporate"/>
    <s v="Online"/>
    <x v="4"/>
    <x v="1"/>
    <n v="180000"/>
    <n v="6"/>
    <x v="0"/>
    <n v="144000"/>
    <n v="1080000"/>
    <n v="864000"/>
    <n v="216000"/>
  </r>
  <r>
    <x v="166"/>
    <x v="6"/>
    <x v="6"/>
    <x v="0"/>
    <x v="3"/>
    <s v="Corporate"/>
    <s v="Online"/>
    <x v="3"/>
    <x v="2"/>
    <n v="300000"/>
    <n v="2"/>
    <x v="5"/>
    <n v="240000"/>
    <n v="600000"/>
    <n v="480000"/>
    <n v="120000"/>
  </r>
  <r>
    <x v="167"/>
    <x v="6"/>
    <x v="6"/>
    <x v="1"/>
    <x v="1"/>
    <s v="Retail"/>
    <s v="Online"/>
    <x v="6"/>
    <x v="2"/>
    <n v="150000"/>
    <n v="9"/>
    <x v="0"/>
    <n v="120000"/>
    <n v="1350000"/>
    <n v="1080000"/>
    <n v="270000"/>
  </r>
  <r>
    <x v="168"/>
    <x v="6"/>
    <x v="6"/>
    <x v="3"/>
    <x v="0"/>
    <s v="Retail"/>
    <s v="Store"/>
    <x v="6"/>
    <x v="2"/>
    <n v="150000"/>
    <n v="9"/>
    <x v="1"/>
    <n v="120000"/>
    <n v="1350000"/>
    <n v="1080000"/>
    <n v="270000"/>
  </r>
  <r>
    <x v="169"/>
    <x v="6"/>
    <x v="6"/>
    <x v="0"/>
    <x v="0"/>
    <s v="Retail"/>
    <s v="Online"/>
    <x v="1"/>
    <x v="1"/>
    <n v="30000"/>
    <n v="4"/>
    <x v="0"/>
    <n v="24000"/>
    <n v="120000"/>
    <n v="96000"/>
    <n v="24000"/>
  </r>
  <r>
    <x v="170"/>
    <x v="6"/>
    <x v="6"/>
    <x v="1"/>
    <x v="2"/>
    <s v="Corporate"/>
    <s v="Online"/>
    <x v="2"/>
    <x v="1"/>
    <n v="60000"/>
    <n v="9"/>
    <x v="2"/>
    <n v="48000"/>
    <n v="540000"/>
    <n v="432000"/>
    <n v="108000"/>
  </r>
  <r>
    <x v="171"/>
    <x v="6"/>
    <x v="6"/>
    <x v="2"/>
    <x v="1"/>
    <s v="Retail"/>
    <s v="Store"/>
    <x v="3"/>
    <x v="2"/>
    <n v="300000"/>
    <n v="9"/>
    <x v="2"/>
    <n v="240000"/>
    <n v="2700000"/>
    <n v="2160000"/>
    <n v="540000"/>
  </r>
  <r>
    <x v="172"/>
    <x v="6"/>
    <x v="6"/>
    <x v="3"/>
    <x v="3"/>
    <s v="Retail"/>
    <s v="Online"/>
    <x v="5"/>
    <x v="0"/>
    <n v="320000"/>
    <n v="3"/>
    <x v="5"/>
    <n v="256000"/>
    <n v="960000"/>
    <n v="768000"/>
    <n v="192000"/>
  </r>
  <r>
    <x v="173"/>
    <x v="6"/>
    <x v="6"/>
    <x v="0"/>
    <x v="0"/>
    <s v="Retail"/>
    <s v="Online"/>
    <x v="6"/>
    <x v="2"/>
    <n v="150000"/>
    <n v="1"/>
    <x v="0"/>
    <n v="120000"/>
    <n v="150000"/>
    <n v="120000"/>
    <n v="30000"/>
  </r>
  <r>
    <x v="174"/>
    <x v="6"/>
    <x v="6"/>
    <x v="3"/>
    <x v="1"/>
    <s v="Corporate"/>
    <s v="Online"/>
    <x v="3"/>
    <x v="2"/>
    <n v="300000"/>
    <n v="9"/>
    <x v="2"/>
    <n v="240000"/>
    <n v="2700000"/>
    <n v="2160000"/>
    <n v="540000"/>
  </r>
  <r>
    <x v="175"/>
    <x v="6"/>
    <x v="6"/>
    <x v="1"/>
    <x v="1"/>
    <s v="Retail"/>
    <s v="Online"/>
    <x v="9"/>
    <x v="1"/>
    <n v="220000"/>
    <n v="3"/>
    <x v="1"/>
    <n v="176000"/>
    <n v="660000"/>
    <n v="528000"/>
    <n v="132000"/>
  </r>
  <r>
    <x v="176"/>
    <x v="6"/>
    <x v="6"/>
    <x v="0"/>
    <x v="2"/>
    <s v="Corporate"/>
    <s v="Online"/>
    <x v="9"/>
    <x v="1"/>
    <n v="220000"/>
    <n v="9"/>
    <x v="5"/>
    <n v="176000"/>
    <n v="1980000"/>
    <n v="1584000"/>
    <n v="396000"/>
  </r>
  <r>
    <x v="177"/>
    <x v="6"/>
    <x v="6"/>
    <x v="1"/>
    <x v="2"/>
    <s v="Corporate"/>
    <s v="Store"/>
    <x v="2"/>
    <x v="1"/>
    <n v="60000"/>
    <n v="6"/>
    <x v="5"/>
    <n v="48000"/>
    <n v="360000"/>
    <n v="288000"/>
    <n v="72000"/>
  </r>
  <r>
    <x v="178"/>
    <x v="6"/>
    <x v="6"/>
    <x v="3"/>
    <x v="2"/>
    <s v="Retail"/>
    <s v="Store"/>
    <x v="1"/>
    <x v="1"/>
    <n v="30000"/>
    <n v="10"/>
    <x v="3"/>
    <n v="24000"/>
    <n v="300000"/>
    <n v="240000"/>
    <n v="60000"/>
  </r>
  <r>
    <x v="179"/>
    <x v="6"/>
    <x v="6"/>
    <x v="2"/>
    <x v="2"/>
    <s v="Corporate"/>
    <s v="Store"/>
    <x v="7"/>
    <x v="2"/>
    <n v="420000"/>
    <n v="8"/>
    <x v="5"/>
    <n v="336000"/>
    <n v="3360000"/>
    <n v="2688000"/>
    <n v="672000"/>
  </r>
  <r>
    <x v="180"/>
    <x v="6"/>
    <x v="6"/>
    <x v="2"/>
    <x v="2"/>
    <s v="Corporate"/>
    <s v="Online"/>
    <x v="2"/>
    <x v="1"/>
    <n v="60000"/>
    <n v="9"/>
    <x v="0"/>
    <n v="48000"/>
    <n v="540000"/>
    <n v="432000"/>
    <n v="108000"/>
  </r>
  <r>
    <x v="181"/>
    <x v="6"/>
    <x v="6"/>
    <x v="1"/>
    <x v="2"/>
    <s v="Corporate"/>
    <s v="Online"/>
    <x v="8"/>
    <x v="2"/>
    <n v="250000"/>
    <n v="1"/>
    <x v="3"/>
    <n v="200000"/>
    <n v="250000"/>
    <n v="200000"/>
    <n v="50000"/>
  </r>
  <r>
    <x v="182"/>
    <x v="6"/>
    <x v="6"/>
    <x v="2"/>
    <x v="2"/>
    <s v="Retail"/>
    <s v="Online"/>
    <x v="2"/>
    <x v="1"/>
    <n v="60000"/>
    <n v="1"/>
    <x v="5"/>
    <n v="48000"/>
    <n v="60000"/>
    <n v="48000"/>
    <n v="12000"/>
  </r>
  <r>
    <x v="183"/>
    <x v="6"/>
    <x v="6"/>
    <x v="2"/>
    <x v="3"/>
    <s v="Retail"/>
    <s v="Online"/>
    <x v="7"/>
    <x v="2"/>
    <n v="420000"/>
    <n v="8"/>
    <x v="5"/>
    <n v="336000"/>
    <n v="3360000"/>
    <n v="2688000"/>
    <n v="672000"/>
  </r>
  <r>
    <x v="184"/>
    <x v="6"/>
    <x v="6"/>
    <x v="2"/>
    <x v="0"/>
    <s v="Corporate"/>
    <s v="Store"/>
    <x v="4"/>
    <x v="1"/>
    <n v="180000"/>
    <n v="4"/>
    <x v="5"/>
    <n v="144000"/>
    <n v="720000"/>
    <n v="576000"/>
    <n v="144000"/>
  </r>
  <r>
    <x v="185"/>
    <x v="6"/>
    <x v="6"/>
    <x v="1"/>
    <x v="2"/>
    <s v="Retail"/>
    <s v="Store"/>
    <x v="4"/>
    <x v="1"/>
    <n v="180000"/>
    <n v="7"/>
    <x v="5"/>
    <n v="144000"/>
    <n v="1260000"/>
    <n v="1008000"/>
    <n v="252000"/>
  </r>
  <r>
    <x v="186"/>
    <x v="6"/>
    <x v="6"/>
    <x v="3"/>
    <x v="2"/>
    <s v="Retail"/>
    <s v="Online"/>
    <x v="1"/>
    <x v="1"/>
    <n v="30000"/>
    <n v="6"/>
    <x v="4"/>
    <n v="24000"/>
    <n v="180000"/>
    <n v="144000"/>
    <n v="36000"/>
  </r>
  <r>
    <x v="187"/>
    <x v="6"/>
    <x v="6"/>
    <x v="1"/>
    <x v="0"/>
    <s v="Retail"/>
    <s v="Online"/>
    <x v="4"/>
    <x v="1"/>
    <n v="180000"/>
    <n v="4"/>
    <x v="1"/>
    <n v="144000"/>
    <n v="720000"/>
    <n v="576000"/>
    <n v="144000"/>
  </r>
  <r>
    <x v="188"/>
    <x v="6"/>
    <x v="6"/>
    <x v="1"/>
    <x v="3"/>
    <s v="Corporate"/>
    <s v="Store"/>
    <x v="3"/>
    <x v="2"/>
    <n v="300000"/>
    <n v="3"/>
    <x v="2"/>
    <n v="240000"/>
    <n v="900000"/>
    <n v="720000"/>
    <n v="180000"/>
  </r>
  <r>
    <x v="189"/>
    <x v="6"/>
    <x v="6"/>
    <x v="0"/>
    <x v="1"/>
    <s v="Retail"/>
    <s v="Online"/>
    <x v="2"/>
    <x v="1"/>
    <n v="60000"/>
    <n v="3"/>
    <x v="0"/>
    <n v="48000"/>
    <n v="180000"/>
    <n v="144000"/>
    <n v="36000"/>
  </r>
  <r>
    <x v="190"/>
    <x v="6"/>
    <x v="6"/>
    <x v="1"/>
    <x v="0"/>
    <s v="Corporate"/>
    <s v="Online"/>
    <x v="9"/>
    <x v="1"/>
    <n v="220000"/>
    <n v="1"/>
    <x v="2"/>
    <n v="176000"/>
    <n v="220000"/>
    <n v="176000"/>
    <n v="44000"/>
  </r>
  <r>
    <x v="191"/>
    <x v="6"/>
    <x v="6"/>
    <x v="3"/>
    <x v="1"/>
    <s v="Retail"/>
    <s v="Online"/>
    <x v="3"/>
    <x v="2"/>
    <n v="300000"/>
    <n v="2"/>
    <x v="1"/>
    <n v="240000"/>
    <n v="600000"/>
    <n v="480000"/>
    <n v="120000"/>
  </r>
  <r>
    <x v="192"/>
    <x v="6"/>
    <x v="6"/>
    <x v="2"/>
    <x v="2"/>
    <s v="Retail"/>
    <s v="Online"/>
    <x v="6"/>
    <x v="2"/>
    <n v="150000"/>
    <n v="3"/>
    <x v="1"/>
    <n v="120000"/>
    <n v="450000"/>
    <n v="360000"/>
    <n v="90000"/>
  </r>
  <r>
    <x v="193"/>
    <x v="6"/>
    <x v="6"/>
    <x v="3"/>
    <x v="1"/>
    <s v="Corporate"/>
    <s v="Online"/>
    <x v="0"/>
    <x v="0"/>
    <n v="85000"/>
    <n v="1"/>
    <x v="1"/>
    <n v="68000"/>
    <n v="85000"/>
    <n v="68000"/>
    <n v="17000"/>
  </r>
  <r>
    <x v="194"/>
    <x v="7"/>
    <x v="7"/>
    <x v="2"/>
    <x v="1"/>
    <s v="Retail"/>
    <s v="Store"/>
    <x v="1"/>
    <x v="1"/>
    <n v="30000"/>
    <n v="6"/>
    <x v="0"/>
    <n v="24000"/>
    <n v="180000"/>
    <n v="144000"/>
    <n v="36000"/>
  </r>
  <r>
    <x v="195"/>
    <x v="7"/>
    <x v="7"/>
    <x v="0"/>
    <x v="2"/>
    <s v="Corporate"/>
    <s v="Online"/>
    <x v="6"/>
    <x v="2"/>
    <n v="150000"/>
    <n v="5"/>
    <x v="2"/>
    <n v="120000"/>
    <n v="750000"/>
    <n v="600000"/>
    <n v="150000"/>
  </r>
  <r>
    <x v="196"/>
    <x v="7"/>
    <x v="7"/>
    <x v="0"/>
    <x v="1"/>
    <s v="Retail"/>
    <s v="Store"/>
    <x v="1"/>
    <x v="1"/>
    <n v="30000"/>
    <n v="5"/>
    <x v="4"/>
    <n v="24000"/>
    <n v="150000"/>
    <n v="120000"/>
    <n v="30000"/>
  </r>
  <r>
    <x v="197"/>
    <x v="7"/>
    <x v="7"/>
    <x v="1"/>
    <x v="1"/>
    <s v="Retail"/>
    <s v="Store"/>
    <x v="4"/>
    <x v="1"/>
    <n v="180000"/>
    <n v="9"/>
    <x v="5"/>
    <n v="144000"/>
    <n v="1620000"/>
    <n v="1296000"/>
    <n v="324000"/>
  </r>
  <r>
    <x v="198"/>
    <x v="7"/>
    <x v="7"/>
    <x v="3"/>
    <x v="2"/>
    <s v="Corporate"/>
    <s v="Store"/>
    <x v="2"/>
    <x v="1"/>
    <n v="60000"/>
    <n v="6"/>
    <x v="2"/>
    <n v="48000"/>
    <n v="360000"/>
    <n v="288000"/>
    <n v="72000"/>
  </r>
  <r>
    <x v="199"/>
    <x v="7"/>
    <x v="7"/>
    <x v="3"/>
    <x v="1"/>
    <s v="Retail"/>
    <s v="Store"/>
    <x v="8"/>
    <x v="2"/>
    <n v="250000"/>
    <n v="10"/>
    <x v="1"/>
    <n v="200000"/>
    <n v="2500000"/>
    <n v="2000000"/>
    <n v="500000"/>
  </r>
  <r>
    <x v="200"/>
    <x v="7"/>
    <x v="7"/>
    <x v="2"/>
    <x v="2"/>
    <s v="Retail"/>
    <s v="Store"/>
    <x v="7"/>
    <x v="2"/>
    <n v="420000"/>
    <n v="3"/>
    <x v="1"/>
    <n v="336000"/>
    <n v="1260000"/>
    <n v="1008000"/>
    <n v="252000"/>
  </r>
  <r>
    <x v="201"/>
    <x v="7"/>
    <x v="7"/>
    <x v="3"/>
    <x v="0"/>
    <s v="Corporate"/>
    <s v="Store"/>
    <x v="6"/>
    <x v="2"/>
    <n v="150000"/>
    <n v="3"/>
    <x v="1"/>
    <n v="120000"/>
    <n v="450000"/>
    <n v="360000"/>
    <n v="90000"/>
  </r>
  <r>
    <x v="202"/>
    <x v="7"/>
    <x v="7"/>
    <x v="2"/>
    <x v="3"/>
    <s v="Corporate"/>
    <s v="Store"/>
    <x v="9"/>
    <x v="1"/>
    <n v="220000"/>
    <n v="4"/>
    <x v="1"/>
    <n v="176000"/>
    <n v="880000"/>
    <n v="704000"/>
    <n v="176000"/>
  </r>
  <r>
    <x v="203"/>
    <x v="7"/>
    <x v="7"/>
    <x v="2"/>
    <x v="1"/>
    <s v="Corporate"/>
    <s v="Store"/>
    <x v="0"/>
    <x v="0"/>
    <n v="85000"/>
    <n v="10"/>
    <x v="1"/>
    <n v="68000"/>
    <n v="850000"/>
    <n v="680000"/>
    <n v="170000"/>
  </r>
  <r>
    <x v="204"/>
    <x v="7"/>
    <x v="7"/>
    <x v="3"/>
    <x v="2"/>
    <s v="Retail"/>
    <s v="Store"/>
    <x v="3"/>
    <x v="2"/>
    <n v="300000"/>
    <n v="6"/>
    <x v="5"/>
    <n v="240000"/>
    <n v="1800000"/>
    <n v="1440000"/>
    <n v="360000"/>
  </r>
  <r>
    <x v="205"/>
    <x v="7"/>
    <x v="7"/>
    <x v="0"/>
    <x v="0"/>
    <s v="Retail"/>
    <s v="Online"/>
    <x v="3"/>
    <x v="2"/>
    <n v="300000"/>
    <n v="8"/>
    <x v="4"/>
    <n v="240000"/>
    <n v="2400000"/>
    <n v="1920000"/>
    <n v="480000"/>
  </r>
  <r>
    <x v="206"/>
    <x v="7"/>
    <x v="7"/>
    <x v="2"/>
    <x v="3"/>
    <s v="Corporate"/>
    <s v="Store"/>
    <x v="5"/>
    <x v="0"/>
    <n v="320000"/>
    <n v="4"/>
    <x v="2"/>
    <n v="256000"/>
    <n v="1280000"/>
    <n v="1024000"/>
    <n v="256000"/>
  </r>
  <r>
    <x v="207"/>
    <x v="7"/>
    <x v="7"/>
    <x v="2"/>
    <x v="1"/>
    <s v="Corporate"/>
    <s v="Online"/>
    <x v="4"/>
    <x v="1"/>
    <n v="180000"/>
    <n v="5"/>
    <x v="5"/>
    <n v="144000"/>
    <n v="900000"/>
    <n v="720000"/>
    <n v="180000"/>
  </r>
  <r>
    <x v="208"/>
    <x v="7"/>
    <x v="7"/>
    <x v="0"/>
    <x v="0"/>
    <s v="Retail"/>
    <s v="Store"/>
    <x v="4"/>
    <x v="1"/>
    <n v="180000"/>
    <n v="6"/>
    <x v="3"/>
    <n v="144000"/>
    <n v="1080000"/>
    <n v="864000"/>
    <n v="216000"/>
  </r>
  <r>
    <x v="209"/>
    <x v="7"/>
    <x v="7"/>
    <x v="1"/>
    <x v="2"/>
    <s v="Corporate"/>
    <s v="Store"/>
    <x v="6"/>
    <x v="2"/>
    <n v="150000"/>
    <n v="9"/>
    <x v="2"/>
    <n v="120000"/>
    <n v="1350000"/>
    <n v="1080000"/>
    <n v="270000"/>
  </r>
  <r>
    <x v="210"/>
    <x v="7"/>
    <x v="7"/>
    <x v="0"/>
    <x v="0"/>
    <s v="Retail"/>
    <s v="Online"/>
    <x v="6"/>
    <x v="2"/>
    <n v="150000"/>
    <n v="1"/>
    <x v="3"/>
    <n v="120000"/>
    <n v="150000"/>
    <n v="120000"/>
    <n v="30000"/>
  </r>
  <r>
    <x v="211"/>
    <x v="7"/>
    <x v="7"/>
    <x v="1"/>
    <x v="2"/>
    <s v="Retail"/>
    <s v="Online"/>
    <x v="4"/>
    <x v="1"/>
    <n v="180000"/>
    <n v="8"/>
    <x v="3"/>
    <n v="144000"/>
    <n v="1440000"/>
    <n v="1152000"/>
    <n v="288000"/>
  </r>
  <r>
    <x v="212"/>
    <x v="7"/>
    <x v="7"/>
    <x v="0"/>
    <x v="0"/>
    <s v="Retail"/>
    <s v="Store"/>
    <x v="4"/>
    <x v="1"/>
    <n v="180000"/>
    <n v="6"/>
    <x v="2"/>
    <n v="144000"/>
    <n v="1080000"/>
    <n v="864000"/>
    <n v="216000"/>
  </r>
  <r>
    <x v="213"/>
    <x v="7"/>
    <x v="7"/>
    <x v="3"/>
    <x v="3"/>
    <s v="Corporate"/>
    <s v="Online"/>
    <x v="4"/>
    <x v="1"/>
    <n v="180000"/>
    <n v="3"/>
    <x v="4"/>
    <n v="144000"/>
    <n v="540000"/>
    <n v="432000"/>
    <n v="108000"/>
  </r>
  <r>
    <x v="214"/>
    <x v="7"/>
    <x v="7"/>
    <x v="3"/>
    <x v="2"/>
    <s v="Retail"/>
    <s v="Online"/>
    <x v="6"/>
    <x v="2"/>
    <n v="150000"/>
    <n v="10"/>
    <x v="0"/>
    <n v="120000"/>
    <n v="1500000"/>
    <n v="1200000"/>
    <n v="300000"/>
  </r>
  <r>
    <x v="215"/>
    <x v="7"/>
    <x v="7"/>
    <x v="2"/>
    <x v="2"/>
    <s v="Retail"/>
    <s v="Store"/>
    <x v="4"/>
    <x v="1"/>
    <n v="180000"/>
    <n v="8"/>
    <x v="4"/>
    <n v="144000"/>
    <n v="1440000"/>
    <n v="1152000"/>
    <n v="288000"/>
  </r>
  <r>
    <x v="216"/>
    <x v="7"/>
    <x v="7"/>
    <x v="0"/>
    <x v="2"/>
    <s v="Retail"/>
    <s v="Store"/>
    <x v="3"/>
    <x v="2"/>
    <n v="300000"/>
    <n v="8"/>
    <x v="2"/>
    <n v="240000"/>
    <n v="2400000"/>
    <n v="1920000"/>
    <n v="480000"/>
  </r>
  <r>
    <x v="217"/>
    <x v="7"/>
    <x v="7"/>
    <x v="0"/>
    <x v="2"/>
    <s v="Retail"/>
    <s v="Store"/>
    <x v="5"/>
    <x v="0"/>
    <n v="320000"/>
    <n v="9"/>
    <x v="3"/>
    <n v="256000"/>
    <n v="2880000"/>
    <n v="2304000"/>
    <n v="576000"/>
  </r>
  <r>
    <x v="218"/>
    <x v="7"/>
    <x v="7"/>
    <x v="2"/>
    <x v="2"/>
    <s v="Retail"/>
    <s v="Online"/>
    <x v="5"/>
    <x v="0"/>
    <n v="320000"/>
    <n v="7"/>
    <x v="5"/>
    <n v="256000"/>
    <n v="2240000"/>
    <n v="1792000"/>
    <n v="448000"/>
  </r>
  <r>
    <x v="219"/>
    <x v="7"/>
    <x v="7"/>
    <x v="1"/>
    <x v="3"/>
    <s v="Retail"/>
    <s v="Online"/>
    <x v="6"/>
    <x v="2"/>
    <n v="150000"/>
    <n v="7"/>
    <x v="1"/>
    <n v="120000"/>
    <n v="1050000"/>
    <n v="840000"/>
    <n v="210000"/>
  </r>
  <r>
    <x v="220"/>
    <x v="7"/>
    <x v="7"/>
    <x v="1"/>
    <x v="3"/>
    <s v="Retail"/>
    <s v="Store"/>
    <x v="9"/>
    <x v="1"/>
    <n v="220000"/>
    <n v="6"/>
    <x v="5"/>
    <n v="176000"/>
    <n v="1320000"/>
    <n v="1056000"/>
    <n v="264000"/>
  </r>
  <r>
    <x v="221"/>
    <x v="7"/>
    <x v="7"/>
    <x v="3"/>
    <x v="1"/>
    <s v="Retail"/>
    <s v="Online"/>
    <x v="8"/>
    <x v="2"/>
    <n v="250000"/>
    <n v="1"/>
    <x v="3"/>
    <n v="200000"/>
    <n v="250000"/>
    <n v="200000"/>
    <n v="50000"/>
  </r>
  <r>
    <x v="222"/>
    <x v="7"/>
    <x v="7"/>
    <x v="0"/>
    <x v="1"/>
    <s v="Retail"/>
    <s v="Online"/>
    <x v="2"/>
    <x v="1"/>
    <n v="60000"/>
    <n v="4"/>
    <x v="1"/>
    <n v="48000"/>
    <n v="240000"/>
    <n v="192000"/>
    <n v="48000"/>
  </r>
  <r>
    <x v="223"/>
    <x v="7"/>
    <x v="7"/>
    <x v="3"/>
    <x v="1"/>
    <s v="Retail"/>
    <s v="Online"/>
    <x v="0"/>
    <x v="0"/>
    <n v="85000"/>
    <n v="9"/>
    <x v="1"/>
    <n v="68000"/>
    <n v="765000"/>
    <n v="612000"/>
    <n v="153000"/>
  </r>
  <r>
    <x v="224"/>
    <x v="7"/>
    <x v="7"/>
    <x v="0"/>
    <x v="0"/>
    <s v="Retail"/>
    <s v="Online"/>
    <x v="4"/>
    <x v="1"/>
    <n v="180000"/>
    <n v="5"/>
    <x v="0"/>
    <n v="144000"/>
    <n v="900000"/>
    <n v="720000"/>
    <n v="180000"/>
  </r>
  <r>
    <x v="225"/>
    <x v="8"/>
    <x v="8"/>
    <x v="0"/>
    <x v="1"/>
    <s v="Retail"/>
    <s v="Store"/>
    <x v="6"/>
    <x v="2"/>
    <n v="150000"/>
    <n v="4"/>
    <x v="0"/>
    <n v="120000"/>
    <n v="600000"/>
    <n v="480000"/>
    <n v="120000"/>
  </r>
  <r>
    <x v="226"/>
    <x v="8"/>
    <x v="8"/>
    <x v="3"/>
    <x v="1"/>
    <s v="Retail"/>
    <s v="Online"/>
    <x v="6"/>
    <x v="2"/>
    <n v="150000"/>
    <n v="4"/>
    <x v="2"/>
    <n v="120000"/>
    <n v="600000"/>
    <n v="480000"/>
    <n v="120000"/>
  </r>
  <r>
    <x v="227"/>
    <x v="8"/>
    <x v="8"/>
    <x v="1"/>
    <x v="1"/>
    <s v="Corporate"/>
    <s v="Online"/>
    <x v="1"/>
    <x v="1"/>
    <n v="30000"/>
    <n v="2"/>
    <x v="2"/>
    <n v="24000"/>
    <n v="60000"/>
    <n v="48000"/>
    <n v="12000"/>
  </r>
  <r>
    <x v="228"/>
    <x v="8"/>
    <x v="8"/>
    <x v="2"/>
    <x v="3"/>
    <s v="Corporate"/>
    <s v="Online"/>
    <x v="4"/>
    <x v="1"/>
    <n v="180000"/>
    <n v="6"/>
    <x v="4"/>
    <n v="144000"/>
    <n v="1080000"/>
    <n v="864000"/>
    <n v="216000"/>
  </r>
  <r>
    <x v="229"/>
    <x v="8"/>
    <x v="8"/>
    <x v="3"/>
    <x v="2"/>
    <s v="Corporate"/>
    <s v="Store"/>
    <x v="2"/>
    <x v="1"/>
    <n v="60000"/>
    <n v="9"/>
    <x v="5"/>
    <n v="48000"/>
    <n v="540000"/>
    <n v="432000"/>
    <n v="108000"/>
  </r>
  <r>
    <x v="230"/>
    <x v="8"/>
    <x v="8"/>
    <x v="2"/>
    <x v="0"/>
    <s v="Retail"/>
    <s v="Online"/>
    <x v="6"/>
    <x v="2"/>
    <n v="150000"/>
    <n v="3"/>
    <x v="1"/>
    <n v="120000"/>
    <n v="450000"/>
    <n v="360000"/>
    <n v="90000"/>
  </r>
  <r>
    <x v="231"/>
    <x v="8"/>
    <x v="8"/>
    <x v="3"/>
    <x v="1"/>
    <s v="Retail"/>
    <s v="Online"/>
    <x v="0"/>
    <x v="0"/>
    <n v="85000"/>
    <n v="3"/>
    <x v="2"/>
    <n v="68000"/>
    <n v="255000"/>
    <n v="204000"/>
    <n v="51000"/>
  </r>
  <r>
    <x v="232"/>
    <x v="8"/>
    <x v="8"/>
    <x v="1"/>
    <x v="0"/>
    <s v="Corporate"/>
    <s v="Store"/>
    <x v="1"/>
    <x v="1"/>
    <n v="30000"/>
    <n v="3"/>
    <x v="3"/>
    <n v="24000"/>
    <n v="90000"/>
    <n v="72000"/>
    <n v="18000"/>
  </r>
  <r>
    <x v="233"/>
    <x v="8"/>
    <x v="8"/>
    <x v="1"/>
    <x v="2"/>
    <s v="Corporate"/>
    <s v="Online"/>
    <x v="0"/>
    <x v="0"/>
    <n v="85000"/>
    <n v="2"/>
    <x v="0"/>
    <n v="68000"/>
    <n v="170000"/>
    <n v="136000"/>
    <n v="34000"/>
  </r>
  <r>
    <x v="234"/>
    <x v="8"/>
    <x v="8"/>
    <x v="0"/>
    <x v="3"/>
    <s v="Corporate"/>
    <s v="Online"/>
    <x v="1"/>
    <x v="1"/>
    <n v="30000"/>
    <n v="6"/>
    <x v="0"/>
    <n v="24000"/>
    <n v="180000"/>
    <n v="144000"/>
    <n v="36000"/>
  </r>
  <r>
    <x v="235"/>
    <x v="8"/>
    <x v="8"/>
    <x v="0"/>
    <x v="3"/>
    <s v="Corporate"/>
    <s v="Online"/>
    <x v="5"/>
    <x v="0"/>
    <n v="320000"/>
    <n v="1"/>
    <x v="0"/>
    <n v="256000"/>
    <n v="320000"/>
    <n v="256000"/>
    <n v="64000"/>
  </r>
  <r>
    <x v="236"/>
    <x v="8"/>
    <x v="8"/>
    <x v="2"/>
    <x v="1"/>
    <s v="Retail"/>
    <s v="Store"/>
    <x v="7"/>
    <x v="2"/>
    <n v="420000"/>
    <n v="5"/>
    <x v="4"/>
    <n v="336000"/>
    <n v="2100000"/>
    <n v="1680000"/>
    <n v="420000"/>
  </r>
  <r>
    <x v="237"/>
    <x v="8"/>
    <x v="8"/>
    <x v="0"/>
    <x v="3"/>
    <s v="Retail"/>
    <s v="Store"/>
    <x v="1"/>
    <x v="1"/>
    <n v="30000"/>
    <n v="9"/>
    <x v="5"/>
    <n v="24000"/>
    <n v="270000"/>
    <n v="216000"/>
    <n v="54000"/>
  </r>
  <r>
    <x v="238"/>
    <x v="8"/>
    <x v="8"/>
    <x v="2"/>
    <x v="3"/>
    <s v="Retail"/>
    <s v="Online"/>
    <x v="2"/>
    <x v="1"/>
    <n v="60000"/>
    <n v="8"/>
    <x v="4"/>
    <n v="48000"/>
    <n v="480000"/>
    <n v="384000"/>
    <n v="96000"/>
  </r>
  <r>
    <x v="239"/>
    <x v="8"/>
    <x v="8"/>
    <x v="0"/>
    <x v="2"/>
    <s v="Retail"/>
    <s v="Online"/>
    <x v="3"/>
    <x v="2"/>
    <n v="300000"/>
    <n v="2"/>
    <x v="2"/>
    <n v="240000"/>
    <n v="600000"/>
    <n v="480000"/>
    <n v="120000"/>
  </r>
  <r>
    <x v="240"/>
    <x v="8"/>
    <x v="8"/>
    <x v="2"/>
    <x v="0"/>
    <s v="Retail"/>
    <s v="Online"/>
    <x v="9"/>
    <x v="1"/>
    <n v="220000"/>
    <n v="7"/>
    <x v="2"/>
    <n v="176000"/>
    <n v="1540000"/>
    <n v="1232000"/>
    <n v="308000"/>
  </r>
  <r>
    <x v="241"/>
    <x v="8"/>
    <x v="8"/>
    <x v="3"/>
    <x v="1"/>
    <s v="Corporate"/>
    <s v="Store"/>
    <x v="3"/>
    <x v="2"/>
    <n v="300000"/>
    <n v="8"/>
    <x v="0"/>
    <n v="240000"/>
    <n v="2400000"/>
    <n v="1920000"/>
    <n v="480000"/>
  </r>
  <r>
    <x v="242"/>
    <x v="8"/>
    <x v="8"/>
    <x v="1"/>
    <x v="1"/>
    <s v="Corporate"/>
    <s v="Store"/>
    <x v="7"/>
    <x v="2"/>
    <n v="420000"/>
    <n v="10"/>
    <x v="3"/>
    <n v="336000"/>
    <n v="4200000"/>
    <n v="3360000"/>
    <n v="840000"/>
  </r>
  <r>
    <x v="243"/>
    <x v="8"/>
    <x v="8"/>
    <x v="1"/>
    <x v="3"/>
    <s v="Corporate"/>
    <s v="Online"/>
    <x v="3"/>
    <x v="2"/>
    <n v="300000"/>
    <n v="2"/>
    <x v="3"/>
    <n v="240000"/>
    <n v="600000"/>
    <n v="480000"/>
    <n v="120000"/>
  </r>
  <r>
    <x v="244"/>
    <x v="8"/>
    <x v="8"/>
    <x v="1"/>
    <x v="1"/>
    <s v="Corporate"/>
    <s v="Online"/>
    <x v="9"/>
    <x v="1"/>
    <n v="220000"/>
    <n v="3"/>
    <x v="2"/>
    <n v="176000"/>
    <n v="660000"/>
    <n v="528000"/>
    <n v="132000"/>
  </r>
  <r>
    <x v="245"/>
    <x v="8"/>
    <x v="8"/>
    <x v="1"/>
    <x v="2"/>
    <s v="Corporate"/>
    <s v="Store"/>
    <x v="0"/>
    <x v="0"/>
    <n v="85000"/>
    <n v="6"/>
    <x v="1"/>
    <n v="68000"/>
    <n v="510000"/>
    <n v="408000"/>
    <n v="102000"/>
  </r>
  <r>
    <x v="246"/>
    <x v="8"/>
    <x v="8"/>
    <x v="3"/>
    <x v="3"/>
    <s v="Corporate"/>
    <s v="Online"/>
    <x v="5"/>
    <x v="0"/>
    <n v="320000"/>
    <n v="10"/>
    <x v="5"/>
    <n v="256000"/>
    <n v="3200000"/>
    <n v="2560000"/>
    <n v="640000"/>
  </r>
  <r>
    <x v="247"/>
    <x v="8"/>
    <x v="8"/>
    <x v="1"/>
    <x v="0"/>
    <s v="Corporate"/>
    <s v="Online"/>
    <x v="3"/>
    <x v="2"/>
    <n v="300000"/>
    <n v="2"/>
    <x v="1"/>
    <n v="240000"/>
    <n v="600000"/>
    <n v="480000"/>
    <n v="120000"/>
  </r>
  <r>
    <x v="248"/>
    <x v="8"/>
    <x v="8"/>
    <x v="2"/>
    <x v="0"/>
    <s v="Corporate"/>
    <s v="Store"/>
    <x v="1"/>
    <x v="1"/>
    <n v="30000"/>
    <n v="6"/>
    <x v="5"/>
    <n v="24000"/>
    <n v="180000"/>
    <n v="144000"/>
    <n v="36000"/>
  </r>
  <r>
    <x v="249"/>
    <x v="8"/>
    <x v="8"/>
    <x v="2"/>
    <x v="0"/>
    <s v="Corporate"/>
    <s v="Store"/>
    <x v="2"/>
    <x v="1"/>
    <n v="60000"/>
    <n v="2"/>
    <x v="2"/>
    <n v="48000"/>
    <n v="120000"/>
    <n v="96000"/>
    <n v="24000"/>
  </r>
  <r>
    <x v="250"/>
    <x v="8"/>
    <x v="8"/>
    <x v="3"/>
    <x v="2"/>
    <s v="Retail"/>
    <s v="Online"/>
    <x v="9"/>
    <x v="1"/>
    <n v="220000"/>
    <n v="5"/>
    <x v="0"/>
    <n v="176000"/>
    <n v="1100000"/>
    <n v="880000"/>
    <n v="220000"/>
  </r>
  <r>
    <x v="251"/>
    <x v="8"/>
    <x v="8"/>
    <x v="0"/>
    <x v="3"/>
    <s v="Retail"/>
    <s v="Store"/>
    <x v="4"/>
    <x v="1"/>
    <n v="180000"/>
    <n v="6"/>
    <x v="5"/>
    <n v="144000"/>
    <n v="1080000"/>
    <n v="864000"/>
    <n v="216000"/>
  </r>
  <r>
    <x v="252"/>
    <x v="8"/>
    <x v="8"/>
    <x v="3"/>
    <x v="0"/>
    <s v="Retail"/>
    <s v="Online"/>
    <x v="8"/>
    <x v="2"/>
    <n v="250000"/>
    <n v="4"/>
    <x v="3"/>
    <n v="200000"/>
    <n v="1000000"/>
    <n v="800000"/>
    <n v="200000"/>
  </r>
  <r>
    <x v="253"/>
    <x v="8"/>
    <x v="8"/>
    <x v="3"/>
    <x v="2"/>
    <s v="Corporate"/>
    <s v="Online"/>
    <x v="0"/>
    <x v="0"/>
    <n v="85000"/>
    <n v="10"/>
    <x v="1"/>
    <n v="68000"/>
    <n v="850000"/>
    <n v="680000"/>
    <n v="170000"/>
  </r>
  <r>
    <x v="254"/>
    <x v="8"/>
    <x v="8"/>
    <x v="0"/>
    <x v="1"/>
    <s v="Retail"/>
    <s v="Online"/>
    <x v="3"/>
    <x v="2"/>
    <n v="300000"/>
    <n v="6"/>
    <x v="1"/>
    <n v="240000"/>
    <n v="1800000"/>
    <n v="1440000"/>
    <n v="360000"/>
  </r>
  <r>
    <x v="255"/>
    <x v="9"/>
    <x v="9"/>
    <x v="3"/>
    <x v="1"/>
    <s v="Corporate"/>
    <s v="Store"/>
    <x v="9"/>
    <x v="1"/>
    <n v="220000"/>
    <n v="3"/>
    <x v="0"/>
    <n v="176000"/>
    <n v="660000"/>
    <n v="528000"/>
    <n v="132000"/>
  </r>
  <r>
    <x v="256"/>
    <x v="9"/>
    <x v="9"/>
    <x v="3"/>
    <x v="2"/>
    <s v="Retail"/>
    <s v="Store"/>
    <x v="1"/>
    <x v="1"/>
    <n v="30000"/>
    <n v="8"/>
    <x v="5"/>
    <n v="24000"/>
    <n v="240000"/>
    <n v="192000"/>
    <n v="48000"/>
  </r>
  <r>
    <x v="257"/>
    <x v="9"/>
    <x v="9"/>
    <x v="3"/>
    <x v="0"/>
    <s v="Corporate"/>
    <s v="Online"/>
    <x v="0"/>
    <x v="0"/>
    <n v="85000"/>
    <n v="2"/>
    <x v="0"/>
    <n v="68000"/>
    <n v="170000"/>
    <n v="136000"/>
    <n v="34000"/>
  </r>
  <r>
    <x v="258"/>
    <x v="9"/>
    <x v="9"/>
    <x v="2"/>
    <x v="3"/>
    <s v="Retail"/>
    <s v="Store"/>
    <x v="6"/>
    <x v="2"/>
    <n v="150000"/>
    <n v="3"/>
    <x v="3"/>
    <n v="120000"/>
    <n v="450000"/>
    <n v="360000"/>
    <n v="90000"/>
  </r>
  <r>
    <x v="259"/>
    <x v="9"/>
    <x v="9"/>
    <x v="1"/>
    <x v="3"/>
    <s v="Retail"/>
    <s v="Store"/>
    <x v="0"/>
    <x v="0"/>
    <n v="85000"/>
    <n v="1"/>
    <x v="4"/>
    <n v="68000"/>
    <n v="85000"/>
    <n v="68000"/>
    <n v="17000"/>
  </r>
  <r>
    <x v="260"/>
    <x v="9"/>
    <x v="9"/>
    <x v="2"/>
    <x v="0"/>
    <s v="Corporate"/>
    <s v="Store"/>
    <x v="8"/>
    <x v="2"/>
    <n v="250000"/>
    <n v="3"/>
    <x v="5"/>
    <n v="200000"/>
    <n v="750000"/>
    <n v="600000"/>
    <n v="150000"/>
  </r>
  <r>
    <x v="261"/>
    <x v="9"/>
    <x v="9"/>
    <x v="1"/>
    <x v="0"/>
    <s v="Corporate"/>
    <s v="Store"/>
    <x v="7"/>
    <x v="2"/>
    <n v="420000"/>
    <n v="2"/>
    <x v="0"/>
    <n v="336000"/>
    <n v="840000"/>
    <n v="672000"/>
    <n v="168000"/>
  </r>
  <r>
    <x v="262"/>
    <x v="9"/>
    <x v="9"/>
    <x v="0"/>
    <x v="2"/>
    <s v="Retail"/>
    <s v="Online"/>
    <x v="6"/>
    <x v="2"/>
    <n v="150000"/>
    <n v="9"/>
    <x v="2"/>
    <n v="120000"/>
    <n v="1350000"/>
    <n v="1080000"/>
    <n v="270000"/>
  </r>
  <r>
    <x v="263"/>
    <x v="9"/>
    <x v="9"/>
    <x v="3"/>
    <x v="3"/>
    <s v="Retail"/>
    <s v="Store"/>
    <x v="1"/>
    <x v="1"/>
    <n v="30000"/>
    <n v="9"/>
    <x v="1"/>
    <n v="24000"/>
    <n v="270000"/>
    <n v="216000"/>
    <n v="54000"/>
  </r>
  <r>
    <x v="264"/>
    <x v="9"/>
    <x v="9"/>
    <x v="1"/>
    <x v="1"/>
    <s v="Corporate"/>
    <s v="Store"/>
    <x v="9"/>
    <x v="1"/>
    <n v="220000"/>
    <n v="6"/>
    <x v="5"/>
    <n v="176000"/>
    <n v="1320000"/>
    <n v="1056000"/>
    <n v="264000"/>
  </r>
  <r>
    <x v="265"/>
    <x v="9"/>
    <x v="9"/>
    <x v="3"/>
    <x v="2"/>
    <s v="Corporate"/>
    <s v="Store"/>
    <x v="1"/>
    <x v="1"/>
    <n v="30000"/>
    <n v="3"/>
    <x v="5"/>
    <n v="24000"/>
    <n v="90000"/>
    <n v="72000"/>
    <n v="18000"/>
  </r>
  <r>
    <x v="266"/>
    <x v="9"/>
    <x v="9"/>
    <x v="0"/>
    <x v="2"/>
    <s v="Retail"/>
    <s v="Online"/>
    <x v="7"/>
    <x v="2"/>
    <n v="420000"/>
    <n v="10"/>
    <x v="1"/>
    <n v="336000"/>
    <n v="4200000"/>
    <n v="3360000"/>
    <n v="840000"/>
  </r>
  <r>
    <x v="267"/>
    <x v="9"/>
    <x v="9"/>
    <x v="3"/>
    <x v="3"/>
    <s v="Corporate"/>
    <s v="Online"/>
    <x v="1"/>
    <x v="1"/>
    <n v="30000"/>
    <n v="2"/>
    <x v="4"/>
    <n v="24000"/>
    <n v="60000"/>
    <n v="48000"/>
    <n v="12000"/>
  </r>
  <r>
    <x v="268"/>
    <x v="9"/>
    <x v="9"/>
    <x v="1"/>
    <x v="0"/>
    <s v="Corporate"/>
    <s v="Store"/>
    <x v="6"/>
    <x v="2"/>
    <n v="150000"/>
    <n v="5"/>
    <x v="1"/>
    <n v="120000"/>
    <n v="750000"/>
    <n v="600000"/>
    <n v="150000"/>
  </r>
  <r>
    <x v="269"/>
    <x v="9"/>
    <x v="9"/>
    <x v="2"/>
    <x v="3"/>
    <s v="Retail"/>
    <s v="Store"/>
    <x v="6"/>
    <x v="2"/>
    <n v="150000"/>
    <n v="10"/>
    <x v="4"/>
    <n v="120000"/>
    <n v="1500000"/>
    <n v="1200000"/>
    <n v="300000"/>
  </r>
  <r>
    <x v="270"/>
    <x v="9"/>
    <x v="9"/>
    <x v="0"/>
    <x v="3"/>
    <s v="Corporate"/>
    <s v="Online"/>
    <x v="4"/>
    <x v="1"/>
    <n v="180000"/>
    <n v="3"/>
    <x v="1"/>
    <n v="144000"/>
    <n v="540000"/>
    <n v="432000"/>
    <n v="108000"/>
  </r>
  <r>
    <x v="271"/>
    <x v="9"/>
    <x v="9"/>
    <x v="1"/>
    <x v="2"/>
    <s v="Corporate"/>
    <s v="Online"/>
    <x v="1"/>
    <x v="1"/>
    <n v="30000"/>
    <n v="10"/>
    <x v="2"/>
    <n v="24000"/>
    <n v="300000"/>
    <n v="240000"/>
    <n v="60000"/>
  </r>
  <r>
    <x v="272"/>
    <x v="9"/>
    <x v="9"/>
    <x v="1"/>
    <x v="0"/>
    <s v="Retail"/>
    <s v="Online"/>
    <x v="7"/>
    <x v="2"/>
    <n v="420000"/>
    <n v="2"/>
    <x v="2"/>
    <n v="336000"/>
    <n v="840000"/>
    <n v="672000"/>
    <n v="168000"/>
  </r>
  <r>
    <x v="273"/>
    <x v="9"/>
    <x v="9"/>
    <x v="2"/>
    <x v="0"/>
    <s v="Corporate"/>
    <s v="Online"/>
    <x v="5"/>
    <x v="0"/>
    <n v="320000"/>
    <n v="1"/>
    <x v="3"/>
    <n v="256000"/>
    <n v="320000"/>
    <n v="256000"/>
    <n v="64000"/>
  </r>
  <r>
    <x v="274"/>
    <x v="9"/>
    <x v="9"/>
    <x v="3"/>
    <x v="1"/>
    <s v="Retail"/>
    <s v="Online"/>
    <x v="6"/>
    <x v="2"/>
    <n v="150000"/>
    <n v="2"/>
    <x v="2"/>
    <n v="120000"/>
    <n v="300000"/>
    <n v="240000"/>
    <n v="60000"/>
  </r>
  <r>
    <x v="275"/>
    <x v="9"/>
    <x v="9"/>
    <x v="1"/>
    <x v="1"/>
    <s v="Corporate"/>
    <s v="Store"/>
    <x v="1"/>
    <x v="1"/>
    <n v="30000"/>
    <n v="9"/>
    <x v="5"/>
    <n v="24000"/>
    <n v="270000"/>
    <n v="216000"/>
    <n v="54000"/>
  </r>
  <r>
    <x v="276"/>
    <x v="9"/>
    <x v="9"/>
    <x v="0"/>
    <x v="1"/>
    <s v="Retail"/>
    <s v="Online"/>
    <x v="0"/>
    <x v="0"/>
    <n v="85000"/>
    <n v="7"/>
    <x v="3"/>
    <n v="68000"/>
    <n v="595000"/>
    <n v="476000"/>
    <n v="119000"/>
  </r>
  <r>
    <x v="277"/>
    <x v="9"/>
    <x v="9"/>
    <x v="3"/>
    <x v="0"/>
    <s v="Corporate"/>
    <s v="Online"/>
    <x v="6"/>
    <x v="2"/>
    <n v="150000"/>
    <n v="5"/>
    <x v="1"/>
    <n v="120000"/>
    <n v="750000"/>
    <n v="600000"/>
    <n v="150000"/>
  </r>
  <r>
    <x v="278"/>
    <x v="9"/>
    <x v="9"/>
    <x v="0"/>
    <x v="2"/>
    <s v="Retail"/>
    <s v="Store"/>
    <x v="5"/>
    <x v="0"/>
    <n v="320000"/>
    <n v="9"/>
    <x v="0"/>
    <n v="256000"/>
    <n v="2880000"/>
    <n v="2304000"/>
    <n v="576000"/>
  </r>
  <r>
    <x v="279"/>
    <x v="9"/>
    <x v="9"/>
    <x v="3"/>
    <x v="1"/>
    <s v="Retail"/>
    <s v="Online"/>
    <x v="5"/>
    <x v="0"/>
    <n v="320000"/>
    <n v="10"/>
    <x v="3"/>
    <n v="256000"/>
    <n v="3200000"/>
    <n v="2560000"/>
    <n v="640000"/>
  </r>
  <r>
    <x v="280"/>
    <x v="9"/>
    <x v="9"/>
    <x v="3"/>
    <x v="2"/>
    <s v="Corporate"/>
    <s v="Online"/>
    <x v="0"/>
    <x v="0"/>
    <n v="85000"/>
    <n v="7"/>
    <x v="3"/>
    <n v="68000"/>
    <n v="595000"/>
    <n v="476000"/>
    <n v="119000"/>
  </r>
  <r>
    <x v="281"/>
    <x v="9"/>
    <x v="9"/>
    <x v="2"/>
    <x v="2"/>
    <s v="Retail"/>
    <s v="Online"/>
    <x v="2"/>
    <x v="1"/>
    <n v="60000"/>
    <n v="4"/>
    <x v="3"/>
    <n v="48000"/>
    <n v="240000"/>
    <n v="192000"/>
    <n v="48000"/>
  </r>
  <r>
    <x v="282"/>
    <x v="9"/>
    <x v="9"/>
    <x v="1"/>
    <x v="2"/>
    <s v="Retail"/>
    <s v="Store"/>
    <x v="2"/>
    <x v="1"/>
    <n v="60000"/>
    <n v="7"/>
    <x v="1"/>
    <n v="48000"/>
    <n v="420000"/>
    <n v="336000"/>
    <n v="84000"/>
  </r>
  <r>
    <x v="283"/>
    <x v="9"/>
    <x v="9"/>
    <x v="2"/>
    <x v="1"/>
    <s v="Corporate"/>
    <s v="Online"/>
    <x v="6"/>
    <x v="2"/>
    <n v="150000"/>
    <n v="7"/>
    <x v="5"/>
    <n v="120000"/>
    <n v="1050000"/>
    <n v="840000"/>
    <n v="210000"/>
  </r>
  <r>
    <x v="284"/>
    <x v="9"/>
    <x v="9"/>
    <x v="0"/>
    <x v="1"/>
    <s v="Retail"/>
    <s v="Online"/>
    <x v="0"/>
    <x v="0"/>
    <n v="85000"/>
    <n v="3"/>
    <x v="1"/>
    <n v="68000"/>
    <n v="255000"/>
    <n v="204000"/>
    <n v="51000"/>
  </r>
  <r>
    <x v="285"/>
    <x v="9"/>
    <x v="9"/>
    <x v="2"/>
    <x v="3"/>
    <s v="Retail"/>
    <s v="Online"/>
    <x v="0"/>
    <x v="0"/>
    <n v="85000"/>
    <n v="10"/>
    <x v="2"/>
    <n v="68000"/>
    <n v="850000"/>
    <n v="680000"/>
    <n v="170000"/>
  </r>
  <r>
    <x v="286"/>
    <x v="10"/>
    <x v="10"/>
    <x v="1"/>
    <x v="1"/>
    <s v="Corporate"/>
    <s v="Store"/>
    <x v="3"/>
    <x v="2"/>
    <n v="300000"/>
    <n v="10"/>
    <x v="1"/>
    <n v="240000"/>
    <n v="3000000"/>
    <n v="2400000"/>
    <n v="600000"/>
  </r>
  <r>
    <x v="287"/>
    <x v="10"/>
    <x v="10"/>
    <x v="2"/>
    <x v="3"/>
    <s v="Retail"/>
    <s v="Store"/>
    <x v="2"/>
    <x v="1"/>
    <n v="60000"/>
    <n v="3"/>
    <x v="0"/>
    <n v="48000"/>
    <n v="180000"/>
    <n v="144000"/>
    <n v="36000"/>
  </r>
  <r>
    <x v="288"/>
    <x v="10"/>
    <x v="10"/>
    <x v="1"/>
    <x v="0"/>
    <s v="Corporate"/>
    <s v="Online"/>
    <x v="2"/>
    <x v="1"/>
    <n v="60000"/>
    <n v="3"/>
    <x v="1"/>
    <n v="48000"/>
    <n v="180000"/>
    <n v="144000"/>
    <n v="36000"/>
  </r>
  <r>
    <x v="289"/>
    <x v="10"/>
    <x v="10"/>
    <x v="0"/>
    <x v="1"/>
    <s v="Retail"/>
    <s v="Online"/>
    <x v="0"/>
    <x v="0"/>
    <n v="85000"/>
    <n v="6"/>
    <x v="1"/>
    <n v="68000"/>
    <n v="510000"/>
    <n v="408000"/>
    <n v="102000"/>
  </r>
  <r>
    <x v="290"/>
    <x v="10"/>
    <x v="10"/>
    <x v="1"/>
    <x v="2"/>
    <s v="Corporate"/>
    <s v="Store"/>
    <x v="7"/>
    <x v="2"/>
    <n v="420000"/>
    <n v="2"/>
    <x v="4"/>
    <n v="336000"/>
    <n v="840000"/>
    <n v="672000"/>
    <n v="168000"/>
  </r>
  <r>
    <x v="291"/>
    <x v="10"/>
    <x v="10"/>
    <x v="3"/>
    <x v="3"/>
    <s v="Retail"/>
    <s v="Store"/>
    <x v="8"/>
    <x v="2"/>
    <n v="250000"/>
    <n v="6"/>
    <x v="5"/>
    <n v="200000"/>
    <n v="1500000"/>
    <n v="1200000"/>
    <n v="300000"/>
  </r>
  <r>
    <x v="292"/>
    <x v="10"/>
    <x v="10"/>
    <x v="3"/>
    <x v="0"/>
    <s v="Retail"/>
    <s v="Online"/>
    <x v="6"/>
    <x v="2"/>
    <n v="150000"/>
    <n v="8"/>
    <x v="1"/>
    <n v="120000"/>
    <n v="1200000"/>
    <n v="960000"/>
    <n v="240000"/>
  </r>
  <r>
    <x v="293"/>
    <x v="10"/>
    <x v="10"/>
    <x v="1"/>
    <x v="2"/>
    <s v="Corporate"/>
    <s v="Online"/>
    <x v="6"/>
    <x v="2"/>
    <n v="150000"/>
    <n v="10"/>
    <x v="1"/>
    <n v="120000"/>
    <n v="1500000"/>
    <n v="1200000"/>
    <n v="300000"/>
  </r>
  <r>
    <x v="294"/>
    <x v="10"/>
    <x v="10"/>
    <x v="1"/>
    <x v="2"/>
    <s v="Retail"/>
    <s v="Online"/>
    <x v="8"/>
    <x v="2"/>
    <n v="250000"/>
    <n v="5"/>
    <x v="5"/>
    <n v="200000"/>
    <n v="1250000"/>
    <n v="1000000"/>
    <n v="250000"/>
  </r>
  <r>
    <x v="295"/>
    <x v="10"/>
    <x v="10"/>
    <x v="0"/>
    <x v="2"/>
    <s v="Retail"/>
    <s v="Store"/>
    <x v="5"/>
    <x v="0"/>
    <n v="320000"/>
    <n v="9"/>
    <x v="0"/>
    <n v="256000"/>
    <n v="2880000"/>
    <n v="2304000"/>
    <n v="576000"/>
  </r>
  <r>
    <x v="296"/>
    <x v="10"/>
    <x v="10"/>
    <x v="0"/>
    <x v="0"/>
    <s v="Corporate"/>
    <s v="Store"/>
    <x v="4"/>
    <x v="1"/>
    <n v="180000"/>
    <n v="10"/>
    <x v="5"/>
    <n v="144000"/>
    <n v="1800000"/>
    <n v="1440000"/>
    <n v="360000"/>
  </r>
  <r>
    <x v="297"/>
    <x v="10"/>
    <x v="10"/>
    <x v="0"/>
    <x v="2"/>
    <s v="Corporate"/>
    <s v="Store"/>
    <x v="2"/>
    <x v="1"/>
    <n v="60000"/>
    <n v="6"/>
    <x v="4"/>
    <n v="48000"/>
    <n v="360000"/>
    <n v="288000"/>
    <n v="72000"/>
  </r>
  <r>
    <x v="298"/>
    <x v="10"/>
    <x v="10"/>
    <x v="0"/>
    <x v="2"/>
    <s v="Corporate"/>
    <s v="Online"/>
    <x v="6"/>
    <x v="2"/>
    <n v="150000"/>
    <n v="10"/>
    <x v="2"/>
    <n v="120000"/>
    <n v="1500000"/>
    <n v="1200000"/>
    <n v="300000"/>
  </r>
  <r>
    <x v="299"/>
    <x v="10"/>
    <x v="10"/>
    <x v="1"/>
    <x v="0"/>
    <s v="Retail"/>
    <s v="Online"/>
    <x v="8"/>
    <x v="2"/>
    <n v="250000"/>
    <n v="5"/>
    <x v="4"/>
    <n v="200000"/>
    <n v="1250000"/>
    <n v="1000000"/>
    <n v="250000"/>
  </r>
  <r>
    <x v="300"/>
    <x v="10"/>
    <x v="10"/>
    <x v="0"/>
    <x v="2"/>
    <s v="Retail"/>
    <s v="Online"/>
    <x v="4"/>
    <x v="1"/>
    <n v="180000"/>
    <n v="3"/>
    <x v="0"/>
    <n v="144000"/>
    <n v="540000"/>
    <n v="432000"/>
    <n v="108000"/>
  </r>
  <r>
    <x v="301"/>
    <x v="10"/>
    <x v="10"/>
    <x v="0"/>
    <x v="2"/>
    <s v="Corporate"/>
    <s v="Store"/>
    <x v="5"/>
    <x v="0"/>
    <n v="320000"/>
    <n v="5"/>
    <x v="4"/>
    <n v="256000"/>
    <n v="1600000"/>
    <n v="1280000"/>
    <n v="320000"/>
  </r>
  <r>
    <x v="302"/>
    <x v="10"/>
    <x v="10"/>
    <x v="2"/>
    <x v="0"/>
    <s v="Retail"/>
    <s v="Store"/>
    <x v="5"/>
    <x v="0"/>
    <n v="320000"/>
    <n v="10"/>
    <x v="1"/>
    <n v="256000"/>
    <n v="3200000"/>
    <n v="2560000"/>
    <n v="640000"/>
  </r>
  <r>
    <x v="303"/>
    <x v="10"/>
    <x v="10"/>
    <x v="1"/>
    <x v="0"/>
    <s v="Corporate"/>
    <s v="Online"/>
    <x v="1"/>
    <x v="1"/>
    <n v="30000"/>
    <n v="5"/>
    <x v="0"/>
    <n v="24000"/>
    <n v="150000"/>
    <n v="120000"/>
    <n v="30000"/>
  </r>
  <r>
    <x v="304"/>
    <x v="10"/>
    <x v="10"/>
    <x v="3"/>
    <x v="0"/>
    <s v="Corporate"/>
    <s v="Store"/>
    <x v="7"/>
    <x v="2"/>
    <n v="420000"/>
    <n v="3"/>
    <x v="0"/>
    <n v="336000"/>
    <n v="1260000"/>
    <n v="1008000"/>
    <n v="252000"/>
  </r>
  <r>
    <x v="305"/>
    <x v="10"/>
    <x v="10"/>
    <x v="1"/>
    <x v="2"/>
    <s v="Retail"/>
    <s v="Online"/>
    <x v="1"/>
    <x v="1"/>
    <n v="30000"/>
    <n v="4"/>
    <x v="3"/>
    <n v="24000"/>
    <n v="120000"/>
    <n v="96000"/>
    <n v="24000"/>
  </r>
  <r>
    <x v="306"/>
    <x v="10"/>
    <x v="10"/>
    <x v="1"/>
    <x v="0"/>
    <s v="Retail"/>
    <s v="Online"/>
    <x v="4"/>
    <x v="1"/>
    <n v="180000"/>
    <n v="4"/>
    <x v="0"/>
    <n v="144000"/>
    <n v="720000"/>
    <n v="576000"/>
    <n v="144000"/>
  </r>
  <r>
    <x v="307"/>
    <x v="10"/>
    <x v="10"/>
    <x v="1"/>
    <x v="1"/>
    <s v="Retail"/>
    <s v="Online"/>
    <x v="8"/>
    <x v="2"/>
    <n v="250000"/>
    <n v="5"/>
    <x v="5"/>
    <n v="200000"/>
    <n v="1250000"/>
    <n v="1000000"/>
    <n v="250000"/>
  </r>
  <r>
    <x v="308"/>
    <x v="10"/>
    <x v="10"/>
    <x v="0"/>
    <x v="3"/>
    <s v="Corporate"/>
    <s v="Store"/>
    <x v="4"/>
    <x v="1"/>
    <n v="180000"/>
    <n v="3"/>
    <x v="3"/>
    <n v="144000"/>
    <n v="540000"/>
    <n v="432000"/>
    <n v="108000"/>
  </r>
  <r>
    <x v="309"/>
    <x v="10"/>
    <x v="10"/>
    <x v="1"/>
    <x v="0"/>
    <s v="Retail"/>
    <s v="Online"/>
    <x v="3"/>
    <x v="2"/>
    <n v="300000"/>
    <n v="5"/>
    <x v="5"/>
    <n v="240000"/>
    <n v="1500000"/>
    <n v="1200000"/>
    <n v="300000"/>
  </r>
  <r>
    <x v="310"/>
    <x v="10"/>
    <x v="10"/>
    <x v="0"/>
    <x v="2"/>
    <s v="Retail"/>
    <s v="Store"/>
    <x v="0"/>
    <x v="0"/>
    <n v="85000"/>
    <n v="8"/>
    <x v="3"/>
    <n v="68000"/>
    <n v="680000"/>
    <n v="544000"/>
    <n v="136000"/>
  </r>
  <r>
    <x v="311"/>
    <x v="10"/>
    <x v="10"/>
    <x v="1"/>
    <x v="1"/>
    <s v="Corporate"/>
    <s v="Online"/>
    <x v="4"/>
    <x v="1"/>
    <n v="180000"/>
    <n v="6"/>
    <x v="5"/>
    <n v="144000"/>
    <n v="1080000"/>
    <n v="864000"/>
    <n v="216000"/>
  </r>
  <r>
    <x v="312"/>
    <x v="10"/>
    <x v="10"/>
    <x v="1"/>
    <x v="1"/>
    <s v="Corporate"/>
    <s v="Online"/>
    <x v="7"/>
    <x v="2"/>
    <n v="420000"/>
    <n v="7"/>
    <x v="4"/>
    <n v="336000"/>
    <n v="2940000"/>
    <n v="2352000"/>
    <n v="588000"/>
  </r>
  <r>
    <x v="313"/>
    <x v="10"/>
    <x v="10"/>
    <x v="2"/>
    <x v="2"/>
    <s v="Corporate"/>
    <s v="Online"/>
    <x v="6"/>
    <x v="2"/>
    <n v="150000"/>
    <n v="8"/>
    <x v="0"/>
    <n v="120000"/>
    <n v="1200000"/>
    <n v="960000"/>
    <n v="240000"/>
  </r>
  <r>
    <x v="314"/>
    <x v="10"/>
    <x v="10"/>
    <x v="1"/>
    <x v="2"/>
    <s v="Retail"/>
    <s v="Online"/>
    <x v="0"/>
    <x v="0"/>
    <n v="85000"/>
    <n v="6"/>
    <x v="4"/>
    <n v="68000"/>
    <n v="510000"/>
    <n v="408000"/>
    <n v="102000"/>
  </r>
  <r>
    <x v="315"/>
    <x v="10"/>
    <x v="10"/>
    <x v="2"/>
    <x v="0"/>
    <s v="Retail"/>
    <s v="Store"/>
    <x v="4"/>
    <x v="1"/>
    <n v="180000"/>
    <n v="9"/>
    <x v="2"/>
    <n v="144000"/>
    <n v="1620000"/>
    <n v="1296000"/>
    <n v="324000"/>
  </r>
  <r>
    <x v="316"/>
    <x v="11"/>
    <x v="11"/>
    <x v="0"/>
    <x v="2"/>
    <s v="Corporate"/>
    <s v="Online"/>
    <x v="8"/>
    <x v="2"/>
    <n v="250000"/>
    <n v="5"/>
    <x v="4"/>
    <n v="200000"/>
    <n v="1250000"/>
    <n v="1000000"/>
    <n v="250000"/>
  </r>
  <r>
    <x v="317"/>
    <x v="11"/>
    <x v="11"/>
    <x v="3"/>
    <x v="2"/>
    <s v="Retail"/>
    <s v="Store"/>
    <x v="5"/>
    <x v="0"/>
    <n v="320000"/>
    <n v="9"/>
    <x v="2"/>
    <n v="256000"/>
    <n v="2880000"/>
    <n v="2304000"/>
    <n v="576000"/>
  </r>
  <r>
    <x v="318"/>
    <x v="11"/>
    <x v="11"/>
    <x v="3"/>
    <x v="1"/>
    <s v="Corporate"/>
    <s v="Store"/>
    <x v="6"/>
    <x v="2"/>
    <n v="150000"/>
    <n v="7"/>
    <x v="1"/>
    <n v="120000"/>
    <n v="1050000"/>
    <n v="840000"/>
    <n v="210000"/>
  </r>
  <r>
    <x v="319"/>
    <x v="11"/>
    <x v="11"/>
    <x v="1"/>
    <x v="0"/>
    <s v="Retail"/>
    <s v="Online"/>
    <x v="7"/>
    <x v="2"/>
    <n v="420000"/>
    <n v="9"/>
    <x v="4"/>
    <n v="336000"/>
    <n v="3780000"/>
    <n v="3024000"/>
    <n v="756000"/>
  </r>
  <r>
    <x v="320"/>
    <x v="11"/>
    <x v="11"/>
    <x v="2"/>
    <x v="1"/>
    <s v="Corporate"/>
    <s v="Store"/>
    <x v="2"/>
    <x v="1"/>
    <n v="60000"/>
    <n v="4"/>
    <x v="1"/>
    <n v="48000"/>
    <n v="240000"/>
    <n v="192000"/>
    <n v="48000"/>
  </r>
  <r>
    <x v="321"/>
    <x v="11"/>
    <x v="11"/>
    <x v="0"/>
    <x v="2"/>
    <s v="Retail"/>
    <s v="Store"/>
    <x v="8"/>
    <x v="2"/>
    <n v="250000"/>
    <n v="5"/>
    <x v="1"/>
    <n v="200000"/>
    <n v="1250000"/>
    <n v="1000000"/>
    <n v="250000"/>
  </r>
  <r>
    <x v="322"/>
    <x v="11"/>
    <x v="11"/>
    <x v="0"/>
    <x v="2"/>
    <s v="Corporate"/>
    <s v="Online"/>
    <x v="3"/>
    <x v="2"/>
    <n v="300000"/>
    <n v="8"/>
    <x v="3"/>
    <n v="240000"/>
    <n v="2400000"/>
    <n v="1920000"/>
    <n v="480000"/>
  </r>
  <r>
    <x v="323"/>
    <x v="11"/>
    <x v="11"/>
    <x v="0"/>
    <x v="2"/>
    <s v="Corporate"/>
    <s v="Online"/>
    <x v="7"/>
    <x v="2"/>
    <n v="420000"/>
    <n v="4"/>
    <x v="5"/>
    <n v="336000"/>
    <n v="1680000"/>
    <n v="1344000"/>
    <n v="336000"/>
  </r>
  <r>
    <x v="324"/>
    <x v="11"/>
    <x v="11"/>
    <x v="0"/>
    <x v="2"/>
    <s v="Corporate"/>
    <s v="Store"/>
    <x v="1"/>
    <x v="1"/>
    <n v="30000"/>
    <n v="4"/>
    <x v="1"/>
    <n v="24000"/>
    <n v="120000"/>
    <n v="96000"/>
    <n v="24000"/>
  </r>
  <r>
    <x v="325"/>
    <x v="11"/>
    <x v="11"/>
    <x v="1"/>
    <x v="3"/>
    <s v="Retail"/>
    <s v="Online"/>
    <x v="5"/>
    <x v="0"/>
    <n v="320000"/>
    <n v="7"/>
    <x v="1"/>
    <n v="256000"/>
    <n v="2240000"/>
    <n v="1792000"/>
    <n v="448000"/>
  </r>
  <r>
    <x v="326"/>
    <x v="11"/>
    <x v="11"/>
    <x v="2"/>
    <x v="1"/>
    <s v="Retail"/>
    <s v="Online"/>
    <x v="6"/>
    <x v="2"/>
    <n v="150000"/>
    <n v="8"/>
    <x v="4"/>
    <n v="120000"/>
    <n v="1200000"/>
    <n v="960000"/>
    <n v="240000"/>
  </r>
  <r>
    <x v="327"/>
    <x v="11"/>
    <x v="11"/>
    <x v="0"/>
    <x v="1"/>
    <s v="Retail"/>
    <s v="Store"/>
    <x v="2"/>
    <x v="1"/>
    <n v="60000"/>
    <n v="7"/>
    <x v="2"/>
    <n v="48000"/>
    <n v="420000"/>
    <n v="336000"/>
    <n v="84000"/>
  </r>
  <r>
    <x v="328"/>
    <x v="11"/>
    <x v="11"/>
    <x v="2"/>
    <x v="2"/>
    <s v="Retail"/>
    <s v="Online"/>
    <x v="4"/>
    <x v="1"/>
    <n v="180000"/>
    <n v="4"/>
    <x v="1"/>
    <n v="144000"/>
    <n v="720000"/>
    <n v="576000"/>
    <n v="144000"/>
  </r>
  <r>
    <x v="329"/>
    <x v="11"/>
    <x v="11"/>
    <x v="0"/>
    <x v="2"/>
    <s v="Corporate"/>
    <s v="Store"/>
    <x v="7"/>
    <x v="2"/>
    <n v="420000"/>
    <n v="8"/>
    <x v="4"/>
    <n v="336000"/>
    <n v="3360000"/>
    <n v="2688000"/>
    <n v="672000"/>
  </r>
  <r>
    <x v="330"/>
    <x v="11"/>
    <x v="11"/>
    <x v="0"/>
    <x v="2"/>
    <s v="Retail"/>
    <s v="Store"/>
    <x v="3"/>
    <x v="2"/>
    <n v="300000"/>
    <n v="2"/>
    <x v="5"/>
    <n v="240000"/>
    <n v="600000"/>
    <n v="480000"/>
    <n v="120000"/>
  </r>
  <r>
    <x v="331"/>
    <x v="11"/>
    <x v="11"/>
    <x v="2"/>
    <x v="1"/>
    <s v="Corporate"/>
    <s v="Online"/>
    <x v="7"/>
    <x v="2"/>
    <n v="420000"/>
    <n v="3"/>
    <x v="4"/>
    <n v="336000"/>
    <n v="1260000"/>
    <n v="1008000"/>
    <n v="252000"/>
  </r>
  <r>
    <x v="332"/>
    <x v="11"/>
    <x v="11"/>
    <x v="3"/>
    <x v="2"/>
    <s v="Retail"/>
    <s v="Online"/>
    <x v="0"/>
    <x v="0"/>
    <n v="85000"/>
    <n v="3"/>
    <x v="2"/>
    <n v="68000"/>
    <n v="255000"/>
    <n v="204000"/>
    <n v="51000"/>
  </r>
  <r>
    <x v="333"/>
    <x v="11"/>
    <x v="11"/>
    <x v="0"/>
    <x v="3"/>
    <s v="Corporate"/>
    <s v="Store"/>
    <x v="2"/>
    <x v="1"/>
    <n v="60000"/>
    <n v="8"/>
    <x v="1"/>
    <n v="48000"/>
    <n v="480000"/>
    <n v="384000"/>
    <n v="96000"/>
  </r>
  <r>
    <x v="334"/>
    <x v="11"/>
    <x v="11"/>
    <x v="0"/>
    <x v="1"/>
    <s v="Corporate"/>
    <s v="Store"/>
    <x v="4"/>
    <x v="1"/>
    <n v="180000"/>
    <n v="10"/>
    <x v="3"/>
    <n v="144000"/>
    <n v="1800000"/>
    <n v="1440000"/>
    <n v="360000"/>
  </r>
  <r>
    <x v="335"/>
    <x v="11"/>
    <x v="11"/>
    <x v="1"/>
    <x v="3"/>
    <s v="Corporate"/>
    <s v="Online"/>
    <x v="4"/>
    <x v="1"/>
    <n v="180000"/>
    <n v="7"/>
    <x v="0"/>
    <n v="144000"/>
    <n v="1260000"/>
    <n v="1008000"/>
    <n v="252000"/>
  </r>
  <r>
    <x v="336"/>
    <x v="11"/>
    <x v="11"/>
    <x v="1"/>
    <x v="3"/>
    <s v="Retail"/>
    <s v="Store"/>
    <x v="1"/>
    <x v="1"/>
    <n v="30000"/>
    <n v="3"/>
    <x v="2"/>
    <n v="24000"/>
    <n v="90000"/>
    <n v="72000"/>
    <n v="18000"/>
  </r>
  <r>
    <x v="337"/>
    <x v="11"/>
    <x v="11"/>
    <x v="3"/>
    <x v="0"/>
    <s v="Corporate"/>
    <s v="Store"/>
    <x v="1"/>
    <x v="1"/>
    <n v="30000"/>
    <n v="6"/>
    <x v="1"/>
    <n v="24000"/>
    <n v="180000"/>
    <n v="144000"/>
    <n v="36000"/>
  </r>
  <r>
    <x v="338"/>
    <x v="11"/>
    <x v="11"/>
    <x v="3"/>
    <x v="1"/>
    <s v="Corporate"/>
    <s v="Online"/>
    <x v="7"/>
    <x v="2"/>
    <n v="420000"/>
    <n v="4"/>
    <x v="4"/>
    <n v="336000"/>
    <n v="1680000"/>
    <n v="1344000"/>
    <n v="336000"/>
  </r>
  <r>
    <x v="339"/>
    <x v="11"/>
    <x v="11"/>
    <x v="1"/>
    <x v="2"/>
    <s v="Retail"/>
    <s v="Online"/>
    <x v="9"/>
    <x v="1"/>
    <n v="220000"/>
    <n v="8"/>
    <x v="5"/>
    <n v="176000"/>
    <n v="1760000"/>
    <n v="1408000"/>
    <n v="352000"/>
  </r>
  <r>
    <x v="340"/>
    <x v="11"/>
    <x v="11"/>
    <x v="3"/>
    <x v="1"/>
    <s v="Corporate"/>
    <s v="Store"/>
    <x v="0"/>
    <x v="0"/>
    <n v="85000"/>
    <n v="5"/>
    <x v="0"/>
    <n v="68000"/>
    <n v="425000"/>
    <n v="340000"/>
    <n v="85000"/>
  </r>
  <r>
    <x v="341"/>
    <x v="11"/>
    <x v="11"/>
    <x v="0"/>
    <x v="1"/>
    <s v="Retail"/>
    <s v="Online"/>
    <x v="5"/>
    <x v="0"/>
    <n v="320000"/>
    <n v="7"/>
    <x v="2"/>
    <n v="256000"/>
    <n v="2240000"/>
    <n v="1792000"/>
    <n v="448000"/>
  </r>
  <r>
    <x v="342"/>
    <x v="11"/>
    <x v="11"/>
    <x v="2"/>
    <x v="1"/>
    <s v="Corporate"/>
    <s v="Store"/>
    <x v="4"/>
    <x v="1"/>
    <n v="180000"/>
    <n v="6"/>
    <x v="0"/>
    <n v="144000"/>
    <n v="1080000"/>
    <n v="864000"/>
    <n v="216000"/>
  </r>
  <r>
    <x v="343"/>
    <x v="11"/>
    <x v="11"/>
    <x v="1"/>
    <x v="3"/>
    <s v="Corporate"/>
    <s v="Online"/>
    <x v="2"/>
    <x v="1"/>
    <n v="60000"/>
    <n v="2"/>
    <x v="4"/>
    <n v="48000"/>
    <n v="120000"/>
    <n v="96000"/>
    <n v="24000"/>
  </r>
  <r>
    <x v="344"/>
    <x v="11"/>
    <x v="11"/>
    <x v="0"/>
    <x v="3"/>
    <s v="Corporate"/>
    <s v="Store"/>
    <x v="4"/>
    <x v="1"/>
    <n v="180000"/>
    <n v="5"/>
    <x v="1"/>
    <n v="144000"/>
    <n v="900000"/>
    <n v="720000"/>
    <n v="180000"/>
  </r>
  <r>
    <x v="345"/>
    <x v="11"/>
    <x v="11"/>
    <x v="1"/>
    <x v="3"/>
    <s v="Corporate"/>
    <s v="Store"/>
    <x v="6"/>
    <x v="2"/>
    <n v="150000"/>
    <n v="6"/>
    <x v="4"/>
    <n v="120000"/>
    <n v="900000"/>
    <n v="720000"/>
    <n v="180000"/>
  </r>
  <r>
    <x v="346"/>
    <x v="11"/>
    <x v="11"/>
    <x v="1"/>
    <x v="0"/>
    <s v="Corporate"/>
    <s v="Store"/>
    <x v="1"/>
    <x v="1"/>
    <n v="30000"/>
    <n v="2"/>
    <x v="4"/>
    <n v="24000"/>
    <n v="60000"/>
    <n v="48000"/>
    <n v="12000"/>
  </r>
  <r>
    <x v="347"/>
    <x v="0"/>
    <x v="0"/>
    <x v="3"/>
    <x v="0"/>
    <s v="Retail"/>
    <s v="Online"/>
    <x v="8"/>
    <x v="2"/>
    <n v="250000"/>
    <n v="9"/>
    <x v="4"/>
    <n v="200000"/>
    <n v="2250000"/>
    <n v="1800000"/>
    <n v="450000"/>
  </r>
  <r>
    <x v="348"/>
    <x v="0"/>
    <x v="0"/>
    <x v="0"/>
    <x v="2"/>
    <s v="Retail"/>
    <s v="Store"/>
    <x v="2"/>
    <x v="1"/>
    <n v="60000"/>
    <n v="4"/>
    <x v="1"/>
    <n v="48000"/>
    <n v="240000"/>
    <n v="192000"/>
    <n v="48000"/>
  </r>
  <r>
    <x v="349"/>
    <x v="0"/>
    <x v="0"/>
    <x v="1"/>
    <x v="0"/>
    <s v="Retail"/>
    <s v="Online"/>
    <x v="6"/>
    <x v="2"/>
    <n v="150000"/>
    <n v="9"/>
    <x v="4"/>
    <n v="120000"/>
    <n v="1350000"/>
    <n v="1080000"/>
    <n v="270000"/>
  </r>
  <r>
    <x v="350"/>
    <x v="0"/>
    <x v="0"/>
    <x v="3"/>
    <x v="1"/>
    <s v="Corporate"/>
    <s v="Store"/>
    <x v="4"/>
    <x v="1"/>
    <n v="180000"/>
    <n v="3"/>
    <x v="0"/>
    <n v="144000"/>
    <n v="540000"/>
    <n v="432000"/>
    <n v="108000"/>
  </r>
  <r>
    <x v="351"/>
    <x v="0"/>
    <x v="0"/>
    <x v="0"/>
    <x v="0"/>
    <s v="Retail"/>
    <s v="Online"/>
    <x v="4"/>
    <x v="1"/>
    <n v="180000"/>
    <n v="10"/>
    <x v="0"/>
    <n v="144000"/>
    <n v="1800000"/>
    <n v="1440000"/>
    <n v="360000"/>
  </r>
  <r>
    <x v="352"/>
    <x v="0"/>
    <x v="0"/>
    <x v="1"/>
    <x v="1"/>
    <s v="Retail"/>
    <s v="Online"/>
    <x v="9"/>
    <x v="1"/>
    <n v="220000"/>
    <n v="2"/>
    <x v="0"/>
    <n v="176000"/>
    <n v="440000"/>
    <n v="352000"/>
    <n v="88000"/>
  </r>
  <r>
    <x v="353"/>
    <x v="0"/>
    <x v="0"/>
    <x v="3"/>
    <x v="0"/>
    <s v="Corporate"/>
    <s v="Online"/>
    <x v="7"/>
    <x v="2"/>
    <n v="420000"/>
    <n v="10"/>
    <x v="2"/>
    <n v="336000"/>
    <n v="4200000"/>
    <n v="3360000"/>
    <n v="840000"/>
  </r>
  <r>
    <x v="354"/>
    <x v="0"/>
    <x v="0"/>
    <x v="0"/>
    <x v="0"/>
    <s v="Retail"/>
    <s v="Store"/>
    <x v="1"/>
    <x v="1"/>
    <n v="30000"/>
    <n v="9"/>
    <x v="5"/>
    <n v="24000"/>
    <n v="270000"/>
    <n v="216000"/>
    <n v="54000"/>
  </r>
  <r>
    <x v="355"/>
    <x v="0"/>
    <x v="0"/>
    <x v="0"/>
    <x v="3"/>
    <s v="Corporate"/>
    <s v="Online"/>
    <x v="5"/>
    <x v="0"/>
    <n v="320000"/>
    <n v="6"/>
    <x v="3"/>
    <n v="256000"/>
    <n v="1920000"/>
    <n v="1536000"/>
    <n v="384000"/>
  </r>
  <r>
    <x v="356"/>
    <x v="0"/>
    <x v="0"/>
    <x v="0"/>
    <x v="3"/>
    <s v="Retail"/>
    <s v="Store"/>
    <x v="7"/>
    <x v="2"/>
    <n v="420000"/>
    <n v="2"/>
    <x v="5"/>
    <n v="336000"/>
    <n v="840000"/>
    <n v="672000"/>
    <n v="168000"/>
  </r>
  <r>
    <x v="357"/>
    <x v="0"/>
    <x v="0"/>
    <x v="2"/>
    <x v="2"/>
    <s v="Corporate"/>
    <s v="Online"/>
    <x v="5"/>
    <x v="0"/>
    <n v="320000"/>
    <n v="10"/>
    <x v="3"/>
    <n v="256000"/>
    <n v="3200000"/>
    <n v="2560000"/>
    <n v="640000"/>
  </r>
  <r>
    <x v="358"/>
    <x v="0"/>
    <x v="0"/>
    <x v="1"/>
    <x v="2"/>
    <s v="Corporate"/>
    <s v="Store"/>
    <x v="3"/>
    <x v="2"/>
    <n v="300000"/>
    <n v="8"/>
    <x v="5"/>
    <n v="240000"/>
    <n v="2400000"/>
    <n v="1920000"/>
    <n v="480000"/>
  </r>
  <r>
    <x v="359"/>
    <x v="0"/>
    <x v="0"/>
    <x v="1"/>
    <x v="0"/>
    <s v="Corporate"/>
    <s v="Online"/>
    <x v="2"/>
    <x v="1"/>
    <n v="60000"/>
    <n v="1"/>
    <x v="1"/>
    <n v="48000"/>
    <n v="60000"/>
    <n v="48000"/>
    <n v="12000"/>
  </r>
  <r>
    <x v="360"/>
    <x v="0"/>
    <x v="0"/>
    <x v="2"/>
    <x v="1"/>
    <s v="Corporate"/>
    <s v="Online"/>
    <x v="0"/>
    <x v="0"/>
    <n v="85000"/>
    <n v="3"/>
    <x v="1"/>
    <n v="68000"/>
    <n v="255000"/>
    <n v="204000"/>
    <n v="51000"/>
  </r>
  <r>
    <x v="361"/>
    <x v="0"/>
    <x v="0"/>
    <x v="1"/>
    <x v="2"/>
    <s v="Corporate"/>
    <s v="Store"/>
    <x v="1"/>
    <x v="1"/>
    <n v="30000"/>
    <n v="10"/>
    <x v="0"/>
    <n v="24000"/>
    <n v="300000"/>
    <n v="240000"/>
    <n v="60000"/>
  </r>
  <r>
    <x v="362"/>
    <x v="0"/>
    <x v="0"/>
    <x v="1"/>
    <x v="2"/>
    <s v="Corporate"/>
    <s v="Online"/>
    <x v="1"/>
    <x v="1"/>
    <n v="30000"/>
    <n v="4"/>
    <x v="3"/>
    <n v="24000"/>
    <n v="120000"/>
    <n v="96000"/>
    <n v="24000"/>
  </r>
  <r>
    <x v="363"/>
    <x v="0"/>
    <x v="0"/>
    <x v="2"/>
    <x v="3"/>
    <s v="Corporate"/>
    <s v="Store"/>
    <x v="6"/>
    <x v="2"/>
    <n v="150000"/>
    <n v="3"/>
    <x v="1"/>
    <n v="120000"/>
    <n v="450000"/>
    <n v="360000"/>
    <n v="90000"/>
  </r>
  <r>
    <x v="364"/>
    <x v="0"/>
    <x v="0"/>
    <x v="0"/>
    <x v="0"/>
    <s v="Corporate"/>
    <s v="Online"/>
    <x v="6"/>
    <x v="2"/>
    <n v="150000"/>
    <n v="3"/>
    <x v="0"/>
    <n v="120000"/>
    <n v="450000"/>
    <n v="360000"/>
    <n v="90000"/>
  </r>
  <r>
    <x v="365"/>
    <x v="0"/>
    <x v="0"/>
    <x v="1"/>
    <x v="2"/>
    <s v="Corporate"/>
    <s v="Store"/>
    <x v="0"/>
    <x v="0"/>
    <n v="85000"/>
    <n v="8"/>
    <x v="0"/>
    <n v="68000"/>
    <n v="680000"/>
    <n v="544000"/>
    <n v="136000"/>
  </r>
  <r>
    <x v="366"/>
    <x v="0"/>
    <x v="0"/>
    <x v="2"/>
    <x v="2"/>
    <s v="Corporate"/>
    <s v="Online"/>
    <x v="7"/>
    <x v="2"/>
    <n v="420000"/>
    <n v="7"/>
    <x v="0"/>
    <n v="336000"/>
    <n v="2940000"/>
    <n v="2352000"/>
    <n v="588000"/>
  </r>
  <r>
    <x v="367"/>
    <x v="0"/>
    <x v="0"/>
    <x v="1"/>
    <x v="3"/>
    <s v="Corporate"/>
    <s v="Store"/>
    <x v="6"/>
    <x v="2"/>
    <n v="150000"/>
    <n v="3"/>
    <x v="1"/>
    <n v="120000"/>
    <n v="450000"/>
    <n v="360000"/>
    <n v="90000"/>
  </r>
  <r>
    <x v="368"/>
    <x v="0"/>
    <x v="0"/>
    <x v="0"/>
    <x v="3"/>
    <s v="Corporate"/>
    <s v="Store"/>
    <x v="5"/>
    <x v="0"/>
    <n v="320000"/>
    <n v="1"/>
    <x v="2"/>
    <n v="256000"/>
    <n v="320000"/>
    <n v="256000"/>
    <n v="64000"/>
  </r>
  <r>
    <x v="369"/>
    <x v="0"/>
    <x v="0"/>
    <x v="1"/>
    <x v="3"/>
    <s v="Corporate"/>
    <s v="Online"/>
    <x v="4"/>
    <x v="1"/>
    <n v="180000"/>
    <n v="5"/>
    <x v="0"/>
    <n v="144000"/>
    <n v="900000"/>
    <n v="720000"/>
    <n v="180000"/>
  </r>
  <r>
    <x v="370"/>
    <x v="0"/>
    <x v="0"/>
    <x v="3"/>
    <x v="2"/>
    <s v="Corporate"/>
    <s v="Store"/>
    <x v="3"/>
    <x v="2"/>
    <n v="300000"/>
    <n v="1"/>
    <x v="2"/>
    <n v="240000"/>
    <n v="300000"/>
    <n v="240000"/>
    <n v="60000"/>
  </r>
  <r>
    <x v="371"/>
    <x v="0"/>
    <x v="0"/>
    <x v="1"/>
    <x v="0"/>
    <s v="Corporate"/>
    <s v="Online"/>
    <x v="4"/>
    <x v="1"/>
    <n v="180000"/>
    <n v="8"/>
    <x v="4"/>
    <n v="144000"/>
    <n v="1440000"/>
    <n v="1152000"/>
    <n v="288000"/>
  </r>
  <r>
    <x v="372"/>
    <x v="0"/>
    <x v="0"/>
    <x v="2"/>
    <x v="2"/>
    <s v="Corporate"/>
    <s v="Online"/>
    <x v="4"/>
    <x v="1"/>
    <n v="180000"/>
    <n v="3"/>
    <x v="3"/>
    <n v="144000"/>
    <n v="540000"/>
    <n v="432000"/>
    <n v="108000"/>
  </r>
  <r>
    <x v="373"/>
    <x v="0"/>
    <x v="0"/>
    <x v="0"/>
    <x v="3"/>
    <s v="Corporate"/>
    <s v="Store"/>
    <x v="5"/>
    <x v="0"/>
    <n v="320000"/>
    <n v="6"/>
    <x v="5"/>
    <n v="256000"/>
    <n v="1920000"/>
    <n v="1536000"/>
    <n v="384000"/>
  </r>
  <r>
    <x v="374"/>
    <x v="0"/>
    <x v="0"/>
    <x v="0"/>
    <x v="3"/>
    <s v="Corporate"/>
    <s v="Store"/>
    <x v="2"/>
    <x v="1"/>
    <n v="60000"/>
    <n v="10"/>
    <x v="0"/>
    <n v="48000"/>
    <n v="600000"/>
    <n v="480000"/>
    <n v="120000"/>
  </r>
  <r>
    <x v="375"/>
    <x v="0"/>
    <x v="0"/>
    <x v="2"/>
    <x v="1"/>
    <s v="Corporate"/>
    <s v="Store"/>
    <x v="3"/>
    <x v="2"/>
    <n v="300000"/>
    <n v="1"/>
    <x v="4"/>
    <n v="240000"/>
    <n v="300000"/>
    <n v="240000"/>
    <n v="60000"/>
  </r>
  <r>
    <x v="376"/>
    <x v="0"/>
    <x v="0"/>
    <x v="0"/>
    <x v="1"/>
    <s v="Corporate"/>
    <s v="Online"/>
    <x v="4"/>
    <x v="1"/>
    <n v="180000"/>
    <n v="1"/>
    <x v="1"/>
    <n v="144000"/>
    <n v="180000"/>
    <n v="144000"/>
    <n v="36000"/>
  </r>
  <r>
    <x v="377"/>
    <x v="0"/>
    <x v="0"/>
    <x v="1"/>
    <x v="1"/>
    <s v="Retail"/>
    <s v="Store"/>
    <x v="9"/>
    <x v="1"/>
    <n v="220000"/>
    <n v="8"/>
    <x v="4"/>
    <n v="176000"/>
    <n v="1760000"/>
    <n v="1408000"/>
    <n v="352000"/>
  </r>
  <r>
    <x v="378"/>
    <x v="1"/>
    <x v="1"/>
    <x v="3"/>
    <x v="1"/>
    <s v="Corporate"/>
    <s v="Store"/>
    <x v="0"/>
    <x v="0"/>
    <n v="85000"/>
    <n v="7"/>
    <x v="2"/>
    <n v="68000"/>
    <n v="595000"/>
    <n v="476000"/>
    <n v="119000"/>
  </r>
  <r>
    <x v="379"/>
    <x v="1"/>
    <x v="1"/>
    <x v="0"/>
    <x v="0"/>
    <s v="Retail"/>
    <s v="Store"/>
    <x v="4"/>
    <x v="1"/>
    <n v="180000"/>
    <n v="9"/>
    <x v="5"/>
    <n v="144000"/>
    <n v="1620000"/>
    <n v="1296000"/>
    <n v="324000"/>
  </r>
  <r>
    <x v="380"/>
    <x v="1"/>
    <x v="1"/>
    <x v="3"/>
    <x v="0"/>
    <s v="Corporate"/>
    <s v="Online"/>
    <x v="5"/>
    <x v="0"/>
    <n v="320000"/>
    <n v="3"/>
    <x v="3"/>
    <n v="256000"/>
    <n v="960000"/>
    <n v="768000"/>
    <n v="192000"/>
  </r>
  <r>
    <x v="381"/>
    <x v="1"/>
    <x v="1"/>
    <x v="3"/>
    <x v="0"/>
    <s v="Corporate"/>
    <s v="Online"/>
    <x v="6"/>
    <x v="2"/>
    <n v="150000"/>
    <n v="4"/>
    <x v="0"/>
    <n v="120000"/>
    <n v="600000"/>
    <n v="480000"/>
    <n v="120000"/>
  </r>
  <r>
    <x v="382"/>
    <x v="1"/>
    <x v="1"/>
    <x v="1"/>
    <x v="1"/>
    <s v="Retail"/>
    <s v="Online"/>
    <x v="9"/>
    <x v="1"/>
    <n v="220000"/>
    <n v="10"/>
    <x v="5"/>
    <n v="176000"/>
    <n v="2200000"/>
    <n v="1760000"/>
    <n v="440000"/>
  </r>
  <r>
    <x v="383"/>
    <x v="1"/>
    <x v="1"/>
    <x v="2"/>
    <x v="0"/>
    <s v="Corporate"/>
    <s v="Online"/>
    <x v="6"/>
    <x v="2"/>
    <n v="150000"/>
    <n v="6"/>
    <x v="0"/>
    <n v="120000"/>
    <n v="900000"/>
    <n v="720000"/>
    <n v="180000"/>
  </r>
  <r>
    <x v="384"/>
    <x v="1"/>
    <x v="1"/>
    <x v="0"/>
    <x v="1"/>
    <s v="Corporate"/>
    <s v="Store"/>
    <x v="4"/>
    <x v="1"/>
    <n v="180000"/>
    <n v="1"/>
    <x v="2"/>
    <n v="144000"/>
    <n v="180000"/>
    <n v="144000"/>
    <n v="36000"/>
  </r>
  <r>
    <x v="385"/>
    <x v="1"/>
    <x v="1"/>
    <x v="1"/>
    <x v="2"/>
    <s v="Retail"/>
    <s v="Online"/>
    <x v="1"/>
    <x v="1"/>
    <n v="30000"/>
    <n v="2"/>
    <x v="3"/>
    <n v="24000"/>
    <n v="60000"/>
    <n v="48000"/>
    <n v="12000"/>
  </r>
  <r>
    <x v="386"/>
    <x v="1"/>
    <x v="1"/>
    <x v="3"/>
    <x v="3"/>
    <s v="Corporate"/>
    <s v="Online"/>
    <x v="5"/>
    <x v="0"/>
    <n v="320000"/>
    <n v="7"/>
    <x v="0"/>
    <n v="256000"/>
    <n v="2240000"/>
    <n v="1792000"/>
    <n v="448000"/>
  </r>
  <r>
    <x v="387"/>
    <x v="1"/>
    <x v="1"/>
    <x v="3"/>
    <x v="2"/>
    <s v="Retail"/>
    <s v="Store"/>
    <x v="0"/>
    <x v="0"/>
    <n v="85000"/>
    <n v="10"/>
    <x v="1"/>
    <n v="68000"/>
    <n v="850000"/>
    <n v="680000"/>
    <n v="170000"/>
  </r>
  <r>
    <x v="388"/>
    <x v="1"/>
    <x v="1"/>
    <x v="1"/>
    <x v="0"/>
    <s v="Corporate"/>
    <s v="Online"/>
    <x v="4"/>
    <x v="1"/>
    <n v="180000"/>
    <n v="7"/>
    <x v="2"/>
    <n v="144000"/>
    <n v="1260000"/>
    <n v="1008000"/>
    <n v="252000"/>
  </r>
  <r>
    <x v="389"/>
    <x v="1"/>
    <x v="1"/>
    <x v="2"/>
    <x v="1"/>
    <s v="Retail"/>
    <s v="Online"/>
    <x v="7"/>
    <x v="2"/>
    <n v="420000"/>
    <n v="5"/>
    <x v="3"/>
    <n v="336000"/>
    <n v="2100000"/>
    <n v="1680000"/>
    <n v="420000"/>
  </r>
  <r>
    <x v="390"/>
    <x v="1"/>
    <x v="1"/>
    <x v="2"/>
    <x v="3"/>
    <s v="Corporate"/>
    <s v="Store"/>
    <x v="5"/>
    <x v="0"/>
    <n v="320000"/>
    <n v="8"/>
    <x v="1"/>
    <n v="256000"/>
    <n v="2560000"/>
    <n v="2048000"/>
    <n v="512000"/>
  </r>
  <r>
    <x v="391"/>
    <x v="1"/>
    <x v="1"/>
    <x v="1"/>
    <x v="2"/>
    <s v="Corporate"/>
    <s v="Store"/>
    <x v="4"/>
    <x v="1"/>
    <n v="180000"/>
    <n v="5"/>
    <x v="2"/>
    <n v="144000"/>
    <n v="900000"/>
    <n v="720000"/>
    <n v="180000"/>
  </r>
  <r>
    <x v="392"/>
    <x v="1"/>
    <x v="1"/>
    <x v="3"/>
    <x v="0"/>
    <s v="Corporate"/>
    <s v="Store"/>
    <x v="7"/>
    <x v="2"/>
    <n v="420000"/>
    <n v="2"/>
    <x v="0"/>
    <n v="336000"/>
    <n v="840000"/>
    <n v="672000"/>
    <n v="168000"/>
  </r>
  <r>
    <x v="393"/>
    <x v="1"/>
    <x v="1"/>
    <x v="3"/>
    <x v="2"/>
    <s v="Retail"/>
    <s v="Online"/>
    <x v="3"/>
    <x v="2"/>
    <n v="300000"/>
    <n v="8"/>
    <x v="1"/>
    <n v="240000"/>
    <n v="2400000"/>
    <n v="1920000"/>
    <n v="480000"/>
  </r>
  <r>
    <x v="394"/>
    <x v="1"/>
    <x v="1"/>
    <x v="1"/>
    <x v="2"/>
    <s v="Retail"/>
    <s v="Online"/>
    <x v="5"/>
    <x v="0"/>
    <n v="320000"/>
    <n v="1"/>
    <x v="1"/>
    <n v="256000"/>
    <n v="320000"/>
    <n v="256000"/>
    <n v="64000"/>
  </r>
  <r>
    <x v="395"/>
    <x v="1"/>
    <x v="1"/>
    <x v="1"/>
    <x v="2"/>
    <s v="Retail"/>
    <s v="Online"/>
    <x v="7"/>
    <x v="2"/>
    <n v="420000"/>
    <n v="9"/>
    <x v="0"/>
    <n v="336000"/>
    <n v="3780000"/>
    <n v="3024000"/>
    <n v="756000"/>
  </r>
  <r>
    <x v="396"/>
    <x v="1"/>
    <x v="1"/>
    <x v="1"/>
    <x v="3"/>
    <s v="Corporate"/>
    <s v="Store"/>
    <x v="0"/>
    <x v="0"/>
    <n v="85000"/>
    <n v="8"/>
    <x v="5"/>
    <n v="68000"/>
    <n v="680000"/>
    <n v="544000"/>
    <n v="136000"/>
  </r>
  <r>
    <x v="397"/>
    <x v="1"/>
    <x v="1"/>
    <x v="3"/>
    <x v="0"/>
    <s v="Corporate"/>
    <s v="Store"/>
    <x v="7"/>
    <x v="2"/>
    <n v="420000"/>
    <n v="10"/>
    <x v="3"/>
    <n v="336000"/>
    <n v="4200000"/>
    <n v="3360000"/>
    <n v="840000"/>
  </r>
  <r>
    <x v="398"/>
    <x v="1"/>
    <x v="1"/>
    <x v="1"/>
    <x v="0"/>
    <s v="Retail"/>
    <s v="Store"/>
    <x v="8"/>
    <x v="2"/>
    <n v="250000"/>
    <n v="1"/>
    <x v="3"/>
    <n v="200000"/>
    <n v="250000"/>
    <n v="200000"/>
    <n v="50000"/>
  </r>
  <r>
    <x v="399"/>
    <x v="1"/>
    <x v="1"/>
    <x v="1"/>
    <x v="3"/>
    <s v="Corporate"/>
    <s v="Online"/>
    <x v="9"/>
    <x v="1"/>
    <n v="220000"/>
    <n v="5"/>
    <x v="5"/>
    <n v="176000"/>
    <n v="1100000"/>
    <n v="880000"/>
    <n v="220000"/>
  </r>
  <r>
    <x v="400"/>
    <x v="1"/>
    <x v="1"/>
    <x v="3"/>
    <x v="1"/>
    <s v="Retail"/>
    <s v="Online"/>
    <x v="3"/>
    <x v="2"/>
    <n v="300000"/>
    <n v="1"/>
    <x v="0"/>
    <n v="240000"/>
    <n v="300000"/>
    <n v="240000"/>
    <n v="60000"/>
  </r>
  <r>
    <x v="401"/>
    <x v="1"/>
    <x v="1"/>
    <x v="3"/>
    <x v="2"/>
    <s v="Corporate"/>
    <s v="Store"/>
    <x v="2"/>
    <x v="1"/>
    <n v="60000"/>
    <n v="6"/>
    <x v="4"/>
    <n v="48000"/>
    <n v="360000"/>
    <n v="288000"/>
    <n v="72000"/>
  </r>
  <r>
    <x v="402"/>
    <x v="1"/>
    <x v="1"/>
    <x v="2"/>
    <x v="3"/>
    <s v="Retail"/>
    <s v="Online"/>
    <x v="2"/>
    <x v="1"/>
    <n v="60000"/>
    <n v="8"/>
    <x v="1"/>
    <n v="48000"/>
    <n v="480000"/>
    <n v="384000"/>
    <n v="96000"/>
  </r>
  <r>
    <x v="403"/>
    <x v="1"/>
    <x v="1"/>
    <x v="2"/>
    <x v="2"/>
    <s v="Retail"/>
    <s v="Store"/>
    <x v="9"/>
    <x v="1"/>
    <n v="220000"/>
    <n v="3"/>
    <x v="4"/>
    <n v="176000"/>
    <n v="660000"/>
    <n v="528000"/>
    <n v="132000"/>
  </r>
  <r>
    <x v="404"/>
    <x v="1"/>
    <x v="1"/>
    <x v="3"/>
    <x v="3"/>
    <s v="Retail"/>
    <s v="Online"/>
    <x v="2"/>
    <x v="1"/>
    <n v="60000"/>
    <n v="1"/>
    <x v="3"/>
    <n v="48000"/>
    <n v="60000"/>
    <n v="48000"/>
    <n v="12000"/>
  </r>
  <r>
    <x v="405"/>
    <x v="1"/>
    <x v="1"/>
    <x v="1"/>
    <x v="1"/>
    <s v="Corporate"/>
    <s v="Online"/>
    <x v="6"/>
    <x v="2"/>
    <n v="150000"/>
    <n v="1"/>
    <x v="2"/>
    <n v="120000"/>
    <n v="150000"/>
    <n v="120000"/>
    <n v="30000"/>
  </r>
  <r>
    <x v="406"/>
    <x v="2"/>
    <x v="2"/>
    <x v="0"/>
    <x v="2"/>
    <s v="Corporate"/>
    <s v="Online"/>
    <x v="5"/>
    <x v="0"/>
    <n v="320000"/>
    <n v="7"/>
    <x v="5"/>
    <n v="256000"/>
    <n v="2240000"/>
    <n v="1792000"/>
    <n v="448000"/>
  </r>
  <r>
    <x v="407"/>
    <x v="2"/>
    <x v="2"/>
    <x v="2"/>
    <x v="2"/>
    <s v="Retail"/>
    <s v="Store"/>
    <x v="0"/>
    <x v="0"/>
    <n v="85000"/>
    <n v="10"/>
    <x v="2"/>
    <n v="68000"/>
    <n v="850000"/>
    <n v="680000"/>
    <n v="170000"/>
  </r>
  <r>
    <x v="408"/>
    <x v="2"/>
    <x v="2"/>
    <x v="0"/>
    <x v="0"/>
    <s v="Corporate"/>
    <s v="Online"/>
    <x v="6"/>
    <x v="2"/>
    <n v="150000"/>
    <n v="10"/>
    <x v="0"/>
    <n v="120000"/>
    <n v="1500000"/>
    <n v="1200000"/>
    <n v="300000"/>
  </r>
  <r>
    <x v="409"/>
    <x v="2"/>
    <x v="2"/>
    <x v="2"/>
    <x v="1"/>
    <s v="Corporate"/>
    <s v="Online"/>
    <x v="2"/>
    <x v="1"/>
    <n v="60000"/>
    <n v="2"/>
    <x v="2"/>
    <n v="48000"/>
    <n v="120000"/>
    <n v="96000"/>
    <n v="24000"/>
  </r>
  <r>
    <x v="410"/>
    <x v="2"/>
    <x v="2"/>
    <x v="3"/>
    <x v="3"/>
    <s v="Corporate"/>
    <s v="Online"/>
    <x v="3"/>
    <x v="2"/>
    <n v="300000"/>
    <n v="6"/>
    <x v="0"/>
    <n v="240000"/>
    <n v="1800000"/>
    <n v="1440000"/>
    <n v="360000"/>
  </r>
  <r>
    <x v="411"/>
    <x v="2"/>
    <x v="2"/>
    <x v="1"/>
    <x v="2"/>
    <s v="Retail"/>
    <s v="Online"/>
    <x v="6"/>
    <x v="2"/>
    <n v="150000"/>
    <n v="3"/>
    <x v="4"/>
    <n v="120000"/>
    <n v="450000"/>
    <n v="360000"/>
    <n v="90000"/>
  </r>
  <r>
    <x v="412"/>
    <x v="2"/>
    <x v="2"/>
    <x v="0"/>
    <x v="0"/>
    <s v="Corporate"/>
    <s v="Online"/>
    <x v="1"/>
    <x v="1"/>
    <n v="30000"/>
    <n v="2"/>
    <x v="1"/>
    <n v="24000"/>
    <n v="60000"/>
    <n v="48000"/>
    <n v="12000"/>
  </r>
  <r>
    <x v="413"/>
    <x v="2"/>
    <x v="2"/>
    <x v="1"/>
    <x v="1"/>
    <s v="Retail"/>
    <s v="Online"/>
    <x v="4"/>
    <x v="1"/>
    <n v="180000"/>
    <n v="2"/>
    <x v="4"/>
    <n v="144000"/>
    <n v="360000"/>
    <n v="288000"/>
    <n v="72000"/>
  </r>
  <r>
    <x v="414"/>
    <x v="2"/>
    <x v="2"/>
    <x v="0"/>
    <x v="2"/>
    <s v="Corporate"/>
    <s v="Online"/>
    <x v="5"/>
    <x v="0"/>
    <n v="320000"/>
    <n v="3"/>
    <x v="2"/>
    <n v="256000"/>
    <n v="960000"/>
    <n v="768000"/>
    <n v="192000"/>
  </r>
  <r>
    <x v="415"/>
    <x v="2"/>
    <x v="2"/>
    <x v="2"/>
    <x v="2"/>
    <s v="Corporate"/>
    <s v="Store"/>
    <x v="1"/>
    <x v="1"/>
    <n v="30000"/>
    <n v="3"/>
    <x v="4"/>
    <n v="24000"/>
    <n v="90000"/>
    <n v="72000"/>
    <n v="18000"/>
  </r>
  <r>
    <x v="416"/>
    <x v="2"/>
    <x v="2"/>
    <x v="0"/>
    <x v="3"/>
    <s v="Retail"/>
    <s v="Store"/>
    <x v="0"/>
    <x v="0"/>
    <n v="85000"/>
    <n v="3"/>
    <x v="3"/>
    <n v="68000"/>
    <n v="255000"/>
    <n v="204000"/>
    <n v="51000"/>
  </r>
  <r>
    <x v="417"/>
    <x v="2"/>
    <x v="2"/>
    <x v="3"/>
    <x v="2"/>
    <s v="Retail"/>
    <s v="Store"/>
    <x v="0"/>
    <x v="0"/>
    <n v="85000"/>
    <n v="10"/>
    <x v="4"/>
    <n v="68000"/>
    <n v="850000"/>
    <n v="680000"/>
    <n v="170000"/>
  </r>
  <r>
    <x v="418"/>
    <x v="2"/>
    <x v="2"/>
    <x v="1"/>
    <x v="0"/>
    <s v="Corporate"/>
    <s v="Store"/>
    <x v="4"/>
    <x v="1"/>
    <n v="180000"/>
    <n v="10"/>
    <x v="0"/>
    <n v="144000"/>
    <n v="1800000"/>
    <n v="1440000"/>
    <n v="360000"/>
  </r>
  <r>
    <x v="419"/>
    <x v="2"/>
    <x v="2"/>
    <x v="0"/>
    <x v="1"/>
    <s v="Retail"/>
    <s v="Store"/>
    <x v="9"/>
    <x v="1"/>
    <n v="220000"/>
    <n v="9"/>
    <x v="2"/>
    <n v="176000"/>
    <n v="1980000"/>
    <n v="1584000"/>
    <n v="396000"/>
  </r>
  <r>
    <x v="420"/>
    <x v="2"/>
    <x v="2"/>
    <x v="0"/>
    <x v="3"/>
    <s v="Corporate"/>
    <s v="Store"/>
    <x v="7"/>
    <x v="2"/>
    <n v="420000"/>
    <n v="9"/>
    <x v="2"/>
    <n v="336000"/>
    <n v="3780000"/>
    <n v="3024000"/>
    <n v="756000"/>
  </r>
  <r>
    <x v="421"/>
    <x v="2"/>
    <x v="2"/>
    <x v="1"/>
    <x v="0"/>
    <s v="Corporate"/>
    <s v="Online"/>
    <x v="4"/>
    <x v="1"/>
    <n v="180000"/>
    <n v="2"/>
    <x v="4"/>
    <n v="144000"/>
    <n v="360000"/>
    <n v="288000"/>
    <n v="72000"/>
  </r>
  <r>
    <x v="422"/>
    <x v="2"/>
    <x v="2"/>
    <x v="0"/>
    <x v="1"/>
    <s v="Corporate"/>
    <s v="Online"/>
    <x v="3"/>
    <x v="2"/>
    <n v="300000"/>
    <n v="3"/>
    <x v="1"/>
    <n v="240000"/>
    <n v="900000"/>
    <n v="720000"/>
    <n v="180000"/>
  </r>
  <r>
    <x v="423"/>
    <x v="2"/>
    <x v="2"/>
    <x v="3"/>
    <x v="2"/>
    <s v="Corporate"/>
    <s v="Online"/>
    <x v="4"/>
    <x v="1"/>
    <n v="180000"/>
    <n v="1"/>
    <x v="5"/>
    <n v="144000"/>
    <n v="180000"/>
    <n v="144000"/>
    <n v="36000"/>
  </r>
  <r>
    <x v="424"/>
    <x v="2"/>
    <x v="2"/>
    <x v="3"/>
    <x v="1"/>
    <s v="Retail"/>
    <s v="Store"/>
    <x v="5"/>
    <x v="0"/>
    <n v="320000"/>
    <n v="9"/>
    <x v="3"/>
    <n v="256000"/>
    <n v="2880000"/>
    <n v="2304000"/>
    <n v="576000"/>
  </r>
  <r>
    <x v="425"/>
    <x v="2"/>
    <x v="2"/>
    <x v="3"/>
    <x v="0"/>
    <s v="Retail"/>
    <s v="Online"/>
    <x v="5"/>
    <x v="0"/>
    <n v="320000"/>
    <n v="5"/>
    <x v="1"/>
    <n v="256000"/>
    <n v="1600000"/>
    <n v="1280000"/>
    <n v="320000"/>
  </r>
  <r>
    <x v="426"/>
    <x v="2"/>
    <x v="2"/>
    <x v="3"/>
    <x v="3"/>
    <s v="Retail"/>
    <s v="Online"/>
    <x v="2"/>
    <x v="1"/>
    <n v="60000"/>
    <n v="8"/>
    <x v="5"/>
    <n v="48000"/>
    <n v="480000"/>
    <n v="384000"/>
    <n v="96000"/>
  </r>
  <r>
    <x v="427"/>
    <x v="2"/>
    <x v="2"/>
    <x v="2"/>
    <x v="0"/>
    <s v="Corporate"/>
    <s v="Online"/>
    <x v="0"/>
    <x v="0"/>
    <n v="85000"/>
    <n v="8"/>
    <x v="1"/>
    <n v="68000"/>
    <n v="680000"/>
    <n v="544000"/>
    <n v="136000"/>
  </r>
  <r>
    <x v="428"/>
    <x v="2"/>
    <x v="2"/>
    <x v="1"/>
    <x v="0"/>
    <s v="Retail"/>
    <s v="Store"/>
    <x v="5"/>
    <x v="0"/>
    <n v="320000"/>
    <n v="5"/>
    <x v="1"/>
    <n v="256000"/>
    <n v="1600000"/>
    <n v="1280000"/>
    <n v="320000"/>
  </r>
  <r>
    <x v="429"/>
    <x v="2"/>
    <x v="2"/>
    <x v="3"/>
    <x v="2"/>
    <s v="Corporate"/>
    <s v="Online"/>
    <x v="6"/>
    <x v="2"/>
    <n v="150000"/>
    <n v="3"/>
    <x v="4"/>
    <n v="120000"/>
    <n v="450000"/>
    <n v="360000"/>
    <n v="90000"/>
  </r>
  <r>
    <x v="430"/>
    <x v="2"/>
    <x v="2"/>
    <x v="3"/>
    <x v="2"/>
    <s v="Retail"/>
    <s v="Store"/>
    <x v="6"/>
    <x v="2"/>
    <n v="150000"/>
    <n v="1"/>
    <x v="0"/>
    <n v="120000"/>
    <n v="150000"/>
    <n v="120000"/>
    <n v="30000"/>
  </r>
  <r>
    <x v="431"/>
    <x v="2"/>
    <x v="2"/>
    <x v="2"/>
    <x v="2"/>
    <s v="Corporate"/>
    <s v="Online"/>
    <x v="2"/>
    <x v="1"/>
    <n v="60000"/>
    <n v="7"/>
    <x v="1"/>
    <n v="48000"/>
    <n v="420000"/>
    <n v="336000"/>
    <n v="84000"/>
  </r>
  <r>
    <x v="432"/>
    <x v="2"/>
    <x v="2"/>
    <x v="0"/>
    <x v="0"/>
    <s v="Retail"/>
    <s v="Online"/>
    <x v="4"/>
    <x v="1"/>
    <n v="180000"/>
    <n v="1"/>
    <x v="1"/>
    <n v="144000"/>
    <n v="180000"/>
    <n v="144000"/>
    <n v="36000"/>
  </r>
  <r>
    <x v="433"/>
    <x v="2"/>
    <x v="2"/>
    <x v="2"/>
    <x v="0"/>
    <s v="Corporate"/>
    <s v="Online"/>
    <x v="4"/>
    <x v="1"/>
    <n v="180000"/>
    <n v="1"/>
    <x v="3"/>
    <n v="144000"/>
    <n v="180000"/>
    <n v="144000"/>
    <n v="36000"/>
  </r>
  <r>
    <x v="434"/>
    <x v="2"/>
    <x v="2"/>
    <x v="2"/>
    <x v="0"/>
    <s v="Retail"/>
    <s v="Store"/>
    <x v="8"/>
    <x v="2"/>
    <n v="250000"/>
    <n v="9"/>
    <x v="0"/>
    <n v="200000"/>
    <n v="2250000"/>
    <n v="1800000"/>
    <n v="450000"/>
  </r>
  <r>
    <x v="435"/>
    <x v="2"/>
    <x v="2"/>
    <x v="0"/>
    <x v="2"/>
    <s v="Corporate"/>
    <s v="Online"/>
    <x v="5"/>
    <x v="0"/>
    <n v="320000"/>
    <n v="1"/>
    <x v="1"/>
    <n v="256000"/>
    <n v="320000"/>
    <n v="256000"/>
    <n v="64000"/>
  </r>
  <r>
    <x v="436"/>
    <x v="2"/>
    <x v="2"/>
    <x v="2"/>
    <x v="1"/>
    <s v="Retail"/>
    <s v="Store"/>
    <x v="4"/>
    <x v="1"/>
    <n v="180000"/>
    <n v="10"/>
    <x v="0"/>
    <n v="144000"/>
    <n v="1800000"/>
    <n v="1440000"/>
    <n v="360000"/>
  </r>
  <r>
    <x v="437"/>
    <x v="3"/>
    <x v="3"/>
    <x v="1"/>
    <x v="2"/>
    <s v="Retail"/>
    <s v="Store"/>
    <x v="3"/>
    <x v="2"/>
    <n v="300000"/>
    <n v="10"/>
    <x v="3"/>
    <n v="240000"/>
    <n v="3000000"/>
    <n v="2400000"/>
    <n v="600000"/>
  </r>
  <r>
    <x v="438"/>
    <x v="3"/>
    <x v="3"/>
    <x v="2"/>
    <x v="0"/>
    <s v="Retail"/>
    <s v="Online"/>
    <x v="7"/>
    <x v="2"/>
    <n v="420000"/>
    <n v="4"/>
    <x v="4"/>
    <n v="336000"/>
    <n v="1680000"/>
    <n v="1344000"/>
    <n v="336000"/>
  </r>
  <r>
    <x v="439"/>
    <x v="3"/>
    <x v="3"/>
    <x v="0"/>
    <x v="0"/>
    <s v="Corporate"/>
    <s v="Store"/>
    <x v="1"/>
    <x v="1"/>
    <n v="30000"/>
    <n v="4"/>
    <x v="2"/>
    <n v="24000"/>
    <n v="120000"/>
    <n v="96000"/>
    <n v="24000"/>
  </r>
  <r>
    <x v="440"/>
    <x v="3"/>
    <x v="3"/>
    <x v="3"/>
    <x v="2"/>
    <s v="Retail"/>
    <s v="Online"/>
    <x v="1"/>
    <x v="1"/>
    <n v="30000"/>
    <n v="10"/>
    <x v="3"/>
    <n v="24000"/>
    <n v="300000"/>
    <n v="240000"/>
    <n v="60000"/>
  </r>
  <r>
    <x v="441"/>
    <x v="3"/>
    <x v="3"/>
    <x v="2"/>
    <x v="0"/>
    <s v="Corporate"/>
    <s v="Store"/>
    <x v="2"/>
    <x v="1"/>
    <n v="60000"/>
    <n v="7"/>
    <x v="0"/>
    <n v="48000"/>
    <n v="420000"/>
    <n v="336000"/>
    <n v="84000"/>
  </r>
  <r>
    <x v="442"/>
    <x v="3"/>
    <x v="3"/>
    <x v="3"/>
    <x v="0"/>
    <s v="Corporate"/>
    <s v="Store"/>
    <x v="4"/>
    <x v="1"/>
    <n v="180000"/>
    <n v="4"/>
    <x v="5"/>
    <n v="144000"/>
    <n v="720000"/>
    <n v="576000"/>
    <n v="144000"/>
  </r>
  <r>
    <x v="443"/>
    <x v="3"/>
    <x v="3"/>
    <x v="0"/>
    <x v="3"/>
    <s v="Retail"/>
    <s v="Store"/>
    <x v="1"/>
    <x v="1"/>
    <n v="30000"/>
    <n v="7"/>
    <x v="3"/>
    <n v="24000"/>
    <n v="210000"/>
    <n v="168000"/>
    <n v="42000"/>
  </r>
  <r>
    <x v="444"/>
    <x v="3"/>
    <x v="3"/>
    <x v="2"/>
    <x v="1"/>
    <s v="Corporate"/>
    <s v="Store"/>
    <x v="7"/>
    <x v="2"/>
    <n v="420000"/>
    <n v="10"/>
    <x v="0"/>
    <n v="336000"/>
    <n v="4200000"/>
    <n v="3360000"/>
    <n v="840000"/>
  </r>
  <r>
    <x v="445"/>
    <x v="3"/>
    <x v="3"/>
    <x v="1"/>
    <x v="0"/>
    <s v="Corporate"/>
    <s v="Online"/>
    <x v="7"/>
    <x v="2"/>
    <n v="420000"/>
    <n v="7"/>
    <x v="3"/>
    <n v="336000"/>
    <n v="2940000"/>
    <n v="2352000"/>
    <n v="588000"/>
  </r>
  <r>
    <x v="446"/>
    <x v="3"/>
    <x v="3"/>
    <x v="2"/>
    <x v="2"/>
    <s v="Retail"/>
    <s v="Store"/>
    <x v="8"/>
    <x v="2"/>
    <n v="250000"/>
    <n v="5"/>
    <x v="1"/>
    <n v="200000"/>
    <n v="1250000"/>
    <n v="1000000"/>
    <n v="250000"/>
  </r>
  <r>
    <x v="447"/>
    <x v="3"/>
    <x v="3"/>
    <x v="0"/>
    <x v="3"/>
    <s v="Corporate"/>
    <s v="Online"/>
    <x v="7"/>
    <x v="2"/>
    <n v="420000"/>
    <n v="5"/>
    <x v="2"/>
    <n v="336000"/>
    <n v="2100000"/>
    <n v="1680000"/>
    <n v="420000"/>
  </r>
  <r>
    <x v="448"/>
    <x v="3"/>
    <x v="3"/>
    <x v="1"/>
    <x v="2"/>
    <s v="Corporate"/>
    <s v="Store"/>
    <x v="5"/>
    <x v="0"/>
    <n v="320000"/>
    <n v="2"/>
    <x v="2"/>
    <n v="256000"/>
    <n v="640000"/>
    <n v="512000"/>
    <n v="128000"/>
  </r>
  <r>
    <x v="449"/>
    <x v="3"/>
    <x v="3"/>
    <x v="3"/>
    <x v="0"/>
    <s v="Retail"/>
    <s v="Store"/>
    <x v="3"/>
    <x v="2"/>
    <n v="300000"/>
    <n v="10"/>
    <x v="4"/>
    <n v="240000"/>
    <n v="3000000"/>
    <n v="2400000"/>
    <n v="600000"/>
  </r>
  <r>
    <x v="450"/>
    <x v="3"/>
    <x v="3"/>
    <x v="1"/>
    <x v="0"/>
    <s v="Retail"/>
    <s v="Online"/>
    <x v="8"/>
    <x v="2"/>
    <n v="250000"/>
    <n v="5"/>
    <x v="4"/>
    <n v="200000"/>
    <n v="1250000"/>
    <n v="1000000"/>
    <n v="250000"/>
  </r>
  <r>
    <x v="451"/>
    <x v="3"/>
    <x v="3"/>
    <x v="2"/>
    <x v="2"/>
    <s v="Corporate"/>
    <s v="Store"/>
    <x v="8"/>
    <x v="2"/>
    <n v="250000"/>
    <n v="2"/>
    <x v="1"/>
    <n v="200000"/>
    <n v="500000"/>
    <n v="400000"/>
    <n v="100000"/>
  </r>
  <r>
    <x v="452"/>
    <x v="3"/>
    <x v="3"/>
    <x v="3"/>
    <x v="1"/>
    <s v="Retail"/>
    <s v="Store"/>
    <x v="4"/>
    <x v="1"/>
    <n v="180000"/>
    <n v="1"/>
    <x v="0"/>
    <n v="144000"/>
    <n v="180000"/>
    <n v="144000"/>
    <n v="36000"/>
  </r>
  <r>
    <x v="453"/>
    <x v="3"/>
    <x v="3"/>
    <x v="1"/>
    <x v="1"/>
    <s v="Retail"/>
    <s v="Store"/>
    <x v="5"/>
    <x v="0"/>
    <n v="320000"/>
    <n v="10"/>
    <x v="3"/>
    <n v="256000"/>
    <n v="3200000"/>
    <n v="2560000"/>
    <n v="640000"/>
  </r>
  <r>
    <x v="454"/>
    <x v="3"/>
    <x v="3"/>
    <x v="2"/>
    <x v="2"/>
    <s v="Corporate"/>
    <s v="Store"/>
    <x v="6"/>
    <x v="2"/>
    <n v="150000"/>
    <n v="2"/>
    <x v="0"/>
    <n v="120000"/>
    <n v="300000"/>
    <n v="240000"/>
    <n v="60000"/>
  </r>
  <r>
    <x v="455"/>
    <x v="3"/>
    <x v="3"/>
    <x v="1"/>
    <x v="1"/>
    <s v="Retail"/>
    <s v="Store"/>
    <x v="4"/>
    <x v="1"/>
    <n v="180000"/>
    <n v="10"/>
    <x v="2"/>
    <n v="144000"/>
    <n v="1800000"/>
    <n v="1440000"/>
    <n v="360000"/>
  </r>
  <r>
    <x v="456"/>
    <x v="3"/>
    <x v="3"/>
    <x v="0"/>
    <x v="1"/>
    <s v="Retail"/>
    <s v="Online"/>
    <x v="6"/>
    <x v="2"/>
    <n v="150000"/>
    <n v="2"/>
    <x v="2"/>
    <n v="120000"/>
    <n v="300000"/>
    <n v="240000"/>
    <n v="60000"/>
  </r>
  <r>
    <x v="457"/>
    <x v="3"/>
    <x v="3"/>
    <x v="2"/>
    <x v="2"/>
    <s v="Corporate"/>
    <s v="Store"/>
    <x v="2"/>
    <x v="1"/>
    <n v="60000"/>
    <n v="10"/>
    <x v="2"/>
    <n v="48000"/>
    <n v="600000"/>
    <n v="480000"/>
    <n v="120000"/>
  </r>
  <r>
    <x v="458"/>
    <x v="3"/>
    <x v="3"/>
    <x v="0"/>
    <x v="3"/>
    <s v="Corporate"/>
    <s v="Online"/>
    <x v="9"/>
    <x v="1"/>
    <n v="220000"/>
    <n v="4"/>
    <x v="3"/>
    <n v="176000"/>
    <n v="880000"/>
    <n v="704000"/>
    <n v="176000"/>
  </r>
  <r>
    <x v="459"/>
    <x v="3"/>
    <x v="3"/>
    <x v="2"/>
    <x v="1"/>
    <s v="Retail"/>
    <s v="Online"/>
    <x v="2"/>
    <x v="1"/>
    <n v="60000"/>
    <n v="5"/>
    <x v="3"/>
    <n v="48000"/>
    <n v="300000"/>
    <n v="240000"/>
    <n v="60000"/>
  </r>
  <r>
    <x v="460"/>
    <x v="3"/>
    <x v="3"/>
    <x v="2"/>
    <x v="3"/>
    <s v="Corporate"/>
    <s v="Online"/>
    <x v="8"/>
    <x v="2"/>
    <n v="250000"/>
    <n v="3"/>
    <x v="1"/>
    <n v="200000"/>
    <n v="750000"/>
    <n v="600000"/>
    <n v="150000"/>
  </r>
  <r>
    <x v="461"/>
    <x v="3"/>
    <x v="3"/>
    <x v="2"/>
    <x v="1"/>
    <s v="Corporate"/>
    <s v="Store"/>
    <x v="6"/>
    <x v="2"/>
    <n v="150000"/>
    <n v="1"/>
    <x v="4"/>
    <n v="120000"/>
    <n v="150000"/>
    <n v="120000"/>
    <n v="30000"/>
  </r>
  <r>
    <x v="462"/>
    <x v="3"/>
    <x v="3"/>
    <x v="3"/>
    <x v="3"/>
    <s v="Corporate"/>
    <s v="Store"/>
    <x v="9"/>
    <x v="1"/>
    <n v="220000"/>
    <n v="1"/>
    <x v="1"/>
    <n v="176000"/>
    <n v="220000"/>
    <n v="176000"/>
    <n v="44000"/>
  </r>
  <r>
    <x v="463"/>
    <x v="3"/>
    <x v="3"/>
    <x v="1"/>
    <x v="2"/>
    <s v="Retail"/>
    <s v="Store"/>
    <x v="8"/>
    <x v="2"/>
    <n v="250000"/>
    <n v="6"/>
    <x v="4"/>
    <n v="200000"/>
    <n v="1500000"/>
    <n v="1200000"/>
    <n v="300000"/>
  </r>
  <r>
    <x v="464"/>
    <x v="3"/>
    <x v="3"/>
    <x v="0"/>
    <x v="3"/>
    <s v="Retail"/>
    <s v="Store"/>
    <x v="9"/>
    <x v="1"/>
    <n v="220000"/>
    <n v="10"/>
    <x v="3"/>
    <n v="176000"/>
    <n v="2200000"/>
    <n v="1760000"/>
    <n v="440000"/>
  </r>
  <r>
    <x v="465"/>
    <x v="3"/>
    <x v="3"/>
    <x v="1"/>
    <x v="0"/>
    <s v="Retail"/>
    <s v="Store"/>
    <x v="4"/>
    <x v="1"/>
    <n v="180000"/>
    <n v="10"/>
    <x v="1"/>
    <n v="144000"/>
    <n v="1800000"/>
    <n v="1440000"/>
    <n v="360000"/>
  </r>
  <r>
    <x v="466"/>
    <x v="3"/>
    <x v="3"/>
    <x v="0"/>
    <x v="0"/>
    <s v="Corporate"/>
    <s v="Online"/>
    <x v="2"/>
    <x v="1"/>
    <n v="60000"/>
    <n v="6"/>
    <x v="5"/>
    <n v="48000"/>
    <n v="360000"/>
    <n v="288000"/>
    <n v="72000"/>
  </r>
  <r>
    <x v="467"/>
    <x v="4"/>
    <x v="4"/>
    <x v="3"/>
    <x v="2"/>
    <s v="Retail"/>
    <s v="Store"/>
    <x v="9"/>
    <x v="1"/>
    <n v="220000"/>
    <n v="4"/>
    <x v="1"/>
    <n v="176000"/>
    <n v="880000"/>
    <n v="704000"/>
    <n v="176000"/>
  </r>
  <r>
    <x v="468"/>
    <x v="4"/>
    <x v="4"/>
    <x v="2"/>
    <x v="3"/>
    <s v="Corporate"/>
    <s v="Online"/>
    <x v="6"/>
    <x v="2"/>
    <n v="150000"/>
    <n v="1"/>
    <x v="1"/>
    <n v="120000"/>
    <n v="150000"/>
    <n v="120000"/>
    <n v="30000"/>
  </r>
  <r>
    <x v="469"/>
    <x v="4"/>
    <x v="4"/>
    <x v="2"/>
    <x v="2"/>
    <s v="Retail"/>
    <s v="Store"/>
    <x v="4"/>
    <x v="1"/>
    <n v="180000"/>
    <n v="1"/>
    <x v="2"/>
    <n v="144000"/>
    <n v="180000"/>
    <n v="144000"/>
    <n v="36000"/>
  </r>
  <r>
    <x v="470"/>
    <x v="4"/>
    <x v="4"/>
    <x v="1"/>
    <x v="3"/>
    <s v="Corporate"/>
    <s v="Store"/>
    <x v="9"/>
    <x v="1"/>
    <n v="220000"/>
    <n v="8"/>
    <x v="2"/>
    <n v="176000"/>
    <n v="1760000"/>
    <n v="1408000"/>
    <n v="352000"/>
  </r>
  <r>
    <x v="471"/>
    <x v="4"/>
    <x v="4"/>
    <x v="0"/>
    <x v="1"/>
    <s v="Retail"/>
    <s v="Store"/>
    <x v="8"/>
    <x v="2"/>
    <n v="250000"/>
    <n v="3"/>
    <x v="1"/>
    <n v="200000"/>
    <n v="750000"/>
    <n v="600000"/>
    <n v="150000"/>
  </r>
  <r>
    <x v="472"/>
    <x v="4"/>
    <x v="4"/>
    <x v="3"/>
    <x v="1"/>
    <s v="Corporate"/>
    <s v="Store"/>
    <x v="2"/>
    <x v="1"/>
    <n v="60000"/>
    <n v="1"/>
    <x v="3"/>
    <n v="48000"/>
    <n v="60000"/>
    <n v="48000"/>
    <n v="12000"/>
  </r>
  <r>
    <x v="473"/>
    <x v="4"/>
    <x v="4"/>
    <x v="1"/>
    <x v="3"/>
    <s v="Retail"/>
    <s v="Store"/>
    <x v="5"/>
    <x v="0"/>
    <n v="320000"/>
    <n v="4"/>
    <x v="0"/>
    <n v="256000"/>
    <n v="1280000"/>
    <n v="1024000"/>
    <n v="256000"/>
  </r>
  <r>
    <x v="474"/>
    <x v="4"/>
    <x v="4"/>
    <x v="2"/>
    <x v="2"/>
    <s v="Corporate"/>
    <s v="Store"/>
    <x v="7"/>
    <x v="2"/>
    <n v="420000"/>
    <n v="8"/>
    <x v="1"/>
    <n v="336000"/>
    <n v="3360000"/>
    <n v="2688000"/>
    <n v="672000"/>
  </r>
  <r>
    <x v="475"/>
    <x v="4"/>
    <x v="4"/>
    <x v="2"/>
    <x v="1"/>
    <s v="Corporate"/>
    <s v="Store"/>
    <x v="7"/>
    <x v="2"/>
    <n v="420000"/>
    <n v="8"/>
    <x v="3"/>
    <n v="336000"/>
    <n v="3360000"/>
    <n v="2688000"/>
    <n v="672000"/>
  </r>
  <r>
    <x v="476"/>
    <x v="4"/>
    <x v="4"/>
    <x v="3"/>
    <x v="1"/>
    <s v="Retail"/>
    <s v="Store"/>
    <x v="2"/>
    <x v="1"/>
    <n v="60000"/>
    <n v="1"/>
    <x v="5"/>
    <n v="48000"/>
    <n v="60000"/>
    <n v="48000"/>
    <n v="12000"/>
  </r>
  <r>
    <x v="477"/>
    <x v="4"/>
    <x v="4"/>
    <x v="1"/>
    <x v="0"/>
    <s v="Corporate"/>
    <s v="Store"/>
    <x v="4"/>
    <x v="1"/>
    <n v="180000"/>
    <n v="8"/>
    <x v="1"/>
    <n v="144000"/>
    <n v="1440000"/>
    <n v="1152000"/>
    <n v="288000"/>
  </r>
  <r>
    <x v="478"/>
    <x v="4"/>
    <x v="4"/>
    <x v="0"/>
    <x v="1"/>
    <s v="Corporate"/>
    <s v="Store"/>
    <x v="4"/>
    <x v="1"/>
    <n v="180000"/>
    <n v="2"/>
    <x v="1"/>
    <n v="144000"/>
    <n v="360000"/>
    <n v="288000"/>
    <n v="72000"/>
  </r>
  <r>
    <x v="479"/>
    <x v="4"/>
    <x v="4"/>
    <x v="2"/>
    <x v="1"/>
    <s v="Corporate"/>
    <s v="Online"/>
    <x v="3"/>
    <x v="2"/>
    <n v="300000"/>
    <n v="7"/>
    <x v="3"/>
    <n v="240000"/>
    <n v="2100000"/>
    <n v="1680000"/>
    <n v="420000"/>
  </r>
  <r>
    <x v="480"/>
    <x v="4"/>
    <x v="4"/>
    <x v="0"/>
    <x v="2"/>
    <s v="Retail"/>
    <s v="Online"/>
    <x v="8"/>
    <x v="2"/>
    <n v="250000"/>
    <n v="6"/>
    <x v="3"/>
    <n v="200000"/>
    <n v="1500000"/>
    <n v="1200000"/>
    <n v="300000"/>
  </r>
  <r>
    <x v="481"/>
    <x v="4"/>
    <x v="4"/>
    <x v="3"/>
    <x v="2"/>
    <s v="Retail"/>
    <s v="Store"/>
    <x v="6"/>
    <x v="2"/>
    <n v="150000"/>
    <n v="5"/>
    <x v="1"/>
    <n v="120000"/>
    <n v="750000"/>
    <n v="600000"/>
    <n v="150000"/>
  </r>
  <r>
    <x v="482"/>
    <x v="4"/>
    <x v="4"/>
    <x v="0"/>
    <x v="3"/>
    <s v="Retail"/>
    <s v="Online"/>
    <x v="0"/>
    <x v="0"/>
    <n v="85000"/>
    <n v="10"/>
    <x v="1"/>
    <n v="68000"/>
    <n v="850000"/>
    <n v="680000"/>
    <n v="170000"/>
  </r>
  <r>
    <x v="483"/>
    <x v="4"/>
    <x v="4"/>
    <x v="3"/>
    <x v="3"/>
    <s v="Retail"/>
    <s v="Online"/>
    <x v="0"/>
    <x v="0"/>
    <n v="85000"/>
    <n v="8"/>
    <x v="3"/>
    <n v="68000"/>
    <n v="680000"/>
    <n v="544000"/>
    <n v="136000"/>
  </r>
  <r>
    <x v="484"/>
    <x v="4"/>
    <x v="4"/>
    <x v="2"/>
    <x v="0"/>
    <s v="Retail"/>
    <s v="Online"/>
    <x v="0"/>
    <x v="0"/>
    <n v="85000"/>
    <n v="2"/>
    <x v="2"/>
    <n v="68000"/>
    <n v="170000"/>
    <n v="136000"/>
    <n v="34000"/>
  </r>
  <r>
    <x v="485"/>
    <x v="4"/>
    <x v="4"/>
    <x v="0"/>
    <x v="3"/>
    <s v="Retail"/>
    <s v="Online"/>
    <x v="8"/>
    <x v="2"/>
    <n v="250000"/>
    <n v="4"/>
    <x v="0"/>
    <n v="200000"/>
    <n v="1000000"/>
    <n v="800000"/>
    <n v="200000"/>
  </r>
  <r>
    <x v="486"/>
    <x v="4"/>
    <x v="4"/>
    <x v="2"/>
    <x v="0"/>
    <s v="Retail"/>
    <s v="Online"/>
    <x v="6"/>
    <x v="2"/>
    <n v="150000"/>
    <n v="6"/>
    <x v="5"/>
    <n v="120000"/>
    <n v="900000"/>
    <n v="720000"/>
    <n v="180000"/>
  </r>
  <r>
    <x v="487"/>
    <x v="4"/>
    <x v="4"/>
    <x v="2"/>
    <x v="3"/>
    <s v="Corporate"/>
    <s v="Store"/>
    <x v="4"/>
    <x v="1"/>
    <n v="180000"/>
    <n v="10"/>
    <x v="4"/>
    <n v="144000"/>
    <n v="1800000"/>
    <n v="1440000"/>
    <n v="360000"/>
  </r>
  <r>
    <x v="488"/>
    <x v="4"/>
    <x v="4"/>
    <x v="2"/>
    <x v="3"/>
    <s v="Retail"/>
    <s v="Online"/>
    <x v="6"/>
    <x v="2"/>
    <n v="150000"/>
    <n v="8"/>
    <x v="0"/>
    <n v="120000"/>
    <n v="1200000"/>
    <n v="960000"/>
    <n v="240000"/>
  </r>
  <r>
    <x v="489"/>
    <x v="4"/>
    <x v="4"/>
    <x v="2"/>
    <x v="1"/>
    <s v="Retail"/>
    <s v="Online"/>
    <x v="4"/>
    <x v="1"/>
    <n v="180000"/>
    <n v="8"/>
    <x v="1"/>
    <n v="144000"/>
    <n v="1440000"/>
    <n v="1152000"/>
    <n v="288000"/>
  </r>
  <r>
    <x v="490"/>
    <x v="4"/>
    <x v="4"/>
    <x v="1"/>
    <x v="2"/>
    <s v="Corporate"/>
    <s v="Online"/>
    <x v="6"/>
    <x v="2"/>
    <n v="150000"/>
    <n v="6"/>
    <x v="3"/>
    <n v="120000"/>
    <n v="900000"/>
    <n v="720000"/>
    <n v="180000"/>
  </r>
  <r>
    <x v="491"/>
    <x v="4"/>
    <x v="4"/>
    <x v="2"/>
    <x v="3"/>
    <s v="Corporate"/>
    <s v="Store"/>
    <x v="6"/>
    <x v="2"/>
    <n v="150000"/>
    <n v="4"/>
    <x v="5"/>
    <n v="120000"/>
    <n v="600000"/>
    <n v="480000"/>
    <n v="120000"/>
  </r>
  <r>
    <x v="492"/>
    <x v="4"/>
    <x v="4"/>
    <x v="0"/>
    <x v="1"/>
    <s v="Retail"/>
    <s v="Online"/>
    <x v="4"/>
    <x v="1"/>
    <n v="180000"/>
    <n v="1"/>
    <x v="3"/>
    <n v="144000"/>
    <n v="180000"/>
    <n v="144000"/>
    <n v="36000"/>
  </r>
  <r>
    <x v="493"/>
    <x v="4"/>
    <x v="4"/>
    <x v="3"/>
    <x v="1"/>
    <s v="Retail"/>
    <s v="Online"/>
    <x v="8"/>
    <x v="2"/>
    <n v="250000"/>
    <n v="6"/>
    <x v="5"/>
    <n v="200000"/>
    <n v="1500000"/>
    <n v="1200000"/>
    <n v="300000"/>
  </r>
  <r>
    <x v="494"/>
    <x v="4"/>
    <x v="4"/>
    <x v="2"/>
    <x v="0"/>
    <s v="Retail"/>
    <s v="Online"/>
    <x v="2"/>
    <x v="1"/>
    <n v="60000"/>
    <n v="6"/>
    <x v="1"/>
    <n v="48000"/>
    <n v="360000"/>
    <n v="288000"/>
    <n v="72000"/>
  </r>
  <r>
    <x v="495"/>
    <x v="4"/>
    <x v="4"/>
    <x v="3"/>
    <x v="3"/>
    <s v="Corporate"/>
    <s v="Store"/>
    <x v="6"/>
    <x v="2"/>
    <n v="150000"/>
    <n v="2"/>
    <x v="1"/>
    <n v="120000"/>
    <n v="300000"/>
    <n v="240000"/>
    <n v="60000"/>
  </r>
  <r>
    <x v="496"/>
    <x v="4"/>
    <x v="4"/>
    <x v="1"/>
    <x v="2"/>
    <s v="Corporate"/>
    <s v="Online"/>
    <x v="0"/>
    <x v="0"/>
    <n v="85000"/>
    <n v="2"/>
    <x v="0"/>
    <n v="68000"/>
    <n v="170000"/>
    <n v="136000"/>
    <n v="34000"/>
  </r>
  <r>
    <x v="497"/>
    <x v="4"/>
    <x v="4"/>
    <x v="2"/>
    <x v="1"/>
    <s v="Retail"/>
    <s v="Store"/>
    <x v="3"/>
    <x v="2"/>
    <n v="300000"/>
    <n v="5"/>
    <x v="3"/>
    <n v="240000"/>
    <n v="1500000"/>
    <n v="1200000"/>
    <n v="300000"/>
  </r>
  <r>
    <x v="498"/>
    <x v="5"/>
    <x v="5"/>
    <x v="1"/>
    <x v="2"/>
    <s v="Corporate"/>
    <s v="Online"/>
    <x v="7"/>
    <x v="2"/>
    <n v="420000"/>
    <n v="10"/>
    <x v="3"/>
    <n v="336000"/>
    <n v="4200000"/>
    <n v="3360000"/>
    <n v="840000"/>
  </r>
  <r>
    <x v="499"/>
    <x v="5"/>
    <x v="5"/>
    <x v="0"/>
    <x v="3"/>
    <s v="Corporate"/>
    <s v="Online"/>
    <x v="4"/>
    <x v="1"/>
    <n v="180000"/>
    <n v="6"/>
    <x v="1"/>
    <n v="144000"/>
    <n v="1080000"/>
    <n v="864000"/>
    <n v="216000"/>
  </r>
  <r>
    <x v="500"/>
    <x v="5"/>
    <x v="5"/>
    <x v="1"/>
    <x v="3"/>
    <s v="Retail"/>
    <s v="Store"/>
    <x v="0"/>
    <x v="0"/>
    <n v="85000"/>
    <n v="4"/>
    <x v="3"/>
    <n v="68000"/>
    <n v="340000"/>
    <n v="272000"/>
    <n v="68000"/>
  </r>
  <r>
    <x v="501"/>
    <x v="5"/>
    <x v="5"/>
    <x v="3"/>
    <x v="2"/>
    <s v="Corporate"/>
    <s v="Online"/>
    <x v="3"/>
    <x v="2"/>
    <n v="300000"/>
    <n v="4"/>
    <x v="4"/>
    <n v="240000"/>
    <n v="1200000"/>
    <n v="960000"/>
    <n v="240000"/>
  </r>
  <r>
    <x v="502"/>
    <x v="5"/>
    <x v="5"/>
    <x v="2"/>
    <x v="3"/>
    <s v="Retail"/>
    <s v="Online"/>
    <x v="0"/>
    <x v="0"/>
    <n v="85000"/>
    <n v="3"/>
    <x v="3"/>
    <n v="68000"/>
    <n v="255000"/>
    <n v="204000"/>
    <n v="51000"/>
  </r>
  <r>
    <x v="503"/>
    <x v="5"/>
    <x v="5"/>
    <x v="3"/>
    <x v="0"/>
    <s v="Retail"/>
    <s v="Store"/>
    <x v="9"/>
    <x v="1"/>
    <n v="220000"/>
    <n v="9"/>
    <x v="4"/>
    <n v="176000"/>
    <n v="1980000"/>
    <n v="1584000"/>
    <n v="396000"/>
  </r>
  <r>
    <x v="504"/>
    <x v="5"/>
    <x v="5"/>
    <x v="0"/>
    <x v="2"/>
    <s v="Corporate"/>
    <s v="Online"/>
    <x v="4"/>
    <x v="1"/>
    <n v="180000"/>
    <n v="3"/>
    <x v="3"/>
    <n v="144000"/>
    <n v="540000"/>
    <n v="432000"/>
    <n v="108000"/>
  </r>
  <r>
    <x v="505"/>
    <x v="5"/>
    <x v="5"/>
    <x v="1"/>
    <x v="1"/>
    <s v="Corporate"/>
    <s v="Store"/>
    <x v="3"/>
    <x v="2"/>
    <n v="300000"/>
    <n v="9"/>
    <x v="1"/>
    <n v="240000"/>
    <n v="2700000"/>
    <n v="2160000"/>
    <n v="540000"/>
  </r>
  <r>
    <x v="506"/>
    <x v="5"/>
    <x v="5"/>
    <x v="3"/>
    <x v="0"/>
    <s v="Corporate"/>
    <s v="Store"/>
    <x v="6"/>
    <x v="2"/>
    <n v="150000"/>
    <n v="4"/>
    <x v="2"/>
    <n v="120000"/>
    <n v="600000"/>
    <n v="480000"/>
    <n v="120000"/>
  </r>
  <r>
    <x v="507"/>
    <x v="5"/>
    <x v="5"/>
    <x v="1"/>
    <x v="3"/>
    <s v="Corporate"/>
    <s v="Store"/>
    <x v="5"/>
    <x v="0"/>
    <n v="320000"/>
    <n v="8"/>
    <x v="4"/>
    <n v="256000"/>
    <n v="2560000"/>
    <n v="2048000"/>
    <n v="512000"/>
  </r>
  <r>
    <x v="508"/>
    <x v="5"/>
    <x v="5"/>
    <x v="3"/>
    <x v="3"/>
    <s v="Retail"/>
    <s v="Online"/>
    <x v="5"/>
    <x v="0"/>
    <n v="320000"/>
    <n v="7"/>
    <x v="5"/>
    <n v="256000"/>
    <n v="2240000"/>
    <n v="1792000"/>
    <n v="448000"/>
  </r>
  <r>
    <x v="509"/>
    <x v="5"/>
    <x v="5"/>
    <x v="1"/>
    <x v="3"/>
    <s v="Retail"/>
    <s v="Store"/>
    <x v="9"/>
    <x v="1"/>
    <n v="220000"/>
    <n v="10"/>
    <x v="2"/>
    <n v="176000"/>
    <n v="2200000"/>
    <n v="1760000"/>
    <n v="440000"/>
  </r>
  <r>
    <x v="510"/>
    <x v="5"/>
    <x v="5"/>
    <x v="2"/>
    <x v="1"/>
    <s v="Retail"/>
    <s v="Store"/>
    <x v="1"/>
    <x v="1"/>
    <n v="30000"/>
    <n v="7"/>
    <x v="2"/>
    <n v="24000"/>
    <n v="210000"/>
    <n v="168000"/>
    <n v="42000"/>
  </r>
  <r>
    <x v="511"/>
    <x v="5"/>
    <x v="5"/>
    <x v="1"/>
    <x v="2"/>
    <s v="Retail"/>
    <s v="Online"/>
    <x v="5"/>
    <x v="0"/>
    <n v="320000"/>
    <n v="2"/>
    <x v="2"/>
    <n v="256000"/>
    <n v="640000"/>
    <n v="512000"/>
    <n v="128000"/>
  </r>
  <r>
    <x v="512"/>
    <x v="5"/>
    <x v="5"/>
    <x v="3"/>
    <x v="2"/>
    <s v="Corporate"/>
    <s v="Store"/>
    <x v="3"/>
    <x v="2"/>
    <n v="300000"/>
    <n v="3"/>
    <x v="4"/>
    <n v="240000"/>
    <n v="900000"/>
    <n v="720000"/>
    <n v="180000"/>
  </r>
  <r>
    <x v="513"/>
    <x v="5"/>
    <x v="5"/>
    <x v="2"/>
    <x v="0"/>
    <s v="Retail"/>
    <s v="Online"/>
    <x v="3"/>
    <x v="2"/>
    <n v="300000"/>
    <n v="3"/>
    <x v="2"/>
    <n v="240000"/>
    <n v="900000"/>
    <n v="720000"/>
    <n v="180000"/>
  </r>
  <r>
    <x v="514"/>
    <x v="5"/>
    <x v="5"/>
    <x v="2"/>
    <x v="3"/>
    <s v="Retail"/>
    <s v="Store"/>
    <x v="6"/>
    <x v="2"/>
    <n v="150000"/>
    <n v="10"/>
    <x v="2"/>
    <n v="120000"/>
    <n v="1500000"/>
    <n v="1200000"/>
    <n v="300000"/>
  </r>
  <r>
    <x v="515"/>
    <x v="5"/>
    <x v="5"/>
    <x v="2"/>
    <x v="1"/>
    <s v="Corporate"/>
    <s v="Store"/>
    <x v="1"/>
    <x v="1"/>
    <n v="30000"/>
    <n v="7"/>
    <x v="3"/>
    <n v="24000"/>
    <n v="210000"/>
    <n v="168000"/>
    <n v="42000"/>
  </r>
  <r>
    <x v="516"/>
    <x v="5"/>
    <x v="5"/>
    <x v="0"/>
    <x v="0"/>
    <s v="Retail"/>
    <s v="Online"/>
    <x v="2"/>
    <x v="1"/>
    <n v="60000"/>
    <n v="2"/>
    <x v="4"/>
    <n v="48000"/>
    <n v="120000"/>
    <n v="96000"/>
    <n v="24000"/>
  </r>
  <r>
    <x v="517"/>
    <x v="5"/>
    <x v="5"/>
    <x v="1"/>
    <x v="1"/>
    <s v="Retail"/>
    <s v="Online"/>
    <x v="3"/>
    <x v="2"/>
    <n v="300000"/>
    <n v="8"/>
    <x v="0"/>
    <n v="240000"/>
    <n v="2400000"/>
    <n v="1920000"/>
    <n v="480000"/>
  </r>
  <r>
    <x v="518"/>
    <x v="5"/>
    <x v="5"/>
    <x v="3"/>
    <x v="1"/>
    <s v="Corporate"/>
    <s v="Store"/>
    <x v="1"/>
    <x v="1"/>
    <n v="30000"/>
    <n v="6"/>
    <x v="2"/>
    <n v="24000"/>
    <n v="180000"/>
    <n v="144000"/>
    <n v="36000"/>
  </r>
  <r>
    <x v="519"/>
    <x v="5"/>
    <x v="5"/>
    <x v="0"/>
    <x v="1"/>
    <s v="Corporate"/>
    <s v="Online"/>
    <x v="8"/>
    <x v="2"/>
    <n v="250000"/>
    <n v="6"/>
    <x v="1"/>
    <n v="200000"/>
    <n v="1500000"/>
    <n v="1200000"/>
    <n v="300000"/>
  </r>
  <r>
    <x v="520"/>
    <x v="5"/>
    <x v="5"/>
    <x v="1"/>
    <x v="3"/>
    <s v="Retail"/>
    <s v="Online"/>
    <x v="7"/>
    <x v="2"/>
    <n v="420000"/>
    <n v="10"/>
    <x v="3"/>
    <n v="336000"/>
    <n v="4200000"/>
    <n v="3360000"/>
    <n v="840000"/>
  </r>
  <r>
    <x v="521"/>
    <x v="5"/>
    <x v="5"/>
    <x v="2"/>
    <x v="3"/>
    <s v="Retail"/>
    <s v="Online"/>
    <x v="2"/>
    <x v="1"/>
    <n v="60000"/>
    <n v="9"/>
    <x v="5"/>
    <n v="48000"/>
    <n v="540000"/>
    <n v="432000"/>
    <n v="108000"/>
  </r>
  <r>
    <x v="522"/>
    <x v="5"/>
    <x v="5"/>
    <x v="1"/>
    <x v="2"/>
    <s v="Corporate"/>
    <s v="Store"/>
    <x v="4"/>
    <x v="1"/>
    <n v="180000"/>
    <n v="4"/>
    <x v="0"/>
    <n v="144000"/>
    <n v="720000"/>
    <n v="576000"/>
    <n v="144000"/>
  </r>
  <r>
    <x v="523"/>
    <x v="5"/>
    <x v="5"/>
    <x v="3"/>
    <x v="2"/>
    <s v="Retail"/>
    <s v="Store"/>
    <x v="4"/>
    <x v="1"/>
    <n v="180000"/>
    <n v="10"/>
    <x v="0"/>
    <n v="144000"/>
    <n v="1800000"/>
    <n v="1440000"/>
    <n v="360000"/>
  </r>
  <r>
    <x v="524"/>
    <x v="5"/>
    <x v="5"/>
    <x v="3"/>
    <x v="1"/>
    <s v="Corporate"/>
    <s v="Online"/>
    <x v="1"/>
    <x v="1"/>
    <n v="30000"/>
    <n v="1"/>
    <x v="4"/>
    <n v="24000"/>
    <n v="30000"/>
    <n v="24000"/>
    <n v="6000"/>
  </r>
  <r>
    <x v="525"/>
    <x v="5"/>
    <x v="5"/>
    <x v="1"/>
    <x v="2"/>
    <s v="Retail"/>
    <s v="Store"/>
    <x v="7"/>
    <x v="2"/>
    <n v="420000"/>
    <n v="3"/>
    <x v="3"/>
    <n v="336000"/>
    <n v="1260000"/>
    <n v="1008000"/>
    <n v="252000"/>
  </r>
  <r>
    <x v="526"/>
    <x v="5"/>
    <x v="5"/>
    <x v="1"/>
    <x v="0"/>
    <s v="Retail"/>
    <s v="Store"/>
    <x v="1"/>
    <x v="1"/>
    <n v="30000"/>
    <n v="8"/>
    <x v="3"/>
    <n v="24000"/>
    <n v="240000"/>
    <n v="192000"/>
    <n v="48000"/>
  </r>
  <r>
    <x v="527"/>
    <x v="5"/>
    <x v="5"/>
    <x v="2"/>
    <x v="3"/>
    <s v="Corporate"/>
    <s v="Online"/>
    <x v="5"/>
    <x v="0"/>
    <n v="320000"/>
    <n v="2"/>
    <x v="2"/>
    <n v="256000"/>
    <n v="640000"/>
    <n v="512000"/>
    <n v="128000"/>
  </r>
  <r>
    <x v="528"/>
    <x v="6"/>
    <x v="6"/>
    <x v="0"/>
    <x v="1"/>
    <s v="Corporate"/>
    <s v="Store"/>
    <x v="6"/>
    <x v="2"/>
    <n v="150000"/>
    <n v="10"/>
    <x v="2"/>
    <n v="120000"/>
    <n v="1500000"/>
    <n v="1200000"/>
    <n v="300000"/>
  </r>
  <r>
    <x v="529"/>
    <x v="6"/>
    <x v="6"/>
    <x v="3"/>
    <x v="2"/>
    <s v="Corporate"/>
    <s v="Online"/>
    <x v="8"/>
    <x v="2"/>
    <n v="250000"/>
    <n v="9"/>
    <x v="1"/>
    <n v="200000"/>
    <n v="2250000"/>
    <n v="1800000"/>
    <n v="450000"/>
  </r>
  <r>
    <x v="530"/>
    <x v="6"/>
    <x v="6"/>
    <x v="2"/>
    <x v="2"/>
    <s v="Corporate"/>
    <s v="Store"/>
    <x v="9"/>
    <x v="1"/>
    <n v="220000"/>
    <n v="5"/>
    <x v="1"/>
    <n v="176000"/>
    <n v="1100000"/>
    <n v="880000"/>
    <n v="220000"/>
  </r>
  <r>
    <x v="531"/>
    <x v="6"/>
    <x v="6"/>
    <x v="0"/>
    <x v="2"/>
    <s v="Retail"/>
    <s v="Store"/>
    <x v="6"/>
    <x v="2"/>
    <n v="150000"/>
    <n v="5"/>
    <x v="0"/>
    <n v="120000"/>
    <n v="750000"/>
    <n v="600000"/>
    <n v="150000"/>
  </r>
  <r>
    <x v="532"/>
    <x v="6"/>
    <x v="6"/>
    <x v="1"/>
    <x v="3"/>
    <s v="Corporate"/>
    <s v="Store"/>
    <x v="9"/>
    <x v="1"/>
    <n v="220000"/>
    <n v="8"/>
    <x v="4"/>
    <n v="176000"/>
    <n v="1760000"/>
    <n v="1408000"/>
    <n v="352000"/>
  </r>
  <r>
    <x v="533"/>
    <x v="6"/>
    <x v="6"/>
    <x v="1"/>
    <x v="1"/>
    <s v="Retail"/>
    <s v="Online"/>
    <x v="0"/>
    <x v="0"/>
    <n v="85000"/>
    <n v="4"/>
    <x v="3"/>
    <n v="68000"/>
    <n v="340000"/>
    <n v="272000"/>
    <n v="68000"/>
  </r>
  <r>
    <x v="534"/>
    <x v="6"/>
    <x v="6"/>
    <x v="2"/>
    <x v="2"/>
    <s v="Retail"/>
    <s v="Online"/>
    <x v="5"/>
    <x v="0"/>
    <n v="320000"/>
    <n v="4"/>
    <x v="3"/>
    <n v="256000"/>
    <n v="1280000"/>
    <n v="1024000"/>
    <n v="256000"/>
  </r>
  <r>
    <x v="535"/>
    <x v="6"/>
    <x v="6"/>
    <x v="1"/>
    <x v="2"/>
    <s v="Corporate"/>
    <s v="Online"/>
    <x v="8"/>
    <x v="2"/>
    <n v="250000"/>
    <n v="2"/>
    <x v="1"/>
    <n v="200000"/>
    <n v="500000"/>
    <n v="400000"/>
    <n v="100000"/>
  </r>
  <r>
    <x v="536"/>
    <x v="6"/>
    <x v="6"/>
    <x v="1"/>
    <x v="0"/>
    <s v="Retail"/>
    <s v="Online"/>
    <x v="3"/>
    <x v="2"/>
    <n v="300000"/>
    <n v="5"/>
    <x v="1"/>
    <n v="240000"/>
    <n v="1500000"/>
    <n v="1200000"/>
    <n v="300000"/>
  </r>
  <r>
    <x v="537"/>
    <x v="6"/>
    <x v="6"/>
    <x v="1"/>
    <x v="2"/>
    <s v="Retail"/>
    <s v="Online"/>
    <x v="2"/>
    <x v="1"/>
    <n v="60000"/>
    <n v="9"/>
    <x v="2"/>
    <n v="48000"/>
    <n v="540000"/>
    <n v="432000"/>
    <n v="108000"/>
  </r>
  <r>
    <x v="538"/>
    <x v="6"/>
    <x v="6"/>
    <x v="1"/>
    <x v="2"/>
    <s v="Corporate"/>
    <s v="Online"/>
    <x v="6"/>
    <x v="2"/>
    <n v="150000"/>
    <n v="6"/>
    <x v="2"/>
    <n v="120000"/>
    <n v="900000"/>
    <n v="720000"/>
    <n v="180000"/>
  </r>
  <r>
    <x v="539"/>
    <x v="6"/>
    <x v="6"/>
    <x v="2"/>
    <x v="2"/>
    <s v="Corporate"/>
    <s v="Store"/>
    <x v="0"/>
    <x v="0"/>
    <n v="85000"/>
    <n v="3"/>
    <x v="3"/>
    <n v="68000"/>
    <n v="255000"/>
    <n v="204000"/>
    <n v="51000"/>
  </r>
  <r>
    <x v="540"/>
    <x v="6"/>
    <x v="6"/>
    <x v="2"/>
    <x v="1"/>
    <s v="Corporate"/>
    <s v="Store"/>
    <x v="5"/>
    <x v="0"/>
    <n v="320000"/>
    <n v="8"/>
    <x v="2"/>
    <n v="256000"/>
    <n v="2560000"/>
    <n v="2048000"/>
    <n v="512000"/>
  </r>
  <r>
    <x v="541"/>
    <x v="6"/>
    <x v="6"/>
    <x v="1"/>
    <x v="0"/>
    <s v="Corporate"/>
    <s v="Online"/>
    <x v="8"/>
    <x v="2"/>
    <n v="250000"/>
    <n v="1"/>
    <x v="3"/>
    <n v="200000"/>
    <n v="250000"/>
    <n v="200000"/>
    <n v="50000"/>
  </r>
  <r>
    <x v="542"/>
    <x v="6"/>
    <x v="6"/>
    <x v="0"/>
    <x v="1"/>
    <s v="Corporate"/>
    <s v="Store"/>
    <x v="4"/>
    <x v="1"/>
    <n v="180000"/>
    <n v="4"/>
    <x v="0"/>
    <n v="144000"/>
    <n v="720000"/>
    <n v="576000"/>
    <n v="144000"/>
  </r>
  <r>
    <x v="543"/>
    <x v="6"/>
    <x v="6"/>
    <x v="1"/>
    <x v="2"/>
    <s v="Retail"/>
    <s v="Online"/>
    <x v="2"/>
    <x v="1"/>
    <n v="60000"/>
    <n v="6"/>
    <x v="5"/>
    <n v="48000"/>
    <n v="360000"/>
    <n v="288000"/>
    <n v="72000"/>
  </r>
  <r>
    <x v="544"/>
    <x v="6"/>
    <x v="6"/>
    <x v="3"/>
    <x v="3"/>
    <s v="Retail"/>
    <s v="Store"/>
    <x v="4"/>
    <x v="1"/>
    <n v="180000"/>
    <n v="7"/>
    <x v="0"/>
    <n v="144000"/>
    <n v="1260000"/>
    <n v="1008000"/>
    <n v="252000"/>
  </r>
  <r>
    <x v="545"/>
    <x v="6"/>
    <x v="6"/>
    <x v="3"/>
    <x v="1"/>
    <s v="Retail"/>
    <s v="Online"/>
    <x v="6"/>
    <x v="2"/>
    <n v="150000"/>
    <n v="10"/>
    <x v="4"/>
    <n v="120000"/>
    <n v="1500000"/>
    <n v="1200000"/>
    <n v="300000"/>
  </r>
  <r>
    <x v="546"/>
    <x v="6"/>
    <x v="6"/>
    <x v="1"/>
    <x v="2"/>
    <s v="Retail"/>
    <s v="Store"/>
    <x v="5"/>
    <x v="0"/>
    <n v="320000"/>
    <n v="5"/>
    <x v="4"/>
    <n v="256000"/>
    <n v="1600000"/>
    <n v="1280000"/>
    <n v="320000"/>
  </r>
  <r>
    <x v="547"/>
    <x v="6"/>
    <x v="6"/>
    <x v="0"/>
    <x v="0"/>
    <s v="Corporate"/>
    <s v="Store"/>
    <x v="6"/>
    <x v="2"/>
    <n v="150000"/>
    <n v="7"/>
    <x v="1"/>
    <n v="120000"/>
    <n v="1050000"/>
    <n v="840000"/>
    <n v="210000"/>
  </r>
  <r>
    <x v="548"/>
    <x v="6"/>
    <x v="6"/>
    <x v="1"/>
    <x v="0"/>
    <s v="Corporate"/>
    <s v="Online"/>
    <x v="6"/>
    <x v="2"/>
    <n v="150000"/>
    <n v="4"/>
    <x v="4"/>
    <n v="120000"/>
    <n v="600000"/>
    <n v="480000"/>
    <n v="120000"/>
  </r>
  <r>
    <x v="549"/>
    <x v="6"/>
    <x v="6"/>
    <x v="3"/>
    <x v="2"/>
    <s v="Corporate"/>
    <s v="Online"/>
    <x v="3"/>
    <x v="2"/>
    <n v="300000"/>
    <n v="6"/>
    <x v="2"/>
    <n v="240000"/>
    <n v="1800000"/>
    <n v="1440000"/>
    <n v="360000"/>
  </r>
  <r>
    <x v="550"/>
    <x v="6"/>
    <x v="6"/>
    <x v="3"/>
    <x v="0"/>
    <s v="Retail"/>
    <s v="Store"/>
    <x v="5"/>
    <x v="0"/>
    <n v="320000"/>
    <n v="4"/>
    <x v="2"/>
    <n v="256000"/>
    <n v="1280000"/>
    <n v="1024000"/>
    <n v="256000"/>
  </r>
  <r>
    <x v="551"/>
    <x v="6"/>
    <x v="6"/>
    <x v="2"/>
    <x v="1"/>
    <s v="Corporate"/>
    <s v="Online"/>
    <x v="1"/>
    <x v="1"/>
    <n v="30000"/>
    <n v="4"/>
    <x v="1"/>
    <n v="24000"/>
    <n v="120000"/>
    <n v="96000"/>
    <n v="24000"/>
  </r>
  <r>
    <x v="552"/>
    <x v="6"/>
    <x v="6"/>
    <x v="1"/>
    <x v="2"/>
    <s v="Corporate"/>
    <s v="Online"/>
    <x v="6"/>
    <x v="2"/>
    <n v="150000"/>
    <n v="8"/>
    <x v="5"/>
    <n v="120000"/>
    <n v="1200000"/>
    <n v="960000"/>
    <n v="240000"/>
  </r>
  <r>
    <x v="553"/>
    <x v="6"/>
    <x v="6"/>
    <x v="2"/>
    <x v="1"/>
    <s v="Retail"/>
    <s v="Store"/>
    <x v="8"/>
    <x v="2"/>
    <n v="250000"/>
    <n v="8"/>
    <x v="4"/>
    <n v="200000"/>
    <n v="2000000"/>
    <n v="1600000"/>
    <n v="400000"/>
  </r>
  <r>
    <x v="554"/>
    <x v="6"/>
    <x v="6"/>
    <x v="3"/>
    <x v="1"/>
    <s v="Corporate"/>
    <s v="Online"/>
    <x v="1"/>
    <x v="1"/>
    <n v="30000"/>
    <n v="4"/>
    <x v="5"/>
    <n v="24000"/>
    <n v="120000"/>
    <n v="96000"/>
    <n v="24000"/>
  </r>
  <r>
    <x v="555"/>
    <x v="6"/>
    <x v="6"/>
    <x v="2"/>
    <x v="0"/>
    <s v="Corporate"/>
    <s v="Online"/>
    <x v="7"/>
    <x v="2"/>
    <n v="420000"/>
    <n v="2"/>
    <x v="4"/>
    <n v="336000"/>
    <n v="840000"/>
    <n v="672000"/>
    <n v="168000"/>
  </r>
  <r>
    <x v="556"/>
    <x v="6"/>
    <x v="6"/>
    <x v="2"/>
    <x v="0"/>
    <s v="Corporate"/>
    <s v="Store"/>
    <x v="1"/>
    <x v="1"/>
    <n v="30000"/>
    <n v="6"/>
    <x v="4"/>
    <n v="24000"/>
    <n v="180000"/>
    <n v="144000"/>
    <n v="36000"/>
  </r>
  <r>
    <x v="557"/>
    <x v="6"/>
    <x v="6"/>
    <x v="3"/>
    <x v="3"/>
    <s v="Corporate"/>
    <s v="Online"/>
    <x v="9"/>
    <x v="1"/>
    <n v="220000"/>
    <n v="2"/>
    <x v="3"/>
    <n v="176000"/>
    <n v="440000"/>
    <n v="352000"/>
    <n v="88000"/>
  </r>
  <r>
    <x v="558"/>
    <x v="6"/>
    <x v="6"/>
    <x v="2"/>
    <x v="0"/>
    <s v="Retail"/>
    <s v="Online"/>
    <x v="3"/>
    <x v="2"/>
    <n v="300000"/>
    <n v="4"/>
    <x v="3"/>
    <n v="240000"/>
    <n v="1200000"/>
    <n v="960000"/>
    <n v="240000"/>
  </r>
  <r>
    <x v="559"/>
    <x v="7"/>
    <x v="7"/>
    <x v="2"/>
    <x v="0"/>
    <s v="Corporate"/>
    <s v="Online"/>
    <x v="7"/>
    <x v="2"/>
    <n v="420000"/>
    <n v="8"/>
    <x v="0"/>
    <n v="336000"/>
    <n v="3360000"/>
    <n v="2688000"/>
    <n v="672000"/>
  </r>
  <r>
    <x v="560"/>
    <x v="7"/>
    <x v="7"/>
    <x v="1"/>
    <x v="0"/>
    <s v="Retail"/>
    <s v="Online"/>
    <x v="5"/>
    <x v="0"/>
    <n v="320000"/>
    <n v="4"/>
    <x v="3"/>
    <n v="256000"/>
    <n v="1280000"/>
    <n v="1024000"/>
    <n v="256000"/>
  </r>
  <r>
    <x v="561"/>
    <x v="7"/>
    <x v="7"/>
    <x v="0"/>
    <x v="0"/>
    <s v="Corporate"/>
    <s v="Store"/>
    <x v="8"/>
    <x v="2"/>
    <n v="250000"/>
    <n v="8"/>
    <x v="1"/>
    <n v="200000"/>
    <n v="2000000"/>
    <n v="1600000"/>
    <n v="400000"/>
  </r>
  <r>
    <x v="562"/>
    <x v="7"/>
    <x v="7"/>
    <x v="1"/>
    <x v="1"/>
    <s v="Retail"/>
    <s v="Store"/>
    <x v="5"/>
    <x v="0"/>
    <n v="320000"/>
    <n v="7"/>
    <x v="5"/>
    <n v="256000"/>
    <n v="2240000"/>
    <n v="1792000"/>
    <n v="448000"/>
  </r>
  <r>
    <x v="563"/>
    <x v="7"/>
    <x v="7"/>
    <x v="0"/>
    <x v="1"/>
    <s v="Corporate"/>
    <s v="Store"/>
    <x v="3"/>
    <x v="2"/>
    <n v="300000"/>
    <n v="6"/>
    <x v="1"/>
    <n v="240000"/>
    <n v="1800000"/>
    <n v="1440000"/>
    <n v="360000"/>
  </r>
  <r>
    <x v="564"/>
    <x v="7"/>
    <x v="7"/>
    <x v="3"/>
    <x v="3"/>
    <s v="Corporate"/>
    <s v="Store"/>
    <x v="4"/>
    <x v="1"/>
    <n v="180000"/>
    <n v="4"/>
    <x v="0"/>
    <n v="144000"/>
    <n v="720000"/>
    <n v="576000"/>
    <n v="144000"/>
  </r>
  <r>
    <x v="565"/>
    <x v="7"/>
    <x v="7"/>
    <x v="0"/>
    <x v="0"/>
    <s v="Corporate"/>
    <s v="Online"/>
    <x v="8"/>
    <x v="2"/>
    <n v="250000"/>
    <n v="6"/>
    <x v="3"/>
    <n v="200000"/>
    <n v="1500000"/>
    <n v="1200000"/>
    <n v="300000"/>
  </r>
  <r>
    <x v="566"/>
    <x v="7"/>
    <x v="7"/>
    <x v="0"/>
    <x v="2"/>
    <s v="Corporate"/>
    <s v="Online"/>
    <x v="8"/>
    <x v="2"/>
    <n v="250000"/>
    <n v="7"/>
    <x v="3"/>
    <n v="200000"/>
    <n v="1750000"/>
    <n v="1400000"/>
    <n v="350000"/>
  </r>
  <r>
    <x v="567"/>
    <x v="7"/>
    <x v="7"/>
    <x v="1"/>
    <x v="1"/>
    <s v="Retail"/>
    <s v="Store"/>
    <x v="7"/>
    <x v="2"/>
    <n v="420000"/>
    <n v="2"/>
    <x v="0"/>
    <n v="336000"/>
    <n v="840000"/>
    <n v="672000"/>
    <n v="168000"/>
  </r>
  <r>
    <x v="568"/>
    <x v="7"/>
    <x v="7"/>
    <x v="2"/>
    <x v="1"/>
    <s v="Corporate"/>
    <s v="Online"/>
    <x v="6"/>
    <x v="2"/>
    <n v="150000"/>
    <n v="2"/>
    <x v="1"/>
    <n v="120000"/>
    <n v="300000"/>
    <n v="240000"/>
    <n v="60000"/>
  </r>
  <r>
    <x v="569"/>
    <x v="7"/>
    <x v="7"/>
    <x v="3"/>
    <x v="1"/>
    <s v="Retail"/>
    <s v="Online"/>
    <x v="9"/>
    <x v="1"/>
    <n v="220000"/>
    <n v="8"/>
    <x v="5"/>
    <n v="176000"/>
    <n v="1760000"/>
    <n v="1408000"/>
    <n v="352000"/>
  </r>
  <r>
    <x v="570"/>
    <x v="7"/>
    <x v="7"/>
    <x v="1"/>
    <x v="0"/>
    <s v="Retail"/>
    <s v="Store"/>
    <x v="6"/>
    <x v="2"/>
    <n v="150000"/>
    <n v="2"/>
    <x v="2"/>
    <n v="120000"/>
    <n v="300000"/>
    <n v="240000"/>
    <n v="60000"/>
  </r>
  <r>
    <x v="571"/>
    <x v="7"/>
    <x v="7"/>
    <x v="1"/>
    <x v="1"/>
    <s v="Corporate"/>
    <s v="Online"/>
    <x v="1"/>
    <x v="1"/>
    <n v="30000"/>
    <n v="1"/>
    <x v="3"/>
    <n v="24000"/>
    <n v="30000"/>
    <n v="24000"/>
    <n v="6000"/>
  </r>
  <r>
    <x v="572"/>
    <x v="7"/>
    <x v="7"/>
    <x v="1"/>
    <x v="0"/>
    <s v="Retail"/>
    <s v="Store"/>
    <x v="4"/>
    <x v="1"/>
    <n v="180000"/>
    <n v="5"/>
    <x v="0"/>
    <n v="144000"/>
    <n v="900000"/>
    <n v="720000"/>
    <n v="180000"/>
  </r>
  <r>
    <x v="573"/>
    <x v="7"/>
    <x v="7"/>
    <x v="0"/>
    <x v="2"/>
    <s v="Corporate"/>
    <s v="Store"/>
    <x v="6"/>
    <x v="2"/>
    <n v="150000"/>
    <n v="9"/>
    <x v="4"/>
    <n v="120000"/>
    <n v="1350000"/>
    <n v="1080000"/>
    <n v="270000"/>
  </r>
  <r>
    <x v="574"/>
    <x v="7"/>
    <x v="7"/>
    <x v="2"/>
    <x v="1"/>
    <s v="Corporate"/>
    <s v="Store"/>
    <x v="6"/>
    <x v="2"/>
    <n v="150000"/>
    <n v="5"/>
    <x v="4"/>
    <n v="120000"/>
    <n v="750000"/>
    <n v="600000"/>
    <n v="150000"/>
  </r>
  <r>
    <x v="575"/>
    <x v="7"/>
    <x v="7"/>
    <x v="2"/>
    <x v="0"/>
    <s v="Retail"/>
    <s v="Online"/>
    <x v="9"/>
    <x v="1"/>
    <n v="220000"/>
    <n v="4"/>
    <x v="5"/>
    <n v="176000"/>
    <n v="880000"/>
    <n v="704000"/>
    <n v="176000"/>
  </r>
  <r>
    <x v="576"/>
    <x v="7"/>
    <x v="7"/>
    <x v="0"/>
    <x v="2"/>
    <s v="Retail"/>
    <s v="Online"/>
    <x v="5"/>
    <x v="0"/>
    <n v="320000"/>
    <n v="4"/>
    <x v="0"/>
    <n v="256000"/>
    <n v="1280000"/>
    <n v="1024000"/>
    <n v="256000"/>
  </r>
  <r>
    <x v="577"/>
    <x v="7"/>
    <x v="7"/>
    <x v="0"/>
    <x v="3"/>
    <s v="Corporate"/>
    <s v="Store"/>
    <x v="5"/>
    <x v="0"/>
    <n v="320000"/>
    <n v="8"/>
    <x v="0"/>
    <n v="256000"/>
    <n v="2560000"/>
    <n v="2048000"/>
    <n v="512000"/>
  </r>
  <r>
    <x v="578"/>
    <x v="7"/>
    <x v="7"/>
    <x v="3"/>
    <x v="3"/>
    <s v="Retail"/>
    <s v="Online"/>
    <x v="2"/>
    <x v="1"/>
    <n v="60000"/>
    <n v="9"/>
    <x v="0"/>
    <n v="48000"/>
    <n v="540000"/>
    <n v="432000"/>
    <n v="108000"/>
  </r>
  <r>
    <x v="579"/>
    <x v="7"/>
    <x v="7"/>
    <x v="1"/>
    <x v="1"/>
    <s v="Retail"/>
    <s v="Store"/>
    <x v="3"/>
    <x v="2"/>
    <n v="300000"/>
    <n v="10"/>
    <x v="0"/>
    <n v="240000"/>
    <n v="3000000"/>
    <n v="2400000"/>
    <n v="600000"/>
  </r>
  <r>
    <x v="580"/>
    <x v="7"/>
    <x v="7"/>
    <x v="3"/>
    <x v="1"/>
    <s v="Corporate"/>
    <s v="Online"/>
    <x v="6"/>
    <x v="2"/>
    <n v="150000"/>
    <n v="6"/>
    <x v="3"/>
    <n v="120000"/>
    <n v="900000"/>
    <n v="720000"/>
    <n v="180000"/>
  </r>
  <r>
    <x v="581"/>
    <x v="7"/>
    <x v="7"/>
    <x v="2"/>
    <x v="2"/>
    <s v="Corporate"/>
    <s v="Online"/>
    <x v="4"/>
    <x v="1"/>
    <n v="180000"/>
    <n v="8"/>
    <x v="4"/>
    <n v="144000"/>
    <n v="1440000"/>
    <n v="1152000"/>
    <n v="288000"/>
  </r>
  <r>
    <x v="582"/>
    <x v="7"/>
    <x v="7"/>
    <x v="1"/>
    <x v="0"/>
    <s v="Retail"/>
    <s v="Online"/>
    <x v="2"/>
    <x v="1"/>
    <n v="60000"/>
    <n v="7"/>
    <x v="5"/>
    <n v="48000"/>
    <n v="420000"/>
    <n v="336000"/>
    <n v="84000"/>
  </r>
  <r>
    <x v="583"/>
    <x v="7"/>
    <x v="7"/>
    <x v="1"/>
    <x v="1"/>
    <s v="Retail"/>
    <s v="Store"/>
    <x v="6"/>
    <x v="2"/>
    <n v="150000"/>
    <n v="9"/>
    <x v="0"/>
    <n v="120000"/>
    <n v="1350000"/>
    <n v="1080000"/>
    <n v="270000"/>
  </r>
  <r>
    <x v="584"/>
    <x v="7"/>
    <x v="7"/>
    <x v="1"/>
    <x v="1"/>
    <s v="Retail"/>
    <s v="Store"/>
    <x v="4"/>
    <x v="1"/>
    <n v="180000"/>
    <n v="4"/>
    <x v="3"/>
    <n v="144000"/>
    <n v="720000"/>
    <n v="576000"/>
    <n v="144000"/>
  </r>
  <r>
    <x v="585"/>
    <x v="7"/>
    <x v="7"/>
    <x v="0"/>
    <x v="3"/>
    <s v="Retail"/>
    <s v="Store"/>
    <x v="4"/>
    <x v="1"/>
    <n v="180000"/>
    <n v="1"/>
    <x v="4"/>
    <n v="144000"/>
    <n v="180000"/>
    <n v="144000"/>
    <n v="36000"/>
  </r>
  <r>
    <x v="586"/>
    <x v="7"/>
    <x v="7"/>
    <x v="0"/>
    <x v="0"/>
    <s v="Retail"/>
    <s v="Online"/>
    <x v="2"/>
    <x v="1"/>
    <n v="60000"/>
    <n v="6"/>
    <x v="4"/>
    <n v="48000"/>
    <n v="360000"/>
    <n v="288000"/>
    <n v="72000"/>
  </r>
  <r>
    <x v="587"/>
    <x v="7"/>
    <x v="7"/>
    <x v="1"/>
    <x v="2"/>
    <s v="Corporate"/>
    <s v="Store"/>
    <x v="5"/>
    <x v="0"/>
    <n v="320000"/>
    <n v="8"/>
    <x v="3"/>
    <n v="256000"/>
    <n v="2560000"/>
    <n v="2048000"/>
    <n v="512000"/>
  </r>
  <r>
    <x v="588"/>
    <x v="7"/>
    <x v="7"/>
    <x v="1"/>
    <x v="2"/>
    <s v="Retail"/>
    <s v="Online"/>
    <x v="4"/>
    <x v="1"/>
    <n v="180000"/>
    <n v="6"/>
    <x v="4"/>
    <n v="144000"/>
    <n v="1080000"/>
    <n v="864000"/>
    <n v="216000"/>
  </r>
  <r>
    <x v="589"/>
    <x v="7"/>
    <x v="7"/>
    <x v="2"/>
    <x v="1"/>
    <s v="Corporate"/>
    <s v="Online"/>
    <x v="2"/>
    <x v="1"/>
    <n v="60000"/>
    <n v="8"/>
    <x v="1"/>
    <n v="48000"/>
    <n v="480000"/>
    <n v="384000"/>
    <n v="96000"/>
  </r>
  <r>
    <x v="590"/>
    <x v="8"/>
    <x v="8"/>
    <x v="1"/>
    <x v="1"/>
    <s v="Corporate"/>
    <s v="Online"/>
    <x v="7"/>
    <x v="2"/>
    <n v="420000"/>
    <n v="3"/>
    <x v="0"/>
    <n v="336000"/>
    <n v="1260000"/>
    <n v="1008000"/>
    <n v="252000"/>
  </r>
  <r>
    <x v="591"/>
    <x v="8"/>
    <x v="8"/>
    <x v="2"/>
    <x v="2"/>
    <s v="Corporate"/>
    <s v="Online"/>
    <x v="9"/>
    <x v="1"/>
    <n v="220000"/>
    <n v="5"/>
    <x v="1"/>
    <n v="176000"/>
    <n v="1100000"/>
    <n v="880000"/>
    <n v="220000"/>
  </r>
  <r>
    <x v="592"/>
    <x v="8"/>
    <x v="8"/>
    <x v="0"/>
    <x v="3"/>
    <s v="Retail"/>
    <s v="Online"/>
    <x v="2"/>
    <x v="1"/>
    <n v="60000"/>
    <n v="6"/>
    <x v="0"/>
    <n v="48000"/>
    <n v="360000"/>
    <n v="288000"/>
    <n v="72000"/>
  </r>
  <r>
    <x v="593"/>
    <x v="8"/>
    <x v="8"/>
    <x v="0"/>
    <x v="3"/>
    <s v="Retail"/>
    <s v="Store"/>
    <x v="2"/>
    <x v="1"/>
    <n v="60000"/>
    <n v="8"/>
    <x v="5"/>
    <n v="48000"/>
    <n v="480000"/>
    <n v="384000"/>
    <n v="96000"/>
  </r>
  <r>
    <x v="594"/>
    <x v="8"/>
    <x v="8"/>
    <x v="0"/>
    <x v="1"/>
    <s v="Corporate"/>
    <s v="Online"/>
    <x v="1"/>
    <x v="1"/>
    <n v="30000"/>
    <n v="2"/>
    <x v="0"/>
    <n v="24000"/>
    <n v="60000"/>
    <n v="48000"/>
    <n v="12000"/>
  </r>
  <r>
    <x v="595"/>
    <x v="8"/>
    <x v="8"/>
    <x v="1"/>
    <x v="0"/>
    <s v="Corporate"/>
    <s v="Store"/>
    <x v="3"/>
    <x v="2"/>
    <n v="300000"/>
    <n v="3"/>
    <x v="3"/>
    <n v="240000"/>
    <n v="900000"/>
    <n v="720000"/>
    <n v="180000"/>
  </r>
  <r>
    <x v="596"/>
    <x v="8"/>
    <x v="8"/>
    <x v="3"/>
    <x v="1"/>
    <s v="Corporate"/>
    <s v="Store"/>
    <x v="8"/>
    <x v="2"/>
    <n v="250000"/>
    <n v="3"/>
    <x v="1"/>
    <n v="200000"/>
    <n v="750000"/>
    <n v="600000"/>
    <n v="150000"/>
  </r>
  <r>
    <x v="597"/>
    <x v="8"/>
    <x v="8"/>
    <x v="3"/>
    <x v="1"/>
    <s v="Corporate"/>
    <s v="Store"/>
    <x v="7"/>
    <x v="2"/>
    <n v="420000"/>
    <n v="1"/>
    <x v="1"/>
    <n v="336000"/>
    <n v="420000"/>
    <n v="336000"/>
    <n v="84000"/>
  </r>
  <r>
    <x v="598"/>
    <x v="8"/>
    <x v="8"/>
    <x v="2"/>
    <x v="0"/>
    <s v="Corporate"/>
    <s v="Store"/>
    <x v="1"/>
    <x v="1"/>
    <n v="30000"/>
    <n v="1"/>
    <x v="3"/>
    <n v="24000"/>
    <n v="30000"/>
    <n v="24000"/>
    <n v="6000"/>
  </r>
  <r>
    <x v="599"/>
    <x v="8"/>
    <x v="8"/>
    <x v="2"/>
    <x v="2"/>
    <s v="Retail"/>
    <s v="Online"/>
    <x v="1"/>
    <x v="1"/>
    <n v="30000"/>
    <n v="8"/>
    <x v="4"/>
    <n v="24000"/>
    <n v="240000"/>
    <n v="192000"/>
    <n v="48000"/>
  </r>
  <r>
    <x v="600"/>
    <x v="8"/>
    <x v="8"/>
    <x v="3"/>
    <x v="0"/>
    <s v="Corporate"/>
    <s v="Online"/>
    <x v="8"/>
    <x v="2"/>
    <n v="250000"/>
    <n v="10"/>
    <x v="4"/>
    <n v="200000"/>
    <n v="2500000"/>
    <n v="2000000"/>
    <n v="500000"/>
  </r>
  <r>
    <x v="601"/>
    <x v="8"/>
    <x v="8"/>
    <x v="3"/>
    <x v="2"/>
    <s v="Corporate"/>
    <s v="Store"/>
    <x v="6"/>
    <x v="2"/>
    <n v="150000"/>
    <n v="10"/>
    <x v="1"/>
    <n v="120000"/>
    <n v="1500000"/>
    <n v="1200000"/>
    <n v="300000"/>
  </r>
  <r>
    <x v="602"/>
    <x v="8"/>
    <x v="8"/>
    <x v="1"/>
    <x v="3"/>
    <s v="Retail"/>
    <s v="Store"/>
    <x v="8"/>
    <x v="2"/>
    <n v="250000"/>
    <n v="8"/>
    <x v="0"/>
    <n v="200000"/>
    <n v="2000000"/>
    <n v="1600000"/>
    <n v="400000"/>
  </r>
  <r>
    <x v="603"/>
    <x v="8"/>
    <x v="8"/>
    <x v="3"/>
    <x v="2"/>
    <s v="Retail"/>
    <s v="Store"/>
    <x v="8"/>
    <x v="2"/>
    <n v="250000"/>
    <n v="9"/>
    <x v="5"/>
    <n v="200000"/>
    <n v="2250000"/>
    <n v="1800000"/>
    <n v="450000"/>
  </r>
  <r>
    <x v="604"/>
    <x v="8"/>
    <x v="8"/>
    <x v="3"/>
    <x v="3"/>
    <s v="Retail"/>
    <s v="Store"/>
    <x v="7"/>
    <x v="2"/>
    <n v="420000"/>
    <n v="10"/>
    <x v="2"/>
    <n v="336000"/>
    <n v="4200000"/>
    <n v="3360000"/>
    <n v="840000"/>
  </r>
  <r>
    <x v="605"/>
    <x v="8"/>
    <x v="8"/>
    <x v="0"/>
    <x v="1"/>
    <s v="Corporate"/>
    <s v="Online"/>
    <x v="0"/>
    <x v="0"/>
    <n v="85000"/>
    <n v="4"/>
    <x v="1"/>
    <n v="68000"/>
    <n v="340000"/>
    <n v="272000"/>
    <n v="68000"/>
  </r>
  <r>
    <x v="606"/>
    <x v="8"/>
    <x v="8"/>
    <x v="1"/>
    <x v="1"/>
    <s v="Retail"/>
    <s v="Online"/>
    <x v="4"/>
    <x v="1"/>
    <n v="180000"/>
    <n v="1"/>
    <x v="5"/>
    <n v="144000"/>
    <n v="180000"/>
    <n v="144000"/>
    <n v="36000"/>
  </r>
  <r>
    <x v="607"/>
    <x v="8"/>
    <x v="8"/>
    <x v="2"/>
    <x v="1"/>
    <s v="Retail"/>
    <s v="Store"/>
    <x v="4"/>
    <x v="1"/>
    <n v="180000"/>
    <n v="9"/>
    <x v="3"/>
    <n v="144000"/>
    <n v="1620000"/>
    <n v="1296000"/>
    <n v="324000"/>
  </r>
  <r>
    <x v="608"/>
    <x v="8"/>
    <x v="8"/>
    <x v="1"/>
    <x v="2"/>
    <s v="Corporate"/>
    <s v="Store"/>
    <x v="6"/>
    <x v="2"/>
    <n v="150000"/>
    <n v="10"/>
    <x v="2"/>
    <n v="120000"/>
    <n v="1500000"/>
    <n v="1200000"/>
    <n v="300000"/>
  </r>
  <r>
    <x v="609"/>
    <x v="8"/>
    <x v="8"/>
    <x v="1"/>
    <x v="3"/>
    <s v="Corporate"/>
    <s v="Store"/>
    <x v="3"/>
    <x v="2"/>
    <n v="300000"/>
    <n v="1"/>
    <x v="2"/>
    <n v="240000"/>
    <n v="300000"/>
    <n v="240000"/>
    <n v="60000"/>
  </r>
  <r>
    <x v="610"/>
    <x v="8"/>
    <x v="8"/>
    <x v="2"/>
    <x v="3"/>
    <s v="Retail"/>
    <s v="Online"/>
    <x v="6"/>
    <x v="2"/>
    <n v="150000"/>
    <n v="8"/>
    <x v="0"/>
    <n v="120000"/>
    <n v="1200000"/>
    <n v="960000"/>
    <n v="240000"/>
  </r>
  <r>
    <x v="611"/>
    <x v="8"/>
    <x v="8"/>
    <x v="0"/>
    <x v="3"/>
    <s v="Retail"/>
    <s v="Store"/>
    <x v="6"/>
    <x v="2"/>
    <n v="150000"/>
    <n v="3"/>
    <x v="3"/>
    <n v="120000"/>
    <n v="450000"/>
    <n v="360000"/>
    <n v="90000"/>
  </r>
  <r>
    <x v="612"/>
    <x v="8"/>
    <x v="8"/>
    <x v="3"/>
    <x v="3"/>
    <s v="Retail"/>
    <s v="Store"/>
    <x v="5"/>
    <x v="0"/>
    <n v="320000"/>
    <n v="3"/>
    <x v="0"/>
    <n v="256000"/>
    <n v="960000"/>
    <n v="768000"/>
    <n v="192000"/>
  </r>
  <r>
    <x v="613"/>
    <x v="8"/>
    <x v="8"/>
    <x v="2"/>
    <x v="2"/>
    <s v="Retail"/>
    <s v="Online"/>
    <x v="4"/>
    <x v="1"/>
    <n v="180000"/>
    <n v="8"/>
    <x v="0"/>
    <n v="144000"/>
    <n v="1440000"/>
    <n v="1152000"/>
    <n v="288000"/>
  </r>
  <r>
    <x v="614"/>
    <x v="8"/>
    <x v="8"/>
    <x v="2"/>
    <x v="2"/>
    <s v="Retail"/>
    <s v="Store"/>
    <x v="4"/>
    <x v="1"/>
    <n v="180000"/>
    <n v="1"/>
    <x v="1"/>
    <n v="144000"/>
    <n v="180000"/>
    <n v="144000"/>
    <n v="36000"/>
  </r>
  <r>
    <x v="615"/>
    <x v="8"/>
    <x v="8"/>
    <x v="0"/>
    <x v="1"/>
    <s v="Retail"/>
    <s v="Store"/>
    <x v="2"/>
    <x v="1"/>
    <n v="60000"/>
    <n v="7"/>
    <x v="4"/>
    <n v="48000"/>
    <n v="420000"/>
    <n v="336000"/>
    <n v="84000"/>
  </r>
  <r>
    <x v="616"/>
    <x v="8"/>
    <x v="8"/>
    <x v="1"/>
    <x v="2"/>
    <s v="Corporate"/>
    <s v="Store"/>
    <x v="5"/>
    <x v="0"/>
    <n v="320000"/>
    <n v="7"/>
    <x v="1"/>
    <n v="256000"/>
    <n v="2240000"/>
    <n v="1792000"/>
    <n v="448000"/>
  </r>
  <r>
    <x v="617"/>
    <x v="8"/>
    <x v="8"/>
    <x v="2"/>
    <x v="1"/>
    <s v="Corporate"/>
    <s v="Online"/>
    <x v="0"/>
    <x v="0"/>
    <n v="85000"/>
    <n v="9"/>
    <x v="1"/>
    <n v="68000"/>
    <n v="765000"/>
    <n v="612000"/>
    <n v="153000"/>
  </r>
  <r>
    <x v="618"/>
    <x v="8"/>
    <x v="8"/>
    <x v="0"/>
    <x v="1"/>
    <s v="Retail"/>
    <s v="Online"/>
    <x v="5"/>
    <x v="0"/>
    <n v="320000"/>
    <n v="3"/>
    <x v="4"/>
    <n v="256000"/>
    <n v="960000"/>
    <n v="768000"/>
    <n v="192000"/>
  </r>
  <r>
    <x v="619"/>
    <x v="8"/>
    <x v="8"/>
    <x v="2"/>
    <x v="3"/>
    <s v="Retail"/>
    <s v="Online"/>
    <x v="9"/>
    <x v="1"/>
    <n v="220000"/>
    <n v="4"/>
    <x v="4"/>
    <n v="176000"/>
    <n v="880000"/>
    <n v="704000"/>
    <n v="176000"/>
  </r>
  <r>
    <x v="620"/>
    <x v="9"/>
    <x v="9"/>
    <x v="1"/>
    <x v="2"/>
    <s v="Corporate"/>
    <s v="Online"/>
    <x v="5"/>
    <x v="0"/>
    <n v="320000"/>
    <n v="7"/>
    <x v="3"/>
    <n v="256000"/>
    <n v="2240000"/>
    <n v="1792000"/>
    <n v="448000"/>
  </r>
  <r>
    <x v="621"/>
    <x v="9"/>
    <x v="9"/>
    <x v="1"/>
    <x v="0"/>
    <s v="Corporate"/>
    <s v="Online"/>
    <x v="8"/>
    <x v="2"/>
    <n v="250000"/>
    <n v="1"/>
    <x v="2"/>
    <n v="200000"/>
    <n v="250000"/>
    <n v="200000"/>
    <n v="50000"/>
  </r>
  <r>
    <x v="622"/>
    <x v="9"/>
    <x v="9"/>
    <x v="1"/>
    <x v="2"/>
    <s v="Retail"/>
    <s v="Store"/>
    <x v="1"/>
    <x v="1"/>
    <n v="30000"/>
    <n v="5"/>
    <x v="2"/>
    <n v="24000"/>
    <n v="150000"/>
    <n v="120000"/>
    <n v="30000"/>
  </r>
  <r>
    <x v="623"/>
    <x v="9"/>
    <x v="9"/>
    <x v="2"/>
    <x v="2"/>
    <s v="Corporate"/>
    <s v="Online"/>
    <x v="9"/>
    <x v="1"/>
    <n v="220000"/>
    <n v="5"/>
    <x v="1"/>
    <n v="176000"/>
    <n v="1100000"/>
    <n v="880000"/>
    <n v="220000"/>
  </r>
  <r>
    <x v="624"/>
    <x v="9"/>
    <x v="9"/>
    <x v="3"/>
    <x v="2"/>
    <s v="Corporate"/>
    <s v="Store"/>
    <x v="8"/>
    <x v="2"/>
    <n v="250000"/>
    <n v="4"/>
    <x v="3"/>
    <n v="200000"/>
    <n v="1000000"/>
    <n v="800000"/>
    <n v="200000"/>
  </r>
  <r>
    <x v="625"/>
    <x v="9"/>
    <x v="9"/>
    <x v="3"/>
    <x v="0"/>
    <s v="Retail"/>
    <s v="Store"/>
    <x v="4"/>
    <x v="1"/>
    <n v="180000"/>
    <n v="4"/>
    <x v="0"/>
    <n v="144000"/>
    <n v="720000"/>
    <n v="576000"/>
    <n v="144000"/>
  </r>
  <r>
    <x v="626"/>
    <x v="9"/>
    <x v="9"/>
    <x v="2"/>
    <x v="0"/>
    <s v="Corporate"/>
    <s v="Store"/>
    <x v="2"/>
    <x v="1"/>
    <n v="60000"/>
    <n v="10"/>
    <x v="1"/>
    <n v="48000"/>
    <n v="600000"/>
    <n v="480000"/>
    <n v="120000"/>
  </r>
  <r>
    <x v="627"/>
    <x v="9"/>
    <x v="9"/>
    <x v="1"/>
    <x v="2"/>
    <s v="Retail"/>
    <s v="Online"/>
    <x v="5"/>
    <x v="0"/>
    <n v="320000"/>
    <n v="10"/>
    <x v="0"/>
    <n v="256000"/>
    <n v="3200000"/>
    <n v="2560000"/>
    <n v="640000"/>
  </r>
  <r>
    <x v="628"/>
    <x v="9"/>
    <x v="9"/>
    <x v="1"/>
    <x v="2"/>
    <s v="Retail"/>
    <s v="Store"/>
    <x v="6"/>
    <x v="2"/>
    <n v="150000"/>
    <n v="4"/>
    <x v="2"/>
    <n v="120000"/>
    <n v="600000"/>
    <n v="480000"/>
    <n v="120000"/>
  </r>
  <r>
    <x v="629"/>
    <x v="9"/>
    <x v="9"/>
    <x v="0"/>
    <x v="0"/>
    <s v="Corporate"/>
    <s v="Store"/>
    <x v="5"/>
    <x v="0"/>
    <n v="320000"/>
    <n v="4"/>
    <x v="0"/>
    <n v="256000"/>
    <n v="1280000"/>
    <n v="1024000"/>
    <n v="256000"/>
  </r>
  <r>
    <x v="630"/>
    <x v="9"/>
    <x v="9"/>
    <x v="2"/>
    <x v="1"/>
    <s v="Corporate"/>
    <s v="Online"/>
    <x v="3"/>
    <x v="2"/>
    <n v="300000"/>
    <n v="7"/>
    <x v="4"/>
    <n v="240000"/>
    <n v="2100000"/>
    <n v="1680000"/>
    <n v="420000"/>
  </r>
  <r>
    <x v="631"/>
    <x v="9"/>
    <x v="9"/>
    <x v="3"/>
    <x v="0"/>
    <s v="Corporate"/>
    <s v="Store"/>
    <x v="6"/>
    <x v="2"/>
    <n v="150000"/>
    <n v="10"/>
    <x v="0"/>
    <n v="120000"/>
    <n v="1500000"/>
    <n v="1200000"/>
    <n v="300000"/>
  </r>
  <r>
    <x v="632"/>
    <x v="9"/>
    <x v="9"/>
    <x v="2"/>
    <x v="1"/>
    <s v="Corporate"/>
    <s v="Online"/>
    <x v="9"/>
    <x v="1"/>
    <n v="220000"/>
    <n v="9"/>
    <x v="0"/>
    <n v="176000"/>
    <n v="1980000"/>
    <n v="1584000"/>
    <n v="396000"/>
  </r>
  <r>
    <x v="633"/>
    <x v="9"/>
    <x v="9"/>
    <x v="0"/>
    <x v="3"/>
    <s v="Corporate"/>
    <s v="Store"/>
    <x v="0"/>
    <x v="0"/>
    <n v="85000"/>
    <n v="4"/>
    <x v="2"/>
    <n v="68000"/>
    <n v="340000"/>
    <n v="272000"/>
    <n v="68000"/>
  </r>
  <r>
    <x v="634"/>
    <x v="9"/>
    <x v="9"/>
    <x v="2"/>
    <x v="2"/>
    <s v="Corporate"/>
    <s v="Online"/>
    <x v="5"/>
    <x v="0"/>
    <n v="320000"/>
    <n v="1"/>
    <x v="5"/>
    <n v="256000"/>
    <n v="320000"/>
    <n v="256000"/>
    <n v="64000"/>
  </r>
  <r>
    <x v="635"/>
    <x v="9"/>
    <x v="9"/>
    <x v="1"/>
    <x v="3"/>
    <s v="Corporate"/>
    <s v="Store"/>
    <x v="7"/>
    <x v="2"/>
    <n v="420000"/>
    <n v="1"/>
    <x v="3"/>
    <n v="336000"/>
    <n v="420000"/>
    <n v="336000"/>
    <n v="84000"/>
  </r>
  <r>
    <x v="636"/>
    <x v="9"/>
    <x v="9"/>
    <x v="2"/>
    <x v="2"/>
    <s v="Corporate"/>
    <s v="Store"/>
    <x v="7"/>
    <x v="2"/>
    <n v="420000"/>
    <n v="6"/>
    <x v="1"/>
    <n v="336000"/>
    <n v="2520000"/>
    <n v="2016000"/>
    <n v="504000"/>
  </r>
  <r>
    <x v="637"/>
    <x v="9"/>
    <x v="9"/>
    <x v="3"/>
    <x v="1"/>
    <s v="Corporate"/>
    <s v="Online"/>
    <x v="2"/>
    <x v="1"/>
    <n v="60000"/>
    <n v="8"/>
    <x v="4"/>
    <n v="48000"/>
    <n v="480000"/>
    <n v="384000"/>
    <n v="96000"/>
  </r>
  <r>
    <x v="638"/>
    <x v="9"/>
    <x v="9"/>
    <x v="1"/>
    <x v="0"/>
    <s v="Corporate"/>
    <s v="Store"/>
    <x v="9"/>
    <x v="1"/>
    <n v="220000"/>
    <n v="7"/>
    <x v="0"/>
    <n v="176000"/>
    <n v="1540000"/>
    <n v="1232000"/>
    <n v="308000"/>
  </r>
  <r>
    <x v="639"/>
    <x v="9"/>
    <x v="9"/>
    <x v="2"/>
    <x v="0"/>
    <s v="Corporate"/>
    <s v="Online"/>
    <x v="5"/>
    <x v="0"/>
    <n v="320000"/>
    <n v="9"/>
    <x v="3"/>
    <n v="256000"/>
    <n v="2880000"/>
    <n v="2304000"/>
    <n v="576000"/>
  </r>
  <r>
    <x v="640"/>
    <x v="9"/>
    <x v="9"/>
    <x v="0"/>
    <x v="3"/>
    <s v="Corporate"/>
    <s v="Store"/>
    <x v="3"/>
    <x v="2"/>
    <n v="300000"/>
    <n v="2"/>
    <x v="4"/>
    <n v="240000"/>
    <n v="600000"/>
    <n v="480000"/>
    <n v="120000"/>
  </r>
  <r>
    <x v="641"/>
    <x v="9"/>
    <x v="9"/>
    <x v="2"/>
    <x v="0"/>
    <s v="Corporate"/>
    <s v="Online"/>
    <x v="8"/>
    <x v="2"/>
    <n v="250000"/>
    <n v="4"/>
    <x v="4"/>
    <n v="200000"/>
    <n v="1000000"/>
    <n v="800000"/>
    <n v="200000"/>
  </r>
  <r>
    <x v="642"/>
    <x v="9"/>
    <x v="9"/>
    <x v="3"/>
    <x v="1"/>
    <s v="Retail"/>
    <s v="Online"/>
    <x v="1"/>
    <x v="1"/>
    <n v="30000"/>
    <n v="4"/>
    <x v="4"/>
    <n v="24000"/>
    <n v="120000"/>
    <n v="96000"/>
    <n v="24000"/>
  </r>
  <r>
    <x v="643"/>
    <x v="9"/>
    <x v="9"/>
    <x v="0"/>
    <x v="1"/>
    <s v="Retail"/>
    <s v="Store"/>
    <x v="9"/>
    <x v="1"/>
    <n v="220000"/>
    <n v="4"/>
    <x v="0"/>
    <n v="176000"/>
    <n v="880000"/>
    <n v="704000"/>
    <n v="176000"/>
  </r>
  <r>
    <x v="644"/>
    <x v="9"/>
    <x v="9"/>
    <x v="3"/>
    <x v="3"/>
    <s v="Retail"/>
    <s v="Store"/>
    <x v="3"/>
    <x v="2"/>
    <n v="300000"/>
    <n v="2"/>
    <x v="4"/>
    <n v="240000"/>
    <n v="600000"/>
    <n v="480000"/>
    <n v="120000"/>
  </r>
  <r>
    <x v="645"/>
    <x v="9"/>
    <x v="9"/>
    <x v="2"/>
    <x v="1"/>
    <s v="Retail"/>
    <s v="Online"/>
    <x v="5"/>
    <x v="0"/>
    <n v="320000"/>
    <n v="7"/>
    <x v="1"/>
    <n v="256000"/>
    <n v="2240000"/>
    <n v="1792000"/>
    <n v="448000"/>
  </r>
  <r>
    <x v="646"/>
    <x v="9"/>
    <x v="9"/>
    <x v="1"/>
    <x v="3"/>
    <s v="Corporate"/>
    <s v="Online"/>
    <x v="2"/>
    <x v="1"/>
    <n v="60000"/>
    <n v="5"/>
    <x v="2"/>
    <n v="48000"/>
    <n v="300000"/>
    <n v="240000"/>
    <n v="60000"/>
  </r>
  <r>
    <x v="647"/>
    <x v="9"/>
    <x v="9"/>
    <x v="2"/>
    <x v="2"/>
    <s v="Retail"/>
    <s v="Online"/>
    <x v="0"/>
    <x v="0"/>
    <n v="85000"/>
    <n v="7"/>
    <x v="3"/>
    <n v="68000"/>
    <n v="595000"/>
    <n v="476000"/>
    <n v="119000"/>
  </r>
  <r>
    <x v="648"/>
    <x v="9"/>
    <x v="9"/>
    <x v="0"/>
    <x v="1"/>
    <s v="Retail"/>
    <s v="Store"/>
    <x v="3"/>
    <x v="2"/>
    <n v="300000"/>
    <n v="6"/>
    <x v="5"/>
    <n v="240000"/>
    <n v="1800000"/>
    <n v="1440000"/>
    <n v="360000"/>
  </r>
  <r>
    <x v="649"/>
    <x v="9"/>
    <x v="9"/>
    <x v="1"/>
    <x v="2"/>
    <s v="Corporate"/>
    <s v="Online"/>
    <x v="4"/>
    <x v="1"/>
    <n v="180000"/>
    <n v="5"/>
    <x v="2"/>
    <n v="144000"/>
    <n v="900000"/>
    <n v="720000"/>
    <n v="180000"/>
  </r>
  <r>
    <x v="650"/>
    <x v="9"/>
    <x v="9"/>
    <x v="1"/>
    <x v="1"/>
    <s v="Corporate"/>
    <s v="Store"/>
    <x v="3"/>
    <x v="2"/>
    <n v="300000"/>
    <n v="1"/>
    <x v="4"/>
    <n v="240000"/>
    <n v="300000"/>
    <n v="240000"/>
    <n v="60000"/>
  </r>
  <r>
    <x v="651"/>
    <x v="10"/>
    <x v="10"/>
    <x v="0"/>
    <x v="0"/>
    <s v="Retail"/>
    <s v="Store"/>
    <x v="2"/>
    <x v="1"/>
    <n v="60000"/>
    <n v="7"/>
    <x v="1"/>
    <n v="48000"/>
    <n v="420000"/>
    <n v="336000"/>
    <n v="84000"/>
  </r>
  <r>
    <x v="652"/>
    <x v="10"/>
    <x v="10"/>
    <x v="2"/>
    <x v="2"/>
    <s v="Retail"/>
    <s v="Online"/>
    <x v="1"/>
    <x v="1"/>
    <n v="30000"/>
    <n v="8"/>
    <x v="2"/>
    <n v="24000"/>
    <n v="240000"/>
    <n v="192000"/>
    <n v="48000"/>
  </r>
  <r>
    <x v="653"/>
    <x v="10"/>
    <x v="10"/>
    <x v="0"/>
    <x v="1"/>
    <s v="Corporate"/>
    <s v="Online"/>
    <x v="9"/>
    <x v="1"/>
    <n v="220000"/>
    <n v="3"/>
    <x v="3"/>
    <n v="176000"/>
    <n v="660000"/>
    <n v="528000"/>
    <n v="132000"/>
  </r>
  <r>
    <x v="654"/>
    <x v="10"/>
    <x v="10"/>
    <x v="2"/>
    <x v="1"/>
    <s v="Corporate"/>
    <s v="Online"/>
    <x v="9"/>
    <x v="1"/>
    <n v="220000"/>
    <n v="7"/>
    <x v="3"/>
    <n v="176000"/>
    <n v="1540000"/>
    <n v="1232000"/>
    <n v="308000"/>
  </r>
  <r>
    <x v="655"/>
    <x v="10"/>
    <x v="10"/>
    <x v="3"/>
    <x v="0"/>
    <s v="Retail"/>
    <s v="Store"/>
    <x v="4"/>
    <x v="1"/>
    <n v="180000"/>
    <n v="2"/>
    <x v="1"/>
    <n v="144000"/>
    <n v="360000"/>
    <n v="288000"/>
    <n v="72000"/>
  </r>
  <r>
    <x v="656"/>
    <x v="10"/>
    <x v="10"/>
    <x v="0"/>
    <x v="2"/>
    <s v="Retail"/>
    <s v="Store"/>
    <x v="2"/>
    <x v="1"/>
    <n v="60000"/>
    <n v="8"/>
    <x v="4"/>
    <n v="48000"/>
    <n v="480000"/>
    <n v="384000"/>
    <n v="96000"/>
  </r>
  <r>
    <x v="657"/>
    <x v="10"/>
    <x v="10"/>
    <x v="3"/>
    <x v="1"/>
    <s v="Retail"/>
    <s v="Online"/>
    <x v="1"/>
    <x v="1"/>
    <n v="30000"/>
    <n v="2"/>
    <x v="3"/>
    <n v="24000"/>
    <n v="60000"/>
    <n v="48000"/>
    <n v="12000"/>
  </r>
  <r>
    <x v="658"/>
    <x v="10"/>
    <x v="10"/>
    <x v="3"/>
    <x v="1"/>
    <s v="Corporate"/>
    <s v="Online"/>
    <x v="6"/>
    <x v="2"/>
    <n v="150000"/>
    <n v="5"/>
    <x v="3"/>
    <n v="120000"/>
    <n v="750000"/>
    <n v="600000"/>
    <n v="150000"/>
  </r>
  <r>
    <x v="659"/>
    <x v="10"/>
    <x v="10"/>
    <x v="0"/>
    <x v="1"/>
    <s v="Corporate"/>
    <s v="Store"/>
    <x v="8"/>
    <x v="2"/>
    <n v="250000"/>
    <n v="5"/>
    <x v="3"/>
    <n v="200000"/>
    <n v="1250000"/>
    <n v="1000000"/>
    <n v="250000"/>
  </r>
  <r>
    <x v="660"/>
    <x v="10"/>
    <x v="10"/>
    <x v="2"/>
    <x v="0"/>
    <s v="Corporate"/>
    <s v="Online"/>
    <x v="0"/>
    <x v="0"/>
    <n v="85000"/>
    <n v="4"/>
    <x v="1"/>
    <n v="68000"/>
    <n v="340000"/>
    <n v="272000"/>
    <n v="68000"/>
  </r>
  <r>
    <x v="661"/>
    <x v="10"/>
    <x v="10"/>
    <x v="0"/>
    <x v="2"/>
    <s v="Retail"/>
    <s v="Store"/>
    <x v="3"/>
    <x v="2"/>
    <n v="300000"/>
    <n v="10"/>
    <x v="1"/>
    <n v="240000"/>
    <n v="3000000"/>
    <n v="2400000"/>
    <n v="600000"/>
  </r>
  <r>
    <x v="662"/>
    <x v="10"/>
    <x v="10"/>
    <x v="2"/>
    <x v="0"/>
    <s v="Corporate"/>
    <s v="Online"/>
    <x v="8"/>
    <x v="2"/>
    <n v="250000"/>
    <n v="8"/>
    <x v="5"/>
    <n v="200000"/>
    <n v="2000000"/>
    <n v="1600000"/>
    <n v="400000"/>
  </r>
  <r>
    <x v="663"/>
    <x v="10"/>
    <x v="10"/>
    <x v="0"/>
    <x v="1"/>
    <s v="Retail"/>
    <s v="Store"/>
    <x v="5"/>
    <x v="0"/>
    <n v="320000"/>
    <n v="4"/>
    <x v="5"/>
    <n v="256000"/>
    <n v="1280000"/>
    <n v="1024000"/>
    <n v="256000"/>
  </r>
  <r>
    <x v="664"/>
    <x v="10"/>
    <x v="10"/>
    <x v="3"/>
    <x v="1"/>
    <s v="Corporate"/>
    <s v="Store"/>
    <x v="1"/>
    <x v="1"/>
    <n v="30000"/>
    <n v="10"/>
    <x v="2"/>
    <n v="24000"/>
    <n v="300000"/>
    <n v="240000"/>
    <n v="60000"/>
  </r>
  <r>
    <x v="665"/>
    <x v="10"/>
    <x v="10"/>
    <x v="3"/>
    <x v="0"/>
    <s v="Corporate"/>
    <s v="Online"/>
    <x v="8"/>
    <x v="2"/>
    <n v="250000"/>
    <n v="4"/>
    <x v="4"/>
    <n v="200000"/>
    <n v="1000000"/>
    <n v="800000"/>
    <n v="200000"/>
  </r>
  <r>
    <x v="666"/>
    <x v="10"/>
    <x v="10"/>
    <x v="1"/>
    <x v="0"/>
    <s v="Corporate"/>
    <s v="Online"/>
    <x v="5"/>
    <x v="0"/>
    <n v="320000"/>
    <n v="5"/>
    <x v="2"/>
    <n v="256000"/>
    <n v="1600000"/>
    <n v="1280000"/>
    <n v="320000"/>
  </r>
  <r>
    <x v="667"/>
    <x v="10"/>
    <x v="10"/>
    <x v="1"/>
    <x v="1"/>
    <s v="Retail"/>
    <s v="Store"/>
    <x v="5"/>
    <x v="0"/>
    <n v="320000"/>
    <n v="9"/>
    <x v="5"/>
    <n v="256000"/>
    <n v="2880000"/>
    <n v="2304000"/>
    <n v="576000"/>
  </r>
  <r>
    <x v="668"/>
    <x v="10"/>
    <x v="10"/>
    <x v="1"/>
    <x v="1"/>
    <s v="Retail"/>
    <s v="Online"/>
    <x v="4"/>
    <x v="1"/>
    <n v="180000"/>
    <n v="1"/>
    <x v="4"/>
    <n v="144000"/>
    <n v="180000"/>
    <n v="144000"/>
    <n v="36000"/>
  </r>
  <r>
    <x v="669"/>
    <x v="10"/>
    <x v="10"/>
    <x v="2"/>
    <x v="0"/>
    <s v="Retail"/>
    <s v="Online"/>
    <x v="1"/>
    <x v="1"/>
    <n v="30000"/>
    <n v="7"/>
    <x v="2"/>
    <n v="24000"/>
    <n v="210000"/>
    <n v="168000"/>
    <n v="42000"/>
  </r>
  <r>
    <x v="670"/>
    <x v="10"/>
    <x v="10"/>
    <x v="3"/>
    <x v="3"/>
    <s v="Corporate"/>
    <s v="Store"/>
    <x v="9"/>
    <x v="1"/>
    <n v="220000"/>
    <n v="5"/>
    <x v="3"/>
    <n v="176000"/>
    <n v="1100000"/>
    <n v="880000"/>
    <n v="220000"/>
  </r>
  <r>
    <x v="671"/>
    <x v="10"/>
    <x v="10"/>
    <x v="3"/>
    <x v="3"/>
    <s v="Corporate"/>
    <s v="Online"/>
    <x v="4"/>
    <x v="1"/>
    <n v="180000"/>
    <n v="4"/>
    <x v="5"/>
    <n v="144000"/>
    <n v="720000"/>
    <n v="576000"/>
    <n v="144000"/>
  </r>
  <r>
    <x v="672"/>
    <x v="10"/>
    <x v="10"/>
    <x v="2"/>
    <x v="0"/>
    <s v="Corporate"/>
    <s v="Online"/>
    <x v="4"/>
    <x v="1"/>
    <n v="180000"/>
    <n v="2"/>
    <x v="2"/>
    <n v="144000"/>
    <n v="360000"/>
    <n v="288000"/>
    <n v="72000"/>
  </r>
  <r>
    <x v="673"/>
    <x v="10"/>
    <x v="10"/>
    <x v="0"/>
    <x v="2"/>
    <s v="Corporate"/>
    <s v="Online"/>
    <x v="9"/>
    <x v="1"/>
    <n v="220000"/>
    <n v="2"/>
    <x v="4"/>
    <n v="176000"/>
    <n v="440000"/>
    <n v="352000"/>
    <n v="88000"/>
  </r>
  <r>
    <x v="674"/>
    <x v="10"/>
    <x v="10"/>
    <x v="0"/>
    <x v="1"/>
    <s v="Corporate"/>
    <s v="Store"/>
    <x v="2"/>
    <x v="1"/>
    <n v="60000"/>
    <n v="10"/>
    <x v="4"/>
    <n v="48000"/>
    <n v="600000"/>
    <n v="480000"/>
    <n v="120000"/>
  </r>
  <r>
    <x v="675"/>
    <x v="10"/>
    <x v="10"/>
    <x v="3"/>
    <x v="0"/>
    <s v="Retail"/>
    <s v="Store"/>
    <x v="1"/>
    <x v="1"/>
    <n v="30000"/>
    <n v="2"/>
    <x v="5"/>
    <n v="24000"/>
    <n v="60000"/>
    <n v="48000"/>
    <n v="12000"/>
  </r>
  <r>
    <x v="676"/>
    <x v="10"/>
    <x v="10"/>
    <x v="1"/>
    <x v="1"/>
    <s v="Corporate"/>
    <s v="Online"/>
    <x v="3"/>
    <x v="2"/>
    <n v="300000"/>
    <n v="3"/>
    <x v="1"/>
    <n v="240000"/>
    <n v="900000"/>
    <n v="720000"/>
    <n v="180000"/>
  </r>
  <r>
    <x v="677"/>
    <x v="10"/>
    <x v="10"/>
    <x v="2"/>
    <x v="2"/>
    <s v="Retail"/>
    <s v="Store"/>
    <x v="1"/>
    <x v="1"/>
    <n v="30000"/>
    <n v="8"/>
    <x v="0"/>
    <n v="24000"/>
    <n v="240000"/>
    <n v="192000"/>
    <n v="48000"/>
  </r>
  <r>
    <x v="678"/>
    <x v="10"/>
    <x v="10"/>
    <x v="3"/>
    <x v="0"/>
    <s v="Retail"/>
    <s v="Online"/>
    <x v="3"/>
    <x v="2"/>
    <n v="300000"/>
    <n v="7"/>
    <x v="0"/>
    <n v="240000"/>
    <n v="2100000"/>
    <n v="1680000"/>
    <n v="420000"/>
  </r>
  <r>
    <x v="679"/>
    <x v="10"/>
    <x v="10"/>
    <x v="1"/>
    <x v="0"/>
    <s v="Retail"/>
    <s v="Online"/>
    <x v="1"/>
    <x v="1"/>
    <n v="30000"/>
    <n v="2"/>
    <x v="3"/>
    <n v="24000"/>
    <n v="60000"/>
    <n v="48000"/>
    <n v="12000"/>
  </r>
  <r>
    <x v="680"/>
    <x v="10"/>
    <x v="10"/>
    <x v="1"/>
    <x v="0"/>
    <s v="Corporate"/>
    <s v="Store"/>
    <x v="9"/>
    <x v="1"/>
    <n v="220000"/>
    <n v="8"/>
    <x v="2"/>
    <n v="176000"/>
    <n v="1760000"/>
    <n v="1408000"/>
    <n v="352000"/>
  </r>
  <r>
    <x v="681"/>
    <x v="11"/>
    <x v="11"/>
    <x v="0"/>
    <x v="2"/>
    <s v="Retail"/>
    <s v="Online"/>
    <x v="2"/>
    <x v="1"/>
    <n v="60000"/>
    <n v="1"/>
    <x v="0"/>
    <n v="48000"/>
    <n v="60000"/>
    <n v="48000"/>
    <n v="12000"/>
  </r>
  <r>
    <x v="682"/>
    <x v="11"/>
    <x v="11"/>
    <x v="2"/>
    <x v="2"/>
    <s v="Corporate"/>
    <s v="Online"/>
    <x v="0"/>
    <x v="0"/>
    <n v="85000"/>
    <n v="9"/>
    <x v="4"/>
    <n v="68000"/>
    <n v="765000"/>
    <n v="612000"/>
    <n v="153000"/>
  </r>
  <r>
    <x v="683"/>
    <x v="11"/>
    <x v="11"/>
    <x v="1"/>
    <x v="1"/>
    <s v="Retail"/>
    <s v="Store"/>
    <x v="0"/>
    <x v="0"/>
    <n v="85000"/>
    <n v="4"/>
    <x v="3"/>
    <n v="68000"/>
    <n v="340000"/>
    <n v="272000"/>
    <n v="68000"/>
  </r>
  <r>
    <x v="684"/>
    <x v="11"/>
    <x v="11"/>
    <x v="1"/>
    <x v="3"/>
    <s v="Corporate"/>
    <s v="Store"/>
    <x v="4"/>
    <x v="1"/>
    <n v="180000"/>
    <n v="6"/>
    <x v="0"/>
    <n v="144000"/>
    <n v="1080000"/>
    <n v="864000"/>
    <n v="216000"/>
  </r>
  <r>
    <x v="685"/>
    <x v="11"/>
    <x v="11"/>
    <x v="0"/>
    <x v="3"/>
    <s v="Retail"/>
    <s v="Online"/>
    <x v="4"/>
    <x v="1"/>
    <n v="180000"/>
    <n v="2"/>
    <x v="5"/>
    <n v="144000"/>
    <n v="360000"/>
    <n v="288000"/>
    <n v="72000"/>
  </r>
  <r>
    <x v="686"/>
    <x v="11"/>
    <x v="11"/>
    <x v="3"/>
    <x v="0"/>
    <s v="Retail"/>
    <s v="Online"/>
    <x v="2"/>
    <x v="1"/>
    <n v="60000"/>
    <n v="8"/>
    <x v="2"/>
    <n v="48000"/>
    <n v="480000"/>
    <n v="384000"/>
    <n v="96000"/>
  </r>
  <r>
    <x v="687"/>
    <x v="11"/>
    <x v="11"/>
    <x v="3"/>
    <x v="3"/>
    <s v="Retail"/>
    <s v="Online"/>
    <x v="5"/>
    <x v="0"/>
    <n v="320000"/>
    <n v="4"/>
    <x v="3"/>
    <n v="256000"/>
    <n v="1280000"/>
    <n v="1024000"/>
    <n v="256000"/>
  </r>
  <r>
    <x v="688"/>
    <x v="11"/>
    <x v="11"/>
    <x v="1"/>
    <x v="1"/>
    <s v="Corporate"/>
    <s v="Online"/>
    <x v="4"/>
    <x v="1"/>
    <n v="180000"/>
    <n v="3"/>
    <x v="1"/>
    <n v="144000"/>
    <n v="540000"/>
    <n v="432000"/>
    <n v="108000"/>
  </r>
  <r>
    <x v="689"/>
    <x v="11"/>
    <x v="11"/>
    <x v="1"/>
    <x v="0"/>
    <s v="Retail"/>
    <s v="Store"/>
    <x v="6"/>
    <x v="2"/>
    <n v="150000"/>
    <n v="9"/>
    <x v="2"/>
    <n v="120000"/>
    <n v="1350000"/>
    <n v="1080000"/>
    <n v="270000"/>
  </r>
  <r>
    <x v="690"/>
    <x v="11"/>
    <x v="11"/>
    <x v="1"/>
    <x v="1"/>
    <s v="Corporate"/>
    <s v="Store"/>
    <x v="0"/>
    <x v="0"/>
    <n v="85000"/>
    <n v="4"/>
    <x v="0"/>
    <n v="68000"/>
    <n v="340000"/>
    <n v="272000"/>
    <n v="68000"/>
  </r>
  <r>
    <x v="691"/>
    <x v="11"/>
    <x v="11"/>
    <x v="2"/>
    <x v="2"/>
    <s v="Retail"/>
    <s v="Online"/>
    <x v="9"/>
    <x v="1"/>
    <n v="220000"/>
    <n v="4"/>
    <x v="0"/>
    <n v="176000"/>
    <n v="880000"/>
    <n v="704000"/>
    <n v="176000"/>
  </r>
  <r>
    <x v="692"/>
    <x v="11"/>
    <x v="11"/>
    <x v="3"/>
    <x v="0"/>
    <s v="Retail"/>
    <s v="Online"/>
    <x v="1"/>
    <x v="1"/>
    <n v="30000"/>
    <n v="8"/>
    <x v="4"/>
    <n v="24000"/>
    <n v="240000"/>
    <n v="192000"/>
    <n v="48000"/>
  </r>
  <r>
    <x v="693"/>
    <x v="11"/>
    <x v="11"/>
    <x v="2"/>
    <x v="0"/>
    <s v="Retail"/>
    <s v="Online"/>
    <x v="0"/>
    <x v="0"/>
    <n v="85000"/>
    <n v="4"/>
    <x v="0"/>
    <n v="68000"/>
    <n v="340000"/>
    <n v="272000"/>
    <n v="68000"/>
  </r>
  <r>
    <x v="694"/>
    <x v="11"/>
    <x v="11"/>
    <x v="3"/>
    <x v="0"/>
    <s v="Retail"/>
    <s v="Online"/>
    <x v="3"/>
    <x v="2"/>
    <n v="300000"/>
    <n v="2"/>
    <x v="2"/>
    <n v="240000"/>
    <n v="600000"/>
    <n v="480000"/>
    <n v="120000"/>
  </r>
  <r>
    <x v="695"/>
    <x v="11"/>
    <x v="11"/>
    <x v="0"/>
    <x v="2"/>
    <s v="Corporate"/>
    <s v="Store"/>
    <x v="0"/>
    <x v="0"/>
    <n v="85000"/>
    <n v="2"/>
    <x v="4"/>
    <n v="68000"/>
    <n v="170000"/>
    <n v="136000"/>
    <n v="34000"/>
  </r>
  <r>
    <x v="696"/>
    <x v="11"/>
    <x v="11"/>
    <x v="0"/>
    <x v="0"/>
    <s v="Corporate"/>
    <s v="Online"/>
    <x v="7"/>
    <x v="2"/>
    <n v="420000"/>
    <n v="5"/>
    <x v="0"/>
    <n v="336000"/>
    <n v="2100000"/>
    <n v="1680000"/>
    <n v="420000"/>
  </r>
  <r>
    <x v="697"/>
    <x v="11"/>
    <x v="11"/>
    <x v="2"/>
    <x v="2"/>
    <s v="Corporate"/>
    <s v="Online"/>
    <x v="3"/>
    <x v="2"/>
    <n v="300000"/>
    <n v="8"/>
    <x v="1"/>
    <n v="240000"/>
    <n v="2400000"/>
    <n v="1920000"/>
    <n v="480000"/>
  </r>
  <r>
    <x v="698"/>
    <x v="11"/>
    <x v="11"/>
    <x v="0"/>
    <x v="1"/>
    <s v="Corporate"/>
    <s v="Store"/>
    <x v="2"/>
    <x v="1"/>
    <n v="60000"/>
    <n v="1"/>
    <x v="0"/>
    <n v="48000"/>
    <n v="60000"/>
    <n v="48000"/>
    <n v="12000"/>
  </r>
  <r>
    <x v="699"/>
    <x v="11"/>
    <x v="11"/>
    <x v="0"/>
    <x v="2"/>
    <s v="Retail"/>
    <s v="Online"/>
    <x v="8"/>
    <x v="2"/>
    <n v="250000"/>
    <n v="8"/>
    <x v="0"/>
    <n v="200000"/>
    <n v="2000000"/>
    <n v="1600000"/>
    <n v="400000"/>
  </r>
  <r>
    <x v="700"/>
    <x v="11"/>
    <x v="11"/>
    <x v="0"/>
    <x v="1"/>
    <s v="Corporate"/>
    <s v="Online"/>
    <x v="3"/>
    <x v="2"/>
    <n v="300000"/>
    <n v="4"/>
    <x v="0"/>
    <n v="240000"/>
    <n v="1200000"/>
    <n v="960000"/>
    <n v="240000"/>
  </r>
  <r>
    <x v="701"/>
    <x v="11"/>
    <x v="11"/>
    <x v="1"/>
    <x v="2"/>
    <s v="Corporate"/>
    <s v="Online"/>
    <x v="3"/>
    <x v="2"/>
    <n v="300000"/>
    <n v="10"/>
    <x v="4"/>
    <n v="240000"/>
    <n v="3000000"/>
    <n v="2400000"/>
    <n v="600000"/>
  </r>
  <r>
    <x v="702"/>
    <x v="11"/>
    <x v="11"/>
    <x v="2"/>
    <x v="1"/>
    <s v="Retail"/>
    <s v="Online"/>
    <x v="3"/>
    <x v="2"/>
    <n v="300000"/>
    <n v="2"/>
    <x v="5"/>
    <n v="240000"/>
    <n v="600000"/>
    <n v="480000"/>
    <n v="120000"/>
  </r>
  <r>
    <x v="703"/>
    <x v="11"/>
    <x v="11"/>
    <x v="0"/>
    <x v="3"/>
    <s v="Retail"/>
    <s v="Store"/>
    <x v="0"/>
    <x v="0"/>
    <n v="85000"/>
    <n v="2"/>
    <x v="3"/>
    <n v="68000"/>
    <n v="170000"/>
    <n v="136000"/>
    <n v="34000"/>
  </r>
  <r>
    <x v="704"/>
    <x v="11"/>
    <x v="11"/>
    <x v="3"/>
    <x v="1"/>
    <s v="Retail"/>
    <s v="Online"/>
    <x v="5"/>
    <x v="0"/>
    <n v="320000"/>
    <n v="3"/>
    <x v="2"/>
    <n v="256000"/>
    <n v="960000"/>
    <n v="768000"/>
    <n v="192000"/>
  </r>
  <r>
    <x v="705"/>
    <x v="11"/>
    <x v="11"/>
    <x v="0"/>
    <x v="2"/>
    <s v="Retail"/>
    <s v="Store"/>
    <x v="6"/>
    <x v="2"/>
    <n v="150000"/>
    <n v="4"/>
    <x v="0"/>
    <n v="120000"/>
    <n v="600000"/>
    <n v="480000"/>
    <n v="120000"/>
  </r>
  <r>
    <x v="706"/>
    <x v="11"/>
    <x v="11"/>
    <x v="0"/>
    <x v="2"/>
    <s v="Corporate"/>
    <s v="Store"/>
    <x v="2"/>
    <x v="1"/>
    <n v="60000"/>
    <n v="8"/>
    <x v="2"/>
    <n v="48000"/>
    <n v="480000"/>
    <n v="384000"/>
    <n v="96000"/>
  </r>
  <r>
    <x v="707"/>
    <x v="11"/>
    <x v="11"/>
    <x v="3"/>
    <x v="0"/>
    <s v="Corporate"/>
    <s v="Store"/>
    <x v="0"/>
    <x v="0"/>
    <n v="85000"/>
    <n v="2"/>
    <x v="0"/>
    <n v="68000"/>
    <n v="170000"/>
    <n v="136000"/>
    <n v="34000"/>
  </r>
  <r>
    <x v="708"/>
    <x v="11"/>
    <x v="11"/>
    <x v="3"/>
    <x v="1"/>
    <s v="Corporate"/>
    <s v="Store"/>
    <x v="3"/>
    <x v="2"/>
    <n v="300000"/>
    <n v="8"/>
    <x v="1"/>
    <n v="240000"/>
    <n v="2400000"/>
    <n v="1920000"/>
    <n v="480000"/>
  </r>
  <r>
    <x v="709"/>
    <x v="11"/>
    <x v="11"/>
    <x v="3"/>
    <x v="0"/>
    <s v="Retail"/>
    <s v="Online"/>
    <x v="5"/>
    <x v="0"/>
    <n v="320000"/>
    <n v="5"/>
    <x v="4"/>
    <n v="256000"/>
    <n v="1600000"/>
    <n v="1280000"/>
    <n v="320000"/>
  </r>
  <r>
    <x v="710"/>
    <x v="11"/>
    <x v="11"/>
    <x v="0"/>
    <x v="1"/>
    <s v="Corporate"/>
    <s v="Store"/>
    <x v="1"/>
    <x v="1"/>
    <n v="30000"/>
    <n v="3"/>
    <x v="1"/>
    <n v="24000"/>
    <n v="90000"/>
    <n v="72000"/>
    <n v="18000"/>
  </r>
  <r>
    <x v="711"/>
    <x v="11"/>
    <x v="11"/>
    <x v="2"/>
    <x v="0"/>
    <s v="Retail"/>
    <s v="Store"/>
    <x v="1"/>
    <x v="1"/>
    <n v="30000"/>
    <n v="1"/>
    <x v="1"/>
    <n v="24000"/>
    <n v="30000"/>
    <n v="24000"/>
    <n v="6000"/>
  </r>
  <r>
    <x v="712"/>
    <x v="0"/>
    <x v="0"/>
    <x v="2"/>
    <x v="3"/>
    <s v="Corporate"/>
    <s v="Store"/>
    <x v="6"/>
    <x v="2"/>
    <n v="150000"/>
    <n v="3"/>
    <x v="1"/>
    <n v="120000"/>
    <n v="450000"/>
    <n v="360000"/>
    <n v="90000"/>
  </r>
  <r>
    <x v="713"/>
    <x v="0"/>
    <x v="0"/>
    <x v="2"/>
    <x v="2"/>
    <s v="Retail"/>
    <s v="Online"/>
    <x v="1"/>
    <x v="1"/>
    <n v="30000"/>
    <n v="5"/>
    <x v="3"/>
    <n v="24000"/>
    <n v="150000"/>
    <n v="120000"/>
    <n v="30000"/>
  </r>
  <r>
    <x v="714"/>
    <x v="0"/>
    <x v="0"/>
    <x v="3"/>
    <x v="3"/>
    <s v="Corporate"/>
    <s v="Store"/>
    <x v="4"/>
    <x v="1"/>
    <n v="180000"/>
    <n v="4"/>
    <x v="1"/>
    <n v="144000"/>
    <n v="720000"/>
    <n v="576000"/>
    <n v="144000"/>
  </r>
  <r>
    <x v="715"/>
    <x v="0"/>
    <x v="0"/>
    <x v="2"/>
    <x v="2"/>
    <s v="Corporate"/>
    <s v="Store"/>
    <x v="4"/>
    <x v="1"/>
    <n v="180000"/>
    <n v="3"/>
    <x v="5"/>
    <n v="144000"/>
    <n v="540000"/>
    <n v="432000"/>
    <n v="108000"/>
  </r>
  <r>
    <x v="716"/>
    <x v="0"/>
    <x v="0"/>
    <x v="1"/>
    <x v="1"/>
    <s v="Corporate"/>
    <s v="Store"/>
    <x v="3"/>
    <x v="2"/>
    <n v="300000"/>
    <n v="8"/>
    <x v="0"/>
    <n v="240000"/>
    <n v="2400000"/>
    <n v="1920000"/>
    <n v="480000"/>
  </r>
  <r>
    <x v="717"/>
    <x v="0"/>
    <x v="0"/>
    <x v="1"/>
    <x v="3"/>
    <s v="Corporate"/>
    <s v="Online"/>
    <x v="0"/>
    <x v="0"/>
    <n v="85000"/>
    <n v="8"/>
    <x v="1"/>
    <n v="68000"/>
    <n v="680000"/>
    <n v="544000"/>
    <n v="136000"/>
  </r>
  <r>
    <x v="718"/>
    <x v="0"/>
    <x v="0"/>
    <x v="3"/>
    <x v="1"/>
    <s v="Retail"/>
    <s v="Store"/>
    <x v="4"/>
    <x v="1"/>
    <n v="180000"/>
    <n v="1"/>
    <x v="0"/>
    <n v="144000"/>
    <n v="180000"/>
    <n v="144000"/>
    <n v="36000"/>
  </r>
  <r>
    <x v="719"/>
    <x v="0"/>
    <x v="0"/>
    <x v="2"/>
    <x v="0"/>
    <s v="Corporate"/>
    <s v="Online"/>
    <x v="7"/>
    <x v="2"/>
    <n v="420000"/>
    <n v="6"/>
    <x v="1"/>
    <n v="336000"/>
    <n v="2520000"/>
    <n v="2016000"/>
    <n v="504000"/>
  </r>
  <r>
    <x v="720"/>
    <x v="0"/>
    <x v="0"/>
    <x v="0"/>
    <x v="3"/>
    <s v="Retail"/>
    <s v="Store"/>
    <x v="7"/>
    <x v="2"/>
    <n v="420000"/>
    <n v="4"/>
    <x v="4"/>
    <n v="336000"/>
    <n v="1680000"/>
    <n v="1344000"/>
    <n v="336000"/>
  </r>
  <r>
    <x v="721"/>
    <x v="0"/>
    <x v="0"/>
    <x v="1"/>
    <x v="3"/>
    <s v="Corporate"/>
    <s v="Store"/>
    <x v="4"/>
    <x v="1"/>
    <n v="180000"/>
    <n v="3"/>
    <x v="1"/>
    <n v="144000"/>
    <n v="540000"/>
    <n v="432000"/>
    <n v="108000"/>
  </r>
  <r>
    <x v="722"/>
    <x v="0"/>
    <x v="0"/>
    <x v="2"/>
    <x v="1"/>
    <s v="Retail"/>
    <s v="Online"/>
    <x v="2"/>
    <x v="1"/>
    <n v="60000"/>
    <n v="3"/>
    <x v="1"/>
    <n v="48000"/>
    <n v="180000"/>
    <n v="144000"/>
    <n v="36000"/>
  </r>
  <r>
    <x v="723"/>
    <x v="0"/>
    <x v="0"/>
    <x v="1"/>
    <x v="3"/>
    <s v="Retail"/>
    <s v="Store"/>
    <x v="6"/>
    <x v="2"/>
    <n v="150000"/>
    <n v="1"/>
    <x v="2"/>
    <n v="120000"/>
    <n v="150000"/>
    <n v="120000"/>
    <n v="30000"/>
  </r>
  <r>
    <x v="724"/>
    <x v="0"/>
    <x v="0"/>
    <x v="2"/>
    <x v="0"/>
    <s v="Corporate"/>
    <s v="Online"/>
    <x v="7"/>
    <x v="2"/>
    <n v="420000"/>
    <n v="4"/>
    <x v="1"/>
    <n v="336000"/>
    <n v="1680000"/>
    <n v="1344000"/>
    <n v="336000"/>
  </r>
  <r>
    <x v="725"/>
    <x v="0"/>
    <x v="0"/>
    <x v="3"/>
    <x v="1"/>
    <s v="Corporate"/>
    <s v="Online"/>
    <x v="8"/>
    <x v="2"/>
    <n v="250000"/>
    <n v="6"/>
    <x v="2"/>
    <n v="200000"/>
    <n v="1500000"/>
    <n v="1200000"/>
    <n v="300000"/>
  </r>
  <r>
    <x v="726"/>
    <x v="0"/>
    <x v="0"/>
    <x v="2"/>
    <x v="0"/>
    <s v="Corporate"/>
    <s v="Store"/>
    <x v="5"/>
    <x v="0"/>
    <n v="320000"/>
    <n v="1"/>
    <x v="3"/>
    <n v="256000"/>
    <n v="320000"/>
    <n v="256000"/>
    <n v="64000"/>
  </r>
  <r>
    <x v="727"/>
    <x v="0"/>
    <x v="0"/>
    <x v="3"/>
    <x v="3"/>
    <s v="Corporate"/>
    <s v="Store"/>
    <x v="9"/>
    <x v="1"/>
    <n v="220000"/>
    <n v="10"/>
    <x v="5"/>
    <n v="176000"/>
    <n v="2200000"/>
    <n v="1760000"/>
    <n v="440000"/>
  </r>
  <r>
    <x v="728"/>
    <x v="0"/>
    <x v="0"/>
    <x v="3"/>
    <x v="1"/>
    <s v="Retail"/>
    <s v="Online"/>
    <x v="9"/>
    <x v="1"/>
    <n v="220000"/>
    <n v="5"/>
    <x v="1"/>
    <n v="176000"/>
    <n v="1100000"/>
    <n v="880000"/>
    <n v="220000"/>
  </r>
  <r>
    <x v="729"/>
    <x v="0"/>
    <x v="0"/>
    <x v="2"/>
    <x v="2"/>
    <s v="Corporate"/>
    <s v="Store"/>
    <x v="9"/>
    <x v="1"/>
    <n v="220000"/>
    <n v="8"/>
    <x v="5"/>
    <n v="176000"/>
    <n v="1760000"/>
    <n v="1408000"/>
    <n v="352000"/>
  </r>
  <r>
    <x v="730"/>
    <x v="0"/>
    <x v="0"/>
    <x v="1"/>
    <x v="0"/>
    <s v="Retail"/>
    <s v="Online"/>
    <x v="9"/>
    <x v="1"/>
    <n v="220000"/>
    <n v="9"/>
    <x v="2"/>
    <n v="176000"/>
    <n v="1980000"/>
    <n v="1584000"/>
    <n v="396000"/>
  </r>
  <r>
    <x v="731"/>
    <x v="0"/>
    <x v="0"/>
    <x v="3"/>
    <x v="2"/>
    <s v="Corporate"/>
    <s v="Online"/>
    <x v="3"/>
    <x v="2"/>
    <n v="300000"/>
    <n v="7"/>
    <x v="5"/>
    <n v="240000"/>
    <n v="2100000"/>
    <n v="1680000"/>
    <n v="420000"/>
  </r>
  <r>
    <x v="732"/>
    <x v="0"/>
    <x v="0"/>
    <x v="0"/>
    <x v="3"/>
    <s v="Retail"/>
    <s v="Online"/>
    <x v="7"/>
    <x v="2"/>
    <n v="420000"/>
    <n v="1"/>
    <x v="2"/>
    <n v="336000"/>
    <n v="420000"/>
    <n v="336000"/>
    <n v="84000"/>
  </r>
  <r>
    <x v="733"/>
    <x v="0"/>
    <x v="0"/>
    <x v="0"/>
    <x v="1"/>
    <s v="Corporate"/>
    <s v="Store"/>
    <x v="4"/>
    <x v="1"/>
    <n v="180000"/>
    <n v="6"/>
    <x v="2"/>
    <n v="144000"/>
    <n v="1080000"/>
    <n v="864000"/>
    <n v="216000"/>
  </r>
  <r>
    <x v="734"/>
    <x v="0"/>
    <x v="0"/>
    <x v="3"/>
    <x v="0"/>
    <s v="Retail"/>
    <s v="Online"/>
    <x v="8"/>
    <x v="2"/>
    <n v="250000"/>
    <n v="3"/>
    <x v="2"/>
    <n v="200000"/>
    <n v="750000"/>
    <n v="600000"/>
    <n v="150000"/>
  </r>
  <r>
    <x v="735"/>
    <x v="0"/>
    <x v="0"/>
    <x v="3"/>
    <x v="3"/>
    <s v="Retail"/>
    <s v="Online"/>
    <x v="5"/>
    <x v="0"/>
    <n v="320000"/>
    <n v="2"/>
    <x v="0"/>
    <n v="256000"/>
    <n v="640000"/>
    <n v="512000"/>
    <n v="128000"/>
  </r>
  <r>
    <x v="736"/>
    <x v="0"/>
    <x v="0"/>
    <x v="1"/>
    <x v="1"/>
    <s v="Corporate"/>
    <s v="Online"/>
    <x v="2"/>
    <x v="1"/>
    <n v="60000"/>
    <n v="3"/>
    <x v="1"/>
    <n v="48000"/>
    <n v="180000"/>
    <n v="144000"/>
    <n v="36000"/>
  </r>
  <r>
    <x v="737"/>
    <x v="0"/>
    <x v="0"/>
    <x v="2"/>
    <x v="3"/>
    <s v="Corporate"/>
    <s v="Store"/>
    <x v="1"/>
    <x v="1"/>
    <n v="30000"/>
    <n v="9"/>
    <x v="1"/>
    <n v="24000"/>
    <n v="270000"/>
    <n v="216000"/>
    <n v="54000"/>
  </r>
  <r>
    <x v="738"/>
    <x v="0"/>
    <x v="0"/>
    <x v="1"/>
    <x v="2"/>
    <s v="Corporate"/>
    <s v="Store"/>
    <x v="4"/>
    <x v="1"/>
    <n v="180000"/>
    <n v="6"/>
    <x v="1"/>
    <n v="144000"/>
    <n v="1080000"/>
    <n v="864000"/>
    <n v="216000"/>
  </r>
  <r>
    <x v="739"/>
    <x v="0"/>
    <x v="0"/>
    <x v="2"/>
    <x v="2"/>
    <s v="Corporate"/>
    <s v="Online"/>
    <x v="2"/>
    <x v="1"/>
    <n v="60000"/>
    <n v="8"/>
    <x v="4"/>
    <n v="48000"/>
    <n v="480000"/>
    <n v="384000"/>
    <n v="96000"/>
  </r>
  <r>
    <x v="740"/>
    <x v="0"/>
    <x v="0"/>
    <x v="2"/>
    <x v="2"/>
    <s v="Corporate"/>
    <s v="Online"/>
    <x v="2"/>
    <x v="1"/>
    <n v="60000"/>
    <n v="8"/>
    <x v="5"/>
    <n v="48000"/>
    <n v="480000"/>
    <n v="384000"/>
    <n v="96000"/>
  </r>
  <r>
    <x v="741"/>
    <x v="0"/>
    <x v="0"/>
    <x v="2"/>
    <x v="2"/>
    <s v="Corporate"/>
    <s v="Store"/>
    <x v="8"/>
    <x v="2"/>
    <n v="250000"/>
    <n v="3"/>
    <x v="3"/>
    <n v="200000"/>
    <n v="750000"/>
    <n v="600000"/>
    <n v="150000"/>
  </r>
  <r>
    <x v="742"/>
    <x v="0"/>
    <x v="0"/>
    <x v="3"/>
    <x v="2"/>
    <s v="Corporate"/>
    <s v="Store"/>
    <x v="0"/>
    <x v="0"/>
    <n v="85000"/>
    <n v="6"/>
    <x v="4"/>
    <n v="68000"/>
    <n v="510000"/>
    <n v="408000"/>
    <n v="102000"/>
  </r>
  <r>
    <x v="743"/>
    <x v="1"/>
    <x v="1"/>
    <x v="1"/>
    <x v="3"/>
    <s v="Corporate"/>
    <s v="Online"/>
    <x v="9"/>
    <x v="1"/>
    <n v="220000"/>
    <n v="9"/>
    <x v="2"/>
    <n v="176000"/>
    <n v="1980000"/>
    <n v="1584000"/>
    <n v="396000"/>
  </r>
  <r>
    <x v="744"/>
    <x v="1"/>
    <x v="1"/>
    <x v="3"/>
    <x v="3"/>
    <s v="Corporate"/>
    <s v="Store"/>
    <x v="8"/>
    <x v="2"/>
    <n v="250000"/>
    <n v="4"/>
    <x v="2"/>
    <n v="200000"/>
    <n v="1000000"/>
    <n v="800000"/>
    <n v="200000"/>
  </r>
  <r>
    <x v="745"/>
    <x v="1"/>
    <x v="1"/>
    <x v="2"/>
    <x v="2"/>
    <s v="Corporate"/>
    <s v="Store"/>
    <x v="8"/>
    <x v="2"/>
    <n v="250000"/>
    <n v="3"/>
    <x v="0"/>
    <n v="200000"/>
    <n v="750000"/>
    <n v="600000"/>
    <n v="150000"/>
  </r>
  <r>
    <x v="746"/>
    <x v="1"/>
    <x v="1"/>
    <x v="2"/>
    <x v="3"/>
    <s v="Corporate"/>
    <s v="Store"/>
    <x v="1"/>
    <x v="1"/>
    <n v="30000"/>
    <n v="10"/>
    <x v="0"/>
    <n v="24000"/>
    <n v="300000"/>
    <n v="240000"/>
    <n v="60000"/>
  </r>
  <r>
    <x v="747"/>
    <x v="1"/>
    <x v="1"/>
    <x v="3"/>
    <x v="2"/>
    <s v="Corporate"/>
    <s v="Store"/>
    <x v="3"/>
    <x v="2"/>
    <n v="300000"/>
    <n v="4"/>
    <x v="5"/>
    <n v="240000"/>
    <n v="1200000"/>
    <n v="960000"/>
    <n v="240000"/>
  </r>
  <r>
    <x v="748"/>
    <x v="1"/>
    <x v="1"/>
    <x v="2"/>
    <x v="0"/>
    <s v="Corporate"/>
    <s v="Store"/>
    <x v="5"/>
    <x v="0"/>
    <n v="320000"/>
    <n v="2"/>
    <x v="3"/>
    <n v="256000"/>
    <n v="640000"/>
    <n v="512000"/>
    <n v="128000"/>
  </r>
  <r>
    <x v="749"/>
    <x v="1"/>
    <x v="1"/>
    <x v="2"/>
    <x v="3"/>
    <s v="Corporate"/>
    <s v="Store"/>
    <x v="7"/>
    <x v="2"/>
    <n v="420000"/>
    <n v="8"/>
    <x v="5"/>
    <n v="336000"/>
    <n v="3360000"/>
    <n v="2688000"/>
    <n v="672000"/>
  </r>
  <r>
    <x v="750"/>
    <x v="1"/>
    <x v="1"/>
    <x v="2"/>
    <x v="3"/>
    <s v="Corporate"/>
    <s v="Store"/>
    <x v="1"/>
    <x v="1"/>
    <n v="30000"/>
    <n v="2"/>
    <x v="1"/>
    <n v="24000"/>
    <n v="60000"/>
    <n v="48000"/>
    <n v="12000"/>
  </r>
  <r>
    <x v="751"/>
    <x v="1"/>
    <x v="1"/>
    <x v="3"/>
    <x v="3"/>
    <s v="Corporate"/>
    <s v="Store"/>
    <x v="6"/>
    <x v="2"/>
    <n v="150000"/>
    <n v="3"/>
    <x v="0"/>
    <n v="120000"/>
    <n v="450000"/>
    <n v="360000"/>
    <n v="90000"/>
  </r>
  <r>
    <x v="752"/>
    <x v="1"/>
    <x v="1"/>
    <x v="2"/>
    <x v="1"/>
    <s v="Corporate"/>
    <s v="Store"/>
    <x v="9"/>
    <x v="1"/>
    <n v="220000"/>
    <n v="6"/>
    <x v="1"/>
    <n v="176000"/>
    <n v="1320000"/>
    <n v="1056000"/>
    <n v="264000"/>
  </r>
  <r>
    <x v="753"/>
    <x v="1"/>
    <x v="1"/>
    <x v="0"/>
    <x v="0"/>
    <s v="Corporate"/>
    <s v="Online"/>
    <x v="2"/>
    <x v="1"/>
    <n v="60000"/>
    <n v="7"/>
    <x v="3"/>
    <n v="48000"/>
    <n v="420000"/>
    <n v="336000"/>
    <n v="84000"/>
  </r>
  <r>
    <x v="754"/>
    <x v="1"/>
    <x v="1"/>
    <x v="2"/>
    <x v="0"/>
    <s v="Retail"/>
    <s v="Online"/>
    <x v="0"/>
    <x v="0"/>
    <n v="85000"/>
    <n v="7"/>
    <x v="3"/>
    <n v="68000"/>
    <n v="595000"/>
    <n v="476000"/>
    <n v="119000"/>
  </r>
  <r>
    <x v="755"/>
    <x v="1"/>
    <x v="1"/>
    <x v="0"/>
    <x v="1"/>
    <s v="Retail"/>
    <s v="Online"/>
    <x v="7"/>
    <x v="2"/>
    <n v="420000"/>
    <n v="6"/>
    <x v="0"/>
    <n v="336000"/>
    <n v="2520000"/>
    <n v="2016000"/>
    <n v="504000"/>
  </r>
  <r>
    <x v="756"/>
    <x v="1"/>
    <x v="1"/>
    <x v="0"/>
    <x v="0"/>
    <s v="Retail"/>
    <s v="Store"/>
    <x v="3"/>
    <x v="2"/>
    <n v="300000"/>
    <n v="3"/>
    <x v="2"/>
    <n v="240000"/>
    <n v="900000"/>
    <n v="720000"/>
    <n v="180000"/>
  </r>
  <r>
    <x v="757"/>
    <x v="1"/>
    <x v="1"/>
    <x v="3"/>
    <x v="3"/>
    <s v="Retail"/>
    <s v="Online"/>
    <x v="9"/>
    <x v="1"/>
    <n v="220000"/>
    <n v="10"/>
    <x v="0"/>
    <n v="176000"/>
    <n v="2200000"/>
    <n v="1760000"/>
    <n v="440000"/>
  </r>
  <r>
    <x v="758"/>
    <x v="1"/>
    <x v="1"/>
    <x v="3"/>
    <x v="0"/>
    <s v="Corporate"/>
    <s v="Store"/>
    <x v="0"/>
    <x v="0"/>
    <n v="85000"/>
    <n v="4"/>
    <x v="3"/>
    <n v="68000"/>
    <n v="340000"/>
    <n v="272000"/>
    <n v="68000"/>
  </r>
  <r>
    <x v="759"/>
    <x v="1"/>
    <x v="1"/>
    <x v="3"/>
    <x v="1"/>
    <s v="Retail"/>
    <s v="Store"/>
    <x v="5"/>
    <x v="0"/>
    <n v="320000"/>
    <n v="4"/>
    <x v="5"/>
    <n v="256000"/>
    <n v="1280000"/>
    <n v="1024000"/>
    <n v="256000"/>
  </r>
  <r>
    <x v="760"/>
    <x v="1"/>
    <x v="1"/>
    <x v="2"/>
    <x v="3"/>
    <s v="Retail"/>
    <s v="Store"/>
    <x v="6"/>
    <x v="2"/>
    <n v="150000"/>
    <n v="6"/>
    <x v="5"/>
    <n v="120000"/>
    <n v="900000"/>
    <n v="720000"/>
    <n v="180000"/>
  </r>
  <r>
    <x v="761"/>
    <x v="1"/>
    <x v="1"/>
    <x v="0"/>
    <x v="1"/>
    <s v="Retail"/>
    <s v="Store"/>
    <x v="5"/>
    <x v="0"/>
    <n v="320000"/>
    <n v="2"/>
    <x v="5"/>
    <n v="256000"/>
    <n v="640000"/>
    <n v="512000"/>
    <n v="128000"/>
  </r>
  <r>
    <x v="762"/>
    <x v="1"/>
    <x v="1"/>
    <x v="3"/>
    <x v="2"/>
    <s v="Retail"/>
    <s v="Online"/>
    <x v="5"/>
    <x v="0"/>
    <n v="320000"/>
    <n v="10"/>
    <x v="5"/>
    <n v="256000"/>
    <n v="3200000"/>
    <n v="2560000"/>
    <n v="640000"/>
  </r>
  <r>
    <x v="763"/>
    <x v="1"/>
    <x v="1"/>
    <x v="2"/>
    <x v="1"/>
    <s v="Corporate"/>
    <s v="Online"/>
    <x v="7"/>
    <x v="2"/>
    <n v="420000"/>
    <n v="8"/>
    <x v="0"/>
    <n v="336000"/>
    <n v="3360000"/>
    <n v="2688000"/>
    <n v="672000"/>
  </r>
  <r>
    <x v="764"/>
    <x v="1"/>
    <x v="1"/>
    <x v="3"/>
    <x v="0"/>
    <s v="Corporate"/>
    <s v="Online"/>
    <x v="6"/>
    <x v="2"/>
    <n v="150000"/>
    <n v="5"/>
    <x v="4"/>
    <n v="120000"/>
    <n v="750000"/>
    <n v="600000"/>
    <n v="150000"/>
  </r>
  <r>
    <x v="765"/>
    <x v="1"/>
    <x v="1"/>
    <x v="0"/>
    <x v="2"/>
    <s v="Corporate"/>
    <s v="Store"/>
    <x v="0"/>
    <x v="0"/>
    <n v="85000"/>
    <n v="1"/>
    <x v="4"/>
    <n v="68000"/>
    <n v="85000"/>
    <n v="68000"/>
    <n v="17000"/>
  </r>
  <r>
    <x v="766"/>
    <x v="1"/>
    <x v="1"/>
    <x v="1"/>
    <x v="3"/>
    <s v="Corporate"/>
    <s v="Store"/>
    <x v="7"/>
    <x v="2"/>
    <n v="420000"/>
    <n v="2"/>
    <x v="5"/>
    <n v="336000"/>
    <n v="840000"/>
    <n v="672000"/>
    <n v="168000"/>
  </r>
  <r>
    <x v="767"/>
    <x v="1"/>
    <x v="1"/>
    <x v="1"/>
    <x v="3"/>
    <s v="Retail"/>
    <s v="Store"/>
    <x v="4"/>
    <x v="1"/>
    <n v="180000"/>
    <n v="6"/>
    <x v="5"/>
    <n v="144000"/>
    <n v="1080000"/>
    <n v="864000"/>
    <n v="216000"/>
  </r>
  <r>
    <x v="768"/>
    <x v="1"/>
    <x v="1"/>
    <x v="1"/>
    <x v="0"/>
    <s v="Retail"/>
    <s v="Store"/>
    <x v="9"/>
    <x v="1"/>
    <n v="220000"/>
    <n v="7"/>
    <x v="0"/>
    <n v="176000"/>
    <n v="1540000"/>
    <n v="1232000"/>
    <n v="308000"/>
  </r>
  <r>
    <x v="769"/>
    <x v="1"/>
    <x v="1"/>
    <x v="1"/>
    <x v="0"/>
    <s v="Retail"/>
    <s v="Online"/>
    <x v="9"/>
    <x v="1"/>
    <n v="220000"/>
    <n v="5"/>
    <x v="1"/>
    <n v="176000"/>
    <n v="1100000"/>
    <n v="880000"/>
    <n v="220000"/>
  </r>
  <r>
    <x v="770"/>
    <x v="1"/>
    <x v="1"/>
    <x v="3"/>
    <x v="0"/>
    <s v="Retail"/>
    <s v="Store"/>
    <x v="3"/>
    <x v="2"/>
    <n v="300000"/>
    <n v="6"/>
    <x v="2"/>
    <n v="240000"/>
    <n v="1800000"/>
    <n v="1440000"/>
    <n v="360000"/>
  </r>
  <r>
    <x v="771"/>
    <x v="2"/>
    <x v="2"/>
    <x v="0"/>
    <x v="2"/>
    <s v="Retail"/>
    <s v="Store"/>
    <x v="8"/>
    <x v="2"/>
    <n v="250000"/>
    <n v="4"/>
    <x v="2"/>
    <n v="200000"/>
    <n v="1000000"/>
    <n v="800000"/>
    <n v="200000"/>
  </r>
  <r>
    <x v="772"/>
    <x v="2"/>
    <x v="2"/>
    <x v="3"/>
    <x v="1"/>
    <s v="Corporate"/>
    <s v="Online"/>
    <x v="5"/>
    <x v="0"/>
    <n v="320000"/>
    <n v="5"/>
    <x v="1"/>
    <n v="256000"/>
    <n v="1600000"/>
    <n v="1280000"/>
    <n v="320000"/>
  </r>
  <r>
    <x v="773"/>
    <x v="2"/>
    <x v="2"/>
    <x v="3"/>
    <x v="0"/>
    <s v="Retail"/>
    <s v="Store"/>
    <x v="3"/>
    <x v="2"/>
    <n v="300000"/>
    <n v="10"/>
    <x v="5"/>
    <n v="240000"/>
    <n v="3000000"/>
    <n v="2400000"/>
    <n v="600000"/>
  </r>
  <r>
    <x v="774"/>
    <x v="2"/>
    <x v="2"/>
    <x v="3"/>
    <x v="0"/>
    <s v="Retail"/>
    <s v="Store"/>
    <x v="2"/>
    <x v="1"/>
    <n v="60000"/>
    <n v="5"/>
    <x v="4"/>
    <n v="48000"/>
    <n v="300000"/>
    <n v="240000"/>
    <n v="60000"/>
  </r>
  <r>
    <x v="775"/>
    <x v="2"/>
    <x v="2"/>
    <x v="3"/>
    <x v="2"/>
    <s v="Retail"/>
    <s v="Online"/>
    <x v="7"/>
    <x v="2"/>
    <n v="420000"/>
    <n v="8"/>
    <x v="3"/>
    <n v="336000"/>
    <n v="3360000"/>
    <n v="2688000"/>
    <n v="672000"/>
  </r>
  <r>
    <x v="776"/>
    <x v="2"/>
    <x v="2"/>
    <x v="0"/>
    <x v="3"/>
    <s v="Corporate"/>
    <s v="Online"/>
    <x v="3"/>
    <x v="2"/>
    <n v="300000"/>
    <n v="1"/>
    <x v="1"/>
    <n v="240000"/>
    <n v="300000"/>
    <n v="240000"/>
    <n v="60000"/>
  </r>
  <r>
    <x v="777"/>
    <x v="2"/>
    <x v="2"/>
    <x v="0"/>
    <x v="2"/>
    <s v="Corporate"/>
    <s v="Store"/>
    <x v="7"/>
    <x v="2"/>
    <n v="420000"/>
    <n v="2"/>
    <x v="4"/>
    <n v="336000"/>
    <n v="840000"/>
    <n v="672000"/>
    <n v="168000"/>
  </r>
  <r>
    <x v="778"/>
    <x v="2"/>
    <x v="2"/>
    <x v="2"/>
    <x v="1"/>
    <s v="Corporate"/>
    <s v="Online"/>
    <x v="7"/>
    <x v="2"/>
    <n v="420000"/>
    <n v="7"/>
    <x v="3"/>
    <n v="336000"/>
    <n v="2940000"/>
    <n v="2352000"/>
    <n v="588000"/>
  </r>
  <r>
    <x v="779"/>
    <x v="2"/>
    <x v="2"/>
    <x v="0"/>
    <x v="2"/>
    <s v="Corporate"/>
    <s v="Online"/>
    <x v="4"/>
    <x v="1"/>
    <n v="180000"/>
    <n v="8"/>
    <x v="2"/>
    <n v="144000"/>
    <n v="1440000"/>
    <n v="1152000"/>
    <n v="288000"/>
  </r>
  <r>
    <x v="780"/>
    <x v="2"/>
    <x v="2"/>
    <x v="0"/>
    <x v="2"/>
    <s v="Retail"/>
    <s v="Online"/>
    <x v="2"/>
    <x v="1"/>
    <n v="60000"/>
    <n v="7"/>
    <x v="2"/>
    <n v="48000"/>
    <n v="420000"/>
    <n v="336000"/>
    <n v="84000"/>
  </r>
  <r>
    <x v="781"/>
    <x v="2"/>
    <x v="2"/>
    <x v="1"/>
    <x v="1"/>
    <s v="Corporate"/>
    <s v="Online"/>
    <x v="7"/>
    <x v="2"/>
    <n v="420000"/>
    <n v="7"/>
    <x v="2"/>
    <n v="336000"/>
    <n v="2940000"/>
    <n v="2352000"/>
    <n v="588000"/>
  </r>
  <r>
    <x v="782"/>
    <x v="2"/>
    <x v="2"/>
    <x v="1"/>
    <x v="0"/>
    <s v="Retail"/>
    <s v="Online"/>
    <x v="4"/>
    <x v="1"/>
    <n v="180000"/>
    <n v="5"/>
    <x v="5"/>
    <n v="144000"/>
    <n v="900000"/>
    <n v="720000"/>
    <n v="180000"/>
  </r>
  <r>
    <x v="783"/>
    <x v="2"/>
    <x v="2"/>
    <x v="1"/>
    <x v="2"/>
    <s v="Corporate"/>
    <s v="Store"/>
    <x v="7"/>
    <x v="2"/>
    <n v="420000"/>
    <n v="9"/>
    <x v="5"/>
    <n v="336000"/>
    <n v="3780000"/>
    <n v="3024000"/>
    <n v="756000"/>
  </r>
  <r>
    <x v="784"/>
    <x v="2"/>
    <x v="2"/>
    <x v="1"/>
    <x v="2"/>
    <s v="Corporate"/>
    <s v="Store"/>
    <x v="3"/>
    <x v="2"/>
    <n v="300000"/>
    <n v="7"/>
    <x v="3"/>
    <n v="240000"/>
    <n v="2100000"/>
    <n v="1680000"/>
    <n v="420000"/>
  </r>
  <r>
    <x v="785"/>
    <x v="2"/>
    <x v="2"/>
    <x v="0"/>
    <x v="3"/>
    <s v="Retail"/>
    <s v="Store"/>
    <x v="6"/>
    <x v="2"/>
    <n v="150000"/>
    <n v="3"/>
    <x v="1"/>
    <n v="120000"/>
    <n v="450000"/>
    <n v="360000"/>
    <n v="90000"/>
  </r>
  <r>
    <x v="786"/>
    <x v="2"/>
    <x v="2"/>
    <x v="0"/>
    <x v="1"/>
    <s v="Retail"/>
    <s v="Store"/>
    <x v="3"/>
    <x v="2"/>
    <n v="300000"/>
    <n v="10"/>
    <x v="5"/>
    <n v="240000"/>
    <n v="3000000"/>
    <n v="2400000"/>
    <n v="600000"/>
  </r>
  <r>
    <x v="787"/>
    <x v="2"/>
    <x v="2"/>
    <x v="1"/>
    <x v="0"/>
    <s v="Retail"/>
    <s v="Online"/>
    <x v="7"/>
    <x v="2"/>
    <n v="420000"/>
    <n v="8"/>
    <x v="5"/>
    <n v="336000"/>
    <n v="3360000"/>
    <n v="2688000"/>
    <n v="672000"/>
  </r>
  <r>
    <x v="788"/>
    <x v="2"/>
    <x v="2"/>
    <x v="0"/>
    <x v="2"/>
    <s v="Corporate"/>
    <s v="Store"/>
    <x v="9"/>
    <x v="1"/>
    <n v="220000"/>
    <n v="2"/>
    <x v="2"/>
    <n v="176000"/>
    <n v="440000"/>
    <n v="352000"/>
    <n v="88000"/>
  </r>
  <r>
    <x v="789"/>
    <x v="2"/>
    <x v="2"/>
    <x v="0"/>
    <x v="3"/>
    <s v="Retail"/>
    <s v="Online"/>
    <x v="6"/>
    <x v="2"/>
    <n v="150000"/>
    <n v="4"/>
    <x v="0"/>
    <n v="120000"/>
    <n v="600000"/>
    <n v="480000"/>
    <n v="120000"/>
  </r>
  <r>
    <x v="790"/>
    <x v="2"/>
    <x v="2"/>
    <x v="0"/>
    <x v="1"/>
    <s v="Retail"/>
    <s v="Online"/>
    <x v="1"/>
    <x v="1"/>
    <n v="30000"/>
    <n v="8"/>
    <x v="3"/>
    <n v="24000"/>
    <n v="240000"/>
    <n v="192000"/>
    <n v="48000"/>
  </r>
  <r>
    <x v="791"/>
    <x v="2"/>
    <x v="2"/>
    <x v="0"/>
    <x v="2"/>
    <s v="Corporate"/>
    <s v="Store"/>
    <x v="7"/>
    <x v="2"/>
    <n v="420000"/>
    <n v="3"/>
    <x v="4"/>
    <n v="336000"/>
    <n v="1260000"/>
    <n v="1008000"/>
    <n v="252000"/>
  </r>
  <r>
    <x v="792"/>
    <x v="2"/>
    <x v="2"/>
    <x v="0"/>
    <x v="0"/>
    <s v="Corporate"/>
    <s v="Store"/>
    <x v="3"/>
    <x v="2"/>
    <n v="300000"/>
    <n v="4"/>
    <x v="5"/>
    <n v="240000"/>
    <n v="1200000"/>
    <n v="960000"/>
    <n v="240000"/>
  </r>
  <r>
    <x v="793"/>
    <x v="2"/>
    <x v="2"/>
    <x v="0"/>
    <x v="1"/>
    <s v="Retail"/>
    <s v="Online"/>
    <x v="8"/>
    <x v="2"/>
    <n v="250000"/>
    <n v="6"/>
    <x v="1"/>
    <n v="200000"/>
    <n v="1500000"/>
    <n v="1200000"/>
    <n v="300000"/>
  </r>
  <r>
    <x v="794"/>
    <x v="2"/>
    <x v="2"/>
    <x v="0"/>
    <x v="2"/>
    <s v="Corporate"/>
    <s v="Store"/>
    <x v="5"/>
    <x v="0"/>
    <n v="320000"/>
    <n v="6"/>
    <x v="3"/>
    <n v="256000"/>
    <n v="1920000"/>
    <n v="1536000"/>
    <n v="384000"/>
  </r>
  <r>
    <x v="795"/>
    <x v="2"/>
    <x v="2"/>
    <x v="0"/>
    <x v="2"/>
    <s v="Retail"/>
    <s v="Online"/>
    <x v="4"/>
    <x v="1"/>
    <n v="180000"/>
    <n v="5"/>
    <x v="3"/>
    <n v="144000"/>
    <n v="900000"/>
    <n v="720000"/>
    <n v="180000"/>
  </r>
  <r>
    <x v="796"/>
    <x v="2"/>
    <x v="2"/>
    <x v="0"/>
    <x v="0"/>
    <s v="Retail"/>
    <s v="Online"/>
    <x v="6"/>
    <x v="2"/>
    <n v="150000"/>
    <n v="1"/>
    <x v="2"/>
    <n v="120000"/>
    <n v="150000"/>
    <n v="120000"/>
    <n v="30000"/>
  </r>
  <r>
    <x v="797"/>
    <x v="2"/>
    <x v="2"/>
    <x v="0"/>
    <x v="0"/>
    <s v="Retail"/>
    <s v="Store"/>
    <x v="2"/>
    <x v="1"/>
    <n v="60000"/>
    <n v="3"/>
    <x v="5"/>
    <n v="48000"/>
    <n v="180000"/>
    <n v="144000"/>
    <n v="36000"/>
  </r>
  <r>
    <x v="798"/>
    <x v="2"/>
    <x v="2"/>
    <x v="1"/>
    <x v="3"/>
    <s v="Corporate"/>
    <s v="Online"/>
    <x v="0"/>
    <x v="0"/>
    <n v="85000"/>
    <n v="10"/>
    <x v="1"/>
    <n v="68000"/>
    <n v="850000"/>
    <n v="680000"/>
    <n v="170000"/>
  </r>
  <r>
    <x v="799"/>
    <x v="2"/>
    <x v="2"/>
    <x v="0"/>
    <x v="3"/>
    <s v="Corporate"/>
    <s v="Store"/>
    <x v="6"/>
    <x v="2"/>
    <n v="150000"/>
    <n v="3"/>
    <x v="4"/>
    <n v="120000"/>
    <n v="450000"/>
    <n v="360000"/>
    <n v="90000"/>
  </r>
  <r>
    <x v="800"/>
    <x v="2"/>
    <x v="2"/>
    <x v="2"/>
    <x v="0"/>
    <s v="Corporate"/>
    <s v="Store"/>
    <x v="7"/>
    <x v="2"/>
    <n v="420000"/>
    <n v="9"/>
    <x v="4"/>
    <n v="336000"/>
    <n v="3780000"/>
    <n v="3024000"/>
    <n v="756000"/>
  </r>
  <r>
    <x v="801"/>
    <x v="2"/>
    <x v="2"/>
    <x v="2"/>
    <x v="3"/>
    <s v="Retail"/>
    <s v="Store"/>
    <x v="9"/>
    <x v="1"/>
    <n v="220000"/>
    <n v="1"/>
    <x v="3"/>
    <n v="176000"/>
    <n v="220000"/>
    <n v="176000"/>
    <n v="44000"/>
  </r>
  <r>
    <x v="802"/>
    <x v="3"/>
    <x v="3"/>
    <x v="1"/>
    <x v="3"/>
    <s v="Corporate"/>
    <s v="Online"/>
    <x v="0"/>
    <x v="0"/>
    <n v="85000"/>
    <n v="4"/>
    <x v="1"/>
    <n v="68000"/>
    <n v="340000"/>
    <n v="272000"/>
    <n v="68000"/>
  </r>
  <r>
    <x v="803"/>
    <x v="3"/>
    <x v="3"/>
    <x v="0"/>
    <x v="0"/>
    <s v="Retail"/>
    <s v="Online"/>
    <x v="7"/>
    <x v="2"/>
    <n v="420000"/>
    <n v="6"/>
    <x v="4"/>
    <n v="336000"/>
    <n v="2520000"/>
    <n v="2016000"/>
    <n v="504000"/>
  </r>
  <r>
    <x v="804"/>
    <x v="3"/>
    <x v="3"/>
    <x v="3"/>
    <x v="3"/>
    <s v="Corporate"/>
    <s v="Online"/>
    <x v="7"/>
    <x v="2"/>
    <n v="420000"/>
    <n v="6"/>
    <x v="2"/>
    <n v="336000"/>
    <n v="2520000"/>
    <n v="2016000"/>
    <n v="504000"/>
  </r>
  <r>
    <x v="805"/>
    <x v="3"/>
    <x v="3"/>
    <x v="1"/>
    <x v="0"/>
    <s v="Retail"/>
    <s v="Online"/>
    <x v="3"/>
    <x v="2"/>
    <n v="300000"/>
    <n v="10"/>
    <x v="3"/>
    <n v="240000"/>
    <n v="3000000"/>
    <n v="2400000"/>
    <n v="600000"/>
  </r>
  <r>
    <x v="806"/>
    <x v="3"/>
    <x v="3"/>
    <x v="2"/>
    <x v="1"/>
    <s v="Retail"/>
    <s v="Store"/>
    <x v="9"/>
    <x v="1"/>
    <n v="220000"/>
    <n v="4"/>
    <x v="2"/>
    <n v="176000"/>
    <n v="880000"/>
    <n v="704000"/>
    <n v="176000"/>
  </r>
  <r>
    <x v="807"/>
    <x v="3"/>
    <x v="3"/>
    <x v="0"/>
    <x v="3"/>
    <s v="Retail"/>
    <s v="Store"/>
    <x v="4"/>
    <x v="1"/>
    <n v="180000"/>
    <n v="8"/>
    <x v="4"/>
    <n v="144000"/>
    <n v="1440000"/>
    <n v="1152000"/>
    <n v="288000"/>
  </r>
  <r>
    <x v="808"/>
    <x v="3"/>
    <x v="3"/>
    <x v="0"/>
    <x v="3"/>
    <s v="Retail"/>
    <s v="Online"/>
    <x v="8"/>
    <x v="2"/>
    <n v="250000"/>
    <n v="3"/>
    <x v="0"/>
    <n v="200000"/>
    <n v="750000"/>
    <n v="600000"/>
    <n v="150000"/>
  </r>
  <r>
    <x v="809"/>
    <x v="3"/>
    <x v="3"/>
    <x v="3"/>
    <x v="2"/>
    <s v="Corporate"/>
    <s v="Online"/>
    <x v="3"/>
    <x v="2"/>
    <n v="300000"/>
    <n v="7"/>
    <x v="0"/>
    <n v="240000"/>
    <n v="2100000"/>
    <n v="1680000"/>
    <n v="420000"/>
  </r>
  <r>
    <x v="810"/>
    <x v="3"/>
    <x v="3"/>
    <x v="3"/>
    <x v="3"/>
    <s v="Retail"/>
    <s v="Store"/>
    <x v="3"/>
    <x v="2"/>
    <n v="300000"/>
    <n v="7"/>
    <x v="5"/>
    <n v="240000"/>
    <n v="2100000"/>
    <n v="1680000"/>
    <n v="420000"/>
  </r>
  <r>
    <x v="811"/>
    <x v="3"/>
    <x v="3"/>
    <x v="3"/>
    <x v="3"/>
    <s v="Corporate"/>
    <s v="Store"/>
    <x v="8"/>
    <x v="2"/>
    <n v="250000"/>
    <n v="1"/>
    <x v="4"/>
    <n v="200000"/>
    <n v="250000"/>
    <n v="200000"/>
    <n v="50000"/>
  </r>
  <r>
    <x v="812"/>
    <x v="3"/>
    <x v="3"/>
    <x v="0"/>
    <x v="1"/>
    <s v="Corporate"/>
    <s v="Online"/>
    <x v="3"/>
    <x v="2"/>
    <n v="300000"/>
    <n v="3"/>
    <x v="3"/>
    <n v="240000"/>
    <n v="900000"/>
    <n v="720000"/>
    <n v="180000"/>
  </r>
  <r>
    <x v="813"/>
    <x v="3"/>
    <x v="3"/>
    <x v="2"/>
    <x v="0"/>
    <s v="Retail"/>
    <s v="Online"/>
    <x v="7"/>
    <x v="2"/>
    <n v="420000"/>
    <n v="10"/>
    <x v="2"/>
    <n v="336000"/>
    <n v="4200000"/>
    <n v="3360000"/>
    <n v="840000"/>
  </r>
  <r>
    <x v="814"/>
    <x v="3"/>
    <x v="3"/>
    <x v="3"/>
    <x v="2"/>
    <s v="Corporate"/>
    <s v="Online"/>
    <x v="2"/>
    <x v="1"/>
    <n v="60000"/>
    <n v="9"/>
    <x v="3"/>
    <n v="48000"/>
    <n v="540000"/>
    <n v="432000"/>
    <n v="108000"/>
  </r>
  <r>
    <x v="815"/>
    <x v="3"/>
    <x v="3"/>
    <x v="0"/>
    <x v="0"/>
    <s v="Retail"/>
    <s v="Online"/>
    <x v="8"/>
    <x v="2"/>
    <n v="250000"/>
    <n v="4"/>
    <x v="2"/>
    <n v="200000"/>
    <n v="1000000"/>
    <n v="800000"/>
    <n v="200000"/>
  </r>
  <r>
    <x v="816"/>
    <x v="3"/>
    <x v="3"/>
    <x v="1"/>
    <x v="2"/>
    <s v="Retail"/>
    <s v="Online"/>
    <x v="8"/>
    <x v="2"/>
    <n v="250000"/>
    <n v="3"/>
    <x v="4"/>
    <n v="200000"/>
    <n v="750000"/>
    <n v="600000"/>
    <n v="150000"/>
  </r>
  <r>
    <x v="817"/>
    <x v="3"/>
    <x v="3"/>
    <x v="0"/>
    <x v="3"/>
    <s v="Retail"/>
    <s v="Store"/>
    <x v="2"/>
    <x v="1"/>
    <n v="60000"/>
    <n v="3"/>
    <x v="0"/>
    <n v="48000"/>
    <n v="180000"/>
    <n v="144000"/>
    <n v="36000"/>
  </r>
  <r>
    <x v="818"/>
    <x v="3"/>
    <x v="3"/>
    <x v="0"/>
    <x v="1"/>
    <s v="Corporate"/>
    <s v="Online"/>
    <x v="5"/>
    <x v="0"/>
    <n v="320000"/>
    <n v="1"/>
    <x v="1"/>
    <n v="256000"/>
    <n v="320000"/>
    <n v="256000"/>
    <n v="64000"/>
  </r>
  <r>
    <x v="819"/>
    <x v="3"/>
    <x v="3"/>
    <x v="3"/>
    <x v="3"/>
    <s v="Corporate"/>
    <s v="Store"/>
    <x v="2"/>
    <x v="1"/>
    <n v="60000"/>
    <n v="8"/>
    <x v="1"/>
    <n v="48000"/>
    <n v="480000"/>
    <n v="384000"/>
    <n v="96000"/>
  </r>
  <r>
    <x v="820"/>
    <x v="3"/>
    <x v="3"/>
    <x v="1"/>
    <x v="2"/>
    <s v="Corporate"/>
    <s v="Store"/>
    <x v="8"/>
    <x v="2"/>
    <n v="250000"/>
    <n v="5"/>
    <x v="3"/>
    <n v="200000"/>
    <n v="1250000"/>
    <n v="1000000"/>
    <n v="250000"/>
  </r>
  <r>
    <x v="821"/>
    <x v="3"/>
    <x v="3"/>
    <x v="0"/>
    <x v="0"/>
    <s v="Corporate"/>
    <s v="Store"/>
    <x v="5"/>
    <x v="0"/>
    <n v="320000"/>
    <n v="2"/>
    <x v="5"/>
    <n v="256000"/>
    <n v="640000"/>
    <n v="512000"/>
    <n v="128000"/>
  </r>
  <r>
    <x v="822"/>
    <x v="3"/>
    <x v="3"/>
    <x v="2"/>
    <x v="2"/>
    <s v="Corporate"/>
    <s v="Online"/>
    <x v="9"/>
    <x v="1"/>
    <n v="220000"/>
    <n v="5"/>
    <x v="1"/>
    <n v="176000"/>
    <n v="1100000"/>
    <n v="880000"/>
    <n v="220000"/>
  </r>
  <r>
    <x v="823"/>
    <x v="3"/>
    <x v="3"/>
    <x v="0"/>
    <x v="1"/>
    <s v="Corporate"/>
    <s v="Store"/>
    <x v="8"/>
    <x v="2"/>
    <n v="250000"/>
    <n v="3"/>
    <x v="0"/>
    <n v="200000"/>
    <n v="750000"/>
    <n v="600000"/>
    <n v="150000"/>
  </r>
  <r>
    <x v="824"/>
    <x v="3"/>
    <x v="3"/>
    <x v="0"/>
    <x v="2"/>
    <s v="Retail"/>
    <s v="Store"/>
    <x v="0"/>
    <x v="0"/>
    <n v="85000"/>
    <n v="10"/>
    <x v="2"/>
    <n v="68000"/>
    <n v="850000"/>
    <n v="680000"/>
    <n v="170000"/>
  </r>
  <r>
    <x v="825"/>
    <x v="3"/>
    <x v="3"/>
    <x v="2"/>
    <x v="0"/>
    <s v="Retail"/>
    <s v="Store"/>
    <x v="7"/>
    <x v="2"/>
    <n v="420000"/>
    <n v="6"/>
    <x v="3"/>
    <n v="336000"/>
    <n v="2520000"/>
    <n v="2016000"/>
    <n v="504000"/>
  </r>
  <r>
    <x v="826"/>
    <x v="3"/>
    <x v="3"/>
    <x v="3"/>
    <x v="1"/>
    <s v="Retail"/>
    <s v="Store"/>
    <x v="6"/>
    <x v="2"/>
    <n v="150000"/>
    <n v="5"/>
    <x v="1"/>
    <n v="120000"/>
    <n v="750000"/>
    <n v="600000"/>
    <n v="150000"/>
  </r>
  <r>
    <x v="827"/>
    <x v="3"/>
    <x v="3"/>
    <x v="3"/>
    <x v="0"/>
    <s v="Retail"/>
    <s v="Store"/>
    <x v="5"/>
    <x v="0"/>
    <n v="320000"/>
    <n v="3"/>
    <x v="4"/>
    <n v="256000"/>
    <n v="960000"/>
    <n v="768000"/>
    <n v="192000"/>
  </r>
  <r>
    <x v="828"/>
    <x v="3"/>
    <x v="3"/>
    <x v="3"/>
    <x v="3"/>
    <s v="Corporate"/>
    <s v="Online"/>
    <x v="1"/>
    <x v="1"/>
    <n v="30000"/>
    <n v="1"/>
    <x v="3"/>
    <n v="24000"/>
    <n v="30000"/>
    <n v="24000"/>
    <n v="6000"/>
  </r>
  <r>
    <x v="829"/>
    <x v="3"/>
    <x v="3"/>
    <x v="0"/>
    <x v="2"/>
    <s v="Retail"/>
    <s v="Online"/>
    <x v="4"/>
    <x v="1"/>
    <n v="180000"/>
    <n v="10"/>
    <x v="3"/>
    <n v="144000"/>
    <n v="1800000"/>
    <n v="1440000"/>
    <n v="360000"/>
  </r>
  <r>
    <x v="830"/>
    <x v="3"/>
    <x v="3"/>
    <x v="2"/>
    <x v="0"/>
    <s v="Corporate"/>
    <s v="Store"/>
    <x v="4"/>
    <x v="1"/>
    <n v="180000"/>
    <n v="3"/>
    <x v="0"/>
    <n v="144000"/>
    <n v="540000"/>
    <n v="432000"/>
    <n v="108000"/>
  </r>
  <r>
    <x v="831"/>
    <x v="3"/>
    <x v="3"/>
    <x v="1"/>
    <x v="0"/>
    <s v="Corporate"/>
    <s v="Online"/>
    <x v="7"/>
    <x v="2"/>
    <n v="420000"/>
    <n v="3"/>
    <x v="1"/>
    <n v="336000"/>
    <n v="1260000"/>
    <n v="1008000"/>
    <n v="252000"/>
  </r>
  <r>
    <x v="832"/>
    <x v="4"/>
    <x v="4"/>
    <x v="1"/>
    <x v="1"/>
    <s v="Retail"/>
    <s v="Online"/>
    <x v="9"/>
    <x v="1"/>
    <n v="220000"/>
    <n v="6"/>
    <x v="4"/>
    <n v="176000"/>
    <n v="1320000"/>
    <n v="1056000"/>
    <n v="264000"/>
  </r>
  <r>
    <x v="833"/>
    <x v="4"/>
    <x v="4"/>
    <x v="2"/>
    <x v="2"/>
    <s v="Retail"/>
    <s v="Online"/>
    <x v="2"/>
    <x v="1"/>
    <n v="60000"/>
    <n v="10"/>
    <x v="3"/>
    <n v="48000"/>
    <n v="600000"/>
    <n v="480000"/>
    <n v="120000"/>
  </r>
  <r>
    <x v="834"/>
    <x v="4"/>
    <x v="4"/>
    <x v="2"/>
    <x v="1"/>
    <s v="Retail"/>
    <s v="Store"/>
    <x v="4"/>
    <x v="1"/>
    <n v="180000"/>
    <n v="10"/>
    <x v="2"/>
    <n v="144000"/>
    <n v="1800000"/>
    <n v="1440000"/>
    <n v="360000"/>
  </r>
  <r>
    <x v="835"/>
    <x v="4"/>
    <x v="4"/>
    <x v="1"/>
    <x v="0"/>
    <s v="Corporate"/>
    <s v="Store"/>
    <x v="9"/>
    <x v="1"/>
    <n v="220000"/>
    <n v="4"/>
    <x v="1"/>
    <n v="176000"/>
    <n v="880000"/>
    <n v="704000"/>
    <n v="176000"/>
  </r>
  <r>
    <x v="836"/>
    <x v="4"/>
    <x v="4"/>
    <x v="2"/>
    <x v="3"/>
    <s v="Corporate"/>
    <s v="Store"/>
    <x v="8"/>
    <x v="2"/>
    <n v="250000"/>
    <n v="4"/>
    <x v="3"/>
    <n v="200000"/>
    <n v="1000000"/>
    <n v="800000"/>
    <n v="200000"/>
  </r>
  <r>
    <x v="837"/>
    <x v="4"/>
    <x v="4"/>
    <x v="2"/>
    <x v="1"/>
    <s v="Corporate"/>
    <s v="Store"/>
    <x v="1"/>
    <x v="1"/>
    <n v="30000"/>
    <n v="2"/>
    <x v="5"/>
    <n v="24000"/>
    <n v="60000"/>
    <n v="48000"/>
    <n v="12000"/>
  </r>
  <r>
    <x v="838"/>
    <x v="4"/>
    <x v="4"/>
    <x v="0"/>
    <x v="2"/>
    <s v="Retail"/>
    <s v="Store"/>
    <x v="4"/>
    <x v="1"/>
    <n v="180000"/>
    <n v="6"/>
    <x v="2"/>
    <n v="144000"/>
    <n v="1080000"/>
    <n v="864000"/>
    <n v="216000"/>
  </r>
  <r>
    <x v="839"/>
    <x v="4"/>
    <x v="4"/>
    <x v="2"/>
    <x v="3"/>
    <s v="Corporate"/>
    <s v="Store"/>
    <x v="4"/>
    <x v="1"/>
    <n v="180000"/>
    <n v="8"/>
    <x v="5"/>
    <n v="144000"/>
    <n v="1440000"/>
    <n v="1152000"/>
    <n v="288000"/>
  </r>
  <r>
    <x v="840"/>
    <x v="4"/>
    <x v="4"/>
    <x v="0"/>
    <x v="1"/>
    <s v="Corporate"/>
    <s v="Store"/>
    <x v="7"/>
    <x v="2"/>
    <n v="420000"/>
    <n v="3"/>
    <x v="0"/>
    <n v="336000"/>
    <n v="1260000"/>
    <n v="1008000"/>
    <n v="252000"/>
  </r>
  <r>
    <x v="841"/>
    <x v="4"/>
    <x v="4"/>
    <x v="3"/>
    <x v="2"/>
    <s v="Corporate"/>
    <s v="Online"/>
    <x v="1"/>
    <x v="1"/>
    <n v="30000"/>
    <n v="10"/>
    <x v="2"/>
    <n v="24000"/>
    <n v="300000"/>
    <n v="240000"/>
    <n v="60000"/>
  </r>
  <r>
    <x v="842"/>
    <x v="4"/>
    <x v="4"/>
    <x v="1"/>
    <x v="2"/>
    <s v="Corporate"/>
    <s v="Online"/>
    <x v="0"/>
    <x v="0"/>
    <n v="85000"/>
    <n v="7"/>
    <x v="5"/>
    <n v="68000"/>
    <n v="595000"/>
    <n v="476000"/>
    <n v="119000"/>
  </r>
  <r>
    <x v="843"/>
    <x v="4"/>
    <x v="4"/>
    <x v="0"/>
    <x v="0"/>
    <s v="Retail"/>
    <s v="Store"/>
    <x v="1"/>
    <x v="1"/>
    <n v="30000"/>
    <n v="5"/>
    <x v="0"/>
    <n v="24000"/>
    <n v="150000"/>
    <n v="120000"/>
    <n v="30000"/>
  </r>
  <r>
    <x v="844"/>
    <x v="4"/>
    <x v="4"/>
    <x v="3"/>
    <x v="0"/>
    <s v="Retail"/>
    <s v="Store"/>
    <x v="3"/>
    <x v="2"/>
    <n v="300000"/>
    <n v="5"/>
    <x v="5"/>
    <n v="240000"/>
    <n v="1500000"/>
    <n v="1200000"/>
    <n v="300000"/>
  </r>
  <r>
    <x v="845"/>
    <x v="4"/>
    <x v="4"/>
    <x v="0"/>
    <x v="2"/>
    <s v="Corporate"/>
    <s v="Store"/>
    <x v="0"/>
    <x v="0"/>
    <n v="85000"/>
    <n v="8"/>
    <x v="2"/>
    <n v="68000"/>
    <n v="680000"/>
    <n v="544000"/>
    <n v="136000"/>
  </r>
  <r>
    <x v="846"/>
    <x v="4"/>
    <x v="4"/>
    <x v="2"/>
    <x v="3"/>
    <s v="Corporate"/>
    <s v="Store"/>
    <x v="9"/>
    <x v="1"/>
    <n v="220000"/>
    <n v="7"/>
    <x v="1"/>
    <n v="176000"/>
    <n v="1540000"/>
    <n v="1232000"/>
    <n v="308000"/>
  </r>
  <r>
    <x v="847"/>
    <x v="4"/>
    <x v="4"/>
    <x v="3"/>
    <x v="1"/>
    <s v="Retail"/>
    <s v="Online"/>
    <x v="0"/>
    <x v="0"/>
    <n v="85000"/>
    <n v="8"/>
    <x v="1"/>
    <n v="68000"/>
    <n v="680000"/>
    <n v="544000"/>
    <n v="136000"/>
  </r>
  <r>
    <x v="848"/>
    <x v="4"/>
    <x v="4"/>
    <x v="1"/>
    <x v="3"/>
    <s v="Corporate"/>
    <s v="Online"/>
    <x v="6"/>
    <x v="2"/>
    <n v="150000"/>
    <n v="5"/>
    <x v="3"/>
    <n v="120000"/>
    <n v="750000"/>
    <n v="600000"/>
    <n v="150000"/>
  </r>
  <r>
    <x v="849"/>
    <x v="4"/>
    <x v="4"/>
    <x v="1"/>
    <x v="0"/>
    <s v="Retail"/>
    <s v="Store"/>
    <x v="2"/>
    <x v="1"/>
    <n v="60000"/>
    <n v="10"/>
    <x v="1"/>
    <n v="48000"/>
    <n v="600000"/>
    <n v="480000"/>
    <n v="120000"/>
  </r>
  <r>
    <x v="850"/>
    <x v="4"/>
    <x v="4"/>
    <x v="0"/>
    <x v="2"/>
    <s v="Corporate"/>
    <s v="Online"/>
    <x v="9"/>
    <x v="1"/>
    <n v="220000"/>
    <n v="1"/>
    <x v="0"/>
    <n v="176000"/>
    <n v="220000"/>
    <n v="176000"/>
    <n v="44000"/>
  </r>
  <r>
    <x v="851"/>
    <x v="4"/>
    <x v="4"/>
    <x v="3"/>
    <x v="1"/>
    <s v="Corporate"/>
    <s v="Online"/>
    <x v="1"/>
    <x v="1"/>
    <n v="30000"/>
    <n v="3"/>
    <x v="2"/>
    <n v="24000"/>
    <n v="90000"/>
    <n v="72000"/>
    <n v="18000"/>
  </r>
  <r>
    <x v="852"/>
    <x v="4"/>
    <x v="4"/>
    <x v="2"/>
    <x v="1"/>
    <s v="Corporate"/>
    <s v="Online"/>
    <x v="7"/>
    <x v="2"/>
    <n v="420000"/>
    <n v="1"/>
    <x v="3"/>
    <n v="336000"/>
    <n v="420000"/>
    <n v="336000"/>
    <n v="84000"/>
  </r>
  <r>
    <x v="853"/>
    <x v="4"/>
    <x v="4"/>
    <x v="1"/>
    <x v="0"/>
    <s v="Retail"/>
    <s v="Store"/>
    <x v="1"/>
    <x v="1"/>
    <n v="30000"/>
    <n v="5"/>
    <x v="5"/>
    <n v="24000"/>
    <n v="150000"/>
    <n v="120000"/>
    <n v="30000"/>
  </r>
  <r>
    <x v="854"/>
    <x v="4"/>
    <x v="4"/>
    <x v="1"/>
    <x v="3"/>
    <s v="Corporate"/>
    <s v="Online"/>
    <x v="7"/>
    <x v="2"/>
    <n v="420000"/>
    <n v="7"/>
    <x v="0"/>
    <n v="336000"/>
    <n v="2940000"/>
    <n v="2352000"/>
    <n v="588000"/>
  </r>
  <r>
    <x v="855"/>
    <x v="4"/>
    <x v="4"/>
    <x v="2"/>
    <x v="1"/>
    <s v="Retail"/>
    <s v="Store"/>
    <x v="4"/>
    <x v="1"/>
    <n v="180000"/>
    <n v="8"/>
    <x v="4"/>
    <n v="144000"/>
    <n v="1440000"/>
    <n v="1152000"/>
    <n v="288000"/>
  </r>
  <r>
    <x v="856"/>
    <x v="4"/>
    <x v="4"/>
    <x v="0"/>
    <x v="3"/>
    <s v="Corporate"/>
    <s v="Store"/>
    <x v="9"/>
    <x v="1"/>
    <n v="220000"/>
    <n v="3"/>
    <x v="2"/>
    <n v="176000"/>
    <n v="660000"/>
    <n v="528000"/>
    <n v="132000"/>
  </r>
  <r>
    <x v="857"/>
    <x v="4"/>
    <x v="4"/>
    <x v="1"/>
    <x v="3"/>
    <s v="Retail"/>
    <s v="Online"/>
    <x v="7"/>
    <x v="2"/>
    <n v="420000"/>
    <n v="3"/>
    <x v="0"/>
    <n v="336000"/>
    <n v="1260000"/>
    <n v="1008000"/>
    <n v="252000"/>
  </r>
  <r>
    <x v="858"/>
    <x v="4"/>
    <x v="4"/>
    <x v="1"/>
    <x v="2"/>
    <s v="Retail"/>
    <s v="Online"/>
    <x v="4"/>
    <x v="1"/>
    <n v="180000"/>
    <n v="5"/>
    <x v="5"/>
    <n v="144000"/>
    <n v="900000"/>
    <n v="720000"/>
    <n v="180000"/>
  </r>
  <r>
    <x v="859"/>
    <x v="4"/>
    <x v="4"/>
    <x v="0"/>
    <x v="2"/>
    <s v="Corporate"/>
    <s v="Online"/>
    <x v="9"/>
    <x v="1"/>
    <n v="220000"/>
    <n v="5"/>
    <x v="2"/>
    <n v="176000"/>
    <n v="1100000"/>
    <n v="880000"/>
    <n v="220000"/>
  </r>
  <r>
    <x v="860"/>
    <x v="4"/>
    <x v="4"/>
    <x v="3"/>
    <x v="3"/>
    <s v="Corporate"/>
    <s v="Online"/>
    <x v="8"/>
    <x v="2"/>
    <n v="250000"/>
    <n v="2"/>
    <x v="3"/>
    <n v="200000"/>
    <n v="500000"/>
    <n v="400000"/>
    <n v="100000"/>
  </r>
  <r>
    <x v="861"/>
    <x v="4"/>
    <x v="4"/>
    <x v="1"/>
    <x v="2"/>
    <s v="Corporate"/>
    <s v="Online"/>
    <x v="7"/>
    <x v="2"/>
    <n v="420000"/>
    <n v="3"/>
    <x v="3"/>
    <n v="336000"/>
    <n v="1260000"/>
    <n v="1008000"/>
    <n v="252000"/>
  </r>
  <r>
    <x v="862"/>
    <x v="4"/>
    <x v="4"/>
    <x v="1"/>
    <x v="1"/>
    <s v="Corporate"/>
    <s v="Online"/>
    <x v="7"/>
    <x v="2"/>
    <n v="420000"/>
    <n v="8"/>
    <x v="2"/>
    <n v="336000"/>
    <n v="3360000"/>
    <n v="2688000"/>
    <n v="672000"/>
  </r>
  <r>
    <x v="863"/>
    <x v="5"/>
    <x v="5"/>
    <x v="1"/>
    <x v="0"/>
    <s v="Corporate"/>
    <s v="Online"/>
    <x v="7"/>
    <x v="2"/>
    <n v="420000"/>
    <n v="7"/>
    <x v="0"/>
    <n v="336000"/>
    <n v="2940000"/>
    <n v="2352000"/>
    <n v="588000"/>
  </r>
  <r>
    <x v="864"/>
    <x v="5"/>
    <x v="5"/>
    <x v="0"/>
    <x v="2"/>
    <s v="Corporate"/>
    <s v="Online"/>
    <x v="5"/>
    <x v="0"/>
    <n v="320000"/>
    <n v="6"/>
    <x v="2"/>
    <n v="256000"/>
    <n v="1920000"/>
    <n v="1536000"/>
    <n v="384000"/>
  </r>
  <r>
    <x v="865"/>
    <x v="5"/>
    <x v="5"/>
    <x v="3"/>
    <x v="2"/>
    <s v="Corporate"/>
    <s v="Online"/>
    <x v="2"/>
    <x v="1"/>
    <n v="60000"/>
    <n v="3"/>
    <x v="2"/>
    <n v="48000"/>
    <n v="180000"/>
    <n v="144000"/>
    <n v="36000"/>
  </r>
  <r>
    <x v="866"/>
    <x v="5"/>
    <x v="5"/>
    <x v="0"/>
    <x v="0"/>
    <s v="Corporate"/>
    <s v="Store"/>
    <x v="0"/>
    <x v="0"/>
    <n v="85000"/>
    <n v="8"/>
    <x v="0"/>
    <n v="68000"/>
    <n v="680000"/>
    <n v="544000"/>
    <n v="136000"/>
  </r>
  <r>
    <x v="867"/>
    <x v="5"/>
    <x v="5"/>
    <x v="0"/>
    <x v="0"/>
    <s v="Corporate"/>
    <s v="Store"/>
    <x v="4"/>
    <x v="1"/>
    <n v="180000"/>
    <n v="9"/>
    <x v="3"/>
    <n v="144000"/>
    <n v="1620000"/>
    <n v="1296000"/>
    <n v="324000"/>
  </r>
  <r>
    <x v="868"/>
    <x v="5"/>
    <x v="5"/>
    <x v="0"/>
    <x v="2"/>
    <s v="Corporate"/>
    <s v="Store"/>
    <x v="9"/>
    <x v="1"/>
    <n v="220000"/>
    <n v="5"/>
    <x v="3"/>
    <n v="176000"/>
    <n v="1100000"/>
    <n v="880000"/>
    <n v="220000"/>
  </r>
  <r>
    <x v="869"/>
    <x v="5"/>
    <x v="5"/>
    <x v="2"/>
    <x v="2"/>
    <s v="Corporate"/>
    <s v="Store"/>
    <x v="4"/>
    <x v="1"/>
    <n v="180000"/>
    <n v="5"/>
    <x v="3"/>
    <n v="144000"/>
    <n v="900000"/>
    <n v="720000"/>
    <n v="180000"/>
  </r>
  <r>
    <x v="870"/>
    <x v="5"/>
    <x v="5"/>
    <x v="0"/>
    <x v="1"/>
    <s v="Corporate"/>
    <s v="Online"/>
    <x v="2"/>
    <x v="1"/>
    <n v="60000"/>
    <n v="7"/>
    <x v="0"/>
    <n v="48000"/>
    <n v="420000"/>
    <n v="336000"/>
    <n v="84000"/>
  </r>
  <r>
    <x v="871"/>
    <x v="5"/>
    <x v="5"/>
    <x v="2"/>
    <x v="2"/>
    <s v="Corporate"/>
    <s v="Store"/>
    <x v="6"/>
    <x v="2"/>
    <n v="150000"/>
    <n v="7"/>
    <x v="3"/>
    <n v="120000"/>
    <n v="1050000"/>
    <n v="840000"/>
    <n v="210000"/>
  </r>
  <r>
    <x v="872"/>
    <x v="5"/>
    <x v="5"/>
    <x v="1"/>
    <x v="0"/>
    <s v="Corporate"/>
    <s v="Store"/>
    <x v="1"/>
    <x v="1"/>
    <n v="30000"/>
    <n v="4"/>
    <x v="4"/>
    <n v="24000"/>
    <n v="120000"/>
    <n v="96000"/>
    <n v="24000"/>
  </r>
  <r>
    <x v="873"/>
    <x v="5"/>
    <x v="5"/>
    <x v="0"/>
    <x v="3"/>
    <s v="Corporate"/>
    <s v="Store"/>
    <x v="7"/>
    <x v="2"/>
    <n v="420000"/>
    <n v="1"/>
    <x v="4"/>
    <n v="336000"/>
    <n v="420000"/>
    <n v="336000"/>
    <n v="84000"/>
  </r>
  <r>
    <x v="874"/>
    <x v="5"/>
    <x v="5"/>
    <x v="0"/>
    <x v="2"/>
    <s v="Corporate"/>
    <s v="Store"/>
    <x v="7"/>
    <x v="2"/>
    <n v="420000"/>
    <n v="4"/>
    <x v="3"/>
    <n v="336000"/>
    <n v="1680000"/>
    <n v="1344000"/>
    <n v="336000"/>
  </r>
  <r>
    <x v="875"/>
    <x v="5"/>
    <x v="5"/>
    <x v="3"/>
    <x v="2"/>
    <s v="Corporate"/>
    <s v="Online"/>
    <x v="0"/>
    <x v="0"/>
    <n v="85000"/>
    <n v="4"/>
    <x v="3"/>
    <n v="68000"/>
    <n v="340000"/>
    <n v="272000"/>
    <n v="68000"/>
  </r>
  <r>
    <x v="876"/>
    <x v="5"/>
    <x v="5"/>
    <x v="0"/>
    <x v="1"/>
    <s v="Corporate"/>
    <s v="Store"/>
    <x v="5"/>
    <x v="0"/>
    <n v="320000"/>
    <n v="5"/>
    <x v="2"/>
    <n v="256000"/>
    <n v="1600000"/>
    <n v="1280000"/>
    <n v="320000"/>
  </r>
  <r>
    <x v="877"/>
    <x v="5"/>
    <x v="5"/>
    <x v="1"/>
    <x v="0"/>
    <s v="Corporate"/>
    <s v="Store"/>
    <x v="0"/>
    <x v="0"/>
    <n v="85000"/>
    <n v="4"/>
    <x v="2"/>
    <n v="68000"/>
    <n v="340000"/>
    <n v="272000"/>
    <n v="68000"/>
  </r>
  <r>
    <x v="878"/>
    <x v="5"/>
    <x v="5"/>
    <x v="0"/>
    <x v="0"/>
    <s v="Corporate"/>
    <s v="Store"/>
    <x v="7"/>
    <x v="2"/>
    <n v="420000"/>
    <n v="7"/>
    <x v="5"/>
    <n v="336000"/>
    <n v="2940000"/>
    <n v="2352000"/>
    <n v="588000"/>
  </r>
  <r>
    <x v="879"/>
    <x v="5"/>
    <x v="5"/>
    <x v="0"/>
    <x v="2"/>
    <s v="Corporate"/>
    <s v="Online"/>
    <x v="1"/>
    <x v="1"/>
    <n v="30000"/>
    <n v="10"/>
    <x v="2"/>
    <n v="24000"/>
    <n v="300000"/>
    <n v="240000"/>
    <n v="60000"/>
  </r>
  <r>
    <x v="880"/>
    <x v="5"/>
    <x v="5"/>
    <x v="0"/>
    <x v="2"/>
    <s v="Corporate"/>
    <s v="Online"/>
    <x v="6"/>
    <x v="2"/>
    <n v="150000"/>
    <n v="10"/>
    <x v="2"/>
    <n v="120000"/>
    <n v="1500000"/>
    <n v="1200000"/>
    <n v="300000"/>
  </r>
  <r>
    <x v="881"/>
    <x v="5"/>
    <x v="5"/>
    <x v="2"/>
    <x v="0"/>
    <s v="Corporate"/>
    <s v="Store"/>
    <x v="8"/>
    <x v="2"/>
    <n v="250000"/>
    <n v="4"/>
    <x v="4"/>
    <n v="200000"/>
    <n v="1000000"/>
    <n v="800000"/>
    <n v="200000"/>
  </r>
  <r>
    <x v="882"/>
    <x v="5"/>
    <x v="5"/>
    <x v="1"/>
    <x v="3"/>
    <s v="Retail"/>
    <s v="Online"/>
    <x v="9"/>
    <x v="1"/>
    <n v="220000"/>
    <n v="6"/>
    <x v="4"/>
    <n v="176000"/>
    <n v="1320000"/>
    <n v="1056000"/>
    <n v="264000"/>
  </r>
  <r>
    <x v="883"/>
    <x v="5"/>
    <x v="5"/>
    <x v="3"/>
    <x v="0"/>
    <s v="Retail"/>
    <s v="Store"/>
    <x v="6"/>
    <x v="2"/>
    <n v="150000"/>
    <n v="10"/>
    <x v="1"/>
    <n v="120000"/>
    <n v="1500000"/>
    <n v="1200000"/>
    <n v="300000"/>
  </r>
  <r>
    <x v="884"/>
    <x v="5"/>
    <x v="5"/>
    <x v="1"/>
    <x v="2"/>
    <s v="Retail"/>
    <s v="Online"/>
    <x v="6"/>
    <x v="2"/>
    <n v="150000"/>
    <n v="2"/>
    <x v="2"/>
    <n v="120000"/>
    <n v="300000"/>
    <n v="240000"/>
    <n v="60000"/>
  </r>
  <r>
    <x v="885"/>
    <x v="5"/>
    <x v="5"/>
    <x v="0"/>
    <x v="0"/>
    <s v="Retail"/>
    <s v="Online"/>
    <x v="8"/>
    <x v="2"/>
    <n v="250000"/>
    <n v="4"/>
    <x v="3"/>
    <n v="200000"/>
    <n v="1000000"/>
    <n v="800000"/>
    <n v="200000"/>
  </r>
  <r>
    <x v="886"/>
    <x v="5"/>
    <x v="5"/>
    <x v="1"/>
    <x v="0"/>
    <s v="Retail"/>
    <s v="Store"/>
    <x v="6"/>
    <x v="2"/>
    <n v="150000"/>
    <n v="9"/>
    <x v="1"/>
    <n v="120000"/>
    <n v="1350000"/>
    <n v="1080000"/>
    <n v="270000"/>
  </r>
  <r>
    <x v="887"/>
    <x v="5"/>
    <x v="5"/>
    <x v="3"/>
    <x v="2"/>
    <s v="Retail"/>
    <s v="Store"/>
    <x v="7"/>
    <x v="2"/>
    <n v="420000"/>
    <n v="7"/>
    <x v="3"/>
    <n v="336000"/>
    <n v="2940000"/>
    <n v="2352000"/>
    <n v="588000"/>
  </r>
  <r>
    <x v="888"/>
    <x v="5"/>
    <x v="5"/>
    <x v="1"/>
    <x v="1"/>
    <s v="Retail"/>
    <s v="Online"/>
    <x v="0"/>
    <x v="0"/>
    <n v="85000"/>
    <n v="2"/>
    <x v="0"/>
    <n v="68000"/>
    <n v="170000"/>
    <n v="136000"/>
    <n v="34000"/>
  </r>
  <r>
    <x v="889"/>
    <x v="5"/>
    <x v="5"/>
    <x v="2"/>
    <x v="1"/>
    <s v="Corporate"/>
    <s v="Store"/>
    <x v="0"/>
    <x v="0"/>
    <n v="85000"/>
    <n v="1"/>
    <x v="3"/>
    <n v="68000"/>
    <n v="85000"/>
    <n v="68000"/>
    <n v="17000"/>
  </r>
  <r>
    <x v="890"/>
    <x v="5"/>
    <x v="5"/>
    <x v="2"/>
    <x v="2"/>
    <s v="Retail"/>
    <s v="Store"/>
    <x v="7"/>
    <x v="2"/>
    <n v="420000"/>
    <n v="9"/>
    <x v="0"/>
    <n v="336000"/>
    <n v="3780000"/>
    <n v="3024000"/>
    <n v="756000"/>
  </r>
  <r>
    <x v="891"/>
    <x v="5"/>
    <x v="5"/>
    <x v="3"/>
    <x v="1"/>
    <s v="Retail"/>
    <s v="Store"/>
    <x v="9"/>
    <x v="1"/>
    <n v="220000"/>
    <n v="2"/>
    <x v="5"/>
    <n v="176000"/>
    <n v="440000"/>
    <n v="352000"/>
    <n v="88000"/>
  </r>
  <r>
    <x v="892"/>
    <x v="5"/>
    <x v="5"/>
    <x v="0"/>
    <x v="2"/>
    <s v="Corporate"/>
    <s v="Store"/>
    <x v="9"/>
    <x v="1"/>
    <n v="220000"/>
    <n v="8"/>
    <x v="4"/>
    <n v="176000"/>
    <n v="1760000"/>
    <n v="1408000"/>
    <n v="352000"/>
  </r>
  <r>
    <x v="893"/>
    <x v="6"/>
    <x v="6"/>
    <x v="3"/>
    <x v="0"/>
    <s v="Corporate"/>
    <s v="Online"/>
    <x v="1"/>
    <x v="1"/>
    <n v="30000"/>
    <n v="9"/>
    <x v="0"/>
    <n v="24000"/>
    <n v="270000"/>
    <n v="216000"/>
    <n v="54000"/>
  </r>
  <r>
    <x v="894"/>
    <x v="6"/>
    <x v="6"/>
    <x v="3"/>
    <x v="3"/>
    <s v="Corporate"/>
    <s v="Online"/>
    <x v="5"/>
    <x v="0"/>
    <n v="320000"/>
    <n v="3"/>
    <x v="4"/>
    <n v="256000"/>
    <n v="960000"/>
    <n v="768000"/>
    <n v="192000"/>
  </r>
  <r>
    <x v="895"/>
    <x v="6"/>
    <x v="6"/>
    <x v="3"/>
    <x v="0"/>
    <s v="Retail"/>
    <s v="Online"/>
    <x v="1"/>
    <x v="1"/>
    <n v="30000"/>
    <n v="6"/>
    <x v="3"/>
    <n v="24000"/>
    <n v="180000"/>
    <n v="144000"/>
    <n v="36000"/>
  </r>
  <r>
    <x v="896"/>
    <x v="6"/>
    <x v="6"/>
    <x v="3"/>
    <x v="2"/>
    <s v="Corporate"/>
    <s v="Online"/>
    <x v="2"/>
    <x v="1"/>
    <n v="60000"/>
    <n v="7"/>
    <x v="2"/>
    <n v="48000"/>
    <n v="420000"/>
    <n v="336000"/>
    <n v="84000"/>
  </r>
  <r>
    <x v="897"/>
    <x v="6"/>
    <x v="6"/>
    <x v="2"/>
    <x v="2"/>
    <s v="Retail"/>
    <s v="Online"/>
    <x v="4"/>
    <x v="1"/>
    <n v="180000"/>
    <n v="2"/>
    <x v="3"/>
    <n v="144000"/>
    <n v="360000"/>
    <n v="288000"/>
    <n v="72000"/>
  </r>
  <r>
    <x v="898"/>
    <x v="6"/>
    <x v="6"/>
    <x v="1"/>
    <x v="3"/>
    <s v="Corporate"/>
    <s v="Store"/>
    <x v="1"/>
    <x v="1"/>
    <n v="30000"/>
    <n v="5"/>
    <x v="0"/>
    <n v="24000"/>
    <n v="150000"/>
    <n v="120000"/>
    <n v="30000"/>
  </r>
  <r>
    <x v="899"/>
    <x v="6"/>
    <x v="6"/>
    <x v="0"/>
    <x v="1"/>
    <s v="Corporate"/>
    <s v="Store"/>
    <x v="6"/>
    <x v="2"/>
    <n v="150000"/>
    <n v="2"/>
    <x v="4"/>
    <n v="120000"/>
    <n v="300000"/>
    <n v="240000"/>
    <n v="60000"/>
  </r>
  <r>
    <x v="900"/>
    <x v="6"/>
    <x v="6"/>
    <x v="2"/>
    <x v="0"/>
    <s v="Retail"/>
    <s v="Online"/>
    <x v="1"/>
    <x v="1"/>
    <n v="30000"/>
    <n v="9"/>
    <x v="5"/>
    <n v="24000"/>
    <n v="270000"/>
    <n v="216000"/>
    <n v="54000"/>
  </r>
  <r>
    <x v="901"/>
    <x v="6"/>
    <x v="6"/>
    <x v="2"/>
    <x v="2"/>
    <s v="Corporate"/>
    <s v="Online"/>
    <x v="6"/>
    <x v="2"/>
    <n v="150000"/>
    <n v="5"/>
    <x v="3"/>
    <n v="120000"/>
    <n v="750000"/>
    <n v="600000"/>
    <n v="150000"/>
  </r>
  <r>
    <x v="902"/>
    <x v="6"/>
    <x v="6"/>
    <x v="2"/>
    <x v="2"/>
    <s v="Retail"/>
    <s v="Store"/>
    <x v="2"/>
    <x v="1"/>
    <n v="60000"/>
    <n v="8"/>
    <x v="5"/>
    <n v="48000"/>
    <n v="480000"/>
    <n v="384000"/>
    <n v="96000"/>
  </r>
  <r>
    <x v="903"/>
    <x v="6"/>
    <x v="6"/>
    <x v="1"/>
    <x v="1"/>
    <s v="Retail"/>
    <s v="Online"/>
    <x v="6"/>
    <x v="2"/>
    <n v="150000"/>
    <n v="8"/>
    <x v="4"/>
    <n v="120000"/>
    <n v="1200000"/>
    <n v="960000"/>
    <n v="240000"/>
  </r>
  <r>
    <x v="904"/>
    <x v="6"/>
    <x v="6"/>
    <x v="1"/>
    <x v="2"/>
    <s v="Retail"/>
    <s v="Store"/>
    <x v="0"/>
    <x v="0"/>
    <n v="85000"/>
    <n v="3"/>
    <x v="5"/>
    <n v="68000"/>
    <n v="255000"/>
    <n v="204000"/>
    <n v="51000"/>
  </r>
  <r>
    <x v="905"/>
    <x v="6"/>
    <x v="6"/>
    <x v="2"/>
    <x v="0"/>
    <s v="Corporate"/>
    <s v="Online"/>
    <x v="4"/>
    <x v="1"/>
    <n v="180000"/>
    <n v="4"/>
    <x v="4"/>
    <n v="144000"/>
    <n v="720000"/>
    <n v="576000"/>
    <n v="144000"/>
  </r>
  <r>
    <x v="906"/>
    <x v="6"/>
    <x v="6"/>
    <x v="3"/>
    <x v="0"/>
    <s v="Retail"/>
    <s v="Online"/>
    <x v="7"/>
    <x v="2"/>
    <n v="420000"/>
    <n v="7"/>
    <x v="1"/>
    <n v="336000"/>
    <n v="2940000"/>
    <n v="2352000"/>
    <n v="588000"/>
  </r>
  <r>
    <x v="907"/>
    <x v="6"/>
    <x v="6"/>
    <x v="1"/>
    <x v="1"/>
    <s v="Retail"/>
    <s v="Store"/>
    <x v="2"/>
    <x v="1"/>
    <n v="60000"/>
    <n v="8"/>
    <x v="1"/>
    <n v="48000"/>
    <n v="480000"/>
    <n v="384000"/>
    <n v="96000"/>
  </r>
  <r>
    <x v="908"/>
    <x v="6"/>
    <x v="6"/>
    <x v="2"/>
    <x v="2"/>
    <s v="Retail"/>
    <s v="Store"/>
    <x v="3"/>
    <x v="2"/>
    <n v="300000"/>
    <n v="1"/>
    <x v="3"/>
    <n v="240000"/>
    <n v="300000"/>
    <n v="240000"/>
    <n v="60000"/>
  </r>
  <r>
    <x v="909"/>
    <x v="6"/>
    <x v="6"/>
    <x v="1"/>
    <x v="2"/>
    <s v="Retail"/>
    <s v="Online"/>
    <x v="1"/>
    <x v="1"/>
    <n v="30000"/>
    <n v="6"/>
    <x v="3"/>
    <n v="24000"/>
    <n v="180000"/>
    <n v="144000"/>
    <n v="36000"/>
  </r>
  <r>
    <x v="910"/>
    <x v="6"/>
    <x v="6"/>
    <x v="3"/>
    <x v="1"/>
    <s v="Corporate"/>
    <s v="Store"/>
    <x v="8"/>
    <x v="2"/>
    <n v="250000"/>
    <n v="9"/>
    <x v="4"/>
    <n v="200000"/>
    <n v="2250000"/>
    <n v="1800000"/>
    <n v="450000"/>
  </r>
  <r>
    <x v="911"/>
    <x v="6"/>
    <x v="6"/>
    <x v="1"/>
    <x v="2"/>
    <s v="Corporate"/>
    <s v="Store"/>
    <x v="7"/>
    <x v="2"/>
    <n v="420000"/>
    <n v="9"/>
    <x v="3"/>
    <n v="336000"/>
    <n v="3780000"/>
    <n v="3024000"/>
    <n v="756000"/>
  </r>
  <r>
    <x v="912"/>
    <x v="6"/>
    <x v="6"/>
    <x v="1"/>
    <x v="2"/>
    <s v="Corporate"/>
    <s v="Store"/>
    <x v="6"/>
    <x v="2"/>
    <n v="150000"/>
    <n v="9"/>
    <x v="3"/>
    <n v="120000"/>
    <n v="1350000"/>
    <n v="1080000"/>
    <n v="270000"/>
  </r>
  <r>
    <x v="913"/>
    <x v="6"/>
    <x v="6"/>
    <x v="1"/>
    <x v="1"/>
    <s v="Corporate"/>
    <s v="Online"/>
    <x v="3"/>
    <x v="2"/>
    <n v="300000"/>
    <n v="5"/>
    <x v="5"/>
    <n v="240000"/>
    <n v="1500000"/>
    <n v="1200000"/>
    <n v="300000"/>
  </r>
  <r>
    <x v="914"/>
    <x v="6"/>
    <x v="6"/>
    <x v="3"/>
    <x v="3"/>
    <s v="Retail"/>
    <s v="Online"/>
    <x v="1"/>
    <x v="1"/>
    <n v="30000"/>
    <n v="4"/>
    <x v="3"/>
    <n v="24000"/>
    <n v="120000"/>
    <n v="96000"/>
    <n v="24000"/>
  </r>
  <r>
    <x v="915"/>
    <x v="6"/>
    <x v="6"/>
    <x v="0"/>
    <x v="3"/>
    <s v="Retail"/>
    <s v="Store"/>
    <x v="7"/>
    <x v="2"/>
    <n v="420000"/>
    <n v="7"/>
    <x v="5"/>
    <n v="336000"/>
    <n v="2940000"/>
    <n v="2352000"/>
    <n v="588000"/>
  </r>
  <r>
    <x v="916"/>
    <x v="6"/>
    <x v="6"/>
    <x v="1"/>
    <x v="1"/>
    <s v="Corporate"/>
    <s v="Store"/>
    <x v="5"/>
    <x v="0"/>
    <n v="320000"/>
    <n v="6"/>
    <x v="3"/>
    <n v="256000"/>
    <n v="1920000"/>
    <n v="1536000"/>
    <n v="384000"/>
  </r>
  <r>
    <x v="917"/>
    <x v="6"/>
    <x v="6"/>
    <x v="2"/>
    <x v="3"/>
    <s v="Retail"/>
    <s v="Online"/>
    <x v="0"/>
    <x v="0"/>
    <n v="85000"/>
    <n v="2"/>
    <x v="5"/>
    <n v="68000"/>
    <n v="170000"/>
    <n v="136000"/>
    <n v="34000"/>
  </r>
  <r>
    <x v="918"/>
    <x v="6"/>
    <x v="6"/>
    <x v="0"/>
    <x v="1"/>
    <s v="Retail"/>
    <s v="Online"/>
    <x v="6"/>
    <x v="2"/>
    <n v="150000"/>
    <n v="1"/>
    <x v="5"/>
    <n v="120000"/>
    <n v="150000"/>
    <n v="120000"/>
    <n v="30000"/>
  </r>
  <r>
    <x v="919"/>
    <x v="6"/>
    <x v="6"/>
    <x v="0"/>
    <x v="0"/>
    <s v="Corporate"/>
    <s v="Store"/>
    <x v="0"/>
    <x v="0"/>
    <n v="85000"/>
    <n v="2"/>
    <x v="4"/>
    <n v="68000"/>
    <n v="170000"/>
    <n v="136000"/>
    <n v="34000"/>
  </r>
  <r>
    <x v="920"/>
    <x v="6"/>
    <x v="6"/>
    <x v="0"/>
    <x v="3"/>
    <s v="Corporate"/>
    <s v="Online"/>
    <x v="0"/>
    <x v="0"/>
    <n v="85000"/>
    <n v="1"/>
    <x v="2"/>
    <n v="68000"/>
    <n v="85000"/>
    <n v="68000"/>
    <n v="17000"/>
  </r>
  <r>
    <x v="921"/>
    <x v="6"/>
    <x v="6"/>
    <x v="3"/>
    <x v="2"/>
    <s v="Retail"/>
    <s v="Online"/>
    <x v="4"/>
    <x v="1"/>
    <n v="180000"/>
    <n v="4"/>
    <x v="5"/>
    <n v="144000"/>
    <n v="720000"/>
    <n v="576000"/>
    <n v="144000"/>
  </r>
  <r>
    <x v="922"/>
    <x v="6"/>
    <x v="6"/>
    <x v="1"/>
    <x v="0"/>
    <s v="Corporate"/>
    <s v="Online"/>
    <x v="7"/>
    <x v="2"/>
    <n v="420000"/>
    <n v="8"/>
    <x v="1"/>
    <n v="336000"/>
    <n v="3360000"/>
    <n v="2688000"/>
    <n v="672000"/>
  </r>
  <r>
    <x v="923"/>
    <x v="6"/>
    <x v="6"/>
    <x v="0"/>
    <x v="2"/>
    <s v="Corporate"/>
    <s v="Store"/>
    <x v="4"/>
    <x v="1"/>
    <n v="180000"/>
    <n v="9"/>
    <x v="1"/>
    <n v="144000"/>
    <n v="1620000"/>
    <n v="1296000"/>
    <n v="324000"/>
  </r>
  <r>
    <x v="924"/>
    <x v="7"/>
    <x v="7"/>
    <x v="3"/>
    <x v="1"/>
    <s v="Corporate"/>
    <s v="Store"/>
    <x v="3"/>
    <x v="2"/>
    <n v="300000"/>
    <n v="5"/>
    <x v="5"/>
    <n v="240000"/>
    <n v="1500000"/>
    <n v="1200000"/>
    <n v="300000"/>
  </r>
  <r>
    <x v="925"/>
    <x v="7"/>
    <x v="7"/>
    <x v="0"/>
    <x v="2"/>
    <s v="Corporate"/>
    <s v="Store"/>
    <x v="2"/>
    <x v="1"/>
    <n v="60000"/>
    <n v="4"/>
    <x v="4"/>
    <n v="48000"/>
    <n v="240000"/>
    <n v="192000"/>
    <n v="48000"/>
  </r>
  <r>
    <x v="926"/>
    <x v="7"/>
    <x v="7"/>
    <x v="1"/>
    <x v="1"/>
    <s v="Corporate"/>
    <s v="Online"/>
    <x v="8"/>
    <x v="2"/>
    <n v="250000"/>
    <n v="4"/>
    <x v="4"/>
    <n v="200000"/>
    <n v="1000000"/>
    <n v="800000"/>
    <n v="200000"/>
  </r>
  <r>
    <x v="927"/>
    <x v="7"/>
    <x v="7"/>
    <x v="3"/>
    <x v="0"/>
    <s v="Retail"/>
    <s v="Store"/>
    <x v="9"/>
    <x v="1"/>
    <n v="220000"/>
    <n v="6"/>
    <x v="5"/>
    <n v="176000"/>
    <n v="1320000"/>
    <n v="1056000"/>
    <n v="264000"/>
  </r>
  <r>
    <x v="928"/>
    <x v="7"/>
    <x v="7"/>
    <x v="1"/>
    <x v="1"/>
    <s v="Corporate"/>
    <s v="Online"/>
    <x v="3"/>
    <x v="2"/>
    <n v="300000"/>
    <n v="7"/>
    <x v="2"/>
    <n v="240000"/>
    <n v="2100000"/>
    <n v="1680000"/>
    <n v="420000"/>
  </r>
  <r>
    <x v="929"/>
    <x v="7"/>
    <x v="7"/>
    <x v="2"/>
    <x v="1"/>
    <s v="Retail"/>
    <s v="Online"/>
    <x v="7"/>
    <x v="2"/>
    <n v="420000"/>
    <n v="10"/>
    <x v="2"/>
    <n v="336000"/>
    <n v="4200000"/>
    <n v="3360000"/>
    <n v="840000"/>
  </r>
  <r>
    <x v="930"/>
    <x v="7"/>
    <x v="7"/>
    <x v="0"/>
    <x v="1"/>
    <s v="Corporate"/>
    <s v="Store"/>
    <x v="1"/>
    <x v="1"/>
    <n v="30000"/>
    <n v="7"/>
    <x v="2"/>
    <n v="24000"/>
    <n v="210000"/>
    <n v="168000"/>
    <n v="42000"/>
  </r>
  <r>
    <x v="931"/>
    <x v="7"/>
    <x v="7"/>
    <x v="3"/>
    <x v="1"/>
    <s v="Corporate"/>
    <s v="Online"/>
    <x v="9"/>
    <x v="1"/>
    <n v="220000"/>
    <n v="8"/>
    <x v="4"/>
    <n v="176000"/>
    <n v="1760000"/>
    <n v="1408000"/>
    <n v="352000"/>
  </r>
  <r>
    <x v="932"/>
    <x v="7"/>
    <x v="7"/>
    <x v="2"/>
    <x v="3"/>
    <s v="Retail"/>
    <s v="Store"/>
    <x v="5"/>
    <x v="0"/>
    <n v="320000"/>
    <n v="9"/>
    <x v="1"/>
    <n v="256000"/>
    <n v="2880000"/>
    <n v="2304000"/>
    <n v="576000"/>
  </r>
  <r>
    <x v="933"/>
    <x v="7"/>
    <x v="7"/>
    <x v="1"/>
    <x v="2"/>
    <s v="Corporate"/>
    <s v="Store"/>
    <x v="4"/>
    <x v="1"/>
    <n v="180000"/>
    <n v="8"/>
    <x v="2"/>
    <n v="144000"/>
    <n v="1440000"/>
    <n v="1152000"/>
    <n v="288000"/>
  </r>
  <r>
    <x v="934"/>
    <x v="7"/>
    <x v="7"/>
    <x v="3"/>
    <x v="0"/>
    <s v="Retail"/>
    <s v="Online"/>
    <x v="1"/>
    <x v="1"/>
    <n v="30000"/>
    <n v="5"/>
    <x v="3"/>
    <n v="24000"/>
    <n v="150000"/>
    <n v="120000"/>
    <n v="30000"/>
  </r>
  <r>
    <x v="935"/>
    <x v="7"/>
    <x v="7"/>
    <x v="2"/>
    <x v="2"/>
    <s v="Retail"/>
    <s v="Store"/>
    <x v="5"/>
    <x v="0"/>
    <n v="320000"/>
    <n v="8"/>
    <x v="2"/>
    <n v="256000"/>
    <n v="2560000"/>
    <n v="2048000"/>
    <n v="512000"/>
  </r>
  <r>
    <x v="936"/>
    <x v="7"/>
    <x v="7"/>
    <x v="3"/>
    <x v="1"/>
    <s v="Retail"/>
    <s v="Store"/>
    <x v="5"/>
    <x v="0"/>
    <n v="320000"/>
    <n v="8"/>
    <x v="1"/>
    <n v="256000"/>
    <n v="2560000"/>
    <n v="2048000"/>
    <n v="512000"/>
  </r>
  <r>
    <x v="937"/>
    <x v="7"/>
    <x v="7"/>
    <x v="1"/>
    <x v="2"/>
    <s v="Corporate"/>
    <s v="Store"/>
    <x v="1"/>
    <x v="1"/>
    <n v="30000"/>
    <n v="4"/>
    <x v="2"/>
    <n v="24000"/>
    <n v="120000"/>
    <n v="96000"/>
    <n v="24000"/>
  </r>
  <r>
    <x v="938"/>
    <x v="7"/>
    <x v="7"/>
    <x v="0"/>
    <x v="3"/>
    <s v="Retail"/>
    <s v="Store"/>
    <x v="4"/>
    <x v="1"/>
    <n v="180000"/>
    <n v="3"/>
    <x v="3"/>
    <n v="144000"/>
    <n v="540000"/>
    <n v="432000"/>
    <n v="108000"/>
  </r>
  <r>
    <x v="939"/>
    <x v="7"/>
    <x v="7"/>
    <x v="3"/>
    <x v="2"/>
    <s v="Retail"/>
    <s v="Online"/>
    <x v="4"/>
    <x v="1"/>
    <n v="180000"/>
    <n v="9"/>
    <x v="3"/>
    <n v="144000"/>
    <n v="1620000"/>
    <n v="1296000"/>
    <n v="324000"/>
  </r>
  <r>
    <x v="940"/>
    <x v="7"/>
    <x v="7"/>
    <x v="3"/>
    <x v="1"/>
    <s v="Corporate"/>
    <s v="Store"/>
    <x v="4"/>
    <x v="1"/>
    <n v="180000"/>
    <n v="1"/>
    <x v="2"/>
    <n v="144000"/>
    <n v="180000"/>
    <n v="144000"/>
    <n v="36000"/>
  </r>
  <r>
    <x v="941"/>
    <x v="7"/>
    <x v="7"/>
    <x v="0"/>
    <x v="3"/>
    <s v="Corporate"/>
    <s v="Online"/>
    <x v="9"/>
    <x v="1"/>
    <n v="220000"/>
    <n v="6"/>
    <x v="1"/>
    <n v="176000"/>
    <n v="1320000"/>
    <n v="1056000"/>
    <n v="264000"/>
  </r>
  <r>
    <x v="942"/>
    <x v="7"/>
    <x v="7"/>
    <x v="1"/>
    <x v="1"/>
    <s v="Retail"/>
    <s v="Online"/>
    <x v="3"/>
    <x v="2"/>
    <n v="300000"/>
    <n v="3"/>
    <x v="1"/>
    <n v="240000"/>
    <n v="900000"/>
    <n v="720000"/>
    <n v="180000"/>
  </r>
  <r>
    <x v="943"/>
    <x v="7"/>
    <x v="7"/>
    <x v="2"/>
    <x v="1"/>
    <s v="Corporate"/>
    <s v="Store"/>
    <x v="5"/>
    <x v="0"/>
    <n v="320000"/>
    <n v="1"/>
    <x v="3"/>
    <n v="256000"/>
    <n v="320000"/>
    <n v="256000"/>
    <n v="64000"/>
  </r>
  <r>
    <x v="944"/>
    <x v="7"/>
    <x v="7"/>
    <x v="2"/>
    <x v="0"/>
    <s v="Corporate"/>
    <s v="Store"/>
    <x v="6"/>
    <x v="2"/>
    <n v="150000"/>
    <n v="6"/>
    <x v="3"/>
    <n v="120000"/>
    <n v="900000"/>
    <n v="720000"/>
    <n v="180000"/>
  </r>
  <r>
    <x v="945"/>
    <x v="7"/>
    <x v="7"/>
    <x v="1"/>
    <x v="1"/>
    <s v="Corporate"/>
    <s v="Store"/>
    <x v="9"/>
    <x v="1"/>
    <n v="220000"/>
    <n v="7"/>
    <x v="1"/>
    <n v="176000"/>
    <n v="1540000"/>
    <n v="1232000"/>
    <n v="308000"/>
  </r>
  <r>
    <x v="946"/>
    <x v="7"/>
    <x v="7"/>
    <x v="0"/>
    <x v="1"/>
    <s v="Retail"/>
    <s v="Online"/>
    <x v="9"/>
    <x v="1"/>
    <n v="220000"/>
    <n v="1"/>
    <x v="2"/>
    <n v="176000"/>
    <n v="220000"/>
    <n v="176000"/>
    <n v="44000"/>
  </r>
  <r>
    <x v="947"/>
    <x v="7"/>
    <x v="7"/>
    <x v="1"/>
    <x v="0"/>
    <s v="Retail"/>
    <s v="Online"/>
    <x v="0"/>
    <x v="0"/>
    <n v="85000"/>
    <n v="4"/>
    <x v="3"/>
    <n v="68000"/>
    <n v="340000"/>
    <n v="272000"/>
    <n v="68000"/>
  </r>
  <r>
    <x v="948"/>
    <x v="7"/>
    <x v="7"/>
    <x v="0"/>
    <x v="3"/>
    <s v="Corporate"/>
    <s v="Online"/>
    <x v="8"/>
    <x v="2"/>
    <n v="250000"/>
    <n v="10"/>
    <x v="3"/>
    <n v="200000"/>
    <n v="2500000"/>
    <n v="2000000"/>
    <n v="500000"/>
  </r>
  <r>
    <x v="949"/>
    <x v="7"/>
    <x v="7"/>
    <x v="3"/>
    <x v="3"/>
    <s v="Retail"/>
    <s v="Store"/>
    <x v="5"/>
    <x v="0"/>
    <n v="320000"/>
    <n v="1"/>
    <x v="4"/>
    <n v="256000"/>
    <n v="320000"/>
    <n v="256000"/>
    <n v="64000"/>
  </r>
  <r>
    <x v="950"/>
    <x v="7"/>
    <x v="7"/>
    <x v="0"/>
    <x v="0"/>
    <s v="Corporate"/>
    <s v="Store"/>
    <x v="2"/>
    <x v="1"/>
    <n v="60000"/>
    <n v="8"/>
    <x v="1"/>
    <n v="48000"/>
    <n v="480000"/>
    <n v="384000"/>
    <n v="96000"/>
  </r>
  <r>
    <x v="951"/>
    <x v="7"/>
    <x v="7"/>
    <x v="3"/>
    <x v="3"/>
    <s v="Retail"/>
    <s v="Store"/>
    <x v="7"/>
    <x v="2"/>
    <n v="420000"/>
    <n v="2"/>
    <x v="4"/>
    <n v="336000"/>
    <n v="840000"/>
    <n v="672000"/>
    <n v="168000"/>
  </r>
  <r>
    <x v="952"/>
    <x v="7"/>
    <x v="7"/>
    <x v="3"/>
    <x v="2"/>
    <s v="Corporate"/>
    <s v="Online"/>
    <x v="8"/>
    <x v="2"/>
    <n v="250000"/>
    <n v="2"/>
    <x v="0"/>
    <n v="200000"/>
    <n v="500000"/>
    <n v="400000"/>
    <n v="100000"/>
  </r>
  <r>
    <x v="953"/>
    <x v="7"/>
    <x v="7"/>
    <x v="0"/>
    <x v="1"/>
    <s v="Retail"/>
    <s v="Store"/>
    <x v="9"/>
    <x v="1"/>
    <n v="220000"/>
    <n v="6"/>
    <x v="5"/>
    <n v="176000"/>
    <n v="1320000"/>
    <n v="1056000"/>
    <n v="264000"/>
  </r>
  <r>
    <x v="954"/>
    <x v="7"/>
    <x v="7"/>
    <x v="3"/>
    <x v="1"/>
    <s v="Corporate"/>
    <s v="Store"/>
    <x v="2"/>
    <x v="1"/>
    <n v="60000"/>
    <n v="1"/>
    <x v="3"/>
    <n v="48000"/>
    <n v="60000"/>
    <n v="48000"/>
    <n v="12000"/>
  </r>
  <r>
    <x v="955"/>
    <x v="8"/>
    <x v="8"/>
    <x v="0"/>
    <x v="0"/>
    <s v="Retail"/>
    <s v="Store"/>
    <x v="0"/>
    <x v="0"/>
    <n v="85000"/>
    <n v="9"/>
    <x v="5"/>
    <n v="68000"/>
    <n v="765000"/>
    <n v="612000"/>
    <n v="153000"/>
  </r>
  <r>
    <x v="956"/>
    <x v="8"/>
    <x v="8"/>
    <x v="2"/>
    <x v="1"/>
    <s v="Retail"/>
    <s v="Store"/>
    <x v="2"/>
    <x v="1"/>
    <n v="60000"/>
    <n v="9"/>
    <x v="4"/>
    <n v="48000"/>
    <n v="540000"/>
    <n v="432000"/>
    <n v="108000"/>
  </r>
  <r>
    <x v="957"/>
    <x v="8"/>
    <x v="8"/>
    <x v="1"/>
    <x v="2"/>
    <s v="Corporate"/>
    <s v="Store"/>
    <x v="0"/>
    <x v="0"/>
    <n v="85000"/>
    <n v="7"/>
    <x v="1"/>
    <n v="68000"/>
    <n v="595000"/>
    <n v="476000"/>
    <n v="119000"/>
  </r>
  <r>
    <x v="958"/>
    <x v="8"/>
    <x v="8"/>
    <x v="2"/>
    <x v="3"/>
    <s v="Retail"/>
    <s v="Online"/>
    <x v="5"/>
    <x v="0"/>
    <n v="320000"/>
    <n v="4"/>
    <x v="2"/>
    <n v="256000"/>
    <n v="1280000"/>
    <n v="1024000"/>
    <n v="256000"/>
  </r>
  <r>
    <x v="959"/>
    <x v="8"/>
    <x v="8"/>
    <x v="2"/>
    <x v="3"/>
    <s v="Corporate"/>
    <s v="Online"/>
    <x v="8"/>
    <x v="2"/>
    <n v="250000"/>
    <n v="4"/>
    <x v="3"/>
    <n v="200000"/>
    <n v="1000000"/>
    <n v="800000"/>
    <n v="200000"/>
  </r>
  <r>
    <x v="960"/>
    <x v="8"/>
    <x v="8"/>
    <x v="1"/>
    <x v="2"/>
    <s v="Corporate"/>
    <s v="Online"/>
    <x v="2"/>
    <x v="1"/>
    <n v="60000"/>
    <n v="8"/>
    <x v="1"/>
    <n v="48000"/>
    <n v="480000"/>
    <n v="384000"/>
    <n v="96000"/>
  </r>
  <r>
    <x v="961"/>
    <x v="8"/>
    <x v="8"/>
    <x v="0"/>
    <x v="2"/>
    <s v="Corporate"/>
    <s v="Online"/>
    <x v="7"/>
    <x v="2"/>
    <n v="420000"/>
    <n v="2"/>
    <x v="5"/>
    <n v="336000"/>
    <n v="840000"/>
    <n v="672000"/>
    <n v="168000"/>
  </r>
  <r>
    <x v="962"/>
    <x v="8"/>
    <x v="8"/>
    <x v="1"/>
    <x v="3"/>
    <s v="Corporate"/>
    <s v="Store"/>
    <x v="6"/>
    <x v="2"/>
    <n v="150000"/>
    <n v="1"/>
    <x v="3"/>
    <n v="120000"/>
    <n v="150000"/>
    <n v="120000"/>
    <n v="30000"/>
  </r>
  <r>
    <x v="963"/>
    <x v="8"/>
    <x v="8"/>
    <x v="2"/>
    <x v="1"/>
    <s v="Retail"/>
    <s v="Online"/>
    <x v="8"/>
    <x v="2"/>
    <n v="250000"/>
    <n v="8"/>
    <x v="4"/>
    <n v="200000"/>
    <n v="2000000"/>
    <n v="1600000"/>
    <n v="400000"/>
  </r>
  <r>
    <x v="964"/>
    <x v="8"/>
    <x v="8"/>
    <x v="0"/>
    <x v="3"/>
    <s v="Retail"/>
    <s v="Online"/>
    <x v="3"/>
    <x v="2"/>
    <n v="300000"/>
    <n v="10"/>
    <x v="5"/>
    <n v="240000"/>
    <n v="3000000"/>
    <n v="2400000"/>
    <n v="600000"/>
  </r>
  <r>
    <x v="965"/>
    <x v="8"/>
    <x v="8"/>
    <x v="1"/>
    <x v="1"/>
    <s v="Corporate"/>
    <s v="Store"/>
    <x v="2"/>
    <x v="1"/>
    <n v="60000"/>
    <n v="3"/>
    <x v="1"/>
    <n v="48000"/>
    <n v="180000"/>
    <n v="144000"/>
    <n v="36000"/>
  </r>
  <r>
    <x v="966"/>
    <x v="8"/>
    <x v="8"/>
    <x v="0"/>
    <x v="3"/>
    <s v="Corporate"/>
    <s v="Online"/>
    <x v="0"/>
    <x v="0"/>
    <n v="85000"/>
    <n v="1"/>
    <x v="1"/>
    <n v="68000"/>
    <n v="85000"/>
    <n v="68000"/>
    <n v="17000"/>
  </r>
  <r>
    <x v="967"/>
    <x v="8"/>
    <x v="8"/>
    <x v="1"/>
    <x v="1"/>
    <s v="Corporate"/>
    <s v="Online"/>
    <x v="4"/>
    <x v="1"/>
    <n v="180000"/>
    <n v="7"/>
    <x v="0"/>
    <n v="144000"/>
    <n v="1260000"/>
    <n v="1008000"/>
    <n v="252000"/>
  </r>
  <r>
    <x v="968"/>
    <x v="8"/>
    <x v="8"/>
    <x v="1"/>
    <x v="2"/>
    <s v="Corporate"/>
    <s v="Online"/>
    <x v="8"/>
    <x v="2"/>
    <n v="250000"/>
    <n v="6"/>
    <x v="2"/>
    <n v="200000"/>
    <n v="1500000"/>
    <n v="1200000"/>
    <n v="300000"/>
  </r>
  <r>
    <x v="969"/>
    <x v="8"/>
    <x v="8"/>
    <x v="0"/>
    <x v="0"/>
    <s v="Corporate"/>
    <s v="Online"/>
    <x v="7"/>
    <x v="2"/>
    <n v="420000"/>
    <n v="3"/>
    <x v="0"/>
    <n v="336000"/>
    <n v="1260000"/>
    <n v="1008000"/>
    <n v="252000"/>
  </r>
  <r>
    <x v="970"/>
    <x v="8"/>
    <x v="8"/>
    <x v="0"/>
    <x v="0"/>
    <s v="Retail"/>
    <s v="Online"/>
    <x v="1"/>
    <x v="1"/>
    <n v="30000"/>
    <n v="1"/>
    <x v="2"/>
    <n v="24000"/>
    <n v="30000"/>
    <n v="24000"/>
    <n v="6000"/>
  </r>
  <r>
    <x v="971"/>
    <x v="8"/>
    <x v="8"/>
    <x v="3"/>
    <x v="0"/>
    <s v="Corporate"/>
    <s v="Store"/>
    <x v="8"/>
    <x v="2"/>
    <n v="250000"/>
    <n v="3"/>
    <x v="0"/>
    <n v="200000"/>
    <n v="750000"/>
    <n v="600000"/>
    <n v="150000"/>
  </r>
  <r>
    <x v="972"/>
    <x v="8"/>
    <x v="8"/>
    <x v="1"/>
    <x v="2"/>
    <s v="Retail"/>
    <s v="Online"/>
    <x v="5"/>
    <x v="0"/>
    <n v="320000"/>
    <n v="10"/>
    <x v="0"/>
    <n v="256000"/>
    <n v="3200000"/>
    <n v="2560000"/>
    <n v="640000"/>
  </r>
  <r>
    <x v="973"/>
    <x v="8"/>
    <x v="8"/>
    <x v="0"/>
    <x v="0"/>
    <s v="Retail"/>
    <s v="Store"/>
    <x v="8"/>
    <x v="2"/>
    <n v="250000"/>
    <n v="7"/>
    <x v="1"/>
    <n v="200000"/>
    <n v="1750000"/>
    <n v="1400000"/>
    <n v="350000"/>
  </r>
  <r>
    <x v="974"/>
    <x v="8"/>
    <x v="8"/>
    <x v="3"/>
    <x v="1"/>
    <s v="Corporate"/>
    <s v="Online"/>
    <x v="5"/>
    <x v="0"/>
    <n v="320000"/>
    <n v="2"/>
    <x v="2"/>
    <n v="256000"/>
    <n v="640000"/>
    <n v="512000"/>
    <n v="128000"/>
  </r>
  <r>
    <x v="975"/>
    <x v="8"/>
    <x v="8"/>
    <x v="3"/>
    <x v="0"/>
    <s v="Corporate"/>
    <s v="Store"/>
    <x v="9"/>
    <x v="1"/>
    <n v="220000"/>
    <n v="5"/>
    <x v="3"/>
    <n v="176000"/>
    <n v="1100000"/>
    <n v="880000"/>
    <n v="220000"/>
  </r>
  <r>
    <x v="976"/>
    <x v="8"/>
    <x v="8"/>
    <x v="3"/>
    <x v="3"/>
    <s v="Corporate"/>
    <s v="Store"/>
    <x v="7"/>
    <x v="2"/>
    <n v="420000"/>
    <n v="3"/>
    <x v="3"/>
    <n v="336000"/>
    <n v="1260000"/>
    <n v="1008000"/>
    <n v="252000"/>
  </r>
  <r>
    <x v="977"/>
    <x v="8"/>
    <x v="8"/>
    <x v="3"/>
    <x v="1"/>
    <s v="Corporate"/>
    <s v="Online"/>
    <x v="9"/>
    <x v="1"/>
    <n v="220000"/>
    <n v="3"/>
    <x v="2"/>
    <n v="176000"/>
    <n v="660000"/>
    <n v="528000"/>
    <n v="132000"/>
  </r>
  <r>
    <x v="978"/>
    <x v="8"/>
    <x v="8"/>
    <x v="2"/>
    <x v="0"/>
    <s v="Corporate"/>
    <s v="Online"/>
    <x v="5"/>
    <x v="0"/>
    <n v="320000"/>
    <n v="5"/>
    <x v="1"/>
    <n v="256000"/>
    <n v="1600000"/>
    <n v="1280000"/>
    <n v="320000"/>
  </r>
  <r>
    <x v="979"/>
    <x v="8"/>
    <x v="8"/>
    <x v="1"/>
    <x v="2"/>
    <s v="Retail"/>
    <s v="Store"/>
    <x v="0"/>
    <x v="0"/>
    <n v="85000"/>
    <n v="8"/>
    <x v="0"/>
    <n v="68000"/>
    <n v="680000"/>
    <n v="544000"/>
    <n v="136000"/>
  </r>
  <r>
    <x v="980"/>
    <x v="8"/>
    <x v="8"/>
    <x v="1"/>
    <x v="3"/>
    <s v="Corporate"/>
    <s v="Store"/>
    <x v="6"/>
    <x v="2"/>
    <n v="150000"/>
    <n v="9"/>
    <x v="5"/>
    <n v="120000"/>
    <n v="1350000"/>
    <n v="1080000"/>
    <n v="270000"/>
  </r>
  <r>
    <x v="981"/>
    <x v="8"/>
    <x v="8"/>
    <x v="0"/>
    <x v="0"/>
    <s v="Corporate"/>
    <s v="Online"/>
    <x v="8"/>
    <x v="2"/>
    <n v="250000"/>
    <n v="4"/>
    <x v="3"/>
    <n v="200000"/>
    <n v="1000000"/>
    <n v="800000"/>
    <n v="200000"/>
  </r>
  <r>
    <x v="982"/>
    <x v="8"/>
    <x v="8"/>
    <x v="3"/>
    <x v="1"/>
    <s v="Retail"/>
    <s v="Store"/>
    <x v="9"/>
    <x v="1"/>
    <n v="220000"/>
    <n v="4"/>
    <x v="3"/>
    <n v="176000"/>
    <n v="880000"/>
    <n v="704000"/>
    <n v="176000"/>
  </r>
  <r>
    <x v="983"/>
    <x v="8"/>
    <x v="8"/>
    <x v="3"/>
    <x v="0"/>
    <s v="Corporate"/>
    <s v="Store"/>
    <x v="0"/>
    <x v="0"/>
    <n v="85000"/>
    <n v="2"/>
    <x v="0"/>
    <n v="68000"/>
    <n v="170000"/>
    <n v="136000"/>
    <n v="34000"/>
  </r>
  <r>
    <x v="984"/>
    <x v="8"/>
    <x v="8"/>
    <x v="1"/>
    <x v="0"/>
    <s v="Retail"/>
    <s v="Online"/>
    <x v="8"/>
    <x v="2"/>
    <n v="250000"/>
    <n v="3"/>
    <x v="3"/>
    <n v="200000"/>
    <n v="750000"/>
    <n v="600000"/>
    <n v="150000"/>
  </r>
  <r>
    <x v="985"/>
    <x v="9"/>
    <x v="9"/>
    <x v="3"/>
    <x v="2"/>
    <s v="Corporate"/>
    <s v="Online"/>
    <x v="6"/>
    <x v="2"/>
    <n v="150000"/>
    <n v="4"/>
    <x v="3"/>
    <n v="120000"/>
    <n v="600000"/>
    <n v="480000"/>
    <n v="120000"/>
  </r>
  <r>
    <x v="986"/>
    <x v="9"/>
    <x v="9"/>
    <x v="3"/>
    <x v="0"/>
    <s v="Retail"/>
    <s v="Online"/>
    <x v="0"/>
    <x v="0"/>
    <n v="85000"/>
    <n v="2"/>
    <x v="0"/>
    <n v="68000"/>
    <n v="170000"/>
    <n v="136000"/>
    <n v="34000"/>
  </r>
  <r>
    <x v="987"/>
    <x v="9"/>
    <x v="9"/>
    <x v="0"/>
    <x v="2"/>
    <s v="Corporate"/>
    <s v="Store"/>
    <x v="6"/>
    <x v="2"/>
    <n v="150000"/>
    <n v="4"/>
    <x v="2"/>
    <n v="120000"/>
    <n v="600000"/>
    <n v="480000"/>
    <n v="120000"/>
  </r>
  <r>
    <x v="988"/>
    <x v="9"/>
    <x v="9"/>
    <x v="3"/>
    <x v="0"/>
    <s v="Retail"/>
    <s v="Online"/>
    <x v="6"/>
    <x v="2"/>
    <n v="150000"/>
    <n v="3"/>
    <x v="1"/>
    <n v="120000"/>
    <n v="450000"/>
    <n v="360000"/>
    <n v="90000"/>
  </r>
  <r>
    <x v="989"/>
    <x v="9"/>
    <x v="9"/>
    <x v="3"/>
    <x v="0"/>
    <s v="Corporate"/>
    <s v="Online"/>
    <x v="1"/>
    <x v="1"/>
    <n v="30000"/>
    <n v="3"/>
    <x v="1"/>
    <n v="24000"/>
    <n v="90000"/>
    <n v="72000"/>
    <n v="18000"/>
  </r>
  <r>
    <x v="990"/>
    <x v="9"/>
    <x v="9"/>
    <x v="3"/>
    <x v="1"/>
    <s v="Corporate"/>
    <s v="Store"/>
    <x v="5"/>
    <x v="0"/>
    <n v="320000"/>
    <n v="5"/>
    <x v="5"/>
    <n v="256000"/>
    <n v="1600000"/>
    <n v="1280000"/>
    <n v="320000"/>
  </r>
  <r>
    <x v="991"/>
    <x v="9"/>
    <x v="9"/>
    <x v="1"/>
    <x v="3"/>
    <s v="Corporate"/>
    <s v="Online"/>
    <x v="8"/>
    <x v="2"/>
    <n v="250000"/>
    <n v="3"/>
    <x v="0"/>
    <n v="200000"/>
    <n v="750000"/>
    <n v="600000"/>
    <n v="150000"/>
  </r>
  <r>
    <x v="992"/>
    <x v="9"/>
    <x v="9"/>
    <x v="1"/>
    <x v="2"/>
    <s v="Corporate"/>
    <s v="Store"/>
    <x v="2"/>
    <x v="1"/>
    <n v="60000"/>
    <n v="10"/>
    <x v="5"/>
    <n v="48000"/>
    <n v="600000"/>
    <n v="480000"/>
    <n v="120000"/>
  </r>
  <r>
    <x v="993"/>
    <x v="9"/>
    <x v="9"/>
    <x v="3"/>
    <x v="0"/>
    <s v="Retail"/>
    <s v="Store"/>
    <x v="2"/>
    <x v="1"/>
    <n v="60000"/>
    <n v="3"/>
    <x v="4"/>
    <n v="48000"/>
    <n v="180000"/>
    <n v="144000"/>
    <n v="36000"/>
  </r>
  <r>
    <x v="994"/>
    <x v="9"/>
    <x v="9"/>
    <x v="1"/>
    <x v="1"/>
    <s v="Corporate"/>
    <s v="Store"/>
    <x v="0"/>
    <x v="0"/>
    <n v="85000"/>
    <n v="9"/>
    <x v="3"/>
    <n v="68000"/>
    <n v="765000"/>
    <n v="612000"/>
    <n v="153000"/>
  </r>
  <r>
    <x v="995"/>
    <x v="9"/>
    <x v="9"/>
    <x v="1"/>
    <x v="3"/>
    <s v="Corporate"/>
    <s v="Store"/>
    <x v="7"/>
    <x v="2"/>
    <n v="420000"/>
    <n v="4"/>
    <x v="3"/>
    <n v="336000"/>
    <n v="1680000"/>
    <n v="1344000"/>
    <n v="336000"/>
  </r>
  <r>
    <x v="996"/>
    <x v="9"/>
    <x v="9"/>
    <x v="3"/>
    <x v="2"/>
    <s v="Corporate"/>
    <s v="Online"/>
    <x v="6"/>
    <x v="2"/>
    <n v="150000"/>
    <n v="6"/>
    <x v="4"/>
    <n v="120000"/>
    <n v="900000"/>
    <n v="720000"/>
    <n v="180000"/>
  </r>
  <r>
    <x v="997"/>
    <x v="9"/>
    <x v="9"/>
    <x v="3"/>
    <x v="2"/>
    <s v="Corporate"/>
    <s v="Online"/>
    <x v="5"/>
    <x v="0"/>
    <n v="320000"/>
    <n v="3"/>
    <x v="3"/>
    <n v="256000"/>
    <n v="960000"/>
    <n v="768000"/>
    <n v="192000"/>
  </r>
  <r>
    <x v="998"/>
    <x v="9"/>
    <x v="9"/>
    <x v="2"/>
    <x v="3"/>
    <s v="Retail"/>
    <s v="Store"/>
    <x v="3"/>
    <x v="2"/>
    <n v="300000"/>
    <n v="2"/>
    <x v="0"/>
    <n v="240000"/>
    <n v="600000"/>
    <n v="480000"/>
    <n v="120000"/>
  </r>
  <r>
    <x v="999"/>
    <x v="9"/>
    <x v="9"/>
    <x v="1"/>
    <x v="2"/>
    <s v="Corporate"/>
    <s v="Online"/>
    <x v="6"/>
    <x v="2"/>
    <n v="150000"/>
    <n v="10"/>
    <x v="4"/>
    <n v="120000"/>
    <n v="1500000"/>
    <n v="1200000"/>
    <n v="300000"/>
  </r>
  <r>
    <x v="1000"/>
    <x v="9"/>
    <x v="9"/>
    <x v="1"/>
    <x v="3"/>
    <s v="Retail"/>
    <s v="Store"/>
    <x v="7"/>
    <x v="2"/>
    <n v="420000"/>
    <n v="10"/>
    <x v="2"/>
    <n v="336000"/>
    <n v="4200000"/>
    <n v="3360000"/>
    <n v="840000"/>
  </r>
  <r>
    <x v="1001"/>
    <x v="9"/>
    <x v="9"/>
    <x v="3"/>
    <x v="3"/>
    <s v="Corporate"/>
    <s v="Store"/>
    <x v="4"/>
    <x v="1"/>
    <n v="180000"/>
    <n v="5"/>
    <x v="4"/>
    <n v="144000"/>
    <n v="900000"/>
    <n v="720000"/>
    <n v="180000"/>
  </r>
  <r>
    <x v="1002"/>
    <x v="9"/>
    <x v="9"/>
    <x v="1"/>
    <x v="3"/>
    <s v="Corporate"/>
    <s v="Store"/>
    <x v="8"/>
    <x v="2"/>
    <n v="250000"/>
    <n v="7"/>
    <x v="2"/>
    <n v="200000"/>
    <n v="1750000"/>
    <n v="1400000"/>
    <n v="350000"/>
  </r>
  <r>
    <x v="1003"/>
    <x v="9"/>
    <x v="9"/>
    <x v="0"/>
    <x v="1"/>
    <s v="Retail"/>
    <s v="Store"/>
    <x v="5"/>
    <x v="0"/>
    <n v="320000"/>
    <n v="4"/>
    <x v="1"/>
    <n v="256000"/>
    <n v="1280000"/>
    <n v="1024000"/>
    <n v="256000"/>
  </r>
  <r>
    <x v="1004"/>
    <x v="9"/>
    <x v="9"/>
    <x v="1"/>
    <x v="1"/>
    <s v="Retail"/>
    <s v="Online"/>
    <x v="1"/>
    <x v="1"/>
    <n v="30000"/>
    <n v="2"/>
    <x v="0"/>
    <n v="24000"/>
    <n v="60000"/>
    <n v="48000"/>
    <n v="12000"/>
  </r>
  <r>
    <x v="1005"/>
    <x v="9"/>
    <x v="9"/>
    <x v="3"/>
    <x v="3"/>
    <s v="Retail"/>
    <s v="Online"/>
    <x v="6"/>
    <x v="2"/>
    <n v="150000"/>
    <n v="4"/>
    <x v="0"/>
    <n v="120000"/>
    <n v="600000"/>
    <n v="480000"/>
    <n v="120000"/>
  </r>
  <r>
    <x v="1006"/>
    <x v="9"/>
    <x v="9"/>
    <x v="3"/>
    <x v="2"/>
    <s v="Corporate"/>
    <s v="Store"/>
    <x v="2"/>
    <x v="1"/>
    <n v="60000"/>
    <n v="4"/>
    <x v="2"/>
    <n v="48000"/>
    <n v="240000"/>
    <n v="192000"/>
    <n v="48000"/>
  </r>
  <r>
    <x v="1007"/>
    <x v="9"/>
    <x v="9"/>
    <x v="1"/>
    <x v="3"/>
    <s v="Retail"/>
    <s v="Store"/>
    <x v="5"/>
    <x v="0"/>
    <n v="320000"/>
    <n v="4"/>
    <x v="4"/>
    <n v="256000"/>
    <n v="1280000"/>
    <n v="1024000"/>
    <n v="256000"/>
  </r>
  <r>
    <x v="1008"/>
    <x v="9"/>
    <x v="9"/>
    <x v="3"/>
    <x v="1"/>
    <s v="Retail"/>
    <s v="Online"/>
    <x v="2"/>
    <x v="1"/>
    <n v="60000"/>
    <n v="2"/>
    <x v="1"/>
    <n v="48000"/>
    <n v="120000"/>
    <n v="96000"/>
    <n v="24000"/>
  </r>
  <r>
    <x v="1009"/>
    <x v="9"/>
    <x v="9"/>
    <x v="0"/>
    <x v="0"/>
    <s v="Corporate"/>
    <s v="Online"/>
    <x v="1"/>
    <x v="1"/>
    <n v="30000"/>
    <n v="7"/>
    <x v="3"/>
    <n v="24000"/>
    <n v="210000"/>
    <n v="168000"/>
    <n v="42000"/>
  </r>
  <r>
    <x v="1010"/>
    <x v="9"/>
    <x v="9"/>
    <x v="1"/>
    <x v="0"/>
    <s v="Retail"/>
    <s v="Store"/>
    <x v="8"/>
    <x v="2"/>
    <n v="250000"/>
    <n v="6"/>
    <x v="3"/>
    <n v="200000"/>
    <n v="1500000"/>
    <n v="1200000"/>
    <n v="300000"/>
  </r>
  <r>
    <x v="1011"/>
    <x v="9"/>
    <x v="9"/>
    <x v="3"/>
    <x v="2"/>
    <s v="Retail"/>
    <s v="Online"/>
    <x v="9"/>
    <x v="1"/>
    <n v="220000"/>
    <n v="9"/>
    <x v="0"/>
    <n v="176000"/>
    <n v="1980000"/>
    <n v="1584000"/>
    <n v="396000"/>
  </r>
  <r>
    <x v="1012"/>
    <x v="9"/>
    <x v="9"/>
    <x v="1"/>
    <x v="2"/>
    <s v="Corporate"/>
    <s v="Online"/>
    <x v="3"/>
    <x v="2"/>
    <n v="300000"/>
    <n v="2"/>
    <x v="1"/>
    <n v="240000"/>
    <n v="600000"/>
    <n v="480000"/>
    <n v="120000"/>
  </r>
  <r>
    <x v="1013"/>
    <x v="9"/>
    <x v="9"/>
    <x v="0"/>
    <x v="2"/>
    <s v="Retail"/>
    <s v="Store"/>
    <x v="7"/>
    <x v="2"/>
    <n v="420000"/>
    <n v="2"/>
    <x v="1"/>
    <n v="336000"/>
    <n v="840000"/>
    <n v="672000"/>
    <n v="168000"/>
  </r>
  <r>
    <x v="1014"/>
    <x v="9"/>
    <x v="9"/>
    <x v="2"/>
    <x v="1"/>
    <s v="Retail"/>
    <s v="Store"/>
    <x v="9"/>
    <x v="1"/>
    <n v="220000"/>
    <n v="3"/>
    <x v="3"/>
    <n v="176000"/>
    <n v="660000"/>
    <n v="528000"/>
    <n v="132000"/>
  </r>
  <r>
    <x v="1015"/>
    <x v="9"/>
    <x v="9"/>
    <x v="2"/>
    <x v="0"/>
    <s v="Corporate"/>
    <s v="Online"/>
    <x v="9"/>
    <x v="1"/>
    <n v="220000"/>
    <n v="10"/>
    <x v="3"/>
    <n v="176000"/>
    <n v="2200000"/>
    <n v="1760000"/>
    <n v="440000"/>
  </r>
  <r>
    <x v="1016"/>
    <x v="10"/>
    <x v="10"/>
    <x v="2"/>
    <x v="3"/>
    <s v="Corporate"/>
    <s v="Store"/>
    <x v="8"/>
    <x v="2"/>
    <n v="250000"/>
    <n v="8"/>
    <x v="0"/>
    <n v="200000"/>
    <n v="2000000"/>
    <n v="1600000"/>
    <n v="400000"/>
  </r>
  <r>
    <x v="1017"/>
    <x v="10"/>
    <x v="10"/>
    <x v="1"/>
    <x v="3"/>
    <s v="Retail"/>
    <s v="Online"/>
    <x v="2"/>
    <x v="1"/>
    <n v="60000"/>
    <n v="6"/>
    <x v="2"/>
    <n v="48000"/>
    <n v="360000"/>
    <n v="288000"/>
    <n v="72000"/>
  </r>
  <r>
    <x v="1018"/>
    <x v="10"/>
    <x v="10"/>
    <x v="1"/>
    <x v="1"/>
    <s v="Retail"/>
    <s v="Online"/>
    <x v="5"/>
    <x v="0"/>
    <n v="320000"/>
    <n v="4"/>
    <x v="5"/>
    <n v="256000"/>
    <n v="1280000"/>
    <n v="1024000"/>
    <n v="256000"/>
  </r>
  <r>
    <x v="1019"/>
    <x v="10"/>
    <x v="10"/>
    <x v="1"/>
    <x v="0"/>
    <s v="Retail"/>
    <s v="Store"/>
    <x v="4"/>
    <x v="1"/>
    <n v="180000"/>
    <n v="7"/>
    <x v="5"/>
    <n v="144000"/>
    <n v="1260000"/>
    <n v="1008000"/>
    <n v="252000"/>
  </r>
  <r>
    <x v="1020"/>
    <x v="10"/>
    <x v="10"/>
    <x v="1"/>
    <x v="0"/>
    <s v="Retail"/>
    <s v="Online"/>
    <x v="2"/>
    <x v="1"/>
    <n v="60000"/>
    <n v="7"/>
    <x v="0"/>
    <n v="48000"/>
    <n v="420000"/>
    <n v="336000"/>
    <n v="84000"/>
  </r>
  <r>
    <x v="1021"/>
    <x v="10"/>
    <x v="10"/>
    <x v="2"/>
    <x v="3"/>
    <s v="Retail"/>
    <s v="Online"/>
    <x v="4"/>
    <x v="1"/>
    <n v="180000"/>
    <n v="9"/>
    <x v="1"/>
    <n v="144000"/>
    <n v="1620000"/>
    <n v="1296000"/>
    <n v="324000"/>
  </r>
  <r>
    <x v="1022"/>
    <x v="10"/>
    <x v="10"/>
    <x v="3"/>
    <x v="0"/>
    <s v="Corporate"/>
    <s v="Online"/>
    <x v="1"/>
    <x v="1"/>
    <n v="30000"/>
    <n v="6"/>
    <x v="1"/>
    <n v="24000"/>
    <n v="180000"/>
    <n v="144000"/>
    <n v="36000"/>
  </r>
  <r>
    <x v="1023"/>
    <x v="10"/>
    <x v="10"/>
    <x v="2"/>
    <x v="1"/>
    <s v="Retail"/>
    <s v="Online"/>
    <x v="3"/>
    <x v="2"/>
    <n v="300000"/>
    <n v="10"/>
    <x v="4"/>
    <n v="240000"/>
    <n v="3000000"/>
    <n v="2400000"/>
    <n v="600000"/>
  </r>
  <r>
    <x v="1024"/>
    <x v="10"/>
    <x v="10"/>
    <x v="2"/>
    <x v="3"/>
    <s v="Corporate"/>
    <s v="Online"/>
    <x v="1"/>
    <x v="1"/>
    <n v="30000"/>
    <n v="2"/>
    <x v="2"/>
    <n v="24000"/>
    <n v="60000"/>
    <n v="48000"/>
    <n v="12000"/>
  </r>
  <r>
    <x v="1025"/>
    <x v="10"/>
    <x v="10"/>
    <x v="1"/>
    <x v="2"/>
    <s v="Corporate"/>
    <s v="Online"/>
    <x v="1"/>
    <x v="1"/>
    <n v="30000"/>
    <n v="8"/>
    <x v="5"/>
    <n v="24000"/>
    <n v="240000"/>
    <n v="192000"/>
    <n v="48000"/>
  </r>
  <r>
    <x v="1026"/>
    <x v="10"/>
    <x v="10"/>
    <x v="2"/>
    <x v="2"/>
    <s v="Corporate"/>
    <s v="Store"/>
    <x v="1"/>
    <x v="1"/>
    <n v="30000"/>
    <n v="9"/>
    <x v="2"/>
    <n v="24000"/>
    <n v="270000"/>
    <n v="216000"/>
    <n v="54000"/>
  </r>
  <r>
    <x v="1027"/>
    <x v="10"/>
    <x v="10"/>
    <x v="3"/>
    <x v="0"/>
    <s v="Retail"/>
    <s v="Store"/>
    <x v="9"/>
    <x v="1"/>
    <n v="220000"/>
    <n v="2"/>
    <x v="5"/>
    <n v="176000"/>
    <n v="440000"/>
    <n v="352000"/>
    <n v="88000"/>
  </r>
  <r>
    <x v="1028"/>
    <x v="10"/>
    <x v="10"/>
    <x v="2"/>
    <x v="2"/>
    <s v="Retail"/>
    <s v="Store"/>
    <x v="9"/>
    <x v="1"/>
    <n v="220000"/>
    <n v="3"/>
    <x v="5"/>
    <n v="176000"/>
    <n v="660000"/>
    <n v="528000"/>
    <n v="132000"/>
  </r>
  <r>
    <x v="1029"/>
    <x v="10"/>
    <x v="10"/>
    <x v="2"/>
    <x v="3"/>
    <s v="Retail"/>
    <s v="Store"/>
    <x v="0"/>
    <x v="0"/>
    <n v="85000"/>
    <n v="3"/>
    <x v="1"/>
    <n v="68000"/>
    <n v="255000"/>
    <n v="204000"/>
    <n v="51000"/>
  </r>
  <r>
    <x v="1030"/>
    <x v="10"/>
    <x v="10"/>
    <x v="0"/>
    <x v="1"/>
    <s v="Corporate"/>
    <s v="Online"/>
    <x v="2"/>
    <x v="1"/>
    <n v="60000"/>
    <n v="3"/>
    <x v="3"/>
    <n v="48000"/>
    <n v="180000"/>
    <n v="144000"/>
    <n v="36000"/>
  </r>
  <r>
    <x v="1031"/>
    <x v="10"/>
    <x v="10"/>
    <x v="0"/>
    <x v="2"/>
    <s v="Corporate"/>
    <s v="Store"/>
    <x v="9"/>
    <x v="1"/>
    <n v="220000"/>
    <n v="3"/>
    <x v="5"/>
    <n v="176000"/>
    <n v="660000"/>
    <n v="528000"/>
    <n v="132000"/>
  </r>
  <r>
    <x v="1032"/>
    <x v="10"/>
    <x v="10"/>
    <x v="0"/>
    <x v="0"/>
    <s v="Retail"/>
    <s v="Store"/>
    <x v="1"/>
    <x v="1"/>
    <n v="30000"/>
    <n v="1"/>
    <x v="0"/>
    <n v="24000"/>
    <n v="30000"/>
    <n v="24000"/>
    <n v="6000"/>
  </r>
  <r>
    <x v="1033"/>
    <x v="10"/>
    <x v="10"/>
    <x v="1"/>
    <x v="3"/>
    <s v="Corporate"/>
    <s v="Store"/>
    <x v="7"/>
    <x v="2"/>
    <n v="420000"/>
    <n v="1"/>
    <x v="5"/>
    <n v="336000"/>
    <n v="420000"/>
    <n v="336000"/>
    <n v="84000"/>
  </r>
  <r>
    <x v="1034"/>
    <x v="10"/>
    <x v="10"/>
    <x v="0"/>
    <x v="1"/>
    <s v="Retail"/>
    <s v="Store"/>
    <x v="9"/>
    <x v="1"/>
    <n v="220000"/>
    <n v="10"/>
    <x v="1"/>
    <n v="176000"/>
    <n v="2200000"/>
    <n v="1760000"/>
    <n v="440000"/>
  </r>
  <r>
    <x v="1035"/>
    <x v="10"/>
    <x v="10"/>
    <x v="2"/>
    <x v="2"/>
    <s v="Corporate"/>
    <s v="Store"/>
    <x v="4"/>
    <x v="1"/>
    <n v="180000"/>
    <n v="10"/>
    <x v="5"/>
    <n v="144000"/>
    <n v="1800000"/>
    <n v="1440000"/>
    <n v="360000"/>
  </r>
  <r>
    <x v="1036"/>
    <x v="10"/>
    <x v="10"/>
    <x v="2"/>
    <x v="0"/>
    <s v="Retail"/>
    <s v="Online"/>
    <x v="7"/>
    <x v="2"/>
    <n v="420000"/>
    <n v="3"/>
    <x v="4"/>
    <n v="336000"/>
    <n v="1260000"/>
    <n v="1008000"/>
    <n v="252000"/>
  </r>
  <r>
    <x v="1037"/>
    <x v="10"/>
    <x v="10"/>
    <x v="0"/>
    <x v="3"/>
    <s v="Corporate"/>
    <s v="Online"/>
    <x v="0"/>
    <x v="0"/>
    <n v="85000"/>
    <n v="4"/>
    <x v="2"/>
    <n v="68000"/>
    <n v="340000"/>
    <n v="272000"/>
    <n v="68000"/>
  </r>
  <r>
    <x v="1038"/>
    <x v="10"/>
    <x v="10"/>
    <x v="2"/>
    <x v="2"/>
    <s v="Corporate"/>
    <s v="Online"/>
    <x v="5"/>
    <x v="0"/>
    <n v="320000"/>
    <n v="4"/>
    <x v="3"/>
    <n v="256000"/>
    <n v="1280000"/>
    <n v="1024000"/>
    <n v="256000"/>
  </r>
  <r>
    <x v="1039"/>
    <x v="10"/>
    <x v="10"/>
    <x v="0"/>
    <x v="3"/>
    <s v="Retail"/>
    <s v="Store"/>
    <x v="9"/>
    <x v="1"/>
    <n v="220000"/>
    <n v="1"/>
    <x v="4"/>
    <n v="176000"/>
    <n v="220000"/>
    <n v="176000"/>
    <n v="44000"/>
  </r>
  <r>
    <x v="1040"/>
    <x v="10"/>
    <x v="10"/>
    <x v="2"/>
    <x v="1"/>
    <s v="Corporate"/>
    <s v="Store"/>
    <x v="0"/>
    <x v="0"/>
    <n v="85000"/>
    <n v="1"/>
    <x v="1"/>
    <n v="68000"/>
    <n v="85000"/>
    <n v="68000"/>
    <n v="17000"/>
  </r>
  <r>
    <x v="1041"/>
    <x v="10"/>
    <x v="10"/>
    <x v="0"/>
    <x v="3"/>
    <s v="Retail"/>
    <s v="Online"/>
    <x v="6"/>
    <x v="2"/>
    <n v="150000"/>
    <n v="8"/>
    <x v="5"/>
    <n v="120000"/>
    <n v="1200000"/>
    <n v="960000"/>
    <n v="240000"/>
  </r>
  <r>
    <x v="1042"/>
    <x v="10"/>
    <x v="10"/>
    <x v="3"/>
    <x v="1"/>
    <s v="Corporate"/>
    <s v="Online"/>
    <x v="6"/>
    <x v="2"/>
    <n v="150000"/>
    <n v="9"/>
    <x v="0"/>
    <n v="120000"/>
    <n v="1350000"/>
    <n v="1080000"/>
    <n v="270000"/>
  </r>
  <r>
    <x v="1043"/>
    <x v="10"/>
    <x v="10"/>
    <x v="0"/>
    <x v="1"/>
    <s v="Corporate"/>
    <s v="Online"/>
    <x v="3"/>
    <x v="2"/>
    <n v="300000"/>
    <n v="3"/>
    <x v="0"/>
    <n v="240000"/>
    <n v="900000"/>
    <n v="720000"/>
    <n v="180000"/>
  </r>
  <r>
    <x v="1044"/>
    <x v="10"/>
    <x v="10"/>
    <x v="3"/>
    <x v="3"/>
    <s v="Corporate"/>
    <s v="Online"/>
    <x v="6"/>
    <x v="2"/>
    <n v="150000"/>
    <n v="10"/>
    <x v="3"/>
    <n v="120000"/>
    <n v="1500000"/>
    <n v="1200000"/>
    <n v="300000"/>
  </r>
  <r>
    <x v="1045"/>
    <x v="10"/>
    <x v="10"/>
    <x v="0"/>
    <x v="3"/>
    <s v="Retail"/>
    <s v="Store"/>
    <x v="0"/>
    <x v="0"/>
    <n v="85000"/>
    <n v="2"/>
    <x v="3"/>
    <n v="68000"/>
    <n v="170000"/>
    <n v="136000"/>
    <n v="34000"/>
  </r>
  <r>
    <x v="1046"/>
    <x v="11"/>
    <x v="11"/>
    <x v="1"/>
    <x v="0"/>
    <s v="Corporate"/>
    <s v="Store"/>
    <x v="7"/>
    <x v="2"/>
    <n v="420000"/>
    <n v="9"/>
    <x v="1"/>
    <n v="336000"/>
    <n v="3780000"/>
    <n v="3024000"/>
    <n v="756000"/>
  </r>
  <r>
    <x v="1047"/>
    <x v="11"/>
    <x v="11"/>
    <x v="0"/>
    <x v="1"/>
    <s v="Corporate"/>
    <s v="Online"/>
    <x v="3"/>
    <x v="2"/>
    <n v="300000"/>
    <n v="2"/>
    <x v="5"/>
    <n v="240000"/>
    <n v="600000"/>
    <n v="480000"/>
    <n v="120000"/>
  </r>
  <r>
    <x v="1048"/>
    <x v="11"/>
    <x v="11"/>
    <x v="1"/>
    <x v="2"/>
    <s v="Corporate"/>
    <s v="Online"/>
    <x v="6"/>
    <x v="2"/>
    <n v="150000"/>
    <n v="4"/>
    <x v="4"/>
    <n v="120000"/>
    <n v="600000"/>
    <n v="480000"/>
    <n v="120000"/>
  </r>
  <r>
    <x v="1049"/>
    <x v="11"/>
    <x v="11"/>
    <x v="1"/>
    <x v="1"/>
    <s v="Retail"/>
    <s v="Online"/>
    <x v="7"/>
    <x v="2"/>
    <n v="420000"/>
    <n v="9"/>
    <x v="1"/>
    <n v="336000"/>
    <n v="3780000"/>
    <n v="3024000"/>
    <n v="756000"/>
  </r>
  <r>
    <x v="1050"/>
    <x v="11"/>
    <x v="11"/>
    <x v="3"/>
    <x v="2"/>
    <s v="Retail"/>
    <s v="Store"/>
    <x v="8"/>
    <x v="2"/>
    <n v="250000"/>
    <n v="5"/>
    <x v="1"/>
    <n v="200000"/>
    <n v="1250000"/>
    <n v="1000000"/>
    <n v="250000"/>
  </r>
  <r>
    <x v="1051"/>
    <x v="11"/>
    <x v="11"/>
    <x v="3"/>
    <x v="3"/>
    <s v="Corporate"/>
    <s v="Online"/>
    <x v="1"/>
    <x v="1"/>
    <n v="30000"/>
    <n v="10"/>
    <x v="4"/>
    <n v="24000"/>
    <n v="300000"/>
    <n v="240000"/>
    <n v="60000"/>
  </r>
  <r>
    <x v="1052"/>
    <x v="11"/>
    <x v="11"/>
    <x v="2"/>
    <x v="2"/>
    <s v="Retail"/>
    <s v="Store"/>
    <x v="7"/>
    <x v="2"/>
    <n v="420000"/>
    <n v="3"/>
    <x v="0"/>
    <n v="336000"/>
    <n v="1260000"/>
    <n v="1008000"/>
    <n v="252000"/>
  </r>
  <r>
    <x v="1053"/>
    <x v="11"/>
    <x v="11"/>
    <x v="2"/>
    <x v="3"/>
    <s v="Retail"/>
    <s v="Online"/>
    <x v="5"/>
    <x v="0"/>
    <n v="320000"/>
    <n v="8"/>
    <x v="4"/>
    <n v="256000"/>
    <n v="2560000"/>
    <n v="2048000"/>
    <n v="512000"/>
  </r>
  <r>
    <x v="1054"/>
    <x v="11"/>
    <x v="11"/>
    <x v="3"/>
    <x v="1"/>
    <s v="Corporate"/>
    <s v="Online"/>
    <x v="7"/>
    <x v="2"/>
    <n v="420000"/>
    <n v="8"/>
    <x v="4"/>
    <n v="336000"/>
    <n v="3360000"/>
    <n v="2688000"/>
    <n v="672000"/>
  </r>
  <r>
    <x v="1055"/>
    <x v="11"/>
    <x v="11"/>
    <x v="2"/>
    <x v="2"/>
    <s v="Corporate"/>
    <s v="Online"/>
    <x v="6"/>
    <x v="2"/>
    <n v="150000"/>
    <n v="1"/>
    <x v="4"/>
    <n v="120000"/>
    <n v="150000"/>
    <n v="120000"/>
    <n v="30000"/>
  </r>
  <r>
    <x v="1056"/>
    <x v="11"/>
    <x v="11"/>
    <x v="2"/>
    <x v="1"/>
    <s v="Retail"/>
    <s v="Online"/>
    <x v="2"/>
    <x v="1"/>
    <n v="60000"/>
    <n v="7"/>
    <x v="3"/>
    <n v="48000"/>
    <n v="420000"/>
    <n v="336000"/>
    <n v="84000"/>
  </r>
  <r>
    <x v="1057"/>
    <x v="11"/>
    <x v="11"/>
    <x v="2"/>
    <x v="1"/>
    <s v="Retail"/>
    <s v="Store"/>
    <x v="7"/>
    <x v="2"/>
    <n v="420000"/>
    <n v="9"/>
    <x v="4"/>
    <n v="336000"/>
    <n v="3780000"/>
    <n v="3024000"/>
    <n v="756000"/>
  </r>
  <r>
    <x v="1058"/>
    <x v="11"/>
    <x v="11"/>
    <x v="1"/>
    <x v="2"/>
    <s v="Corporate"/>
    <s v="Store"/>
    <x v="7"/>
    <x v="2"/>
    <n v="420000"/>
    <n v="6"/>
    <x v="1"/>
    <n v="336000"/>
    <n v="2520000"/>
    <n v="2016000"/>
    <n v="504000"/>
  </r>
  <r>
    <x v="1059"/>
    <x v="11"/>
    <x v="11"/>
    <x v="1"/>
    <x v="0"/>
    <s v="Retail"/>
    <s v="Online"/>
    <x v="3"/>
    <x v="2"/>
    <n v="300000"/>
    <n v="9"/>
    <x v="4"/>
    <n v="240000"/>
    <n v="2700000"/>
    <n v="2160000"/>
    <n v="540000"/>
  </r>
  <r>
    <x v="1060"/>
    <x v="11"/>
    <x v="11"/>
    <x v="3"/>
    <x v="0"/>
    <s v="Corporate"/>
    <s v="Online"/>
    <x v="4"/>
    <x v="1"/>
    <n v="180000"/>
    <n v="5"/>
    <x v="5"/>
    <n v="144000"/>
    <n v="900000"/>
    <n v="720000"/>
    <n v="180000"/>
  </r>
  <r>
    <x v="1061"/>
    <x v="11"/>
    <x v="11"/>
    <x v="2"/>
    <x v="2"/>
    <s v="Retail"/>
    <s v="Store"/>
    <x v="6"/>
    <x v="2"/>
    <n v="150000"/>
    <n v="5"/>
    <x v="2"/>
    <n v="120000"/>
    <n v="750000"/>
    <n v="600000"/>
    <n v="150000"/>
  </r>
  <r>
    <x v="1062"/>
    <x v="11"/>
    <x v="11"/>
    <x v="1"/>
    <x v="0"/>
    <s v="Retail"/>
    <s v="Online"/>
    <x v="0"/>
    <x v="0"/>
    <n v="85000"/>
    <n v="9"/>
    <x v="2"/>
    <n v="68000"/>
    <n v="765000"/>
    <n v="612000"/>
    <n v="153000"/>
  </r>
  <r>
    <x v="1063"/>
    <x v="11"/>
    <x v="11"/>
    <x v="0"/>
    <x v="3"/>
    <s v="Corporate"/>
    <s v="Online"/>
    <x v="7"/>
    <x v="2"/>
    <n v="420000"/>
    <n v="5"/>
    <x v="5"/>
    <n v="336000"/>
    <n v="2100000"/>
    <n v="1680000"/>
    <n v="420000"/>
  </r>
  <r>
    <x v="1064"/>
    <x v="11"/>
    <x v="11"/>
    <x v="1"/>
    <x v="1"/>
    <s v="Retail"/>
    <s v="Store"/>
    <x v="5"/>
    <x v="0"/>
    <n v="320000"/>
    <n v="4"/>
    <x v="2"/>
    <n v="256000"/>
    <n v="1280000"/>
    <n v="1024000"/>
    <n v="256000"/>
  </r>
  <r>
    <x v="1065"/>
    <x v="11"/>
    <x v="11"/>
    <x v="1"/>
    <x v="1"/>
    <s v="Corporate"/>
    <s v="Online"/>
    <x v="1"/>
    <x v="1"/>
    <n v="30000"/>
    <n v="4"/>
    <x v="2"/>
    <n v="24000"/>
    <n v="120000"/>
    <n v="96000"/>
    <n v="24000"/>
  </r>
  <r>
    <x v="1066"/>
    <x v="11"/>
    <x v="11"/>
    <x v="2"/>
    <x v="3"/>
    <s v="Corporate"/>
    <s v="Store"/>
    <x v="6"/>
    <x v="2"/>
    <n v="150000"/>
    <n v="3"/>
    <x v="4"/>
    <n v="120000"/>
    <n v="450000"/>
    <n v="360000"/>
    <n v="90000"/>
  </r>
  <r>
    <x v="1067"/>
    <x v="11"/>
    <x v="11"/>
    <x v="0"/>
    <x v="1"/>
    <s v="Retail"/>
    <s v="Online"/>
    <x v="9"/>
    <x v="1"/>
    <n v="220000"/>
    <n v="7"/>
    <x v="0"/>
    <n v="176000"/>
    <n v="1540000"/>
    <n v="1232000"/>
    <n v="308000"/>
  </r>
  <r>
    <x v="1068"/>
    <x v="11"/>
    <x v="11"/>
    <x v="1"/>
    <x v="0"/>
    <s v="Retail"/>
    <s v="Store"/>
    <x v="4"/>
    <x v="1"/>
    <n v="180000"/>
    <n v="10"/>
    <x v="3"/>
    <n v="144000"/>
    <n v="1800000"/>
    <n v="1440000"/>
    <n v="360000"/>
  </r>
  <r>
    <x v="1069"/>
    <x v="11"/>
    <x v="11"/>
    <x v="0"/>
    <x v="3"/>
    <s v="Corporate"/>
    <s v="Online"/>
    <x v="0"/>
    <x v="0"/>
    <n v="85000"/>
    <n v="7"/>
    <x v="1"/>
    <n v="68000"/>
    <n v="595000"/>
    <n v="476000"/>
    <n v="119000"/>
  </r>
  <r>
    <x v="1070"/>
    <x v="11"/>
    <x v="11"/>
    <x v="1"/>
    <x v="1"/>
    <s v="Retail"/>
    <s v="Online"/>
    <x v="1"/>
    <x v="1"/>
    <n v="30000"/>
    <n v="3"/>
    <x v="1"/>
    <n v="24000"/>
    <n v="90000"/>
    <n v="72000"/>
    <n v="18000"/>
  </r>
  <r>
    <x v="1071"/>
    <x v="11"/>
    <x v="11"/>
    <x v="3"/>
    <x v="0"/>
    <s v="Corporate"/>
    <s v="Online"/>
    <x v="5"/>
    <x v="0"/>
    <n v="320000"/>
    <n v="9"/>
    <x v="4"/>
    <n v="256000"/>
    <n v="2880000"/>
    <n v="2304000"/>
    <n v="576000"/>
  </r>
  <r>
    <x v="1072"/>
    <x v="11"/>
    <x v="11"/>
    <x v="0"/>
    <x v="1"/>
    <s v="Retail"/>
    <s v="Store"/>
    <x v="6"/>
    <x v="2"/>
    <n v="150000"/>
    <n v="2"/>
    <x v="1"/>
    <n v="120000"/>
    <n v="300000"/>
    <n v="240000"/>
    <n v="60000"/>
  </r>
  <r>
    <x v="1073"/>
    <x v="11"/>
    <x v="11"/>
    <x v="1"/>
    <x v="1"/>
    <s v="Corporate"/>
    <s v="Store"/>
    <x v="4"/>
    <x v="1"/>
    <n v="180000"/>
    <n v="8"/>
    <x v="4"/>
    <n v="144000"/>
    <n v="1440000"/>
    <n v="1152000"/>
    <n v="288000"/>
  </r>
  <r>
    <x v="1074"/>
    <x v="11"/>
    <x v="11"/>
    <x v="1"/>
    <x v="1"/>
    <s v="Corporate"/>
    <s v="Store"/>
    <x v="0"/>
    <x v="0"/>
    <n v="85000"/>
    <n v="7"/>
    <x v="0"/>
    <n v="68000"/>
    <n v="595000"/>
    <n v="476000"/>
    <n v="119000"/>
  </r>
  <r>
    <x v="1075"/>
    <x v="11"/>
    <x v="11"/>
    <x v="0"/>
    <x v="3"/>
    <s v="Corporate"/>
    <s v="Online"/>
    <x v="4"/>
    <x v="1"/>
    <n v="180000"/>
    <n v="8"/>
    <x v="5"/>
    <n v="144000"/>
    <n v="1440000"/>
    <n v="1152000"/>
    <n v="288000"/>
  </r>
  <r>
    <x v="1076"/>
    <x v="11"/>
    <x v="11"/>
    <x v="3"/>
    <x v="0"/>
    <s v="Corporate"/>
    <s v="Online"/>
    <x v="9"/>
    <x v="1"/>
    <n v="220000"/>
    <n v="5"/>
    <x v="5"/>
    <n v="176000"/>
    <n v="1100000"/>
    <n v="880000"/>
    <n v="220000"/>
  </r>
  <r>
    <x v="1077"/>
    <x v="0"/>
    <x v="0"/>
    <x v="3"/>
    <x v="2"/>
    <s v="Retail"/>
    <s v="Online"/>
    <x v="3"/>
    <x v="2"/>
    <n v="300000"/>
    <n v="5"/>
    <x v="4"/>
    <n v="240000"/>
    <n v="1500000"/>
    <n v="1200000"/>
    <n v="300000"/>
  </r>
  <r>
    <x v="1078"/>
    <x v="0"/>
    <x v="0"/>
    <x v="3"/>
    <x v="3"/>
    <s v="Retail"/>
    <s v="Store"/>
    <x v="8"/>
    <x v="2"/>
    <n v="250000"/>
    <n v="7"/>
    <x v="0"/>
    <n v="200000"/>
    <n v="1750000"/>
    <n v="1400000"/>
    <n v="350000"/>
  </r>
  <r>
    <x v="1079"/>
    <x v="0"/>
    <x v="0"/>
    <x v="0"/>
    <x v="3"/>
    <s v="Corporate"/>
    <s v="Store"/>
    <x v="2"/>
    <x v="1"/>
    <n v="60000"/>
    <n v="7"/>
    <x v="4"/>
    <n v="48000"/>
    <n v="420000"/>
    <n v="336000"/>
    <n v="84000"/>
  </r>
  <r>
    <x v="1080"/>
    <x v="0"/>
    <x v="0"/>
    <x v="1"/>
    <x v="0"/>
    <s v="Corporate"/>
    <s v="Online"/>
    <x v="0"/>
    <x v="0"/>
    <n v="85000"/>
    <n v="2"/>
    <x v="3"/>
    <n v="68000"/>
    <n v="170000"/>
    <n v="136000"/>
    <n v="34000"/>
  </r>
  <r>
    <x v="1081"/>
    <x v="0"/>
    <x v="0"/>
    <x v="0"/>
    <x v="0"/>
    <s v="Retail"/>
    <s v="Store"/>
    <x v="2"/>
    <x v="1"/>
    <n v="60000"/>
    <n v="2"/>
    <x v="5"/>
    <n v="48000"/>
    <n v="120000"/>
    <n v="96000"/>
    <n v="24000"/>
  </r>
  <r>
    <x v="1082"/>
    <x v="0"/>
    <x v="0"/>
    <x v="1"/>
    <x v="3"/>
    <s v="Corporate"/>
    <s v="Online"/>
    <x v="1"/>
    <x v="1"/>
    <n v="30000"/>
    <n v="10"/>
    <x v="5"/>
    <n v="24000"/>
    <n v="300000"/>
    <n v="240000"/>
    <n v="60000"/>
  </r>
  <r>
    <x v="1083"/>
    <x v="0"/>
    <x v="0"/>
    <x v="3"/>
    <x v="1"/>
    <s v="Corporate"/>
    <s v="Store"/>
    <x v="7"/>
    <x v="2"/>
    <n v="420000"/>
    <n v="8"/>
    <x v="1"/>
    <n v="336000"/>
    <n v="3360000"/>
    <n v="2688000"/>
    <n v="672000"/>
  </r>
  <r>
    <x v="1084"/>
    <x v="0"/>
    <x v="0"/>
    <x v="0"/>
    <x v="1"/>
    <s v="Corporate"/>
    <s v="Online"/>
    <x v="2"/>
    <x v="1"/>
    <n v="60000"/>
    <n v="2"/>
    <x v="4"/>
    <n v="48000"/>
    <n v="120000"/>
    <n v="96000"/>
    <n v="24000"/>
  </r>
  <r>
    <x v="1085"/>
    <x v="0"/>
    <x v="0"/>
    <x v="2"/>
    <x v="2"/>
    <s v="Corporate"/>
    <s v="Store"/>
    <x v="0"/>
    <x v="0"/>
    <n v="85000"/>
    <n v="8"/>
    <x v="5"/>
    <n v="68000"/>
    <n v="680000"/>
    <n v="544000"/>
    <n v="136000"/>
  </r>
  <r>
    <x v="1086"/>
    <x v="0"/>
    <x v="0"/>
    <x v="0"/>
    <x v="0"/>
    <s v="Retail"/>
    <s v="Store"/>
    <x v="7"/>
    <x v="2"/>
    <n v="420000"/>
    <n v="7"/>
    <x v="3"/>
    <n v="336000"/>
    <n v="2940000"/>
    <n v="2352000"/>
    <n v="588000"/>
  </r>
  <r>
    <x v="1087"/>
    <x v="0"/>
    <x v="0"/>
    <x v="1"/>
    <x v="3"/>
    <s v="Retail"/>
    <s v="Store"/>
    <x v="3"/>
    <x v="2"/>
    <n v="300000"/>
    <n v="6"/>
    <x v="5"/>
    <n v="240000"/>
    <n v="1800000"/>
    <n v="1440000"/>
    <n v="360000"/>
  </r>
  <r>
    <x v="1088"/>
    <x v="0"/>
    <x v="0"/>
    <x v="3"/>
    <x v="0"/>
    <s v="Retail"/>
    <s v="Online"/>
    <x v="7"/>
    <x v="2"/>
    <n v="420000"/>
    <n v="2"/>
    <x v="4"/>
    <n v="336000"/>
    <n v="840000"/>
    <n v="672000"/>
    <n v="168000"/>
  </r>
  <r>
    <x v="1089"/>
    <x v="0"/>
    <x v="0"/>
    <x v="3"/>
    <x v="0"/>
    <s v="Corporate"/>
    <s v="Online"/>
    <x v="3"/>
    <x v="2"/>
    <n v="300000"/>
    <n v="8"/>
    <x v="3"/>
    <n v="240000"/>
    <n v="2400000"/>
    <n v="1920000"/>
    <n v="480000"/>
  </r>
  <r>
    <x v="1090"/>
    <x v="0"/>
    <x v="0"/>
    <x v="3"/>
    <x v="2"/>
    <s v="Retail"/>
    <s v="Online"/>
    <x v="8"/>
    <x v="2"/>
    <n v="250000"/>
    <n v="5"/>
    <x v="3"/>
    <n v="200000"/>
    <n v="1250000"/>
    <n v="1000000"/>
    <n v="250000"/>
  </r>
  <r>
    <x v="1091"/>
    <x v="0"/>
    <x v="0"/>
    <x v="1"/>
    <x v="3"/>
    <s v="Corporate"/>
    <s v="Store"/>
    <x v="7"/>
    <x v="2"/>
    <n v="420000"/>
    <n v="5"/>
    <x v="3"/>
    <n v="336000"/>
    <n v="2100000"/>
    <n v="1680000"/>
    <n v="420000"/>
  </r>
  <r>
    <x v="1092"/>
    <x v="0"/>
    <x v="0"/>
    <x v="1"/>
    <x v="2"/>
    <s v="Corporate"/>
    <s v="Online"/>
    <x v="7"/>
    <x v="2"/>
    <n v="420000"/>
    <n v="10"/>
    <x v="1"/>
    <n v="336000"/>
    <n v="4200000"/>
    <n v="3360000"/>
    <n v="840000"/>
  </r>
  <r>
    <x v="1093"/>
    <x v="0"/>
    <x v="0"/>
    <x v="3"/>
    <x v="2"/>
    <s v="Retail"/>
    <s v="Online"/>
    <x v="5"/>
    <x v="0"/>
    <n v="320000"/>
    <n v="1"/>
    <x v="2"/>
    <n v="256000"/>
    <n v="320000"/>
    <n v="256000"/>
    <n v="64000"/>
  </r>
  <r>
    <x v="1094"/>
    <x v="0"/>
    <x v="0"/>
    <x v="2"/>
    <x v="3"/>
    <s v="Retail"/>
    <s v="Online"/>
    <x v="5"/>
    <x v="0"/>
    <n v="320000"/>
    <n v="1"/>
    <x v="3"/>
    <n v="256000"/>
    <n v="320000"/>
    <n v="256000"/>
    <n v="64000"/>
  </r>
  <r>
    <x v="1095"/>
    <x v="0"/>
    <x v="0"/>
    <x v="3"/>
    <x v="2"/>
    <s v="Corporate"/>
    <s v="Store"/>
    <x v="6"/>
    <x v="2"/>
    <n v="150000"/>
    <n v="1"/>
    <x v="5"/>
    <n v="120000"/>
    <n v="150000"/>
    <n v="120000"/>
    <n v="30000"/>
  </r>
  <r>
    <x v="1096"/>
    <x v="0"/>
    <x v="0"/>
    <x v="1"/>
    <x v="0"/>
    <s v="Corporate"/>
    <s v="Online"/>
    <x v="4"/>
    <x v="1"/>
    <n v="180000"/>
    <n v="10"/>
    <x v="2"/>
    <n v="144000"/>
    <n v="1800000"/>
    <n v="1440000"/>
    <n v="360000"/>
  </r>
  <r>
    <x v="1097"/>
    <x v="0"/>
    <x v="0"/>
    <x v="3"/>
    <x v="2"/>
    <s v="Retail"/>
    <s v="Store"/>
    <x v="7"/>
    <x v="2"/>
    <n v="420000"/>
    <n v="3"/>
    <x v="1"/>
    <n v="336000"/>
    <n v="1260000"/>
    <n v="1008000"/>
    <n v="252000"/>
  </r>
  <r>
    <x v="1098"/>
    <x v="0"/>
    <x v="0"/>
    <x v="3"/>
    <x v="3"/>
    <s v="Retail"/>
    <s v="Online"/>
    <x v="9"/>
    <x v="1"/>
    <n v="220000"/>
    <n v="10"/>
    <x v="5"/>
    <n v="176000"/>
    <n v="2200000"/>
    <n v="1760000"/>
    <n v="440000"/>
  </r>
  <r>
    <x v="1099"/>
    <x v="0"/>
    <x v="0"/>
    <x v="1"/>
    <x v="3"/>
    <s v="Corporate"/>
    <s v="Store"/>
    <x v="7"/>
    <x v="2"/>
    <n v="420000"/>
    <n v="9"/>
    <x v="3"/>
    <n v="336000"/>
    <n v="3780000"/>
    <n v="3024000"/>
    <n v="756000"/>
  </r>
  <r>
    <x v="1100"/>
    <x v="0"/>
    <x v="0"/>
    <x v="0"/>
    <x v="3"/>
    <s v="Retail"/>
    <s v="Store"/>
    <x v="1"/>
    <x v="1"/>
    <n v="30000"/>
    <n v="6"/>
    <x v="5"/>
    <n v="24000"/>
    <n v="180000"/>
    <n v="144000"/>
    <n v="36000"/>
  </r>
  <r>
    <x v="1101"/>
    <x v="0"/>
    <x v="0"/>
    <x v="3"/>
    <x v="0"/>
    <s v="Retail"/>
    <s v="Store"/>
    <x v="8"/>
    <x v="2"/>
    <n v="250000"/>
    <n v="10"/>
    <x v="1"/>
    <n v="200000"/>
    <n v="2500000"/>
    <n v="2000000"/>
    <n v="500000"/>
  </r>
  <r>
    <x v="1102"/>
    <x v="0"/>
    <x v="0"/>
    <x v="1"/>
    <x v="2"/>
    <s v="Retail"/>
    <s v="Store"/>
    <x v="0"/>
    <x v="0"/>
    <n v="85000"/>
    <n v="6"/>
    <x v="5"/>
    <n v="68000"/>
    <n v="510000"/>
    <n v="408000"/>
    <n v="102000"/>
  </r>
  <r>
    <x v="1103"/>
    <x v="0"/>
    <x v="0"/>
    <x v="3"/>
    <x v="1"/>
    <s v="Corporate"/>
    <s v="Store"/>
    <x v="7"/>
    <x v="2"/>
    <n v="420000"/>
    <n v="3"/>
    <x v="4"/>
    <n v="336000"/>
    <n v="1260000"/>
    <n v="1008000"/>
    <n v="252000"/>
  </r>
  <r>
    <x v="1104"/>
    <x v="0"/>
    <x v="0"/>
    <x v="1"/>
    <x v="3"/>
    <s v="Retail"/>
    <s v="Online"/>
    <x v="6"/>
    <x v="2"/>
    <n v="150000"/>
    <n v="8"/>
    <x v="0"/>
    <n v="120000"/>
    <n v="1200000"/>
    <n v="960000"/>
    <n v="240000"/>
  </r>
  <r>
    <x v="1105"/>
    <x v="0"/>
    <x v="0"/>
    <x v="0"/>
    <x v="1"/>
    <s v="Corporate"/>
    <s v="Online"/>
    <x v="2"/>
    <x v="1"/>
    <n v="60000"/>
    <n v="5"/>
    <x v="3"/>
    <n v="48000"/>
    <n v="300000"/>
    <n v="240000"/>
    <n v="60000"/>
  </r>
  <r>
    <x v="1106"/>
    <x v="0"/>
    <x v="0"/>
    <x v="0"/>
    <x v="2"/>
    <s v="Corporate"/>
    <s v="Store"/>
    <x v="5"/>
    <x v="0"/>
    <n v="320000"/>
    <n v="9"/>
    <x v="4"/>
    <n v="256000"/>
    <n v="2880000"/>
    <n v="2304000"/>
    <n v="576000"/>
  </r>
  <r>
    <x v="1107"/>
    <x v="0"/>
    <x v="0"/>
    <x v="0"/>
    <x v="1"/>
    <s v="Corporate"/>
    <s v="Online"/>
    <x v="7"/>
    <x v="2"/>
    <n v="420000"/>
    <n v="5"/>
    <x v="0"/>
    <n v="336000"/>
    <n v="2100000"/>
    <n v="1680000"/>
    <n v="420000"/>
  </r>
  <r>
    <x v="1108"/>
    <x v="1"/>
    <x v="1"/>
    <x v="3"/>
    <x v="1"/>
    <s v="Corporate"/>
    <s v="Online"/>
    <x v="2"/>
    <x v="1"/>
    <n v="60000"/>
    <n v="9"/>
    <x v="2"/>
    <n v="48000"/>
    <n v="540000"/>
    <n v="432000"/>
    <n v="108000"/>
  </r>
  <r>
    <x v="1109"/>
    <x v="1"/>
    <x v="1"/>
    <x v="2"/>
    <x v="1"/>
    <s v="Retail"/>
    <s v="Online"/>
    <x v="7"/>
    <x v="2"/>
    <n v="420000"/>
    <n v="1"/>
    <x v="5"/>
    <n v="336000"/>
    <n v="420000"/>
    <n v="336000"/>
    <n v="84000"/>
  </r>
  <r>
    <x v="1110"/>
    <x v="1"/>
    <x v="1"/>
    <x v="1"/>
    <x v="3"/>
    <s v="Retail"/>
    <s v="Online"/>
    <x v="6"/>
    <x v="2"/>
    <n v="150000"/>
    <n v="9"/>
    <x v="4"/>
    <n v="120000"/>
    <n v="1350000"/>
    <n v="1080000"/>
    <n v="270000"/>
  </r>
  <r>
    <x v="1111"/>
    <x v="1"/>
    <x v="1"/>
    <x v="2"/>
    <x v="3"/>
    <s v="Corporate"/>
    <s v="Store"/>
    <x v="9"/>
    <x v="1"/>
    <n v="220000"/>
    <n v="7"/>
    <x v="0"/>
    <n v="176000"/>
    <n v="1540000"/>
    <n v="1232000"/>
    <n v="308000"/>
  </r>
  <r>
    <x v="1112"/>
    <x v="1"/>
    <x v="1"/>
    <x v="3"/>
    <x v="0"/>
    <s v="Retail"/>
    <s v="Store"/>
    <x v="5"/>
    <x v="0"/>
    <n v="320000"/>
    <n v="3"/>
    <x v="3"/>
    <n v="256000"/>
    <n v="960000"/>
    <n v="768000"/>
    <n v="192000"/>
  </r>
  <r>
    <x v="1113"/>
    <x v="1"/>
    <x v="1"/>
    <x v="2"/>
    <x v="1"/>
    <s v="Corporate"/>
    <s v="Online"/>
    <x v="5"/>
    <x v="0"/>
    <n v="320000"/>
    <n v="8"/>
    <x v="4"/>
    <n v="256000"/>
    <n v="2560000"/>
    <n v="2048000"/>
    <n v="512000"/>
  </r>
  <r>
    <x v="1114"/>
    <x v="1"/>
    <x v="1"/>
    <x v="2"/>
    <x v="2"/>
    <s v="Corporate"/>
    <s v="Online"/>
    <x v="6"/>
    <x v="2"/>
    <n v="150000"/>
    <n v="3"/>
    <x v="4"/>
    <n v="120000"/>
    <n v="450000"/>
    <n v="360000"/>
    <n v="90000"/>
  </r>
  <r>
    <x v="1115"/>
    <x v="1"/>
    <x v="1"/>
    <x v="0"/>
    <x v="3"/>
    <s v="Retail"/>
    <s v="Online"/>
    <x v="8"/>
    <x v="2"/>
    <n v="250000"/>
    <n v="9"/>
    <x v="0"/>
    <n v="200000"/>
    <n v="2250000"/>
    <n v="1800000"/>
    <n v="450000"/>
  </r>
  <r>
    <x v="1116"/>
    <x v="1"/>
    <x v="1"/>
    <x v="0"/>
    <x v="1"/>
    <s v="Retail"/>
    <s v="Store"/>
    <x v="7"/>
    <x v="2"/>
    <n v="420000"/>
    <n v="7"/>
    <x v="2"/>
    <n v="336000"/>
    <n v="2940000"/>
    <n v="2352000"/>
    <n v="588000"/>
  </r>
  <r>
    <x v="1117"/>
    <x v="1"/>
    <x v="1"/>
    <x v="0"/>
    <x v="0"/>
    <s v="Corporate"/>
    <s v="Store"/>
    <x v="8"/>
    <x v="2"/>
    <n v="250000"/>
    <n v="10"/>
    <x v="1"/>
    <n v="200000"/>
    <n v="2500000"/>
    <n v="2000000"/>
    <n v="500000"/>
  </r>
  <r>
    <x v="1118"/>
    <x v="1"/>
    <x v="1"/>
    <x v="1"/>
    <x v="2"/>
    <s v="Retail"/>
    <s v="Online"/>
    <x v="2"/>
    <x v="1"/>
    <n v="60000"/>
    <n v="4"/>
    <x v="1"/>
    <n v="48000"/>
    <n v="240000"/>
    <n v="192000"/>
    <n v="48000"/>
  </r>
  <r>
    <x v="1119"/>
    <x v="1"/>
    <x v="1"/>
    <x v="3"/>
    <x v="1"/>
    <s v="Retail"/>
    <s v="Online"/>
    <x v="8"/>
    <x v="2"/>
    <n v="250000"/>
    <n v="4"/>
    <x v="0"/>
    <n v="200000"/>
    <n v="1000000"/>
    <n v="800000"/>
    <n v="200000"/>
  </r>
  <r>
    <x v="1120"/>
    <x v="1"/>
    <x v="1"/>
    <x v="3"/>
    <x v="0"/>
    <s v="Retail"/>
    <s v="Online"/>
    <x v="3"/>
    <x v="2"/>
    <n v="300000"/>
    <n v="3"/>
    <x v="5"/>
    <n v="240000"/>
    <n v="900000"/>
    <n v="720000"/>
    <n v="180000"/>
  </r>
  <r>
    <x v="1121"/>
    <x v="1"/>
    <x v="1"/>
    <x v="2"/>
    <x v="1"/>
    <s v="Corporate"/>
    <s v="Online"/>
    <x v="7"/>
    <x v="2"/>
    <n v="420000"/>
    <n v="9"/>
    <x v="4"/>
    <n v="336000"/>
    <n v="3780000"/>
    <n v="3024000"/>
    <n v="756000"/>
  </r>
  <r>
    <x v="1122"/>
    <x v="1"/>
    <x v="1"/>
    <x v="2"/>
    <x v="1"/>
    <s v="Corporate"/>
    <s v="Online"/>
    <x v="7"/>
    <x v="2"/>
    <n v="420000"/>
    <n v="7"/>
    <x v="2"/>
    <n v="336000"/>
    <n v="2940000"/>
    <n v="2352000"/>
    <n v="588000"/>
  </r>
  <r>
    <x v="1123"/>
    <x v="1"/>
    <x v="1"/>
    <x v="1"/>
    <x v="2"/>
    <s v="Retail"/>
    <s v="Online"/>
    <x v="9"/>
    <x v="1"/>
    <n v="220000"/>
    <n v="9"/>
    <x v="5"/>
    <n v="176000"/>
    <n v="1980000"/>
    <n v="1584000"/>
    <n v="396000"/>
  </r>
  <r>
    <x v="1124"/>
    <x v="1"/>
    <x v="1"/>
    <x v="1"/>
    <x v="3"/>
    <s v="Corporate"/>
    <s v="Online"/>
    <x v="0"/>
    <x v="0"/>
    <n v="85000"/>
    <n v="8"/>
    <x v="2"/>
    <n v="68000"/>
    <n v="680000"/>
    <n v="544000"/>
    <n v="136000"/>
  </r>
  <r>
    <x v="1125"/>
    <x v="1"/>
    <x v="1"/>
    <x v="2"/>
    <x v="0"/>
    <s v="Corporate"/>
    <s v="Store"/>
    <x v="0"/>
    <x v="0"/>
    <n v="85000"/>
    <n v="5"/>
    <x v="3"/>
    <n v="68000"/>
    <n v="425000"/>
    <n v="340000"/>
    <n v="85000"/>
  </r>
  <r>
    <x v="1126"/>
    <x v="1"/>
    <x v="1"/>
    <x v="2"/>
    <x v="3"/>
    <s v="Retail"/>
    <s v="Store"/>
    <x v="8"/>
    <x v="2"/>
    <n v="250000"/>
    <n v="6"/>
    <x v="5"/>
    <n v="200000"/>
    <n v="1500000"/>
    <n v="1200000"/>
    <n v="300000"/>
  </r>
  <r>
    <x v="1127"/>
    <x v="1"/>
    <x v="1"/>
    <x v="1"/>
    <x v="2"/>
    <s v="Corporate"/>
    <s v="Store"/>
    <x v="1"/>
    <x v="1"/>
    <n v="30000"/>
    <n v="8"/>
    <x v="5"/>
    <n v="24000"/>
    <n v="240000"/>
    <n v="192000"/>
    <n v="48000"/>
  </r>
  <r>
    <x v="1128"/>
    <x v="1"/>
    <x v="1"/>
    <x v="3"/>
    <x v="0"/>
    <s v="Corporate"/>
    <s v="Online"/>
    <x v="8"/>
    <x v="2"/>
    <n v="250000"/>
    <n v="6"/>
    <x v="4"/>
    <n v="200000"/>
    <n v="1500000"/>
    <n v="1200000"/>
    <n v="300000"/>
  </r>
  <r>
    <x v="1129"/>
    <x v="1"/>
    <x v="1"/>
    <x v="2"/>
    <x v="1"/>
    <s v="Corporate"/>
    <s v="Store"/>
    <x v="5"/>
    <x v="0"/>
    <n v="320000"/>
    <n v="10"/>
    <x v="3"/>
    <n v="256000"/>
    <n v="3200000"/>
    <n v="2560000"/>
    <n v="640000"/>
  </r>
  <r>
    <x v="1130"/>
    <x v="1"/>
    <x v="1"/>
    <x v="1"/>
    <x v="3"/>
    <s v="Retail"/>
    <s v="Store"/>
    <x v="1"/>
    <x v="1"/>
    <n v="30000"/>
    <n v="4"/>
    <x v="3"/>
    <n v="24000"/>
    <n v="120000"/>
    <n v="96000"/>
    <n v="24000"/>
  </r>
  <r>
    <x v="1131"/>
    <x v="1"/>
    <x v="1"/>
    <x v="2"/>
    <x v="3"/>
    <s v="Retail"/>
    <s v="Store"/>
    <x v="0"/>
    <x v="0"/>
    <n v="85000"/>
    <n v="10"/>
    <x v="0"/>
    <n v="68000"/>
    <n v="850000"/>
    <n v="680000"/>
    <n v="170000"/>
  </r>
  <r>
    <x v="1132"/>
    <x v="1"/>
    <x v="1"/>
    <x v="3"/>
    <x v="3"/>
    <s v="Corporate"/>
    <s v="Store"/>
    <x v="8"/>
    <x v="2"/>
    <n v="250000"/>
    <n v="6"/>
    <x v="2"/>
    <n v="200000"/>
    <n v="1500000"/>
    <n v="1200000"/>
    <n v="300000"/>
  </r>
  <r>
    <x v="1133"/>
    <x v="1"/>
    <x v="1"/>
    <x v="2"/>
    <x v="1"/>
    <s v="Retail"/>
    <s v="Store"/>
    <x v="2"/>
    <x v="1"/>
    <n v="60000"/>
    <n v="10"/>
    <x v="1"/>
    <n v="48000"/>
    <n v="600000"/>
    <n v="480000"/>
    <n v="120000"/>
  </r>
  <r>
    <x v="1134"/>
    <x v="1"/>
    <x v="1"/>
    <x v="1"/>
    <x v="1"/>
    <s v="Retail"/>
    <s v="Store"/>
    <x v="3"/>
    <x v="2"/>
    <n v="300000"/>
    <n v="3"/>
    <x v="1"/>
    <n v="240000"/>
    <n v="900000"/>
    <n v="720000"/>
    <n v="180000"/>
  </r>
  <r>
    <x v="1135"/>
    <x v="1"/>
    <x v="1"/>
    <x v="0"/>
    <x v="3"/>
    <s v="Retail"/>
    <s v="Store"/>
    <x v="6"/>
    <x v="2"/>
    <n v="150000"/>
    <n v="10"/>
    <x v="5"/>
    <n v="120000"/>
    <n v="1500000"/>
    <n v="1200000"/>
    <n v="300000"/>
  </r>
  <r>
    <x v="1136"/>
    <x v="1"/>
    <x v="1"/>
    <x v="2"/>
    <x v="1"/>
    <s v="Corporate"/>
    <s v="Store"/>
    <x v="1"/>
    <x v="1"/>
    <n v="30000"/>
    <n v="7"/>
    <x v="3"/>
    <n v="24000"/>
    <n v="210000"/>
    <n v="168000"/>
    <n v="42000"/>
  </r>
  <r>
    <x v="1137"/>
    <x v="2"/>
    <x v="2"/>
    <x v="1"/>
    <x v="1"/>
    <s v="Corporate"/>
    <s v="Store"/>
    <x v="3"/>
    <x v="2"/>
    <n v="300000"/>
    <n v="9"/>
    <x v="4"/>
    <n v="240000"/>
    <n v="2700000"/>
    <n v="2160000"/>
    <n v="540000"/>
  </r>
  <r>
    <x v="1138"/>
    <x v="2"/>
    <x v="2"/>
    <x v="3"/>
    <x v="3"/>
    <s v="Corporate"/>
    <s v="Store"/>
    <x v="9"/>
    <x v="1"/>
    <n v="220000"/>
    <n v="4"/>
    <x v="2"/>
    <n v="176000"/>
    <n v="880000"/>
    <n v="704000"/>
    <n v="176000"/>
  </r>
  <r>
    <x v="1139"/>
    <x v="2"/>
    <x v="2"/>
    <x v="1"/>
    <x v="2"/>
    <s v="Corporate"/>
    <s v="Online"/>
    <x v="8"/>
    <x v="2"/>
    <n v="250000"/>
    <n v="9"/>
    <x v="0"/>
    <n v="200000"/>
    <n v="2250000"/>
    <n v="1800000"/>
    <n v="450000"/>
  </r>
  <r>
    <x v="1140"/>
    <x v="2"/>
    <x v="2"/>
    <x v="0"/>
    <x v="0"/>
    <s v="Corporate"/>
    <s v="Store"/>
    <x v="3"/>
    <x v="2"/>
    <n v="300000"/>
    <n v="4"/>
    <x v="5"/>
    <n v="240000"/>
    <n v="1200000"/>
    <n v="960000"/>
    <n v="240000"/>
  </r>
  <r>
    <x v="1141"/>
    <x v="2"/>
    <x v="2"/>
    <x v="0"/>
    <x v="0"/>
    <s v="Retail"/>
    <s v="Store"/>
    <x v="2"/>
    <x v="1"/>
    <n v="60000"/>
    <n v="10"/>
    <x v="4"/>
    <n v="48000"/>
    <n v="600000"/>
    <n v="480000"/>
    <n v="120000"/>
  </r>
  <r>
    <x v="1142"/>
    <x v="2"/>
    <x v="2"/>
    <x v="3"/>
    <x v="2"/>
    <s v="Corporate"/>
    <s v="Online"/>
    <x v="7"/>
    <x v="2"/>
    <n v="420000"/>
    <n v="10"/>
    <x v="2"/>
    <n v="336000"/>
    <n v="4200000"/>
    <n v="3360000"/>
    <n v="840000"/>
  </r>
  <r>
    <x v="1143"/>
    <x v="2"/>
    <x v="2"/>
    <x v="0"/>
    <x v="2"/>
    <s v="Retail"/>
    <s v="Store"/>
    <x v="6"/>
    <x v="2"/>
    <n v="150000"/>
    <n v="1"/>
    <x v="5"/>
    <n v="120000"/>
    <n v="150000"/>
    <n v="120000"/>
    <n v="30000"/>
  </r>
  <r>
    <x v="1144"/>
    <x v="2"/>
    <x v="2"/>
    <x v="2"/>
    <x v="2"/>
    <s v="Retail"/>
    <s v="Store"/>
    <x v="8"/>
    <x v="2"/>
    <n v="250000"/>
    <n v="7"/>
    <x v="1"/>
    <n v="200000"/>
    <n v="1750000"/>
    <n v="1400000"/>
    <n v="350000"/>
  </r>
  <r>
    <x v="1145"/>
    <x v="2"/>
    <x v="2"/>
    <x v="2"/>
    <x v="3"/>
    <s v="Retail"/>
    <s v="Store"/>
    <x v="3"/>
    <x v="2"/>
    <n v="300000"/>
    <n v="9"/>
    <x v="2"/>
    <n v="240000"/>
    <n v="2700000"/>
    <n v="2160000"/>
    <n v="540000"/>
  </r>
  <r>
    <x v="1146"/>
    <x v="2"/>
    <x v="2"/>
    <x v="3"/>
    <x v="0"/>
    <s v="Retail"/>
    <s v="Store"/>
    <x v="6"/>
    <x v="2"/>
    <n v="150000"/>
    <n v="2"/>
    <x v="4"/>
    <n v="120000"/>
    <n v="300000"/>
    <n v="240000"/>
    <n v="60000"/>
  </r>
  <r>
    <x v="1147"/>
    <x v="2"/>
    <x v="2"/>
    <x v="0"/>
    <x v="1"/>
    <s v="Retail"/>
    <s v="Store"/>
    <x v="9"/>
    <x v="1"/>
    <n v="220000"/>
    <n v="9"/>
    <x v="1"/>
    <n v="176000"/>
    <n v="1980000"/>
    <n v="1584000"/>
    <n v="396000"/>
  </r>
  <r>
    <x v="1148"/>
    <x v="2"/>
    <x v="2"/>
    <x v="3"/>
    <x v="3"/>
    <s v="Retail"/>
    <s v="Store"/>
    <x v="2"/>
    <x v="1"/>
    <n v="60000"/>
    <n v="5"/>
    <x v="0"/>
    <n v="48000"/>
    <n v="300000"/>
    <n v="240000"/>
    <n v="60000"/>
  </r>
  <r>
    <x v="1149"/>
    <x v="2"/>
    <x v="2"/>
    <x v="0"/>
    <x v="0"/>
    <s v="Corporate"/>
    <s v="Store"/>
    <x v="4"/>
    <x v="1"/>
    <n v="180000"/>
    <n v="6"/>
    <x v="3"/>
    <n v="144000"/>
    <n v="1080000"/>
    <n v="864000"/>
    <n v="216000"/>
  </r>
  <r>
    <x v="1150"/>
    <x v="2"/>
    <x v="2"/>
    <x v="1"/>
    <x v="0"/>
    <s v="Corporate"/>
    <s v="Store"/>
    <x v="8"/>
    <x v="2"/>
    <n v="250000"/>
    <n v="10"/>
    <x v="0"/>
    <n v="200000"/>
    <n v="2500000"/>
    <n v="2000000"/>
    <n v="500000"/>
  </r>
  <r>
    <x v="1151"/>
    <x v="2"/>
    <x v="2"/>
    <x v="1"/>
    <x v="3"/>
    <s v="Retail"/>
    <s v="Store"/>
    <x v="0"/>
    <x v="0"/>
    <n v="85000"/>
    <n v="1"/>
    <x v="4"/>
    <n v="68000"/>
    <n v="85000"/>
    <n v="68000"/>
    <n v="17000"/>
  </r>
  <r>
    <x v="1152"/>
    <x v="2"/>
    <x v="2"/>
    <x v="3"/>
    <x v="0"/>
    <s v="Retail"/>
    <s v="Online"/>
    <x v="8"/>
    <x v="2"/>
    <n v="250000"/>
    <n v="9"/>
    <x v="1"/>
    <n v="200000"/>
    <n v="2250000"/>
    <n v="1800000"/>
    <n v="450000"/>
  </r>
  <r>
    <x v="1153"/>
    <x v="2"/>
    <x v="2"/>
    <x v="1"/>
    <x v="1"/>
    <s v="Retail"/>
    <s v="Online"/>
    <x v="8"/>
    <x v="2"/>
    <n v="250000"/>
    <n v="2"/>
    <x v="1"/>
    <n v="200000"/>
    <n v="500000"/>
    <n v="400000"/>
    <n v="100000"/>
  </r>
  <r>
    <x v="1154"/>
    <x v="2"/>
    <x v="2"/>
    <x v="2"/>
    <x v="1"/>
    <s v="Retail"/>
    <s v="Online"/>
    <x v="8"/>
    <x v="2"/>
    <n v="250000"/>
    <n v="1"/>
    <x v="5"/>
    <n v="200000"/>
    <n v="250000"/>
    <n v="200000"/>
    <n v="50000"/>
  </r>
  <r>
    <x v="1155"/>
    <x v="2"/>
    <x v="2"/>
    <x v="0"/>
    <x v="0"/>
    <s v="Corporate"/>
    <s v="Store"/>
    <x v="3"/>
    <x v="2"/>
    <n v="300000"/>
    <n v="9"/>
    <x v="2"/>
    <n v="240000"/>
    <n v="2700000"/>
    <n v="2160000"/>
    <n v="540000"/>
  </r>
  <r>
    <x v="1156"/>
    <x v="2"/>
    <x v="2"/>
    <x v="0"/>
    <x v="1"/>
    <s v="Corporate"/>
    <s v="Online"/>
    <x v="5"/>
    <x v="0"/>
    <n v="320000"/>
    <n v="10"/>
    <x v="1"/>
    <n v="256000"/>
    <n v="3200000"/>
    <n v="2560000"/>
    <n v="640000"/>
  </r>
  <r>
    <x v="1157"/>
    <x v="2"/>
    <x v="2"/>
    <x v="2"/>
    <x v="1"/>
    <s v="Corporate"/>
    <s v="Online"/>
    <x v="4"/>
    <x v="1"/>
    <n v="180000"/>
    <n v="9"/>
    <x v="4"/>
    <n v="144000"/>
    <n v="1620000"/>
    <n v="1296000"/>
    <n v="324000"/>
  </r>
  <r>
    <x v="1158"/>
    <x v="2"/>
    <x v="2"/>
    <x v="2"/>
    <x v="2"/>
    <s v="Corporate"/>
    <s v="Online"/>
    <x v="8"/>
    <x v="2"/>
    <n v="250000"/>
    <n v="1"/>
    <x v="5"/>
    <n v="200000"/>
    <n v="250000"/>
    <n v="200000"/>
    <n v="50000"/>
  </r>
  <r>
    <x v="1159"/>
    <x v="2"/>
    <x v="2"/>
    <x v="2"/>
    <x v="3"/>
    <s v="Corporate"/>
    <s v="Online"/>
    <x v="0"/>
    <x v="0"/>
    <n v="85000"/>
    <n v="7"/>
    <x v="5"/>
    <n v="68000"/>
    <n v="595000"/>
    <n v="476000"/>
    <n v="119000"/>
  </r>
  <r>
    <x v="1160"/>
    <x v="2"/>
    <x v="2"/>
    <x v="0"/>
    <x v="0"/>
    <s v="Retail"/>
    <s v="Store"/>
    <x v="1"/>
    <x v="1"/>
    <n v="30000"/>
    <n v="6"/>
    <x v="2"/>
    <n v="24000"/>
    <n v="180000"/>
    <n v="144000"/>
    <n v="36000"/>
  </r>
  <r>
    <x v="1161"/>
    <x v="2"/>
    <x v="2"/>
    <x v="0"/>
    <x v="1"/>
    <s v="Retail"/>
    <s v="Store"/>
    <x v="1"/>
    <x v="1"/>
    <n v="30000"/>
    <n v="6"/>
    <x v="1"/>
    <n v="24000"/>
    <n v="180000"/>
    <n v="144000"/>
    <n v="36000"/>
  </r>
  <r>
    <x v="1162"/>
    <x v="2"/>
    <x v="2"/>
    <x v="0"/>
    <x v="0"/>
    <s v="Corporate"/>
    <s v="Store"/>
    <x v="5"/>
    <x v="0"/>
    <n v="320000"/>
    <n v="2"/>
    <x v="4"/>
    <n v="256000"/>
    <n v="640000"/>
    <n v="512000"/>
    <n v="128000"/>
  </r>
  <r>
    <x v="1163"/>
    <x v="2"/>
    <x v="2"/>
    <x v="0"/>
    <x v="3"/>
    <s v="Retail"/>
    <s v="Store"/>
    <x v="2"/>
    <x v="1"/>
    <n v="60000"/>
    <n v="6"/>
    <x v="1"/>
    <n v="48000"/>
    <n v="360000"/>
    <n v="288000"/>
    <n v="72000"/>
  </r>
  <r>
    <x v="1164"/>
    <x v="2"/>
    <x v="2"/>
    <x v="0"/>
    <x v="1"/>
    <s v="Retail"/>
    <s v="Store"/>
    <x v="9"/>
    <x v="1"/>
    <n v="220000"/>
    <n v="10"/>
    <x v="5"/>
    <n v="176000"/>
    <n v="2200000"/>
    <n v="1760000"/>
    <n v="440000"/>
  </r>
  <r>
    <x v="1165"/>
    <x v="2"/>
    <x v="2"/>
    <x v="0"/>
    <x v="3"/>
    <s v="Retail"/>
    <s v="Online"/>
    <x v="2"/>
    <x v="1"/>
    <n v="60000"/>
    <n v="6"/>
    <x v="5"/>
    <n v="48000"/>
    <n v="360000"/>
    <n v="288000"/>
    <n v="72000"/>
  </r>
  <r>
    <x v="1166"/>
    <x v="2"/>
    <x v="2"/>
    <x v="0"/>
    <x v="2"/>
    <s v="Retail"/>
    <s v="Online"/>
    <x v="9"/>
    <x v="1"/>
    <n v="220000"/>
    <n v="7"/>
    <x v="4"/>
    <n v="176000"/>
    <n v="1540000"/>
    <n v="1232000"/>
    <n v="308000"/>
  </r>
  <r>
    <x v="1167"/>
    <x v="2"/>
    <x v="2"/>
    <x v="1"/>
    <x v="1"/>
    <s v="Corporate"/>
    <s v="Store"/>
    <x v="7"/>
    <x v="2"/>
    <n v="420000"/>
    <n v="8"/>
    <x v="4"/>
    <n v="336000"/>
    <n v="3360000"/>
    <n v="2688000"/>
    <n v="672000"/>
  </r>
  <r>
    <x v="1168"/>
    <x v="3"/>
    <x v="3"/>
    <x v="1"/>
    <x v="1"/>
    <s v="Retail"/>
    <s v="Store"/>
    <x v="7"/>
    <x v="2"/>
    <n v="420000"/>
    <n v="1"/>
    <x v="5"/>
    <n v="336000"/>
    <n v="420000"/>
    <n v="336000"/>
    <n v="84000"/>
  </r>
  <r>
    <x v="1169"/>
    <x v="3"/>
    <x v="3"/>
    <x v="1"/>
    <x v="0"/>
    <s v="Corporate"/>
    <s v="Store"/>
    <x v="8"/>
    <x v="2"/>
    <n v="250000"/>
    <n v="9"/>
    <x v="4"/>
    <n v="200000"/>
    <n v="2250000"/>
    <n v="1800000"/>
    <n v="450000"/>
  </r>
  <r>
    <x v="1170"/>
    <x v="3"/>
    <x v="3"/>
    <x v="3"/>
    <x v="3"/>
    <s v="Retail"/>
    <s v="Online"/>
    <x v="1"/>
    <x v="1"/>
    <n v="30000"/>
    <n v="3"/>
    <x v="1"/>
    <n v="24000"/>
    <n v="90000"/>
    <n v="72000"/>
    <n v="18000"/>
  </r>
  <r>
    <x v="1171"/>
    <x v="3"/>
    <x v="3"/>
    <x v="3"/>
    <x v="2"/>
    <s v="Retail"/>
    <s v="Online"/>
    <x v="5"/>
    <x v="0"/>
    <n v="320000"/>
    <n v="1"/>
    <x v="5"/>
    <n v="256000"/>
    <n v="320000"/>
    <n v="256000"/>
    <n v="64000"/>
  </r>
  <r>
    <x v="1172"/>
    <x v="3"/>
    <x v="3"/>
    <x v="0"/>
    <x v="3"/>
    <s v="Corporate"/>
    <s v="Online"/>
    <x v="5"/>
    <x v="0"/>
    <n v="320000"/>
    <n v="10"/>
    <x v="2"/>
    <n v="256000"/>
    <n v="3200000"/>
    <n v="2560000"/>
    <n v="640000"/>
  </r>
  <r>
    <x v="1173"/>
    <x v="3"/>
    <x v="3"/>
    <x v="3"/>
    <x v="1"/>
    <s v="Corporate"/>
    <s v="Online"/>
    <x v="4"/>
    <x v="1"/>
    <n v="180000"/>
    <n v="4"/>
    <x v="2"/>
    <n v="144000"/>
    <n v="720000"/>
    <n v="576000"/>
    <n v="144000"/>
  </r>
  <r>
    <x v="1174"/>
    <x v="3"/>
    <x v="3"/>
    <x v="0"/>
    <x v="1"/>
    <s v="Retail"/>
    <s v="Store"/>
    <x v="7"/>
    <x v="2"/>
    <n v="420000"/>
    <n v="5"/>
    <x v="4"/>
    <n v="336000"/>
    <n v="2100000"/>
    <n v="1680000"/>
    <n v="420000"/>
  </r>
  <r>
    <x v="1175"/>
    <x v="3"/>
    <x v="3"/>
    <x v="3"/>
    <x v="3"/>
    <s v="Retail"/>
    <s v="Online"/>
    <x v="2"/>
    <x v="1"/>
    <n v="60000"/>
    <n v="5"/>
    <x v="1"/>
    <n v="48000"/>
    <n v="300000"/>
    <n v="240000"/>
    <n v="60000"/>
  </r>
  <r>
    <x v="1176"/>
    <x v="3"/>
    <x v="3"/>
    <x v="3"/>
    <x v="3"/>
    <s v="Retail"/>
    <s v="Store"/>
    <x v="2"/>
    <x v="1"/>
    <n v="60000"/>
    <n v="9"/>
    <x v="4"/>
    <n v="48000"/>
    <n v="540000"/>
    <n v="432000"/>
    <n v="108000"/>
  </r>
  <r>
    <x v="1177"/>
    <x v="3"/>
    <x v="3"/>
    <x v="1"/>
    <x v="2"/>
    <s v="Corporate"/>
    <s v="Store"/>
    <x v="3"/>
    <x v="2"/>
    <n v="300000"/>
    <n v="10"/>
    <x v="1"/>
    <n v="240000"/>
    <n v="3000000"/>
    <n v="2400000"/>
    <n v="600000"/>
  </r>
  <r>
    <x v="1178"/>
    <x v="3"/>
    <x v="3"/>
    <x v="2"/>
    <x v="3"/>
    <s v="Retail"/>
    <s v="Store"/>
    <x v="7"/>
    <x v="2"/>
    <n v="420000"/>
    <n v="8"/>
    <x v="5"/>
    <n v="336000"/>
    <n v="3360000"/>
    <n v="2688000"/>
    <n v="672000"/>
  </r>
  <r>
    <x v="1179"/>
    <x v="3"/>
    <x v="3"/>
    <x v="2"/>
    <x v="2"/>
    <s v="Corporate"/>
    <s v="Store"/>
    <x v="4"/>
    <x v="1"/>
    <n v="180000"/>
    <n v="4"/>
    <x v="1"/>
    <n v="144000"/>
    <n v="720000"/>
    <n v="576000"/>
    <n v="144000"/>
  </r>
  <r>
    <x v="1180"/>
    <x v="3"/>
    <x v="3"/>
    <x v="1"/>
    <x v="2"/>
    <s v="Retail"/>
    <s v="Store"/>
    <x v="1"/>
    <x v="1"/>
    <n v="30000"/>
    <n v="5"/>
    <x v="4"/>
    <n v="24000"/>
    <n v="150000"/>
    <n v="120000"/>
    <n v="30000"/>
  </r>
  <r>
    <x v="1181"/>
    <x v="3"/>
    <x v="3"/>
    <x v="3"/>
    <x v="1"/>
    <s v="Retail"/>
    <s v="Online"/>
    <x v="8"/>
    <x v="2"/>
    <n v="250000"/>
    <n v="3"/>
    <x v="1"/>
    <n v="200000"/>
    <n v="750000"/>
    <n v="600000"/>
    <n v="150000"/>
  </r>
  <r>
    <x v="1182"/>
    <x v="3"/>
    <x v="3"/>
    <x v="1"/>
    <x v="2"/>
    <s v="Corporate"/>
    <s v="Store"/>
    <x v="0"/>
    <x v="0"/>
    <n v="85000"/>
    <n v="8"/>
    <x v="2"/>
    <n v="68000"/>
    <n v="680000"/>
    <n v="544000"/>
    <n v="136000"/>
  </r>
  <r>
    <x v="1183"/>
    <x v="3"/>
    <x v="3"/>
    <x v="2"/>
    <x v="0"/>
    <s v="Corporate"/>
    <s v="Online"/>
    <x v="2"/>
    <x v="1"/>
    <n v="60000"/>
    <n v="8"/>
    <x v="4"/>
    <n v="48000"/>
    <n v="480000"/>
    <n v="384000"/>
    <n v="96000"/>
  </r>
  <r>
    <x v="1184"/>
    <x v="3"/>
    <x v="3"/>
    <x v="2"/>
    <x v="0"/>
    <s v="Corporate"/>
    <s v="Store"/>
    <x v="6"/>
    <x v="2"/>
    <n v="150000"/>
    <n v="5"/>
    <x v="0"/>
    <n v="120000"/>
    <n v="750000"/>
    <n v="600000"/>
    <n v="150000"/>
  </r>
  <r>
    <x v="1185"/>
    <x v="3"/>
    <x v="3"/>
    <x v="3"/>
    <x v="0"/>
    <s v="Corporate"/>
    <s v="Online"/>
    <x v="5"/>
    <x v="0"/>
    <n v="320000"/>
    <n v="9"/>
    <x v="3"/>
    <n v="256000"/>
    <n v="2880000"/>
    <n v="2304000"/>
    <n v="576000"/>
  </r>
  <r>
    <x v="1186"/>
    <x v="3"/>
    <x v="3"/>
    <x v="3"/>
    <x v="3"/>
    <s v="Corporate"/>
    <s v="Online"/>
    <x v="7"/>
    <x v="2"/>
    <n v="420000"/>
    <n v="7"/>
    <x v="0"/>
    <n v="336000"/>
    <n v="2940000"/>
    <n v="2352000"/>
    <n v="588000"/>
  </r>
  <r>
    <x v="1187"/>
    <x v="3"/>
    <x v="3"/>
    <x v="2"/>
    <x v="2"/>
    <s v="Corporate"/>
    <s v="Store"/>
    <x v="2"/>
    <x v="1"/>
    <n v="60000"/>
    <n v="6"/>
    <x v="4"/>
    <n v="48000"/>
    <n v="360000"/>
    <n v="288000"/>
    <n v="72000"/>
  </r>
  <r>
    <x v="1188"/>
    <x v="3"/>
    <x v="3"/>
    <x v="3"/>
    <x v="0"/>
    <s v="Retail"/>
    <s v="Store"/>
    <x v="6"/>
    <x v="2"/>
    <n v="150000"/>
    <n v="7"/>
    <x v="5"/>
    <n v="120000"/>
    <n v="1050000"/>
    <n v="840000"/>
    <n v="210000"/>
  </r>
  <r>
    <x v="1189"/>
    <x v="3"/>
    <x v="3"/>
    <x v="1"/>
    <x v="2"/>
    <s v="Retail"/>
    <s v="Store"/>
    <x v="5"/>
    <x v="0"/>
    <n v="320000"/>
    <n v="10"/>
    <x v="2"/>
    <n v="256000"/>
    <n v="3200000"/>
    <n v="2560000"/>
    <n v="640000"/>
  </r>
  <r>
    <x v="1190"/>
    <x v="3"/>
    <x v="3"/>
    <x v="1"/>
    <x v="0"/>
    <s v="Corporate"/>
    <s v="Online"/>
    <x v="3"/>
    <x v="2"/>
    <n v="300000"/>
    <n v="8"/>
    <x v="1"/>
    <n v="240000"/>
    <n v="2400000"/>
    <n v="1920000"/>
    <n v="480000"/>
  </r>
  <r>
    <x v="1191"/>
    <x v="3"/>
    <x v="3"/>
    <x v="0"/>
    <x v="0"/>
    <s v="Retail"/>
    <s v="Online"/>
    <x v="7"/>
    <x v="2"/>
    <n v="420000"/>
    <n v="5"/>
    <x v="3"/>
    <n v="336000"/>
    <n v="2100000"/>
    <n v="1680000"/>
    <n v="420000"/>
  </r>
  <r>
    <x v="1192"/>
    <x v="3"/>
    <x v="3"/>
    <x v="1"/>
    <x v="2"/>
    <s v="Retail"/>
    <s v="Store"/>
    <x v="9"/>
    <x v="1"/>
    <n v="220000"/>
    <n v="5"/>
    <x v="0"/>
    <n v="176000"/>
    <n v="1100000"/>
    <n v="880000"/>
    <n v="220000"/>
  </r>
  <r>
    <x v="1193"/>
    <x v="3"/>
    <x v="3"/>
    <x v="0"/>
    <x v="0"/>
    <s v="Corporate"/>
    <s v="Store"/>
    <x v="5"/>
    <x v="0"/>
    <n v="320000"/>
    <n v="3"/>
    <x v="1"/>
    <n v="256000"/>
    <n v="960000"/>
    <n v="768000"/>
    <n v="192000"/>
  </r>
  <r>
    <x v="1194"/>
    <x v="3"/>
    <x v="3"/>
    <x v="1"/>
    <x v="0"/>
    <s v="Retail"/>
    <s v="Online"/>
    <x v="4"/>
    <x v="1"/>
    <n v="180000"/>
    <n v="9"/>
    <x v="5"/>
    <n v="144000"/>
    <n v="1620000"/>
    <n v="1296000"/>
    <n v="324000"/>
  </r>
  <r>
    <x v="1195"/>
    <x v="3"/>
    <x v="3"/>
    <x v="3"/>
    <x v="0"/>
    <s v="Retail"/>
    <s v="Online"/>
    <x v="3"/>
    <x v="2"/>
    <n v="300000"/>
    <n v="1"/>
    <x v="5"/>
    <n v="240000"/>
    <n v="300000"/>
    <n v="240000"/>
    <n v="60000"/>
  </r>
  <r>
    <x v="1196"/>
    <x v="3"/>
    <x v="3"/>
    <x v="3"/>
    <x v="2"/>
    <s v="Retail"/>
    <s v="Store"/>
    <x v="9"/>
    <x v="1"/>
    <n v="220000"/>
    <n v="7"/>
    <x v="5"/>
    <n v="176000"/>
    <n v="1540000"/>
    <n v="1232000"/>
    <n v="308000"/>
  </r>
  <r>
    <x v="1197"/>
    <x v="3"/>
    <x v="3"/>
    <x v="1"/>
    <x v="1"/>
    <s v="Corporate"/>
    <s v="Store"/>
    <x v="0"/>
    <x v="0"/>
    <n v="85000"/>
    <n v="9"/>
    <x v="1"/>
    <n v="68000"/>
    <n v="765000"/>
    <n v="612000"/>
    <n v="153000"/>
  </r>
  <r>
    <x v="1198"/>
    <x v="4"/>
    <x v="4"/>
    <x v="1"/>
    <x v="1"/>
    <s v="Retail"/>
    <s v="Online"/>
    <x v="0"/>
    <x v="0"/>
    <n v="85000"/>
    <n v="4"/>
    <x v="2"/>
    <n v="68000"/>
    <n v="340000"/>
    <n v="272000"/>
    <n v="68000"/>
  </r>
  <r>
    <x v="1199"/>
    <x v="4"/>
    <x v="4"/>
    <x v="1"/>
    <x v="3"/>
    <s v="Retail"/>
    <s v="Store"/>
    <x v="2"/>
    <x v="1"/>
    <n v="60000"/>
    <n v="8"/>
    <x v="2"/>
    <n v="48000"/>
    <n v="480000"/>
    <n v="384000"/>
    <n v="96000"/>
  </r>
  <r>
    <x v="1200"/>
    <x v="4"/>
    <x v="4"/>
    <x v="2"/>
    <x v="1"/>
    <s v="Corporate"/>
    <s v="Store"/>
    <x v="6"/>
    <x v="2"/>
    <n v="150000"/>
    <n v="6"/>
    <x v="3"/>
    <n v="120000"/>
    <n v="900000"/>
    <n v="720000"/>
    <n v="180000"/>
  </r>
  <r>
    <x v="1201"/>
    <x v="4"/>
    <x v="4"/>
    <x v="1"/>
    <x v="2"/>
    <s v="Corporate"/>
    <s v="Online"/>
    <x v="0"/>
    <x v="0"/>
    <n v="85000"/>
    <n v="10"/>
    <x v="2"/>
    <n v="68000"/>
    <n v="850000"/>
    <n v="680000"/>
    <n v="170000"/>
  </r>
  <r>
    <x v="1202"/>
    <x v="4"/>
    <x v="4"/>
    <x v="0"/>
    <x v="1"/>
    <s v="Corporate"/>
    <s v="Store"/>
    <x v="0"/>
    <x v="0"/>
    <n v="85000"/>
    <n v="3"/>
    <x v="5"/>
    <n v="68000"/>
    <n v="255000"/>
    <n v="204000"/>
    <n v="51000"/>
  </r>
  <r>
    <x v="1203"/>
    <x v="4"/>
    <x v="4"/>
    <x v="0"/>
    <x v="2"/>
    <s v="Corporate"/>
    <s v="Online"/>
    <x v="3"/>
    <x v="2"/>
    <n v="300000"/>
    <n v="8"/>
    <x v="3"/>
    <n v="240000"/>
    <n v="2400000"/>
    <n v="1920000"/>
    <n v="480000"/>
  </r>
  <r>
    <x v="1204"/>
    <x v="4"/>
    <x v="4"/>
    <x v="0"/>
    <x v="0"/>
    <s v="Corporate"/>
    <s v="Online"/>
    <x v="7"/>
    <x v="2"/>
    <n v="420000"/>
    <n v="6"/>
    <x v="4"/>
    <n v="336000"/>
    <n v="2520000"/>
    <n v="2016000"/>
    <n v="504000"/>
  </r>
  <r>
    <x v="1205"/>
    <x v="4"/>
    <x v="4"/>
    <x v="2"/>
    <x v="2"/>
    <s v="Corporate"/>
    <s v="Online"/>
    <x v="8"/>
    <x v="2"/>
    <n v="250000"/>
    <n v="3"/>
    <x v="1"/>
    <n v="200000"/>
    <n v="750000"/>
    <n v="600000"/>
    <n v="150000"/>
  </r>
  <r>
    <x v="1206"/>
    <x v="4"/>
    <x v="4"/>
    <x v="0"/>
    <x v="3"/>
    <s v="Retail"/>
    <s v="Store"/>
    <x v="8"/>
    <x v="2"/>
    <n v="250000"/>
    <n v="8"/>
    <x v="2"/>
    <n v="200000"/>
    <n v="2000000"/>
    <n v="1600000"/>
    <n v="400000"/>
  </r>
  <r>
    <x v="1207"/>
    <x v="4"/>
    <x v="4"/>
    <x v="3"/>
    <x v="1"/>
    <s v="Corporate"/>
    <s v="Online"/>
    <x v="0"/>
    <x v="0"/>
    <n v="85000"/>
    <n v="3"/>
    <x v="2"/>
    <n v="68000"/>
    <n v="255000"/>
    <n v="204000"/>
    <n v="51000"/>
  </r>
  <r>
    <x v="1208"/>
    <x v="4"/>
    <x v="4"/>
    <x v="3"/>
    <x v="3"/>
    <s v="Corporate"/>
    <s v="Online"/>
    <x v="1"/>
    <x v="1"/>
    <n v="30000"/>
    <n v="7"/>
    <x v="2"/>
    <n v="24000"/>
    <n v="210000"/>
    <n v="168000"/>
    <n v="42000"/>
  </r>
  <r>
    <x v="1209"/>
    <x v="4"/>
    <x v="4"/>
    <x v="1"/>
    <x v="2"/>
    <s v="Retail"/>
    <s v="Store"/>
    <x v="2"/>
    <x v="1"/>
    <n v="60000"/>
    <n v="7"/>
    <x v="3"/>
    <n v="48000"/>
    <n v="420000"/>
    <n v="336000"/>
    <n v="84000"/>
  </r>
  <r>
    <x v="1210"/>
    <x v="4"/>
    <x v="4"/>
    <x v="2"/>
    <x v="0"/>
    <s v="Retail"/>
    <s v="Store"/>
    <x v="9"/>
    <x v="1"/>
    <n v="220000"/>
    <n v="10"/>
    <x v="1"/>
    <n v="176000"/>
    <n v="2200000"/>
    <n v="1760000"/>
    <n v="440000"/>
  </r>
  <r>
    <x v="1211"/>
    <x v="4"/>
    <x v="4"/>
    <x v="2"/>
    <x v="1"/>
    <s v="Retail"/>
    <s v="Store"/>
    <x v="8"/>
    <x v="2"/>
    <n v="250000"/>
    <n v="5"/>
    <x v="5"/>
    <n v="200000"/>
    <n v="1250000"/>
    <n v="1000000"/>
    <n v="250000"/>
  </r>
  <r>
    <x v="1212"/>
    <x v="4"/>
    <x v="4"/>
    <x v="2"/>
    <x v="3"/>
    <s v="Retail"/>
    <s v="Online"/>
    <x v="0"/>
    <x v="0"/>
    <n v="85000"/>
    <n v="7"/>
    <x v="5"/>
    <n v="68000"/>
    <n v="595000"/>
    <n v="476000"/>
    <n v="119000"/>
  </r>
  <r>
    <x v="1213"/>
    <x v="4"/>
    <x v="4"/>
    <x v="0"/>
    <x v="1"/>
    <s v="Corporate"/>
    <s v="Online"/>
    <x v="6"/>
    <x v="2"/>
    <n v="150000"/>
    <n v="4"/>
    <x v="2"/>
    <n v="120000"/>
    <n v="600000"/>
    <n v="480000"/>
    <n v="120000"/>
  </r>
  <r>
    <x v="1214"/>
    <x v="4"/>
    <x v="4"/>
    <x v="2"/>
    <x v="3"/>
    <s v="Retail"/>
    <s v="Online"/>
    <x v="7"/>
    <x v="2"/>
    <n v="420000"/>
    <n v="5"/>
    <x v="1"/>
    <n v="336000"/>
    <n v="2100000"/>
    <n v="1680000"/>
    <n v="420000"/>
  </r>
  <r>
    <x v="1215"/>
    <x v="4"/>
    <x v="4"/>
    <x v="1"/>
    <x v="2"/>
    <s v="Retail"/>
    <s v="Online"/>
    <x v="2"/>
    <x v="1"/>
    <n v="60000"/>
    <n v="5"/>
    <x v="0"/>
    <n v="48000"/>
    <n v="300000"/>
    <n v="240000"/>
    <n v="60000"/>
  </r>
  <r>
    <x v="1216"/>
    <x v="4"/>
    <x v="4"/>
    <x v="2"/>
    <x v="0"/>
    <s v="Corporate"/>
    <s v="Online"/>
    <x v="8"/>
    <x v="2"/>
    <n v="250000"/>
    <n v="10"/>
    <x v="1"/>
    <n v="200000"/>
    <n v="2500000"/>
    <n v="2000000"/>
    <n v="500000"/>
  </r>
  <r>
    <x v="1217"/>
    <x v="4"/>
    <x v="4"/>
    <x v="0"/>
    <x v="1"/>
    <s v="Retail"/>
    <s v="Online"/>
    <x v="2"/>
    <x v="1"/>
    <n v="60000"/>
    <n v="3"/>
    <x v="1"/>
    <n v="48000"/>
    <n v="180000"/>
    <n v="144000"/>
    <n v="36000"/>
  </r>
  <r>
    <x v="1218"/>
    <x v="4"/>
    <x v="4"/>
    <x v="0"/>
    <x v="3"/>
    <s v="Corporate"/>
    <s v="Online"/>
    <x v="9"/>
    <x v="1"/>
    <n v="220000"/>
    <n v="5"/>
    <x v="4"/>
    <n v="176000"/>
    <n v="1100000"/>
    <n v="880000"/>
    <n v="220000"/>
  </r>
  <r>
    <x v="1219"/>
    <x v="4"/>
    <x v="4"/>
    <x v="2"/>
    <x v="0"/>
    <s v="Corporate"/>
    <s v="Store"/>
    <x v="7"/>
    <x v="2"/>
    <n v="420000"/>
    <n v="3"/>
    <x v="2"/>
    <n v="336000"/>
    <n v="1260000"/>
    <n v="1008000"/>
    <n v="252000"/>
  </r>
  <r>
    <x v="1220"/>
    <x v="4"/>
    <x v="4"/>
    <x v="0"/>
    <x v="1"/>
    <s v="Corporate"/>
    <s v="Store"/>
    <x v="2"/>
    <x v="1"/>
    <n v="60000"/>
    <n v="7"/>
    <x v="3"/>
    <n v="48000"/>
    <n v="420000"/>
    <n v="336000"/>
    <n v="84000"/>
  </r>
  <r>
    <x v="1221"/>
    <x v="4"/>
    <x v="4"/>
    <x v="0"/>
    <x v="0"/>
    <s v="Retail"/>
    <s v="Online"/>
    <x v="9"/>
    <x v="1"/>
    <n v="220000"/>
    <n v="8"/>
    <x v="2"/>
    <n v="176000"/>
    <n v="1760000"/>
    <n v="1408000"/>
    <n v="352000"/>
  </r>
  <r>
    <x v="1222"/>
    <x v="4"/>
    <x v="4"/>
    <x v="0"/>
    <x v="3"/>
    <s v="Corporate"/>
    <s v="Store"/>
    <x v="8"/>
    <x v="2"/>
    <n v="250000"/>
    <n v="6"/>
    <x v="4"/>
    <n v="200000"/>
    <n v="1500000"/>
    <n v="1200000"/>
    <n v="300000"/>
  </r>
  <r>
    <x v="1223"/>
    <x v="4"/>
    <x v="4"/>
    <x v="0"/>
    <x v="1"/>
    <s v="Corporate"/>
    <s v="Online"/>
    <x v="6"/>
    <x v="2"/>
    <n v="150000"/>
    <n v="5"/>
    <x v="2"/>
    <n v="120000"/>
    <n v="750000"/>
    <n v="600000"/>
    <n v="150000"/>
  </r>
  <r>
    <x v="1224"/>
    <x v="4"/>
    <x v="4"/>
    <x v="3"/>
    <x v="1"/>
    <s v="Corporate"/>
    <s v="Online"/>
    <x v="0"/>
    <x v="0"/>
    <n v="85000"/>
    <n v="2"/>
    <x v="3"/>
    <n v="68000"/>
    <n v="170000"/>
    <n v="136000"/>
    <n v="34000"/>
  </r>
  <r>
    <x v="1225"/>
    <x v="4"/>
    <x v="4"/>
    <x v="2"/>
    <x v="0"/>
    <s v="Corporate"/>
    <s v="Store"/>
    <x v="0"/>
    <x v="0"/>
    <n v="85000"/>
    <n v="6"/>
    <x v="1"/>
    <n v="68000"/>
    <n v="510000"/>
    <n v="408000"/>
    <n v="102000"/>
  </r>
  <r>
    <x v="1226"/>
    <x v="4"/>
    <x v="4"/>
    <x v="0"/>
    <x v="3"/>
    <s v="Corporate"/>
    <s v="Online"/>
    <x v="6"/>
    <x v="2"/>
    <n v="150000"/>
    <n v="5"/>
    <x v="3"/>
    <n v="120000"/>
    <n v="750000"/>
    <n v="600000"/>
    <n v="150000"/>
  </r>
  <r>
    <x v="1227"/>
    <x v="4"/>
    <x v="4"/>
    <x v="0"/>
    <x v="2"/>
    <s v="Corporate"/>
    <s v="Store"/>
    <x v="7"/>
    <x v="2"/>
    <n v="420000"/>
    <n v="4"/>
    <x v="4"/>
    <n v="336000"/>
    <n v="1680000"/>
    <n v="1344000"/>
    <n v="336000"/>
  </r>
  <r>
    <x v="1228"/>
    <x v="4"/>
    <x v="4"/>
    <x v="1"/>
    <x v="2"/>
    <s v="Corporate"/>
    <s v="Store"/>
    <x v="3"/>
    <x v="2"/>
    <n v="300000"/>
    <n v="6"/>
    <x v="5"/>
    <n v="240000"/>
    <n v="1800000"/>
    <n v="1440000"/>
    <n v="360000"/>
  </r>
  <r>
    <x v="1229"/>
    <x v="5"/>
    <x v="5"/>
    <x v="3"/>
    <x v="0"/>
    <s v="Corporate"/>
    <s v="Online"/>
    <x v="2"/>
    <x v="1"/>
    <n v="60000"/>
    <n v="2"/>
    <x v="4"/>
    <n v="48000"/>
    <n v="120000"/>
    <n v="96000"/>
    <n v="24000"/>
  </r>
  <r>
    <x v="1230"/>
    <x v="5"/>
    <x v="5"/>
    <x v="3"/>
    <x v="3"/>
    <s v="Corporate"/>
    <s v="Online"/>
    <x v="0"/>
    <x v="0"/>
    <n v="85000"/>
    <n v="5"/>
    <x v="3"/>
    <n v="68000"/>
    <n v="425000"/>
    <n v="340000"/>
    <n v="85000"/>
  </r>
  <r>
    <x v="1231"/>
    <x v="5"/>
    <x v="5"/>
    <x v="0"/>
    <x v="3"/>
    <s v="Retail"/>
    <s v="Store"/>
    <x v="2"/>
    <x v="1"/>
    <n v="60000"/>
    <n v="3"/>
    <x v="1"/>
    <n v="48000"/>
    <n v="180000"/>
    <n v="144000"/>
    <n v="36000"/>
  </r>
  <r>
    <x v="1232"/>
    <x v="5"/>
    <x v="5"/>
    <x v="3"/>
    <x v="3"/>
    <s v="Corporate"/>
    <s v="Online"/>
    <x v="0"/>
    <x v="0"/>
    <n v="85000"/>
    <n v="7"/>
    <x v="3"/>
    <n v="68000"/>
    <n v="595000"/>
    <n v="476000"/>
    <n v="119000"/>
  </r>
  <r>
    <x v="1233"/>
    <x v="5"/>
    <x v="5"/>
    <x v="3"/>
    <x v="1"/>
    <s v="Corporate"/>
    <s v="Online"/>
    <x v="4"/>
    <x v="1"/>
    <n v="180000"/>
    <n v="5"/>
    <x v="5"/>
    <n v="144000"/>
    <n v="900000"/>
    <n v="720000"/>
    <n v="180000"/>
  </r>
  <r>
    <x v="1234"/>
    <x v="5"/>
    <x v="5"/>
    <x v="1"/>
    <x v="1"/>
    <s v="Retail"/>
    <s v="Online"/>
    <x v="7"/>
    <x v="2"/>
    <n v="420000"/>
    <n v="5"/>
    <x v="2"/>
    <n v="336000"/>
    <n v="2100000"/>
    <n v="1680000"/>
    <n v="420000"/>
  </r>
  <r>
    <x v="1235"/>
    <x v="5"/>
    <x v="5"/>
    <x v="1"/>
    <x v="3"/>
    <s v="Corporate"/>
    <s v="Store"/>
    <x v="0"/>
    <x v="0"/>
    <n v="85000"/>
    <n v="6"/>
    <x v="2"/>
    <n v="68000"/>
    <n v="510000"/>
    <n v="408000"/>
    <n v="102000"/>
  </r>
  <r>
    <x v="1236"/>
    <x v="5"/>
    <x v="5"/>
    <x v="3"/>
    <x v="0"/>
    <s v="Retail"/>
    <s v="Store"/>
    <x v="7"/>
    <x v="2"/>
    <n v="420000"/>
    <n v="7"/>
    <x v="0"/>
    <n v="336000"/>
    <n v="2940000"/>
    <n v="2352000"/>
    <n v="588000"/>
  </r>
  <r>
    <x v="1237"/>
    <x v="5"/>
    <x v="5"/>
    <x v="2"/>
    <x v="3"/>
    <s v="Corporate"/>
    <s v="Online"/>
    <x v="7"/>
    <x v="2"/>
    <n v="420000"/>
    <n v="9"/>
    <x v="5"/>
    <n v="336000"/>
    <n v="3780000"/>
    <n v="3024000"/>
    <n v="756000"/>
  </r>
  <r>
    <x v="1238"/>
    <x v="5"/>
    <x v="5"/>
    <x v="0"/>
    <x v="1"/>
    <s v="Corporate"/>
    <s v="Online"/>
    <x v="3"/>
    <x v="2"/>
    <n v="300000"/>
    <n v="3"/>
    <x v="4"/>
    <n v="240000"/>
    <n v="900000"/>
    <n v="720000"/>
    <n v="180000"/>
  </r>
  <r>
    <x v="1239"/>
    <x v="5"/>
    <x v="5"/>
    <x v="1"/>
    <x v="2"/>
    <s v="Retail"/>
    <s v="Online"/>
    <x v="0"/>
    <x v="0"/>
    <n v="85000"/>
    <n v="9"/>
    <x v="4"/>
    <n v="68000"/>
    <n v="765000"/>
    <n v="612000"/>
    <n v="153000"/>
  </r>
  <r>
    <x v="1240"/>
    <x v="5"/>
    <x v="5"/>
    <x v="2"/>
    <x v="0"/>
    <s v="Corporate"/>
    <s v="Store"/>
    <x v="9"/>
    <x v="1"/>
    <n v="220000"/>
    <n v="7"/>
    <x v="3"/>
    <n v="176000"/>
    <n v="1540000"/>
    <n v="1232000"/>
    <n v="308000"/>
  </r>
  <r>
    <x v="1241"/>
    <x v="5"/>
    <x v="5"/>
    <x v="0"/>
    <x v="1"/>
    <s v="Corporate"/>
    <s v="Store"/>
    <x v="3"/>
    <x v="2"/>
    <n v="300000"/>
    <n v="10"/>
    <x v="0"/>
    <n v="240000"/>
    <n v="3000000"/>
    <n v="2400000"/>
    <n v="600000"/>
  </r>
  <r>
    <x v="1242"/>
    <x v="5"/>
    <x v="5"/>
    <x v="0"/>
    <x v="0"/>
    <s v="Retail"/>
    <s v="Store"/>
    <x v="0"/>
    <x v="0"/>
    <n v="85000"/>
    <n v="8"/>
    <x v="4"/>
    <n v="68000"/>
    <n v="680000"/>
    <n v="544000"/>
    <n v="136000"/>
  </r>
  <r>
    <x v="1243"/>
    <x v="5"/>
    <x v="5"/>
    <x v="1"/>
    <x v="1"/>
    <s v="Corporate"/>
    <s v="Online"/>
    <x v="1"/>
    <x v="1"/>
    <n v="30000"/>
    <n v="3"/>
    <x v="4"/>
    <n v="24000"/>
    <n v="90000"/>
    <n v="72000"/>
    <n v="18000"/>
  </r>
  <r>
    <x v="1244"/>
    <x v="5"/>
    <x v="5"/>
    <x v="2"/>
    <x v="2"/>
    <s v="Corporate"/>
    <s v="Store"/>
    <x v="0"/>
    <x v="0"/>
    <n v="85000"/>
    <n v="8"/>
    <x v="3"/>
    <n v="68000"/>
    <n v="680000"/>
    <n v="544000"/>
    <n v="136000"/>
  </r>
  <r>
    <x v="1245"/>
    <x v="5"/>
    <x v="5"/>
    <x v="0"/>
    <x v="2"/>
    <s v="Retail"/>
    <s v="Store"/>
    <x v="4"/>
    <x v="1"/>
    <n v="180000"/>
    <n v="3"/>
    <x v="3"/>
    <n v="144000"/>
    <n v="540000"/>
    <n v="432000"/>
    <n v="108000"/>
  </r>
  <r>
    <x v="1246"/>
    <x v="5"/>
    <x v="5"/>
    <x v="3"/>
    <x v="0"/>
    <s v="Retail"/>
    <s v="Online"/>
    <x v="9"/>
    <x v="1"/>
    <n v="220000"/>
    <n v="7"/>
    <x v="4"/>
    <n v="176000"/>
    <n v="1540000"/>
    <n v="1232000"/>
    <n v="308000"/>
  </r>
  <r>
    <x v="1247"/>
    <x v="5"/>
    <x v="5"/>
    <x v="3"/>
    <x v="2"/>
    <s v="Retail"/>
    <s v="Online"/>
    <x v="4"/>
    <x v="1"/>
    <n v="180000"/>
    <n v="8"/>
    <x v="5"/>
    <n v="144000"/>
    <n v="1440000"/>
    <n v="1152000"/>
    <n v="288000"/>
  </r>
  <r>
    <x v="1248"/>
    <x v="5"/>
    <x v="5"/>
    <x v="2"/>
    <x v="3"/>
    <s v="Retail"/>
    <s v="Online"/>
    <x v="1"/>
    <x v="1"/>
    <n v="30000"/>
    <n v="1"/>
    <x v="2"/>
    <n v="24000"/>
    <n v="30000"/>
    <n v="24000"/>
    <n v="6000"/>
  </r>
  <r>
    <x v="1249"/>
    <x v="5"/>
    <x v="5"/>
    <x v="1"/>
    <x v="1"/>
    <s v="Retail"/>
    <s v="Online"/>
    <x v="1"/>
    <x v="1"/>
    <n v="30000"/>
    <n v="8"/>
    <x v="3"/>
    <n v="24000"/>
    <n v="240000"/>
    <n v="192000"/>
    <n v="48000"/>
  </r>
  <r>
    <x v="1250"/>
    <x v="5"/>
    <x v="5"/>
    <x v="2"/>
    <x v="0"/>
    <s v="Retail"/>
    <s v="Online"/>
    <x v="4"/>
    <x v="1"/>
    <n v="180000"/>
    <n v="3"/>
    <x v="5"/>
    <n v="144000"/>
    <n v="540000"/>
    <n v="432000"/>
    <n v="108000"/>
  </r>
  <r>
    <x v="1251"/>
    <x v="5"/>
    <x v="5"/>
    <x v="2"/>
    <x v="1"/>
    <s v="Retail"/>
    <s v="Store"/>
    <x v="0"/>
    <x v="0"/>
    <n v="85000"/>
    <n v="7"/>
    <x v="1"/>
    <n v="68000"/>
    <n v="595000"/>
    <n v="476000"/>
    <n v="119000"/>
  </r>
  <r>
    <x v="1252"/>
    <x v="5"/>
    <x v="5"/>
    <x v="0"/>
    <x v="1"/>
    <s v="Retail"/>
    <s v="Store"/>
    <x v="1"/>
    <x v="1"/>
    <n v="30000"/>
    <n v="7"/>
    <x v="2"/>
    <n v="24000"/>
    <n v="210000"/>
    <n v="168000"/>
    <n v="42000"/>
  </r>
  <r>
    <x v="1253"/>
    <x v="5"/>
    <x v="5"/>
    <x v="3"/>
    <x v="3"/>
    <s v="Retail"/>
    <s v="Store"/>
    <x v="2"/>
    <x v="1"/>
    <n v="60000"/>
    <n v="3"/>
    <x v="2"/>
    <n v="48000"/>
    <n v="180000"/>
    <n v="144000"/>
    <n v="36000"/>
  </r>
  <r>
    <x v="1254"/>
    <x v="5"/>
    <x v="5"/>
    <x v="3"/>
    <x v="3"/>
    <s v="Retail"/>
    <s v="Store"/>
    <x v="0"/>
    <x v="0"/>
    <n v="85000"/>
    <n v="5"/>
    <x v="0"/>
    <n v="68000"/>
    <n v="425000"/>
    <n v="340000"/>
    <n v="85000"/>
  </r>
  <r>
    <x v="1255"/>
    <x v="5"/>
    <x v="5"/>
    <x v="1"/>
    <x v="3"/>
    <s v="Corporate"/>
    <s v="Online"/>
    <x v="7"/>
    <x v="2"/>
    <n v="420000"/>
    <n v="1"/>
    <x v="0"/>
    <n v="336000"/>
    <n v="420000"/>
    <n v="336000"/>
    <n v="84000"/>
  </r>
  <r>
    <x v="1256"/>
    <x v="5"/>
    <x v="5"/>
    <x v="2"/>
    <x v="2"/>
    <s v="Corporate"/>
    <s v="Store"/>
    <x v="1"/>
    <x v="1"/>
    <n v="30000"/>
    <n v="5"/>
    <x v="0"/>
    <n v="24000"/>
    <n v="150000"/>
    <n v="120000"/>
    <n v="30000"/>
  </r>
  <r>
    <x v="1257"/>
    <x v="5"/>
    <x v="5"/>
    <x v="0"/>
    <x v="2"/>
    <s v="Retail"/>
    <s v="Online"/>
    <x v="8"/>
    <x v="2"/>
    <n v="250000"/>
    <n v="9"/>
    <x v="3"/>
    <n v="200000"/>
    <n v="2250000"/>
    <n v="1800000"/>
    <n v="450000"/>
  </r>
  <r>
    <x v="1258"/>
    <x v="5"/>
    <x v="5"/>
    <x v="3"/>
    <x v="1"/>
    <s v="Corporate"/>
    <s v="Online"/>
    <x v="6"/>
    <x v="2"/>
    <n v="150000"/>
    <n v="3"/>
    <x v="5"/>
    <n v="120000"/>
    <n v="450000"/>
    <n v="360000"/>
    <n v="90000"/>
  </r>
  <r>
    <x v="1259"/>
    <x v="6"/>
    <x v="6"/>
    <x v="1"/>
    <x v="1"/>
    <s v="Corporate"/>
    <s v="Online"/>
    <x v="3"/>
    <x v="2"/>
    <n v="300000"/>
    <n v="5"/>
    <x v="5"/>
    <n v="240000"/>
    <n v="1500000"/>
    <n v="1200000"/>
    <n v="300000"/>
  </r>
  <r>
    <x v="1260"/>
    <x v="6"/>
    <x v="6"/>
    <x v="0"/>
    <x v="0"/>
    <s v="Retail"/>
    <s v="Store"/>
    <x v="5"/>
    <x v="0"/>
    <n v="320000"/>
    <n v="5"/>
    <x v="0"/>
    <n v="256000"/>
    <n v="1600000"/>
    <n v="1280000"/>
    <n v="320000"/>
  </r>
  <r>
    <x v="1261"/>
    <x v="6"/>
    <x v="6"/>
    <x v="0"/>
    <x v="3"/>
    <s v="Corporate"/>
    <s v="Store"/>
    <x v="0"/>
    <x v="0"/>
    <n v="85000"/>
    <n v="10"/>
    <x v="4"/>
    <n v="68000"/>
    <n v="850000"/>
    <n v="680000"/>
    <n v="170000"/>
  </r>
  <r>
    <x v="1262"/>
    <x v="6"/>
    <x v="6"/>
    <x v="0"/>
    <x v="1"/>
    <s v="Retail"/>
    <s v="Store"/>
    <x v="4"/>
    <x v="1"/>
    <n v="180000"/>
    <n v="3"/>
    <x v="4"/>
    <n v="144000"/>
    <n v="540000"/>
    <n v="432000"/>
    <n v="108000"/>
  </r>
  <r>
    <x v="1263"/>
    <x v="6"/>
    <x v="6"/>
    <x v="1"/>
    <x v="3"/>
    <s v="Corporate"/>
    <s v="Store"/>
    <x v="1"/>
    <x v="1"/>
    <n v="30000"/>
    <n v="3"/>
    <x v="5"/>
    <n v="24000"/>
    <n v="90000"/>
    <n v="72000"/>
    <n v="18000"/>
  </r>
  <r>
    <x v="1264"/>
    <x v="6"/>
    <x v="6"/>
    <x v="3"/>
    <x v="1"/>
    <s v="Retail"/>
    <s v="Store"/>
    <x v="6"/>
    <x v="2"/>
    <n v="150000"/>
    <n v="5"/>
    <x v="4"/>
    <n v="120000"/>
    <n v="750000"/>
    <n v="600000"/>
    <n v="150000"/>
  </r>
  <r>
    <x v="1265"/>
    <x v="6"/>
    <x v="6"/>
    <x v="3"/>
    <x v="2"/>
    <s v="Retail"/>
    <s v="Online"/>
    <x v="3"/>
    <x v="2"/>
    <n v="300000"/>
    <n v="4"/>
    <x v="3"/>
    <n v="240000"/>
    <n v="1200000"/>
    <n v="960000"/>
    <n v="240000"/>
  </r>
  <r>
    <x v="1266"/>
    <x v="6"/>
    <x v="6"/>
    <x v="1"/>
    <x v="2"/>
    <s v="Corporate"/>
    <s v="Store"/>
    <x v="1"/>
    <x v="1"/>
    <n v="30000"/>
    <n v="8"/>
    <x v="4"/>
    <n v="24000"/>
    <n v="240000"/>
    <n v="192000"/>
    <n v="48000"/>
  </r>
  <r>
    <x v="1267"/>
    <x v="6"/>
    <x v="6"/>
    <x v="0"/>
    <x v="0"/>
    <s v="Retail"/>
    <s v="Store"/>
    <x v="9"/>
    <x v="1"/>
    <n v="220000"/>
    <n v="10"/>
    <x v="1"/>
    <n v="176000"/>
    <n v="2200000"/>
    <n v="1760000"/>
    <n v="440000"/>
  </r>
  <r>
    <x v="1268"/>
    <x v="6"/>
    <x v="6"/>
    <x v="2"/>
    <x v="2"/>
    <s v="Retail"/>
    <s v="Online"/>
    <x v="1"/>
    <x v="1"/>
    <n v="30000"/>
    <n v="10"/>
    <x v="2"/>
    <n v="24000"/>
    <n v="300000"/>
    <n v="240000"/>
    <n v="60000"/>
  </r>
  <r>
    <x v="1269"/>
    <x v="6"/>
    <x v="6"/>
    <x v="1"/>
    <x v="1"/>
    <s v="Corporate"/>
    <s v="Store"/>
    <x v="8"/>
    <x v="2"/>
    <n v="250000"/>
    <n v="5"/>
    <x v="0"/>
    <n v="200000"/>
    <n v="1250000"/>
    <n v="1000000"/>
    <n v="250000"/>
  </r>
  <r>
    <x v="1270"/>
    <x v="6"/>
    <x v="6"/>
    <x v="2"/>
    <x v="1"/>
    <s v="Corporate"/>
    <s v="Store"/>
    <x v="6"/>
    <x v="2"/>
    <n v="150000"/>
    <n v="8"/>
    <x v="0"/>
    <n v="120000"/>
    <n v="1200000"/>
    <n v="960000"/>
    <n v="240000"/>
  </r>
  <r>
    <x v="1271"/>
    <x v="6"/>
    <x v="6"/>
    <x v="2"/>
    <x v="0"/>
    <s v="Retail"/>
    <s v="Store"/>
    <x v="0"/>
    <x v="0"/>
    <n v="85000"/>
    <n v="1"/>
    <x v="0"/>
    <n v="68000"/>
    <n v="85000"/>
    <n v="68000"/>
    <n v="17000"/>
  </r>
  <r>
    <x v="1272"/>
    <x v="6"/>
    <x v="6"/>
    <x v="1"/>
    <x v="2"/>
    <s v="Retail"/>
    <s v="Online"/>
    <x v="9"/>
    <x v="1"/>
    <n v="220000"/>
    <n v="2"/>
    <x v="4"/>
    <n v="176000"/>
    <n v="440000"/>
    <n v="352000"/>
    <n v="88000"/>
  </r>
  <r>
    <x v="1273"/>
    <x v="6"/>
    <x v="6"/>
    <x v="2"/>
    <x v="1"/>
    <s v="Corporate"/>
    <s v="Online"/>
    <x v="2"/>
    <x v="1"/>
    <n v="60000"/>
    <n v="9"/>
    <x v="2"/>
    <n v="48000"/>
    <n v="540000"/>
    <n v="432000"/>
    <n v="108000"/>
  </r>
  <r>
    <x v="1274"/>
    <x v="6"/>
    <x v="6"/>
    <x v="3"/>
    <x v="2"/>
    <s v="Retail"/>
    <s v="Online"/>
    <x v="8"/>
    <x v="2"/>
    <n v="250000"/>
    <n v="9"/>
    <x v="3"/>
    <n v="200000"/>
    <n v="2250000"/>
    <n v="1800000"/>
    <n v="450000"/>
  </r>
  <r>
    <x v="1275"/>
    <x v="6"/>
    <x v="6"/>
    <x v="1"/>
    <x v="0"/>
    <s v="Retail"/>
    <s v="Store"/>
    <x v="0"/>
    <x v="0"/>
    <n v="85000"/>
    <n v="7"/>
    <x v="4"/>
    <n v="68000"/>
    <n v="595000"/>
    <n v="476000"/>
    <n v="119000"/>
  </r>
  <r>
    <x v="1276"/>
    <x v="6"/>
    <x v="6"/>
    <x v="2"/>
    <x v="2"/>
    <s v="Retail"/>
    <s v="Store"/>
    <x v="6"/>
    <x v="2"/>
    <n v="150000"/>
    <n v="7"/>
    <x v="3"/>
    <n v="120000"/>
    <n v="1050000"/>
    <n v="840000"/>
    <n v="210000"/>
  </r>
  <r>
    <x v="1277"/>
    <x v="6"/>
    <x v="6"/>
    <x v="1"/>
    <x v="2"/>
    <s v="Corporate"/>
    <s v="Online"/>
    <x v="1"/>
    <x v="1"/>
    <n v="30000"/>
    <n v="3"/>
    <x v="1"/>
    <n v="24000"/>
    <n v="90000"/>
    <n v="72000"/>
    <n v="18000"/>
  </r>
  <r>
    <x v="1278"/>
    <x v="6"/>
    <x v="6"/>
    <x v="1"/>
    <x v="2"/>
    <s v="Corporate"/>
    <s v="Store"/>
    <x v="1"/>
    <x v="1"/>
    <n v="30000"/>
    <n v="3"/>
    <x v="5"/>
    <n v="24000"/>
    <n v="90000"/>
    <n v="72000"/>
    <n v="18000"/>
  </r>
  <r>
    <x v="1279"/>
    <x v="6"/>
    <x v="6"/>
    <x v="3"/>
    <x v="3"/>
    <s v="Retail"/>
    <s v="Online"/>
    <x v="1"/>
    <x v="1"/>
    <n v="30000"/>
    <n v="4"/>
    <x v="4"/>
    <n v="24000"/>
    <n v="120000"/>
    <n v="96000"/>
    <n v="24000"/>
  </r>
  <r>
    <x v="1280"/>
    <x v="6"/>
    <x v="6"/>
    <x v="2"/>
    <x v="1"/>
    <s v="Retail"/>
    <s v="Store"/>
    <x v="2"/>
    <x v="1"/>
    <n v="60000"/>
    <n v="9"/>
    <x v="1"/>
    <n v="48000"/>
    <n v="540000"/>
    <n v="432000"/>
    <n v="108000"/>
  </r>
  <r>
    <x v="1281"/>
    <x v="6"/>
    <x v="6"/>
    <x v="2"/>
    <x v="3"/>
    <s v="Corporate"/>
    <s v="Online"/>
    <x v="2"/>
    <x v="1"/>
    <n v="60000"/>
    <n v="9"/>
    <x v="3"/>
    <n v="48000"/>
    <n v="540000"/>
    <n v="432000"/>
    <n v="108000"/>
  </r>
  <r>
    <x v="1282"/>
    <x v="6"/>
    <x v="6"/>
    <x v="2"/>
    <x v="0"/>
    <s v="Corporate"/>
    <s v="Online"/>
    <x v="7"/>
    <x v="2"/>
    <n v="420000"/>
    <n v="2"/>
    <x v="2"/>
    <n v="336000"/>
    <n v="840000"/>
    <n v="672000"/>
    <n v="168000"/>
  </r>
  <r>
    <x v="1283"/>
    <x v="6"/>
    <x v="6"/>
    <x v="3"/>
    <x v="2"/>
    <s v="Retail"/>
    <s v="Store"/>
    <x v="5"/>
    <x v="0"/>
    <n v="320000"/>
    <n v="1"/>
    <x v="5"/>
    <n v="256000"/>
    <n v="320000"/>
    <n v="256000"/>
    <n v="64000"/>
  </r>
  <r>
    <x v="1284"/>
    <x v="6"/>
    <x v="6"/>
    <x v="0"/>
    <x v="0"/>
    <s v="Retail"/>
    <s v="Store"/>
    <x v="1"/>
    <x v="1"/>
    <n v="30000"/>
    <n v="5"/>
    <x v="1"/>
    <n v="24000"/>
    <n v="150000"/>
    <n v="120000"/>
    <n v="30000"/>
  </r>
  <r>
    <x v="1285"/>
    <x v="6"/>
    <x v="6"/>
    <x v="0"/>
    <x v="2"/>
    <s v="Corporate"/>
    <s v="Store"/>
    <x v="0"/>
    <x v="0"/>
    <n v="85000"/>
    <n v="5"/>
    <x v="5"/>
    <n v="68000"/>
    <n v="425000"/>
    <n v="340000"/>
    <n v="85000"/>
  </r>
  <r>
    <x v="1286"/>
    <x v="6"/>
    <x v="6"/>
    <x v="0"/>
    <x v="2"/>
    <s v="Corporate"/>
    <s v="Online"/>
    <x v="7"/>
    <x v="2"/>
    <n v="420000"/>
    <n v="10"/>
    <x v="3"/>
    <n v="336000"/>
    <n v="4200000"/>
    <n v="3360000"/>
    <n v="840000"/>
  </r>
  <r>
    <x v="1287"/>
    <x v="6"/>
    <x v="6"/>
    <x v="1"/>
    <x v="0"/>
    <s v="Corporate"/>
    <s v="Online"/>
    <x v="8"/>
    <x v="2"/>
    <n v="250000"/>
    <n v="8"/>
    <x v="4"/>
    <n v="200000"/>
    <n v="2000000"/>
    <n v="1600000"/>
    <n v="400000"/>
  </r>
  <r>
    <x v="1288"/>
    <x v="6"/>
    <x v="6"/>
    <x v="0"/>
    <x v="1"/>
    <s v="Corporate"/>
    <s v="Store"/>
    <x v="8"/>
    <x v="2"/>
    <n v="250000"/>
    <n v="10"/>
    <x v="3"/>
    <n v="200000"/>
    <n v="2500000"/>
    <n v="2000000"/>
    <n v="500000"/>
  </r>
  <r>
    <x v="1289"/>
    <x v="6"/>
    <x v="6"/>
    <x v="1"/>
    <x v="1"/>
    <s v="Corporate"/>
    <s v="Store"/>
    <x v="6"/>
    <x v="2"/>
    <n v="150000"/>
    <n v="4"/>
    <x v="2"/>
    <n v="120000"/>
    <n v="600000"/>
    <n v="480000"/>
    <n v="120000"/>
  </r>
  <r>
    <x v="1290"/>
    <x v="7"/>
    <x v="7"/>
    <x v="1"/>
    <x v="1"/>
    <s v="Corporate"/>
    <s v="Online"/>
    <x v="4"/>
    <x v="1"/>
    <n v="180000"/>
    <n v="6"/>
    <x v="2"/>
    <n v="144000"/>
    <n v="1080000"/>
    <n v="864000"/>
    <n v="216000"/>
  </r>
  <r>
    <x v="1291"/>
    <x v="7"/>
    <x v="7"/>
    <x v="1"/>
    <x v="2"/>
    <s v="Corporate"/>
    <s v="Store"/>
    <x v="1"/>
    <x v="1"/>
    <n v="30000"/>
    <n v="6"/>
    <x v="2"/>
    <n v="24000"/>
    <n v="180000"/>
    <n v="144000"/>
    <n v="36000"/>
  </r>
  <r>
    <x v="1292"/>
    <x v="7"/>
    <x v="7"/>
    <x v="0"/>
    <x v="1"/>
    <s v="Corporate"/>
    <s v="Online"/>
    <x v="8"/>
    <x v="2"/>
    <n v="250000"/>
    <n v="5"/>
    <x v="3"/>
    <n v="200000"/>
    <n v="1250000"/>
    <n v="1000000"/>
    <n v="250000"/>
  </r>
  <r>
    <x v="1293"/>
    <x v="7"/>
    <x v="7"/>
    <x v="2"/>
    <x v="1"/>
    <s v="Corporate"/>
    <s v="Online"/>
    <x v="5"/>
    <x v="0"/>
    <n v="320000"/>
    <n v="2"/>
    <x v="5"/>
    <n v="256000"/>
    <n v="640000"/>
    <n v="512000"/>
    <n v="128000"/>
  </r>
  <r>
    <x v="1294"/>
    <x v="7"/>
    <x v="7"/>
    <x v="1"/>
    <x v="1"/>
    <s v="Corporate"/>
    <s v="Store"/>
    <x v="3"/>
    <x v="2"/>
    <n v="300000"/>
    <n v="10"/>
    <x v="3"/>
    <n v="240000"/>
    <n v="3000000"/>
    <n v="2400000"/>
    <n v="600000"/>
  </r>
  <r>
    <x v="1295"/>
    <x v="7"/>
    <x v="7"/>
    <x v="0"/>
    <x v="1"/>
    <s v="Corporate"/>
    <s v="Store"/>
    <x v="3"/>
    <x v="2"/>
    <n v="300000"/>
    <n v="7"/>
    <x v="4"/>
    <n v="240000"/>
    <n v="2100000"/>
    <n v="1680000"/>
    <n v="420000"/>
  </r>
  <r>
    <x v="1296"/>
    <x v="7"/>
    <x v="7"/>
    <x v="3"/>
    <x v="0"/>
    <s v="Corporate"/>
    <s v="Online"/>
    <x v="4"/>
    <x v="1"/>
    <n v="180000"/>
    <n v="1"/>
    <x v="5"/>
    <n v="144000"/>
    <n v="180000"/>
    <n v="144000"/>
    <n v="36000"/>
  </r>
  <r>
    <x v="1297"/>
    <x v="7"/>
    <x v="7"/>
    <x v="1"/>
    <x v="2"/>
    <s v="Corporate"/>
    <s v="Store"/>
    <x v="3"/>
    <x v="2"/>
    <n v="300000"/>
    <n v="10"/>
    <x v="0"/>
    <n v="240000"/>
    <n v="3000000"/>
    <n v="2400000"/>
    <n v="600000"/>
  </r>
  <r>
    <x v="1298"/>
    <x v="7"/>
    <x v="7"/>
    <x v="0"/>
    <x v="3"/>
    <s v="Corporate"/>
    <s v="Online"/>
    <x v="4"/>
    <x v="1"/>
    <n v="180000"/>
    <n v="7"/>
    <x v="4"/>
    <n v="144000"/>
    <n v="1260000"/>
    <n v="1008000"/>
    <n v="252000"/>
  </r>
  <r>
    <x v="1299"/>
    <x v="7"/>
    <x v="7"/>
    <x v="0"/>
    <x v="1"/>
    <s v="Corporate"/>
    <s v="Online"/>
    <x v="1"/>
    <x v="1"/>
    <n v="30000"/>
    <n v="7"/>
    <x v="2"/>
    <n v="24000"/>
    <n v="210000"/>
    <n v="168000"/>
    <n v="42000"/>
  </r>
  <r>
    <x v="1300"/>
    <x v="7"/>
    <x v="7"/>
    <x v="1"/>
    <x v="0"/>
    <s v="Corporate"/>
    <s v="Online"/>
    <x v="1"/>
    <x v="1"/>
    <n v="30000"/>
    <n v="6"/>
    <x v="1"/>
    <n v="24000"/>
    <n v="180000"/>
    <n v="144000"/>
    <n v="36000"/>
  </r>
  <r>
    <x v="1301"/>
    <x v="7"/>
    <x v="7"/>
    <x v="1"/>
    <x v="1"/>
    <s v="Corporate"/>
    <s v="Online"/>
    <x v="0"/>
    <x v="0"/>
    <n v="85000"/>
    <n v="7"/>
    <x v="3"/>
    <n v="68000"/>
    <n v="595000"/>
    <n v="476000"/>
    <n v="119000"/>
  </r>
  <r>
    <x v="1302"/>
    <x v="7"/>
    <x v="7"/>
    <x v="1"/>
    <x v="0"/>
    <s v="Corporate"/>
    <s v="Store"/>
    <x v="8"/>
    <x v="2"/>
    <n v="250000"/>
    <n v="3"/>
    <x v="3"/>
    <n v="200000"/>
    <n v="750000"/>
    <n v="600000"/>
    <n v="150000"/>
  </r>
  <r>
    <x v="1303"/>
    <x v="7"/>
    <x v="7"/>
    <x v="0"/>
    <x v="1"/>
    <s v="Corporate"/>
    <s v="Online"/>
    <x v="5"/>
    <x v="0"/>
    <n v="320000"/>
    <n v="7"/>
    <x v="2"/>
    <n v="256000"/>
    <n v="2240000"/>
    <n v="1792000"/>
    <n v="448000"/>
  </r>
  <r>
    <x v="1304"/>
    <x v="7"/>
    <x v="7"/>
    <x v="2"/>
    <x v="2"/>
    <s v="Corporate"/>
    <s v="Store"/>
    <x v="1"/>
    <x v="1"/>
    <n v="30000"/>
    <n v="7"/>
    <x v="3"/>
    <n v="24000"/>
    <n v="210000"/>
    <n v="168000"/>
    <n v="42000"/>
  </r>
  <r>
    <x v="1305"/>
    <x v="7"/>
    <x v="7"/>
    <x v="0"/>
    <x v="2"/>
    <s v="Corporate"/>
    <s v="Online"/>
    <x v="5"/>
    <x v="0"/>
    <n v="320000"/>
    <n v="8"/>
    <x v="0"/>
    <n v="256000"/>
    <n v="2560000"/>
    <n v="2048000"/>
    <n v="512000"/>
  </r>
  <r>
    <x v="1306"/>
    <x v="7"/>
    <x v="7"/>
    <x v="3"/>
    <x v="3"/>
    <s v="Corporate"/>
    <s v="Online"/>
    <x v="5"/>
    <x v="0"/>
    <n v="320000"/>
    <n v="7"/>
    <x v="4"/>
    <n v="256000"/>
    <n v="2240000"/>
    <n v="1792000"/>
    <n v="448000"/>
  </r>
  <r>
    <x v="1307"/>
    <x v="7"/>
    <x v="7"/>
    <x v="1"/>
    <x v="1"/>
    <s v="Corporate"/>
    <s v="Store"/>
    <x v="2"/>
    <x v="1"/>
    <n v="60000"/>
    <n v="2"/>
    <x v="2"/>
    <n v="48000"/>
    <n v="120000"/>
    <n v="96000"/>
    <n v="24000"/>
  </r>
  <r>
    <x v="1308"/>
    <x v="7"/>
    <x v="7"/>
    <x v="0"/>
    <x v="0"/>
    <s v="Corporate"/>
    <s v="Store"/>
    <x v="9"/>
    <x v="1"/>
    <n v="220000"/>
    <n v="8"/>
    <x v="4"/>
    <n v="176000"/>
    <n v="1760000"/>
    <n v="1408000"/>
    <n v="352000"/>
  </r>
  <r>
    <x v="1309"/>
    <x v="7"/>
    <x v="7"/>
    <x v="2"/>
    <x v="2"/>
    <s v="Corporate"/>
    <s v="Online"/>
    <x v="2"/>
    <x v="1"/>
    <n v="60000"/>
    <n v="2"/>
    <x v="2"/>
    <n v="48000"/>
    <n v="120000"/>
    <n v="96000"/>
    <n v="24000"/>
  </r>
  <r>
    <x v="1310"/>
    <x v="7"/>
    <x v="7"/>
    <x v="0"/>
    <x v="2"/>
    <s v="Corporate"/>
    <s v="Online"/>
    <x v="5"/>
    <x v="0"/>
    <n v="320000"/>
    <n v="2"/>
    <x v="5"/>
    <n v="256000"/>
    <n v="640000"/>
    <n v="512000"/>
    <n v="128000"/>
  </r>
  <r>
    <x v="1311"/>
    <x v="7"/>
    <x v="7"/>
    <x v="1"/>
    <x v="0"/>
    <s v="Corporate"/>
    <s v="Store"/>
    <x v="1"/>
    <x v="1"/>
    <n v="30000"/>
    <n v="2"/>
    <x v="3"/>
    <n v="24000"/>
    <n v="60000"/>
    <n v="48000"/>
    <n v="12000"/>
  </r>
  <r>
    <x v="1312"/>
    <x v="7"/>
    <x v="7"/>
    <x v="3"/>
    <x v="1"/>
    <s v="Corporate"/>
    <s v="Store"/>
    <x v="1"/>
    <x v="1"/>
    <n v="30000"/>
    <n v="7"/>
    <x v="3"/>
    <n v="24000"/>
    <n v="210000"/>
    <n v="168000"/>
    <n v="42000"/>
  </r>
  <r>
    <x v="1313"/>
    <x v="7"/>
    <x v="7"/>
    <x v="3"/>
    <x v="0"/>
    <s v="Corporate"/>
    <s v="Store"/>
    <x v="8"/>
    <x v="2"/>
    <n v="250000"/>
    <n v="10"/>
    <x v="3"/>
    <n v="200000"/>
    <n v="2500000"/>
    <n v="2000000"/>
    <n v="500000"/>
  </r>
  <r>
    <x v="1314"/>
    <x v="7"/>
    <x v="7"/>
    <x v="1"/>
    <x v="3"/>
    <s v="Corporate"/>
    <s v="Store"/>
    <x v="3"/>
    <x v="2"/>
    <n v="300000"/>
    <n v="9"/>
    <x v="2"/>
    <n v="240000"/>
    <n v="2700000"/>
    <n v="2160000"/>
    <n v="540000"/>
  </r>
  <r>
    <x v="1315"/>
    <x v="7"/>
    <x v="7"/>
    <x v="2"/>
    <x v="2"/>
    <s v="Corporate"/>
    <s v="Store"/>
    <x v="0"/>
    <x v="0"/>
    <n v="85000"/>
    <n v="6"/>
    <x v="4"/>
    <n v="68000"/>
    <n v="510000"/>
    <n v="408000"/>
    <n v="102000"/>
  </r>
  <r>
    <x v="1316"/>
    <x v="7"/>
    <x v="7"/>
    <x v="0"/>
    <x v="0"/>
    <s v="Corporate"/>
    <s v="Store"/>
    <x v="1"/>
    <x v="1"/>
    <n v="30000"/>
    <n v="4"/>
    <x v="0"/>
    <n v="24000"/>
    <n v="120000"/>
    <n v="96000"/>
    <n v="24000"/>
  </r>
  <r>
    <x v="1317"/>
    <x v="7"/>
    <x v="7"/>
    <x v="2"/>
    <x v="3"/>
    <s v="Corporate"/>
    <s v="Online"/>
    <x v="3"/>
    <x v="2"/>
    <n v="300000"/>
    <n v="4"/>
    <x v="0"/>
    <n v="240000"/>
    <n v="1200000"/>
    <n v="960000"/>
    <n v="240000"/>
  </r>
  <r>
    <x v="1318"/>
    <x v="7"/>
    <x v="7"/>
    <x v="2"/>
    <x v="3"/>
    <s v="Corporate"/>
    <s v="Store"/>
    <x v="9"/>
    <x v="1"/>
    <n v="220000"/>
    <n v="5"/>
    <x v="3"/>
    <n v="176000"/>
    <n v="1100000"/>
    <n v="880000"/>
    <n v="220000"/>
  </r>
  <r>
    <x v="1319"/>
    <x v="7"/>
    <x v="7"/>
    <x v="1"/>
    <x v="3"/>
    <s v="Corporate"/>
    <s v="Store"/>
    <x v="9"/>
    <x v="1"/>
    <n v="220000"/>
    <n v="4"/>
    <x v="3"/>
    <n v="176000"/>
    <n v="880000"/>
    <n v="704000"/>
    <n v="176000"/>
  </r>
  <r>
    <x v="1320"/>
    <x v="7"/>
    <x v="7"/>
    <x v="1"/>
    <x v="3"/>
    <s v="Corporate"/>
    <s v="Online"/>
    <x v="1"/>
    <x v="1"/>
    <n v="30000"/>
    <n v="1"/>
    <x v="5"/>
    <n v="24000"/>
    <n v="30000"/>
    <n v="24000"/>
    <n v="6000"/>
  </r>
  <r>
    <x v="1321"/>
    <x v="8"/>
    <x v="8"/>
    <x v="2"/>
    <x v="1"/>
    <s v="Retail"/>
    <s v="Online"/>
    <x v="7"/>
    <x v="2"/>
    <n v="420000"/>
    <n v="9"/>
    <x v="1"/>
    <n v="336000"/>
    <n v="3780000"/>
    <n v="3024000"/>
    <n v="756000"/>
  </r>
  <r>
    <x v="1322"/>
    <x v="8"/>
    <x v="8"/>
    <x v="0"/>
    <x v="1"/>
    <s v="Corporate"/>
    <s v="Online"/>
    <x v="2"/>
    <x v="1"/>
    <n v="60000"/>
    <n v="6"/>
    <x v="1"/>
    <n v="48000"/>
    <n v="360000"/>
    <n v="288000"/>
    <n v="72000"/>
  </r>
  <r>
    <x v="1323"/>
    <x v="8"/>
    <x v="8"/>
    <x v="0"/>
    <x v="3"/>
    <s v="Retail"/>
    <s v="Online"/>
    <x v="4"/>
    <x v="1"/>
    <n v="180000"/>
    <n v="2"/>
    <x v="2"/>
    <n v="144000"/>
    <n v="360000"/>
    <n v="288000"/>
    <n v="72000"/>
  </r>
  <r>
    <x v="1324"/>
    <x v="8"/>
    <x v="8"/>
    <x v="1"/>
    <x v="1"/>
    <s v="Retail"/>
    <s v="Online"/>
    <x v="0"/>
    <x v="0"/>
    <n v="85000"/>
    <n v="1"/>
    <x v="1"/>
    <n v="68000"/>
    <n v="85000"/>
    <n v="68000"/>
    <n v="17000"/>
  </r>
  <r>
    <x v="1325"/>
    <x v="8"/>
    <x v="8"/>
    <x v="0"/>
    <x v="2"/>
    <s v="Retail"/>
    <s v="Store"/>
    <x v="8"/>
    <x v="2"/>
    <n v="250000"/>
    <n v="2"/>
    <x v="0"/>
    <n v="200000"/>
    <n v="500000"/>
    <n v="400000"/>
    <n v="100000"/>
  </r>
  <r>
    <x v="1326"/>
    <x v="8"/>
    <x v="8"/>
    <x v="3"/>
    <x v="3"/>
    <s v="Retail"/>
    <s v="Store"/>
    <x v="1"/>
    <x v="1"/>
    <n v="30000"/>
    <n v="7"/>
    <x v="3"/>
    <n v="24000"/>
    <n v="210000"/>
    <n v="168000"/>
    <n v="42000"/>
  </r>
  <r>
    <x v="1327"/>
    <x v="8"/>
    <x v="8"/>
    <x v="0"/>
    <x v="1"/>
    <s v="Retail"/>
    <s v="Store"/>
    <x v="7"/>
    <x v="2"/>
    <n v="420000"/>
    <n v="9"/>
    <x v="3"/>
    <n v="336000"/>
    <n v="3780000"/>
    <n v="3024000"/>
    <n v="756000"/>
  </r>
  <r>
    <x v="1328"/>
    <x v="8"/>
    <x v="8"/>
    <x v="2"/>
    <x v="3"/>
    <s v="Retail"/>
    <s v="Online"/>
    <x v="2"/>
    <x v="1"/>
    <n v="60000"/>
    <n v="7"/>
    <x v="1"/>
    <n v="48000"/>
    <n v="420000"/>
    <n v="336000"/>
    <n v="84000"/>
  </r>
  <r>
    <x v="1329"/>
    <x v="8"/>
    <x v="8"/>
    <x v="3"/>
    <x v="2"/>
    <s v="Retail"/>
    <s v="Store"/>
    <x v="3"/>
    <x v="2"/>
    <n v="300000"/>
    <n v="7"/>
    <x v="3"/>
    <n v="240000"/>
    <n v="2100000"/>
    <n v="1680000"/>
    <n v="420000"/>
  </r>
  <r>
    <x v="1330"/>
    <x v="8"/>
    <x v="8"/>
    <x v="1"/>
    <x v="0"/>
    <s v="Corporate"/>
    <s v="Online"/>
    <x v="6"/>
    <x v="2"/>
    <n v="150000"/>
    <n v="9"/>
    <x v="5"/>
    <n v="120000"/>
    <n v="1350000"/>
    <n v="1080000"/>
    <n v="270000"/>
  </r>
  <r>
    <x v="1331"/>
    <x v="8"/>
    <x v="8"/>
    <x v="2"/>
    <x v="2"/>
    <s v="Corporate"/>
    <s v="Online"/>
    <x v="3"/>
    <x v="2"/>
    <n v="300000"/>
    <n v="7"/>
    <x v="2"/>
    <n v="240000"/>
    <n v="2100000"/>
    <n v="1680000"/>
    <n v="420000"/>
  </r>
  <r>
    <x v="1332"/>
    <x v="8"/>
    <x v="8"/>
    <x v="0"/>
    <x v="1"/>
    <s v="Retail"/>
    <s v="Online"/>
    <x v="8"/>
    <x v="2"/>
    <n v="250000"/>
    <n v="1"/>
    <x v="4"/>
    <n v="200000"/>
    <n v="250000"/>
    <n v="200000"/>
    <n v="50000"/>
  </r>
  <r>
    <x v="1333"/>
    <x v="8"/>
    <x v="8"/>
    <x v="0"/>
    <x v="1"/>
    <s v="Corporate"/>
    <s v="Online"/>
    <x v="8"/>
    <x v="2"/>
    <n v="250000"/>
    <n v="6"/>
    <x v="2"/>
    <n v="200000"/>
    <n v="1500000"/>
    <n v="1200000"/>
    <n v="300000"/>
  </r>
  <r>
    <x v="1334"/>
    <x v="8"/>
    <x v="8"/>
    <x v="1"/>
    <x v="2"/>
    <s v="Corporate"/>
    <s v="Store"/>
    <x v="7"/>
    <x v="2"/>
    <n v="420000"/>
    <n v="9"/>
    <x v="5"/>
    <n v="336000"/>
    <n v="3780000"/>
    <n v="3024000"/>
    <n v="756000"/>
  </r>
  <r>
    <x v="1335"/>
    <x v="8"/>
    <x v="8"/>
    <x v="2"/>
    <x v="3"/>
    <s v="Corporate"/>
    <s v="Online"/>
    <x v="4"/>
    <x v="1"/>
    <n v="180000"/>
    <n v="6"/>
    <x v="1"/>
    <n v="144000"/>
    <n v="1080000"/>
    <n v="864000"/>
    <n v="216000"/>
  </r>
  <r>
    <x v="1336"/>
    <x v="8"/>
    <x v="8"/>
    <x v="2"/>
    <x v="2"/>
    <s v="Corporate"/>
    <s v="Online"/>
    <x v="0"/>
    <x v="0"/>
    <n v="85000"/>
    <n v="5"/>
    <x v="5"/>
    <n v="68000"/>
    <n v="425000"/>
    <n v="340000"/>
    <n v="85000"/>
  </r>
  <r>
    <x v="1337"/>
    <x v="8"/>
    <x v="8"/>
    <x v="0"/>
    <x v="2"/>
    <s v="Corporate"/>
    <s v="Online"/>
    <x v="9"/>
    <x v="1"/>
    <n v="220000"/>
    <n v="5"/>
    <x v="5"/>
    <n v="176000"/>
    <n v="1100000"/>
    <n v="880000"/>
    <n v="220000"/>
  </r>
  <r>
    <x v="1338"/>
    <x v="8"/>
    <x v="8"/>
    <x v="1"/>
    <x v="3"/>
    <s v="Retail"/>
    <s v="Online"/>
    <x v="2"/>
    <x v="1"/>
    <n v="60000"/>
    <n v="8"/>
    <x v="4"/>
    <n v="48000"/>
    <n v="480000"/>
    <n v="384000"/>
    <n v="96000"/>
  </r>
  <r>
    <x v="1339"/>
    <x v="8"/>
    <x v="8"/>
    <x v="1"/>
    <x v="3"/>
    <s v="Corporate"/>
    <s v="Store"/>
    <x v="0"/>
    <x v="0"/>
    <n v="85000"/>
    <n v="10"/>
    <x v="3"/>
    <n v="68000"/>
    <n v="850000"/>
    <n v="680000"/>
    <n v="170000"/>
  </r>
  <r>
    <x v="1340"/>
    <x v="8"/>
    <x v="8"/>
    <x v="3"/>
    <x v="1"/>
    <s v="Retail"/>
    <s v="Store"/>
    <x v="1"/>
    <x v="1"/>
    <n v="30000"/>
    <n v="6"/>
    <x v="5"/>
    <n v="24000"/>
    <n v="180000"/>
    <n v="144000"/>
    <n v="36000"/>
  </r>
  <r>
    <x v="1341"/>
    <x v="8"/>
    <x v="8"/>
    <x v="0"/>
    <x v="1"/>
    <s v="Corporate"/>
    <s v="Store"/>
    <x v="5"/>
    <x v="0"/>
    <n v="320000"/>
    <n v="10"/>
    <x v="1"/>
    <n v="256000"/>
    <n v="3200000"/>
    <n v="2560000"/>
    <n v="640000"/>
  </r>
  <r>
    <x v="1342"/>
    <x v="8"/>
    <x v="8"/>
    <x v="2"/>
    <x v="3"/>
    <s v="Corporate"/>
    <s v="Store"/>
    <x v="2"/>
    <x v="1"/>
    <n v="60000"/>
    <n v="2"/>
    <x v="1"/>
    <n v="48000"/>
    <n v="120000"/>
    <n v="96000"/>
    <n v="24000"/>
  </r>
  <r>
    <x v="1343"/>
    <x v="8"/>
    <x v="8"/>
    <x v="1"/>
    <x v="1"/>
    <s v="Corporate"/>
    <s v="Store"/>
    <x v="7"/>
    <x v="2"/>
    <n v="420000"/>
    <n v="3"/>
    <x v="0"/>
    <n v="336000"/>
    <n v="1260000"/>
    <n v="1008000"/>
    <n v="252000"/>
  </r>
  <r>
    <x v="1344"/>
    <x v="8"/>
    <x v="8"/>
    <x v="1"/>
    <x v="1"/>
    <s v="Retail"/>
    <s v="Online"/>
    <x v="6"/>
    <x v="2"/>
    <n v="150000"/>
    <n v="5"/>
    <x v="2"/>
    <n v="120000"/>
    <n v="750000"/>
    <n v="600000"/>
    <n v="150000"/>
  </r>
  <r>
    <x v="1345"/>
    <x v="8"/>
    <x v="8"/>
    <x v="2"/>
    <x v="1"/>
    <s v="Retail"/>
    <s v="Store"/>
    <x v="6"/>
    <x v="2"/>
    <n v="150000"/>
    <n v="9"/>
    <x v="3"/>
    <n v="120000"/>
    <n v="1350000"/>
    <n v="1080000"/>
    <n v="270000"/>
  </r>
  <r>
    <x v="1346"/>
    <x v="8"/>
    <x v="8"/>
    <x v="2"/>
    <x v="0"/>
    <s v="Corporate"/>
    <s v="Store"/>
    <x v="0"/>
    <x v="0"/>
    <n v="85000"/>
    <n v="5"/>
    <x v="4"/>
    <n v="68000"/>
    <n v="425000"/>
    <n v="340000"/>
    <n v="85000"/>
  </r>
  <r>
    <x v="1347"/>
    <x v="8"/>
    <x v="8"/>
    <x v="3"/>
    <x v="1"/>
    <s v="Corporate"/>
    <s v="Online"/>
    <x v="5"/>
    <x v="0"/>
    <n v="320000"/>
    <n v="1"/>
    <x v="1"/>
    <n v="256000"/>
    <n v="320000"/>
    <n v="256000"/>
    <n v="64000"/>
  </r>
  <r>
    <x v="1348"/>
    <x v="8"/>
    <x v="8"/>
    <x v="1"/>
    <x v="0"/>
    <s v="Retail"/>
    <s v="Store"/>
    <x v="1"/>
    <x v="1"/>
    <n v="30000"/>
    <n v="4"/>
    <x v="2"/>
    <n v="24000"/>
    <n v="120000"/>
    <n v="96000"/>
    <n v="24000"/>
  </r>
  <r>
    <x v="1349"/>
    <x v="8"/>
    <x v="8"/>
    <x v="2"/>
    <x v="2"/>
    <s v="Corporate"/>
    <s v="Store"/>
    <x v="9"/>
    <x v="1"/>
    <n v="220000"/>
    <n v="8"/>
    <x v="4"/>
    <n v="176000"/>
    <n v="1760000"/>
    <n v="1408000"/>
    <n v="352000"/>
  </r>
  <r>
    <x v="1350"/>
    <x v="8"/>
    <x v="8"/>
    <x v="0"/>
    <x v="3"/>
    <s v="Corporate"/>
    <s v="Store"/>
    <x v="5"/>
    <x v="0"/>
    <n v="320000"/>
    <n v="5"/>
    <x v="5"/>
    <n v="256000"/>
    <n v="1600000"/>
    <n v="1280000"/>
    <n v="320000"/>
  </r>
  <r>
    <x v="1351"/>
    <x v="9"/>
    <x v="9"/>
    <x v="0"/>
    <x v="3"/>
    <s v="Corporate"/>
    <s v="Store"/>
    <x v="0"/>
    <x v="0"/>
    <n v="85000"/>
    <n v="3"/>
    <x v="4"/>
    <n v="68000"/>
    <n v="255000"/>
    <n v="204000"/>
    <n v="51000"/>
  </r>
  <r>
    <x v="1352"/>
    <x v="9"/>
    <x v="9"/>
    <x v="1"/>
    <x v="2"/>
    <s v="Retail"/>
    <s v="Store"/>
    <x v="5"/>
    <x v="0"/>
    <n v="320000"/>
    <n v="10"/>
    <x v="0"/>
    <n v="256000"/>
    <n v="3200000"/>
    <n v="2560000"/>
    <n v="640000"/>
  </r>
  <r>
    <x v="1353"/>
    <x v="9"/>
    <x v="9"/>
    <x v="0"/>
    <x v="2"/>
    <s v="Retail"/>
    <s v="Online"/>
    <x v="7"/>
    <x v="2"/>
    <n v="420000"/>
    <n v="2"/>
    <x v="5"/>
    <n v="336000"/>
    <n v="840000"/>
    <n v="672000"/>
    <n v="168000"/>
  </r>
  <r>
    <x v="1354"/>
    <x v="9"/>
    <x v="9"/>
    <x v="3"/>
    <x v="3"/>
    <s v="Retail"/>
    <s v="Online"/>
    <x v="1"/>
    <x v="1"/>
    <n v="30000"/>
    <n v="3"/>
    <x v="0"/>
    <n v="24000"/>
    <n v="90000"/>
    <n v="72000"/>
    <n v="18000"/>
  </r>
  <r>
    <x v="1355"/>
    <x v="9"/>
    <x v="9"/>
    <x v="0"/>
    <x v="3"/>
    <s v="Corporate"/>
    <s v="Online"/>
    <x v="1"/>
    <x v="1"/>
    <n v="30000"/>
    <n v="1"/>
    <x v="5"/>
    <n v="24000"/>
    <n v="30000"/>
    <n v="24000"/>
    <n v="6000"/>
  </r>
  <r>
    <x v="1356"/>
    <x v="9"/>
    <x v="9"/>
    <x v="1"/>
    <x v="2"/>
    <s v="Retail"/>
    <s v="Store"/>
    <x v="7"/>
    <x v="2"/>
    <n v="420000"/>
    <n v="10"/>
    <x v="5"/>
    <n v="336000"/>
    <n v="4200000"/>
    <n v="3360000"/>
    <n v="840000"/>
  </r>
  <r>
    <x v="1357"/>
    <x v="9"/>
    <x v="9"/>
    <x v="2"/>
    <x v="2"/>
    <s v="Retail"/>
    <s v="Store"/>
    <x v="6"/>
    <x v="2"/>
    <n v="150000"/>
    <n v="8"/>
    <x v="0"/>
    <n v="120000"/>
    <n v="1200000"/>
    <n v="960000"/>
    <n v="240000"/>
  </r>
  <r>
    <x v="1358"/>
    <x v="9"/>
    <x v="9"/>
    <x v="3"/>
    <x v="1"/>
    <s v="Corporate"/>
    <s v="Store"/>
    <x v="9"/>
    <x v="1"/>
    <n v="220000"/>
    <n v="8"/>
    <x v="0"/>
    <n v="176000"/>
    <n v="1760000"/>
    <n v="1408000"/>
    <n v="352000"/>
  </r>
  <r>
    <x v="1359"/>
    <x v="9"/>
    <x v="9"/>
    <x v="1"/>
    <x v="3"/>
    <s v="Retail"/>
    <s v="Store"/>
    <x v="5"/>
    <x v="0"/>
    <n v="320000"/>
    <n v="9"/>
    <x v="3"/>
    <n v="256000"/>
    <n v="2880000"/>
    <n v="2304000"/>
    <n v="576000"/>
  </r>
  <r>
    <x v="1360"/>
    <x v="9"/>
    <x v="9"/>
    <x v="3"/>
    <x v="0"/>
    <s v="Retail"/>
    <s v="Store"/>
    <x v="9"/>
    <x v="1"/>
    <n v="220000"/>
    <n v="3"/>
    <x v="5"/>
    <n v="176000"/>
    <n v="660000"/>
    <n v="528000"/>
    <n v="132000"/>
  </r>
  <r>
    <x v="1361"/>
    <x v="9"/>
    <x v="9"/>
    <x v="0"/>
    <x v="2"/>
    <s v="Corporate"/>
    <s v="Online"/>
    <x v="4"/>
    <x v="1"/>
    <n v="180000"/>
    <n v="8"/>
    <x v="3"/>
    <n v="144000"/>
    <n v="1440000"/>
    <n v="1152000"/>
    <n v="288000"/>
  </r>
  <r>
    <x v="1362"/>
    <x v="9"/>
    <x v="9"/>
    <x v="3"/>
    <x v="2"/>
    <s v="Retail"/>
    <s v="Store"/>
    <x v="8"/>
    <x v="2"/>
    <n v="250000"/>
    <n v="4"/>
    <x v="2"/>
    <n v="200000"/>
    <n v="1000000"/>
    <n v="800000"/>
    <n v="200000"/>
  </r>
  <r>
    <x v="1363"/>
    <x v="9"/>
    <x v="9"/>
    <x v="3"/>
    <x v="1"/>
    <s v="Corporate"/>
    <s v="Store"/>
    <x v="2"/>
    <x v="1"/>
    <n v="60000"/>
    <n v="7"/>
    <x v="3"/>
    <n v="48000"/>
    <n v="420000"/>
    <n v="336000"/>
    <n v="84000"/>
  </r>
  <r>
    <x v="1364"/>
    <x v="9"/>
    <x v="9"/>
    <x v="3"/>
    <x v="0"/>
    <s v="Corporate"/>
    <s v="Store"/>
    <x v="9"/>
    <x v="1"/>
    <n v="220000"/>
    <n v="10"/>
    <x v="5"/>
    <n v="176000"/>
    <n v="2200000"/>
    <n v="1760000"/>
    <n v="440000"/>
  </r>
  <r>
    <x v="1365"/>
    <x v="9"/>
    <x v="9"/>
    <x v="2"/>
    <x v="2"/>
    <s v="Retail"/>
    <s v="Online"/>
    <x v="2"/>
    <x v="1"/>
    <n v="60000"/>
    <n v="9"/>
    <x v="5"/>
    <n v="48000"/>
    <n v="540000"/>
    <n v="432000"/>
    <n v="108000"/>
  </r>
  <r>
    <x v="1366"/>
    <x v="9"/>
    <x v="9"/>
    <x v="0"/>
    <x v="2"/>
    <s v="Corporate"/>
    <s v="Online"/>
    <x v="2"/>
    <x v="1"/>
    <n v="60000"/>
    <n v="2"/>
    <x v="2"/>
    <n v="48000"/>
    <n v="120000"/>
    <n v="96000"/>
    <n v="24000"/>
  </r>
  <r>
    <x v="1367"/>
    <x v="9"/>
    <x v="9"/>
    <x v="1"/>
    <x v="1"/>
    <s v="Corporate"/>
    <s v="Online"/>
    <x v="6"/>
    <x v="2"/>
    <n v="150000"/>
    <n v="3"/>
    <x v="0"/>
    <n v="120000"/>
    <n v="450000"/>
    <n v="360000"/>
    <n v="90000"/>
  </r>
  <r>
    <x v="1368"/>
    <x v="9"/>
    <x v="9"/>
    <x v="0"/>
    <x v="1"/>
    <s v="Corporate"/>
    <s v="Online"/>
    <x v="6"/>
    <x v="2"/>
    <n v="150000"/>
    <n v="10"/>
    <x v="0"/>
    <n v="120000"/>
    <n v="1500000"/>
    <n v="1200000"/>
    <n v="300000"/>
  </r>
  <r>
    <x v="1369"/>
    <x v="9"/>
    <x v="9"/>
    <x v="3"/>
    <x v="2"/>
    <s v="Corporate"/>
    <s v="Online"/>
    <x v="6"/>
    <x v="2"/>
    <n v="150000"/>
    <n v="9"/>
    <x v="3"/>
    <n v="120000"/>
    <n v="1350000"/>
    <n v="1080000"/>
    <n v="270000"/>
  </r>
  <r>
    <x v="1370"/>
    <x v="9"/>
    <x v="9"/>
    <x v="0"/>
    <x v="3"/>
    <s v="Retail"/>
    <s v="Online"/>
    <x v="5"/>
    <x v="0"/>
    <n v="320000"/>
    <n v="5"/>
    <x v="5"/>
    <n v="256000"/>
    <n v="1600000"/>
    <n v="1280000"/>
    <n v="320000"/>
  </r>
  <r>
    <x v="1371"/>
    <x v="9"/>
    <x v="9"/>
    <x v="1"/>
    <x v="3"/>
    <s v="Retail"/>
    <s v="Online"/>
    <x v="4"/>
    <x v="1"/>
    <n v="180000"/>
    <n v="3"/>
    <x v="0"/>
    <n v="144000"/>
    <n v="540000"/>
    <n v="432000"/>
    <n v="108000"/>
  </r>
  <r>
    <x v="1372"/>
    <x v="9"/>
    <x v="9"/>
    <x v="0"/>
    <x v="2"/>
    <s v="Corporate"/>
    <s v="Online"/>
    <x v="0"/>
    <x v="0"/>
    <n v="85000"/>
    <n v="4"/>
    <x v="3"/>
    <n v="68000"/>
    <n v="340000"/>
    <n v="272000"/>
    <n v="68000"/>
  </r>
  <r>
    <x v="1373"/>
    <x v="9"/>
    <x v="9"/>
    <x v="0"/>
    <x v="3"/>
    <s v="Corporate"/>
    <s v="Store"/>
    <x v="5"/>
    <x v="0"/>
    <n v="320000"/>
    <n v="7"/>
    <x v="5"/>
    <n v="256000"/>
    <n v="2240000"/>
    <n v="1792000"/>
    <n v="448000"/>
  </r>
  <r>
    <x v="1374"/>
    <x v="9"/>
    <x v="9"/>
    <x v="2"/>
    <x v="1"/>
    <s v="Retail"/>
    <s v="Store"/>
    <x v="9"/>
    <x v="1"/>
    <n v="220000"/>
    <n v="5"/>
    <x v="3"/>
    <n v="176000"/>
    <n v="1100000"/>
    <n v="880000"/>
    <n v="220000"/>
  </r>
  <r>
    <x v="1375"/>
    <x v="9"/>
    <x v="9"/>
    <x v="2"/>
    <x v="1"/>
    <s v="Corporate"/>
    <s v="Store"/>
    <x v="6"/>
    <x v="2"/>
    <n v="150000"/>
    <n v="3"/>
    <x v="0"/>
    <n v="120000"/>
    <n v="450000"/>
    <n v="360000"/>
    <n v="90000"/>
  </r>
  <r>
    <x v="1376"/>
    <x v="9"/>
    <x v="9"/>
    <x v="0"/>
    <x v="1"/>
    <s v="Corporate"/>
    <s v="Online"/>
    <x v="7"/>
    <x v="2"/>
    <n v="420000"/>
    <n v="8"/>
    <x v="1"/>
    <n v="336000"/>
    <n v="3360000"/>
    <n v="2688000"/>
    <n v="672000"/>
  </r>
  <r>
    <x v="1377"/>
    <x v="9"/>
    <x v="9"/>
    <x v="1"/>
    <x v="3"/>
    <s v="Retail"/>
    <s v="Online"/>
    <x v="9"/>
    <x v="1"/>
    <n v="220000"/>
    <n v="9"/>
    <x v="1"/>
    <n v="176000"/>
    <n v="1980000"/>
    <n v="1584000"/>
    <n v="396000"/>
  </r>
  <r>
    <x v="1378"/>
    <x v="9"/>
    <x v="9"/>
    <x v="3"/>
    <x v="0"/>
    <s v="Retail"/>
    <s v="Online"/>
    <x v="7"/>
    <x v="2"/>
    <n v="420000"/>
    <n v="3"/>
    <x v="5"/>
    <n v="336000"/>
    <n v="1260000"/>
    <n v="1008000"/>
    <n v="252000"/>
  </r>
  <r>
    <x v="1379"/>
    <x v="9"/>
    <x v="9"/>
    <x v="3"/>
    <x v="0"/>
    <s v="Retail"/>
    <s v="Store"/>
    <x v="8"/>
    <x v="2"/>
    <n v="250000"/>
    <n v="1"/>
    <x v="2"/>
    <n v="200000"/>
    <n v="250000"/>
    <n v="200000"/>
    <n v="50000"/>
  </r>
  <r>
    <x v="1380"/>
    <x v="9"/>
    <x v="9"/>
    <x v="1"/>
    <x v="1"/>
    <s v="Retail"/>
    <s v="Store"/>
    <x v="5"/>
    <x v="0"/>
    <n v="320000"/>
    <n v="7"/>
    <x v="4"/>
    <n v="256000"/>
    <n v="2240000"/>
    <n v="1792000"/>
    <n v="448000"/>
  </r>
  <r>
    <x v="1381"/>
    <x v="9"/>
    <x v="9"/>
    <x v="3"/>
    <x v="1"/>
    <s v="Retail"/>
    <s v="Online"/>
    <x v="7"/>
    <x v="2"/>
    <n v="420000"/>
    <n v="2"/>
    <x v="5"/>
    <n v="336000"/>
    <n v="840000"/>
    <n v="672000"/>
    <n v="168000"/>
  </r>
  <r>
    <x v="1382"/>
    <x v="10"/>
    <x v="10"/>
    <x v="2"/>
    <x v="0"/>
    <s v="Retail"/>
    <s v="Store"/>
    <x v="5"/>
    <x v="0"/>
    <n v="320000"/>
    <n v="3"/>
    <x v="2"/>
    <n v="256000"/>
    <n v="960000"/>
    <n v="768000"/>
    <n v="192000"/>
  </r>
  <r>
    <x v="1383"/>
    <x v="10"/>
    <x v="10"/>
    <x v="2"/>
    <x v="0"/>
    <s v="Corporate"/>
    <s v="Online"/>
    <x v="6"/>
    <x v="2"/>
    <n v="150000"/>
    <n v="2"/>
    <x v="4"/>
    <n v="120000"/>
    <n v="300000"/>
    <n v="240000"/>
    <n v="60000"/>
  </r>
  <r>
    <x v="1384"/>
    <x v="10"/>
    <x v="10"/>
    <x v="0"/>
    <x v="1"/>
    <s v="Corporate"/>
    <s v="Store"/>
    <x v="7"/>
    <x v="2"/>
    <n v="420000"/>
    <n v="8"/>
    <x v="2"/>
    <n v="336000"/>
    <n v="3360000"/>
    <n v="2688000"/>
    <n v="672000"/>
  </r>
  <r>
    <x v="1385"/>
    <x v="10"/>
    <x v="10"/>
    <x v="1"/>
    <x v="0"/>
    <s v="Corporate"/>
    <s v="Store"/>
    <x v="7"/>
    <x v="2"/>
    <n v="420000"/>
    <n v="1"/>
    <x v="5"/>
    <n v="336000"/>
    <n v="420000"/>
    <n v="336000"/>
    <n v="84000"/>
  </r>
  <r>
    <x v="1386"/>
    <x v="10"/>
    <x v="10"/>
    <x v="0"/>
    <x v="3"/>
    <s v="Retail"/>
    <s v="Online"/>
    <x v="3"/>
    <x v="2"/>
    <n v="300000"/>
    <n v="5"/>
    <x v="3"/>
    <n v="240000"/>
    <n v="1500000"/>
    <n v="1200000"/>
    <n v="300000"/>
  </r>
  <r>
    <x v="1387"/>
    <x v="10"/>
    <x v="10"/>
    <x v="1"/>
    <x v="0"/>
    <s v="Retail"/>
    <s v="Store"/>
    <x v="4"/>
    <x v="1"/>
    <n v="180000"/>
    <n v="7"/>
    <x v="4"/>
    <n v="144000"/>
    <n v="1260000"/>
    <n v="1008000"/>
    <n v="252000"/>
  </r>
  <r>
    <x v="1388"/>
    <x v="10"/>
    <x v="10"/>
    <x v="0"/>
    <x v="3"/>
    <s v="Retail"/>
    <s v="Store"/>
    <x v="6"/>
    <x v="2"/>
    <n v="150000"/>
    <n v="10"/>
    <x v="1"/>
    <n v="120000"/>
    <n v="1500000"/>
    <n v="1200000"/>
    <n v="300000"/>
  </r>
  <r>
    <x v="1389"/>
    <x v="10"/>
    <x v="10"/>
    <x v="0"/>
    <x v="3"/>
    <s v="Corporate"/>
    <s v="Online"/>
    <x v="3"/>
    <x v="2"/>
    <n v="300000"/>
    <n v="7"/>
    <x v="3"/>
    <n v="240000"/>
    <n v="2100000"/>
    <n v="1680000"/>
    <n v="420000"/>
  </r>
  <r>
    <x v="1390"/>
    <x v="10"/>
    <x v="10"/>
    <x v="3"/>
    <x v="1"/>
    <s v="Retail"/>
    <s v="Store"/>
    <x v="9"/>
    <x v="1"/>
    <n v="220000"/>
    <n v="2"/>
    <x v="0"/>
    <n v="176000"/>
    <n v="440000"/>
    <n v="352000"/>
    <n v="88000"/>
  </r>
  <r>
    <x v="1391"/>
    <x v="10"/>
    <x v="10"/>
    <x v="1"/>
    <x v="0"/>
    <s v="Retail"/>
    <s v="Store"/>
    <x v="0"/>
    <x v="0"/>
    <n v="85000"/>
    <n v="8"/>
    <x v="2"/>
    <n v="68000"/>
    <n v="680000"/>
    <n v="544000"/>
    <n v="136000"/>
  </r>
  <r>
    <x v="1392"/>
    <x v="10"/>
    <x v="10"/>
    <x v="0"/>
    <x v="1"/>
    <s v="Retail"/>
    <s v="Online"/>
    <x v="9"/>
    <x v="1"/>
    <n v="220000"/>
    <n v="7"/>
    <x v="5"/>
    <n v="176000"/>
    <n v="1540000"/>
    <n v="1232000"/>
    <n v="308000"/>
  </r>
  <r>
    <x v="1393"/>
    <x v="10"/>
    <x v="10"/>
    <x v="3"/>
    <x v="3"/>
    <s v="Retail"/>
    <s v="Store"/>
    <x v="9"/>
    <x v="1"/>
    <n v="220000"/>
    <n v="6"/>
    <x v="3"/>
    <n v="176000"/>
    <n v="1320000"/>
    <n v="1056000"/>
    <n v="264000"/>
  </r>
  <r>
    <x v="1394"/>
    <x v="10"/>
    <x v="10"/>
    <x v="3"/>
    <x v="0"/>
    <s v="Retail"/>
    <s v="Store"/>
    <x v="4"/>
    <x v="1"/>
    <n v="180000"/>
    <n v="3"/>
    <x v="2"/>
    <n v="144000"/>
    <n v="540000"/>
    <n v="432000"/>
    <n v="108000"/>
  </r>
  <r>
    <x v="1395"/>
    <x v="10"/>
    <x v="10"/>
    <x v="2"/>
    <x v="1"/>
    <s v="Retail"/>
    <s v="Online"/>
    <x v="8"/>
    <x v="2"/>
    <n v="250000"/>
    <n v="6"/>
    <x v="3"/>
    <n v="200000"/>
    <n v="1500000"/>
    <n v="1200000"/>
    <n v="300000"/>
  </r>
  <r>
    <x v="1396"/>
    <x v="10"/>
    <x v="10"/>
    <x v="0"/>
    <x v="2"/>
    <s v="Corporate"/>
    <s v="Store"/>
    <x v="6"/>
    <x v="2"/>
    <n v="150000"/>
    <n v="7"/>
    <x v="4"/>
    <n v="120000"/>
    <n v="1050000"/>
    <n v="840000"/>
    <n v="210000"/>
  </r>
  <r>
    <x v="1397"/>
    <x v="10"/>
    <x v="10"/>
    <x v="2"/>
    <x v="0"/>
    <s v="Retail"/>
    <s v="Online"/>
    <x v="3"/>
    <x v="2"/>
    <n v="300000"/>
    <n v="9"/>
    <x v="0"/>
    <n v="240000"/>
    <n v="2700000"/>
    <n v="2160000"/>
    <n v="540000"/>
  </r>
  <r>
    <x v="1398"/>
    <x v="10"/>
    <x v="10"/>
    <x v="0"/>
    <x v="2"/>
    <s v="Retail"/>
    <s v="Online"/>
    <x v="7"/>
    <x v="2"/>
    <n v="420000"/>
    <n v="5"/>
    <x v="2"/>
    <n v="336000"/>
    <n v="2100000"/>
    <n v="1680000"/>
    <n v="420000"/>
  </r>
  <r>
    <x v="1399"/>
    <x v="10"/>
    <x v="10"/>
    <x v="2"/>
    <x v="0"/>
    <s v="Retail"/>
    <s v="Store"/>
    <x v="3"/>
    <x v="2"/>
    <n v="300000"/>
    <n v="3"/>
    <x v="2"/>
    <n v="240000"/>
    <n v="900000"/>
    <n v="720000"/>
    <n v="180000"/>
  </r>
  <r>
    <x v="1400"/>
    <x v="10"/>
    <x v="10"/>
    <x v="1"/>
    <x v="0"/>
    <s v="Corporate"/>
    <s v="Store"/>
    <x v="8"/>
    <x v="2"/>
    <n v="250000"/>
    <n v="5"/>
    <x v="0"/>
    <n v="200000"/>
    <n v="1250000"/>
    <n v="1000000"/>
    <n v="250000"/>
  </r>
  <r>
    <x v="1401"/>
    <x v="10"/>
    <x v="10"/>
    <x v="0"/>
    <x v="3"/>
    <s v="Corporate"/>
    <s v="Store"/>
    <x v="6"/>
    <x v="2"/>
    <n v="150000"/>
    <n v="2"/>
    <x v="3"/>
    <n v="120000"/>
    <n v="300000"/>
    <n v="240000"/>
    <n v="60000"/>
  </r>
  <r>
    <x v="1402"/>
    <x v="10"/>
    <x v="10"/>
    <x v="1"/>
    <x v="1"/>
    <s v="Corporate"/>
    <s v="Online"/>
    <x v="9"/>
    <x v="1"/>
    <n v="220000"/>
    <n v="3"/>
    <x v="5"/>
    <n v="176000"/>
    <n v="660000"/>
    <n v="528000"/>
    <n v="132000"/>
  </r>
  <r>
    <x v="1403"/>
    <x v="10"/>
    <x v="10"/>
    <x v="1"/>
    <x v="1"/>
    <s v="Corporate"/>
    <s v="Store"/>
    <x v="3"/>
    <x v="2"/>
    <n v="300000"/>
    <n v="6"/>
    <x v="1"/>
    <n v="240000"/>
    <n v="1800000"/>
    <n v="1440000"/>
    <n v="360000"/>
  </r>
  <r>
    <x v="1404"/>
    <x v="10"/>
    <x v="10"/>
    <x v="2"/>
    <x v="1"/>
    <s v="Retail"/>
    <s v="Store"/>
    <x v="4"/>
    <x v="1"/>
    <n v="180000"/>
    <n v="2"/>
    <x v="5"/>
    <n v="144000"/>
    <n v="360000"/>
    <n v="288000"/>
    <n v="72000"/>
  </r>
  <r>
    <x v="1405"/>
    <x v="10"/>
    <x v="10"/>
    <x v="1"/>
    <x v="3"/>
    <s v="Retail"/>
    <s v="Online"/>
    <x v="6"/>
    <x v="2"/>
    <n v="150000"/>
    <n v="5"/>
    <x v="4"/>
    <n v="120000"/>
    <n v="750000"/>
    <n v="600000"/>
    <n v="150000"/>
  </r>
  <r>
    <x v="1406"/>
    <x v="10"/>
    <x v="10"/>
    <x v="1"/>
    <x v="2"/>
    <s v="Corporate"/>
    <s v="Store"/>
    <x v="0"/>
    <x v="0"/>
    <n v="85000"/>
    <n v="1"/>
    <x v="4"/>
    <n v="68000"/>
    <n v="85000"/>
    <n v="68000"/>
    <n v="17000"/>
  </r>
  <r>
    <x v="1407"/>
    <x v="10"/>
    <x v="10"/>
    <x v="0"/>
    <x v="0"/>
    <s v="Retail"/>
    <s v="Online"/>
    <x v="1"/>
    <x v="1"/>
    <n v="30000"/>
    <n v="1"/>
    <x v="3"/>
    <n v="24000"/>
    <n v="30000"/>
    <n v="24000"/>
    <n v="6000"/>
  </r>
  <r>
    <x v="1408"/>
    <x v="10"/>
    <x v="10"/>
    <x v="1"/>
    <x v="1"/>
    <s v="Retail"/>
    <s v="Store"/>
    <x v="0"/>
    <x v="0"/>
    <n v="85000"/>
    <n v="1"/>
    <x v="4"/>
    <n v="68000"/>
    <n v="85000"/>
    <n v="68000"/>
    <n v="17000"/>
  </r>
  <r>
    <x v="1409"/>
    <x v="10"/>
    <x v="10"/>
    <x v="2"/>
    <x v="1"/>
    <s v="Retail"/>
    <s v="Store"/>
    <x v="1"/>
    <x v="1"/>
    <n v="30000"/>
    <n v="2"/>
    <x v="4"/>
    <n v="24000"/>
    <n v="60000"/>
    <n v="48000"/>
    <n v="12000"/>
  </r>
  <r>
    <x v="1410"/>
    <x v="10"/>
    <x v="10"/>
    <x v="1"/>
    <x v="0"/>
    <s v="Retail"/>
    <s v="Store"/>
    <x v="7"/>
    <x v="2"/>
    <n v="420000"/>
    <n v="3"/>
    <x v="0"/>
    <n v="336000"/>
    <n v="1260000"/>
    <n v="1008000"/>
    <n v="252000"/>
  </r>
  <r>
    <x v="1411"/>
    <x v="10"/>
    <x v="10"/>
    <x v="0"/>
    <x v="1"/>
    <s v="Retail"/>
    <s v="Store"/>
    <x v="1"/>
    <x v="1"/>
    <n v="30000"/>
    <n v="2"/>
    <x v="3"/>
    <n v="24000"/>
    <n v="60000"/>
    <n v="48000"/>
    <n v="12000"/>
  </r>
  <r>
    <x v="1412"/>
    <x v="11"/>
    <x v="11"/>
    <x v="2"/>
    <x v="3"/>
    <s v="Retail"/>
    <s v="Store"/>
    <x v="3"/>
    <x v="2"/>
    <n v="300000"/>
    <n v="9"/>
    <x v="2"/>
    <n v="240000"/>
    <n v="2700000"/>
    <n v="2160000"/>
    <n v="540000"/>
  </r>
  <r>
    <x v="1413"/>
    <x v="11"/>
    <x v="11"/>
    <x v="1"/>
    <x v="2"/>
    <s v="Corporate"/>
    <s v="Store"/>
    <x v="6"/>
    <x v="2"/>
    <n v="150000"/>
    <n v="4"/>
    <x v="3"/>
    <n v="120000"/>
    <n v="600000"/>
    <n v="480000"/>
    <n v="120000"/>
  </r>
  <r>
    <x v="1414"/>
    <x v="11"/>
    <x v="11"/>
    <x v="1"/>
    <x v="0"/>
    <s v="Retail"/>
    <s v="Store"/>
    <x v="9"/>
    <x v="1"/>
    <n v="220000"/>
    <n v="2"/>
    <x v="5"/>
    <n v="176000"/>
    <n v="440000"/>
    <n v="352000"/>
    <n v="88000"/>
  </r>
  <r>
    <x v="1415"/>
    <x v="11"/>
    <x v="11"/>
    <x v="2"/>
    <x v="1"/>
    <s v="Retail"/>
    <s v="Store"/>
    <x v="0"/>
    <x v="0"/>
    <n v="85000"/>
    <n v="6"/>
    <x v="0"/>
    <n v="68000"/>
    <n v="510000"/>
    <n v="408000"/>
    <n v="102000"/>
  </r>
  <r>
    <x v="1416"/>
    <x v="11"/>
    <x v="11"/>
    <x v="0"/>
    <x v="1"/>
    <s v="Retail"/>
    <s v="Store"/>
    <x v="3"/>
    <x v="2"/>
    <n v="300000"/>
    <n v="8"/>
    <x v="0"/>
    <n v="240000"/>
    <n v="2400000"/>
    <n v="1920000"/>
    <n v="480000"/>
  </r>
  <r>
    <x v="1417"/>
    <x v="11"/>
    <x v="11"/>
    <x v="2"/>
    <x v="2"/>
    <s v="Corporate"/>
    <s v="Store"/>
    <x v="7"/>
    <x v="2"/>
    <n v="420000"/>
    <n v="2"/>
    <x v="3"/>
    <n v="336000"/>
    <n v="840000"/>
    <n v="672000"/>
    <n v="168000"/>
  </r>
  <r>
    <x v="1418"/>
    <x v="11"/>
    <x v="11"/>
    <x v="1"/>
    <x v="2"/>
    <s v="Retail"/>
    <s v="Store"/>
    <x v="9"/>
    <x v="1"/>
    <n v="220000"/>
    <n v="3"/>
    <x v="1"/>
    <n v="176000"/>
    <n v="660000"/>
    <n v="528000"/>
    <n v="132000"/>
  </r>
  <r>
    <x v="1419"/>
    <x v="11"/>
    <x v="11"/>
    <x v="1"/>
    <x v="1"/>
    <s v="Retail"/>
    <s v="Store"/>
    <x v="7"/>
    <x v="2"/>
    <n v="420000"/>
    <n v="10"/>
    <x v="0"/>
    <n v="336000"/>
    <n v="4200000"/>
    <n v="3360000"/>
    <n v="840000"/>
  </r>
  <r>
    <x v="1420"/>
    <x v="11"/>
    <x v="11"/>
    <x v="3"/>
    <x v="1"/>
    <s v="Retail"/>
    <s v="Store"/>
    <x v="3"/>
    <x v="2"/>
    <n v="300000"/>
    <n v="7"/>
    <x v="1"/>
    <n v="240000"/>
    <n v="2100000"/>
    <n v="1680000"/>
    <n v="420000"/>
  </r>
  <r>
    <x v="1421"/>
    <x v="11"/>
    <x v="11"/>
    <x v="1"/>
    <x v="2"/>
    <s v="Retail"/>
    <s v="Store"/>
    <x v="1"/>
    <x v="1"/>
    <n v="30000"/>
    <n v="1"/>
    <x v="2"/>
    <n v="24000"/>
    <n v="30000"/>
    <n v="24000"/>
    <n v="6000"/>
  </r>
  <r>
    <x v="1422"/>
    <x v="11"/>
    <x v="11"/>
    <x v="1"/>
    <x v="1"/>
    <s v="Corporate"/>
    <s v="Store"/>
    <x v="1"/>
    <x v="1"/>
    <n v="30000"/>
    <n v="7"/>
    <x v="0"/>
    <n v="24000"/>
    <n v="210000"/>
    <n v="168000"/>
    <n v="42000"/>
  </r>
  <r>
    <x v="1423"/>
    <x v="11"/>
    <x v="11"/>
    <x v="3"/>
    <x v="3"/>
    <s v="Corporate"/>
    <s v="Store"/>
    <x v="0"/>
    <x v="0"/>
    <n v="85000"/>
    <n v="8"/>
    <x v="3"/>
    <n v="68000"/>
    <n v="680000"/>
    <n v="544000"/>
    <n v="136000"/>
  </r>
  <r>
    <x v="1424"/>
    <x v="11"/>
    <x v="11"/>
    <x v="1"/>
    <x v="1"/>
    <s v="Retail"/>
    <s v="Store"/>
    <x v="8"/>
    <x v="2"/>
    <n v="250000"/>
    <n v="10"/>
    <x v="1"/>
    <n v="200000"/>
    <n v="2500000"/>
    <n v="2000000"/>
    <n v="500000"/>
  </r>
  <r>
    <x v="1425"/>
    <x v="11"/>
    <x v="11"/>
    <x v="0"/>
    <x v="1"/>
    <s v="Retail"/>
    <s v="Store"/>
    <x v="0"/>
    <x v="0"/>
    <n v="85000"/>
    <n v="4"/>
    <x v="5"/>
    <n v="68000"/>
    <n v="340000"/>
    <n v="272000"/>
    <n v="68000"/>
  </r>
  <r>
    <x v="1426"/>
    <x v="11"/>
    <x v="11"/>
    <x v="0"/>
    <x v="3"/>
    <s v="Retail"/>
    <s v="Store"/>
    <x v="8"/>
    <x v="2"/>
    <n v="250000"/>
    <n v="6"/>
    <x v="5"/>
    <n v="200000"/>
    <n v="1500000"/>
    <n v="1200000"/>
    <n v="300000"/>
  </r>
  <r>
    <x v="1427"/>
    <x v="11"/>
    <x v="11"/>
    <x v="1"/>
    <x v="3"/>
    <s v="Corporate"/>
    <s v="Store"/>
    <x v="5"/>
    <x v="0"/>
    <n v="320000"/>
    <n v="7"/>
    <x v="4"/>
    <n v="256000"/>
    <n v="2240000"/>
    <n v="1792000"/>
    <n v="448000"/>
  </r>
  <r>
    <x v="1428"/>
    <x v="11"/>
    <x v="11"/>
    <x v="1"/>
    <x v="3"/>
    <s v="Corporate"/>
    <s v="Store"/>
    <x v="4"/>
    <x v="1"/>
    <n v="180000"/>
    <n v="2"/>
    <x v="0"/>
    <n v="144000"/>
    <n v="360000"/>
    <n v="288000"/>
    <n v="72000"/>
  </r>
  <r>
    <x v="1429"/>
    <x v="11"/>
    <x v="11"/>
    <x v="3"/>
    <x v="3"/>
    <s v="Corporate"/>
    <s v="Store"/>
    <x v="9"/>
    <x v="1"/>
    <n v="220000"/>
    <n v="2"/>
    <x v="5"/>
    <n v="176000"/>
    <n v="440000"/>
    <n v="352000"/>
    <n v="88000"/>
  </r>
  <r>
    <x v="1430"/>
    <x v="11"/>
    <x v="11"/>
    <x v="3"/>
    <x v="2"/>
    <s v="Corporate"/>
    <s v="Store"/>
    <x v="4"/>
    <x v="1"/>
    <n v="180000"/>
    <n v="6"/>
    <x v="1"/>
    <n v="144000"/>
    <n v="1080000"/>
    <n v="864000"/>
    <n v="216000"/>
  </r>
  <r>
    <x v="1431"/>
    <x v="11"/>
    <x v="11"/>
    <x v="0"/>
    <x v="3"/>
    <s v="Retail"/>
    <s v="Store"/>
    <x v="4"/>
    <x v="1"/>
    <n v="180000"/>
    <n v="3"/>
    <x v="1"/>
    <n v="144000"/>
    <n v="540000"/>
    <n v="432000"/>
    <n v="108000"/>
  </r>
  <r>
    <x v="1432"/>
    <x v="11"/>
    <x v="11"/>
    <x v="0"/>
    <x v="2"/>
    <s v="Retail"/>
    <s v="Store"/>
    <x v="2"/>
    <x v="1"/>
    <n v="60000"/>
    <n v="2"/>
    <x v="1"/>
    <n v="48000"/>
    <n v="120000"/>
    <n v="96000"/>
    <n v="24000"/>
  </r>
  <r>
    <x v="1433"/>
    <x v="11"/>
    <x v="11"/>
    <x v="3"/>
    <x v="3"/>
    <s v="Corporate"/>
    <s v="Store"/>
    <x v="3"/>
    <x v="2"/>
    <n v="300000"/>
    <n v="1"/>
    <x v="4"/>
    <n v="240000"/>
    <n v="300000"/>
    <n v="240000"/>
    <n v="60000"/>
  </r>
  <r>
    <x v="1434"/>
    <x v="11"/>
    <x v="11"/>
    <x v="2"/>
    <x v="2"/>
    <s v="Corporate"/>
    <s v="Store"/>
    <x v="7"/>
    <x v="2"/>
    <n v="420000"/>
    <n v="2"/>
    <x v="1"/>
    <n v="336000"/>
    <n v="840000"/>
    <n v="672000"/>
    <n v="168000"/>
  </r>
  <r>
    <x v="1435"/>
    <x v="11"/>
    <x v="11"/>
    <x v="0"/>
    <x v="1"/>
    <s v="Retail"/>
    <s v="Store"/>
    <x v="8"/>
    <x v="2"/>
    <n v="250000"/>
    <n v="9"/>
    <x v="1"/>
    <n v="200000"/>
    <n v="2250000"/>
    <n v="1800000"/>
    <n v="450000"/>
  </r>
  <r>
    <x v="1436"/>
    <x v="11"/>
    <x v="11"/>
    <x v="2"/>
    <x v="0"/>
    <s v="Corporate"/>
    <s v="Store"/>
    <x v="4"/>
    <x v="1"/>
    <n v="180000"/>
    <n v="5"/>
    <x v="4"/>
    <n v="144000"/>
    <n v="900000"/>
    <n v="720000"/>
    <n v="180000"/>
  </r>
  <r>
    <x v="1437"/>
    <x v="11"/>
    <x v="11"/>
    <x v="2"/>
    <x v="1"/>
    <s v="Corporate"/>
    <s v="Store"/>
    <x v="6"/>
    <x v="2"/>
    <n v="150000"/>
    <n v="5"/>
    <x v="3"/>
    <n v="120000"/>
    <n v="750000"/>
    <n v="600000"/>
    <n v="150000"/>
  </r>
  <r>
    <x v="1438"/>
    <x v="11"/>
    <x v="11"/>
    <x v="0"/>
    <x v="3"/>
    <s v="Retail"/>
    <s v="Store"/>
    <x v="5"/>
    <x v="0"/>
    <n v="320000"/>
    <n v="4"/>
    <x v="5"/>
    <n v="256000"/>
    <n v="1280000"/>
    <n v="1024000"/>
    <n v="256000"/>
  </r>
  <r>
    <x v="1439"/>
    <x v="11"/>
    <x v="11"/>
    <x v="2"/>
    <x v="2"/>
    <s v="Retail"/>
    <s v="Store"/>
    <x v="4"/>
    <x v="1"/>
    <n v="180000"/>
    <n v="10"/>
    <x v="3"/>
    <n v="144000"/>
    <n v="1800000"/>
    <n v="1440000"/>
    <n v="360000"/>
  </r>
  <r>
    <x v="1440"/>
    <x v="11"/>
    <x v="11"/>
    <x v="3"/>
    <x v="0"/>
    <s v="Corporate"/>
    <s v="Store"/>
    <x v="7"/>
    <x v="2"/>
    <n v="420000"/>
    <n v="2"/>
    <x v="4"/>
    <n v="336000"/>
    <n v="840000"/>
    <n v="672000"/>
    <n v="168000"/>
  </r>
  <r>
    <x v="1441"/>
    <x v="11"/>
    <x v="11"/>
    <x v="2"/>
    <x v="0"/>
    <s v="Corporate"/>
    <s v="Store"/>
    <x v="6"/>
    <x v="2"/>
    <n v="150000"/>
    <n v="6"/>
    <x v="4"/>
    <n v="120000"/>
    <n v="900000"/>
    <n v="720000"/>
    <n v="180000"/>
  </r>
  <r>
    <x v="1442"/>
    <x v="11"/>
    <x v="11"/>
    <x v="0"/>
    <x v="1"/>
    <s v="Corporate"/>
    <s v="Store"/>
    <x v="6"/>
    <x v="2"/>
    <n v="150000"/>
    <n v="4"/>
    <x v="1"/>
    <n v="120000"/>
    <n v="600000"/>
    <n v="480000"/>
    <n v="120000"/>
  </r>
  <r>
    <x v="1443"/>
    <x v="0"/>
    <x v="0"/>
    <x v="1"/>
    <x v="0"/>
    <s v="Corporate"/>
    <s v="Store"/>
    <x v="8"/>
    <x v="2"/>
    <n v="250000"/>
    <n v="9"/>
    <x v="4"/>
    <n v="200000"/>
    <n v="2250000"/>
    <n v="1800000"/>
    <n v="450000"/>
  </r>
  <r>
    <x v="1444"/>
    <x v="0"/>
    <x v="0"/>
    <x v="2"/>
    <x v="1"/>
    <s v="Corporate"/>
    <s v="Store"/>
    <x v="9"/>
    <x v="1"/>
    <n v="220000"/>
    <n v="8"/>
    <x v="5"/>
    <n v="176000"/>
    <n v="1760000"/>
    <n v="1408000"/>
    <n v="352000"/>
  </r>
  <r>
    <x v="1445"/>
    <x v="0"/>
    <x v="0"/>
    <x v="3"/>
    <x v="2"/>
    <s v="Retail"/>
    <s v="Store"/>
    <x v="6"/>
    <x v="2"/>
    <n v="150000"/>
    <n v="2"/>
    <x v="2"/>
    <n v="120000"/>
    <n v="300000"/>
    <n v="240000"/>
    <n v="60000"/>
  </r>
  <r>
    <x v="1446"/>
    <x v="0"/>
    <x v="0"/>
    <x v="0"/>
    <x v="1"/>
    <s v="Corporate"/>
    <s v="Store"/>
    <x v="9"/>
    <x v="1"/>
    <n v="220000"/>
    <n v="4"/>
    <x v="2"/>
    <n v="176000"/>
    <n v="880000"/>
    <n v="704000"/>
    <n v="176000"/>
  </r>
  <r>
    <x v="1447"/>
    <x v="0"/>
    <x v="0"/>
    <x v="2"/>
    <x v="0"/>
    <s v="Corporate"/>
    <s v="Store"/>
    <x v="1"/>
    <x v="1"/>
    <n v="30000"/>
    <n v="6"/>
    <x v="4"/>
    <n v="24000"/>
    <n v="180000"/>
    <n v="144000"/>
    <n v="36000"/>
  </r>
  <r>
    <x v="1448"/>
    <x v="0"/>
    <x v="0"/>
    <x v="1"/>
    <x v="3"/>
    <s v="Retail"/>
    <s v="Store"/>
    <x v="0"/>
    <x v="0"/>
    <n v="85000"/>
    <n v="3"/>
    <x v="2"/>
    <n v="68000"/>
    <n v="255000"/>
    <n v="204000"/>
    <n v="51000"/>
  </r>
  <r>
    <x v="1449"/>
    <x v="0"/>
    <x v="0"/>
    <x v="1"/>
    <x v="1"/>
    <s v="Retail"/>
    <s v="Store"/>
    <x v="0"/>
    <x v="0"/>
    <n v="85000"/>
    <n v="2"/>
    <x v="0"/>
    <n v="68000"/>
    <n v="170000"/>
    <n v="136000"/>
    <n v="34000"/>
  </r>
  <r>
    <x v="1450"/>
    <x v="0"/>
    <x v="0"/>
    <x v="3"/>
    <x v="1"/>
    <s v="Retail"/>
    <s v="Store"/>
    <x v="8"/>
    <x v="2"/>
    <n v="250000"/>
    <n v="10"/>
    <x v="2"/>
    <n v="200000"/>
    <n v="2500000"/>
    <n v="2000000"/>
    <n v="500000"/>
  </r>
  <r>
    <x v="1451"/>
    <x v="0"/>
    <x v="0"/>
    <x v="0"/>
    <x v="1"/>
    <s v="Corporate"/>
    <s v="Store"/>
    <x v="9"/>
    <x v="1"/>
    <n v="220000"/>
    <n v="2"/>
    <x v="4"/>
    <n v="176000"/>
    <n v="440000"/>
    <n v="352000"/>
    <n v="88000"/>
  </r>
  <r>
    <x v="1452"/>
    <x v="0"/>
    <x v="0"/>
    <x v="0"/>
    <x v="0"/>
    <s v="Corporate"/>
    <s v="Store"/>
    <x v="3"/>
    <x v="2"/>
    <n v="300000"/>
    <n v="9"/>
    <x v="4"/>
    <n v="240000"/>
    <n v="2700000"/>
    <n v="2160000"/>
    <n v="540000"/>
  </r>
  <r>
    <x v="1453"/>
    <x v="0"/>
    <x v="0"/>
    <x v="1"/>
    <x v="3"/>
    <s v="Retail"/>
    <s v="Store"/>
    <x v="9"/>
    <x v="1"/>
    <n v="220000"/>
    <n v="3"/>
    <x v="1"/>
    <n v="176000"/>
    <n v="660000"/>
    <n v="528000"/>
    <n v="132000"/>
  </r>
  <r>
    <x v="1454"/>
    <x v="0"/>
    <x v="0"/>
    <x v="1"/>
    <x v="3"/>
    <s v="Corporate"/>
    <s v="Store"/>
    <x v="8"/>
    <x v="2"/>
    <n v="250000"/>
    <n v="8"/>
    <x v="2"/>
    <n v="200000"/>
    <n v="2000000"/>
    <n v="1600000"/>
    <n v="400000"/>
  </r>
  <r>
    <x v="1455"/>
    <x v="0"/>
    <x v="0"/>
    <x v="2"/>
    <x v="1"/>
    <s v="Corporate"/>
    <s v="Store"/>
    <x v="8"/>
    <x v="2"/>
    <n v="250000"/>
    <n v="5"/>
    <x v="5"/>
    <n v="200000"/>
    <n v="1250000"/>
    <n v="1000000"/>
    <n v="250000"/>
  </r>
  <r>
    <x v="1456"/>
    <x v="0"/>
    <x v="0"/>
    <x v="3"/>
    <x v="3"/>
    <s v="Retail"/>
    <s v="Store"/>
    <x v="7"/>
    <x v="2"/>
    <n v="420000"/>
    <n v="5"/>
    <x v="1"/>
    <n v="336000"/>
    <n v="2100000"/>
    <n v="1680000"/>
    <n v="420000"/>
  </r>
  <r>
    <x v="1457"/>
    <x v="0"/>
    <x v="0"/>
    <x v="2"/>
    <x v="1"/>
    <s v="Retail"/>
    <s v="Store"/>
    <x v="2"/>
    <x v="1"/>
    <n v="60000"/>
    <n v="7"/>
    <x v="5"/>
    <n v="48000"/>
    <n v="420000"/>
    <n v="336000"/>
    <n v="84000"/>
  </r>
  <r>
    <x v="1458"/>
    <x v="0"/>
    <x v="0"/>
    <x v="1"/>
    <x v="2"/>
    <s v="Retail"/>
    <s v="Store"/>
    <x v="1"/>
    <x v="1"/>
    <n v="30000"/>
    <n v="8"/>
    <x v="0"/>
    <n v="24000"/>
    <n v="240000"/>
    <n v="192000"/>
    <n v="48000"/>
  </r>
  <r>
    <x v="1459"/>
    <x v="0"/>
    <x v="0"/>
    <x v="3"/>
    <x v="0"/>
    <s v="Corporate"/>
    <s v="Store"/>
    <x v="8"/>
    <x v="2"/>
    <n v="250000"/>
    <n v="2"/>
    <x v="2"/>
    <n v="200000"/>
    <n v="500000"/>
    <n v="400000"/>
    <n v="100000"/>
  </r>
  <r>
    <x v="1460"/>
    <x v="0"/>
    <x v="0"/>
    <x v="1"/>
    <x v="0"/>
    <s v="Retail"/>
    <s v="Store"/>
    <x v="2"/>
    <x v="1"/>
    <n v="60000"/>
    <n v="8"/>
    <x v="5"/>
    <n v="48000"/>
    <n v="480000"/>
    <n v="384000"/>
    <n v="96000"/>
  </r>
  <r>
    <x v="1461"/>
    <x v="0"/>
    <x v="0"/>
    <x v="0"/>
    <x v="0"/>
    <s v="Retail"/>
    <s v="Store"/>
    <x v="1"/>
    <x v="1"/>
    <n v="30000"/>
    <n v="7"/>
    <x v="4"/>
    <n v="24000"/>
    <n v="210000"/>
    <n v="168000"/>
    <n v="42000"/>
  </r>
  <r>
    <x v="1462"/>
    <x v="0"/>
    <x v="0"/>
    <x v="2"/>
    <x v="1"/>
    <s v="Corporate"/>
    <s v="Store"/>
    <x v="1"/>
    <x v="1"/>
    <n v="30000"/>
    <n v="3"/>
    <x v="0"/>
    <n v="24000"/>
    <n v="90000"/>
    <n v="72000"/>
    <n v="18000"/>
  </r>
  <r>
    <x v="1463"/>
    <x v="0"/>
    <x v="0"/>
    <x v="2"/>
    <x v="2"/>
    <s v="Corporate"/>
    <s v="Store"/>
    <x v="4"/>
    <x v="1"/>
    <n v="180000"/>
    <n v="5"/>
    <x v="4"/>
    <n v="144000"/>
    <n v="900000"/>
    <n v="720000"/>
    <n v="180000"/>
  </r>
  <r>
    <x v="1464"/>
    <x v="0"/>
    <x v="0"/>
    <x v="1"/>
    <x v="3"/>
    <s v="Retail"/>
    <s v="Store"/>
    <x v="8"/>
    <x v="2"/>
    <n v="250000"/>
    <n v="5"/>
    <x v="3"/>
    <n v="200000"/>
    <n v="1250000"/>
    <n v="1000000"/>
    <n v="250000"/>
  </r>
  <r>
    <x v="1465"/>
    <x v="0"/>
    <x v="0"/>
    <x v="1"/>
    <x v="0"/>
    <s v="Retail"/>
    <s v="Store"/>
    <x v="0"/>
    <x v="0"/>
    <n v="85000"/>
    <n v="3"/>
    <x v="4"/>
    <n v="68000"/>
    <n v="255000"/>
    <n v="204000"/>
    <n v="51000"/>
  </r>
  <r>
    <x v="1466"/>
    <x v="0"/>
    <x v="0"/>
    <x v="3"/>
    <x v="0"/>
    <s v="Corporate"/>
    <s v="Store"/>
    <x v="1"/>
    <x v="1"/>
    <n v="30000"/>
    <n v="1"/>
    <x v="1"/>
    <n v="24000"/>
    <n v="30000"/>
    <n v="24000"/>
    <n v="6000"/>
  </r>
  <r>
    <x v="1467"/>
    <x v="0"/>
    <x v="0"/>
    <x v="2"/>
    <x v="2"/>
    <s v="Corporate"/>
    <s v="Store"/>
    <x v="3"/>
    <x v="2"/>
    <n v="300000"/>
    <n v="10"/>
    <x v="3"/>
    <n v="240000"/>
    <n v="3000000"/>
    <n v="2400000"/>
    <n v="600000"/>
  </r>
  <r>
    <x v="1468"/>
    <x v="0"/>
    <x v="0"/>
    <x v="2"/>
    <x v="1"/>
    <s v="Corporate"/>
    <s v="Store"/>
    <x v="7"/>
    <x v="2"/>
    <n v="420000"/>
    <n v="5"/>
    <x v="4"/>
    <n v="336000"/>
    <n v="2100000"/>
    <n v="1680000"/>
    <n v="420000"/>
  </r>
  <r>
    <x v="1469"/>
    <x v="0"/>
    <x v="0"/>
    <x v="1"/>
    <x v="0"/>
    <s v="Corporate"/>
    <s v="Store"/>
    <x v="8"/>
    <x v="2"/>
    <n v="250000"/>
    <n v="4"/>
    <x v="4"/>
    <n v="200000"/>
    <n v="1000000"/>
    <n v="800000"/>
    <n v="200000"/>
  </r>
  <r>
    <x v="1470"/>
    <x v="0"/>
    <x v="0"/>
    <x v="2"/>
    <x v="2"/>
    <s v="Retail"/>
    <s v="Store"/>
    <x v="9"/>
    <x v="1"/>
    <n v="220000"/>
    <n v="3"/>
    <x v="0"/>
    <n v="176000"/>
    <n v="660000"/>
    <n v="528000"/>
    <n v="132000"/>
  </r>
  <r>
    <x v="1471"/>
    <x v="0"/>
    <x v="0"/>
    <x v="3"/>
    <x v="3"/>
    <s v="Retail"/>
    <s v="Store"/>
    <x v="5"/>
    <x v="0"/>
    <n v="320000"/>
    <n v="2"/>
    <x v="2"/>
    <n v="256000"/>
    <n v="640000"/>
    <n v="512000"/>
    <n v="128000"/>
  </r>
  <r>
    <x v="1472"/>
    <x v="0"/>
    <x v="0"/>
    <x v="0"/>
    <x v="3"/>
    <s v="Corporate"/>
    <s v="Store"/>
    <x v="5"/>
    <x v="0"/>
    <n v="320000"/>
    <n v="9"/>
    <x v="5"/>
    <n v="256000"/>
    <n v="2880000"/>
    <n v="2304000"/>
    <n v="576000"/>
  </r>
  <r>
    <x v="1473"/>
    <x v="0"/>
    <x v="0"/>
    <x v="3"/>
    <x v="1"/>
    <s v="Retail"/>
    <s v="Store"/>
    <x v="9"/>
    <x v="1"/>
    <n v="220000"/>
    <n v="10"/>
    <x v="1"/>
    <n v="176000"/>
    <n v="2200000"/>
    <n v="1760000"/>
    <n v="440000"/>
  </r>
  <r>
    <x v="1474"/>
    <x v="1"/>
    <x v="1"/>
    <x v="2"/>
    <x v="0"/>
    <s v="Retail"/>
    <s v="Store"/>
    <x v="0"/>
    <x v="0"/>
    <n v="85000"/>
    <n v="1"/>
    <x v="2"/>
    <n v="68000"/>
    <n v="85000"/>
    <n v="68000"/>
    <n v="17000"/>
  </r>
  <r>
    <x v="1475"/>
    <x v="1"/>
    <x v="1"/>
    <x v="2"/>
    <x v="3"/>
    <s v="Retail"/>
    <s v="Online"/>
    <x v="3"/>
    <x v="2"/>
    <n v="300000"/>
    <n v="4"/>
    <x v="2"/>
    <n v="240000"/>
    <n v="1200000"/>
    <n v="960000"/>
    <n v="240000"/>
  </r>
  <r>
    <x v="1476"/>
    <x v="1"/>
    <x v="1"/>
    <x v="2"/>
    <x v="3"/>
    <s v="Corporate"/>
    <s v="Store"/>
    <x v="0"/>
    <x v="0"/>
    <n v="85000"/>
    <n v="5"/>
    <x v="1"/>
    <n v="68000"/>
    <n v="425000"/>
    <n v="340000"/>
    <n v="85000"/>
  </r>
  <r>
    <x v="1477"/>
    <x v="1"/>
    <x v="1"/>
    <x v="2"/>
    <x v="3"/>
    <s v="Corporate"/>
    <s v="Online"/>
    <x v="3"/>
    <x v="2"/>
    <n v="300000"/>
    <n v="5"/>
    <x v="5"/>
    <n v="240000"/>
    <n v="1500000"/>
    <n v="1200000"/>
    <n v="300000"/>
  </r>
  <r>
    <x v="1478"/>
    <x v="1"/>
    <x v="1"/>
    <x v="2"/>
    <x v="3"/>
    <s v="Retail"/>
    <s v="Store"/>
    <x v="3"/>
    <x v="2"/>
    <n v="300000"/>
    <n v="5"/>
    <x v="0"/>
    <n v="240000"/>
    <n v="1500000"/>
    <n v="1200000"/>
    <n v="300000"/>
  </r>
  <r>
    <x v="1479"/>
    <x v="1"/>
    <x v="1"/>
    <x v="0"/>
    <x v="1"/>
    <s v="Corporate"/>
    <s v="Store"/>
    <x v="1"/>
    <x v="1"/>
    <n v="30000"/>
    <n v="10"/>
    <x v="0"/>
    <n v="24000"/>
    <n v="300000"/>
    <n v="240000"/>
    <n v="60000"/>
  </r>
  <r>
    <x v="1480"/>
    <x v="1"/>
    <x v="1"/>
    <x v="2"/>
    <x v="2"/>
    <s v="Retail"/>
    <s v="Online"/>
    <x v="9"/>
    <x v="1"/>
    <n v="220000"/>
    <n v="6"/>
    <x v="3"/>
    <n v="176000"/>
    <n v="1320000"/>
    <n v="1056000"/>
    <n v="264000"/>
  </r>
  <r>
    <x v="1481"/>
    <x v="1"/>
    <x v="1"/>
    <x v="0"/>
    <x v="3"/>
    <s v="Corporate"/>
    <s v="Online"/>
    <x v="0"/>
    <x v="0"/>
    <n v="85000"/>
    <n v="9"/>
    <x v="1"/>
    <n v="68000"/>
    <n v="765000"/>
    <n v="612000"/>
    <n v="153000"/>
  </r>
  <r>
    <x v="1482"/>
    <x v="1"/>
    <x v="1"/>
    <x v="1"/>
    <x v="3"/>
    <s v="Retail"/>
    <s v="Online"/>
    <x v="7"/>
    <x v="2"/>
    <n v="420000"/>
    <n v="10"/>
    <x v="2"/>
    <n v="336000"/>
    <n v="4200000"/>
    <n v="3360000"/>
    <n v="840000"/>
  </r>
  <r>
    <x v="1483"/>
    <x v="1"/>
    <x v="1"/>
    <x v="3"/>
    <x v="0"/>
    <s v="Corporate"/>
    <s v="Store"/>
    <x v="7"/>
    <x v="2"/>
    <n v="420000"/>
    <n v="1"/>
    <x v="3"/>
    <n v="336000"/>
    <n v="420000"/>
    <n v="336000"/>
    <n v="84000"/>
  </r>
  <r>
    <x v="1484"/>
    <x v="1"/>
    <x v="1"/>
    <x v="0"/>
    <x v="1"/>
    <s v="Retail"/>
    <s v="Store"/>
    <x v="2"/>
    <x v="1"/>
    <n v="60000"/>
    <n v="6"/>
    <x v="2"/>
    <n v="48000"/>
    <n v="360000"/>
    <n v="288000"/>
    <n v="72000"/>
  </r>
  <r>
    <x v="1485"/>
    <x v="1"/>
    <x v="1"/>
    <x v="2"/>
    <x v="3"/>
    <s v="Retail"/>
    <s v="Store"/>
    <x v="6"/>
    <x v="2"/>
    <n v="150000"/>
    <n v="1"/>
    <x v="2"/>
    <n v="120000"/>
    <n v="150000"/>
    <n v="120000"/>
    <n v="30000"/>
  </r>
  <r>
    <x v="1486"/>
    <x v="1"/>
    <x v="1"/>
    <x v="3"/>
    <x v="2"/>
    <s v="Retail"/>
    <s v="Online"/>
    <x v="8"/>
    <x v="2"/>
    <n v="250000"/>
    <n v="5"/>
    <x v="2"/>
    <n v="200000"/>
    <n v="1250000"/>
    <n v="1000000"/>
    <n v="250000"/>
  </r>
  <r>
    <x v="1487"/>
    <x v="1"/>
    <x v="1"/>
    <x v="1"/>
    <x v="3"/>
    <s v="Retail"/>
    <s v="Store"/>
    <x v="9"/>
    <x v="1"/>
    <n v="220000"/>
    <n v="5"/>
    <x v="2"/>
    <n v="176000"/>
    <n v="1100000"/>
    <n v="880000"/>
    <n v="220000"/>
  </r>
  <r>
    <x v="1488"/>
    <x v="1"/>
    <x v="1"/>
    <x v="0"/>
    <x v="1"/>
    <s v="Corporate"/>
    <s v="Store"/>
    <x v="2"/>
    <x v="1"/>
    <n v="60000"/>
    <n v="2"/>
    <x v="2"/>
    <n v="48000"/>
    <n v="120000"/>
    <n v="96000"/>
    <n v="24000"/>
  </r>
  <r>
    <x v="1489"/>
    <x v="1"/>
    <x v="1"/>
    <x v="1"/>
    <x v="3"/>
    <s v="Corporate"/>
    <s v="Store"/>
    <x v="6"/>
    <x v="2"/>
    <n v="150000"/>
    <n v="3"/>
    <x v="5"/>
    <n v="120000"/>
    <n v="450000"/>
    <n v="360000"/>
    <n v="90000"/>
  </r>
  <r>
    <x v="1490"/>
    <x v="1"/>
    <x v="1"/>
    <x v="2"/>
    <x v="1"/>
    <s v="Corporate"/>
    <s v="Store"/>
    <x v="0"/>
    <x v="0"/>
    <n v="85000"/>
    <n v="3"/>
    <x v="4"/>
    <n v="68000"/>
    <n v="255000"/>
    <n v="204000"/>
    <n v="51000"/>
  </r>
  <r>
    <x v="1491"/>
    <x v="1"/>
    <x v="1"/>
    <x v="3"/>
    <x v="3"/>
    <s v="Retail"/>
    <s v="Store"/>
    <x v="4"/>
    <x v="1"/>
    <n v="180000"/>
    <n v="7"/>
    <x v="5"/>
    <n v="144000"/>
    <n v="1260000"/>
    <n v="1008000"/>
    <n v="252000"/>
  </r>
  <r>
    <x v="1492"/>
    <x v="1"/>
    <x v="1"/>
    <x v="3"/>
    <x v="1"/>
    <s v="Corporate"/>
    <s v="Online"/>
    <x v="4"/>
    <x v="1"/>
    <n v="180000"/>
    <n v="10"/>
    <x v="4"/>
    <n v="144000"/>
    <n v="1800000"/>
    <n v="1440000"/>
    <n v="360000"/>
  </r>
  <r>
    <x v="1493"/>
    <x v="1"/>
    <x v="1"/>
    <x v="3"/>
    <x v="0"/>
    <s v="Corporate"/>
    <s v="Store"/>
    <x v="4"/>
    <x v="1"/>
    <n v="180000"/>
    <n v="1"/>
    <x v="2"/>
    <n v="144000"/>
    <n v="180000"/>
    <n v="144000"/>
    <n v="36000"/>
  </r>
  <r>
    <x v="1494"/>
    <x v="1"/>
    <x v="1"/>
    <x v="0"/>
    <x v="3"/>
    <s v="Retail"/>
    <s v="Online"/>
    <x v="5"/>
    <x v="0"/>
    <n v="320000"/>
    <n v="5"/>
    <x v="2"/>
    <n v="256000"/>
    <n v="1600000"/>
    <n v="1280000"/>
    <n v="320000"/>
  </r>
  <r>
    <x v="1495"/>
    <x v="1"/>
    <x v="1"/>
    <x v="1"/>
    <x v="1"/>
    <s v="Retail"/>
    <s v="Store"/>
    <x v="7"/>
    <x v="2"/>
    <n v="420000"/>
    <n v="5"/>
    <x v="3"/>
    <n v="336000"/>
    <n v="2100000"/>
    <n v="1680000"/>
    <n v="420000"/>
  </r>
  <r>
    <x v="1496"/>
    <x v="1"/>
    <x v="1"/>
    <x v="0"/>
    <x v="2"/>
    <s v="Corporate"/>
    <s v="Online"/>
    <x v="4"/>
    <x v="1"/>
    <n v="180000"/>
    <n v="2"/>
    <x v="0"/>
    <n v="144000"/>
    <n v="360000"/>
    <n v="288000"/>
    <n v="72000"/>
  </r>
  <r>
    <x v="1497"/>
    <x v="1"/>
    <x v="1"/>
    <x v="2"/>
    <x v="2"/>
    <s v="Retail"/>
    <s v="Store"/>
    <x v="9"/>
    <x v="1"/>
    <n v="220000"/>
    <n v="1"/>
    <x v="1"/>
    <n v="176000"/>
    <n v="220000"/>
    <n v="176000"/>
    <n v="44000"/>
  </r>
  <r>
    <x v="1498"/>
    <x v="1"/>
    <x v="1"/>
    <x v="0"/>
    <x v="2"/>
    <s v="Corporate"/>
    <s v="Online"/>
    <x v="5"/>
    <x v="0"/>
    <n v="320000"/>
    <n v="4"/>
    <x v="4"/>
    <n v="256000"/>
    <n v="1280000"/>
    <n v="1024000"/>
    <n v="256000"/>
  </r>
  <r>
    <x v="1499"/>
    <x v="1"/>
    <x v="1"/>
    <x v="2"/>
    <x v="2"/>
    <s v="Retail"/>
    <s v="Online"/>
    <x v="8"/>
    <x v="2"/>
    <n v="250000"/>
    <n v="4"/>
    <x v="1"/>
    <n v="200000"/>
    <n v="1000000"/>
    <n v="800000"/>
    <n v="200000"/>
  </r>
  <r>
    <x v="1500"/>
    <x v="1"/>
    <x v="1"/>
    <x v="2"/>
    <x v="0"/>
    <s v="Retail"/>
    <s v="Store"/>
    <x v="2"/>
    <x v="1"/>
    <n v="60000"/>
    <n v="10"/>
    <x v="5"/>
    <n v="48000"/>
    <n v="600000"/>
    <n v="480000"/>
    <n v="120000"/>
  </r>
  <r>
    <x v="1501"/>
    <x v="1"/>
    <x v="1"/>
    <x v="1"/>
    <x v="3"/>
    <s v="Corporate"/>
    <s v="Online"/>
    <x v="4"/>
    <x v="1"/>
    <n v="180000"/>
    <n v="10"/>
    <x v="4"/>
    <n v="144000"/>
    <n v="1800000"/>
    <n v="1440000"/>
    <n v="360000"/>
  </r>
  <r>
    <x v="1502"/>
    <x v="2"/>
    <x v="2"/>
    <x v="1"/>
    <x v="2"/>
    <s v="Corporate"/>
    <s v="Store"/>
    <x v="3"/>
    <x v="2"/>
    <n v="300000"/>
    <n v="5"/>
    <x v="3"/>
    <n v="240000"/>
    <n v="1500000"/>
    <n v="1200000"/>
    <n v="300000"/>
  </r>
  <r>
    <x v="1503"/>
    <x v="2"/>
    <x v="2"/>
    <x v="1"/>
    <x v="3"/>
    <s v="Retail"/>
    <s v="Store"/>
    <x v="0"/>
    <x v="0"/>
    <n v="85000"/>
    <n v="7"/>
    <x v="4"/>
    <n v="68000"/>
    <n v="595000"/>
    <n v="476000"/>
    <n v="119000"/>
  </r>
  <r>
    <x v="1504"/>
    <x v="2"/>
    <x v="2"/>
    <x v="1"/>
    <x v="0"/>
    <s v="Retail"/>
    <s v="Online"/>
    <x v="4"/>
    <x v="1"/>
    <n v="180000"/>
    <n v="5"/>
    <x v="2"/>
    <n v="144000"/>
    <n v="900000"/>
    <n v="720000"/>
    <n v="180000"/>
  </r>
  <r>
    <x v="1505"/>
    <x v="2"/>
    <x v="2"/>
    <x v="1"/>
    <x v="2"/>
    <s v="Corporate"/>
    <s v="Store"/>
    <x v="5"/>
    <x v="0"/>
    <n v="320000"/>
    <n v="4"/>
    <x v="1"/>
    <n v="256000"/>
    <n v="1280000"/>
    <n v="1024000"/>
    <n v="256000"/>
  </r>
  <r>
    <x v="1506"/>
    <x v="2"/>
    <x v="2"/>
    <x v="0"/>
    <x v="0"/>
    <s v="Corporate"/>
    <s v="Online"/>
    <x v="4"/>
    <x v="1"/>
    <n v="180000"/>
    <n v="8"/>
    <x v="2"/>
    <n v="144000"/>
    <n v="1440000"/>
    <n v="1152000"/>
    <n v="288000"/>
  </r>
  <r>
    <x v="1507"/>
    <x v="2"/>
    <x v="2"/>
    <x v="3"/>
    <x v="2"/>
    <s v="Retail"/>
    <s v="Online"/>
    <x v="1"/>
    <x v="1"/>
    <n v="30000"/>
    <n v="3"/>
    <x v="4"/>
    <n v="24000"/>
    <n v="90000"/>
    <n v="72000"/>
    <n v="18000"/>
  </r>
  <r>
    <x v="1508"/>
    <x v="2"/>
    <x v="2"/>
    <x v="3"/>
    <x v="3"/>
    <s v="Corporate"/>
    <s v="Store"/>
    <x v="9"/>
    <x v="1"/>
    <n v="220000"/>
    <n v="3"/>
    <x v="1"/>
    <n v="176000"/>
    <n v="660000"/>
    <n v="528000"/>
    <n v="132000"/>
  </r>
  <r>
    <x v="1509"/>
    <x v="2"/>
    <x v="2"/>
    <x v="1"/>
    <x v="2"/>
    <s v="Retail"/>
    <s v="Online"/>
    <x v="0"/>
    <x v="0"/>
    <n v="85000"/>
    <n v="4"/>
    <x v="1"/>
    <n v="68000"/>
    <n v="340000"/>
    <n v="272000"/>
    <n v="68000"/>
  </r>
  <r>
    <x v="1510"/>
    <x v="2"/>
    <x v="2"/>
    <x v="3"/>
    <x v="1"/>
    <s v="Retail"/>
    <s v="Online"/>
    <x v="4"/>
    <x v="1"/>
    <n v="180000"/>
    <n v="6"/>
    <x v="1"/>
    <n v="144000"/>
    <n v="1080000"/>
    <n v="864000"/>
    <n v="216000"/>
  </r>
  <r>
    <x v="1511"/>
    <x v="2"/>
    <x v="2"/>
    <x v="3"/>
    <x v="2"/>
    <s v="Corporate"/>
    <s v="Store"/>
    <x v="9"/>
    <x v="1"/>
    <n v="220000"/>
    <n v="8"/>
    <x v="0"/>
    <n v="176000"/>
    <n v="1760000"/>
    <n v="1408000"/>
    <n v="352000"/>
  </r>
  <r>
    <x v="1512"/>
    <x v="2"/>
    <x v="2"/>
    <x v="2"/>
    <x v="1"/>
    <s v="Retail"/>
    <s v="Store"/>
    <x v="6"/>
    <x v="2"/>
    <n v="150000"/>
    <n v="1"/>
    <x v="5"/>
    <n v="120000"/>
    <n v="150000"/>
    <n v="120000"/>
    <n v="30000"/>
  </r>
  <r>
    <x v="1513"/>
    <x v="2"/>
    <x v="2"/>
    <x v="3"/>
    <x v="2"/>
    <s v="Corporate"/>
    <s v="Online"/>
    <x v="4"/>
    <x v="1"/>
    <n v="180000"/>
    <n v="9"/>
    <x v="3"/>
    <n v="144000"/>
    <n v="1620000"/>
    <n v="1296000"/>
    <n v="324000"/>
  </r>
  <r>
    <x v="1514"/>
    <x v="2"/>
    <x v="2"/>
    <x v="3"/>
    <x v="2"/>
    <s v="Corporate"/>
    <s v="Store"/>
    <x v="7"/>
    <x v="2"/>
    <n v="420000"/>
    <n v="10"/>
    <x v="0"/>
    <n v="336000"/>
    <n v="4200000"/>
    <n v="3360000"/>
    <n v="840000"/>
  </r>
  <r>
    <x v="1515"/>
    <x v="2"/>
    <x v="2"/>
    <x v="0"/>
    <x v="3"/>
    <s v="Retail"/>
    <s v="Online"/>
    <x v="8"/>
    <x v="2"/>
    <n v="250000"/>
    <n v="10"/>
    <x v="0"/>
    <n v="200000"/>
    <n v="2500000"/>
    <n v="2000000"/>
    <n v="500000"/>
  </r>
  <r>
    <x v="1516"/>
    <x v="2"/>
    <x v="2"/>
    <x v="1"/>
    <x v="2"/>
    <s v="Retail"/>
    <s v="Store"/>
    <x v="9"/>
    <x v="1"/>
    <n v="220000"/>
    <n v="3"/>
    <x v="1"/>
    <n v="176000"/>
    <n v="660000"/>
    <n v="528000"/>
    <n v="132000"/>
  </r>
  <r>
    <x v="1517"/>
    <x v="2"/>
    <x v="2"/>
    <x v="3"/>
    <x v="3"/>
    <s v="Retail"/>
    <s v="Online"/>
    <x v="1"/>
    <x v="1"/>
    <n v="30000"/>
    <n v="4"/>
    <x v="3"/>
    <n v="24000"/>
    <n v="120000"/>
    <n v="96000"/>
    <n v="24000"/>
  </r>
  <r>
    <x v="1518"/>
    <x v="2"/>
    <x v="2"/>
    <x v="1"/>
    <x v="3"/>
    <s v="Retail"/>
    <s v="Store"/>
    <x v="4"/>
    <x v="1"/>
    <n v="180000"/>
    <n v="9"/>
    <x v="3"/>
    <n v="144000"/>
    <n v="1620000"/>
    <n v="1296000"/>
    <n v="324000"/>
  </r>
  <r>
    <x v="1519"/>
    <x v="2"/>
    <x v="2"/>
    <x v="0"/>
    <x v="2"/>
    <s v="Retail"/>
    <s v="Store"/>
    <x v="4"/>
    <x v="1"/>
    <n v="180000"/>
    <n v="7"/>
    <x v="3"/>
    <n v="144000"/>
    <n v="1260000"/>
    <n v="1008000"/>
    <n v="252000"/>
  </r>
  <r>
    <x v="1520"/>
    <x v="2"/>
    <x v="2"/>
    <x v="1"/>
    <x v="0"/>
    <s v="Corporate"/>
    <s v="Store"/>
    <x v="6"/>
    <x v="2"/>
    <n v="150000"/>
    <n v="7"/>
    <x v="0"/>
    <n v="120000"/>
    <n v="1050000"/>
    <n v="840000"/>
    <n v="210000"/>
  </r>
  <r>
    <x v="1521"/>
    <x v="2"/>
    <x v="2"/>
    <x v="1"/>
    <x v="3"/>
    <s v="Retail"/>
    <s v="Online"/>
    <x v="1"/>
    <x v="1"/>
    <n v="30000"/>
    <n v="4"/>
    <x v="2"/>
    <n v="24000"/>
    <n v="120000"/>
    <n v="96000"/>
    <n v="24000"/>
  </r>
  <r>
    <x v="1522"/>
    <x v="2"/>
    <x v="2"/>
    <x v="1"/>
    <x v="1"/>
    <s v="Retail"/>
    <s v="Online"/>
    <x v="5"/>
    <x v="0"/>
    <n v="320000"/>
    <n v="2"/>
    <x v="3"/>
    <n v="256000"/>
    <n v="640000"/>
    <n v="512000"/>
    <n v="128000"/>
  </r>
  <r>
    <x v="1523"/>
    <x v="2"/>
    <x v="2"/>
    <x v="1"/>
    <x v="1"/>
    <s v="Corporate"/>
    <s v="Store"/>
    <x v="5"/>
    <x v="0"/>
    <n v="320000"/>
    <n v="6"/>
    <x v="4"/>
    <n v="256000"/>
    <n v="1920000"/>
    <n v="1536000"/>
    <n v="384000"/>
  </r>
  <r>
    <x v="1524"/>
    <x v="2"/>
    <x v="2"/>
    <x v="1"/>
    <x v="2"/>
    <s v="Corporate"/>
    <s v="Store"/>
    <x v="7"/>
    <x v="2"/>
    <n v="420000"/>
    <n v="10"/>
    <x v="1"/>
    <n v="336000"/>
    <n v="4200000"/>
    <n v="3360000"/>
    <n v="840000"/>
  </r>
  <r>
    <x v="1525"/>
    <x v="2"/>
    <x v="2"/>
    <x v="2"/>
    <x v="3"/>
    <s v="Retail"/>
    <s v="Online"/>
    <x v="9"/>
    <x v="1"/>
    <n v="220000"/>
    <n v="8"/>
    <x v="0"/>
    <n v="176000"/>
    <n v="1760000"/>
    <n v="1408000"/>
    <n v="352000"/>
  </r>
  <r>
    <x v="1526"/>
    <x v="2"/>
    <x v="2"/>
    <x v="1"/>
    <x v="0"/>
    <s v="Retail"/>
    <s v="Online"/>
    <x v="3"/>
    <x v="2"/>
    <n v="300000"/>
    <n v="10"/>
    <x v="0"/>
    <n v="240000"/>
    <n v="3000000"/>
    <n v="2400000"/>
    <n v="600000"/>
  </r>
  <r>
    <x v="1527"/>
    <x v="2"/>
    <x v="2"/>
    <x v="2"/>
    <x v="3"/>
    <s v="Corporate"/>
    <s v="Store"/>
    <x v="3"/>
    <x v="2"/>
    <n v="300000"/>
    <n v="3"/>
    <x v="2"/>
    <n v="240000"/>
    <n v="900000"/>
    <n v="720000"/>
    <n v="180000"/>
  </r>
  <r>
    <x v="1528"/>
    <x v="2"/>
    <x v="2"/>
    <x v="3"/>
    <x v="0"/>
    <s v="Retail"/>
    <s v="Online"/>
    <x v="5"/>
    <x v="0"/>
    <n v="320000"/>
    <n v="5"/>
    <x v="4"/>
    <n v="256000"/>
    <n v="1600000"/>
    <n v="1280000"/>
    <n v="320000"/>
  </r>
  <r>
    <x v="1529"/>
    <x v="2"/>
    <x v="2"/>
    <x v="1"/>
    <x v="3"/>
    <s v="Retail"/>
    <s v="Online"/>
    <x v="0"/>
    <x v="0"/>
    <n v="85000"/>
    <n v="7"/>
    <x v="0"/>
    <n v="68000"/>
    <n v="595000"/>
    <n v="476000"/>
    <n v="119000"/>
  </r>
  <r>
    <x v="1530"/>
    <x v="2"/>
    <x v="2"/>
    <x v="0"/>
    <x v="2"/>
    <s v="Retail"/>
    <s v="Store"/>
    <x v="9"/>
    <x v="1"/>
    <n v="220000"/>
    <n v="2"/>
    <x v="4"/>
    <n v="176000"/>
    <n v="440000"/>
    <n v="352000"/>
    <n v="88000"/>
  </r>
  <r>
    <x v="1531"/>
    <x v="2"/>
    <x v="2"/>
    <x v="3"/>
    <x v="3"/>
    <s v="Retail"/>
    <s v="Store"/>
    <x v="3"/>
    <x v="2"/>
    <n v="300000"/>
    <n v="2"/>
    <x v="2"/>
    <n v="240000"/>
    <n v="600000"/>
    <n v="480000"/>
    <n v="120000"/>
  </r>
  <r>
    <x v="1532"/>
    <x v="2"/>
    <x v="2"/>
    <x v="2"/>
    <x v="1"/>
    <s v="Corporate"/>
    <s v="Online"/>
    <x v="0"/>
    <x v="0"/>
    <n v="85000"/>
    <n v="3"/>
    <x v="1"/>
    <n v="68000"/>
    <n v="255000"/>
    <n v="204000"/>
    <n v="51000"/>
  </r>
  <r>
    <x v="1533"/>
    <x v="3"/>
    <x v="3"/>
    <x v="3"/>
    <x v="3"/>
    <s v="Retail"/>
    <s v="Store"/>
    <x v="9"/>
    <x v="1"/>
    <n v="220000"/>
    <n v="7"/>
    <x v="4"/>
    <n v="176000"/>
    <n v="1540000"/>
    <n v="1232000"/>
    <n v="308000"/>
  </r>
  <r>
    <x v="1534"/>
    <x v="3"/>
    <x v="3"/>
    <x v="1"/>
    <x v="2"/>
    <s v="Corporate"/>
    <s v="Online"/>
    <x v="6"/>
    <x v="2"/>
    <n v="150000"/>
    <n v="3"/>
    <x v="2"/>
    <n v="120000"/>
    <n v="450000"/>
    <n v="360000"/>
    <n v="90000"/>
  </r>
  <r>
    <x v="1535"/>
    <x v="3"/>
    <x v="3"/>
    <x v="1"/>
    <x v="1"/>
    <s v="Retail"/>
    <s v="Store"/>
    <x v="7"/>
    <x v="2"/>
    <n v="420000"/>
    <n v="10"/>
    <x v="4"/>
    <n v="336000"/>
    <n v="4200000"/>
    <n v="3360000"/>
    <n v="840000"/>
  </r>
  <r>
    <x v="1536"/>
    <x v="3"/>
    <x v="3"/>
    <x v="3"/>
    <x v="1"/>
    <s v="Retail"/>
    <s v="Store"/>
    <x v="2"/>
    <x v="1"/>
    <n v="60000"/>
    <n v="3"/>
    <x v="3"/>
    <n v="48000"/>
    <n v="180000"/>
    <n v="144000"/>
    <n v="36000"/>
  </r>
  <r>
    <x v="1537"/>
    <x v="3"/>
    <x v="3"/>
    <x v="1"/>
    <x v="1"/>
    <s v="Corporate"/>
    <s v="Online"/>
    <x v="3"/>
    <x v="2"/>
    <n v="300000"/>
    <n v="9"/>
    <x v="1"/>
    <n v="240000"/>
    <n v="2700000"/>
    <n v="2160000"/>
    <n v="540000"/>
  </r>
  <r>
    <x v="1538"/>
    <x v="3"/>
    <x v="3"/>
    <x v="2"/>
    <x v="1"/>
    <s v="Corporate"/>
    <s v="Online"/>
    <x v="2"/>
    <x v="1"/>
    <n v="60000"/>
    <n v="7"/>
    <x v="0"/>
    <n v="48000"/>
    <n v="420000"/>
    <n v="336000"/>
    <n v="84000"/>
  </r>
  <r>
    <x v="1539"/>
    <x v="3"/>
    <x v="3"/>
    <x v="0"/>
    <x v="0"/>
    <s v="Retail"/>
    <s v="Online"/>
    <x v="5"/>
    <x v="0"/>
    <n v="320000"/>
    <n v="3"/>
    <x v="2"/>
    <n v="256000"/>
    <n v="960000"/>
    <n v="768000"/>
    <n v="192000"/>
  </r>
  <r>
    <x v="1540"/>
    <x v="3"/>
    <x v="3"/>
    <x v="3"/>
    <x v="1"/>
    <s v="Corporate"/>
    <s v="Online"/>
    <x v="9"/>
    <x v="1"/>
    <n v="220000"/>
    <n v="5"/>
    <x v="0"/>
    <n v="176000"/>
    <n v="1100000"/>
    <n v="880000"/>
    <n v="220000"/>
  </r>
  <r>
    <x v="1541"/>
    <x v="3"/>
    <x v="3"/>
    <x v="1"/>
    <x v="1"/>
    <s v="Corporate"/>
    <s v="Online"/>
    <x v="9"/>
    <x v="1"/>
    <n v="220000"/>
    <n v="2"/>
    <x v="0"/>
    <n v="176000"/>
    <n v="440000"/>
    <n v="352000"/>
    <n v="88000"/>
  </r>
  <r>
    <x v="1542"/>
    <x v="3"/>
    <x v="3"/>
    <x v="0"/>
    <x v="0"/>
    <s v="Retail"/>
    <s v="Store"/>
    <x v="6"/>
    <x v="2"/>
    <n v="150000"/>
    <n v="10"/>
    <x v="1"/>
    <n v="120000"/>
    <n v="1500000"/>
    <n v="1200000"/>
    <n v="300000"/>
  </r>
  <r>
    <x v="1543"/>
    <x v="3"/>
    <x v="3"/>
    <x v="3"/>
    <x v="2"/>
    <s v="Retail"/>
    <s v="Store"/>
    <x v="1"/>
    <x v="1"/>
    <n v="30000"/>
    <n v="8"/>
    <x v="5"/>
    <n v="24000"/>
    <n v="240000"/>
    <n v="192000"/>
    <n v="48000"/>
  </r>
  <r>
    <x v="1544"/>
    <x v="3"/>
    <x v="3"/>
    <x v="1"/>
    <x v="1"/>
    <s v="Retail"/>
    <s v="Store"/>
    <x v="1"/>
    <x v="1"/>
    <n v="30000"/>
    <n v="9"/>
    <x v="3"/>
    <n v="24000"/>
    <n v="270000"/>
    <n v="216000"/>
    <n v="54000"/>
  </r>
  <r>
    <x v="1545"/>
    <x v="3"/>
    <x v="3"/>
    <x v="1"/>
    <x v="0"/>
    <s v="Retail"/>
    <s v="Store"/>
    <x v="6"/>
    <x v="2"/>
    <n v="150000"/>
    <n v="3"/>
    <x v="1"/>
    <n v="120000"/>
    <n v="450000"/>
    <n v="360000"/>
    <n v="90000"/>
  </r>
  <r>
    <x v="1546"/>
    <x v="3"/>
    <x v="3"/>
    <x v="1"/>
    <x v="0"/>
    <s v="Corporate"/>
    <s v="Online"/>
    <x v="2"/>
    <x v="1"/>
    <n v="60000"/>
    <n v="6"/>
    <x v="2"/>
    <n v="48000"/>
    <n v="360000"/>
    <n v="288000"/>
    <n v="72000"/>
  </r>
  <r>
    <x v="1547"/>
    <x v="3"/>
    <x v="3"/>
    <x v="1"/>
    <x v="0"/>
    <s v="Corporate"/>
    <s v="Store"/>
    <x v="8"/>
    <x v="2"/>
    <n v="250000"/>
    <n v="1"/>
    <x v="2"/>
    <n v="200000"/>
    <n v="250000"/>
    <n v="200000"/>
    <n v="50000"/>
  </r>
  <r>
    <x v="1548"/>
    <x v="3"/>
    <x v="3"/>
    <x v="0"/>
    <x v="2"/>
    <s v="Retail"/>
    <s v="Store"/>
    <x v="0"/>
    <x v="0"/>
    <n v="85000"/>
    <n v="8"/>
    <x v="2"/>
    <n v="68000"/>
    <n v="680000"/>
    <n v="544000"/>
    <n v="136000"/>
  </r>
  <r>
    <x v="1549"/>
    <x v="3"/>
    <x v="3"/>
    <x v="3"/>
    <x v="0"/>
    <s v="Retail"/>
    <s v="Store"/>
    <x v="4"/>
    <x v="1"/>
    <n v="180000"/>
    <n v="8"/>
    <x v="2"/>
    <n v="144000"/>
    <n v="1440000"/>
    <n v="1152000"/>
    <n v="288000"/>
  </r>
  <r>
    <x v="1550"/>
    <x v="3"/>
    <x v="3"/>
    <x v="1"/>
    <x v="3"/>
    <s v="Corporate"/>
    <s v="Store"/>
    <x v="9"/>
    <x v="1"/>
    <n v="220000"/>
    <n v="9"/>
    <x v="4"/>
    <n v="176000"/>
    <n v="1980000"/>
    <n v="1584000"/>
    <n v="396000"/>
  </r>
  <r>
    <x v="1551"/>
    <x v="3"/>
    <x v="3"/>
    <x v="0"/>
    <x v="0"/>
    <s v="Retail"/>
    <s v="Store"/>
    <x v="8"/>
    <x v="2"/>
    <n v="250000"/>
    <n v="3"/>
    <x v="2"/>
    <n v="200000"/>
    <n v="750000"/>
    <n v="600000"/>
    <n v="150000"/>
  </r>
  <r>
    <x v="1552"/>
    <x v="3"/>
    <x v="3"/>
    <x v="3"/>
    <x v="3"/>
    <s v="Retail"/>
    <s v="Online"/>
    <x v="7"/>
    <x v="2"/>
    <n v="420000"/>
    <n v="6"/>
    <x v="5"/>
    <n v="336000"/>
    <n v="2520000"/>
    <n v="2016000"/>
    <n v="504000"/>
  </r>
  <r>
    <x v="1553"/>
    <x v="3"/>
    <x v="3"/>
    <x v="1"/>
    <x v="1"/>
    <s v="Corporate"/>
    <s v="Store"/>
    <x v="4"/>
    <x v="1"/>
    <n v="180000"/>
    <n v="3"/>
    <x v="0"/>
    <n v="144000"/>
    <n v="540000"/>
    <n v="432000"/>
    <n v="108000"/>
  </r>
  <r>
    <x v="1554"/>
    <x v="3"/>
    <x v="3"/>
    <x v="2"/>
    <x v="2"/>
    <s v="Corporate"/>
    <s v="Store"/>
    <x v="4"/>
    <x v="1"/>
    <n v="180000"/>
    <n v="9"/>
    <x v="0"/>
    <n v="144000"/>
    <n v="1620000"/>
    <n v="1296000"/>
    <n v="324000"/>
  </r>
  <r>
    <x v="1555"/>
    <x v="3"/>
    <x v="3"/>
    <x v="1"/>
    <x v="2"/>
    <s v="Retail"/>
    <s v="Online"/>
    <x v="7"/>
    <x v="2"/>
    <n v="420000"/>
    <n v="5"/>
    <x v="0"/>
    <n v="336000"/>
    <n v="2100000"/>
    <n v="1680000"/>
    <n v="420000"/>
  </r>
  <r>
    <x v="1556"/>
    <x v="3"/>
    <x v="3"/>
    <x v="3"/>
    <x v="2"/>
    <s v="Retail"/>
    <s v="Store"/>
    <x v="4"/>
    <x v="1"/>
    <n v="180000"/>
    <n v="6"/>
    <x v="5"/>
    <n v="144000"/>
    <n v="1080000"/>
    <n v="864000"/>
    <n v="216000"/>
  </r>
  <r>
    <x v="1557"/>
    <x v="3"/>
    <x v="3"/>
    <x v="1"/>
    <x v="2"/>
    <s v="Corporate"/>
    <s v="Online"/>
    <x v="3"/>
    <x v="2"/>
    <n v="300000"/>
    <n v="3"/>
    <x v="2"/>
    <n v="240000"/>
    <n v="900000"/>
    <n v="720000"/>
    <n v="180000"/>
  </r>
  <r>
    <x v="1558"/>
    <x v="3"/>
    <x v="3"/>
    <x v="0"/>
    <x v="2"/>
    <s v="Retail"/>
    <s v="Online"/>
    <x v="9"/>
    <x v="1"/>
    <n v="220000"/>
    <n v="7"/>
    <x v="0"/>
    <n v="176000"/>
    <n v="1540000"/>
    <n v="1232000"/>
    <n v="308000"/>
  </r>
  <r>
    <x v="1559"/>
    <x v="3"/>
    <x v="3"/>
    <x v="2"/>
    <x v="1"/>
    <s v="Retail"/>
    <s v="Online"/>
    <x v="2"/>
    <x v="1"/>
    <n v="60000"/>
    <n v="2"/>
    <x v="0"/>
    <n v="48000"/>
    <n v="120000"/>
    <n v="96000"/>
    <n v="24000"/>
  </r>
  <r>
    <x v="1560"/>
    <x v="3"/>
    <x v="3"/>
    <x v="2"/>
    <x v="1"/>
    <s v="Corporate"/>
    <s v="Online"/>
    <x v="1"/>
    <x v="1"/>
    <n v="30000"/>
    <n v="4"/>
    <x v="3"/>
    <n v="24000"/>
    <n v="120000"/>
    <n v="96000"/>
    <n v="24000"/>
  </r>
  <r>
    <x v="1561"/>
    <x v="3"/>
    <x v="3"/>
    <x v="0"/>
    <x v="1"/>
    <s v="Corporate"/>
    <s v="Store"/>
    <x v="5"/>
    <x v="0"/>
    <n v="320000"/>
    <n v="8"/>
    <x v="3"/>
    <n v="256000"/>
    <n v="2560000"/>
    <n v="2048000"/>
    <n v="512000"/>
  </r>
  <r>
    <x v="1562"/>
    <x v="3"/>
    <x v="3"/>
    <x v="0"/>
    <x v="3"/>
    <s v="Corporate"/>
    <s v="Store"/>
    <x v="4"/>
    <x v="1"/>
    <n v="180000"/>
    <n v="5"/>
    <x v="2"/>
    <n v="144000"/>
    <n v="900000"/>
    <n v="720000"/>
    <n v="180000"/>
  </r>
  <r>
    <x v="1563"/>
    <x v="4"/>
    <x v="4"/>
    <x v="1"/>
    <x v="0"/>
    <s v="Retail"/>
    <s v="Store"/>
    <x v="5"/>
    <x v="0"/>
    <n v="320000"/>
    <n v="6"/>
    <x v="2"/>
    <n v="256000"/>
    <n v="1920000"/>
    <n v="1536000"/>
    <n v="384000"/>
  </r>
  <r>
    <x v="1564"/>
    <x v="4"/>
    <x v="4"/>
    <x v="2"/>
    <x v="1"/>
    <s v="Retail"/>
    <s v="Online"/>
    <x v="7"/>
    <x v="2"/>
    <n v="420000"/>
    <n v="3"/>
    <x v="2"/>
    <n v="336000"/>
    <n v="1260000"/>
    <n v="1008000"/>
    <n v="252000"/>
  </r>
  <r>
    <x v="1565"/>
    <x v="4"/>
    <x v="4"/>
    <x v="3"/>
    <x v="3"/>
    <s v="Corporate"/>
    <s v="Online"/>
    <x v="6"/>
    <x v="2"/>
    <n v="150000"/>
    <n v="2"/>
    <x v="5"/>
    <n v="120000"/>
    <n v="300000"/>
    <n v="240000"/>
    <n v="60000"/>
  </r>
  <r>
    <x v="1566"/>
    <x v="4"/>
    <x v="4"/>
    <x v="0"/>
    <x v="3"/>
    <s v="Retail"/>
    <s v="Online"/>
    <x v="4"/>
    <x v="1"/>
    <n v="180000"/>
    <n v="8"/>
    <x v="3"/>
    <n v="144000"/>
    <n v="1440000"/>
    <n v="1152000"/>
    <n v="288000"/>
  </r>
  <r>
    <x v="1567"/>
    <x v="4"/>
    <x v="4"/>
    <x v="3"/>
    <x v="1"/>
    <s v="Retail"/>
    <s v="Online"/>
    <x v="6"/>
    <x v="2"/>
    <n v="150000"/>
    <n v="4"/>
    <x v="3"/>
    <n v="120000"/>
    <n v="600000"/>
    <n v="480000"/>
    <n v="120000"/>
  </r>
  <r>
    <x v="1568"/>
    <x v="4"/>
    <x v="4"/>
    <x v="3"/>
    <x v="2"/>
    <s v="Corporate"/>
    <s v="Store"/>
    <x v="2"/>
    <x v="1"/>
    <n v="60000"/>
    <n v="8"/>
    <x v="2"/>
    <n v="48000"/>
    <n v="480000"/>
    <n v="384000"/>
    <n v="96000"/>
  </r>
  <r>
    <x v="1569"/>
    <x v="4"/>
    <x v="4"/>
    <x v="3"/>
    <x v="0"/>
    <s v="Corporate"/>
    <s v="Store"/>
    <x v="7"/>
    <x v="2"/>
    <n v="420000"/>
    <n v="5"/>
    <x v="4"/>
    <n v="336000"/>
    <n v="2100000"/>
    <n v="1680000"/>
    <n v="420000"/>
  </r>
  <r>
    <x v="1570"/>
    <x v="4"/>
    <x v="4"/>
    <x v="3"/>
    <x v="0"/>
    <s v="Retail"/>
    <s v="Store"/>
    <x v="7"/>
    <x v="2"/>
    <n v="420000"/>
    <n v="6"/>
    <x v="5"/>
    <n v="336000"/>
    <n v="2520000"/>
    <n v="2016000"/>
    <n v="504000"/>
  </r>
  <r>
    <x v="1571"/>
    <x v="4"/>
    <x v="4"/>
    <x v="2"/>
    <x v="0"/>
    <s v="Retail"/>
    <s v="Store"/>
    <x v="3"/>
    <x v="2"/>
    <n v="300000"/>
    <n v="4"/>
    <x v="1"/>
    <n v="240000"/>
    <n v="1200000"/>
    <n v="960000"/>
    <n v="240000"/>
  </r>
  <r>
    <x v="1572"/>
    <x v="4"/>
    <x v="4"/>
    <x v="1"/>
    <x v="3"/>
    <s v="Retail"/>
    <s v="Online"/>
    <x v="4"/>
    <x v="1"/>
    <n v="180000"/>
    <n v="1"/>
    <x v="5"/>
    <n v="144000"/>
    <n v="180000"/>
    <n v="144000"/>
    <n v="36000"/>
  </r>
  <r>
    <x v="1573"/>
    <x v="4"/>
    <x v="4"/>
    <x v="3"/>
    <x v="3"/>
    <s v="Corporate"/>
    <s v="Online"/>
    <x v="7"/>
    <x v="2"/>
    <n v="420000"/>
    <n v="5"/>
    <x v="4"/>
    <n v="336000"/>
    <n v="2100000"/>
    <n v="1680000"/>
    <n v="420000"/>
  </r>
  <r>
    <x v="1574"/>
    <x v="4"/>
    <x v="4"/>
    <x v="0"/>
    <x v="1"/>
    <s v="Corporate"/>
    <s v="Store"/>
    <x v="8"/>
    <x v="2"/>
    <n v="250000"/>
    <n v="7"/>
    <x v="5"/>
    <n v="200000"/>
    <n v="1750000"/>
    <n v="1400000"/>
    <n v="350000"/>
  </r>
  <r>
    <x v="1575"/>
    <x v="4"/>
    <x v="4"/>
    <x v="2"/>
    <x v="3"/>
    <s v="Corporate"/>
    <s v="Online"/>
    <x v="1"/>
    <x v="1"/>
    <n v="30000"/>
    <n v="1"/>
    <x v="5"/>
    <n v="24000"/>
    <n v="30000"/>
    <n v="24000"/>
    <n v="6000"/>
  </r>
  <r>
    <x v="1576"/>
    <x v="4"/>
    <x v="4"/>
    <x v="2"/>
    <x v="1"/>
    <s v="Corporate"/>
    <s v="Online"/>
    <x v="4"/>
    <x v="1"/>
    <n v="180000"/>
    <n v="9"/>
    <x v="3"/>
    <n v="144000"/>
    <n v="1620000"/>
    <n v="1296000"/>
    <n v="324000"/>
  </r>
  <r>
    <x v="1577"/>
    <x v="4"/>
    <x v="4"/>
    <x v="3"/>
    <x v="1"/>
    <s v="Corporate"/>
    <s v="Online"/>
    <x v="3"/>
    <x v="2"/>
    <n v="300000"/>
    <n v="7"/>
    <x v="5"/>
    <n v="240000"/>
    <n v="2100000"/>
    <n v="1680000"/>
    <n v="420000"/>
  </r>
  <r>
    <x v="1578"/>
    <x v="4"/>
    <x v="4"/>
    <x v="1"/>
    <x v="1"/>
    <s v="Retail"/>
    <s v="Online"/>
    <x v="2"/>
    <x v="1"/>
    <n v="60000"/>
    <n v="2"/>
    <x v="5"/>
    <n v="48000"/>
    <n v="120000"/>
    <n v="96000"/>
    <n v="24000"/>
  </r>
  <r>
    <x v="1579"/>
    <x v="4"/>
    <x v="4"/>
    <x v="0"/>
    <x v="3"/>
    <s v="Corporate"/>
    <s v="Online"/>
    <x v="8"/>
    <x v="2"/>
    <n v="250000"/>
    <n v="5"/>
    <x v="2"/>
    <n v="200000"/>
    <n v="1250000"/>
    <n v="1000000"/>
    <n v="250000"/>
  </r>
  <r>
    <x v="1580"/>
    <x v="4"/>
    <x v="4"/>
    <x v="3"/>
    <x v="3"/>
    <s v="Corporate"/>
    <s v="Store"/>
    <x v="0"/>
    <x v="0"/>
    <n v="85000"/>
    <n v="9"/>
    <x v="3"/>
    <n v="68000"/>
    <n v="765000"/>
    <n v="612000"/>
    <n v="153000"/>
  </r>
  <r>
    <x v="1581"/>
    <x v="4"/>
    <x v="4"/>
    <x v="3"/>
    <x v="2"/>
    <s v="Retail"/>
    <s v="Online"/>
    <x v="7"/>
    <x v="2"/>
    <n v="420000"/>
    <n v="5"/>
    <x v="2"/>
    <n v="336000"/>
    <n v="2100000"/>
    <n v="1680000"/>
    <n v="420000"/>
  </r>
  <r>
    <x v="1582"/>
    <x v="4"/>
    <x v="4"/>
    <x v="1"/>
    <x v="3"/>
    <s v="Retail"/>
    <s v="Online"/>
    <x v="7"/>
    <x v="2"/>
    <n v="420000"/>
    <n v="7"/>
    <x v="2"/>
    <n v="336000"/>
    <n v="2940000"/>
    <n v="2352000"/>
    <n v="588000"/>
  </r>
  <r>
    <x v="1583"/>
    <x v="4"/>
    <x v="4"/>
    <x v="3"/>
    <x v="0"/>
    <s v="Retail"/>
    <s v="Store"/>
    <x v="5"/>
    <x v="0"/>
    <n v="320000"/>
    <n v="3"/>
    <x v="2"/>
    <n v="256000"/>
    <n v="960000"/>
    <n v="768000"/>
    <n v="192000"/>
  </r>
  <r>
    <x v="1584"/>
    <x v="4"/>
    <x v="4"/>
    <x v="2"/>
    <x v="0"/>
    <s v="Corporate"/>
    <s v="Store"/>
    <x v="8"/>
    <x v="2"/>
    <n v="250000"/>
    <n v="10"/>
    <x v="2"/>
    <n v="200000"/>
    <n v="2500000"/>
    <n v="2000000"/>
    <n v="500000"/>
  </r>
  <r>
    <x v="1585"/>
    <x v="4"/>
    <x v="4"/>
    <x v="1"/>
    <x v="2"/>
    <s v="Retail"/>
    <s v="Online"/>
    <x v="6"/>
    <x v="2"/>
    <n v="150000"/>
    <n v="9"/>
    <x v="5"/>
    <n v="120000"/>
    <n v="1350000"/>
    <n v="1080000"/>
    <n v="270000"/>
  </r>
  <r>
    <x v="1586"/>
    <x v="4"/>
    <x v="4"/>
    <x v="0"/>
    <x v="0"/>
    <s v="Corporate"/>
    <s v="Online"/>
    <x v="3"/>
    <x v="2"/>
    <n v="300000"/>
    <n v="10"/>
    <x v="0"/>
    <n v="240000"/>
    <n v="3000000"/>
    <n v="2400000"/>
    <n v="600000"/>
  </r>
  <r>
    <x v="1587"/>
    <x v="4"/>
    <x v="4"/>
    <x v="1"/>
    <x v="0"/>
    <s v="Corporate"/>
    <s v="Store"/>
    <x v="3"/>
    <x v="2"/>
    <n v="300000"/>
    <n v="2"/>
    <x v="3"/>
    <n v="240000"/>
    <n v="600000"/>
    <n v="480000"/>
    <n v="120000"/>
  </r>
  <r>
    <x v="1588"/>
    <x v="4"/>
    <x v="4"/>
    <x v="1"/>
    <x v="3"/>
    <s v="Retail"/>
    <s v="Store"/>
    <x v="4"/>
    <x v="1"/>
    <n v="180000"/>
    <n v="2"/>
    <x v="3"/>
    <n v="144000"/>
    <n v="360000"/>
    <n v="288000"/>
    <n v="72000"/>
  </r>
  <r>
    <x v="1589"/>
    <x v="4"/>
    <x v="4"/>
    <x v="0"/>
    <x v="3"/>
    <s v="Corporate"/>
    <s v="Store"/>
    <x v="5"/>
    <x v="0"/>
    <n v="320000"/>
    <n v="10"/>
    <x v="5"/>
    <n v="256000"/>
    <n v="3200000"/>
    <n v="2560000"/>
    <n v="640000"/>
  </r>
  <r>
    <x v="1590"/>
    <x v="4"/>
    <x v="4"/>
    <x v="3"/>
    <x v="0"/>
    <s v="Corporate"/>
    <s v="Store"/>
    <x v="5"/>
    <x v="0"/>
    <n v="320000"/>
    <n v="1"/>
    <x v="4"/>
    <n v="256000"/>
    <n v="320000"/>
    <n v="256000"/>
    <n v="64000"/>
  </r>
  <r>
    <x v="1591"/>
    <x v="4"/>
    <x v="4"/>
    <x v="3"/>
    <x v="3"/>
    <s v="Retail"/>
    <s v="Store"/>
    <x v="6"/>
    <x v="2"/>
    <n v="150000"/>
    <n v="6"/>
    <x v="3"/>
    <n v="120000"/>
    <n v="900000"/>
    <n v="720000"/>
    <n v="180000"/>
  </r>
  <r>
    <x v="1592"/>
    <x v="4"/>
    <x v="4"/>
    <x v="3"/>
    <x v="1"/>
    <s v="Corporate"/>
    <s v="Store"/>
    <x v="0"/>
    <x v="0"/>
    <n v="85000"/>
    <n v="9"/>
    <x v="3"/>
    <n v="68000"/>
    <n v="765000"/>
    <n v="612000"/>
    <n v="153000"/>
  </r>
  <r>
    <x v="1593"/>
    <x v="4"/>
    <x v="4"/>
    <x v="0"/>
    <x v="0"/>
    <s v="Retail"/>
    <s v="Online"/>
    <x v="7"/>
    <x v="2"/>
    <n v="420000"/>
    <n v="7"/>
    <x v="0"/>
    <n v="336000"/>
    <n v="2940000"/>
    <n v="2352000"/>
    <n v="588000"/>
  </r>
  <r>
    <x v="1594"/>
    <x v="5"/>
    <x v="5"/>
    <x v="1"/>
    <x v="0"/>
    <s v="Retail"/>
    <s v="Online"/>
    <x v="1"/>
    <x v="1"/>
    <n v="30000"/>
    <n v="3"/>
    <x v="3"/>
    <n v="24000"/>
    <n v="90000"/>
    <n v="72000"/>
    <n v="18000"/>
  </r>
  <r>
    <x v="1595"/>
    <x v="5"/>
    <x v="5"/>
    <x v="1"/>
    <x v="1"/>
    <s v="Corporate"/>
    <s v="Store"/>
    <x v="1"/>
    <x v="1"/>
    <n v="30000"/>
    <n v="9"/>
    <x v="0"/>
    <n v="24000"/>
    <n v="270000"/>
    <n v="216000"/>
    <n v="54000"/>
  </r>
  <r>
    <x v="1596"/>
    <x v="5"/>
    <x v="5"/>
    <x v="2"/>
    <x v="0"/>
    <s v="Corporate"/>
    <s v="Store"/>
    <x v="2"/>
    <x v="1"/>
    <n v="60000"/>
    <n v="1"/>
    <x v="4"/>
    <n v="48000"/>
    <n v="60000"/>
    <n v="48000"/>
    <n v="12000"/>
  </r>
  <r>
    <x v="1597"/>
    <x v="5"/>
    <x v="5"/>
    <x v="3"/>
    <x v="0"/>
    <s v="Corporate"/>
    <s v="Online"/>
    <x v="8"/>
    <x v="2"/>
    <n v="250000"/>
    <n v="1"/>
    <x v="5"/>
    <n v="200000"/>
    <n v="250000"/>
    <n v="200000"/>
    <n v="50000"/>
  </r>
  <r>
    <x v="1598"/>
    <x v="5"/>
    <x v="5"/>
    <x v="3"/>
    <x v="1"/>
    <s v="Corporate"/>
    <s v="Online"/>
    <x v="6"/>
    <x v="2"/>
    <n v="150000"/>
    <n v="9"/>
    <x v="0"/>
    <n v="120000"/>
    <n v="1350000"/>
    <n v="1080000"/>
    <n v="270000"/>
  </r>
  <r>
    <x v="1599"/>
    <x v="5"/>
    <x v="5"/>
    <x v="0"/>
    <x v="2"/>
    <s v="Corporate"/>
    <s v="Online"/>
    <x v="6"/>
    <x v="2"/>
    <n v="150000"/>
    <n v="8"/>
    <x v="1"/>
    <n v="120000"/>
    <n v="1200000"/>
    <n v="960000"/>
    <n v="240000"/>
  </r>
  <r>
    <x v="1600"/>
    <x v="5"/>
    <x v="5"/>
    <x v="2"/>
    <x v="0"/>
    <s v="Retail"/>
    <s v="Store"/>
    <x v="2"/>
    <x v="1"/>
    <n v="60000"/>
    <n v="4"/>
    <x v="1"/>
    <n v="48000"/>
    <n v="240000"/>
    <n v="192000"/>
    <n v="48000"/>
  </r>
  <r>
    <x v="1601"/>
    <x v="5"/>
    <x v="5"/>
    <x v="0"/>
    <x v="3"/>
    <s v="Retail"/>
    <s v="Store"/>
    <x v="1"/>
    <x v="1"/>
    <n v="30000"/>
    <n v="3"/>
    <x v="3"/>
    <n v="24000"/>
    <n v="90000"/>
    <n v="72000"/>
    <n v="18000"/>
  </r>
  <r>
    <x v="1602"/>
    <x v="5"/>
    <x v="5"/>
    <x v="0"/>
    <x v="0"/>
    <s v="Retail"/>
    <s v="Store"/>
    <x v="5"/>
    <x v="0"/>
    <n v="320000"/>
    <n v="4"/>
    <x v="3"/>
    <n v="256000"/>
    <n v="1280000"/>
    <n v="1024000"/>
    <n v="256000"/>
  </r>
  <r>
    <x v="1603"/>
    <x v="5"/>
    <x v="5"/>
    <x v="3"/>
    <x v="2"/>
    <s v="Corporate"/>
    <s v="Online"/>
    <x v="4"/>
    <x v="1"/>
    <n v="180000"/>
    <n v="8"/>
    <x v="2"/>
    <n v="144000"/>
    <n v="1440000"/>
    <n v="1152000"/>
    <n v="288000"/>
  </r>
  <r>
    <x v="1604"/>
    <x v="5"/>
    <x v="5"/>
    <x v="1"/>
    <x v="3"/>
    <s v="Retail"/>
    <s v="Store"/>
    <x v="0"/>
    <x v="0"/>
    <n v="85000"/>
    <n v="4"/>
    <x v="1"/>
    <n v="68000"/>
    <n v="340000"/>
    <n v="272000"/>
    <n v="68000"/>
  </r>
  <r>
    <x v="1605"/>
    <x v="5"/>
    <x v="5"/>
    <x v="3"/>
    <x v="1"/>
    <s v="Corporate"/>
    <s v="Store"/>
    <x v="9"/>
    <x v="1"/>
    <n v="220000"/>
    <n v="10"/>
    <x v="0"/>
    <n v="176000"/>
    <n v="2200000"/>
    <n v="1760000"/>
    <n v="440000"/>
  </r>
  <r>
    <x v="1606"/>
    <x v="5"/>
    <x v="5"/>
    <x v="2"/>
    <x v="0"/>
    <s v="Corporate"/>
    <s v="Store"/>
    <x v="0"/>
    <x v="0"/>
    <n v="85000"/>
    <n v="5"/>
    <x v="3"/>
    <n v="68000"/>
    <n v="425000"/>
    <n v="340000"/>
    <n v="85000"/>
  </r>
  <r>
    <x v="1607"/>
    <x v="5"/>
    <x v="5"/>
    <x v="0"/>
    <x v="1"/>
    <s v="Retail"/>
    <s v="Store"/>
    <x v="3"/>
    <x v="2"/>
    <n v="300000"/>
    <n v="2"/>
    <x v="4"/>
    <n v="240000"/>
    <n v="600000"/>
    <n v="480000"/>
    <n v="120000"/>
  </r>
  <r>
    <x v="1608"/>
    <x v="5"/>
    <x v="5"/>
    <x v="1"/>
    <x v="3"/>
    <s v="Corporate"/>
    <s v="Online"/>
    <x v="4"/>
    <x v="1"/>
    <n v="180000"/>
    <n v="1"/>
    <x v="3"/>
    <n v="144000"/>
    <n v="180000"/>
    <n v="144000"/>
    <n v="36000"/>
  </r>
  <r>
    <x v="1609"/>
    <x v="5"/>
    <x v="5"/>
    <x v="2"/>
    <x v="3"/>
    <s v="Retail"/>
    <s v="Online"/>
    <x v="6"/>
    <x v="2"/>
    <n v="150000"/>
    <n v="3"/>
    <x v="3"/>
    <n v="120000"/>
    <n v="450000"/>
    <n v="360000"/>
    <n v="90000"/>
  </r>
  <r>
    <x v="1610"/>
    <x v="5"/>
    <x v="5"/>
    <x v="2"/>
    <x v="2"/>
    <s v="Corporate"/>
    <s v="Store"/>
    <x v="4"/>
    <x v="1"/>
    <n v="180000"/>
    <n v="3"/>
    <x v="2"/>
    <n v="144000"/>
    <n v="540000"/>
    <n v="432000"/>
    <n v="108000"/>
  </r>
  <r>
    <x v="1611"/>
    <x v="5"/>
    <x v="5"/>
    <x v="3"/>
    <x v="2"/>
    <s v="Retail"/>
    <s v="Online"/>
    <x v="6"/>
    <x v="2"/>
    <n v="150000"/>
    <n v="5"/>
    <x v="1"/>
    <n v="120000"/>
    <n v="750000"/>
    <n v="600000"/>
    <n v="150000"/>
  </r>
  <r>
    <x v="1612"/>
    <x v="5"/>
    <x v="5"/>
    <x v="1"/>
    <x v="3"/>
    <s v="Corporate"/>
    <s v="Online"/>
    <x v="2"/>
    <x v="1"/>
    <n v="60000"/>
    <n v="8"/>
    <x v="1"/>
    <n v="48000"/>
    <n v="480000"/>
    <n v="384000"/>
    <n v="96000"/>
  </r>
  <r>
    <x v="1613"/>
    <x v="5"/>
    <x v="5"/>
    <x v="1"/>
    <x v="0"/>
    <s v="Retail"/>
    <s v="Store"/>
    <x v="8"/>
    <x v="2"/>
    <n v="250000"/>
    <n v="5"/>
    <x v="1"/>
    <n v="200000"/>
    <n v="1250000"/>
    <n v="1000000"/>
    <n v="250000"/>
  </r>
  <r>
    <x v="1614"/>
    <x v="5"/>
    <x v="5"/>
    <x v="1"/>
    <x v="2"/>
    <s v="Retail"/>
    <s v="Online"/>
    <x v="4"/>
    <x v="1"/>
    <n v="180000"/>
    <n v="3"/>
    <x v="0"/>
    <n v="144000"/>
    <n v="540000"/>
    <n v="432000"/>
    <n v="108000"/>
  </r>
  <r>
    <x v="1615"/>
    <x v="5"/>
    <x v="5"/>
    <x v="3"/>
    <x v="0"/>
    <s v="Corporate"/>
    <s v="Online"/>
    <x v="5"/>
    <x v="0"/>
    <n v="320000"/>
    <n v="9"/>
    <x v="0"/>
    <n v="256000"/>
    <n v="2880000"/>
    <n v="2304000"/>
    <n v="576000"/>
  </r>
  <r>
    <x v="1616"/>
    <x v="5"/>
    <x v="5"/>
    <x v="0"/>
    <x v="0"/>
    <s v="Corporate"/>
    <s v="Store"/>
    <x v="0"/>
    <x v="0"/>
    <n v="85000"/>
    <n v="5"/>
    <x v="2"/>
    <n v="68000"/>
    <n v="425000"/>
    <n v="340000"/>
    <n v="85000"/>
  </r>
  <r>
    <x v="1617"/>
    <x v="5"/>
    <x v="5"/>
    <x v="2"/>
    <x v="1"/>
    <s v="Retail"/>
    <s v="Online"/>
    <x v="9"/>
    <x v="1"/>
    <n v="220000"/>
    <n v="1"/>
    <x v="4"/>
    <n v="176000"/>
    <n v="220000"/>
    <n v="176000"/>
    <n v="44000"/>
  </r>
  <r>
    <x v="1618"/>
    <x v="5"/>
    <x v="5"/>
    <x v="1"/>
    <x v="1"/>
    <s v="Retail"/>
    <s v="Store"/>
    <x v="4"/>
    <x v="1"/>
    <n v="180000"/>
    <n v="2"/>
    <x v="2"/>
    <n v="144000"/>
    <n v="360000"/>
    <n v="288000"/>
    <n v="72000"/>
  </r>
  <r>
    <x v="1619"/>
    <x v="5"/>
    <x v="5"/>
    <x v="1"/>
    <x v="1"/>
    <s v="Corporate"/>
    <s v="Store"/>
    <x v="6"/>
    <x v="2"/>
    <n v="150000"/>
    <n v="1"/>
    <x v="3"/>
    <n v="120000"/>
    <n v="150000"/>
    <n v="120000"/>
    <n v="30000"/>
  </r>
  <r>
    <x v="1620"/>
    <x v="5"/>
    <x v="5"/>
    <x v="0"/>
    <x v="2"/>
    <s v="Retail"/>
    <s v="Store"/>
    <x v="4"/>
    <x v="1"/>
    <n v="180000"/>
    <n v="2"/>
    <x v="1"/>
    <n v="144000"/>
    <n v="360000"/>
    <n v="288000"/>
    <n v="72000"/>
  </r>
  <r>
    <x v="1621"/>
    <x v="5"/>
    <x v="5"/>
    <x v="3"/>
    <x v="3"/>
    <s v="Corporate"/>
    <s v="Online"/>
    <x v="5"/>
    <x v="0"/>
    <n v="320000"/>
    <n v="4"/>
    <x v="5"/>
    <n v="256000"/>
    <n v="1280000"/>
    <n v="1024000"/>
    <n v="256000"/>
  </r>
  <r>
    <x v="1622"/>
    <x v="5"/>
    <x v="5"/>
    <x v="3"/>
    <x v="3"/>
    <s v="Retail"/>
    <s v="Store"/>
    <x v="6"/>
    <x v="2"/>
    <n v="150000"/>
    <n v="10"/>
    <x v="0"/>
    <n v="120000"/>
    <n v="1500000"/>
    <n v="1200000"/>
    <n v="300000"/>
  </r>
  <r>
    <x v="1623"/>
    <x v="5"/>
    <x v="5"/>
    <x v="2"/>
    <x v="2"/>
    <s v="Corporate"/>
    <s v="Store"/>
    <x v="1"/>
    <x v="1"/>
    <n v="30000"/>
    <n v="3"/>
    <x v="3"/>
    <n v="24000"/>
    <n v="90000"/>
    <n v="72000"/>
    <n v="18000"/>
  </r>
  <r>
    <x v="1624"/>
    <x v="6"/>
    <x v="6"/>
    <x v="2"/>
    <x v="2"/>
    <s v="Retail"/>
    <s v="Store"/>
    <x v="0"/>
    <x v="0"/>
    <n v="85000"/>
    <n v="4"/>
    <x v="3"/>
    <n v="68000"/>
    <n v="340000"/>
    <n v="272000"/>
    <n v="68000"/>
  </r>
  <r>
    <x v="1625"/>
    <x v="6"/>
    <x v="6"/>
    <x v="0"/>
    <x v="3"/>
    <s v="Retail"/>
    <s v="Store"/>
    <x v="4"/>
    <x v="1"/>
    <n v="180000"/>
    <n v="10"/>
    <x v="3"/>
    <n v="144000"/>
    <n v="1800000"/>
    <n v="1440000"/>
    <n v="360000"/>
  </r>
  <r>
    <x v="1626"/>
    <x v="6"/>
    <x v="6"/>
    <x v="0"/>
    <x v="1"/>
    <s v="Corporate"/>
    <s v="Store"/>
    <x v="5"/>
    <x v="0"/>
    <n v="320000"/>
    <n v="9"/>
    <x v="4"/>
    <n v="256000"/>
    <n v="2880000"/>
    <n v="2304000"/>
    <n v="576000"/>
  </r>
  <r>
    <x v="1627"/>
    <x v="6"/>
    <x v="6"/>
    <x v="2"/>
    <x v="1"/>
    <s v="Corporate"/>
    <s v="Online"/>
    <x v="6"/>
    <x v="2"/>
    <n v="150000"/>
    <n v="3"/>
    <x v="5"/>
    <n v="120000"/>
    <n v="450000"/>
    <n v="360000"/>
    <n v="90000"/>
  </r>
  <r>
    <x v="1628"/>
    <x v="6"/>
    <x v="6"/>
    <x v="3"/>
    <x v="1"/>
    <s v="Retail"/>
    <s v="Online"/>
    <x v="9"/>
    <x v="1"/>
    <n v="220000"/>
    <n v="5"/>
    <x v="5"/>
    <n v="176000"/>
    <n v="1100000"/>
    <n v="880000"/>
    <n v="220000"/>
  </r>
  <r>
    <x v="1629"/>
    <x v="6"/>
    <x v="6"/>
    <x v="3"/>
    <x v="3"/>
    <s v="Corporate"/>
    <s v="Store"/>
    <x v="3"/>
    <x v="2"/>
    <n v="300000"/>
    <n v="2"/>
    <x v="0"/>
    <n v="240000"/>
    <n v="600000"/>
    <n v="480000"/>
    <n v="120000"/>
  </r>
  <r>
    <x v="1630"/>
    <x v="6"/>
    <x v="6"/>
    <x v="1"/>
    <x v="0"/>
    <s v="Corporate"/>
    <s v="Online"/>
    <x v="3"/>
    <x v="2"/>
    <n v="300000"/>
    <n v="6"/>
    <x v="5"/>
    <n v="240000"/>
    <n v="1800000"/>
    <n v="1440000"/>
    <n v="360000"/>
  </r>
  <r>
    <x v="1631"/>
    <x v="6"/>
    <x v="6"/>
    <x v="3"/>
    <x v="3"/>
    <s v="Corporate"/>
    <s v="Online"/>
    <x v="4"/>
    <x v="1"/>
    <n v="180000"/>
    <n v="7"/>
    <x v="5"/>
    <n v="144000"/>
    <n v="1260000"/>
    <n v="1008000"/>
    <n v="252000"/>
  </r>
  <r>
    <x v="1632"/>
    <x v="6"/>
    <x v="6"/>
    <x v="0"/>
    <x v="2"/>
    <s v="Corporate"/>
    <s v="Store"/>
    <x v="5"/>
    <x v="0"/>
    <n v="320000"/>
    <n v="6"/>
    <x v="0"/>
    <n v="256000"/>
    <n v="1920000"/>
    <n v="1536000"/>
    <n v="384000"/>
  </r>
  <r>
    <x v="1633"/>
    <x v="6"/>
    <x v="6"/>
    <x v="3"/>
    <x v="1"/>
    <s v="Retail"/>
    <s v="Store"/>
    <x v="8"/>
    <x v="2"/>
    <n v="250000"/>
    <n v="5"/>
    <x v="3"/>
    <n v="200000"/>
    <n v="1250000"/>
    <n v="1000000"/>
    <n v="250000"/>
  </r>
  <r>
    <x v="1634"/>
    <x v="6"/>
    <x v="6"/>
    <x v="0"/>
    <x v="1"/>
    <s v="Retail"/>
    <s v="Online"/>
    <x v="3"/>
    <x v="2"/>
    <n v="300000"/>
    <n v="3"/>
    <x v="5"/>
    <n v="240000"/>
    <n v="900000"/>
    <n v="720000"/>
    <n v="180000"/>
  </r>
  <r>
    <x v="1635"/>
    <x v="6"/>
    <x v="6"/>
    <x v="0"/>
    <x v="3"/>
    <s v="Retail"/>
    <s v="Store"/>
    <x v="4"/>
    <x v="1"/>
    <n v="180000"/>
    <n v="8"/>
    <x v="5"/>
    <n v="144000"/>
    <n v="1440000"/>
    <n v="1152000"/>
    <n v="288000"/>
  </r>
  <r>
    <x v="1636"/>
    <x v="6"/>
    <x v="6"/>
    <x v="1"/>
    <x v="3"/>
    <s v="Retail"/>
    <s v="Store"/>
    <x v="5"/>
    <x v="0"/>
    <n v="320000"/>
    <n v="5"/>
    <x v="1"/>
    <n v="256000"/>
    <n v="1600000"/>
    <n v="1280000"/>
    <n v="320000"/>
  </r>
  <r>
    <x v="1637"/>
    <x v="6"/>
    <x v="6"/>
    <x v="0"/>
    <x v="3"/>
    <s v="Retail"/>
    <s v="Online"/>
    <x v="8"/>
    <x v="2"/>
    <n v="250000"/>
    <n v="7"/>
    <x v="1"/>
    <n v="200000"/>
    <n v="1750000"/>
    <n v="1400000"/>
    <n v="350000"/>
  </r>
  <r>
    <x v="1638"/>
    <x v="6"/>
    <x v="6"/>
    <x v="0"/>
    <x v="1"/>
    <s v="Retail"/>
    <s v="Store"/>
    <x v="3"/>
    <x v="2"/>
    <n v="300000"/>
    <n v="8"/>
    <x v="0"/>
    <n v="240000"/>
    <n v="2400000"/>
    <n v="1920000"/>
    <n v="480000"/>
  </r>
  <r>
    <x v="1639"/>
    <x v="6"/>
    <x v="6"/>
    <x v="0"/>
    <x v="1"/>
    <s v="Corporate"/>
    <s v="Online"/>
    <x v="7"/>
    <x v="2"/>
    <n v="420000"/>
    <n v="4"/>
    <x v="5"/>
    <n v="336000"/>
    <n v="1680000"/>
    <n v="1344000"/>
    <n v="336000"/>
  </r>
  <r>
    <x v="1640"/>
    <x v="6"/>
    <x v="6"/>
    <x v="0"/>
    <x v="0"/>
    <s v="Corporate"/>
    <s v="Store"/>
    <x v="8"/>
    <x v="2"/>
    <n v="250000"/>
    <n v="6"/>
    <x v="2"/>
    <n v="200000"/>
    <n v="1500000"/>
    <n v="1200000"/>
    <n v="300000"/>
  </r>
  <r>
    <x v="1641"/>
    <x v="6"/>
    <x v="6"/>
    <x v="1"/>
    <x v="3"/>
    <s v="Retail"/>
    <s v="Online"/>
    <x v="6"/>
    <x v="2"/>
    <n v="150000"/>
    <n v="3"/>
    <x v="2"/>
    <n v="120000"/>
    <n v="450000"/>
    <n v="360000"/>
    <n v="90000"/>
  </r>
  <r>
    <x v="1642"/>
    <x v="6"/>
    <x v="6"/>
    <x v="3"/>
    <x v="0"/>
    <s v="Corporate"/>
    <s v="Store"/>
    <x v="3"/>
    <x v="2"/>
    <n v="300000"/>
    <n v="6"/>
    <x v="4"/>
    <n v="240000"/>
    <n v="1800000"/>
    <n v="1440000"/>
    <n v="360000"/>
  </r>
  <r>
    <x v="1643"/>
    <x v="6"/>
    <x v="6"/>
    <x v="2"/>
    <x v="0"/>
    <s v="Retail"/>
    <s v="Store"/>
    <x v="4"/>
    <x v="1"/>
    <n v="180000"/>
    <n v="2"/>
    <x v="2"/>
    <n v="144000"/>
    <n v="360000"/>
    <n v="288000"/>
    <n v="72000"/>
  </r>
  <r>
    <x v="1644"/>
    <x v="6"/>
    <x v="6"/>
    <x v="1"/>
    <x v="1"/>
    <s v="Corporate"/>
    <s v="Store"/>
    <x v="6"/>
    <x v="2"/>
    <n v="150000"/>
    <n v="6"/>
    <x v="1"/>
    <n v="120000"/>
    <n v="900000"/>
    <n v="720000"/>
    <n v="180000"/>
  </r>
  <r>
    <x v="1645"/>
    <x v="6"/>
    <x v="6"/>
    <x v="2"/>
    <x v="2"/>
    <s v="Retail"/>
    <s v="Store"/>
    <x v="2"/>
    <x v="1"/>
    <n v="60000"/>
    <n v="8"/>
    <x v="4"/>
    <n v="48000"/>
    <n v="480000"/>
    <n v="384000"/>
    <n v="96000"/>
  </r>
  <r>
    <x v="1646"/>
    <x v="6"/>
    <x v="6"/>
    <x v="0"/>
    <x v="1"/>
    <s v="Retail"/>
    <s v="Store"/>
    <x v="9"/>
    <x v="1"/>
    <n v="220000"/>
    <n v="9"/>
    <x v="2"/>
    <n v="176000"/>
    <n v="1980000"/>
    <n v="1584000"/>
    <n v="396000"/>
  </r>
  <r>
    <x v="1647"/>
    <x v="6"/>
    <x v="6"/>
    <x v="3"/>
    <x v="3"/>
    <s v="Corporate"/>
    <s v="Online"/>
    <x v="3"/>
    <x v="2"/>
    <n v="300000"/>
    <n v="9"/>
    <x v="3"/>
    <n v="240000"/>
    <n v="2700000"/>
    <n v="2160000"/>
    <n v="540000"/>
  </r>
  <r>
    <x v="1648"/>
    <x v="6"/>
    <x v="6"/>
    <x v="0"/>
    <x v="3"/>
    <s v="Retail"/>
    <s v="Online"/>
    <x v="7"/>
    <x v="2"/>
    <n v="420000"/>
    <n v="1"/>
    <x v="4"/>
    <n v="336000"/>
    <n v="420000"/>
    <n v="336000"/>
    <n v="84000"/>
  </r>
  <r>
    <x v="1649"/>
    <x v="6"/>
    <x v="6"/>
    <x v="2"/>
    <x v="3"/>
    <s v="Retail"/>
    <s v="Store"/>
    <x v="9"/>
    <x v="1"/>
    <n v="220000"/>
    <n v="6"/>
    <x v="3"/>
    <n v="176000"/>
    <n v="1320000"/>
    <n v="1056000"/>
    <n v="264000"/>
  </r>
  <r>
    <x v="1650"/>
    <x v="6"/>
    <x v="6"/>
    <x v="0"/>
    <x v="1"/>
    <s v="Retail"/>
    <s v="Store"/>
    <x v="1"/>
    <x v="1"/>
    <n v="30000"/>
    <n v="5"/>
    <x v="2"/>
    <n v="24000"/>
    <n v="150000"/>
    <n v="120000"/>
    <n v="30000"/>
  </r>
  <r>
    <x v="1651"/>
    <x v="6"/>
    <x v="6"/>
    <x v="3"/>
    <x v="2"/>
    <s v="Corporate"/>
    <s v="Online"/>
    <x v="1"/>
    <x v="1"/>
    <n v="30000"/>
    <n v="9"/>
    <x v="2"/>
    <n v="24000"/>
    <n v="270000"/>
    <n v="216000"/>
    <n v="54000"/>
  </r>
  <r>
    <x v="1652"/>
    <x v="6"/>
    <x v="6"/>
    <x v="2"/>
    <x v="0"/>
    <s v="Retail"/>
    <s v="Online"/>
    <x v="8"/>
    <x v="2"/>
    <n v="250000"/>
    <n v="1"/>
    <x v="3"/>
    <n v="200000"/>
    <n v="250000"/>
    <n v="200000"/>
    <n v="50000"/>
  </r>
  <r>
    <x v="1653"/>
    <x v="6"/>
    <x v="6"/>
    <x v="2"/>
    <x v="3"/>
    <s v="Retail"/>
    <s v="Online"/>
    <x v="9"/>
    <x v="1"/>
    <n v="220000"/>
    <n v="8"/>
    <x v="1"/>
    <n v="176000"/>
    <n v="1760000"/>
    <n v="1408000"/>
    <n v="352000"/>
  </r>
  <r>
    <x v="1654"/>
    <x v="6"/>
    <x v="6"/>
    <x v="1"/>
    <x v="1"/>
    <s v="Retail"/>
    <s v="Online"/>
    <x v="7"/>
    <x v="2"/>
    <n v="420000"/>
    <n v="8"/>
    <x v="5"/>
    <n v="336000"/>
    <n v="3360000"/>
    <n v="2688000"/>
    <n v="672000"/>
  </r>
  <r>
    <x v="1655"/>
    <x v="7"/>
    <x v="7"/>
    <x v="3"/>
    <x v="2"/>
    <s v="Retail"/>
    <s v="Online"/>
    <x v="3"/>
    <x v="2"/>
    <n v="300000"/>
    <n v="10"/>
    <x v="3"/>
    <n v="240000"/>
    <n v="3000000"/>
    <n v="2400000"/>
    <n v="600000"/>
  </r>
  <r>
    <x v="1656"/>
    <x v="7"/>
    <x v="7"/>
    <x v="3"/>
    <x v="3"/>
    <s v="Retail"/>
    <s v="Online"/>
    <x v="6"/>
    <x v="2"/>
    <n v="150000"/>
    <n v="1"/>
    <x v="3"/>
    <n v="120000"/>
    <n v="150000"/>
    <n v="120000"/>
    <n v="30000"/>
  </r>
  <r>
    <x v="1657"/>
    <x v="7"/>
    <x v="7"/>
    <x v="3"/>
    <x v="3"/>
    <s v="Retail"/>
    <s v="Store"/>
    <x v="9"/>
    <x v="1"/>
    <n v="220000"/>
    <n v="6"/>
    <x v="2"/>
    <n v="176000"/>
    <n v="1320000"/>
    <n v="1056000"/>
    <n v="264000"/>
  </r>
  <r>
    <x v="1658"/>
    <x v="7"/>
    <x v="7"/>
    <x v="3"/>
    <x v="1"/>
    <s v="Corporate"/>
    <s v="Online"/>
    <x v="4"/>
    <x v="1"/>
    <n v="180000"/>
    <n v="3"/>
    <x v="5"/>
    <n v="144000"/>
    <n v="540000"/>
    <n v="432000"/>
    <n v="108000"/>
  </r>
  <r>
    <x v="1659"/>
    <x v="7"/>
    <x v="7"/>
    <x v="3"/>
    <x v="0"/>
    <s v="Retail"/>
    <s v="Store"/>
    <x v="2"/>
    <x v="1"/>
    <n v="60000"/>
    <n v="10"/>
    <x v="3"/>
    <n v="48000"/>
    <n v="600000"/>
    <n v="480000"/>
    <n v="120000"/>
  </r>
  <r>
    <x v="1660"/>
    <x v="7"/>
    <x v="7"/>
    <x v="2"/>
    <x v="0"/>
    <s v="Corporate"/>
    <s v="Online"/>
    <x v="9"/>
    <x v="1"/>
    <n v="220000"/>
    <n v="1"/>
    <x v="4"/>
    <n v="176000"/>
    <n v="220000"/>
    <n v="176000"/>
    <n v="44000"/>
  </r>
  <r>
    <x v="1661"/>
    <x v="7"/>
    <x v="7"/>
    <x v="3"/>
    <x v="2"/>
    <s v="Retail"/>
    <s v="Store"/>
    <x v="8"/>
    <x v="2"/>
    <n v="250000"/>
    <n v="5"/>
    <x v="2"/>
    <n v="200000"/>
    <n v="1250000"/>
    <n v="1000000"/>
    <n v="250000"/>
  </r>
  <r>
    <x v="1662"/>
    <x v="7"/>
    <x v="7"/>
    <x v="2"/>
    <x v="1"/>
    <s v="Corporate"/>
    <s v="Store"/>
    <x v="8"/>
    <x v="2"/>
    <n v="250000"/>
    <n v="8"/>
    <x v="3"/>
    <n v="200000"/>
    <n v="2000000"/>
    <n v="1600000"/>
    <n v="400000"/>
  </r>
  <r>
    <x v="1663"/>
    <x v="7"/>
    <x v="7"/>
    <x v="0"/>
    <x v="3"/>
    <s v="Corporate"/>
    <s v="Online"/>
    <x v="6"/>
    <x v="2"/>
    <n v="150000"/>
    <n v="4"/>
    <x v="1"/>
    <n v="120000"/>
    <n v="600000"/>
    <n v="480000"/>
    <n v="120000"/>
  </r>
  <r>
    <x v="1664"/>
    <x v="7"/>
    <x v="7"/>
    <x v="2"/>
    <x v="1"/>
    <s v="Retail"/>
    <s v="Online"/>
    <x v="9"/>
    <x v="1"/>
    <n v="220000"/>
    <n v="3"/>
    <x v="4"/>
    <n v="176000"/>
    <n v="660000"/>
    <n v="528000"/>
    <n v="132000"/>
  </r>
  <r>
    <x v="1665"/>
    <x v="7"/>
    <x v="7"/>
    <x v="2"/>
    <x v="2"/>
    <s v="Retail"/>
    <s v="Online"/>
    <x v="4"/>
    <x v="1"/>
    <n v="180000"/>
    <n v="7"/>
    <x v="4"/>
    <n v="144000"/>
    <n v="1260000"/>
    <n v="1008000"/>
    <n v="252000"/>
  </r>
  <r>
    <x v="1666"/>
    <x v="7"/>
    <x v="7"/>
    <x v="2"/>
    <x v="1"/>
    <s v="Corporate"/>
    <s v="Store"/>
    <x v="6"/>
    <x v="2"/>
    <n v="150000"/>
    <n v="4"/>
    <x v="3"/>
    <n v="120000"/>
    <n v="600000"/>
    <n v="480000"/>
    <n v="120000"/>
  </r>
  <r>
    <x v="1667"/>
    <x v="7"/>
    <x v="7"/>
    <x v="1"/>
    <x v="2"/>
    <s v="Corporate"/>
    <s v="Online"/>
    <x v="6"/>
    <x v="2"/>
    <n v="150000"/>
    <n v="10"/>
    <x v="1"/>
    <n v="120000"/>
    <n v="1500000"/>
    <n v="1200000"/>
    <n v="300000"/>
  </r>
  <r>
    <x v="1668"/>
    <x v="7"/>
    <x v="7"/>
    <x v="0"/>
    <x v="1"/>
    <s v="Retail"/>
    <s v="Online"/>
    <x v="6"/>
    <x v="2"/>
    <n v="150000"/>
    <n v="1"/>
    <x v="5"/>
    <n v="120000"/>
    <n v="150000"/>
    <n v="120000"/>
    <n v="30000"/>
  </r>
  <r>
    <x v="1669"/>
    <x v="7"/>
    <x v="7"/>
    <x v="3"/>
    <x v="2"/>
    <s v="Corporate"/>
    <s v="Store"/>
    <x v="6"/>
    <x v="2"/>
    <n v="150000"/>
    <n v="4"/>
    <x v="1"/>
    <n v="120000"/>
    <n v="600000"/>
    <n v="480000"/>
    <n v="120000"/>
  </r>
  <r>
    <x v="1670"/>
    <x v="7"/>
    <x v="7"/>
    <x v="0"/>
    <x v="2"/>
    <s v="Corporate"/>
    <s v="Online"/>
    <x v="2"/>
    <x v="1"/>
    <n v="60000"/>
    <n v="5"/>
    <x v="4"/>
    <n v="48000"/>
    <n v="300000"/>
    <n v="240000"/>
    <n v="60000"/>
  </r>
  <r>
    <x v="1671"/>
    <x v="7"/>
    <x v="7"/>
    <x v="2"/>
    <x v="3"/>
    <s v="Retail"/>
    <s v="Store"/>
    <x v="9"/>
    <x v="1"/>
    <n v="220000"/>
    <n v="7"/>
    <x v="0"/>
    <n v="176000"/>
    <n v="1540000"/>
    <n v="1232000"/>
    <n v="308000"/>
  </r>
  <r>
    <x v="1672"/>
    <x v="7"/>
    <x v="7"/>
    <x v="3"/>
    <x v="1"/>
    <s v="Retail"/>
    <s v="Store"/>
    <x v="6"/>
    <x v="2"/>
    <n v="150000"/>
    <n v="4"/>
    <x v="5"/>
    <n v="120000"/>
    <n v="600000"/>
    <n v="480000"/>
    <n v="120000"/>
  </r>
  <r>
    <x v="1673"/>
    <x v="7"/>
    <x v="7"/>
    <x v="1"/>
    <x v="2"/>
    <s v="Corporate"/>
    <s v="Online"/>
    <x v="5"/>
    <x v="0"/>
    <n v="320000"/>
    <n v="6"/>
    <x v="0"/>
    <n v="256000"/>
    <n v="1920000"/>
    <n v="1536000"/>
    <n v="384000"/>
  </r>
  <r>
    <x v="1674"/>
    <x v="7"/>
    <x v="7"/>
    <x v="2"/>
    <x v="0"/>
    <s v="Retail"/>
    <s v="Store"/>
    <x v="5"/>
    <x v="0"/>
    <n v="320000"/>
    <n v="6"/>
    <x v="4"/>
    <n v="256000"/>
    <n v="1920000"/>
    <n v="1536000"/>
    <n v="384000"/>
  </r>
  <r>
    <x v="1675"/>
    <x v="7"/>
    <x v="7"/>
    <x v="0"/>
    <x v="0"/>
    <s v="Corporate"/>
    <s v="Store"/>
    <x v="2"/>
    <x v="1"/>
    <n v="60000"/>
    <n v="4"/>
    <x v="4"/>
    <n v="48000"/>
    <n v="240000"/>
    <n v="192000"/>
    <n v="48000"/>
  </r>
  <r>
    <x v="1676"/>
    <x v="7"/>
    <x v="7"/>
    <x v="3"/>
    <x v="1"/>
    <s v="Retail"/>
    <s v="Online"/>
    <x v="0"/>
    <x v="0"/>
    <n v="85000"/>
    <n v="8"/>
    <x v="1"/>
    <n v="68000"/>
    <n v="680000"/>
    <n v="544000"/>
    <n v="136000"/>
  </r>
  <r>
    <x v="1677"/>
    <x v="7"/>
    <x v="7"/>
    <x v="2"/>
    <x v="2"/>
    <s v="Corporate"/>
    <s v="Online"/>
    <x v="0"/>
    <x v="0"/>
    <n v="85000"/>
    <n v="2"/>
    <x v="5"/>
    <n v="68000"/>
    <n v="170000"/>
    <n v="136000"/>
    <n v="34000"/>
  </r>
  <r>
    <x v="1678"/>
    <x v="7"/>
    <x v="7"/>
    <x v="3"/>
    <x v="2"/>
    <s v="Corporate"/>
    <s v="Store"/>
    <x v="0"/>
    <x v="0"/>
    <n v="85000"/>
    <n v="9"/>
    <x v="0"/>
    <n v="68000"/>
    <n v="765000"/>
    <n v="612000"/>
    <n v="153000"/>
  </r>
  <r>
    <x v="1679"/>
    <x v="7"/>
    <x v="7"/>
    <x v="2"/>
    <x v="2"/>
    <s v="Retail"/>
    <s v="Store"/>
    <x v="7"/>
    <x v="2"/>
    <n v="420000"/>
    <n v="3"/>
    <x v="3"/>
    <n v="336000"/>
    <n v="1260000"/>
    <n v="1008000"/>
    <n v="252000"/>
  </r>
  <r>
    <x v="1680"/>
    <x v="7"/>
    <x v="7"/>
    <x v="3"/>
    <x v="1"/>
    <s v="Retail"/>
    <s v="Online"/>
    <x v="3"/>
    <x v="2"/>
    <n v="300000"/>
    <n v="5"/>
    <x v="3"/>
    <n v="240000"/>
    <n v="1500000"/>
    <n v="1200000"/>
    <n v="300000"/>
  </r>
  <r>
    <x v="1681"/>
    <x v="7"/>
    <x v="7"/>
    <x v="1"/>
    <x v="2"/>
    <s v="Corporate"/>
    <s v="Store"/>
    <x v="1"/>
    <x v="1"/>
    <n v="30000"/>
    <n v="1"/>
    <x v="0"/>
    <n v="24000"/>
    <n v="30000"/>
    <n v="24000"/>
    <n v="6000"/>
  </r>
  <r>
    <x v="1682"/>
    <x v="7"/>
    <x v="7"/>
    <x v="0"/>
    <x v="3"/>
    <s v="Corporate"/>
    <s v="Store"/>
    <x v="9"/>
    <x v="1"/>
    <n v="220000"/>
    <n v="8"/>
    <x v="4"/>
    <n v="176000"/>
    <n v="1760000"/>
    <n v="1408000"/>
    <n v="352000"/>
  </r>
  <r>
    <x v="1683"/>
    <x v="7"/>
    <x v="7"/>
    <x v="3"/>
    <x v="0"/>
    <s v="Corporate"/>
    <s v="Online"/>
    <x v="5"/>
    <x v="0"/>
    <n v="320000"/>
    <n v="5"/>
    <x v="0"/>
    <n v="256000"/>
    <n v="1600000"/>
    <n v="1280000"/>
    <n v="320000"/>
  </r>
  <r>
    <x v="1684"/>
    <x v="7"/>
    <x v="7"/>
    <x v="1"/>
    <x v="1"/>
    <s v="Corporate"/>
    <s v="Online"/>
    <x v="3"/>
    <x v="2"/>
    <n v="300000"/>
    <n v="10"/>
    <x v="3"/>
    <n v="240000"/>
    <n v="3000000"/>
    <n v="2400000"/>
    <n v="600000"/>
  </r>
  <r>
    <x v="1685"/>
    <x v="7"/>
    <x v="7"/>
    <x v="3"/>
    <x v="0"/>
    <s v="Retail"/>
    <s v="Store"/>
    <x v="9"/>
    <x v="1"/>
    <n v="220000"/>
    <n v="1"/>
    <x v="0"/>
    <n v="176000"/>
    <n v="220000"/>
    <n v="176000"/>
    <n v="44000"/>
  </r>
  <r>
    <x v="1686"/>
    <x v="8"/>
    <x v="8"/>
    <x v="2"/>
    <x v="2"/>
    <s v="Corporate"/>
    <s v="Online"/>
    <x v="1"/>
    <x v="1"/>
    <n v="30000"/>
    <n v="6"/>
    <x v="1"/>
    <n v="24000"/>
    <n v="180000"/>
    <n v="144000"/>
    <n v="36000"/>
  </r>
  <r>
    <x v="1687"/>
    <x v="8"/>
    <x v="8"/>
    <x v="3"/>
    <x v="1"/>
    <s v="Retail"/>
    <s v="Online"/>
    <x v="7"/>
    <x v="2"/>
    <n v="420000"/>
    <n v="1"/>
    <x v="5"/>
    <n v="336000"/>
    <n v="420000"/>
    <n v="336000"/>
    <n v="84000"/>
  </r>
  <r>
    <x v="1688"/>
    <x v="8"/>
    <x v="8"/>
    <x v="2"/>
    <x v="3"/>
    <s v="Corporate"/>
    <s v="Store"/>
    <x v="7"/>
    <x v="2"/>
    <n v="420000"/>
    <n v="6"/>
    <x v="4"/>
    <n v="336000"/>
    <n v="2520000"/>
    <n v="2016000"/>
    <n v="504000"/>
  </r>
  <r>
    <x v="1689"/>
    <x v="8"/>
    <x v="8"/>
    <x v="2"/>
    <x v="3"/>
    <s v="Retail"/>
    <s v="Store"/>
    <x v="0"/>
    <x v="0"/>
    <n v="85000"/>
    <n v="7"/>
    <x v="3"/>
    <n v="68000"/>
    <n v="595000"/>
    <n v="476000"/>
    <n v="119000"/>
  </r>
  <r>
    <x v="1690"/>
    <x v="8"/>
    <x v="8"/>
    <x v="2"/>
    <x v="1"/>
    <s v="Corporate"/>
    <s v="Store"/>
    <x v="6"/>
    <x v="2"/>
    <n v="150000"/>
    <n v="7"/>
    <x v="5"/>
    <n v="120000"/>
    <n v="1050000"/>
    <n v="840000"/>
    <n v="210000"/>
  </r>
  <r>
    <x v="1691"/>
    <x v="8"/>
    <x v="8"/>
    <x v="0"/>
    <x v="1"/>
    <s v="Retail"/>
    <s v="Store"/>
    <x v="6"/>
    <x v="2"/>
    <n v="150000"/>
    <n v="10"/>
    <x v="0"/>
    <n v="120000"/>
    <n v="1500000"/>
    <n v="1200000"/>
    <n v="300000"/>
  </r>
  <r>
    <x v="1692"/>
    <x v="8"/>
    <x v="8"/>
    <x v="1"/>
    <x v="0"/>
    <s v="Retail"/>
    <s v="Store"/>
    <x v="1"/>
    <x v="1"/>
    <n v="30000"/>
    <n v="9"/>
    <x v="0"/>
    <n v="24000"/>
    <n v="270000"/>
    <n v="216000"/>
    <n v="54000"/>
  </r>
  <r>
    <x v="1693"/>
    <x v="8"/>
    <x v="8"/>
    <x v="2"/>
    <x v="2"/>
    <s v="Corporate"/>
    <s v="Online"/>
    <x v="5"/>
    <x v="0"/>
    <n v="320000"/>
    <n v="8"/>
    <x v="4"/>
    <n v="256000"/>
    <n v="2560000"/>
    <n v="2048000"/>
    <n v="512000"/>
  </r>
  <r>
    <x v="1694"/>
    <x v="8"/>
    <x v="8"/>
    <x v="1"/>
    <x v="3"/>
    <s v="Retail"/>
    <s v="Store"/>
    <x v="1"/>
    <x v="1"/>
    <n v="30000"/>
    <n v="9"/>
    <x v="2"/>
    <n v="24000"/>
    <n v="270000"/>
    <n v="216000"/>
    <n v="54000"/>
  </r>
  <r>
    <x v="1695"/>
    <x v="8"/>
    <x v="8"/>
    <x v="1"/>
    <x v="2"/>
    <s v="Corporate"/>
    <s v="Online"/>
    <x v="8"/>
    <x v="2"/>
    <n v="250000"/>
    <n v="3"/>
    <x v="1"/>
    <n v="200000"/>
    <n v="750000"/>
    <n v="600000"/>
    <n v="150000"/>
  </r>
  <r>
    <x v="1696"/>
    <x v="8"/>
    <x v="8"/>
    <x v="1"/>
    <x v="1"/>
    <s v="Corporate"/>
    <s v="Online"/>
    <x v="2"/>
    <x v="1"/>
    <n v="60000"/>
    <n v="2"/>
    <x v="1"/>
    <n v="48000"/>
    <n v="120000"/>
    <n v="96000"/>
    <n v="24000"/>
  </r>
  <r>
    <x v="1697"/>
    <x v="8"/>
    <x v="8"/>
    <x v="0"/>
    <x v="3"/>
    <s v="Retail"/>
    <s v="Store"/>
    <x v="5"/>
    <x v="0"/>
    <n v="320000"/>
    <n v="3"/>
    <x v="2"/>
    <n v="256000"/>
    <n v="960000"/>
    <n v="768000"/>
    <n v="192000"/>
  </r>
  <r>
    <x v="1698"/>
    <x v="8"/>
    <x v="8"/>
    <x v="1"/>
    <x v="2"/>
    <s v="Retail"/>
    <s v="Online"/>
    <x v="3"/>
    <x v="2"/>
    <n v="300000"/>
    <n v="9"/>
    <x v="1"/>
    <n v="240000"/>
    <n v="2700000"/>
    <n v="2160000"/>
    <n v="540000"/>
  </r>
  <r>
    <x v="1699"/>
    <x v="8"/>
    <x v="8"/>
    <x v="1"/>
    <x v="3"/>
    <s v="Retail"/>
    <s v="Online"/>
    <x v="7"/>
    <x v="2"/>
    <n v="420000"/>
    <n v="4"/>
    <x v="5"/>
    <n v="336000"/>
    <n v="1680000"/>
    <n v="1344000"/>
    <n v="336000"/>
  </r>
  <r>
    <x v="1700"/>
    <x v="8"/>
    <x v="8"/>
    <x v="0"/>
    <x v="0"/>
    <s v="Retail"/>
    <s v="Store"/>
    <x v="5"/>
    <x v="0"/>
    <n v="320000"/>
    <n v="6"/>
    <x v="3"/>
    <n v="256000"/>
    <n v="1920000"/>
    <n v="1536000"/>
    <n v="384000"/>
  </r>
  <r>
    <x v="1701"/>
    <x v="8"/>
    <x v="8"/>
    <x v="0"/>
    <x v="3"/>
    <s v="Retail"/>
    <s v="Store"/>
    <x v="9"/>
    <x v="1"/>
    <n v="220000"/>
    <n v="4"/>
    <x v="5"/>
    <n v="176000"/>
    <n v="880000"/>
    <n v="704000"/>
    <n v="176000"/>
  </r>
  <r>
    <x v="1702"/>
    <x v="8"/>
    <x v="8"/>
    <x v="2"/>
    <x v="3"/>
    <s v="Retail"/>
    <s v="Store"/>
    <x v="0"/>
    <x v="0"/>
    <n v="85000"/>
    <n v="8"/>
    <x v="1"/>
    <n v="68000"/>
    <n v="680000"/>
    <n v="544000"/>
    <n v="136000"/>
  </r>
  <r>
    <x v="1703"/>
    <x v="8"/>
    <x v="8"/>
    <x v="0"/>
    <x v="0"/>
    <s v="Retail"/>
    <s v="Store"/>
    <x v="7"/>
    <x v="2"/>
    <n v="420000"/>
    <n v="7"/>
    <x v="2"/>
    <n v="336000"/>
    <n v="2940000"/>
    <n v="2352000"/>
    <n v="588000"/>
  </r>
  <r>
    <x v="1704"/>
    <x v="8"/>
    <x v="8"/>
    <x v="1"/>
    <x v="3"/>
    <s v="Corporate"/>
    <s v="Store"/>
    <x v="9"/>
    <x v="1"/>
    <n v="220000"/>
    <n v="2"/>
    <x v="0"/>
    <n v="176000"/>
    <n v="440000"/>
    <n v="352000"/>
    <n v="88000"/>
  </r>
  <r>
    <x v="1705"/>
    <x v="8"/>
    <x v="8"/>
    <x v="3"/>
    <x v="2"/>
    <s v="Retail"/>
    <s v="Online"/>
    <x v="6"/>
    <x v="2"/>
    <n v="150000"/>
    <n v="1"/>
    <x v="3"/>
    <n v="120000"/>
    <n v="150000"/>
    <n v="120000"/>
    <n v="30000"/>
  </r>
  <r>
    <x v="1706"/>
    <x v="8"/>
    <x v="8"/>
    <x v="3"/>
    <x v="0"/>
    <s v="Corporate"/>
    <s v="Store"/>
    <x v="7"/>
    <x v="2"/>
    <n v="420000"/>
    <n v="4"/>
    <x v="4"/>
    <n v="336000"/>
    <n v="1680000"/>
    <n v="1344000"/>
    <n v="336000"/>
  </r>
  <r>
    <x v="1707"/>
    <x v="8"/>
    <x v="8"/>
    <x v="2"/>
    <x v="1"/>
    <s v="Corporate"/>
    <s v="Online"/>
    <x v="3"/>
    <x v="2"/>
    <n v="300000"/>
    <n v="1"/>
    <x v="2"/>
    <n v="240000"/>
    <n v="300000"/>
    <n v="240000"/>
    <n v="60000"/>
  </r>
  <r>
    <x v="1708"/>
    <x v="8"/>
    <x v="8"/>
    <x v="0"/>
    <x v="1"/>
    <s v="Retail"/>
    <s v="Store"/>
    <x v="3"/>
    <x v="2"/>
    <n v="300000"/>
    <n v="9"/>
    <x v="1"/>
    <n v="240000"/>
    <n v="2700000"/>
    <n v="2160000"/>
    <n v="540000"/>
  </r>
  <r>
    <x v="1709"/>
    <x v="8"/>
    <x v="8"/>
    <x v="2"/>
    <x v="3"/>
    <s v="Retail"/>
    <s v="Online"/>
    <x v="8"/>
    <x v="2"/>
    <n v="250000"/>
    <n v="6"/>
    <x v="1"/>
    <n v="200000"/>
    <n v="1500000"/>
    <n v="1200000"/>
    <n v="300000"/>
  </r>
  <r>
    <x v="1710"/>
    <x v="8"/>
    <x v="8"/>
    <x v="3"/>
    <x v="2"/>
    <s v="Retail"/>
    <s v="Store"/>
    <x v="1"/>
    <x v="1"/>
    <n v="30000"/>
    <n v="7"/>
    <x v="2"/>
    <n v="24000"/>
    <n v="210000"/>
    <n v="168000"/>
    <n v="42000"/>
  </r>
  <r>
    <x v="1711"/>
    <x v="8"/>
    <x v="8"/>
    <x v="2"/>
    <x v="0"/>
    <s v="Corporate"/>
    <s v="Online"/>
    <x v="0"/>
    <x v="0"/>
    <n v="85000"/>
    <n v="7"/>
    <x v="5"/>
    <n v="68000"/>
    <n v="595000"/>
    <n v="476000"/>
    <n v="119000"/>
  </r>
  <r>
    <x v="1712"/>
    <x v="8"/>
    <x v="8"/>
    <x v="0"/>
    <x v="3"/>
    <s v="Corporate"/>
    <s v="Online"/>
    <x v="0"/>
    <x v="0"/>
    <n v="85000"/>
    <n v="7"/>
    <x v="5"/>
    <n v="68000"/>
    <n v="595000"/>
    <n v="476000"/>
    <n v="119000"/>
  </r>
  <r>
    <x v="1713"/>
    <x v="8"/>
    <x v="8"/>
    <x v="2"/>
    <x v="2"/>
    <s v="Retail"/>
    <s v="Online"/>
    <x v="1"/>
    <x v="1"/>
    <n v="30000"/>
    <n v="4"/>
    <x v="0"/>
    <n v="24000"/>
    <n v="120000"/>
    <n v="96000"/>
    <n v="24000"/>
  </r>
  <r>
    <x v="1714"/>
    <x v="8"/>
    <x v="8"/>
    <x v="0"/>
    <x v="2"/>
    <s v="Retail"/>
    <s v="Online"/>
    <x v="6"/>
    <x v="2"/>
    <n v="150000"/>
    <n v="9"/>
    <x v="1"/>
    <n v="120000"/>
    <n v="1350000"/>
    <n v="1080000"/>
    <n v="270000"/>
  </r>
  <r>
    <x v="1715"/>
    <x v="8"/>
    <x v="8"/>
    <x v="3"/>
    <x v="0"/>
    <s v="Corporate"/>
    <s v="Store"/>
    <x v="9"/>
    <x v="1"/>
    <n v="220000"/>
    <n v="9"/>
    <x v="5"/>
    <n v="176000"/>
    <n v="1980000"/>
    <n v="1584000"/>
    <n v="396000"/>
  </r>
  <r>
    <x v="1716"/>
    <x v="9"/>
    <x v="9"/>
    <x v="1"/>
    <x v="2"/>
    <s v="Corporate"/>
    <s v="Online"/>
    <x v="1"/>
    <x v="1"/>
    <n v="30000"/>
    <n v="8"/>
    <x v="4"/>
    <n v="24000"/>
    <n v="240000"/>
    <n v="192000"/>
    <n v="48000"/>
  </r>
  <r>
    <x v="1717"/>
    <x v="9"/>
    <x v="9"/>
    <x v="1"/>
    <x v="2"/>
    <s v="Retail"/>
    <s v="Online"/>
    <x v="0"/>
    <x v="0"/>
    <n v="85000"/>
    <n v="2"/>
    <x v="1"/>
    <n v="68000"/>
    <n v="170000"/>
    <n v="136000"/>
    <n v="34000"/>
  </r>
  <r>
    <x v="1718"/>
    <x v="9"/>
    <x v="9"/>
    <x v="2"/>
    <x v="1"/>
    <s v="Corporate"/>
    <s v="Online"/>
    <x v="4"/>
    <x v="1"/>
    <n v="180000"/>
    <n v="9"/>
    <x v="1"/>
    <n v="144000"/>
    <n v="1620000"/>
    <n v="1296000"/>
    <n v="324000"/>
  </r>
  <r>
    <x v="1719"/>
    <x v="9"/>
    <x v="9"/>
    <x v="1"/>
    <x v="2"/>
    <s v="Retail"/>
    <s v="Online"/>
    <x v="6"/>
    <x v="2"/>
    <n v="150000"/>
    <n v="8"/>
    <x v="5"/>
    <n v="120000"/>
    <n v="1200000"/>
    <n v="960000"/>
    <n v="240000"/>
  </r>
  <r>
    <x v="1720"/>
    <x v="9"/>
    <x v="9"/>
    <x v="3"/>
    <x v="0"/>
    <s v="Retail"/>
    <s v="Online"/>
    <x v="2"/>
    <x v="1"/>
    <n v="60000"/>
    <n v="8"/>
    <x v="4"/>
    <n v="48000"/>
    <n v="480000"/>
    <n v="384000"/>
    <n v="96000"/>
  </r>
  <r>
    <x v="1721"/>
    <x v="9"/>
    <x v="9"/>
    <x v="0"/>
    <x v="0"/>
    <s v="Retail"/>
    <s v="Store"/>
    <x v="3"/>
    <x v="2"/>
    <n v="300000"/>
    <n v="5"/>
    <x v="2"/>
    <n v="240000"/>
    <n v="1500000"/>
    <n v="1200000"/>
    <n v="300000"/>
  </r>
  <r>
    <x v="1722"/>
    <x v="9"/>
    <x v="9"/>
    <x v="3"/>
    <x v="1"/>
    <s v="Retail"/>
    <s v="Online"/>
    <x v="1"/>
    <x v="1"/>
    <n v="30000"/>
    <n v="8"/>
    <x v="3"/>
    <n v="24000"/>
    <n v="240000"/>
    <n v="192000"/>
    <n v="48000"/>
  </r>
  <r>
    <x v="1723"/>
    <x v="9"/>
    <x v="9"/>
    <x v="3"/>
    <x v="0"/>
    <s v="Corporate"/>
    <s v="Store"/>
    <x v="7"/>
    <x v="2"/>
    <n v="420000"/>
    <n v="3"/>
    <x v="1"/>
    <n v="336000"/>
    <n v="1260000"/>
    <n v="1008000"/>
    <n v="252000"/>
  </r>
  <r>
    <x v="1724"/>
    <x v="9"/>
    <x v="9"/>
    <x v="0"/>
    <x v="0"/>
    <s v="Corporate"/>
    <s v="Online"/>
    <x v="7"/>
    <x v="2"/>
    <n v="420000"/>
    <n v="7"/>
    <x v="5"/>
    <n v="336000"/>
    <n v="2940000"/>
    <n v="2352000"/>
    <n v="588000"/>
  </r>
  <r>
    <x v="1725"/>
    <x v="9"/>
    <x v="9"/>
    <x v="1"/>
    <x v="1"/>
    <s v="Corporate"/>
    <s v="Online"/>
    <x v="0"/>
    <x v="0"/>
    <n v="85000"/>
    <n v="9"/>
    <x v="5"/>
    <n v="68000"/>
    <n v="765000"/>
    <n v="612000"/>
    <n v="153000"/>
  </r>
  <r>
    <x v="1726"/>
    <x v="9"/>
    <x v="9"/>
    <x v="1"/>
    <x v="1"/>
    <s v="Corporate"/>
    <s v="Online"/>
    <x v="3"/>
    <x v="2"/>
    <n v="300000"/>
    <n v="8"/>
    <x v="2"/>
    <n v="240000"/>
    <n v="2400000"/>
    <n v="1920000"/>
    <n v="480000"/>
  </r>
  <r>
    <x v="1727"/>
    <x v="9"/>
    <x v="9"/>
    <x v="3"/>
    <x v="3"/>
    <s v="Retail"/>
    <s v="Store"/>
    <x v="7"/>
    <x v="2"/>
    <n v="420000"/>
    <n v="6"/>
    <x v="0"/>
    <n v="336000"/>
    <n v="2520000"/>
    <n v="2016000"/>
    <n v="504000"/>
  </r>
  <r>
    <x v="1728"/>
    <x v="9"/>
    <x v="9"/>
    <x v="2"/>
    <x v="3"/>
    <s v="Corporate"/>
    <s v="Online"/>
    <x v="6"/>
    <x v="2"/>
    <n v="150000"/>
    <n v="9"/>
    <x v="3"/>
    <n v="120000"/>
    <n v="1350000"/>
    <n v="1080000"/>
    <n v="270000"/>
  </r>
  <r>
    <x v="1729"/>
    <x v="9"/>
    <x v="9"/>
    <x v="1"/>
    <x v="2"/>
    <s v="Retail"/>
    <s v="Store"/>
    <x v="1"/>
    <x v="1"/>
    <n v="30000"/>
    <n v="3"/>
    <x v="2"/>
    <n v="24000"/>
    <n v="90000"/>
    <n v="72000"/>
    <n v="18000"/>
  </r>
  <r>
    <x v="1730"/>
    <x v="9"/>
    <x v="9"/>
    <x v="1"/>
    <x v="2"/>
    <s v="Retail"/>
    <s v="Store"/>
    <x v="1"/>
    <x v="1"/>
    <n v="30000"/>
    <n v="4"/>
    <x v="4"/>
    <n v="24000"/>
    <n v="120000"/>
    <n v="96000"/>
    <n v="24000"/>
  </r>
  <r>
    <x v="1731"/>
    <x v="9"/>
    <x v="9"/>
    <x v="3"/>
    <x v="1"/>
    <s v="Corporate"/>
    <s v="Online"/>
    <x v="2"/>
    <x v="1"/>
    <n v="60000"/>
    <n v="4"/>
    <x v="4"/>
    <n v="48000"/>
    <n v="240000"/>
    <n v="192000"/>
    <n v="48000"/>
  </r>
  <r>
    <x v="1732"/>
    <x v="9"/>
    <x v="9"/>
    <x v="3"/>
    <x v="2"/>
    <s v="Retail"/>
    <s v="Store"/>
    <x v="8"/>
    <x v="2"/>
    <n v="250000"/>
    <n v="8"/>
    <x v="0"/>
    <n v="200000"/>
    <n v="2000000"/>
    <n v="1600000"/>
    <n v="400000"/>
  </r>
  <r>
    <x v="1733"/>
    <x v="9"/>
    <x v="9"/>
    <x v="3"/>
    <x v="3"/>
    <s v="Corporate"/>
    <s v="Online"/>
    <x v="1"/>
    <x v="1"/>
    <n v="30000"/>
    <n v="6"/>
    <x v="2"/>
    <n v="24000"/>
    <n v="180000"/>
    <n v="144000"/>
    <n v="36000"/>
  </r>
  <r>
    <x v="1734"/>
    <x v="9"/>
    <x v="9"/>
    <x v="2"/>
    <x v="1"/>
    <s v="Corporate"/>
    <s v="Store"/>
    <x v="8"/>
    <x v="2"/>
    <n v="250000"/>
    <n v="1"/>
    <x v="1"/>
    <n v="200000"/>
    <n v="250000"/>
    <n v="200000"/>
    <n v="50000"/>
  </r>
  <r>
    <x v="1735"/>
    <x v="9"/>
    <x v="9"/>
    <x v="0"/>
    <x v="0"/>
    <s v="Retail"/>
    <s v="Online"/>
    <x v="0"/>
    <x v="0"/>
    <n v="85000"/>
    <n v="1"/>
    <x v="3"/>
    <n v="68000"/>
    <n v="85000"/>
    <n v="68000"/>
    <n v="17000"/>
  </r>
  <r>
    <x v="1736"/>
    <x v="9"/>
    <x v="9"/>
    <x v="3"/>
    <x v="0"/>
    <s v="Corporate"/>
    <s v="Store"/>
    <x v="1"/>
    <x v="1"/>
    <n v="30000"/>
    <n v="9"/>
    <x v="0"/>
    <n v="24000"/>
    <n v="270000"/>
    <n v="216000"/>
    <n v="54000"/>
  </r>
  <r>
    <x v="1737"/>
    <x v="9"/>
    <x v="9"/>
    <x v="2"/>
    <x v="3"/>
    <s v="Corporate"/>
    <s v="Store"/>
    <x v="1"/>
    <x v="1"/>
    <n v="30000"/>
    <n v="3"/>
    <x v="0"/>
    <n v="24000"/>
    <n v="90000"/>
    <n v="72000"/>
    <n v="18000"/>
  </r>
  <r>
    <x v="1738"/>
    <x v="9"/>
    <x v="9"/>
    <x v="2"/>
    <x v="0"/>
    <s v="Corporate"/>
    <s v="Store"/>
    <x v="6"/>
    <x v="2"/>
    <n v="150000"/>
    <n v="8"/>
    <x v="2"/>
    <n v="120000"/>
    <n v="1200000"/>
    <n v="960000"/>
    <n v="240000"/>
  </r>
  <r>
    <x v="1739"/>
    <x v="9"/>
    <x v="9"/>
    <x v="3"/>
    <x v="2"/>
    <s v="Retail"/>
    <s v="Store"/>
    <x v="0"/>
    <x v="0"/>
    <n v="85000"/>
    <n v="4"/>
    <x v="1"/>
    <n v="68000"/>
    <n v="340000"/>
    <n v="272000"/>
    <n v="68000"/>
  </r>
  <r>
    <x v="1740"/>
    <x v="9"/>
    <x v="9"/>
    <x v="0"/>
    <x v="2"/>
    <s v="Corporate"/>
    <s v="Store"/>
    <x v="5"/>
    <x v="0"/>
    <n v="320000"/>
    <n v="3"/>
    <x v="2"/>
    <n v="256000"/>
    <n v="960000"/>
    <n v="768000"/>
    <n v="192000"/>
  </r>
  <r>
    <x v="1741"/>
    <x v="9"/>
    <x v="9"/>
    <x v="1"/>
    <x v="3"/>
    <s v="Retail"/>
    <s v="Online"/>
    <x v="2"/>
    <x v="1"/>
    <n v="60000"/>
    <n v="7"/>
    <x v="1"/>
    <n v="48000"/>
    <n v="420000"/>
    <n v="336000"/>
    <n v="84000"/>
  </r>
  <r>
    <x v="1742"/>
    <x v="9"/>
    <x v="9"/>
    <x v="1"/>
    <x v="3"/>
    <s v="Corporate"/>
    <s v="Store"/>
    <x v="3"/>
    <x v="2"/>
    <n v="300000"/>
    <n v="6"/>
    <x v="1"/>
    <n v="240000"/>
    <n v="1800000"/>
    <n v="1440000"/>
    <n v="360000"/>
  </r>
  <r>
    <x v="1743"/>
    <x v="9"/>
    <x v="9"/>
    <x v="2"/>
    <x v="3"/>
    <s v="Retail"/>
    <s v="Online"/>
    <x v="6"/>
    <x v="2"/>
    <n v="150000"/>
    <n v="6"/>
    <x v="3"/>
    <n v="120000"/>
    <n v="900000"/>
    <n v="720000"/>
    <n v="180000"/>
  </r>
  <r>
    <x v="1744"/>
    <x v="9"/>
    <x v="9"/>
    <x v="2"/>
    <x v="0"/>
    <s v="Corporate"/>
    <s v="Online"/>
    <x v="3"/>
    <x v="2"/>
    <n v="300000"/>
    <n v="10"/>
    <x v="2"/>
    <n v="240000"/>
    <n v="3000000"/>
    <n v="2400000"/>
    <n v="600000"/>
  </r>
  <r>
    <x v="1745"/>
    <x v="9"/>
    <x v="9"/>
    <x v="1"/>
    <x v="1"/>
    <s v="Retail"/>
    <s v="Online"/>
    <x v="7"/>
    <x v="2"/>
    <n v="420000"/>
    <n v="1"/>
    <x v="0"/>
    <n v="336000"/>
    <n v="420000"/>
    <n v="336000"/>
    <n v="84000"/>
  </r>
  <r>
    <x v="1746"/>
    <x v="9"/>
    <x v="9"/>
    <x v="0"/>
    <x v="0"/>
    <s v="Retail"/>
    <s v="Store"/>
    <x v="2"/>
    <x v="1"/>
    <n v="60000"/>
    <n v="1"/>
    <x v="1"/>
    <n v="48000"/>
    <n v="60000"/>
    <n v="48000"/>
    <n v="12000"/>
  </r>
  <r>
    <x v="1747"/>
    <x v="10"/>
    <x v="10"/>
    <x v="3"/>
    <x v="1"/>
    <s v="Retail"/>
    <s v="Online"/>
    <x v="6"/>
    <x v="2"/>
    <n v="150000"/>
    <n v="10"/>
    <x v="5"/>
    <n v="120000"/>
    <n v="1500000"/>
    <n v="1200000"/>
    <n v="300000"/>
  </r>
  <r>
    <x v="1748"/>
    <x v="10"/>
    <x v="10"/>
    <x v="0"/>
    <x v="3"/>
    <s v="Retail"/>
    <s v="Online"/>
    <x v="4"/>
    <x v="1"/>
    <n v="180000"/>
    <n v="10"/>
    <x v="2"/>
    <n v="144000"/>
    <n v="1800000"/>
    <n v="1440000"/>
    <n v="360000"/>
  </r>
  <r>
    <x v="1749"/>
    <x v="10"/>
    <x v="10"/>
    <x v="2"/>
    <x v="0"/>
    <s v="Corporate"/>
    <s v="Online"/>
    <x v="6"/>
    <x v="2"/>
    <n v="150000"/>
    <n v="10"/>
    <x v="1"/>
    <n v="120000"/>
    <n v="1500000"/>
    <n v="1200000"/>
    <n v="300000"/>
  </r>
  <r>
    <x v="1750"/>
    <x v="10"/>
    <x v="10"/>
    <x v="1"/>
    <x v="0"/>
    <s v="Corporate"/>
    <s v="Store"/>
    <x v="2"/>
    <x v="1"/>
    <n v="60000"/>
    <n v="8"/>
    <x v="5"/>
    <n v="48000"/>
    <n v="480000"/>
    <n v="384000"/>
    <n v="96000"/>
  </r>
  <r>
    <x v="1751"/>
    <x v="10"/>
    <x v="10"/>
    <x v="3"/>
    <x v="0"/>
    <s v="Retail"/>
    <s v="Online"/>
    <x v="9"/>
    <x v="1"/>
    <n v="220000"/>
    <n v="7"/>
    <x v="4"/>
    <n v="176000"/>
    <n v="1540000"/>
    <n v="1232000"/>
    <n v="308000"/>
  </r>
  <r>
    <x v="1752"/>
    <x v="10"/>
    <x v="10"/>
    <x v="1"/>
    <x v="3"/>
    <s v="Retail"/>
    <s v="Online"/>
    <x v="1"/>
    <x v="1"/>
    <n v="30000"/>
    <n v="1"/>
    <x v="3"/>
    <n v="24000"/>
    <n v="30000"/>
    <n v="24000"/>
    <n v="6000"/>
  </r>
  <r>
    <x v="1753"/>
    <x v="10"/>
    <x v="10"/>
    <x v="1"/>
    <x v="1"/>
    <s v="Corporate"/>
    <s v="Store"/>
    <x v="6"/>
    <x v="2"/>
    <n v="150000"/>
    <n v="6"/>
    <x v="0"/>
    <n v="120000"/>
    <n v="900000"/>
    <n v="720000"/>
    <n v="180000"/>
  </r>
  <r>
    <x v="1754"/>
    <x v="10"/>
    <x v="10"/>
    <x v="2"/>
    <x v="3"/>
    <s v="Retail"/>
    <s v="Store"/>
    <x v="1"/>
    <x v="1"/>
    <n v="30000"/>
    <n v="4"/>
    <x v="0"/>
    <n v="24000"/>
    <n v="120000"/>
    <n v="96000"/>
    <n v="24000"/>
  </r>
  <r>
    <x v="1755"/>
    <x v="10"/>
    <x v="10"/>
    <x v="2"/>
    <x v="2"/>
    <s v="Corporate"/>
    <s v="Online"/>
    <x v="9"/>
    <x v="1"/>
    <n v="220000"/>
    <n v="1"/>
    <x v="2"/>
    <n v="176000"/>
    <n v="220000"/>
    <n v="176000"/>
    <n v="44000"/>
  </r>
  <r>
    <x v="1756"/>
    <x v="10"/>
    <x v="10"/>
    <x v="2"/>
    <x v="1"/>
    <s v="Retail"/>
    <s v="Online"/>
    <x v="2"/>
    <x v="1"/>
    <n v="60000"/>
    <n v="6"/>
    <x v="1"/>
    <n v="48000"/>
    <n v="360000"/>
    <n v="288000"/>
    <n v="72000"/>
  </r>
  <r>
    <x v="1757"/>
    <x v="10"/>
    <x v="10"/>
    <x v="2"/>
    <x v="0"/>
    <s v="Corporate"/>
    <s v="Store"/>
    <x v="8"/>
    <x v="2"/>
    <n v="250000"/>
    <n v="7"/>
    <x v="5"/>
    <n v="200000"/>
    <n v="1750000"/>
    <n v="1400000"/>
    <n v="350000"/>
  </r>
  <r>
    <x v="1758"/>
    <x v="10"/>
    <x v="10"/>
    <x v="1"/>
    <x v="2"/>
    <s v="Corporate"/>
    <s v="Online"/>
    <x v="9"/>
    <x v="1"/>
    <n v="220000"/>
    <n v="9"/>
    <x v="3"/>
    <n v="176000"/>
    <n v="1980000"/>
    <n v="1584000"/>
    <n v="396000"/>
  </r>
  <r>
    <x v="1759"/>
    <x v="10"/>
    <x v="10"/>
    <x v="2"/>
    <x v="2"/>
    <s v="Corporate"/>
    <s v="Online"/>
    <x v="1"/>
    <x v="1"/>
    <n v="30000"/>
    <n v="10"/>
    <x v="2"/>
    <n v="24000"/>
    <n v="300000"/>
    <n v="240000"/>
    <n v="60000"/>
  </r>
  <r>
    <x v="1760"/>
    <x v="10"/>
    <x v="10"/>
    <x v="1"/>
    <x v="2"/>
    <s v="Retail"/>
    <s v="Online"/>
    <x v="6"/>
    <x v="2"/>
    <n v="150000"/>
    <n v="1"/>
    <x v="1"/>
    <n v="120000"/>
    <n v="150000"/>
    <n v="120000"/>
    <n v="30000"/>
  </r>
  <r>
    <x v="1761"/>
    <x v="10"/>
    <x v="10"/>
    <x v="3"/>
    <x v="0"/>
    <s v="Retail"/>
    <s v="Online"/>
    <x v="4"/>
    <x v="1"/>
    <n v="180000"/>
    <n v="3"/>
    <x v="3"/>
    <n v="144000"/>
    <n v="540000"/>
    <n v="432000"/>
    <n v="108000"/>
  </r>
  <r>
    <x v="1762"/>
    <x v="10"/>
    <x v="10"/>
    <x v="2"/>
    <x v="0"/>
    <s v="Corporate"/>
    <s v="Online"/>
    <x v="7"/>
    <x v="2"/>
    <n v="420000"/>
    <n v="10"/>
    <x v="3"/>
    <n v="336000"/>
    <n v="4200000"/>
    <n v="3360000"/>
    <n v="840000"/>
  </r>
  <r>
    <x v="1763"/>
    <x v="10"/>
    <x v="10"/>
    <x v="3"/>
    <x v="0"/>
    <s v="Corporate"/>
    <s v="Online"/>
    <x v="0"/>
    <x v="0"/>
    <n v="85000"/>
    <n v="2"/>
    <x v="4"/>
    <n v="68000"/>
    <n v="170000"/>
    <n v="136000"/>
    <n v="34000"/>
  </r>
  <r>
    <x v="1764"/>
    <x v="10"/>
    <x v="10"/>
    <x v="0"/>
    <x v="2"/>
    <s v="Corporate"/>
    <s v="Online"/>
    <x v="2"/>
    <x v="1"/>
    <n v="60000"/>
    <n v="4"/>
    <x v="4"/>
    <n v="48000"/>
    <n v="240000"/>
    <n v="192000"/>
    <n v="48000"/>
  </r>
  <r>
    <x v="1765"/>
    <x v="10"/>
    <x v="10"/>
    <x v="3"/>
    <x v="1"/>
    <s v="Corporate"/>
    <s v="Online"/>
    <x v="6"/>
    <x v="2"/>
    <n v="150000"/>
    <n v="9"/>
    <x v="4"/>
    <n v="120000"/>
    <n v="1350000"/>
    <n v="1080000"/>
    <n v="270000"/>
  </r>
  <r>
    <x v="1766"/>
    <x v="10"/>
    <x v="10"/>
    <x v="2"/>
    <x v="3"/>
    <s v="Retail"/>
    <s v="Store"/>
    <x v="7"/>
    <x v="2"/>
    <n v="420000"/>
    <n v="1"/>
    <x v="3"/>
    <n v="336000"/>
    <n v="420000"/>
    <n v="336000"/>
    <n v="84000"/>
  </r>
  <r>
    <x v="1767"/>
    <x v="10"/>
    <x v="10"/>
    <x v="1"/>
    <x v="1"/>
    <s v="Retail"/>
    <s v="Online"/>
    <x v="7"/>
    <x v="2"/>
    <n v="420000"/>
    <n v="9"/>
    <x v="4"/>
    <n v="336000"/>
    <n v="3780000"/>
    <n v="3024000"/>
    <n v="756000"/>
  </r>
  <r>
    <x v="1768"/>
    <x v="10"/>
    <x v="10"/>
    <x v="0"/>
    <x v="3"/>
    <s v="Corporate"/>
    <s v="Store"/>
    <x v="7"/>
    <x v="2"/>
    <n v="420000"/>
    <n v="9"/>
    <x v="5"/>
    <n v="336000"/>
    <n v="3780000"/>
    <n v="3024000"/>
    <n v="756000"/>
  </r>
  <r>
    <x v="1769"/>
    <x v="10"/>
    <x v="10"/>
    <x v="0"/>
    <x v="3"/>
    <s v="Retail"/>
    <s v="Store"/>
    <x v="0"/>
    <x v="0"/>
    <n v="85000"/>
    <n v="6"/>
    <x v="1"/>
    <n v="68000"/>
    <n v="510000"/>
    <n v="408000"/>
    <n v="102000"/>
  </r>
  <r>
    <x v="1770"/>
    <x v="10"/>
    <x v="10"/>
    <x v="3"/>
    <x v="3"/>
    <s v="Corporate"/>
    <s v="Online"/>
    <x v="5"/>
    <x v="0"/>
    <n v="320000"/>
    <n v="3"/>
    <x v="3"/>
    <n v="256000"/>
    <n v="960000"/>
    <n v="768000"/>
    <n v="192000"/>
  </r>
  <r>
    <x v="1771"/>
    <x v="10"/>
    <x v="10"/>
    <x v="3"/>
    <x v="1"/>
    <s v="Corporate"/>
    <s v="Online"/>
    <x v="4"/>
    <x v="1"/>
    <n v="180000"/>
    <n v="8"/>
    <x v="2"/>
    <n v="144000"/>
    <n v="1440000"/>
    <n v="1152000"/>
    <n v="288000"/>
  </r>
  <r>
    <x v="1772"/>
    <x v="10"/>
    <x v="10"/>
    <x v="0"/>
    <x v="0"/>
    <s v="Retail"/>
    <s v="Online"/>
    <x v="0"/>
    <x v="0"/>
    <n v="85000"/>
    <n v="6"/>
    <x v="3"/>
    <n v="68000"/>
    <n v="510000"/>
    <n v="408000"/>
    <n v="102000"/>
  </r>
  <r>
    <x v="1773"/>
    <x v="10"/>
    <x v="10"/>
    <x v="0"/>
    <x v="3"/>
    <s v="Retail"/>
    <s v="Online"/>
    <x v="3"/>
    <x v="2"/>
    <n v="300000"/>
    <n v="3"/>
    <x v="0"/>
    <n v="240000"/>
    <n v="900000"/>
    <n v="720000"/>
    <n v="180000"/>
  </r>
  <r>
    <x v="1774"/>
    <x v="10"/>
    <x v="10"/>
    <x v="3"/>
    <x v="0"/>
    <s v="Corporate"/>
    <s v="Store"/>
    <x v="4"/>
    <x v="1"/>
    <n v="180000"/>
    <n v="1"/>
    <x v="2"/>
    <n v="144000"/>
    <n v="180000"/>
    <n v="144000"/>
    <n v="36000"/>
  </r>
  <r>
    <x v="1775"/>
    <x v="10"/>
    <x v="10"/>
    <x v="1"/>
    <x v="2"/>
    <s v="Retail"/>
    <s v="Online"/>
    <x v="9"/>
    <x v="1"/>
    <n v="220000"/>
    <n v="1"/>
    <x v="4"/>
    <n v="176000"/>
    <n v="220000"/>
    <n v="176000"/>
    <n v="44000"/>
  </r>
  <r>
    <x v="1776"/>
    <x v="10"/>
    <x v="10"/>
    <x v="2"/>
    <x v="3"/>
    <s v="Retail"/>
    <s v="Store"/>
    <x v="1"/>
    <x v="1"/>
    <n v="30000"/>
    <n v="1"/>
    <x v="4"/>
    <n v="24000"/>
    <n v="30000"/>
    <n v="24000"/>
    <n v="6000"/>
  </r>
  <r>
    <x v="1777"/>
    <x v="11"/>
    <x v="11"/>
    <x v="1"/>
    <x v="0"/>
    <s v="Corporate"/>
    <s v="Store"/>
    <x v="2"/>
    <x v="1"/>
    <n v="60000"/>
    <n v="2"/>
    <x v="5"/>
    <n v="48000"/>
    <n v="120000"/>
    <n v="96000"/>
    <n v="24000"/>
  </r>
  <r>
    <x v="1778"/>
    <x v="11"/>
    <x v="11"/>
    <x v="0"/>
    <x v="1"/>
    <s v="Retail"/>
    <s v="Store"/>
    <x v="8"/>
    <x v="2"/>
    <n v="250000"/>
    <n v="7"/>
    <x v="4"/>
    <n v="200000"/>
    <n v="1750000"/>
    <n v="1400000"/>
    <n v="350000"/>
  </r>
  <r>
    <x v="1779"/>
    <x v="11"/>
    <x v="11"/>
    <x v="0"/>
    <x v="2"/>
    <s v="Corporate"/>
    <s v="Online"/>
    <x v="7"/>
    <x v="2"/>
    <n v="420000"/>
    <n v="10"/>
    <x v="2"/>
    <n v="336000"/>
    <n v="4200000"/>
    <n v="3360000"/>
    <n v="840000"/>
  </r>
  <r>
    <x v="1780"/>
    <x v="11"/>
    <x v="11"/>
    <x v="0"/>
    <x v="0"/>
    <s v="Corporate"/>
    <s v="Online"/>
    <x v="5"/>
    <x v="0"/>
    <n v="320000"/>
    <n v="10"/>
    <x v="3"/>
    <n v="256000"/>
    <n v="3200000"/>
    <n v="2560000"/>
    <n v="640000"/>
  </r>
  <r>
    <x v="1781"/>
    <x v="11"/>
    <x v="11"/>
    <x v="2"/>
    <x v="3"/>
    <s v="Retail"/>
    <s v="Online"/>
    <x v="3"/>
    <x v="2"/>
    <n v="300000"/>
    <n v="1"/>
    <x v="2"/>
    <n v="240000"/>
    <n v="300000"/>
    <n v="240000"/>
    <n v="60000"/>
  </r>
  <r>
    <x v="1782"/>
    <x v="11"/>
    <x v="11"/>
    <x v="2"/>
    <x v="2"/>
    <s v="Corporate"/>
    <s v="Store"/>
    <x v="6"/>
    <x v="2"/>
    <n v="150000"/>
    <n v="3"/>
    <x v="1"/>
    <n v="120000"/>
    <n v="450000"/>
    <n v="360000"/>
    <n v="90000"/>
  </r>
  <r>
    <x v="1783"/>
    <x v="11"/>
    <x v="11"/>
    <x v="0"/>
    <x v="2"/>
    <s v="Corporate"/>
    <s v="Online"/>
    <x v="8"/>
    <x v="2"/>
    <n v="250000"/>
    <n v="3"/>
    <x v="4"/>
    <n v="200000"/>
    <n v="750000"/>
    <n v="600000"/>
    <n v="150000"/>
  </r>
  <r>
    <x v="1784"/>
    <x v="11"/>
    <x v="11"/>
    <x v="3"/>
    <x v="1"/>
    <s v="Retail"/>
    <s v="Store"/>
    <x v="7"/>
    <x v="2"/>
    <n v="420000"/>
    <n v="4"/>
    <x v="1"/>
    <n v="336000"/>
    <n v="1680000"/>
    <n v="1344000"/>
    <n v="336000"/>
  </r>
  <r>
    <x v="1785"/>
    <x v="11"/>
    <x v="11"/>
    <x v="3"/>
    <x v="1"/>
    <s v="Corporate"/>
    <s v="Online"/>
    <x v="4"/>
    <x v="1"/>
    <n v="180000"/>
    <n v="1"/>
    <x v="0"/>
    <n v="144000"/>
    <n v="180000"/>
    <n v="144000"/>
    <n v="36000"/>
  </r>
  <r>
    <x v="1786"/>
    <x v="11"/>
    <x v="11"/>
    <x v="3"/>
    <x v="0"/>
    <s v="Corporate"/>
    <s v="Store"/>
    <x v="6"/>
    <x v="2"/>
    <n v="150000"/>
    <n v="3"/>
    <x v="3"/>
    <n v="120000"/>
    <n v="450000"/>
    <n v="360000"/>
    <n v="90000"/>
  </r>
  <r>
    <x v="1787"/>
    <x v="11"/>
    <x v="11"/>
    <x v="2"/>
    <x v="3"/>
    <s v="Corporate"/>
    <s v="Online"/>
    <x v="9"/>
    <x v="1"/>
    <n v="220000"/>
    <n v="9"/>
    <x v="2"/>
    <n v="176000"/>
    <n v="1980000"/>
    <n v="1584000"/>
    <n v="396000"/>
  </r>
  <r>
    <x v="1788"/>
    <x v="11"/>
    <x v="11"/>
    <x v="3"/>
    <x v="2"/>
    <s v="Corporate"/>
    <s v="Online"/>
    <x v="7"/>
    <x v="2"/>
    <n v="420000"/>
    <n v="4"/>
    <x v="2"/>
    <n v="336000"/>
    <n v="1680000"/>
    <n v="1344000"/>
    <n v="336000"/>
  </r>
  <r>
    <x v="1789"/>
    <x v="11"/>
    <x v="11"/>
    <x v="3"/>
    <x v="2"/>
    <s v="Corporate"/>
    <s v="Store"/>
    <x v="3"/>
    <x v="2"/>
    <n v="300000"/>
    <n v="2"/>
    <x v="5"/>
    <n v="240000"/>
    <n v="600000"/>
    <n v="480000"/>
    <n v="120000"/>
  </r>
  <r>
    <x v="1790"/>
    <x v="11"/>
    <x v="11"/>
    <x v="1"/>
    <x v="1"/>
    <s v="Corporate"/>
    <s v="Store"/>
    <x v="0"/>
    <x v="0"/>
    <n v="85000"/>
    <n v="8"/>
    <x v="1"/>
    <n v="68000"/>
    <n v="680000"/>
    <n v="544000"/>
    <n v="136000"/>
  </r>
  <r>
    <x v="1791"/>
    <x v="11"/>
    <x v="11"/>
    <x v="2"/>
    <x v="3"/>
    <s v="Retail"/>
    <s v="Store"/>
    <x v="9"/>
    <x v="1"/>
    <n v="220000"/>
    <n v="10"/>
    <x v="2"/>
    <n v="176000"/>
    <n v="2200000"/>
    <n v="1760000"/>
    <n v="440000"/>
  </r>
  <r>
    <x v="1792"/>
    <x v="11"/>
    <x v="11"/>
    <x v="0"/>
    <x v="0"/>
    <s v="Retail"/>
    <s v="Store"/>
    <x v="9"/>
    <x v="1"/>
    <n v="220000"/>
    <n v="7"/>
    <x v="2"/>
    <n v="176000"/>
    <n v="1540000"/>
    <n v="1232000"/>
    <n v="308000"/>
  </r>
  <r>
    <x v="1793"/>
    <x v="11"/>
    <x v="11"/>
    <x v="1"/>
    <x v="2"/>
    <s v="Retail"/>
    <s v="Store"/>
    <x v="5"/>
    <x v="0"/>
    <n v="320000"/>
    <n v="10"/>
    <x v="2"/>
    <n v="256000"/>
    <n v="3200000"/>
    <n v="2560000"/>
    <n v="640000"/>
  </r>
  <r>
    <x v="1794"/>
    <x v="11"/>
    <x v="11"/>
    <x v="0"/>
    <x v="1"/>
    <s v="Corporate"/>
    <s v="Online"/>
    <x v="4"/>
    <x v="1"/>
    <n v="180000"/>
    <n v="9"/>
    <x v="4"/>
    <n v="144000"/>
    <n v="1620000"/>
    <n v="1296000"/>
    <n v="324000"/>
  </r>
  <r>
    <x v="1795"/>
    <x v="11"/>
    <x v="11"/>
    <x v="3"/>
    <x v="2"/>
    <s v="Corporate"/>
    <s v="Online"/>
    <x v="2"/>
    <x v="1"/>
    <n v="60000"/>
    <n v="4"/>
    <x v="5"/>
    <n v="48000"/>
    <n v="240000"/>
    <n v="192000"/>
    <n v="48000"/>
  </r>
  <r>
    <x v="1796"/>
    <x v="11"/>
    <x v="11"/>
    <x v="2"/>
    <x v="2"/>
    <s v="Corporate"/>
    <s v="Store"/>
    <x v="8"/>
    <x v="2"/>
    <n v="250000"/>
    <n v="10"/>
    <x v="5"/>
    <n v="200000"/>
    <n v="2500000"/>
    <n v="2000000"/>
    <n v="500000"/>
  </r>
  <r>
    <x v="1797"/>
    <x v="11"/>
    <x v="11"/>
    <x v="3"/>
    <x v="2"/>
    <s v="Corporate"/>
    <s v="Online"/>
    <x v="5"/>
    <x v="0"/>
    <n v="320000"/>
    <n v="2"/>
    <x v="2"/>
    <n v="256000"/>
    <n v="640000"/>
    <n v="512000"/>
    <n v="128000"/>
  </r>
  <r>
    <x v="1798"/>
    <x v="11"/>
    <x v="11"/>
    <x v="2"/>
    <x v="3"/>
    <s v="Corporate"/>
    <s v="Store"/>
    <x v="7"/>
    <x v="2"/>
    <n v="420000"/>
    <n v="7"/>
    <x v="3"/>
    <n v="336000"/>
    <n v="2940000"/>
    <n v="2352000"/>
    <n v="588000"/>
  </r>
  <r>
    <x v="1799"/>
    <x v="11"/>
    <x v="11"/>
    <x v="3"/>
    <x v="2"/>
    <s v="Corporate"/>
    <s v="Store"/>
    <x v="3"/>
    <x v="2"/>
    <n v="300000"/>
    <n v="5"/>
    <x v="3"/>
    <n v="240000"/>
    <n v="1500000"/>
    <n v="1200000"/>
    <n v="300000"/>
  </r>
  <r>
    <x v="1800"/>
    <x v="11"/>
    <x v="11"/>
    <x v="2"/>
    <x v="0"/>
    <s v="Corporate"/>
    <s v="Store"/>
    <x v="2"/>
    <x v="1"/>
    <n v="60000"/>
    <n v="5"/>
    <x v="4"/>
    <n v="48000"/>
    <n v="300000"/>
    <n v="240000"/>
    <n v="60000"/>
  </r>
  <r>
    <x v="1801"/>
    <x v="11"/>
    <x v="11"/>
    <x v="1"/>
    <x v="0"/>
    <s v="Retail"/>
    <s v="Store"/>
    <x v="7"/>
    <x v="2"/>
    <n v="420000"/>
    <n v="9"/>
    <x v="2"/>
    <n v="336000"/>
    <n v="3780000"/>
    <n v="3024000"/>
    <n v="756000"/>
  </r>
  <r>
    <x v="1802"/>
    <x v="11"/>
    <x v="11"/>
    <x v="2"/>
    <x v="0"/>
    <s v="Retail"/>
    <s v="Store"/>
    <x v="8"/>
    <x v="2"/>
    <n v="250000"/>
    <n v="9"/>
    <x v="5"/>
    <n v="200000"/>
    <n v="2250000"/>
    <n v="1800000"/>
    <n v="450000"/>
  </r>
  <r>
    <x v="1803"/>
    <x v="11"/>
    <x v="11"/>
    <x v="0"/>
    <x v="3"/>
    <s v="Retail"/>
    <s v="Store"/>
    <x v="9"/>
    <x v="1"/>
    <n v="220000"/>
    <n v="1"/>
    <x v="5"/>
    <n v="176000"/>
    <n v="220000"/>
    <n v="176000"/>
    <n v="44000"/>
  </r>
  <r>
    <x v="1804"/>
    <x v="11"/>
    <x v="11"/>
    <x v="0"/>
    <x v="1"/>
    <s v="Retail"/>
    <s v="Store"/>
    <x v="9"/>
    <x v="1"/>
    <n v="220000"/>
    <n v="3"/>
    <x v="5"/>
    <n v="176000"/>
    <n v="660000"/>
    <n v="528000"/>
    <n v="132000"/>
  </r>
  <r>
    <x v="1805"/>
    <x v="11"/>
    <x v="11"/>
    <x v="0"/>
    <x v="1"/>
    <s v="Corporate"/>
    <s v="Store"/>
    <x v="8"/>
    <x v="2"/>
    <n v="250000"/>
    <n v="8"/>
    <x v="2"/>
    <n v="200000"/>
    <n v="2000000"/>
    <n v="1600000"/>
    <n v="400000"/>
  </r>
  <r>
    <x v="1806"/>
    <x v="11"/>
    <x v="11"/>
    <x v="0"/>
    <x v="2"/>
    <s v="Retail"/>
    <s v="Store"/>
    <x v="1"/>
    <x v="1"/>
    <n v="30000"/>
    <n v="1"/>
    <x v="3"/>
    <n v="24000"/>
    <n v="30000"/>
    <n v="24000"/>
    <n v="6000"/>
  </r>
  <r>
    <x v="1807"/>
    <x v="11"/>
    <x v="11"/>
    <x v="0"/>
    <x v="3"/>
    <s v="Corporate"/>
    <s v="Store"/>
    <x v="1"/>
    <x v="1"/>
    <n v="30000"/>
    <n v="1"/>
    <x v="4"/>
    <n v="24000"/>
    <n v="30000"/>
    <n v="24000"/>
    <n v="6000"/>
  </r>
  <r>
    <x v="1808"/>
    <x v="0"/>
    <x v="0"/>
    <x v="3"/>
    <x v="2"/>
    <s v="Retail"/>
    <s v="Store"/>
    <x v="1"/>
    <x v="1"/>
    <n v="30000"/>
    <n v="8"/>
    <x v="0"/>
    <n v="24000"/>
    <n v="240000"/>
    <n v="192000"/>
    <n v="48000"/>
  </r>
  <r>
    <x v="1809"/>
    <x v="0"/>
    <x v="0"/>
    <x v="0"/>
    <x v="0"/>
    <s v="Retail"/>
    <s v="Store"/>
    <x v="2"/>
    <x v="1"/>
    <n v="60000"/>
    <n v="6"/>
    <x v="3"/>
    <n v="48000"/>
    <n v="360000"/>
    <n v="288000"/>
    <n v="72000"/>
  </r>
  <r>
    <x v="1810"/>
    <x v="0"/>
    <x v="0"/>
    <x v="0"/>
    <x v="0"/>
    <s v="Corporate"/>
    <s v="Store"/>
    <x v="8"/>
    <x v="2"/>
    <n v="250000"/>
    <n v="5"/>
    <x v="1"/>
    <n v="200000"/>
    <n v="1250000"/>
    <n v="1000000"/>
    <n v="250000"/>
  </r>
  <r>
    <x v="1811"/>
    <x v="0"/>
    <x v="0"/>
    <x v="2"/>
    <x v="3"/>
    <s v="Retail"/>
    <s v="Store"/>
    <x v="1"/>
    <x v="1"/>
    <n v="30000"/>
    <n v="1"/>
    <x v="4"/>
    <n v="24000"/>
    <n v="30000"/>
    <n v="24000"/>
    <n v="6000"/>
  </r>
  <r>
    <x v="1812"/>
    <x v="0"/>
    <x v="0"/>
    <x v="2"/>
    <x v="2"/>
    <s v="Corporate"/>
    <s v="Store"/>
    <x v="6"/>
    <x v="2"/>
    <n v="150000"/>
    <n v="9"/>
    <x v="4"/>
    <n v="120000"/>
    <n v="1350000"/>
    <n v="1080000"/>
    <n v="270000"/>
  </r>
  <r>
    <x v="1813"/>
    <x v="0"/>
    <x v="0"/>
    <x v="1"/>
    <x v="3"/>
    <s v="Retail"/>
    <s v="Store"/>
    <x v="4"/>
    <x v="1"/>
    <n v="180000"/>
    <n v="2"/>
    <x v="4"/>
    <n v="144000"/>
    <n v="360000"/>
    <n v="288000"/>
    <n v="72000"/>
  </r>
  <r>
    <x v="1814"/>
    <x v="0"/>
    <x v="0"/>
    <x v="1"/>
    <x v="3"/>
    <s v="Retail"/>
    <s v="Store"/>
    <x v="7"/>
    <x v="2"/>
    <n v="420000"/>
    <n v="10"/>
    <x v="2"/>
    <n v="336000"/>
    <n v="4200000"/>
    <n v="3360000"/>
    <n v="840000"/>
  </r>
  <r>
    <x v="1815"/>
    <x v="0"/>
    <x v="0"/>
    <x v="0"/>
    <x v="2"/>
    <s v="Corporate"/>
    <s v="Store"/>
    <x v="3"/>
    <x v="2"/>
    <n v="300000"/>
    <n v="4"/>
    <x v="5"/>
    <n v="240000"/>
    <n v="1200000"/>
    <n v="960000"/>
    <n v="240000"/>
  </r>
  <r>
    <x v="1816"/>
    <x v="0"/>
    <x v="0"/>
    <x v="0"/>
    <x v="0"/>
    <s v="Retail"/>
    <s v="Store"/>
    <x v="4"/>
    <x v="1"/>
    <n v="180000"/>
    <n v="8"/>
    <x v="4"/>
    <n v="144000"/>
    <n v="1440000"/>
    <n v="1152000"/>
    <n v="288000"/>
  </r>
  <r>
    <x v="1817"/>
    <x v="0"/>
    <x v="0"/>
    <x v="1"/>
    <x v="3"/>
    <s v="Retail"/>
    <s v="Store"/>
    <x v="7"/>
    <x v="2"/>
    <n v="420000"/>
    <n v="5"/>
    <x v="4"/>
    <n v="336000"/>
    <n v="2100000"/>
    <n v="1680000"/>
    <n v="420000"/>
  </r>
  <r>
    <x v="1818"/>
    <x v="0"/>
    <x v="0"/>
    <x v="2"/>
    <x v="1"/>
    <s v="Corporate"/>
    <s v="Store"/>
    <x v="4"/>
    <x v="1"/>
    <n v="180000"/>
    <n v="5"/>
    <x v="0"/>
    <n v="144000"/>
    <n v="900000"/>
    <n v="720000"/>
    <n v="180000"/>
  </r>
  <r>
    <x v="1819"/>
    <x v="0"/>
    <x v="0"/>
    <x v="0"/>
    <x v="0"/>
    <s v="Corporate"/>
    <s v="Store"/>
    <x v="3"/>
    <x v="2"/>
    <n v="300000"/>
    <n v="1"/>
    <x v="4"/>
    <n v="240000"/>
    <n v="300000"/>
    <n v="240000"/>
    <n v="60000"/>
  </r>
  <r>
    <x v="1820"/>
    <x v="0"/>
    <x v="0"/>
    <x v="2"/>
    <x v="0"/>
    <s v="Retail"/>
    <s v="Store"/>
    <x v="4"/>
    <x v="1"/>
    <n v="180000"/>
    <n v="7"/>
    <x v="4"/>
    <n v="144000"/>
    <n v="1260000"/>
    <n v="1008000"/>
    <n v="252000"/>
  </r>
  <r>
    <x v="1821"/>
    <x v="0"/>
    <x v="0"/>
    <x v="1"/>
    <x v="2"/>
    <s v="Corporate"/>
    <s v="Store"/>
    <x v="1"/>
    <x v="1"/>
    <n v="30000"/>
    <n v="8"/>
    <x v="4"/>
    <n v="24000"/>
    <n v="240000"/>
    <n v="192000"/>
    <n v="48000"/>
  </r>
  <r>
    <x v="1822"/>
    <x v="0"/>
    <x v="0"/>
    <x v="3"/>
    <x v="0"/>
    <s v="Retail"/>
    <s v="Store"/>
    <x v="0"/>
    <x v="0"/>
    <n v="85000"/>
    <n v="10"/>
    <x v="2"/>
    <n v="68000"/>
    <n v="850000"/>
    <n v="680000"/>
    <n v="170000"/>
  </r>
  <r>
    <x v="1823"/>
    <x v="0"/>
    <x v="0"/>
    <x v="1"/>
    <x v="2"/>
    <s v="Retail"/>
    <s v="Store"/>
    <x v="0"/>
    <x v="0"/>
    <n v="85000"/>
    <n v="1"/>
    <x v="0"/>
    <n v="68000"/>
    <n v="85000"/>
    <n v="68000"/>
    <n v="17000"/>
  </r>
  <r>
    <x v="1824"/>
    <x v="0"/>
    <x v="0"/>
    <x v="3"/>
    <x v="1"/>
    <s v="Corporate"/>
    <s v="Store"/>
    <x v="6"/>
    <x v="2"/>
    <n v="150000"/>
    <n v="8"/>
    <x v="4"/>
    <n v="120000"/>
    <n v="1200000"/>
    <n v="960000"/>
    <n v="240000"/>
  </r>
  <r>
    <x v="1825"/>
    <x v="0"/>
    <x v="0"/>
    <x v="0"/>
    <x v="1"/>
    <s v="Corporate"/>
    <s v="Store"/>
    <x v="7"/>
    <x v="2"/>
    <n v="420000"/>
    <n v="6"/>
    <x v="3"/>
    <n v="336000"/>
    <n v="2520000"/>
    <n v="2016000"/>
    <n v="504000"/>
  </r>
  <r>
    <x v="1826"/>
    <x v="0"/>
    <x v="0"/>
    <x v="2"/>
    <x v="3"/>
    <s v="Retail"/>
    <s v="Store"/>
    <x v="2"/>
    <x v="1"/>
    <n v="60000"/>
    <n v="8"/>
    <x v="3"/>
    <n v="48000"/>
    <n v="480000"/>
    <n v="384000"/>
    <n v="96000"/>
  </r>
  <r>
    <x v="1827"/>
    <x v="0"/>
    <x v="0"/>
    <x v="2"/>
    <x v="0"/>
    <s v="Retail"/>
    <s v="Store"/>
    <x v="3"/>
    <x v="2"/>
    <n v="300000"/>
    <n v="7"/>
    <x v="2"/>
    <n v="240000"/>
    <n v="2100000"/>
    <n v="1680000"/>
    <n v="420000"/>
  </r>
  <r>
    <x v="1828"/>
    <x v="0"/>
    <x v="0"/>
    <x v="1"/>
    <x v="1"/>
    <s v="Corporate"/>
    <s v="Store"/>
    <x v="6"/>
    <x v="2"/>
    <n v="150000"/>
    <n v="8"/>
    <x v="4"/>
    <n v="120000"/>
    <n v="1200000"/>
    <n v="960000"/>
    <n v="240000"/>
  </r>
  <r>
    <x v="1829"/>
    <x v="0"/>
    <x v="0"/>
    <x v="1"/>
    <x v="0"/>
    <s v="Corporate"/>
    <s v="Store"/>
    <x v="2"/>
    <x v="1"/>
    <n v="60000"/>
    <n v="10"/>
    <x v="0"/>
    <n v="48000"/>
    <n v="600000"/>
    <n v="480000"/>
    <n v="120000"/>
  </r>
  <r>
    <x v="1830"/>
    <x v="0"/>
    <x v="0"/>
    <x v="3"/>
    <x v="2"/>
    <s v="Retail"/>
    <s v="Store"/>
    <x v="5"/>
    <x v="0"/>
    <n v="320000"/>
    <n v="9"/>
    <x v="3"/>
    <n v="256000"/>
    <n v="2880000"/>
    <n v="2304000"/>
    <n v="576000"/>
  </r>
  <r>
    <x v="1831"/>
    <x v="0"/>
    <x v="0"/>
    <x v="0"/>
    <x v="0"/>
    <s v="Retail"/>
    <s v="Store"/>
    <x v="8"/>
    <x v="2"/>
    <n v="250000"/>
    <n v="9"/>
    <x v="2"/>
    <n v="200000"/>
    <n v="2250000"/>
    <n v="1800000"/>
    <n v="450000"/>
  </r>
  <r>
    <x v="1832"/>
    <x v="0"/>
    <x v="0"/>
    <x v="2"/>
    <x v="2"/>
    <s v="Retail"/>
    <s v="Store"/>
    <x v="9"/>
    <x v="1"/>
    <n v="220000"/>
    <n v="7"/>
    <x v="3"/>
    <n v="176000"/>
    <n v="1540000"/>
    <n v="1232000"/>
    <n v="308000"/>
  </r>
  <r>
    <x v="1833"/>
    <x v="0"/>
    <x v="0"/>
    <x v="2"/>
    <x v="1"/>
    <s v="Retail"/>
    <s v="Store"/>
    <x v="5"/>
    <x v="0"/>
    <n v="320000"/>
    <n v="4"/>
    <x v="1"/>
    <n v="256000"/>
    <n v="1280000"/>
    <n v="1024000"/>
    <n v="256000"/>
  </r>
  <r>
    <x v="1834"/>
    <x v="0"/>
    <x v="0"/>
    <x v="2"/>
    <x v="1"/>
    <s v="Corporate"/>
    <s v="Store"/>
    <x v="9"/>
    <x v="1"/>
    <n v="220000"/>
    <n v="1"/>
    <x v="4"/>
    <n v="176000"/>
    <n v="220000"/>
    <n v="176000"/>
    <n v="44000"/>
  </r>
  <r>
    <x v="1835"/>
    <x v="0"/>
    <x v="0"/>
    <x v="0"/>
    <x v="1"/>
    <s v="Retail"/>
    <s v="Store"/>
    <x v="1"/>
    <x v="1"/>
    <n v="30000"/>
    <n v="9"/>
    <x v="4"/>
    <n v="24000"/>
    <n v="270000"/>
    <n v="216000"/>
    <n v="54000"/>
  </r>
  <r>
    <x v="1836"/>
    <x v="0"/>
    <x v="0"/>
    <x v="3"/>
    <x v="1"/>
    <s v="Corporate"/>
    <s v="Store"/>
    <x v="1"/>
    <x v="1"/>
    <n v="30000"/>
    <n v="8"/>
    <x v="4"/>
    <n v="24000"/>
    <n v="240000"/>
    <n v="192000"/>
    <n v="48000"/>
  </r>
  <r>
    <x v="1837"/>
    <x v="0"/>
    <x v="0"/>
    <x v="2"/>
    <x v="1"/>
    <s v="Corporate"/>
    <s v="Store"/>
    <x v="2"/>
    <x v="1"/>
    <n v="60000"/>
    <n v="7"/>
    <x v="1"/>
    <n v="48000"/>
    <n v="420000"/>
    <n v="336000"/>
    <n v="84000"/>
  </r>
  <r>
    <x v="1838"/>
    <x v="0"/>
    <x v="0"/>
    <x v="0"/>
    <x v="2"/>
    <s v="Retail"/>
    <s v="Store"/>
    <x v="1"/>
    <x v="1"/>
    <n v="30000"/>
    <n v="7"/>
    <x v="5"/>
    <n v="24000"/>
    <n v="210000"/>
    <n v="168000"/>
    <n v="42000"/>
  </r>
  <r>
    <x v="1839"/>
    <x v="1"/>
    <x v="1"/>
    <x v="0"/>
    <x v="0"/>
    <s v="Retail"/>
    <s v="Store"/>
    <x v="3"/>
    <x v="2"/>
    <n v="300000"/>
    <n v="6"/>
    <x v="4"/>
    <n v="240000"/>
    <n v="1800000"/>
    <n v="1440000"/>
    <n v="360000"/>
  </r>
  <r>
    <x v="1840"/>
    <x v="1"/>
    <x v="1"/>
    <x v="3"/>
    <x v="3"/>
    <s v="Corporate"/>
    <s v="Store"/>
    <x v="3"/>
    <x v="2"/>
    <n v="300000"/>
    <n v="4"/>
    <x v="5"/>
    <n v="240000"/>
    <n v="1200000"/>
    <n v="960000"/>
    <n v="240000"/>
  </r>
  <r>
    <x v="1841"/>
    <x v="1"/>
    <x v="1"/>
    <x v="2"/>
    <x v="2"/>
    <s v="Retail"/>
    <s v="Store"/>
    <x v="0"/>
    <x v="0"/>
    <n v="85000"/>
    <n v="2"/>
    <x v="0"/>
    <n v="68000"/>
    <n v="170000"/>
    <n v="136000"/>
    <n v="34000"/>
  </r>
  <r>
    <x v="1842"/>
    <x v="1"/>
    <x v="1"/>
    <x v="3"/>
    <x v="2"/>
    <s v="Corporate"/>
    <s v="Store"/>
    <x v="6"/>
    <x v="2"/>
    <n v="150000"/>
    <n v="3"/>
    <x v="1"/>
    <n v="120000"/>
    <n v="450000"/>
    <n v="360000"/>
    <n v="90000"/>
  </r>
  <r>
    <x v="1843"/>
    <x v="1"/>
    <x v="1"/>
    <x v="0"/>
    <x v="3"/>
    <s v="Corporate"/>
    <s v="Store"/>
    <x v="8"/>
    <x v="2"/>
    <n v="250000"/>
    <n v="4"/>
    <x v="2"/>
    <n v="200000"/>
    <n v="1000000"/>
    <n v="800000"/>
    <n v="200000"/>
  </r>
  <r>
    <x v="1844"/>
    <x v="1"/>
    <x v="1"/>
    <x v="3"/>
    <x v="0"/>
    <s v="Retail"/>
    <s v="Store"/>
    <x v="8"/>
    <x v="2"/>
    <n v="250000"/>
    <n v="7"/>
    <x v="0"/>
    <n v="200000"/>
    <n v="1750000"/>
    <n v="1400000"/>
    <n v="350000"/>
  </r>
  <r>
    <x v="1845"/>
    <x v="1"/>
    <x v="1"/>
    <x v="0"/>
    <x v="1"/>
    <s v="Retail"/>
    <s v="Store"/>
    <x v="8"/>
    <x v="2"/>
    <n v="250000"/>
    <n v="3"/>
    <x v="1"/>
    <n v="200000"/>
    <n v="750000"/>
    <n v="600000"/>
    <n v="150000"/>
  </r>
  <r>
    <x v="1846"/>
    <x v="1"/>
    <x v="1"/>
    <x v="1"/>
    <x v="2"/>
    <s v="Retail"/>
    <s v="Store"/>
    <x v="6"/>
    <x v="2"/>
    <n v="150000"/>
    <n v="8"/>
    <x v="0"/>
    <n v="120000"/>
    <n v="1200000"/>
    <n v="960000"/>
    <n v="240000"/>
  </r>
  <r>
    <x v="1847"/>
    <x v="1"/>
    <x v="1"/>
    <x v="1"/>
    <x v="2"/>
    <s v="Corporate"/>
    <s v="Store"/>
    <x v="0"/>
    <x v="0"/>
    <n v="85000"/>
    <n v="1"/>
    <x v="4"/>
    <n v="68000"/>
    <n v="85000"/>
    <n v="68000"/>
    <n v="17000"/>
  </r>
  <r>
    <x v="1848"/>
    <x v="1"/>
    <x v="1"/>
    <x v="1"/>
    <x v="3"/>
    <s v="Retail"/>
    <s v="Store"/>
    <x v="9"/>
    <x v="1"/>
    <n v="220000"/>
    <n v="6"/>
    <x v="0"/>
    <n v="176000"/>
    <n v="1320000"/>
    <n v="1056000"/>
    <n v="264000"/>
  </r>
  <r>
    <x v="1849"/>
    <x v="1"/>
    <x v="1"/>
    <x v="1"/>
    <x v="0"/>
    <s v="Corporate"/>
    <s v="Store"/>
    <x v="1"/>
    <x v="1"/>
    <n v="30000"/>
    <n v="3"/>
    <x v="0"/>
    <n v="24000"/>
    <n v="90000"/>
    <n v="72000"/>
    <n v="18000"/>
  </r>
  <r>
    <x v="1850"/>
    <x v="1"/>
    <x v="1"/>
    <x v="3"/>
    <x v="3"/>
    <s v="Corporate"/>
    <s v="Store"/>
    <x v="3"/>
    <x v="2"/>
    <n v="300000"/>
    <n v="3"/>
    <x v="1"/>
    <n v="240000"/>
    <n v="900000"/>
    <n v="720000"/>
    <n v="180000"/>
  </r>
  <r>
    <x v="1851"/>
    <x v="1"/>
    <x v="1"/>
    <x v="1"/>
    <x v="2"/>
    <s v="Retail"/>
    <s v="Store"/>
    <x v="8"/>
    <x v="2"/>
    <n v="250000"/>
    <n v="10"/>
    <x v="4"/>
    <n v="200000"/>
    <n v="2500000"/>
    <n v="2000000"/>
    <n v="500000"/>
  </r>
  <r>
    <x v="1852"/>
    <x v="1"/>
    <x v="1"/>
    <x v="1"/>
    <x v="1"/>
    <s v="Retail"/>
    <s v="Store"/>
    <x v="3"/>
    <x v="2"/>
    <n v="300000"/>
    <n v="4"/>
    <x v="3"/>
    <n v="240000"/>
    <n v="1200000"/>
    <n v="960000"/>
    <n v="240000"/>
  </r>
  <r>
    <x v="1853"/>
    <x v="1"/>
    <x v="1"/>
    <x v="2"/>
    <x v="2"/>
    <s v="Retail"/>
    <s v="Store"/>
    <x v="5"/>
    <x v="0"/>
    <n v="320000"/>
    <n v="5"/>
    <x v="5"/>
    <n v="256000"/>
    <n v="1600000"/>
    <n v="1280000"/>
    <n v="320000"/>
  </r>
  <r>
    <x v="1854"/>
    <x v="1"/>
    <x v="1"/>
    <x v="2"/>
    <x v="1"/>
    <s v="Retail"/>
    <s v="Store"/>
    <x v="5"/>
    <x v="0"/>
    <n v="320000"/>
    <n v="1"/>
    <x v="1"/>
    <n v="256000"/>
    <n v="320000"/>
    <n v="256000"/>
    <n v="64000"/>
  </r>
  <r>
    <x v="1855"/>
    <x v="1"/>
    <x v="1"/>
    <x v="3"/>
    <x v="0"/>
    <s v="Retail"/>
    <s v="Store"/>
    <x v="7"/>
    <x v="2"/>
    <n v="420000"/>
    <n v="4"/>
    <x v="4"/>
    <n v="336000"/>
    <n v="1680000"/>
    <n v="1344000"/>
    <n v="336000"/>
  </r>
  <r>
    <x v="1856"/>
    <x v="1"/>
    <x v="1"/>
    <x v="2"/>
    <x v="2"/>
    <s v="Corporate"/>
    <s v="Store"/>
    <x v="0"/>
    <x v="0"/>
    <n v="85000"/>
    <n v="5"/>
    <x v="2"/>
    <n v="68000"/>
    <n v="425000"/>
    <n v="340000"/>
    <n v="85000"/>
  </r>
  <r>
    <x v="1857"/>
    <x v="1"/>
    <x v="1"/>
    <x v="1"/>
    <x v="1"/>
    <s v="Corporate"/>
    <s v="Store"/>
    <x v="2"/>
    <x v="1"/>
    <n v="60000"/>
    <n v="3"/>
    <x v="0"/>
    <n v="48000"/>
    <n v="180000"/>
    <n v="144000"/>
    <n v="36000"/>
  </r>
  <r>
    <x v="1858"/>
    <x v="1"/>
    <x v="1"/>
    <x v="0"/>
    <x v="3"/>
    <s v="Retail"/>
    <s v="Store"/>
    <x v="8"/>
    <x v="2"/>
    <n v="250000"/>
    <n v="4"/>
    <x v="4"/>
    <n v="200000"/>
    <n v="1000000"/>
    <n v="800000"/>
    <n v="200000"/>
  </r>
  <r>
    <x v="1859"/>
    <x v="1"/>
    <x v="1"/>
    <x v="1"/>
    <x v="0"/>
    <s v="Retail"/>
    <s v="Store"/>
    <x v="7"/>
    <x v="2"/>
    <n v="420000"/>
    <n v="5"/>
    <x v="0"/>
    <n v="336000"/>
    <n v="2100000"/>
    <n v="1680000"/>
    <n v="420000"/>
  </r>
  <r>
    <x v="1860"/>
    <x v="1"/>
    <x v="1"/>
    <x v="0"/>
    <x v="2"/>
    <s v="Retail"/>
    <s v="Store"/>
    <x v="6"/>
    <x v="2"/>
    <n v="150000"/>
    <n v="5"/>
    <x v="2"/>
    <n v="120000"/>
    <n v="750000"/>
    <n v="600000"/>
    <n v="150000"/>
  </r>
  <r>
    <x v="1861"/>
    <x v="1"/>
    <x v="1"/>
    <x v="3"/>
    <x v="1"/>
    <s v="Corporate"/>
    <s v="Store"/>
    <x v="4"/>
    <x v="1"/>
    <n v="180000"/>
    <n v="1"/>
    <x v="3"/>
    <n v="144000"/>
    <n v="180000"/>
    <n v="144000"/>
    <n v="36000"/>
  </r>
  <r>
    <x v="1862"/>
    <x v="1"/>
    <x v="1"/>
    <x v="2"/>
    <x v="3"/>
    <s v="Corporate"/>
    <s v="Store"/>
    <x v="4"/>
    <x v="1"/>
    <n v="180000"/>
    <n v="1"/>
    <x v="2"/>
    <n v="144000"/>
    <n v="180000"/>
    <n v="144000"/>
    <n v="36000"/>
  </r>
  <r>
    <x v="1863"/>
    <x v="1"/>
    <x v="1"/>
    <x v="0"/>
    <x v="1"/>
    <s v="Retail"/>
    <s v="Store"/>
    <x v="8"/>
    <x v="2"/>
    <n v="250000"/>
    <n v="9"/>
    <x v="0"/>
    <n v="200000"/>
    <n v="2250000"/>
    <n v="1800000"/>
    <n v="450000"/>
  </r>
  <r>
    <x v="1864"/>
    <x v="1"/>
    <x v="1"/>
    <x v="3"/>
    <x v="0"/>
    <s v="Retail"/>
    <s v="Store"/>
    <x v="0"/>
    <x v="0"/>
    <n v="85000"/>
    <n v="4"/>
    <x v="3"/>
    <n v="68000"/>
    <n v="340000"/>
    <n v="272000"/>
    <n v="68000"/>
  </r>
  <r>
    <x v="1865"/>
    <x v="1"/>
    <x v="1"/>
    <x v="0"/>
    <x v="3"/>
    <s v="Corporate"/>
    <s v="Store"/>
    <x v="7"/>
    <x v="2"/>
    <n v="420000"/>
    <n v="8"/>
    <x v="1"/>
    <n v="336000"/>
    <n v="3360000"/>
    <n v="2688000"/>
    <n v="672000"/>
  </r>
  <r>
    <x v="1866"/>
    <x v="1"/>
    <x v="1"/>
    <x v="2"/>
    <x v="3"/>
    <s v="Corporate"/>
    <s v="Store"/>
    <x v="5"/>
    <x v="0"/>
    <n v="320000"/>
    <n v="6"/>
    <x v="1"/>
    <n v="256000"/>
    <n v="1920000"/>
    <n v="1536000"/>
    <n v="384000"/>
  </r>
  <r>
    <x v="1867"/>
    <x v="2"/>
    <x v="2"/>
    <x v="3"/>
    <x v="1"/>
    <s v="Retail"/>
    <s v="Store"/>
    <x v="6"/>
    <x v="2"/>
    <n v="150000"/>
    <n v="3"/>
    <x v="4"/>
    <n v="120000"/>
    <n v="450000"/>
    <n v="360000"/>
    <n v="90000"/>
  </r>
  <r>
    <x v="1868"/>
    <x v="2"/>
    <x v="2"/>
    <x v="0"/>
    <x v="3"/>
    <s v="Retail"/>
    <s v="Store"/>
    <x v="0"/>
    <x v="0"/>
    <n v="85000"/>
    <n v="3"/>
    <x v="2"/>
    <n v="68000"/>
    <n v="255000"/>
    <n v="204000"/>
    <n v="51000"/>
  </r>
  <r>
    <x v="1869"/>
    <x v="2"/>
    <x v="2"/>
    <x v="3"/>
    <x v="1"/>
    <s v="Retail"/>
    <s v="Store"/>
    <x v="3"/>
    <x v="2"/>
    <n v="300000"/>
    <n v="1"/>
    <x v="2"/>
    <n v="240000"/>
    <n v="300000"/>
    <n v="240000"/>
    <n v="60000"/>
  </r>
  <r>
    <x v="1870"/>
    <x v="2"/>
    <x v="2"/>
    <x v="2"/>
    <x v="1"/>
    <s v="Corporate"/>
    <s v="Online"/>
    <x v="4"/>
    <x v="1"/>
    <n v="180000"/>
    <n v="4"/>
    <x v="4"/>
    <n v="144000"/>
    <n v="720000"/>
    <n v="576000"/>
    <n v="144000"/>
  </r>
  <r>
    <x v="1871"/>
    <x v="2"/>
    <x v="2"/>
    <x v="0"/>
    <x v="1"/>
    <s v="Retail"/>
    <s v="Online"/>
    <x v="7"/>
    <x v="2"/>
    <n v="420000"/>
    <n v="10"/>
    <x v="3"/>
    <n v="336000"/>
    <n v="4200000"/>
    <n v="3360000"/>
    <n v="840000"/>
  </r>
  <r>
    <x v="1872"/>
    <x v="2"/>
    <x v="2"/>
    <x v="3"/>
    <x v="3"/>
    <s v="Corporate"/>
    <s v="Online"/>
    <x v="6"/>
    <x v="2"/>
    <n v="150000"/>
    <n v="4"/>
    <x v="5"/>
    <n v="120000"/>
    <n v="600000"/>
    <n v="480000"/>
    <n v="120000"/>
  </r>
  <r>
    <x v="1873"/>
    <x v="2"/>
    <x v="2"/>
    <x v="1"/>
    <x v="2"/>
    <s v="Retail"/>
    <s v="Online"/>
    <x v="0"/>
    <x v="0"/>
    <n v="85000"/>
    <n v="6"/>
    <x v="5"/>
    <n v="68000"/>
    <n v="510000"/>
    <n v="408000"/>
    <n v="102000"/>
  </r>
  <r>
    <x v="1874"/>
    <x v="2"/>
    <x v="2"/>
    <x v="2"/>
    <x v="0"/>
    <s v="Corporate"/>
    <s v="Store"/>
    <x v="3"/>
    <x v="2"/>
    <n v="300000"/>
    <n v="10"/>
    <x v="0"/>
    <n v="240000"/>
    <n v="3000000"/>
    <n v="2400000"/>
    <n v="600000"/>
  </r>
  <r>
    <x v="1875"/>
    <x v="2"/>
    <x v="2"/>
    <x v="1"/>
    <x v="1"/>
    <s v="Corporate"/>
    <s v="Store"/>
    <x v="6"/>
    <x v="2"/>
    <n v="150000"/>
    <n v="6"/>
    <x v="5"/>
    <n v="120000"/>
    <n v="900000"/>
    <n v="720000"/>
    <n v="180000"/>
  </r>
  <r>
    <x v="1876"/>
    <x v="2"/>
    <x v="2"/>
    <x v="2"/>
    <x v="0"/>
    <s v="Corporate"/>
    <s v="Store"/>
    <x v="6"/>
    <x v="2"/>
    <n v="150000"/>
    <n v="1"/>
    <x v="5"/>
    <n v="120000"/>
    <n v="150000"/>
    <n v="120000"/>
    <n v="30000"/>
  </r>
  <r>
    <x v="1877"/>
    <x v="2"/>
    <x v="2"/>
    <x v="3"/>
    <x v="0"/>
    <s v="Retail"/>
    <s v="Store"/>
    <x v="3"/>
    <x v="2"/>
    <n v="300000"/>
    <n v="3"/>
    <x v="2"/>
    <n v="240000"/>
    <n v="900000"/>
    <n v="720000"/>
    <n v="180000"/>
  </r>
  <r>
    <x v="1878"/>
    <x v="2"/>
    <x v="2"/>
    <x v="3"/>
    <x v="0"/>
    <s v="Retail"/>
    <s v="Online"/>
    <x v="3"/>
    <x v="2"/>
    <n v="300000"/>
    <n v="8"/>
    <x v="4"/>
    <n v="240000"/>
    <n v="2400000"/>
    <n v="1920000"/>
    <n v="480000"/>
  </r>
  <r>
    <x v="1879"/>
    <x v="2"/>
    <x v="2"/>
    <x v="1"/>
    <x v="0"/>
    <s v="Corporate"/>
    <s v="Online"/>
    <x v="3"/>
    <x v="2"/>
    <n v="300000"/>
    <n v="9"/>
    <x v="0"/>
    <n v="240000"/>
    <n v="2700000"/>
    <n v="2160000"/>
    <n v="540000"/>
  </r>
  <r>
    <x v="1880"/>
    <x v="2"/>
    <x v="2"/>
    <x v="3"/>
    <x v="1"/>
    <s v="Retail"/>
    <s v="Online"/>
    <x v="3"/>
    <x v="2"/>
    <n v="300000"/>
    <n v="2"/>
    <x v="3"/>
    <n v="240000"/>
    <n v="600000"/>
    <n v="480000"/>
    <n v="120000"/>
  </r>
  <r>
    <x v="1881"/>
    <x v="2"/>
    <x v="2"/>
    <x v="3"/>
    <x v="0"/>
    <s v="Corporate"/>
    <s v="Store"/>
    <x v="3"/>
    <x v="2"/>
    <n v="300000"/>
    <n v="10"/>
    <x v="2"/>
    <n v="240000"/>
    <n v="3000000"/>
    <n v="2400000"/>
    <n v="600000"/>
  </r>
  <r>
    <x v="1882"/>
    <x v="2"/>
    <x v="2"/>
    <x v="0"/>
    <x v="2"/>
    <s v="Corporate"/>
    <s v="Store"/>
    <x v="9"/>
    <x v="1"/>
    <n v="220000"/>
    <n v="4"/>
    <x v="4"/>
    <n v="176000"/>
    <n v="880000"/>
    <n v="704000"/>
    <n v="176000"/>
  </r>
  <r>
    <x v="1883"/>
    <x v="2"/>
    <x v="2"/>
    <x v="3"/>
    <x v="1"/>
    <s v="Corporate"/>
    <s v="Online"/>
    <x v="0"/>
    <x v="0"/>
    <n v="85000"/>
    <n v="6"/>
    <x v="4"/>
    <n v="68000"/>
    <n v="510000"/>
    <n v="408000"/>
    <n v="102000"/>
  </r>
  <r>
    <x v="1884"/>
    <x v="2"/>
    <x v="2"/>
    <x v="0"/>
    <x v="2"/>
    <s v="Corporate"/>
    <s v="Store"/>
    <x v="2"/>
    <x v="1"/>
    <n v="60000"/>
    <n v="4"/>
    <x v="2"/>
    <n v="48000"/>
    <n v="240000"/>
    <n v="192000"/>
    <n v="48000"/>
  </r>
  <r>
    <x v="1885"/>
    <x v="2"/>
    <x v="2"/>
    <x v="1"/>
    <x v="0"/>
    <s v="Retail"/>
    <s v="Store"/>
    <x v="9"/>
    <x v="1"/>
    <n v="220000"/>
    <n v="2"/>
    <x v="1"/>
    <n v="176000"/>
    <n v="440000"/>
    <n v="352000"/>
    <n v="88000"/>
  </r>
  <r>
    <x v="1886"/>
    <x v="2"/>
    <x v="2"/>
    <x v="1"/>
    <x v="3"/>
    <s v="Corporate"/>
    <s v="Online"/>
    <x v="3"/>
    <x v="2"/>
    <n v="300000"/>
    <n v="3"/>
    <x v="0"/>
    <n v="240000"/>
    <n v="900000"/>
    <n v="720000"/>
    <n v="180000"/>
  </r>
  <r>
    <x v="1887"/>
    <x v="2"/>
    <x v="2"/>
    <x v="2"/>
    <x v="0"/>
    <s v="Corporate"/>
    <s v="Online"/>
    <x v="9"/>
    <x v="1"/>
    <n v="220000"/>
    <n v="8"/>
    <x v="5"/>
    <n v="176000"/>
    <n v="1760000"/>
    <n v="1408000"/>
    <n v="352000"/>
  </r>
  <r>
    <x v="1888"/>
    <x v="2"/>
    <x v="2"/>
    <x v="0"/>
    <x v="0"/>
    <s v="Retail"/>
    <s v="Online"/>
    <x v="8"/>
    <x v="2"/>
    <n v="250000"/>
    <n v="8"/>
    <x v="4"/>
    <n v="200000"/>
    <n v="2000000"/>
    <n v="1600000"/>
    <n v="400000"/>
  </r>
  <r>
    <x v="1889"/>
    <x v="2"/>
    <x v="2"/>
    <x v="2"/>
    <x v="0"/>
    <s v="Retail"/>
    <s v="Online"/>
    <x v="0"/>
    <x v="0"/>
    <n v="85000"/>
    <n v="2"/>
    <x v="0"/>
    <n v="68000"/>
    <n v="170000"/>
    <n v="136000"/>
    <n v="34000"/>
  </r>
  <r>
    <x v="1890"/>
    <x v="2"/>
    <x v="2"/>
    <x v="3"/>
    <x v="2"/>
    <s v="Corporate"/>
    <s v="Store"/>
    <x v="6"/>
    <x v="2"/>
    <n v="150000"/>
    <n v="7"/>
    <x v="4"/>
    <n v="120000"/>
    <n v="1050000"/>
    <n v="840000"/>
    <n v="210000"/>
  </r>
  <r>
    <x v="1891"/>
    <x v="2"/>
    <x v="2"/>
    <x v="2"/>
    <x v="2"/>
    <s v="Retail"/>
    <s v="Online"/>
    <x v="1"/>
    <x v="1"/>
    <n v="30000"/>
    <n v="8"/>
    <x v="2"/>
    <n v="24000"/>
    <n v="240000"/>
    <n v="192000"/>
    <n v="48000"/>
  </r>
  <r>
    <x v="1892"/>
    <x v="2"/>
    <x v="2"/>
    <x v="0"/>
    <x v="0"/>
    <s v="Corporate"/>
    <s v="Online"/>
    <x v="0"/>
    <x v="0"/>
    <n v="85000"/>
    <n v="2"/>
    <x v="4"/>
    <n v="68000"/>
    <n v="170000"/>
    <n v="136000"/>
    <n v="34000"/>
  </r>
  <r>
    <x v="1893"/>
    <x v="2"/>
    <x v="2"/>
    <x v="0"/>
    <x v="3"/>
    <s v="Retail"/>
    <s v="Online"/>
    <x v="4"/>
    <x v="1"/>
    <n v="180000"/>
    <n v="5"/>
    <x v="1"/>
    <n v="144000"/>
    <n v="900000"/>
    <n v="720000"/>
    <n v="180000"/>
  </r>
  <r>
    <x v="1894"/>
    <x v="2"/>
    <x v="2"/>
    <x v="0"/>
    <x v="2"/>
    <s v="Retail"/>
    <s v="Online"/>
    <x v="0"/>
    <x v="0"/>
    <n v="85000"/>
    <n v="9"/>
    <x v="4"/>
    <n v="68000"/>
    <n v="765000"/>
    <n v="612000"/>
    <n v="153000"/>
  </r>
  <r>
    <x v="1895"/>
    <x v="2"/>
    <x v="2"/>
    <x v="0"/>
    <x v="3"/>
    <s v="Corporate"/>
    <s v="Online"/>
    <x v="7"/>
    <x v="2"/>
    <n v="420000"/>
    <n v="9"/>
    <x v="1"/>
    <n v="336000"/>
    <n v="3780000"/>
    <n v="3024000"/>
    <n v="756000"/>
  </r>
  <r>
    <x v="1896"/>
    <x v="2"/>
    <x v="2"/>
    <x v="3"/>
    <x v="3"/>
    <s v="Retail"/>
    <s v="Online"/>
    <x v="5"/>
    <x v="0"/>
    <n v="320000"/>
    <n v="5"/>
    <x v="0"/>
    <n v="256000"/>
    <n v="1600000"/>
    <n v="1280000"/>
    <n v="320000"/>
  </r>
  <r>
    <x v="1897"/>
    <x v="2"/>
    <x v="2"/>
    <x v="0"/>
    <x v="1"/>
    <s v="Retail"/>
    <s v="Online"/>
    <x v="5"/>
    <x v="0"/>
    <n v="320000"/>
    <n v="1"/>
    <x v="4"/>
    <n v="256000"/>
    <n v="320000"/>
    <n v="256000"/>
    <n v="64000"/>
  </r>
  <r>
    <x v="1898"/>
    <x v="3"/>
    <x v="3"/>
    <x v="3"/>
    <x v="2"/>
    <s v="Retail"/>
    <s v="Online"/>
    <x v="1"/>
    <x v="1"/>
    <n v="30000"/>
    <n v="10"/>
    <x v="3"/>
    <n v="24000"/>
    <n v="300000"/>
    <n v="240000"/>
    <n v="60000"/>
  </r>
  <r>
    <x v="1899"/>
    <x v="3"/>
    <x v="3"/>
    <x v="1"/>
    <x v="0"/>
    <s v="Retail"/>
    <s v="Store"/>
    <x v="4"/>
    <x v="1"/>
    <n v="180000"/>
    <n v="10"/>
    <x v="5"/>
    <n v="144000"/>
    <n v="1800000"/>
    <n v="1440000"/>
    <n v="360000"/>
  </r>
  <r>
    <x v="1900"/>
    <x v="3"/>
    <x v="3"/>
    <x v="0"/>
    <x v="2"/>
    <s v="Corporate"/>
    <s v="Online"/>
    <x v="5"/>
    <x v="0"/>
    <n v="320000"/>
    <n v="9"/>
    <x v="2"/>
    <n v="256000"/>
    <n v="2880000"/>
    <n v="2304000"/>
    <n v="576000"/>
  </r>
  <r>
    <x v="1901"/>
    <x v="3"/>
    <x v="3"/>
    <x v="0"/>
    <x v="3"/>
    <s v="Corporate"/>
    <s v="Online"/>
    <x v="7"/>
    <x v="2"/>
    <n v="420000"/>
    <n v="2"/>
    <x v="4"/>
    <n v="336000"/>
    <n v="840000"/>
    <n v="672000"/>
    <n v="168000"/>
  </r>
  <r>
    <x v="1902"/>
    <x v="3"/>
    <x v="3"/>
    <x v="3"/>
    <x v="0"/>
    <s v="Retail"/>
    <s v="Online"/>
    <x v="3"/>
    <x v="2"/>
    <n v="300000"/>
    <n v="6"/>
    <x v="2"/>
    <n v="240000"/>
    <n v="1800000"/>
    <n v="1440000"/>
    <n v="360000"/>
  </r>
  <r>
    <x v="1903"/>
    <x v="3"/>
    <x v="3"/>
    <x v="3"/>
    <x v="2"/>
    <s v="Corporate"/>
    <s v="Store"/>
    <x v="1"/>
    <x v="1"/>
    <n v="30000"/>
    <n v="4"/>
    <x v="1"/>
    <n v="24000"/>
    <n v="120000"/>
    <n v="96000"/>
    <n v="24000"/>
  </r>
  <r>
    <x v="1904"/>
    <x v="3"/>
    <x v="3"/>
    <x v="2"/>
    <x v="3"/>
    <s v="Corporate"/>
    <s v="Store"/>
    <x v="5"/>
    <x v="0"/>
    <n v="320000"/>
    <n v="7"/>
    <x v="2"/>
    <n v="256000"/>
    <n v="2240000"/>
    <n v="1792000"/>
    <n v="448000"/>
  </r>
  <r>
    <x v="1905"/>
    <x v="3"/>
    <x v="3"/>
    <x v="3"/>
    <x v="2"/>
    <s v="Corporate"/>
    <s v="Store"/>
    <x v="5"/>
    <x v="0"/>
    <n v="320000"/>
    <n v="1"/>
    <x v="4"/>
    <n v="256000"/>
    <n v="320000"/>
    <n v="256000"/>
    <n v="64000"/>
  </r>
  <r>
    <x v="1906"/>
    <x v="3"/>
    <x v="3"/>
    <x v="3"/>
    <x v="2"/>
    <s v="Corporate"/>
    <s v="Online"/>
    <x v="3"/>
    <x v="2"/>
    <n v="300000"/>
    <n v="3"/>
    <x v="3"/>
    <n v="240000"/>
    <n v="900000"/>
    <n v="720000"/>
    <n v="180000"/>
  </r>
  <r>
    <x v="1907"/>
    <x v="3"/>
    <x v="3"/>
    <x v="3"/>
    <x v="1"/>
    <s v="Corporate"/>
    <s v="Online"/>
    <x v="1"/>
    <x v="1"/>
    <n v="30000"/>
    <n v="6"/>
    <x v="2"/>
    <n v="24000"/>
    <n v="180000"/>
    <n v="144000"/>
    <n v="36000"/>
  </r>
  <r>
    <x v="1908"/>
    <x v="3"/>
    <x v="3"/>
    <x v="1"/>
    <x v="2"/>
    <s v="Corporate"/>
    <s v="Store"/>
    <x v="9"/>
    <x v="1"/>
    <n v="220000"/>
    <n v="1"/>
    <x v="2"/>
    <n v="176000"/>
    <n v="220000"/>
    <n v="176000"/>
    <n v="44000"/>
  </r>
  <r>
    <x v="1909"/>
    <x v="3"/>
    <x v="3"/>
    <x v="3"/>
    <x v="3"/>
    <s v="Retail"/>
    <s v="Online"/>
    <x v="1"/>
    <x v="1"/>
    <n v="30000"/>
    <n v="9"/>
    <x v="3"/>
    <n v="24000"/>
    <n v="270000"/>
    <n v="216000"/>
    <n v="54000"/>
  </r>
  <r>
    <x v="1910"/>
    <x v="3"/>
    <x v="3"/>
    <x v="0"/>
    <x v="0"/>
    <s v="Corporate"/>
    <s v="Online"/>
    <x v="9"/>
    <x v="1"/>
    <n v="220000"/>
    <n v="10"/>
    <x v="3"/>
    <n v="176000"/>
    <n v="2200000"/>
    <n v="1760000"/>
    <n v="440000"/>
  </r>
  <r>
    <x v="1911"/>
    <x v="3"/>
    <x v="3"/>
    <x v="1"/>
    <x v="2"/>
    <s v="Retail"/>
    <s v="Online"/>
    <x v="9"/>
    <x v="1"/>
    <n v="220000"/>
    <n v="9"/>
    <x v="0"/>
    <n v="176000"/>
    <n v="1980000"/>
    <n v="1584000"/>
    <n v="396000"/>
  </r>
  <r>
    <x v="1912"/>
    <x v="3"/>
    <x v="3"/>
    <x v="0"/>
    <x v="3"/>
    <s v="Corporate"/>
    <s v="Online"/>
    <x v="2"/>
    <x v="1"/>
    <n v="60000"/>
    <n v="4"/>
    <x v="1"/>
    <n v="48000"/>
    <n v="240000"/>
    <n v="192000"/>
    <n v="48000"/>
  </r>
  <r>
    <x v="1913"/>
    <x v="3"/>
    <x v="3"/>
    <x v="2"/>
    <x v="2"/>
    <s v="Corporate"/>
    <s v="Store"/>
    <x v="9"/>
    <x v="1"/>
    <n v="220000"/>
    <n v="7"/>
    <x v="1"/>
    <n v="176000"/>
    <n v="1540000"/>
    <n v="1232000"/>
    <n v="308000"/>
  </r>
  <r>
    <x v="1914"/>
    <x v="3"/>
    <x v="3"/>
    <x v="0"/>
    <x v="2"/>
    <s v="Retail"/>
    <s v="Store"/>
    <x v="5"/>
    <x v="0"/>
    <n v="320000"/>
    <n v="9"/>
    <x v="2"/>
    <n v="256000"/>
    <n v="2880000"/>
    <n v="2304000"/>
    <n v="576000"/>
  </r>
  <r>
    <x v="1915"/>
    <x v="3"/>
    <x v="3"/>
    <x v="0"/>
    <x v="1"/>
    <s v="Corporate"/>
    <s v="Store"/>
    <x v="0"/>
    <x v="0"/>
    <n v="85000"/>
    <n v="5"/>
    <x v="5"/>
    <n v="68000"/>
    <n v="425000"/>
    <n v="340000"/>
    <n v="85000"/>
  </r>
  <r>
    <x v="1916"/>
    <x v="3"/>
    <x v="3"/>
    <x v="3"/>
    <x v="3"/>
    <s v="Retail"/>
    <s v="Online"/>
    <x v="8"/>
    <x v="2"/>
    <n v="250000"/>
    <n v="10"/>
    <x v="4"/>
    <n v="200000"/>
    <n v="2500000"/>
    <n v="2000000"/>
    <n v="500000"/>
  </r>
  <r>
    <x v="1917"/>
    <x v="3"/>
    <x v="3"/>
    <x v="1"/>
    <x v="3"/>
    <s v="Retail"/>
    <s v="Store"/>
    <x v="5"/>
    <x v="0"/>
    <n v="320000"/>
    <n v="8"/>
    <x v="2"/>
    <n v="256000"/>
    <n v="2560000"/>
    <n v="2048000"/>
    <n v="512000"/>
  </r>
  <r>
    <x v="1918"/>
    <x v="3"/>
    <x v="3"/>
    <x v="3"/>
    <x v="0"/>
    <s v="Corporate"/>
    <s v="Store"/>
    <x v="6"/>
    <x v="2"/>
    <n v="150000"/>
    <n v="7"/>
    <x v="3"/>
    <n v="120000"/>
    <n v="1050000"/>
    <n v="840000"/>
    <n v="210000"/>
  </r>
  <r>
    <x v="1919"/>
    <x v="3"/>
    <x v="3"/>
    <x v="3"/>
    <x v="2"/>
    <s v="Retail"/>
    <s v="Store"/>
    <x v="4"/>
    <x v="1"/>
    <n v="180000"/>
    <n v="8"/>
    <x v="3"/>
    <n v="144000"/>
    <n v="1440000"/>
    <n v="1152000"/>
    <n v="288000"/>
  </r>
  <r>
    <x v="1920"/>
    <x v="3"/>
    <x v="3"/>
    <x v="0"/>
    <x v="3"/>
    <s v="Retail"/>
    <s v="Online"/>
    <x v="5"/>
    <x v="0"/>
    <n v="320000"/>
    <n v="10"/>
    <x v="2"/>
    <n v="256000"/>
    <n v="3200000"/>
    <n v="2560000"/>
    <n v="640000"/>
  </r>
  <r>
    <x v="1921"/>
    <x v="3"/>
    <x v="3"/>
    <x v="3"/>
    <x v="0"/>
    <s v="Corporate"/>
    <s v="Store"/>
    <x v="6"/>
    <x v="2"/>
    <n v="150000"/>
    <n v="7"/>
    <x v="5"/>
    <n v="120000"/>
    <n v="1050000"/>
    <n v="840000"/>
    <n v="210000"/>
  </r>
  <r>
    <x v="1922"/>
    <x v="3"/>
    <x v="3"/>
    <x v="2"/>
    <x v="1"/>
    <s v="Corporate"/>
    <s v="Store"/>
    <x v="9"/>
    <x v="1"/>
    <n v="220000"/>
    <n v="1"/>
    <x v="1"/>
    <n v="176000"/>
    <n v="220000"/>
    <n v="176000"/>
    <n v="44000"/>
  </r>
  <r>
    <x v="1923"/>
    <x v="3"/>
    <x v="3"/>
    <x v="3"/>
    <x v="3"/>
    <s v="Corporate"/>
    <s v="Online"/>
    <x v="9"/>
    <x v="1"/>
    <n v="220000"/>
    <n v="7"/>
    <x v="1"/>
    <n v="176000"/>
    <n v="1540000"/>
    <n v="1232000"/>
    <n v="308000"/>
  </r>
  <r>
    <x v="1924"/>
    <x v="3"/>
    <x v="3"/>
    <x v="2"/>
    <x v="3"/>
    <s v="Corporate"/>
    <s v="Store"/>
    <x v="6"/>
    <x v="2"/>
    <n v="150000"/>
    <n v="6"/>
    <x v="1"/>
    <n v="120000"/>
    <n v="900000"/>
    <n v="720000"/>
    <n v="180000"/>
  </r>
  <r>
    <x v="1925"/>
    <x v="3"/>
    <x v="3"/>
    <x v="1"/>
    <x v="0"/>
    <s v="Retail"/>
    <s v="Online"/>
    <x v="3"/>
    <x v="2"/>
    <n v="300000"/>
    <n v="8"/>
    <x v="2"/>
    <n v="240000"/>
    <n v="2400000"/>
    <n v="1920000"/>
    <n v="480000"/>
  </r>
  <r>
    <x v="1926"/>
    <x v="3"/>
    <x v="3"/>
    <x v="1"/>
    <x v="3"/>
    <s v="Corporate"/>
    <s v="Store"/>
    <x v="7"/>
    <x v="2"/>
    <n v="420000"/>
    <n v="10"/>
    <x v="5"/>
    <n v="336000"/>
    <n v="4200000"/>
    <n v="3360000"/>
    <n v="840000"/>
  </r>
  <r>
    <x v="1927"/>
    <x v="3"/>
    <x v="3"/>
    <x v="3"/>
    <x v="1"/>
    <s v="Retail"/>
    <s v="Store"/>
    <x v="1"/>
    <x v="1"/>
    <n v="30000"/>
    <n v="1"/>
    <x v="1"/>
    <n v="24000"/>
    <n v="30000"/>
    <n v="24000"/>
    <n v="6000"/>
  </r>
  <r>
    <x v="1928"/>
    <x v="4"/>
    <x v="4"/>
    <x v="1"/>
    <x v="0"/>
    <s v="Corporate"/>
    <s v="Online"/>
    <x v="7"/>
    <x v="2"/>
    <n v="420000"/>
    <n v="7"/>
    <x v="0"/>
    <n v="336000"/>
    <n v="2940000"/>
    <n v="2352000"/>
    <n v="588000"/>
  </r>
  <r>
    <x v="1929"/>
    <x v="4"/>
    <x v="4"/>
    <x v="3"/>
    <x v="0"/>
    <s v="Corporate"/>
    <s v="Store"/>
    <x v="4"/>
    <x v="1"/>
    <n v="180000"/>
    <n v="6"/>
    <x v="3"/>
    <n v="144000"/>
    <n v="1080000"/>
    <n v="864000"/>
    <n v="216000"/>
  </r>
  <r>
    <x v="1930"/>
    <x v="4"/>
    <x v="4"/>
    <x v="2"/>
    <x v="2"/>
    <s v="Retail"/>
    <s v="Online"/>
    <x v="1"/>
    <x v="1"/>
    <n v="30000"/>
    <n v="10"/>
    <x v="5"/>
    <n v="24000"/>
    <n v="300000"/>
    <n v="240000"/>
    <n v="60000"/>
  </r>
  <r>
    <x v="1931"/>
    <x v="4"/>
    <x v="4"/>
    <x v="0"/>
    <x v="0"/>
    <s v="Retail"/>
    <s v="Store"/>
    <x v="9"/>
    <x v="1"/>
    <n v="220000"/>
    <n v="1"/>
    <x v="5"/>
    <n v="176000"/>
    <n v="220000"/>
    <n v="176000"/>
    <n v="44000"/>
  </r>
  <r>
    <x v="1932"/>
    <x v="4"/>
    <x v="4"/>
    <x v="2"/>
    <x v="2"/>
    <s v="Retail"/>
    <s v="Online"/>
    <x v="5"/>
    <x v="0"/>
    <n v="320000"/>
    <n v="6"/>
    <x v="3"/>
    <n v="256000"/>
    <n v="1920000"/>
    <n v="1536000"/>
    <n v="384000"/>
  </r>
  <r>
    <x v="1933"/>
    <x v="4"/>
    <x v="4"/>
    <x v="2"/>
    <x v="3"/>
    <s v="Corporate"/>
    <s v="Store"/>
    <x v="2"/>
    <x v="1"/>
    <n v="60000"/>
    <n v="10"/>
    <x v="1"/>
    <n v="48000"/>
    <n v="600000"/>
    <n v="480000"/>
    <n v="120000"/>
  </r>
  <r>
    <x v="1934"/>
    <x v="4"/>
    <x v="4"/>
    <x v="0"/>
    <x v="3"/>
    <s v="Retail"/>
    <s v="Online"/>
    <x v="0"/>
    <x v="0"/>
    <n v="85000"/>
    <n v="7"/>
    <x v="5"/>
    <n v="68000"/>
    <n v="595000"/>
    <n v="476000"/>
    <n v="119000"/>
  </r>
  <r>
    <x v="1935"/>
    <x v="4"/>
    <x v="4"/>
    <x v="1"/>
    <x v="3"/>
    <s v="Corporate"/>
    <s v="Online"/>
    <x v="8"/>
    <x v="2"/>
    <n v="250000"/>
    <n v="1"/>
    <x v="5"/>
    <n v="200000"/>
    <n v="250000"/>
    <n v="200000"/>
    <n v="50000"/>
  </r>
  <r>
    <x v="1936"/>
    <x v="4"/>
    <x v="4"/>
    <x v="3"/>
    <x v="3"/>
    <s v="Corporate"/>
    <s v="Store"/>
    <x v="9"/>
    <x v="1"/>
    <n v="220000"/>
    <n v="8"/>
    <x v="1"/>
    <n v="176000"/>
    <n v="1760000"/>
    <n v="1408000"/>
    <n v="352000"/>
  </r>
  <r>
    <x v="1937"/>
    <x v="4"/>
    <x v="4"/>
    <x v="3"/>
    <x v="1"/>
    <s v="Retail"/>
    <s v="Online"/>
    <x v="8"/>
    <x v="2"/>
    <n v="250000"/>
    <n v="6"/>
    <x v="3"/>
    <n v="200000"/>
    <n v="1500000"/>
    <n v="1200000"/>
    <n v="300000"/>
  </r>
  <r>
    <x v="1938"/>
    <x v="4"/>
    <x v="4"/>
    <x v="3"/>
    <x v="3"/>
    <s v="Retail"/>
    <s v="Online"/>
    <x v="0"/>
    <x v="0"/>
    <n v="85000"/>
    <n v="7"/>
    <x v="3"/>
    <n v="68000"/>
    <n v="595000"/>
    <n v="476000"/>
    <n v="119000"/>
  </r>
  <r>
    <x v="1939"/>
    <x v="4"/>
    <x v="4"/>
    <x v="2"/>
    <x v="2"/>
    <s v="Retail"/>
    <s v="Store"/>
    <x v="0"/>
    <x v="0"/>
    <n v="85000"/>
    <n v="4"/>
    <x v="2"/>
    <n v="68000"/>
    <n v="340000"/>
    <n v="272000"/>
    <n v="68000"/>
  </r>
  <r>
    <x v="1940"/>
    <x v="4"/>
    <x v="4"/>
    <x v="1"/>
    <x v="3"/>
    <s v="Corporate"/>
    <s v="Store"/>
    <x v="7"/>
    <x v="2"/>
    <n v="420000"/>
    <n v="6"/>
    <x v="0"/>
    <n v="336000"/>
    <n v="2520000"/>
    <n v="2016000"/>
    <n v="504000"/>
  </r>
  <r>
    <x v="1941"/>
    <x v="4"/>
    <x v="4"/>
    <x v="1"/>
    <x v="0"/>
    <s v="Corporate"/>
    <s v="Store"/>
    <x v="8"/>
    <x v="2"/>
    <n v="250000"/>
    <n v="4"/>
    <x v="2"/>
    <n v="200000"/>
    <n v="1000000"/>
    <n v="800000"/>
    <n v="200000"/>
  </r>
  <r>
    <x v="1942"/>
    <x v="4"/>
    <x v="4"/>
    <x v="0"/>
    <x v="0"/>
    <s v="Retail"/>
    <s v="Store"/>
    <x v="1"/>
    <x v="1"/>
    <n v="30000"/>
    <n v="3"/>
    <x v="4"/>
    <n v="24000"/>
    <n v="90000"/>
    <n v="72000"/>
    <n v="18000"/>
  </r>
  <r>
    <x v="1943"/>
    <x v="4"/>
    <x v="4"/>
    <x v="3"/>
    <x v="3"/>
    <s v="Corporate"/>
    <s v="Online"/>
    <x v="5"/>
    <x v="0"/>
    <n v="320000"/>
    <n v="9"/>
    <x v="3"/>
    <n v="256000"/>
    <n v="2880000"/>
    <n v="2304000"/>
    <n v="576000"/>
  </r>
  <r>
    <x v="1944"/>
    <x v="4"/>
    <x v="4"/>
    <x v="3"/>
    <x v="0"/>
    <s v="Retail"/>
    <s v="Store"/>
    <x v="9"/>
    <x v="1"/>
    <n v="220000"/>
    <n v="7"/>
    <x v="2"/>
    <n v="176000"/>
    <n v="1540000"/>
    <n v="1232000"/>
    <n v="308000"/>
  </r>
  <r>
    <x v="1945"/>
    <x v="4"/>
    <x v="4"/>
    <x v="2"/>
    <x v="1"/>
    <s v="Corporate"/>
    <s v="Online"/>
    <x v="6"/>
    <x v="2"/>
    <n v="150000"/>
    <n v="5"/>
    <x v="0"/>
    <n v="120000"/>
    <n v="750000"/>
    <n v="600000"/>
    <n v="150000"/>
  </r>
  <r>
    <x v="1946"/>
    <x v="4"/>
    <x v="4"/>
    <x v="2"/>
    <x v="0"/>
    <s v="Corporate"/>
    <s v="Store"/>
    <x v="0"/>
    <x v="0"/>
    <n v="85000"/>
    <n v="9"/>
    <x v="3"/>
    <n v="68000"/>
    <n v="765000"/>
    <n v="612000"/>
    <n v="153000"/>
  </r>
  <r>
    <x v="1947"/>
    <x v="4"/>
    <x v="4"/>
    <x v="3"/>
    <x v="3"/>
    <s v="Corporate"/>
    <s v="Online"/>
    <x v="8"/>
    <x v="2"/>
    <n v="250000"/>
    <n v="10"/>
    <x v="0"/>
    <n v="200000"/>
    <n v="2500000"/>
    <n v="2000000"/>
    <n v="500000"/>
  </r>
  <r>
    <x v="1948"/>
    <x v="4"/>
    <x v="4"/>
    <x v="1"/>
    <x v="0"/>
    <s v="Corporate"/>
    <s v="Online"/>
    <x v="0"/>
    <x v="0"/>
    <n v="85000"/>
    <n v="7"/>
    <x v="1"/>
    <n v="68000"/>
    <n v="595000"/>
    <n v="476000"/>
    <n v="119000"/>
  </r>
  <r>
    <x v="1949"/>
    <x v="4"/>
    <x v="4"/>
    <x v="1"/>
    <x v="1"/>
    <s v="Retail"/>
    <s v="Online"/>
    <x v="3"/>
    <x v="2"/>
    <n v="300000"/>
    <n v="6"/>
    <x v="4"/>
    <n v="240000"/>
    <n v="1800000"/>
    <n v="1440000"/>
    <n v="360000"/>
  </r>
  <r>
    <x v="1950"/>
    <x v="4"/>
    <x v="4"/>
    <x v="0"/>
    <x v="0"/>
    <s v="Retail"/>
    <s v="Store"/>
    <x v="3"/>
    <x v="2"/>
    <n v="300000"/>
    <n v="10"/>
    <x v="1"/>
    <n v="240000"/>
    <n v="3000000"/>
    <n v="2400000"/>
    <n v="600000"/>
  </r>
  <r>
    <x v="1951"/>
    <x v="4"/>
    <x v="4"/>
    <x v="1"/>
    <x v="1"/>
    <s v="Corporate"/>
    <s v="Online"/>
    <x v="4"/>
    <x v="1"/>
    <n v="180000"/>
    <n v="1"/>
    <x v="2"/>
    <n v="144000"/>
    <n v="180000"/>
    <n v="144000"/>
    <n v="36000"/>
  </r>
  <r>
    <x v="1952"/>
    <x v="4"/>
    <x v="4"/>
    <x v="2"/>
    <x v="3"/>
    <s v="Retail"/>
    <s v="Online"/>
    <x v="6"/>
    <x v="2"/>
    <n v="150000"/>
    <n v="7"/>
    <x v="4"/>
    <n v="120000"/>
    <n v="1050000"/>
    <n v="840000"/>
    <n v="210000"/>
  </r>
  <r>
    <x v="1953"/>
    <x v="4"/>
    <x v="4"/>
    <x v="3"/>
    <x v="0"/>
    <s v="Retail"/>
    <s v="Online"/>
    <x v="9"/>
    <x v="1"/>
    <n v="220000"/>
    <n v="5"/>
    <x v="1"/>
    <n v="176000"/>
    <n v="1100000"/>
    <n v="880000"/>
    <n v="220000"/>
  </r>
  <r>
    <x v="1954"/>
    <x v="4"/>
    <x v="4"/>
    <x v="1"/>
    <x v="0"/>
    <s v="Retail"/>
    <s v="Online"/>
    <x v="7"/>
    <x v="2"/>
    <n v="420000"/>
    <n v="2"/>
    <x v="4"/>
    <n v="336000"/>
    <n v="840000"/>
    <n v="672000"/>
    <n v="168000"/>
  </r>
  <r>
    <x v="1955"/>
    <x v="4"/>
    <x v="4"/>
    <x v="0"/>
    <x v="2"/>
    <s v="Retail"/>
    <s v="Online"/>
    <x v="4"/>
    <x v="1"/>
    <n v="180000"/>
    <n v="9"/>
    <x v="3"/>
    <n v="144000"/>
    <n v="1620000"/>
    <n v="1296000"/>
    <n v="324000"/>
  </r>
  <r>
    <x v="1956"/>
    <x v="4"/>
    <x v="4"/>
    <x v="3"/>
    <x v="3"/>
    <s v="Retail"/>
    <s v="Online"/>
    <x v="9"/>
    <x v="1"/>
    <n v="220000"/>
    <n v="5"/>
    <x v="3"/>
    <n v="176000"/>
    <n v="1100000"/>
    <n v="880000"/>
    <n v="220000"/>
  </r>
  <r>
    <x v="1957"/>
    <x v="4"/>
    <x v="4"/>
    <x v="3"/>
    <x v="2"/>
    <s v="Retail"/>
    <s v="Online"/>
    <x v="4"/>
    <x v="1"/>
    <n v="180000"/>
    <n v="1"/>
    <x v="5"/>
    <n v="144000"/>
    <n v="180000"/>
    <n v="144000"/>
    <n v="36000"/>
  </r>
  <r>
    <x v="1958"/>
    <x v="4"/>
    <x v="4"/>
    <x v="1"/>
    <x v="2"/>
    <s v="Corporate"/>
    <s v="Store"/>
    <x v="2"/>
    <x v="1"/>
    <n v="60000"/>
    <n v="2"/>
    <x v="5"/>
    <n v="48000"/>
    <n v="120000"/>
    <n v="96000"/>
    <n v="24000"/>
  </r>
  <r>
    <x v="1959"/>
    <x v="5"/>
    <x v="5"/>
    <x v="3"/>
    <x v="2"/>
    <s v="Retail"/>
    <s v="Online"/>
    <x v="3"/>
    <x v="2"/>
    <n v="300000"/>
    <n v="5"/>
    <x v="1"/>
    <n v="240000"/>
    <n v="1500000"/>
    <n v="1200000"/>
    <n v="300000"/>
  </r>
  <r>
    <x v="1960"/>
    <x v="5"/>
    <x v="5"/>
    <x v="3"/>
    <x v="2"/>
    <s v="Retail"/>
    <s v="Store"/>
    <x v="3"/>
    <x v="2"/>
    <n v="300000"/>
    <n v="9"/>
    <x v="4"/>
    <n v="240000"/>
    <n v="2700000"/>
    <n v="2160000"/>
    <n v="540000"/>
  </r>
  <r>
    <x v="1961"/>
    <x v="5"/>
    <x v="5"/>
    <x v="2"/>
    <x v="3"/>
    <s v="Retail"/>
    <s v="Online"/>
    <x v="9"/>
    <x v="1"/>
    <n v="220000"/>
    <n v="1"/>
    <x v="4"/>
    <n v="176000"/>
    <n v="220000"/>
    <n v="176000"/>
    <n v="44000"/>
  </r>
  <r>
    <x v="1962"/>
    <x v="5"/>
    <x v="5"/>
    <x v="0"/>
    <x v="3"/>
    <s v="Corporate"/>
    <s v="Store"/>
    <x v="1"/>
    <x v="1"/>
    <n v="30000"/>
    <n v="5"/>
    <x v="4"/>
    <n v="24000"/>
    <n v="150000"/>
    <n v="120000"/>
    <n v="30000"/>
  </r>
  <r>
    <x v="1963"/>
    <x v="5"/>
    <x v="5"/>
    <x v="2"/>
    <x v="0"/>
    <s v="Corporate"/>
    <s v="Online"/>
    <x v="4"/>
    <x v="1"/>
    <n v="180000"/>
    <n v="1"/>
    <x v="0"/>
    <n v="144000"/>
    <n v="180000"/>
    <n v="144000"/>
    <n v="36000"/>
  </r>
  <r>
    <x v="1964"/>
    <x v="5"/>
    <x v="5"/>
    <x v="3"/>
    <x v="2"/>
    <s v="Retail"/>
    <s v="Online"/>
    <x v="3"/>
    <x v="2"/>
    <n v="300000"/>
    <n v="6"/>
    <x v="4"/>
    <n v="240000"/>
    <n v="1800000"/>
    <n v="1440000"/>
    <n v="360000"/>
  </r>
  <r>
    <x v="1965"/>
    <x v="5"/>
    <x v="5"/>
    <x v="0"/>
    <x v="2"/>
    <s v="Retail"/>
    <s v="Store"/>
    <x v="9"/>
    <x v="1"/>
    <n v="220000"/>
    <n v="3"/>
    <x v="5"/>
    <n v="176000"/>
    <n v="660000"/>
    <n v="528000"/>
    <n v="132000"/>
  </r>
  <r>
    <x v="1966"/>
    <x v="5"/>
    <x v="5"/>
    <x v="3"/>
    <x v="0"/>
    <s v="Retail"/>
    <s v="Store"/>
    <x v="5"/>
    <x v="0"/>
    <n v="320000"/>
    <n v="5"/>
    <x v="3"/>
    <n v="256000"/>
    <n v="1600000"/>
    <n v="1280000"/>
    <n v="320000"/>
  </r>
  <r>
    <x v="1967"/>
    <x v="5"/>
    <x v="5"/>
    <x v="2"/>
    <x v="2"/>
    <s v="Retail"/>
    <s v="Online"/>
    <x v="6"/>
    <x v="2"/>
    <n v="150000"/>
    <n v="2"/>
    <x v="3"/>
    <n v="120000"/>
    <n v="300000"/>
    <n v="240000"/>
    <n v="60000"/>
  </r>
  <r>
    <x v="1968"/>
    <x v="5"/>
    <x v="5"/>
    <x v="0"/>
    <x v="0"/>
    <s v="Retail"/>
    <s v="Online"/>
    <x v="4"/>
    <x v="1"/>
    <n v="180000"/>
    <n v="1"/>
    <x v="1"/>
    <n v="144000"/>
    <n v="180000"/>
    <n v="144000"/>
    <n v="36000"/>
  </r>
  <r>
    <x v="1969"/>
    <x v="5"/>
    <x v="5"/>
    <x v="0"/>
    <x v="1"/>
    <s v="Corporate"/>
    <s v="Store"/>
    <x v="1"/>
    <x v="1"/>
    <n v="30000"/>
    <n v="10"/>
    <x v="4"/>
    <n v="24000"/>
    <n v="300000"/>
    <n v="240000"/>
    <n v="60000"/>
  </r>
  <r>
    <x v="1970"/>
    <x v="5"/>
    <x v="5"/>
    <x v="3"/>
    <x v="1"/>
    <s v="Retail"/>
    <s v="Store"/>
    <x v="6"/>
    <x v="2"/>
    <n v="150000"/>
    <n v="4"/>
    <x v="1"/>
    <n v="120000"/>
    <n v="600000"/>
    <n v="480000"/>
    <n v="120000"/>
  </r>
  <r>
    <x v="1971"/>
    <x v="5"/>
    <x v="5"/>
    <x v="3"/>
    <x v="2"/>
    <s v="Retail"/>
    <s v="Online"/>
    <x v="1"/>
    <x v="1"/>
    <n v="30000"/>
    <n v="1"/>
    <x v="1"/>
    <n v="24000"/>
    <n v="30000"/>
    <n v="24000"/>
    <n v="6000"/>
  </r>
  <r>
    <x v="1972"/>
    <x v="5"/>
    <x v="5"/>
    <x v="3"/>
    <x v="1"/>
    <s v="Retail"/>
    <s v="Online"/>
    <x v="1"/>
    <x v="1"/>
    <n v="30000"/>
    <n v="6"/>
    <x v="3"/>
    <n v="24000"/>
    <n v="180000"/>
    <n v="144000"/>
    <n v="36000"/>
  </r>
  <r>
    <x v="1973"/>
    <x v="5"/>
    <x v="5"/>
    <x v="2"/>
    <x v="0"/>
    <s v="Corporate"/>
    <s v="Online"/>
    <x v="4"/>
    <x v="1"/>
    <n v="180000"/>
    <n v="7"/>
    <x v="0"/>
    <n v="144000"/>
    <n v="1260000"/>
    <n v="1008000"/>
    <n v="252000"/>
  </r>
  <r>
    <x v="1974"/>
    <x v="5"/>
    <x v="5"/>
    <x v="2"/>
    <x v="3"/>
    <s v="Retail"/>
    <s v="Online"/>
    <x v="2"/>
    <x v="1"/>
    <n v="60000"/>
    <n v="8"/>
    <x v="5"/>
    <n v="48000"/>
    <n v="480000"/>
    <n v="384000"/>
    <n v="96000"/>
  </r>
  <r>
    <x v="1975"/>
    <x v="5"/>
    <x v="5"/>
    <x v="2"/>
    <x v="1"/>
    <s v="Retail"/>
    <s v="Online"/>
    <x v="2"/>
    <x v="1"/>
    <n v="60000"/>
    <n v="2"/>
    <x v="4"/>
    <n v="48000"/>
    <n v="120000"/>
    <n v="96000"/>
    <n v="24000"/>
  </r>
  <r>
    <x v="1976"/>
    <x v="5"/>
    <x v="5"/>
    <x v="2"/>
    <x v="2"/>
    <s v="Retail"/>
    <s v="Store"/>
    <x v="0"/>
    <x v="0"/>
    <n v="85000"/>
    <n v="1"/>
    <x v="3"/>
    <n v="68000"/>
    <n v="85000"/>
    <n v="68000"/>
    <n v="17000"/>
  </r>
  <r>
    <x v="1977"/>
    <x v="5"/>
    <x v="5"/>
    <x v="3"/>
    <x v="2"/>
    <s v="Corporate"/>
    <s v="Online"/>
    <x v="1"/>
    <x v="1"/>
    <n v="30000"/>
    <n v="8"/>
    <x v="4"/>
    <n v="24000"/>
    <n v="240000"/>
    <n v="192000"/>
    <n v="48000"/>
  </r>
  <r>
    <x v="1978"/>
    <x v="5"/>
    <x v="5"/>
    <x v="3"/>
    <x v="3"/>
    <s v="Retail"/>
    <s v="Store"/>
    <x v="2"/>
    <x v="1"/>
    <n v="60000"/>
    <n v="10"/>
    <x v="4"/>
    <n v="48000"/>
    <n v="600000"/>
    <n v="480000"/>
    <n v="120000"/>
  </r>
  <r>
    <x v="1979"/>
    <x v="5"/>
    <x v="5"/>
    <x v="0"/>
    <x v="0"/>
    <s v="Corporate"/>
    <s v="Store"/>
    <x v="6"/>
    <x v="2"/>
    <n v="150000"/>
    <n v="1"/>
    <x v="0"/>
    <n v="120000"/>
    <n v="150000"/>
    <n v="120000"/>
    <n v="30000"/>
  </r>
  <r>
    <x v="1980"/>
    <x v="5"/>
    <x v="5"/>
    <x v="2"/>
    <x v="0"/>
    <s v="Corporate"/>
    <s v="Store"/>
    <x v="2"/>
    <x v="1"/>
    <n v="60000"/>
    <n v="9"/>
    <x v="5"/>
    <n v="48000"/>
    <n v="540000"/>
    <n v="432000"/>
    <n v="108000"/>
  </r>
  <r>
    <x v="1981"/>
    <x v="5"/>
    <x v="5"/>
    <x v="3"/>
    <x v="3"/>
    <s v="Retail"/>
    <s v="Online"/>
    <x v="2"/>
    <x v="1"/>
    <n v="60000"/>
    <n v="5"/>
    <x v="5"/>
    <n v="48000"/>
    <n v="300000"/>
    <n v="240000"/>
    <n v="60000"/>
  </r>
  <r>
    <x v="1982"/>
    <x v="5"/>
    <x v="5"/>
    <x v="1"/>
    <x v="0"/>
    <s v="Retail"/>
    <s v="Store"/>
    <x v="9"/>
    <x v="1"/>
    <n v="220000"/>
    <n v="8"/>
    <x v="0"/>
    <n v="176000"/>
    <n v="1760000"/>
    <n v="1408000"/>
    <n v="352000"/>
  </r>
  <r>
    <x v="1983"/>
    <x v="5"/>
    <x v="5"/>
    <x v="0"/>
    <x v="0"/>
    <s v="Retail"/>
    <s v="Store"/>
    <x v="0"/>
    <x v="0"/>
    <n v="85000"/>
    <n v="2"/>
    <x v="4"/>
    <n v="68000"/>
    <n v="170000"/>
    <n v="136000"/>
    <n v="34000"/>
  </r>
  <r>
    <x v="1984"/>
    <x v="5"/>
    <x v="5"/>
    <x v="2"/>
    <x v="3"/>
    <s v="Retail"/>
    <s v="Store"/>
    <x v="5"/>
    <x v="0"/>
    <n v="320000"/>
    <n v="7"/>
    <x v="4"/>
    <n v="256000"/>
    <n v="2240000"/>
    <n v="1792000"/>
    <n v="448000"/>
  </r>
  <r>
    <x v="1985"/>
    <x v="5"/>
    <x v="5"/>
    <x v="2"/>
    <x v="3"/>
    <s v="Retail"/>
    <s v="Online"/>
    <x v="8"/>
    <x v="2"/>
    <n v="250000"/>
    <n v="4"/>
    <x v="0"/>
    <n v="200000"/>
    <n v="1000000"/>
    <n v="800000"/>
    <n v="200000"/>
  </r>
  <r>
    <x v="1986"/>
    <x v="5"/>
    <x v="5"/>
    <x v="1"/>
    <x v="0"/>
    <s v="Corporate"/>
    <s v="Store"/>
    <x v="6"/>
    <x v="2"/>
    <n v="150000"/>
    <n v="6"/>
    <x v="1"/>
    <n v="120000"/>
    <n v="900000"/>
    <n v="720000"/>
    <n v="180000"/>
  </r>
  <r>
    <x v="1987"/>
    <x v="5"/>
    <x v="5"/>
    <x v="3"/>
    <x v="3"/>
    <s v="Retail"/>
    <s v="Online"/>
    <x v="3"/>
    <x v="2"/>
    <n v="300000"/>
    <n v="8"/>
    <x v="1"/>
    <n v="240000"/>
    <n v="2400000"/>
    <n v="1920000"/>
    <n v="480000"/>
  </r>
  <r>
    <x v="1988"/>
    <x v="5"/>
    <x v="5"/>
    <x v="0"/>
    <x v="1"/>
    <s v="Retail"/>
    <s v="Store"/>
    <x v="3"/>
    <x v="2"/>
    <n v="300000"/>
    <n v="10"/>
    <x v="0"/>
    <n v="240000"/>
    <n v="3000000"/>
    <n v="2400000"/>
    <n v="600000"/>
  </r>
  <r>
    <x v="1989"/>
    <x v="6"/>
    <x v="6"/>
    <x v="3"/>
    <x v="2"/>
    <s v="Corporate"/>
    <s v="Store"/>
    <x v="5"/>
    <x v="0"/>
    <n v="320000"/>
    <n v="1"/>
    <x v="2"/>
    <n v="256000"/>
    <n v="320000"/>
    <n v="256000"/>
    <n v="64000"/>
  </r>
  <r>
    <x v="1990"/>
    <x v="6"/>
    <x v="6"/>
    <x v="2"/>
    <x v="1"/>
    <s v="Corporate"/>
    <s v="Store"/>
    <x v="5"/>
    <x v="0"/>
    <n v="320000"/>
    <n v="3"/>
    <x v="2"/>
    <n v="256000"/>
    <n v="960000"/>
    <n v="768000"/>
    <n v="192000"/>
  </r>
  <r>
    <x v="1991"/>
    <x v="6"/>
    <x v="6"/>
    <x v="0"/>
    <x v="0"/>
    <s v="Corporate"/>
    <s v="Online"/>
    <x v="6"/>
    <x v="2"/>
    <n v="150000"/>
    <n v="6"/>
    <x v="3"/>
    <n v="120000"/>
    <n v="900000"/>
    <n v="720000"/>
    <n v="180000"/>
  </r>
  <r>
    <x v="1992"/>
    <x v="6"/>
    <x v="6"/>
    <x v="1"/>
    <x v="1"/>
    <s v="Retail"/>
    <s v="Online"/>
    <x v="4"/>
    <x v="1"/>
    <n v="180000"/>
    <n v="9"/>
    <x v="5"/>
    <n v="144000"/>
    <n v="1620000"/>
    <n v="1296000"/>
    <n v="324000"/>
  </r>
  <r>
    <x v="1993"/>
    <x v="6"/>
    <x v="6"/>
    <x v="2"/>
    <x v="3"/>
    <s v="Retail"/>
    <s v="Online"/>
    <x v="2"/>
    <x v="1"/>
    <n v="60000"/>
    <n v="2"/>
    <x v="3"/>
    <n v="48000"/>
    <n v="120000"/>
    <n v="96000"/>
    <n v="24000"/>
  </r>
  <r>
    <x v="1994"/>
    <x v="6"/>
    <x v="6"/>
    <x v="1"/>
    <x v="2"/>
    <s v="Retail"/>
    <s v="Store"/>
    <x v="6"/>
    <x v="2"/>
    <n v="150000"/>
    <n v="5"/>
    <x v="3"/>
    <n v="120000"/>
    <n v="750000"/>
    <n v="600000"/>
    <n v="150000"/>
  </r>
  <r>
    <x v="1995"/>
    <x v="6"/>
    <x v="6"/>
    <x v="1"/>
    <x v="2"/>
    <s v="Retail"/>
    <s v="Store"/>
    <x v="4"/>
    <x v="1"/>
    <n v="180000"/>
    <n v="10"/>
    <x v="3"/>
    <n v="144000"/>
    <n v="1800000"/>
    <n v="1440000"/>
    <n v="360000"/>
  </r>
  <r>
    <x v="1996"/>
    <x v="6"/>
    <x v="6"/>
    <x v="0"/>
    <x v="0"/>
    <s v="Retail"/>
    <s v="Online"/>
    <x v="0"/>
    <x v="0"/>
    <n v="85000"/>
    <n v="7"/>
    <x v="4"/>
    <n v="68000"/>
    <n v="595000"/>
    <n v="476000"/>
    <n v="119000"/>
  </r>
  <r>
    <x v="1997"/>
    <x v="6"/>
    <x v="6"/>
    <x v="1"/>
    <x v="3"/>
    <s v="Corporate"/>
    <s v="Store"/>
    <x v="7"/>
    <x v="2"/>
    <n v="420000"/>
    <n v="3"/>
    <x v="1"/>
    <n v="336000"/>
    <n v="1260000"/>
    <n v="1008000"/>
    <n v="252000"/>
  </r>
  <r>
    <x v="1998"/>
    <x v="6"/>
    <x v="6"/>
    <x v="1"/>
    <x v="3"/>
    <s v="Corporate"/>
    <s v="Online"/>
    <x v="3"/>
    <x v="2"/>
    <n v="300000"/>
    <n v="2"/>
    <x v="4"/>
    <n v="240000"/>
    <n v="600000"/>
    <n v="480000"/>
    <n v="120000"/>
  </r>
  <r>
    <x v="1999"/>
    <x v="6"/>
    <x v="6"/>
    <x v="1"/>
    <x v="1"/>
    <s v="Corporate"/>
    <s v="Online"/>
    <x v="8"/>
    <x v="2"/>
    <n v="250000"/>
    <n v="3"/>
    <x v="4"/>
    <n v="200000"/>
    <n v="750000"/>
    <n v="600000"/>
    <n v="150000"/>
  </r>
  <r>
    <x v="2000"/>
    <x v="6"/>
    <x v="6"/>
    <x v="1"/>
    <x v="0"/>
    <s v="Retail"/>
    <s v="Store"/>
    <x v="6"/>
    <x v="2"/>
    <n v="150000"/>
    <n v="7"/>
    <x v="1"/>
    <n v="120000"/>
    <n v="1050000"/>
    <n v="840000"/>
    <n v="210000"/>
  </r>
  <r>
    <x v="2001"/>
    <x v="6"/>
    <x v="6"/>
    <x v="0"/>
    <x v="0"/>
    <s v="Corporate"/>
    <s v="Online"/>
    <x v="7"/>
    <x v="2"/>
    <n v="420000"/>
    <n v="7"/>
    <x v="3"/>
    <n v="336000"/>
    <n v="2940000"/>
    <n v="2352000"/>
    <n v="588000"/>
  </r>
  <r>
    <x v="2002"/>
    <x v="6"/>
    <x v="6"/>
    <x v="2"/>
    <x v="1"/>
    <s v="Retail"/>
    <s v="Store"/>
    <x v="4"/>
    <x v="1"/>
    <n v="180000"/>
    <n v="7"/>
    <x v="2"/>
    <n v="144000"/>
    <n v="1260000"/>
    <n v="1008000"/>
    <n v="252000"/>
  </r>
  <r>
    <x v="2003"/>
    <x v="6"/>
    <x v="6"/>
    <x v="0"/>
    <x v="0"/>
    <s v="Retail"/>
    <s v="Store"/>
    <x v="5"/>
    <x v="0"/>
    <n v="320000"/>
    <n v="2"/>
    <x v="5"/>
    <n v="256000"/>
    <n v="640000"/>
    <n v="512000"/>
    <n v="128000"/>
  </r>
  <r>
    <x v="2004"/>
    <x v="6"/>
    <x v="6"/>
    <x v="3"/>
    <x v="0"/>
    <s v="Corporate"/>
    <s v="Store"/>
    <x v="5"/>
    <x v="0"/>
    <n v="320000"/>
    <n v="6"/>
    <x v="5"/>
    <n v="256000"/>
    <n v="1920000"/>
    <n v="1536000"/>
    <n v="384000"/>
  </r>
  <r>
    <x v="2005"/>
    <x v="6"/>
    <x v="6"/>
    <x v="1"/>
    <x v="2"/>
    <s v="Corporate"/>
    <s v="Online"/>
    <x v="1"/>
    <x v="1"/>
    <n v="30000"/>
    <n v="3"/>
    <x v="4"/>
    <n v="24000"/>
    <n v="90000"/>
    <n v="72000"/>
    <n v="18000"/>
  </r>
  <r>
    <x v="2006"/>
    <x v="6"/>
    <x v="6"/>
    <x v="3"/>
    <x v="0"/>
    <s v="Retail"/>
    <s v="Online"/>
    <x v="7"/>
    <x v="2"/>
    <n v="420000"/>
    <n v="3"/>
    <x v="0"/>
    <n v="336000"/>
    <n v="1260000"/>
    <n v="1008000"/>
    <n v="252000"/>
  </r>
  <r>
    <x v="2007"/>
    <x v="6"/>
    <x v="6"/>
    <x v="2"/>
    <x v="1"/>
    <s v="Retail"/>
    <s v="Store"/>
    <x v="1"/>
    <x v="1"/>
    <n v="30000"/>
    <n v="9"/>
    <x v="3"/>
    <n v="24000"/>
    <n v="270000"/>
    <n v="216000"/>
    <n v="54000"/>
  </r>
  <r>
    <x v="2008"/>
    <x v="6"/>
    <x v="6"/>
    <x v="1"/>
    <x v="0"/>
    <s v="Corporate"/>
    <s v="Store"/>
    <x v="5"/>
    <x v="0"/>
    <n v="320000"/>
    <n v="4"/>
    <x v="0"/>
    <n v="256000"/>
    <n v="1280000"/>
    <n v="1024000"/>
    <n v="256000"/>
  </r>
  <r>
    <x v="2009"/>
    <x v="6"/>
    <x v="6"/>
    <x v="3"/>
    <x v="3"/>
    <s v="Corporate"/>
    <s v="Store"/>
    <x v="6"/>
    <x v="2"/>
    <n v="150000"/>
    <n v="5"/>
    <x v="1"/>
    <n v="120000"/>
    <n v="750000"/>
    <n v="600000"/>
    <n v="150000"/>
  </r>
  <r>
    <x v="2010"/>
    <x v="6"/>
    <x v="6"/>
    <x v="2"/>
    <x v="0"/>
    <s v="Corporate"/>
    <s v="Store"/>
    <x v="0"/>
    <x v="0"/>
    <n v="85000"/>
    <n v="8"/>
    <x v="3"/>
    <n v="68000"/>
    <n v="680000"/>
    <n v="544000"/>
    <n v="136000"/>
  </r>
  <r>
    <x v="2011"/>
    <x v="6"/>
    <x v="6"/>
    <x v="3"/>
    <x v="3"/>
    <s v="Retail"/>
    <s v="Store"/>
    <x v="2"/>
    <x v="1"/>
    <n v="60000"/>
    <n v="1"/>
    <x v="0"/>
    <n v="48000"/>
    <n v="60000"/>
    <n v="48000"/>
    <n v="12000"/>
  </r>
  <r>
    <x v="2012"/>
    <x v="6"/>
    <x v="6"/>
    <x v="2"/>
    <x v="1"/>
    <s v="Retail"/>
    <s v="Online"/>
    <x v="9"/>
    <x v="1"/>
    <n v="220000"/>
    <n v="3"/>
    <x v="2"/>
    <n v="176000"/>
    <n v="660000"/>
    <n v="528000"/>
    <n v="132000"/>
  </r>
  <r>
    <x v="2013"/>
    <x v="6"/>
    <x v="6"/>
    <x v="0"/>
    <x v="3"/>
    <s v="Corporate"/>
    <s v="Online"/>
    <x v="4"/>
    <x v="1"/>
    <n v="180000"/>
    <n v="2"/>
    <x v="4"/>
    <n v="144000"/>
    <n v="360000"/>
    <n v="288000"/>
    <n v="72000"/>
  </r>
  <r>
    <x v="2014"/>
    <x v="6"/>
    <x v="6"/>
    <x v="2"/>
    <x v="0"/>
    <s v="Corporate"/>
    <s v="Online"/>
    <x v="8"/>
    <x v="2"/>
    <n v="250000"/>
    <n v="9"/>
    <x v="1"/>
    <n v="200000"/>
    <n v="2250000"/>
    <n v="1800000"/>
    <n v="450000"/>
  </r>
  <r>
    <x v="2015"/>
    <x v="6"/>
    <x v="6"/>
    <x v="0"/>
    <x v="0"/>
    <s v="Corporate"/>
    <s v="Online"/>
    <x v="3"/>
    <x v="2"/>
    <n v="300000"/>
    <n v="8"/>
    <x v="4"/>
    <n v="240000"/>
    <n v="2400000"/>
    <n v="1920000"/>
    <n v="480000"/>
  </r>
  <r>
    <x v="2016"/>
    <x v="6"/>
    <x v="6"/>
    <x v="0"/>
    <x v="1"/>
    <s v="Retail"/>
    <s v="Online"/>
    <x v="6"/>
    <x v="2"/>
    <n v="150000"/>
    <n v="6"/>
    <x v="0"/>
    <n v="120000"/>
    <n v="900000"/>
    <n v="720000"/>
    <n v="180000"/>
  </r>
  <r>
    <x v="2017"/>
    <x v="6"/>
    <x v="6"/>
    <x v="3"/>
    <x v="3"/>
    <s v="Corporate"/>
    <s v="Store"/>
    <x v="0"/>
    <x v="0"/>
    <n v="85000"/>
    <n v="9"/>
    <x v="2"/>
    <n v="68000"/>
    <n v="765000"/>
    <n v="612000"/>
    <n v="153000"/>
  </r>
  <r>
    <x v="2018"/>
    <x v="6"/>
    <x v="6"/>
    <x v="3"/>
    <x v="2"/>
    <s v="Corporate"/>
    <s v="Online"/>
    <x v="2"/>
    <x v="1"/>
    <n v="60000"/>
    <n v="3"/>
    <x v="1"/>
    <n v="48000"/>
    <n v="180000"/>
    <n v="144000"/>
    <n v="36000"/>
  </r>
  <r>
    <x v="2019"/>
    <x v="6"/>
    <x v="6"/>
    <x v="2"/>
    <x v="3"/>
    <s v="Retail"/>
    <s v="Store"/>
    <x v="7"/>
    <x v="2"/>
    <n v="420000"/>
    <n v="7"/>
    <x v="3"/>
    <n v="336000"/>
    <n v="2940000"/>
    <n v="2352000"/>
    <n v="588000"/>
  </r>
  <r>
    <x v="2020"/>
    <x v="7"/>
    <x v="7"/>
    <x v="2"/>
    <x v="0"/>
    <s v="Corporate"/>
    <s v="Online"/>
    <x v="0"/>
    <x v="0"/>
    <n v="85000"/>
    <n v="5"/>
    <x v="1"/>
    <n v="68000"/>
    <n v="425000"/>
    <n v="340000"/>
    <n v="85000"/>
  </r>
  <r>
    <x v="2021"/>
    <x v="7"/>
    <x v="7"/>
    <x v="1"/>
    <x v="0"/>
    <s v="Corporate"/>
    <s v="Online"/>
    <x v="2"/>
    <x v="1"/>
    <n v="60000"/>
    <n v="7"/>
    <x v="1"/>
    <n v="48000"/>
    <n v="420000"/>
    <n v="336000"/>
    <n v="84000"/>
  </r>
  <r>
    <x v="2022"/>
    <x v="7"/>
    <x v="7"/>
    <x v="1"/>
    <x v="3"/>
    <s v="Retail"/>
    <s v="Online"/>
    <x v="4"/>
    <x v="1"/>
    <n v="180000"/>
    <n v="2"/>
    <x v="3"/>
    <n v="144000"/>
    <n v="360000"/>
    <n v="288000"/>
    <n v="72000"/>
  </r>
  <r>
    <x v="2023"/>
    <x v="7"/>
    <x v="7"/>
    <x v="0"/>
    <x v="0"/>
    <s v="Corporate"/>
    <s v="Store"/>
    <x v="8"/>
    <x v="2"/>
    <n v="250000"/>
    <n v="3"/>
    <x v="4"/>
    <n v="200000"/>
    <n v="750000"/>
    <n v="600000"/>
    <n v="150000"/>
  </r>
  <r>
    <x v="2024"/>
    <x v="7"/>
    <x v="7"/>
    <x v="1"/>
    <x v="2"/>
    <s v="Corporate"/>
    <s v="Online"/>
    <x v="4"/>
    <x v="1"/>
    <n v="180000"/>
    <n v="6"/>
    <x v="5"/>
    <n v="144000"/>
    <n v="1080000"/>
    <n v="864000"/>
    <n v="216000"/>
  </r>
  <r>
    <x v="2025"/>
    <x v="7"/>
    <x v="7"/>
    <x v="1"/>
    <x v="3"/>
    <s v="Retail"/>
    <s v="Store"/>
    <x v="0"/>
    <x v="0"/>
    <n v="85000"/>
    <n v="2"/>
    <x v="5"/>
    <n v="68000"/>
    <n v="170000"/>
    <n v="136000"/>
    <n v="34000"/>
  </r>
  <r>
    <x v="2026"/>
    <x v="7"/>
    <x v="7"/>
    <x v="3"/>
    <x v="3"/>
    <s v="Corporate"/>
    <s v="Store"/>
    <x v="8"/>
    <x v="2"/>
    <n v="250000"/>
    <n v="5"/>
    <x v="2"/>
    <n v="200000"/>
    <n v="1250000"/>
    <n v="1000000"/>
    <n v="250000"/>
  </r>
  <r>
    <x v="2027"/>
    <x v="7"/>
    <x v="7"/>
    <x v="0"/>
    <x v="0"/>
    <s v="Corporate"/>
    <s v="Store"/>
    <x v="9"/>
    <x v="1"/>
    <n v="220000"/>
    <n v="2"/>
    <x v="4"/>
    <n v="176000"/>
    <n v="440000"/>
    <n v="352000"/>
    <n v="88000"/>
  </r>
  <r>
    <x v="2028"/>
    <x v="7"/>
    <x v="7"/>
    <x v="2"/>
    <x v="3"/>
    <s v="Retail"/>
    <s v="Online"/>
    <x v="1"/>
    <x v="1"/>
    <n v="30000"/>
    <n v="2"/>
    <x v="1"/>
    <n v="24000"/>
    <n v="60000"/>
    <n v="48000"/>
    <n v="12000"/>
  </r>
  <r>
    <x v="2029"/>
    <x v="7"/>
    <x v="7"/>
    <x v="1"/>
    <x v="2"/>
    <s v="Corporate"/>
    <s v="Store"/>
    <x v="7"/>
    <x v="2"/>
    <n v="420000"/>
    <n v="10"/>
    <x v="4"/>
    <n v="336000"/>
    <n v="4200000"/>
    <n v="3360000"/>
    <n v="840000"/>
  </r>
  <r>
    <x v="2030"/>
    <x v="7"/>
    <x v="7"/>
    <x v="3"/>
    <x v="3"/>
    <s v="Corporate"/>
    <s v="Online"/>
    <x v="9"/>
    <x v="1"/>
    <n v="220000"/>
    <n v="2"/>
    <x v="3"/>
    <n v="176000"/>
    <n v="440000"/>
    <n v="352000"/>
    <n v="88000"/>
  </r>
  <r>
    <x v="2031"/>
    <x v="7"/>
    <x v="7"/>
    <x v="2"/>
    <x v="2"/>
    <s v="Corporate"/>
    <s v="Store"/>
    <x v="9"/>
    <x v="1"/>
    <n v="220000"/>
    <n v="10"/>
    <x v="1"/>
    <n v="176000"/>
    <n v="2200000"/>
    <n v="1760000"/>
    <n v="440000"/>
  </r>
  <r>
    <x v="2032"/>
    <x v="7"/>
    <x v="7"/>
    <x v="0"/>
    <x v="1"/>
    <s v="Corporate"/>
    <s v="Store"/>
    <x v="5"/>
    <x v="0"/>
    <n v="320000"/>
    <n v="6"/>
    <x v="3"/>
    <n v="256000"/>
    <n v="1920000"/>
    <n v="1536000"/>
    <n v="384000"/>
  </r>
  <r>
    <x v="2033"/>
    <x v="7"/>
    <x v="7"/>
    <x v="3"/>
    <x v="0"/>
    <s v="Corporate"/>
    <s v="Store"/>
    <x v="7"/>
    <x v="2"/>
    <n v="420000"/>
    <n v="8"/>
    <x v="3"/>
    <n v="336000"/>
    <n v="3360000"/>
    <n v="2688000"/>
    <n v="672000"/>
  </r>
  <r>
    <x v="2034"/>
    <x v="7"/>
    <x v="7"/>
    <x v="1"/>
    <x v="3"/>
    <s v="Retail"/>
    <s v="Store"/>
    <x v="9"/>
    <x v="1"/>
    <n v="220000"/>
    <n v="9"/>
    <x v="3"/>
    <n v="176000"/>
    <n v="1980000"/>
    <n v="1584000"/>
    <n v="396000"/>
  </r>
  <r>
    <x v="2035"/>
    <x v="7"/>
    <x v="7"/>
    <x v="3"/>
    <x v="1"/>
    <s v="Corporate"/>
    <s v="Online"/>
    <x v="9"/>
    <x v="1"/>
    <n v="220000"/>
    <n v="2"/>
    <x v="5"/>
    <n v="176000"/>
    <n v="440000"/>
    <n v="352000"/>
    <n v="88000"/>
  </r>
  <r>
    <x v="2036"/>
    <x v="7"/>
    <x v="7"/>
    <x v="2"/>
    <x v="3"/>
    <s v="Retail"/>
    <s v="Online"/>
    <x v="6"/>
    <x v="2"/>
    <n v="150000"/>
    <n v="4"/>
    <x v="4"/>
    <n v="120000"/>
    <n v="600000"/>
    <n v="480000"/>
    <n v="120000"/>
  </r>
  <r>
    <x v="2037"/>
    <x v="7"/>
    <x v="7"/>
    <x v="1"/>
    <x v="2"/>
    <s v="Retail"/>
    <s v="Store"/>
    <x v="3"/>
    <x v="2"/>
    <n v="300000"/>
    <n v="7"/>
    <x v="5"/>
    <n v="240000"/>
    <n v="2100000"/>
    <n v="1680000"/>
    <n v="420000"/>
  </r>
  <r>
    <x v="2038"/>
    <x v="7"/>
    <x v="7"/>
    <x v="2"/>
    <x v="1"/>
    <s v="Corporate"/>
    <s v="Online"/>
    <x v="7"/>
    <x v="2"/>
    <n v="420000"/>
    <n v="4"/>
    <x v="5"/>
    <n v="336000"/>
    <n v="1680000"/>
    <n v="1344000"/>
    <n v="336000"/>
  </r>
  <r>
    <x v="2039"/>
    <x v="7"/>
    <x v="7"/>
    <x v="0"/>
    <x v="2"/>
    <s v="Corporate"/>
    <s v="Store"/>
    <x v="2"/>
    <x v="1"/>
    <n v="60000"/>
    <n v="4"/>
    <x v="4"/>
    <n v="48000"/>
    <n v="240000"/>
    <n v="192000"/>
    <n v="48000"/>
  </r>
  <r>
    <x v="2040"/>
    <x v="7"/>
    <x v="7"/>
    <x v="3"/>
    <x v="2"/>
    <s v="Retail"/>
    <s v="Online"/>
    <x v="4"/>
    <x v="1"/>
    <n v="180000"/>
    <n v="6"/>
    <x v="0"/>
    <n v="144000"/>
    <n v="1080000"/>
    <n v="864000"/>
    <n v="216000"/>
  </r>
  <r>
    <x v="2041"/>
    <x v="7"/>
    <x v="7"/>
    <x v="2"/>
    <x v="2"/>
    <s v="Corporate"/>
    <s v="Online"/>
    <x v="3"/>
    <x v="2"/>
    <n v="300000"/>
    <n v="8"/>
    <x v="3"/>
    <n v="240000"/>
    <n v="2400000"/>
    <n v="1920000"/>
    <n v="480000"/>
  </r>
  <r>
    <x v="2042"/>
    <x v="7"/>
    <x v="7"/>
    <x v="0"/>
    <x v="0"/>
    <s v="Retail"/>
    <s v="Store"/>
    <x v="5"/>
    <x v="0"/>
    <n v="320000"/>
    <n v="10"/>
    <x v="0"/>
    <n v="256000"/>
    <n v="3200000"/>
    <n v="2560000"/>
    <n v="640000"/>
  </r>
  <r>
    <x v="2043"/>
    <x v="7"/>
    <x v="7"/>
    <x v="0"/>
    <x v="1"/>
    <s v="Retail"/>
    <s v="Store"/>
    <x v="1"/>
    <x v="1"/>
    <n v="30000"/>
    <n v="1"/>
    <x v="0"/>
    <n v="24000"/>
    <n v="30000"/>
    <n v="24000"/>
    <n v="6000"/>
  </r>
  <r>
    <x v="2044"/>
    <x v="7"/>
    <x v="7"/>
    <x v="1"/>
    <x v="1"/>
    <s v="Corporate"/>
    <s v="Store"/>
    <x v="0"/>
    <x v="0"/>
    <n v="85000"/>
    <n v="2"/>
    <x v="3"/>
    <n v="68000"/>
    <n v="170000"/>
    <n v="136000"/>
    <n v="34000"/>
  </r>
  <r>
    <x v="2045"/>
    <x v="7"/>
    <x v="7"/>
    <x v="0"/>
    <x v="0"/>
    <s v="Corporate"/>
    <s v="Online"/>
    <x v="0"/>
    <x v="0"/>
    <n v="85000"/>
    <n v="5"/>
    <x v="4"/>
    <n v="68000"/>
    <n v="425000"/>
    <n v="340000"/>
    <n v="85000"/>
  </r>
  <r>
    <x v="2046"/>
    <x v="7"/>
    <x v="7"/>
    <x v="2"/>
    <x v="0"/>
    <s v="Retail"/>
    <s v="Store"/>
    <x v="8"/>
    <x v="2"/>
    <n v="250000"/>
    <n v="8"/>
    <x v="4"/>
    <n v="200000"/>
    <n v="2000000"/>
    <n v="1600000"/>
    <n v="400000"/>
  </r>
  <r>
    <x v="2047"/>
    <x v="7"/>
    <x v="7"/>
    <x v="3"/>
    <x v="2"/>
    <s v="Corporate"/>
    <s v="Online"/>
    <x v="3"/>
    <x v="2"/>
    <n v="300000"/>
    <n v="8"/>
    <x v="3"/>
    <n v="240000"/>
    <n v="2400000"/>
    <n v="1920000"/>
    <n v="480000"/>
  </r>
  <r>
    <x v="2048"/>
    <x v="7"/>
    <x v="7"/>
    <x v="0"/>
    <x v="1"/>
    <s v="Corporate"/>
    <s v="Store"/>
    <x v="4"/>
    <x v="1"/>
    <n v="180000"/>
    <n v="9"/>
    <x v="2"/>
    <n v="144000"/>
    <n v="1620000"/>
    <n v="1296000"/>
    <n v="324000"/>
  </r>
  <r>
    <x v="2049"/>
    <x v="7"/>
    <x v="7"/>
    <x v="3"/>
    <x v="3"/>
    <s v="Corporate"/>
    <s v="Online"/>
    <x v="2"/>
    <x v="1"/>
    <n v="60000"/>
    <n v="4"/>
    <x v="3"/>
    <n v="48000"/>
    <n v="240000"/>
    <n v="192000"/>
    <n v="48000"/>
  </r>
  <r>
    <x v="2050"/>
    <x v="7"/>
    <x v="7"/>
    <x v="2"/>
    <x v="0"/>
    <s v="Retail"/>
    <s v="Store"/>
    <x v="2"/>
    <x v="1"/>
    <n v="60000"/>
    <n v="3"/>
    <x v="3"/>
    <n v="48000"/>
    <n v="180000"/>
    <n v="144000"/>
    <n v="36000"/>
  </r>
  <r>
    <x v="2051"/>
    <x v="8"/>
    <x v="8"/>
    <x v="2"/>
    <x v="0"/>
    <s v="Retail"/>
    <s v="Online"/>
    <x v="9"/>
    <x v="1"/>
    <n v="220000"/>
    <n v="6"/>
    <x v="4"/>
    <n v="176000"/>
    <n v="1320000"/>
    <n v="1056000"/>
    <n v="264000"/>
  </r>
  <r>
    <x v="2052"/>
    <x v="8"/>
    <x v="8"/>
    <x v="1"/>
    <x v="2"/>
    <s v="Retail"/>
    <s v="Store"/>
    <x v="5"/>
    <x v="0"/>
    <n v="320000"/>
    <n v="9"/>
    <x v="3"/>
    <n v="256000"/>
    <n v="2880000"/>
    <n v="2304000"/>
    <n v="576000"/>
  </r>
  <r>
    <x v="2053"/>
    <x v="8"/>
    <x v="8"/>
    <x v="2"/>
    <x v="2"/>
    <s v="Retail"/>
    <s v="Store"/>
    <x v="7"/>
    <x v="2"/>
    <n v="420000"/>
    <n v="3"/>
    <x v="1"/>
    <n v="336000"/>
    <n v="1260000"/>
    <n v="1008000"/>
    <n v="252000"/>
  </r>
  <r>
    <x v="2054"/>
    <x v="8"/>
    <x v="8"/>
    <x v="1"/>
    <x v="3"/>
    <s v="Corporate"/>
    <s v="Store"/>
    <x v="4"/>
    <x v="1"/>
    <n v="180000"/>
    <n v="9"/>
    <x v="0"/>
    <n v="144000"/>
    <n v="1620000"/>
    <n v="1296000"/>
    <n v="324000"/>
  </r>
  <r>
    <x v="2055"/>
    <x v="8"/>
    <x v="8"/>
    <x v="2"/>
    <x v="3"/>
    <s v="Corporate"/>
    <s v="Store"/>
    <x v="2"/>
    <x v="1"/>
    <n v="60000"/>
    <n v="1"/>
    <x v="0"/>
    <n v="48000"/>
    <n v="60000"/>
    <n v="48000"/>
    <n v="12000"/>
  </r>
  <r>
    <x v="2056"/>
    <x v="8"/>
    <x v="8"/>
    <x v="0"/>
    <x v="2"/>
    <s v="Corporate"/>
    <s v="Store"/>
    <x v="8"/>
    <x v="2"/>
    <n v="250000"/>
    <n v="5"/>
    <x v="3"/>
    <n v="200000"/>
    <n v="1250000"/>
    <n v="1000000"/>
    <n v="250000"/>
  </r>
  <r>
    <x v="2057"/>
    <x v="8"/>
    <x v="8"/>
    <x v="0"/>
    <x v="0"/>
    <s v="Corporate"/>
    <s v="Store"/>
    <x v="1"/>
    <x v="1"/>
    <n v="30000"/>
    <n v="8"/>
    <x v="0"/>
    <n v="24000"/>
    <n v="240000"/>
    <n v="192000"/>
    <n v="48000"/>
  </r>
  <r>
    <x v="2058"/>
    <x v="8"/>
    <x v="8"/>
    <x v="3"/>
    <x v="0"/>
    <s v="Retail"/>
    <s v="Online"/>
    <x v="4"/>
    <x v="1"/>
    <n v="180000"/>
    <n v="6"/>
    <x v="0"/>
    <n v="144000"/>
    <n v="1080000"/>
    <n v="864000"/>
    <n v="216000"/>
  </r>
  <r>
    <x v="2059"/>
    <x v="8"/>
    <x v="8"/>
    <x v="1"/>
    <x v="2"/>
    <s v="Retail"/>
    <s v="Store"/>
    <x v="2"/>
    <x v="1"/>
    <n v="60000"/>
    <n v="1"/>
    <x v="2"/>
    <n v="48000"/>
    <n v="60000"/>
    <n v="48000"/>
    <n v="12000"/>
  </r>
  <r>
    <x v="2060"/>
    <x v="8"/>
    <x v="8"/>
    <x v="1"/>
    <x v="2"/>
    <s v="Retail"/>
    <s v="Online"/>
    <x v="6"/>
    <x v="2"/>
    <n v="150000"/>
    <n v="5"/>
    <x v="5"/>
    <n v="120000"/>
    <n v="750000"/>
    <n v="600000"/>
    <n v="150000"/>
  </r>
  <r>
    <x v="2061"/>
    <x v="8"/>
    <x v="8"/>
    <x v="3"/>
    <x v="1"/>
    <s v="Corporate"/>
    <s v="Store"/>
    <x v="0"/>
    <x v="0"/>
    <n v="85000"/>
    <n v="1"/>
    <x v="5"/>
    <n v="68000"/>
    <n v="85000"/>
    <n v="68000"/>
    <n v="17000"/>
  </r>
  <r>
    <x v="2062"/>
    <x v="8"/>
    <x v="8"/>
    <x v="2"/>
    <x v="1"/>
    <s v="Corporate"/>
    <s v="Store"/>
    <x v="6"/>
    <x v="2"/>
    <n v="150000"/>
    <n v="7"/>
    <x v="3"/>
    <n v="120000"/>
    <n v="1050000"/>
    <n v="840000"/>
    <n v="210000"/>
  </r>
  <r>
    <x v="2063"/>
    <x v="8"/>
    <x v="8"/>
    <x v="3"/>
    <x v="2"/>
    <s v="Corporate"/>
    <s v="Store"/>
    <x v="4"/>
    <x v="1"/>
    <n v="180000"/>
    <n v="4"/>
    <x v="0"/>
    <n v="144000"/>
    <n v="720000"/>
    <n v="576000"/>
    <n v="144000"/>
  </r>
  <r>
    <x v="2064"/>
    <x v="8"/>
    <x v="8"/>
    <x v="3"/>
    <x v="2"/>
    <s v="Corporate"/>
    <s v="Store"/>
    <x v="0"/>
    <x v="0"/>
    <n v="85000"/>
    <n v="8"/>
    <x v="0"/>
    <n v="68000"/>
    <n v="680000"/>
    <n v="544000"/>
    <n v="136000"/>
  </r>
  <r>
    <x v="2065"/>
    <x v="8"/>
    <x v="8"/>
    <x v="3"/>
    <x v="3"/>
    <s v="Corporate"/>
    <s v="Store"/>
    <x v="5"/>
    <x v="0"/>
    <n v="320000"/>
    <n v="4"/>
    <x v="1"/>
    <n v="256000"/>
    <n v="1280000"/>
    <n v="1024000"/>
    <n v="256000"/>
  </r>
  <r>
    <x v="2066"/>
    <x v="8"/>
    <x v="8"/>
    <x v="0"/>
    <x v="2"/>
    <s v="Retail"/>
    <s v="Store"/>
    <x v="8"/>
    <x v="2"/>
    <n v="250000"/>
    <n v="6"/>
    <x v="3"/>
    <n v="200000"/>
    <n v="1500000"/>
    <n v="1200000"/>
    <n v="300000"/>
  </r>
  <r>
    <x v="2067"/>
    <x v="8"/>
    <x v="8"/>
    <x v="0"/>
    <x v="2"/>
    <s v="Retail"/>
    <s v="Store"/>
    <x v="9"/>
    <x v="1"/>
    <n v="220000"/>
    <n v="5"/>
    <x v="2"/>
    <n v="176000"/>
    <n v="1100000"/>
    <n v="880000"/>
    <n v="220000"/>
  </r>
  <r>
    <x v="2068"/>
    <x v="8"/>
    <x v="8"/>
    <x v="2"/>
    <x v="1"/>
    <s v="Corporate"/>
    <s v="Store"/>
    <x v="3"/>
    <x v="2"/>
    <n v="300000"/>
    <n v="8"/>
    <x v="4"/>
    <n v="240000"/>
    <n v="2400000"/>
    <n v="1920000"/>
    <n v="480000"/>
  </r>
  <r>
    <x v="2069"/>
    <x v="8"/>
    <x v="8"/>
    <x v="2"/>
    <x v="3"/>
    <s v="Retail"/>
    <s v="Store"/>
    <x v="2"/>
    <x v="1"/>
    <n v="60000"/>
    <n v="10"/>
    <x v="2"/>
    <n v="48000"/>
    <n v="600000"/>
    <n v="480000"/>
    <n v="120000"/>
  </r>
  <r>
    <x v="2070"/>
    <x v="8"/>
    <x v="8"/>
    <x v="2"/>
    <x v="1"/>
    <s v="Retail"/>
    <s v="Store"/>
    <x v="4"/>
    <x v="1"/>
    <n v="180000"/>
    <n v="6"/>
    <x v="5"/>
    <n v="144000"/>
    <n v="1080000"/>
    <n v="864000"/>
    <n v="216000"/>
  </r>
  <r>
    <x v="2071"/>
    <x v="8"/>
    <x v="8"/>
    <x v="2"/>
    <x v="2"/>
    <s v="Corporate"/>
    <s v="Store"/>
    <x v="2"/>
    <x v="1"/>
    <n v="60000"/>
    <n v="3"/>
    <x v="4"/>
    <n v="48000"/>
    <n v="180000"/>
    <n v="144000"/>
    <n v="36000"/>
  </r>
  <r>
    <x v="2072"/>
    <x v="8"/>
    <x v="8"/>
    <x v="2"/>
    <x v="2"/>
    <s v="Retail"/>
    <s v="Store"/>
    <x v="1"/>
    <x v="1"/>
    <n v="30000"/>
    <n v="4"/>
    <x v="1"/>
    <n v="24000"/>
    <n v="120000"/>
    <n v="96000"/>
    <n v="24000"/>
  </r>
  <r>
    <x v="2073"/>
    <x v="8"/>
    <x v="8"/>
    <x v="1"/>
    <x v="0"/>
    <s v="Corporate"/>
    <s v="Store"/>
    <x v="2"/>
    <x v="1"/>
    <n v="60000"/>
    <n v="4"/>
    <x v="4"/>
    <n v="48000"/>
    <n v="240000"/>
    <n v="192000"/>
    <n v="48000"/>
  </r>
  <r>
    <x v="2074"/>
    <x v="8"/>
    <x v="8"/>
    <x v="0"/>
    <x v="2"/>
    <s v="Corporate"/>
    <s v="Store"/>
    <x v="4"/>
    <x v="1"/>
    <n v="180000"/>
    <n v="5"/>
    <x v="2"/>
    <n v="144000"/>
    <n v="900000"/>
    <n v="720000"/>
    <n v="180000"/>
  </r>
  <r>
    <x v="2075"/>
    <x v="8"/>
    <x v="8"/>
    <x v="3"/>
    <x v="0"/>
    <s v="Retail"/>
    <s v="Store"/>
    <x v="0"/>
    <x v="0"/>
    <n v="85000"/>
    <n v="9"/>
    <x v="1"/>
    <n v="68000"/>
    <n v="765000"/>
    <n v="612000"/>
    <n v="153000"/>
  </r>
  <r>
    <x v="2076"/>
    <x v="8"/>
    <x v="8"/>
    <x v="0"/>
    <x v="3"/>
    <s v="Retail"/>
    <s v="Store"/>
    <x v="0"/>
    <x v="0"/>
    <n v="85000"/>
    <n v="9"/>
    <x v="4"/>
    <n v="68000"/>
    <n v="765000"/>
    <n v="612000"/>
    <n v="153000"/>
  </r>
  <r>
    <x v="2077"/>
    <x v="8"/>
    <x v="8"/>
    <x v="3"/>
    <x v="0"/>
    <s v="Corporate"/>
    <s v="Store"/>
    <x v="4"/>
    <x v="1"/>
    <n v="180000"/>
    <n v="8"/>
    <x v="5"/>
    <n v="144000"/>
    <n v="1440000"/>
    <n v="1152000"/>
    <n v="288000"/>
  </r>
  <r>
    <x v="2078"/>
    <x v="8"/>
    <x v="8"/>
    <x v="3"/>
    <x v="1"/>
    <s v="Corporate"/>
    <s v="Store"/>
    <x v="6"/>
    <x v="2"/>
    <n v="150000"/>
    <n v="2"/>
    <x v="5"/>
    <n v="120000"/>
    <n v="300000"/>
    <n v="240000"/>
    <n v="60000"/>
  </r>
  <r>
    <x v="2079"/>
    <x v="8"/>
    <x v="8"/>
    <x v="1"/>
    <x v="2"/>
    <s v="Corporate"/>
    <s v="Store"/>
    <x v="1"/>
    <x v="1"/>
    <n v="30000"/>
    <n v="3"/>
    <x v="0"/>
    <n v="24000"/>
    <n v="90000"/>
    <n v="72000"/>
    <n v="18000"/>
  </r>
  <r>
    <x v="2080"/>
    <x v="8"/>
    <x v="8"/>
    <x v="3"/>
    <x v="0"/>
    <s v="Corporate"/>
    <s v="Store"/>
    <x v="1"/>
    <x v="1"/>
    <n v="30000"/>
    <n v="5"/>
    <x v="1"/>
    <n v="24000"/>
    <n v="150000"/>
    <n v="120000"/>
    <n v="30000"/>
  </r>
  <r>
    <x v="2081"/>
    <x v="9"/>
    <x v="9"/>
    <x v="1"/>
    <x v="1"/>
    <s v="Corporate"/>
    <s v="Store"/>
    <x v="1"/>
    <x v="1"/>
    <n v="30000"/>
    <n v="7"/>
    <x v="5"/>
    <n v="24000"/>
    <n v="210000"/>
    <n v="168000"/>
    <n v="42000"/>
  </r>
  <r>
    <x v="2082"/>
    <x v="9"/>
    <x v="9"/>
    <x v="1"/>
    <x v="0"/>
    <s v="Retail"/>
    <s v="Store"/>
    <x v="4"/>
    <x v="1"/>
    <n v="180000"/>
    <n v="4"/>
    <x v="0"/>
    <n v="144000"/>
    <n v="720000"/>
    <n v="576000"/>
    <n v="144000"/>
  </r>
  <r>
    <x v="2083"/>
    <x v="9"/>
    <x v="9"/>
    <x v="1"/>
    <x v="0"/>
    <s v="Corporate"/>
    <s v="Store"/>
    <x v="4"/>
    <x v="1"/>
    <n v="180000"/>
    <n v="1"/>
    <x v="3"/>
    <n v="144000"/>
    <n v="180000"/>
    <n v="144000"/>
    <n v="36000"/>
  </r>
  <r>
    <x v="2084"/>
    <x v="9"/>
    <x v="9"/>
    <x v="2"/>
    <x v="1"/>
    <s v="Retail"/>
    <s v="Store"/>
    <x v="2"/>
    <x v="1"/>
    <n v="60000"/>
    <n v="10"/>
    <x v="4"/>
    <n v="48000"/>
    <n v="600000"/>
    <n v="480000"/>
    <n v="120000"/>
  </r>
  <r>
    <x v="2085"/>
    <x v="9"/>
    <x v="9"/>
    <x v="3"/>
    <x v="1"/>
    <s v="Retail"/>
    <s v="Store"/>
    <x v="8"/>
    <x v="2"/>
    <n v="250000"/>
    <n v="8"/>
    <x v="2"/>
    <n v="200000"/>
    <n v="2000000"/>
    <n v="1600000"/>
    <n v="400000"/>
  </r>
  <r>
    <x v="2086"/>
    <x v="9"/>
    <x v="9"/>
    <x v="3"/>
    <x v="2"/>
    <s v="Retail"/>
    <s v="Store"/>
    <x v="1"/>
    <x v="1"/>
    <n v="30000"/>
    <n v="8"/>
    <x v="4"/>
    <n v="24000"/>
    <n v="240000"/>
    <n v="192000"/>
    <n v="48000"/>
  </r>
  <r>
    <x v="2087"/>
    <x v="9"/>
    <x v="9"/>
    <x v="3"/>
    <x v="0"/>
    <s v="Corporate"/>
    <s v="Online"/>
    <x v="4"/>
    <x v="1"/>
    <n v="180000"/>
    <n v="4"/>
    <x v="2"/>
    <n v="144000"/>
    <n v="720000"/>
    <n v="576000"/>
    <n v="144000"/>
  </r>
  <r>
    <x v="2088"/>
    <x v="9"/>
    <x v="9"/>
    <x v="1"/>
    <x v="1"/>
    <s v="Corporate"/>
    <s v="Online"/>
    <x v="6"/>
    <x v="2"/>
    <n v="150000"/>
    <n v="1"/>
    <x v="2"/>
    <n v="120000"/>
    <n v="150000"/>
    <n v="120000"/>
    <n v="30000"/>
  </r>
  <r>
    <x v="2089"/>
    <x v="9"/>
    <x v="9"/>
    <x v="3"/>
    <x v="3"/>
    <s v="Retail"/>
    <s v="Store"/>
    <x v="3"/>
    <x v="2"/>
    <n v="300000"/>
    <n v="3"/>
    <x v="0"/>
    <n v="240000"/>
    <n v="900000"/>
    <n v="720000"/>
    <n v="180000"/>
  </r>
  <r>
    <x v="2090"/>
    <x v="9"/>
    <x v="9"/>
    <x v="0"/>
    <x v="2"/>
    <s v="Retail"/>
    <s v="Online"/>
    <x v="5"/>
    <x v="0"/>
    <n v="320000"/>
    <n v="5"/>
    <x v="0"/>
    <n v="256000"/>
    <n v="1600000"/>
    <n v="1280000"/>
    <n v="320000"/>
  </r>
  <r>
    <x v="2091"/>
    <x v="9"/>
    <x v="9"/>
    <x v="0"/>
    <x v="3"/>
    <s v="Corporate"/>
    <s v="Online"/>
    <x v="3"/>
    <x v="2"/>
    <n v="300000"/>
    <n v="1"/>
    <x v="1"/>
    <n v="240000"/>
    <n v="300000"/>
    <n v="240000"/>
    <n v="60000"/>
  </r>
  <r>
    <x v="2092"/>
    <x v="9"/>
    <x v="9"/>
    <x v="0"/>
    <x v="1"/>
    <s v="Corporate"/>
    <s v="Online"/>
    <x v="6"/>
    <x v="2"/>
    <n v="150000"/>
    <n v="4"/>
    <x v="2"/>
    <n v="120000"/>
    <n v="600000"/>
    <n v="480000"/>
    <n v="120000"/>
  </r>
  <r>
    <x v="2093"/>
    <x v="9"/>
    <x v="9"/>
    <x v="2"/>
    <x v="0"/>
    <s v="Corporate"/>
    <s v="Online"/>
    <x v="8"/>
    <x v="2"/>
    <n v="250000"/>
    <n v="2"/>
    <x v="3"/>
    <n v="200000"/>
    <n v="500000"/>
    <n v="400000"/>
    <n v="100000"/>
  </r>
  <r>
    <x v="2094"/>
    <x v="9"/>
    <x v="9"/>
    <x v="3"/>
    <x v="1"/>
    <s v="Retail"/>
    <s v="Store"/>
    <x v="8"/>
    <x v="2"/>
    <n v="250000"/>
    <n v="10"/>
    <x v="4"/>
    <n v="200000"/>
    <n v="2500000"/>
    <n v="2000000"/>
    <n v="500000"/>
  </r>
  <r>
    <x v="2095"/>
    <x v="9"/>
    <x v="9"/>
    <x v="2"/>
    <x v="3"/>
    <s v="Corporate"/>
    <s v="Store"/>
    <x v="6"/>
    <x v="2"/>
    <n v="150000"/>
    <n v="2"/>
    <x v="0"/>
    <n v="120000"/>
    <n v="300000"/>
    <n v="240000"/>
    <n v="60000"/>
  </r>
  <r>
    <x v="2096"/>
    <x v="9"/>
    <x v="9"/>
    <x v="2"/>
    <x v="0"/>
    <s v="Retail"/>
    <s v="Online"/>
    <x v="8"/>
    <x v="2"/>
    <n v="250000"/>
    <n v="9"/>
    <x v="3"/>
    <n v="200000"/>
    <n v="2250000"/>
    <n v="1800000"/>
    <n v="450000"/>
  </r>
  <r>
    <x v="2097"/>
    <x v="9"/>
    <x v="9"/>
    <x v="2"/>
    <x v="0"/>
    <s v="Retail"/>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03F97C-5A45-41AA-9BBC-0691C2AF105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    Product">
  <location ref="A2:B13" firstHeaderRow="1" firstDataRow="1" firstDataCol="1"/>
  <pivotFields count="20">
    <pivotField numFmtId="14"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numFmtId="1" showAll="0"/>
    <pivotField showAll="0"/>
    <pivotField showAll="0"/>
    <pivotField showAll="0"/>
    <pivotField showAll="0"/>
    <pivotField showAll="0"/>
    <pivotField axis="axisRow" showAll="0" measureFilter="1">
      <items count="11">
        <item x="4"/>
        <item x="1"/>
        <item x="3"/>
        <item x="7"/>
        <item x="2"/>
        <item x="0"/>
        <item x="6"/>
        <item x="9"/>
        <item x="8"/>
        <item x="5"/>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7"/>
  </rowFields>
  <rowItems count="11">
    <i>
      <x/>
    </i>
    <i>
      <x v="1"/>
    </i>
    <i>
      <x v="2"/>
    </i>
    <i>
      <x v="3"/>
    </i>
    <i>
      <x v="4"/>
    </i>
    <i>
      <x v="5"/>
    </i>
    <i>
      <x v="6"/>
    </i>
    <i>
      <x v="7"/>
    </i>
    <i>
      <x v="8"/>
    </i>
    <i>
      <x v="9"/>
    </i>
    <i t="grand">
      <x/>
    </i>
  </rowItems>
  <colItems count="1">
    <i/>
  </colItems>
  <dataFields count="1">
    <dataField name="Sum of Profit" fld="15" baseField="6" baseItem="0" numFmtId="16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7" count="1" selected="0">
            <x v="3"/>
          </reference>
        </references>
      </pivotArea>
    </chartFormat>
  </chartFormats>
  <pivotTableStyleInfo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02EDA2-BD09-4402-A069-B2F5E745E33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     Month">
  <location ref="A37:B50" firstHeaderRow="1" firstDataRow="1" firstDataCol="1"/>
  <pivotFields count="20">
    <pivotField numFmtId="14"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name=" Month-2" numFmtId="1" showAll="0" sortType="ascending">
      <items count="13">
        <item x="0"/>
        <item x="1"/>
        <item x="2"/>
        <item x="3"/>
        <item x="4"/>
        <item x="5"/>
        <item x="6"/>
        <item x="7"/>
        <item x="8"/>
        <item x="9"/>
        <item x="10"/>
        <item x="11"/>
        <item t="default"/>
      </items>
    </pivotField>
    <pivotField axis="axisRow" showAll="0">
      <items count="13">
        <item x="0"/>
        <item x="1"/>
        <item x="2"/>
        <item x="3"/>
        <item x="4"/>
        <item x="5"/>
        <item x="6"/>
        <item x="7"/>
        <item x="9"/>
        <item x="10"/>
        <item x="11"/>
        <item x="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Revenue" fld="13" baseField="2" baseItem="0" numFmtId="165"/>
  </dataFields>
  <chartFormats count="3">
    <chartFormat chart="0"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2" count="1" selected="0">
            <x v="9"/>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F10044-8048-4A38-AED2-D75DE6DA59F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     City">
  <location ref="A28:B33" firstHeaderRow="1" firstDataRow="1" firstDataCol="1"/>
  <pivotFields count="20">
    <pivotField numFmtId="14"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numFmtId="1" showAll="0"/>
    <pivotField showAll="0"/>
    <pivotField showAll="0"/>
    <pivotField axis="axisRow" showAll="0">
      <items count="5">
        <item x="3"/>
        <item x="2"/>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5">
    <i>
      <x/>
    </i>
    <i>
      <x v="1"/>
    </i>
    <i>
      <x v="2"/>
    </i>
    <i>
      <x v="3"/>
    </i>
    <i t="grand">
      <x/>
    </i>
  </rowItems>
  <colItems count="1">
    <i/>
  </colItems>
  <dataFields count="1">
    <dataField name="Sum of COGS" fld="14" baseField="3" baseItem="0" numFmtId="166"/>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4" count="1" selected="0">
            <x v="0"/>
          </reference>
        </references>
      </pivotArea>
    </chartFormat>
    <chartFormat chart="8" format="12">
      <pivotArea type="data" outline="0" fieldPosition="0">
        <references count="2">
          <reference field="4294967294" count="1" selected="0">
            <x v="0"/>
          </reference>
          <reference field="4" count="1" selected="0">
            <x v="1"/>
          </reference>
        </references>
      </pivotArea>
    </chartFormat>
    <chartFormat chart="8" format="13">
      <pivotArea type="data" outline="0" fieldPosition="0">
        <references count="2">
          <reference field="4294967294" count="1" selected="0">
            <x v="0"/>
          </reference>
          <reference field="4" count="1" selected="0">
            <x v="2"/>
          </reference>
        </references>
      </pivotArea>
    </chartFormat>
    <chartFormat chart="8" format="14">
      <pivotArea type="data" outline="0" fieldPosition="0">
        <references count="2">
          <reference field="4294967294" count="1" selected="0">
            <x v="0"/>
          </reference>
          <reference field="4"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3608D4-7BA3-488C-937B-91C3D8FD1CF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ales Rep">
  <location ref="A17:B24" firstHeaderRow="1" firstDataRow="1" firstDataCol="1"/>
  <pivotFields count="20">
    <pivotField numFmtId="14"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numFmtId="1"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items count="7">
        <item x="4"/>
        <item x="0"/>
        <item x="1"/>
        <item x="5"/>
        <item x="2"/>
        <item x="3"/>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1"/>
  </rowFields>
  <rowItems count="7">
    <i>
      <x/>
    </i>
    <i>
      <x v="1"/>
    </i>
    <i>
      <x v="2"/>
    </i>
    <i>
      <x v="3"/>
    </i>
    <i>
      <x v="4"/>
    </i>
    <i>
      <x v="5"/>
    </i>
    <i t="grand">
      <x/>
    </i>
  </rowItems>
  <colItems count="1">
    <i/>
  </colItems>
  <dataFields count="1">
    <dataField name="Sum of Revenue" fld="13" baseField="10" baseItem="0" numFmtId="166"/>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5"/>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1" count="1" selected="0">
            <x v="5"/>
          </reference>
        </references>
      </pivotArea>
    </chartFormat>
    <chartFormat chart="8" format="6">
      <pivotArea type="data" outline="0" fieldPosition="0">
        <references count="2">
          <reference field="4294967294" count="1" selected="0">
            <x v="0"/>
          </reference>
          <reference field="11" count="1" selected="0">
            <x v="1"/>
          </reference>
        </references>
      </pivotArea>
    </chartFormat>
    <chartFormat chart="8" format="7">
      <pivotArea type="data" outline="0" fieldPosition="0">
        <references count="2">
          <reference field="4294967294" count="1" selected="0">
            <x v="0"/>
          </reference>
          <reference field="11"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BE4DA5F-E4CF-4270-9B55-36C3FBDCF111}" sourceName="Region">
  <pivotTables>
    <pivotTable tabId="6" name="PivotTable9"/>
  </pivotTables>
  <data>
    <tabular pivotCacheId="1376175066">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0CC119E-FDF8-4EEB-ABA4-A7B0A670300C}" sourceName="Category">
  <pivotTables>
    <pivotTable tabId="6" name="PivotTable9"/>
  </pivotTables>
  <data>
    <tabular pivotCacheId="137617506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B4DFACC-2DED-4C87-AF52-29D9E62DE30A}" cache="Slicer_Region1" caption="Region" columnCount="2" showCaption="0" rowHeight="241300"/>
  <slicer name="Category 1" xr10:uid="{F17AF582-8782-4F08-A3B0-97C90F21354A}" cache="Slicer_Category1" caption="Category"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L2099">
  <tableColumns count="12">
    <tableColumn id="1" xr3:uid="{00000000-0010-0000-0000-000001000000}" name="Date" dataDxfId="10"/>
    <tableColumn id="13" xr3:uid="{47F45898-B6DB-4E76-A8F2-261E456DF485}" name="Column1" dataDxfId="9"/>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0" xr3:uid="{00000000-0010-0000-0000-00000A000000}" name="Sales Rep"/>
    <tableColumn id="11" xr3:uid="{00000000-0010-0000-0000-00000B000000}" name="Cost Price" dataDxfId="8"/>
  </tableColumns>
  <tableStyleInfo name="Sales 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E220FB-0153-491F-9D60-F83D8A39434B}" name="Table_13" displayName="Table_13" ref="A1:P2099">
  <tableColumns count="16">
    <tableColumn id="1" xr3:uid="{E5FBEC65-1D62-4E61-8DDF-38B536451FB9}" name="Date" dataDxfId="7"/>
    <tableColumn id="16" xr3:uid="{CB91488B-0F05-40A1-A52D-ECB702E4919A}" name="Month" dataDxfId="6"/>
    <tableColumn id="17" xr3:uid="{8434F7D4-4052-4EED-97EC-DEFC60908BB5}" name="Month -w" dataDxfId="5">
      <calculatedColumnFormula>_xlfn.IFS(Table_13[[#This Row],[Month]]=1,"JAN",Table_13[[#This Row],[Month]]=2,"FEB",B2=3,"MAR",B2=4,"APR",B2=5,"MAY",B2=6,"JUN",B2=7,"JUL",B2=8,"AUG",Table_13[[#This Row],[Month]]=9,"SEPT",B2=10,"OCT",B2=11,"NOV",B2=12,"DEC")</calculatedColumnFormula>
    </tableColumn>
    <tableColumn id="2" xr3:uid="{D4B9B7BE-A702-45BF-90AE-EA9CC549AED8}" name="Region"/>
    <tableColumn id="3" xr3:uid="{A439B937-C030-4B6F-8097-130C43B24331}" name="City"/>
    <tableColumn id="4" xr3:uid="{F837F522-90E3-4EBD-BE66-E24C9967F2E2}" name="Customer Type"/>
    <tableColumn id="5" xr3:uid="{C47E25EA-9E4D-4AE6-9C10-1328269BA985}" name="Channel"/>
    <tableColumn id="6" xr3:uid="{6DDD3CC2-F29A-4AD9-A58E-06C58F5A6820}" name="Product"/>
    <tableColumn id="7" xr3:uid="{0402AF7D-4709-436C-AA88-892826F8342C}" name="Category"/>
    <tableColumn id="8" xr3:uid="{54CC2A69-AE76-4E57-8E56-990C0BAF472A}" name="Unit Price" dataDxfId="4" dataCellStyle="Currency"/>
    <tableColumn id="9" xr3:uid="{5BE8CE1A-C402-48FE-9867-8C4A248A52BA}" name="Quantity"/>
    <tableColumn id="10" xr3:uid="{FAEDC2B4-ADE1-4442-8316-89D26BF8DE36}" name="Sales Rep"/>
    <tableColumn id="11" xr3:uid="{841019CC-D06F-4EE8-8465-B2D254FBA102}" name="Cost Price" dataDxfId="3" dataCellStyle="Currency">
      <calculatedColumnFormula>J2-J2*0.2</calculatedColumnFormula>
    </tableColumn>
    <tableColumn id="13" xr3:uid="{5C6C98AC-A313-4B8A-8BAA-2A0A3E6D9971}" name="Revenue" dataDxfId="2" dataCellStyle="Currency">
      <calculatedColumnFormula>PRODUCT(Table_13[[#This Row],[Unit Price]],Table_13[[#This Row],[Quantity]])</calculatedColumnFormula>
    </tableColumn>
    <tableColumn id="15" xr3:uid="{FE53E418-2738-4FB2-B92C-80D170326824}" name="COGS" dataDxfId="1" dataCellStyle="Currency">
      <calculatedColumnFormula>PRODUCT(Table_13[[#This Row],[Cost Price]],Table_13[[#This Row],[Quantity]])</calculatedColumnFormula>
    </tableColumn>
    <tableColumn id="14" xr3:uid="{75F8E3C8-AF1D-4C49-985E-7A989461CB15}" name="Profit" dataDxfId="0">
      <calculatedColumnFormula>N2-O2</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 /></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 /><Relationship Id="rId2" Type="http://schemas.openxmlformats.org/officeDocument/2006/relationships/pivotTable" Target="../pivotTables/pivotTable2.xml" /><Relationship Id="rId1" Type="http://schemas.openxmlformats.org/officeDocument/2006/relationships/pivotTable" Target="../pivotTables/pivotTable1.xml" /><Relationship Id="rId5" Type="http://schemas.openxmlformats.org/officeDocument/2006/relationships/drawing" Target="../drawings/drawing1.xml" /><Relationship Id="rId4" Type="http://schemas.openxmlformats.org/officeDocument/2006/relationships/pivotTable" Target="../pivotTables/pivotTable4.xml" /></Relationships>
</file>

<file path=xl/worksheets/_rels/sheet4.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2.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L2099"/>
  <sheetViews>
    <sheetView workbookViewId="0">
      <selection activeCell="B23" sqref="B23"/>
    </sheetView>
  </sheetViews>
  <sheetFormatPr defaultColWidth="14.390625" defaultRowHeight="15" customHeight="1" x14ac:dyDescent="0.2"/>
  <cols>
    <col min="1" max="2" width="18.0234375" style="34" customWidth="1"/>
    <col min="3" max="3" width="10.22265625" customWidth="1"/>
    <col min="4" max="4" width="12.23828125" customWidth="1"/>
    <col min="5" max="5" width="14.66015625" customWidth="1"/>
    <col min="6" max="6" width="13.31640625" customWidth="1"/>
    <col min="7" max="7" width="16.27734375" customWidth="1"/>
    <col min="8" max="8" width="15.87109375" customWidth="1"/>
    <col min="9" max="9" width="9.68359375" customWidth="1"/>
    <col min="10" max="10" width="13.31640625" customWidth="1"/>
    <col min="11" max="11" width="13.1796875" customWidth="1"/>
    <col min="12" max="27" width="9.01171875" customWidth="1"/>
  </cols>
  <sheetData>
    <row r="1" spans="1:12" ht="14.25" customHeight="1" x14ac:dyDescent="0.2">
      <c r="A1" s="32" t="s">
        <v>0</v>
      </c>
      <c r="B1" s="32" t="s">
        <v>57</v>
      </c>
      <c r="C1" s="1" t="s">
        <v>1</v>
      </c>
      <c r="D1" s="1" t="s">
        <v>2</v>
      </c>
      <c r="E1" s="1" t="s">
        <v>3</v>
      </c>
      <c r="F1" s="1" t="s">
        <v>4</v>
      </c>
      <c r="G1" s="1" t="s">
        <v>5</v>
      </c>
      <c r="H1" s="1" t="s">
        <v>6</v>
      </c>
      <c r="I1" s="1" t="s">
        <v>7</v>
      </c>
      <c r="J1" s="1" t="s">
        <v>8</v>
      </c>
      <c r="K1" s="1" t="s">
        <v>9</v>
      </c>
      <c r="L1" s="1" t="s">
        <v>10</v>
      </c>
    </row>
    <row r="2" spans="1:12" ht="14.25" customHeight="1" x14ac:dyDescent="0.2">
      <c r="A2" s="33">
        <v>45676</v>
      </c>
      <c r="B2" s="33"/>
      <c r="C2" s="2" t="s">
        <v>11</v>
      </c>
      <c r="D2" s="2" t="s">
        <v>12</v>
      </c>
      <c r="E2" s="2" t="s">
        <v>13</v>
      </c>
      <c r="F2" s="2" t="s">
        <v>14</v>
      </c>
      <c r="G2" s="2" t="s">
        <v>15</v>
      </c>
      <c r="H2" s="2" t="s">
        <v>16</v>
      </c>
      <c r="I2" s="2">
        <v>85000</v>
      </c>
      <c r="J2" s="2">
        <v>1</v>
      </c>
      <c r="K2" s="2" t="s">
        <v>17</v>
      </c>
      <c r="L2" s="2">
        <f t="shared" ref="L2:L256" si="0">I2-I2*0.2</f>
        <v>68000</v>
      </c>
    </row>
    <row r="3" spans="1:12" ht="14.25" customHeight="1" x14ac:dyDescent="0.2">
      <c r="A3" s="33">
        <v>45677</v>
      </c>
      <c r="B3" s="33"/>
      <c r="C3" s="2" t="s">
        <v>18</v>
      </c>
      <c r="D3" s="2" t="s">
        <v>19</v>
      </c>
      <c r="E3" s="2" t="s">
        <v>13</v>
      </c>
      <c r="F3" s="2" t="s">
        <v>20</v>
      </c>
      <c r="G3" s="2" t="s">
        <v>21</v>
      </c>
      <c r="H3" s="2" t="s">
        <v>22</v>
      </c>
      <c r="I3" s="2">
        <v>30000</v>
      </c>
      <c r="J3" s="2">
        <v>8</v>
      </c>
      <c r="K3" s="2" t="s">
        <v>17</v>
      </c>
      <c r="L3" s="2">
        <f t="shared" si="0"/>
        <v>24000</v>
      </c>
    </row>
    <row r="4" spans="1:12" ht="14.25" customHeight="1" x14ac:dyDescent="0.2">
      <c r="A4" s="33">
        <v>45678</v>
      </c>
      <c r="B4" s="33"/>
      <c r="C4" s="2" t="s">
        <v>18</v>
      </c>
      <c r="D4" s="2" t="s">
        <v>12</v>
      </c>
      <c r="E4" s="2" t="s">
        <v>23</v>
      </c>
      <c r="F4" s="2" t="s">
        <v>14</v>
      </c>
      <c r="G4" s="2" t="s">
        <v>15</v>
      </c>
      <c r="H4" s="2" t="s">
        <v>16</v>
      </c>
      <c r="I4" s="2">
        <v>85000</v>
      </c>
      <c r="J4" s="2">
        <v>2</v>
      </c>
      <c r="K4" s="2" t="s">
        <v>24</v>
      </c>
      <c r="L4" s="2">
        <f t="shared" si="0"/>
        <v>68000</v>
      </c>
    </row>
    <row r="5" spans="1:12" ht="14.25" customHeight="1" x14ac:dyDescent="0.2">
      <c r="A5" s="33">
        <v>45679</v>
      </c>
      <c r="B5" s="33"/>
      <c r="C5" s="2" t="s">
        <v>25</v>
      </c>
      <c r="D5" s="2" t="s">
        <v>26</v>
      </c>
      <c r="E5" s="2" t="s">
        <v>13</v>
      </c>
      <c r="F5" s="2" t="s">
        <v>14</v>
      </c>
      <c r="G5" s="2" t="s">
        <v>27</v>
      </c>
      <c r="H5" s="2" t="s">
        <v>22</v>
      </c>
      <c r="I5" s="2">
        <v>60000</v>
      </c>
      <c r="J5" s="2">
        <v>2</v>
      </c>
      <c r="K5" s="2" t="s">
        <v>28</v>
      </c>
      <c r="L5" s="2">
        <f t="shared" si="0"/>
        <v>48000</v>
      </c>
    </row>
    <row r="6" spans="1:12" ht="14.25" customHeight="1" x14ac:dyDescent="0.2">
      <c r="A6" s="33">
        <v>45680</v>
      </c>
      <c r="B6" s="33"/>
      <c r="C6" s="2" t="s">
        <v>29</v>
      </c>
      <c r="D6" s="2" t="s">
        <v>26</v>
      </c>
      <c r="E6" s="2" t="s">
        <v>23</v>
      </c>
      <c r="F6" s="2" t="s">
        <v>14</v>
      </c>
      <c r="G6" s="2" t="s">
        <v>30</v>
      </c>
      <c r="H6" s="2" t="s">
        <v>31</v>
      </c>
      <c r="I6" s="2">
        <v>300000</v>
      </c>
      <c r="J6" s="2">
        <v>2</v>
      </c>
      <c r="K6" s="2" t="s">
        <v>17</v>
      </c>
      <c r="L6" s="2">
        <f t="shared" si="0"/>
        <v>240000</v>
      </c>
    </row>
    <row r="7" spans="1:12" ht="14.25" customHeight="1" x14ac:dyDescent="0.2">
      <c r="A7" s="33">
        <v>45681</v>
      </c>
      <c r="B7" s="33"/>
      <c r="C7" s="2" t="s">
        <v>25</v>
      </c>
      <c r="D7" s="2" t="s">
        <v>32</v>
      </c>
      <c r="E7" s="2" t="s">
        <v>13</v>
      </c>
      <c r="F7" s="2" t="s">
        <v>14</v>
      </c>
      <c r="G7" s="2" t="s">
        <v>33</v>
      </c>
      <c r="H7" s="2" t="s">
        <v>22</v>
      </c>
      <c r="I7" s="2">
        <v>180000</v>
      </c>
      <c r="J7" s="2">
        <v>10</v>
      </c>
      <c r="K7" s="2" t="s">
        <v>17</v>
      </c>
      <c r="L7" s="2">
        <f t="shared" si="0"/>
        <v>144000</v>
      </c>
    </row>
    <row r="8" spans="1:12" ht="14.25" customHeight="1" x14ac:dyDescent="0.2">
      <c r="A8" s="33">
        <v>45682</v>
      </c>
      <c r="B8" s="33"/>
      <c r="C8" s="2" t="s">
        <v>25</v>
      </c>
      <c r="D8" s="2" t="s">
        <v>32</v>
      </c>
      <c r="E8" s="2" t="s">
        <v>23</v>
      </c>
      <c r="F8" s="2" t="s">
        <v>14</v>
      </c>
      <c r="G8" s="2" t="s">
        <v>34</v>
      </c>
      <c r="H8" s="2" t="s">
        <v>16</v>
      </c>
      <c r="I8" s="2">
        <v>320000</v>
      </c>
      <c r="J8" s="2">
        <v>4</v>
      </c>
      <c r="K8" s="2" t="s">
        <v>28</v>
      </c>
      <c r="L8" s="2">
        <f t="shared" si="0"/>
        <v>256000</v>
      </c>
    </row>
    <row r="9" spans="1:12" ht="14.25" customHeight="1" x14ac:dyDescent="0.2">
      <c r="A9" s="33">
        <v>45683</v>
      </c>
      <c r="B9" s="33"/>
      <c r="C9" s="2" t="s">
        <v>25</v>
      </c>
      <c r="D9" s="2" t="s">
        <v>26</v>
      </c>
      <c r="E9" s="2" t="s">
        <v>13</v>
      </c>
      <c r="F9" s="2" t="s">
        <v>14</v>
      </c>
      <c r="G9" s="2" t="s">
        <v>34</v>
      </c>
      <c r="H9" s="2" t="s">
        <v>16</v>
      </c>
      <c r="I9" s="2">
        <v>320000</v>
      </c>
      <c r="J9" s="2">
        <v>1</v>
      </c>
      <c r="K9" s="2" t="s">
        <v>35</v>
      </c>
      <c r="L9" s="2">
        <f t="shared" si="0"/>
        <v>256000</v>
      </c>
    </row>
    <row r="10" spans="1:12" ht="14.25" customHeight="1" x14ac:dyDescent="0.2">
      <c r="A10" s="33">
        <v>45684</v>
      </c>
      <c r="B10" s="33"/>
      <c r="C10" s="2" t="s">
        <v>18</v>
      </c>
      <c r="D10" s="2" t="s">
        <v>19</v>
      </c>
      <c r="E10" s="2" t="s">
        <v>13</v>
      </c>
      <c r="F10" s="2" t="s">
        <v>20</v>
      </c>
      <c r="G10" s="2" t="s">
        <v>34</v>
      </c>
      <c r="H10" s="2" t="s">
        <v>16</v>
      </c>
      <c r="I10" s="2">
        <v>320000</v>
      </c>
      <c r="J10" s="2">
        <v>9</v>
      </c>
      <c r="K10" s="2" t="s">
        <v>28</v>
      </c>
      <c r="L10" s="2">
        <f t="shared" si="0"/>
        <v>256000</v>
      </c>
    </row>
    <row r="11" spans="1:12" ht="14.25" customHeight="1" x14ac:dyDescent="0.2">
      <c r="A11" s="33">
        <v>45685</v>
      </c>
      <c r="B11" s="33"/>
      <c r="C11" s="2" t="s">
        <v>25</v>
      </c>
      <c r="D11" s="2" t="s">
        <v>19</v>
      </c>
      <c r="E11" s="2" t="s">
        <v>13</v>
      </c>
      <c r="F11" s="2" t="s">
        <v>14</v>
      </c>
      <c r="G11" s="2" t="s">
        <v>34</v>
      </c>
      <c r="H11" s="2" t="s">
        <v>16</v>
      </c>
      <c r="I11" s="2">
        <v>320000</v>
      </c>
      <c r="J11" s="2">
        <v>3</v>
      </c>
      <c r="K11" s="2" t="s">
        <v>28</v>
      </c>
      <c r="L11" s="2">
        <f t="shared" si="0"/>
        <v>256000</v>
      </c>
    </row>
    <row r="12" spans="1:12" ht="14.25" customHeight="1" x14ac:dyDescent="0.2">
      <c r="A12" s="33">
        <v>45686</v>
      </c>
      <c r="B12" s="33"/>
      <c r="C12" s="2" t="s">
        <v>25</v>
      </c>
      <c r="D12" s="2" t="s">
        <v>12</v>
      </c>
      <c r="E12" s="2" t="s">
        <v>13</v>
      </c>
      <c r="F12" s="2" t="s">
        <v>14</v>
      </c>
      <c r="G12" s="2" t="s">
        <v>36</v>
      </c>
      <c r="H12" s="2" t="s">
        <v>31</v>
      </c>
      <c r="I12" s="2">
        <v>150000</v>
      </c>
      <c r="J12" s="2">
        <v>4</v>
      </c>
      <c r="K12" s="2" t="s">
        <v>35</v>
      </c>
      <c r="L12" s="2">
        <f t="shared" si="0"/>
        <v>120000</v>
      </c>
    </row>
    <row r="13" spans="1:12" ht="14.25" customHeight="1" x14ac:dyDescent="0.2">
      <c r="A13" s="33">
        <v>45687</v>
      </c>
      <c r="B13" s="33"/>
      <c r="C13" s="2" t="s">
        <v>11</v>
      </c>
      <c r="D13" s="2" t="s">
        <v>26</v>
      </c>
      <c r="E13" s="2" t="s">
        <v>23</v>
      </c>
      <c r="F13" s="2" t="s">
        <v>14</v>
      </c>
      <c r="G13" s="2" t="s">
        <v>34</v>
      </c>
      <c r="H13" s="2" t="s">
        <v>16</v>
      </c>
      <c r="I13" s="2">
        <v>320000</v>
      </c>
      <c r="J13" s="2">
        <v>7</v>
      </c>
      <c r="K13" s="2" t="s">
        <v>35</v>
      </c>
      <c r="L13" s="2">
        <f t="shared" si="0"/>
        <v>256000</v>
      </c>
    </row>
    <row r="14" spans="1:12" ht="14.25" customHeight="1" x14ac:dyDescent="0.2">
      <c r="A14" s="33">
        <v>45688</v>
      </c>
      <c r="B14" s="33"/>
      <c r="C14" s="2" t="s">
        <v>25</v>
      </c>
      <c r="D14" s="2" t="s">
        <v>12</v>
      </c>
      <c r="E14" s="2" t="s">
        <v>13</v>
      </c>
      <c r="F14" s="2" t="s">
        <v>20</v>
      </c>
      <c r="G14" s="2" t="s">
        <v>36</v>
      </c>
      <c r="H14" s="2" t="s">
        <v>31</v>
      </c>
      <c r="I14" s="2">
        <v>150000</v>
      </c>
      <c r="J14" s="2">
        <v>2</v>
      </c>
      <c r="K14" s="2" t="s">
        <v>37</v>
      </c>
      <c r="L14" s="2">
        <f t="shared" si="0"/>
        <v>120000</v>
      </c>
    </row>
    <row r="15" spans="1:12" ht="14.25" customHeight="1" x14ac:dyDescent="0.2">
      <c r="A15" s="33">
        <v>45689</v>
      </c>
      <c r="B15" s="33"/>
      <c r="C15" s="2" t="s">
        <v>11</v>
      </c>
      <c r="D15" s="2" t="s">
        <v>19</v>
      </c>
      <c r="E15" s="2" t="s">
        <v>13</v>
      </c>
      <c r="F15" s="2" t="s">
        <v>14</v>
      </c>
      <c r="G15" s="2" t="s">
        <v>38</v>
      </c>
      <c r="H15" s="2" t="s">
        <v>31</v>
      </c>
      <c r="I15" s="2">
        <v>420000</v>
      </c>
      <c r="J15" s="2">
        <v>9</v>
      </c>
      <c r="K15" s="2" t="s">
        <v>28</v>
      </c>
      <c r="L15" s="2">
        <f t="shared" si="0"/>
        <v>336000</v>
      </c>
    </row>
    <row r="16" spans="1:12" ht="14.25" customHeight="1" x14ac:dyDescent="0.2">
      <c r="A16" s="33">
        <v>45690</v>
      </c>
      <c r="B16" s="33"/>
      <c r="C16" s="2" t="s">
        <v>29</v>
      </c>
      <c r="D16" s="2" t="s">
        <v>19</v>
      </c>
      <c r="E16" s="2" t="s">
        <v>13</v>
      </c>
      <c r="F16" s="2" t="s">
        <v>14</v>
      </c>
      <c r="G16" s="2" t="s">
        <v>38</v>
      </c>
      <c r="H16" s="2" t="s">
        <v>31</v>
      </c>
      <c r="I16" s="2">
        <v>420000</v>
      </c>
      <c r="J16" s="2">
        <v>5</v>
      </c>
      <c r="K16" s="2" t="s">
        <v>39</v>
      </c>
      <c r="L16" s="2">
        <f t="shared" si="0"/>
        <v>336000</v>
      </c>
    </row>
    <row r="17" spans="1:12" ht="14.25" customHeight="1" x14ac:dyDescent="0.2">
      <c r="A17" s="33">
        <v>45691</v>
      </c>
      <c r="B17" s="33"/>
      <c r="C17" s="2" t="s">
        <v>11</v>
      </c>
      <c r="D17" s="2" t="s">
        <v>26</v>
      </c>
      <c r="E17" s="2" t="s">
        <v>23</v>
      </c>
      <c r="F17" s="2" t="s">
        <v>20</v>
      </c>
      <c r="G17" s="2" t="s">
        <v>40</v>
      </c>
      <c r="H17" s="2" t="s">
        <v>31</v>
      </c>
      <c r="I17" s="2">
        <v>250000</v>
      </c>
      <c r="J17" s="2">
        <v>4</v>
      </c>
      <c r="K17" s="2" t="s">
        <v>35</v>
      </c>
      <c r="L17" s="2">
        <f t="shared" si="0"/>
        <v>200000</v>
      </c>
    </row>
    <row r="18" spans="1:12" ht="14.25" customHeight="1" x14ac:dyDescent="0.2">
      <c r="A18" s="33">
        <v>45692</v>
      </c>
      <c r="B18" s="33"/>
      <c r="C18" s="2" t="s">
        <v>11</v>
      </c>
      <c r="D18" s="2" t="s">
        <v>19</v>
      </c>
      <c r="E18" s="2" t="s">
        <v>13</v>
      </c>
      <c r="F18" s="2" t="s">
        <v>14</v>
      </c>
      <c r="G18" s="2" t="s">
        <v>41</v>
      </c>
      <c r="H18" s="2" t="s">
        <v>22</v>
      </c>
      <c r="I18" s="2">
        <v>220000</v>
      </c>
      <c r="J18" s="2">
        <v>2</v>
      </c>
      <c r="K18" s="2" t="s">
        <v>35</v>
      </c>
      <c r="L18" s="2">
        <f t="shared" si="0"/>
        <v>176000</v>
      </c>
    </row>
    <row r="19" spans="1:12" ht="14.25" customHeight="1" x14ac:dyDescent="0.2">
      <c r="A19" s="33">
        <v>45693</v>
      </c>
      <c r="B19" s="33"/>
      <c r="C19" s="2" t="s">
        <v>18</v>
      </c>
      <c r="D19" s="2" t="s">
        <v>26</v>
      </c>
      <c r="E19" s="2" t="s">
        <v>13</v>
      </c>
      <c r="F19" s="2" t="s">
        <v>20</v>
      </c>
      <c r="G19" s="2" t="s">
        <v>36</v>
      </c>
      <c r="H19" s="2" t="s">
        <v>31</v>
      </c>
      <c r="I19" s="2">
        <v>150000</v>
      </c>
      <c r="J19" s="2">
        <v>7</v>
      </c>
      <c r="K19" s="2" t="s">
        <v>28</v>
      </c>
      <c r="L19" s="2">
        <f t="shared" si="0"/>
        <v>120000</v>
      </c>
    </row>
    <row r="20" spans="1:12" ht="14.25" customHeight="1" x14ac:dyDescent="0.2">
      <c r="A20" s="33">
        <v>45694</v>
      </c>
      <c r="B20" s="33"/>
      <c r="C20" s="2" t="s">
        <v>25</v>
      </c>
      <c r="D20" s="2" t="s">
        <v>32</v>
      </c>
      <c r="E20" s="2" t="s">
        <v>23</v>
      </c>
      <c r="F20" s="2" t="s">
        <v>20</v>
      </c>
      <c r="G20" s="2" t="s">
        <v>30</v>
      </c>
      <c r="H20" s="2" t="s">
        <v>31</v>
      </c>
      <c r="I20" s="2">
        <v>300000</v>
      </c>
      <c r="J20" s="2">
        <v>5</v>
      </c>
      <c r="K20" s="2" t="s">
        <v>35</v>
      </c>
      <c r="L20" s="2">
        <f t="shared" si="0"/>
        <v>240000</v>
      </c>
    </row>
    <row r="21" spans="1:12" ht="14.25" customHeight="1" x14ac:dyDescent="0.2">
      <c r="A21" s="33">
        <v>45695</v>
      </c>
      <c r="B21" s="33"/>
      <c r="C21" s="2" t="s">
        <v>29</v>
      </c>
      <c r="D21" s="2" t="s">
        <v>26</v>
      </c>
      <c r="E21" s="2" t="s">
        <v>13</v>
      </c>
      <c r="F21" s="2" t="s">
        <v>14</v>
      </c>
      <c r="G21" s="2" t="s">
        <v>36</v>
      </c>
      <c r="H21" s="2" t="s">
        <v>31</v>
      </c>
      <c r="I21" s="2">
        <v>150000</v>
      </c>
      <c r="J21" s="2">
        <v>4</v>
      </c>
      <c r="K21" s="2" t="s">
        <v>35</v>
      </c>
      <c r="L21" s="2">
        <f t="shared" si="0"/>
        <v>120000</v>
      </c>
    </row>
    <row r="22" spans="1:12" ht="14.25" customHeight="1" x14ac:dyDescent="0.2">
      <c r="A22" s="33">
        <v>45696</v>
      </c>
      <c r="B22" s="33"/>
      <c r="C22" s="2" t="s">
        <v>29</v>
      </c>
      <c r="D22" s="2" t="s">
        <v>26</v>
      </c>
      <c r="E22" s="2" t="s">
        <v>23</v>
      </c>
      <c r="F22" s="2" t="s">
        <v>20</v>
      </c>
      <c r="G22" s="2" t="s">
        <v>15</v>
      </c>
      <c r="H22" s="2" t="s">
        <v>16</v>
      </c>
      <c r="I22" s="2">
        <v>85000</v>
      </c>
      <c r="J22" s="2">
        <v>1</v>
      </c>
      <c r="K22" s="2" t="s">
        <v>39</v>
      </c>
      <c r="L22" s="2">
        <f t="shared" si="0"/>
        <v>68000</v>
      </c>
    </row>
    <row r="23" spans="1:12" ht="14.25" customHeight="1" x14ac:dyDescent="0.2">
      <c r="A23" s="33">
        <v>45697</v>
      </c>
      <c r="B23" s="33"/>
      <c r="C23" s="2" t="s">
        <v>18</v>
      </c>
      <c r="D23" s="2" t="s">
        <v>12</v>
      </c>
      <c r="E23" s="2" t="s">
        <v>13</v>
      </c>
      <c r="F23" s="2" t="s">
        <v>20</v>
      </c>
      <c r="G23" s="2" t="s">
        <v>15</v>
      </c>
      <c r="H23" s="2" t="s">
        <v>16</v>
      </c>
      <c r="I23" s="2">
        <v>85000</v>
      </c>
      <c r="J23" s="2">
        <v>9</v>
      </c>
      <c r="K23" s="2" t="s">
        <v>24</v>
      </c>
      <c r="L23" s="2">
        <f t="shared" si="0"/>
        <v>68000</v>
      </c>
    </row>
    <row r="24" spans="1:12" ht="14.25" customHeight="1" x14ac:dyDescent="0.2">
      <c r="A24" s="33">
        <v>45698</v>
      </c>
      <c r="B24" s="33"/>
      <c r="C24" s="2" t="s">
        <v>18</v>
      </c>
      <c r="D24" s="2" t="s">
        <v>19</v>
      </c>
      <c r="E24" s="2" t="s">
        <v>13</v>
      </c>
      <c r="F24" s="2" t="s">
        <v>20</v>
      </c>
      <c r="G24" s="2" t="s">
        <v>38</v>
      </c>
      <c r="H24" s="2" t="s">
        <v>31</v>
      </c>
      <c r="I24" s="2">
        <v>420000</v>
      </c>
      <c r="J24" s="2">
        <v>8</v>
      </c>
      <c r="K24" s="2" t="s">
        <v>39</v>
      </c>
      <c r="L24" s="2">
        <f t="shared" si="0"/>
        <v>336000</v>
      </c>
    </row>
    <row r="25" spans="1:12" ht="14.25" customHeight="1" x14ac:dyDescent="0.2">
      <c r="A25" s="33">
        <v>45699</v>
      </c>
      <c r="B25" s="33"/>
      <c r="C25" s="2" t="s">
        <v>29</v>
      </c>
      <c r="D25" s="2" t="s">
        <v>19</v>
      </c>
      <c r="E25" s="2" t="s">
        <v>23</v>
      </c>
      <c r="F25" s="2" t="s">
        <v>14</v>
      </c>
      <c r="G25" s="2" t="s">
        <v>38</v>
      </c>
      <c r="H25" s="2" t="s">
        <v>31</v>
      </c>
      <c r="I25" s="2">
        <v>420000</v>
      </c>
      <c r="J25" s="2">
        <v>10</v>
      </c>
      <c r="K25" s="2" t="s">
        <v>39</v>
      </c>
      <c r="L25" s="2">
        <f t="shared" si="0"/>
        <v>336000</v>
      </c>
    </row>
    <row r="26" spans="1:12" ht="14.25" customHeight="1" x14ac:dyDescent="0.2">
      <c r="A26" s="33">
        <v>45700</v>
      </c>
      <c r="B26" s="33"/>
      <c r="C26" s="2" t="s">
        <v>18</v>
      </c>
      <c r="D26" s="2" t="s">
        <v>12</v>
      </c>
      <c r="E26" s="2" t="s">
        <v>13</v>
      </c>
      <c r="F26" s="2" t="s">
        <v>20</v>
      </c>
      <c r="G26" s="2" t="s">
        <v>40</v>
      </c>
      <c r="H26" s="2" t="s">
        <v>31</v>
      </c>
      <c r="I26" s="2">
        <v>250000</v>
      </c>
      <c r="J26" s="2">
        <v>5</v>
      </c>
      <c r="K26" s="2" t="s">
        <v>37</v>
      </c>
      <c r="L26" s="2">
        <f t="shared" si="0"/>
        <v>200000</v>
      </c>
    </row>
    <row r="27" spans="1:12" ht="14.25" customHeight="1" x14ac:dyDescent="0.2">
      <c r="A27" s="33">
        <v>45701</v>
      </c>
      <c r="B27" s="33"/>
      <c r="C27" s="2" t="s">
        <v>29</v>
      </c>
      <c r="D27" s="2" t="s">
        <v>19</v>
      </c>
      <c r="E27" s="2" t="s">
        <v>23</v>
      </c>
      <c r="F27" s="2" t="s">
        <v>20</v>
      </c>
      <c r="G27" s="2" t="s">
        <v>41</v>
      </c>
      <c r="H27" s="2" t="s">
        <v>22</v>
      </c>
      <c r="I27" s="2">
        <v>220000</v>
      </c>
      <c r="J27" s="2">
        <v>4</v>
      </c>
      <c r="K27" s="2" t="s">
        <v>39</v>
      </c>
      <c r="L27" s="2">
        <f t="shared" si="0"/>
        <v>176000</v>
      </c>
    </row>
    <row r="28" spans="1:12" ht="14.25" customHeight="1" x14ac:dyDescent="0.2">
      <c r="A28" s="33">
        <v>45702</v>
      </c>
      <c r="B28" s="33"/>
      <c r="C28" s="2" t="s">
        <v>11</v>
      </c>
      <c r="D28" s="2" t="s">
        <v>32</v>
      </c>
      <c r="E28" s="2" t="s">
        <v>23</v>
      </c>
      <c r="F28" s="2" t="s">
        <v>14</v>
      </c>
      <c r="G28" s="2" t="s">
        <v>36</v>
      </c>
      <c r="H28" s="2" t="s">
        <v>31</v>
      </c>
      <c r="I28" s="2">
        <v>150000</v>
      </c>
      <c r="J28" s="2">
        <v>7</v>
      </c>
      <c r="K28" s="2" t="s">
        <v>28</v>
      </c>
      <c r="L28" s="2">
        <f t="shared" si="0"/>
        <v>120000</v>
      </c>
    </row>
    <row r="29" spans="1:12" ht="14.25" customHeight="1" x14ac:dyDescent="0.2">
      <c r="A29" s="33">
        <v>45703</v>
      </c>
      <c r="B29" s="33"/>
      <c r="C29" s="2" t="s">
        <v>25</v>
      </c>
      <c r="D29" s="2" t="s">
        <v>26</v>
      </c>
      <c r="E29" s="2" t="s">
        <v>13</v>
      </c>
      <c r="F29" s="2" t="s">
        <v>14</v>
      </c>
      <c r="G29" s="2" t="s">
        <v>15</v>
      </c>
      <c r="H29" s="2" t="s">
        <v>16</v>
      </c>
      <c r="I29" s="2">
        <v>85000</v>
      </c>
      <c r="J29" s="2">
        <v>3</v>
      </c>
      <c r="K29" s="2" t="s">
        <v>35</v>
      </c>
      <c r="L29" s="2">
        <f t="shared" si="0"/>
        <v>68000</v>
      </c>
    </row>
    <row r="30" spans="1:12" ht="14.25" customHeight="1" x14ac:dyDescent="0.2">
      <c r="A30" s="33">
        <v>45704</v>
      </c>
      <c r="B30" s="33"/>
      <c r="C30" s="2" t="s">
        <v>18</v>
      </c>
      <c r="D30" s="2" t="s">
        <v>12</v>
      </c>
      <c r="E30" s="2" t="s">
        <v>13</v>
      </c>
      <c r="F30" s="2" t="s">
        <v>20</v>
      </c>
      <c r="G30" s="2" t="s">
        <v>30</v>
      </c>
      <c r="H30" s="2" t="s">
        <v>31</v>
      </c>
      <c r="I30" s="2">
        <v>300000</v>
      </c>
      <c r="J30" s="2">
        <v>8</v>
      </c>
      <c r="K30" s="2" t="s">
        <v>39</v>
      </c>
      <c r="L30" s="2">
        <f t="shared" si="0"/>
        <v>240000</v>
      </c>
    </row>
    <row r="31" spans="1:12" ht="14.25" customHeight="1" x14ac:dyDescent="0.2">
      <c r="A31" s="33">
        <v>45705</v>
      </c>
      <c r="B31" s="33"/>
      <c r="C31" s="2" t="s">
        <v>11</v>
      </c>
      <c r="D31" s="2" t="s">
        <v>19</v>
      </c>
      <c r="E31" s="2" t="s">
        <v>23</v>
      </c>
      <c r="F31" s="2" t="s">
        <v>14</v>
      </c>
      <c r="G31" s="2" t="s">
        <v>41</v>
      </c>
      <c r="H31" s="2" t="s">
        <v>22</v>
      </c>
      <c r="I31" s="2">
        <v>220000</v>
      </c>
      <c r="J31" s="2">
        <v>1</v>
      </c>
      <c r="K31" s="2" t="s">
        <v>24</v>
      </c>
      <c r="L31" s="2">
        <f t="shared" si="0"/>
        <v>176000</v>
      </c>
    </row>
    <row r="32" spans="1:12" ht="14.25" customHeight="1" x14ac:dyDescent="0.2">
      <c r="A32" s="33">
        <v>45706</v>
      </c>
      <c r="B32" s="33"/>
      <c r="C32" s="2" t="s">
        <v>25</v>
      </c>
      <c r="D32" s="2" t="s">
        <v>32</v>
      </c>
      <c r="E32" s="2" t="s">
        <v>23</v>
      </c>
      <c r="F32" s="2" t="s">
        <v>14</v>
      </c>
      <c r="G32" s="2" t="s">
        <v>34</v>
      </c>
      <c r="H32" s="2" t="s">
        <v>16</v>
      </c>
      <c r="I32" s="2">
        <v>320000</v>
      </c>
      <c r="J32" s="2">
        <v>7</v>
      </c>
      <c r="K32" s="2" t="s">
        <v>39</v>
      </c>
      <c r="L32" s="2">
        <f t="shared" si="0"/>
        <v>256000</v>
      </c>
    </row>
    <row r="33" spans="1:12" ht="14.25" customHeight="1" x14ac:dyDescent="0.2">
      <c r="A33" s="33">
        <v>45707</v>
      </c>
      <c r="B33" s="33"/>
      <c r="C33" s="2" t="s">
        <v>11</v>
      </c>
      <c r="D33" s="2" t="s">
        <v>32</v>
      </c>
      <c r="E33" s="2" t="s">
        <v>13</v>
      </c>
      <c r="F33" s="2" t="s">
        <v>20</v>
      </c>
      <c r="G33" s="2" t="s">
        <v>36</v>
      </c>
      <c r="H33" s="2" t="s">
        <v>31</v>
      </c>
      <c r="I33" s="2">
        <v>150000</v>
      </c>
      <c r="J33" s="2">
        <v>1</v>
      </c>
      <c r="K33" s="2" t="s">
        <v>17</v>
      </c>
      <c r="L33" s="2">
        <f t="shared" si="0"/>
        <v>120000</v>
      </c>
    </row>
    <row r="34" spans="1:12" ht="14.25" customHeight="1" x14ac:dyDescent="0.2">
      <c r="A34" s="33">
        <v>45708</v>
      </c>
      <c r="B34" s="33"/>
      <c r="C34" s="2" t="s">
        <v>18</v>
      </c>
      <c r="D34" s="2" t="s">
        <v>26</v>
      </c>
      <c r="E34" s="2" t="s">
        <v>13</v>
      </c>
      <c r="F34" s="2" t="s">
        <v>14</v>
      </c>
      <c r="G34" s="2" t="s">
        <v>33</v>
      </c>
      <c r="H34" s="2" t="s">
        <v>22</v>
      </c>
      <c r="I34" s="2">
        <v>180000</v>
      </c>
      <c r="J34" s="2">
        <v>9</v>
      </c>
      <c r="K34" s="2" t="s">
        <v>39</v>
      </c>
      <c r="L34" s="2">
        <f t="shared" si="0"/>
        <v>144000</v>
      </c>
    </row>
    <row r="35" spans="1:12" ht="14.25" customHeight="1" x14ac:dyDescent="0.2">
      <c r="A35" s="33">
        <v>45709</v>
      </c>
      <c r="B35" s="33"/>
      <c r="C35" s="2" t="s">
        <v>25</v>
      </c>
      <c r="D35" s="2" t="s">
        <v>26</v>
      </c>
      <c r="E35" s="2" t="s">
        <v>13</v>
      </c>
      <c r="F35" s="2" t="s">
        <v>14</v>
      </c>
      <c r="G35" s="2" t="s">
        <v>34</v>
      </c>
      <c r="H35" s="2" t="s">
        <v>16</v>
      </c>
      <c r="I35" s="2">
        <v>320000</v>
      </c>
      <c r="J35" s="2">
        <v>5</v>
      </c>
      <c r="K35" s="2" t="s">
        <v>39</v>
      </c>
      <c r="L35" s="2">
        <f t="shared" si="0"/>
        <v>256000</v>
      </c>
    </row>
    <row r="36" spans="1:12" ht="14.25" customHeight="1" x14ac:dyDescent="0.2">
      <c r="A36" s="33">
        <v>45710</v>
      </c>
      <c r="B36" s="33"/>
      <c r="C36" s="2" t="s">
        <v>25</v>
      </c>
      <c r="D36" s="2" t="s">
        <v>26</v>
      </c>
      <c r="E36" s="2" t="s">
        <v>23</v>
      </c>
      <c r="F36" s="2" t="s">
        <v>20</v>
      </c>
      <c r="G36" s="2" t="s">
        <v>36</v>
      </c>
      <c r="H36" s="2" t="s">
        <v>31</v>
      </c>
      <c r="I36" s="2">
        <v>150000</v>
      </c>
      <c r="J36" s="2">
        <v>8</v>
      </c>
      <c r="K36" s="2" t="s">
        <v>37</v>
      </c>
      <c r="L36" s="2">
        <f t="shared" si="0"/>
        <v>120000</v>
      </c>
    </row>
    <row r="37" spans="1:12" ht="14.25" customHeight="1" x14ac:dyDescent="0.2">
      <c r="A37" s="33">
        <v>45711</v>
      </c>
      <c r="B37" s="33"/>
      <c r="C37" s="2" t="s">
        <v>11</v>
      </c>
      <c r="D37" s="2" t="s">
        <v>12</v>
      </c>
      <c r="E37" s="2" t="s">
        <v>23</v>
      </c>
      <c r="F37" s="2" t="s">
        <v>20</v>
      </c>
      <c r="G37" s="2" t="s">
        <v>15</v>
      </c>
      <c r="H37" s="2" t="s">
        <v>16</v>
      </c>
      <c r="I37" s="2">
        <v>85000</v>
      </c>
      <c r="J37" s="2">
        <v>7</v>
      </c>
      <c r="K37" s="2" t="s">
        <v>24</v>
      </c>
      <c r="L37" s="2">
        <f t="shared" si="0"/>
        <v>68000</v>
      </c>
    </row>
    <row r="38" spans="1:12" ht="14.25" customHeight="1" x14ac:dyDescent="0.2">
      <c r="A38" s="33">
        <v>45712</v>
      </c>
      <c r="B38" s="33"/>
      <c r="C38" s="2" t="s">
        <v>25</v>
      </c>
      <c r="D38" s="2" t="s">
        <v>32</v>
      </c>
      <c r="E38" s="2" t="s">
        <v>23</v>
      </c>
      <c r="F38" s="2" t="s">
        <v>14</v>
      </c>
      <c r="G38" s="2" t="s">
        <v>34</v>
      </c>
      <c r="H38" s="2" t="s">
        <v>16</v>
      </c>
      <c r="I38" s="2">
        <v>320000</v>
      </c>
      <c r="J38" s="2">
        <v>6</v>
      </c>
      <c r="K38" s="2" t="s">
        <v>24</v>
      </c>
      <c r="L38" s="2">
        <f t="shared" si="0"/>
        <v>256000</v>
      </c>
    </row>
    <row r="39" spans="1:12" ht="14.25" customHeight="1" x14ac:dyDescent="0.2">
      <c r="A39" s="33">
        <v>45713</v>
      </c>
      <c r="B39" s="33"/>
      <c r="C39" s="2" t="s">
        <v>11</v>
      </c>
      <c r="D39" s="2" t="s">
        <v>26</v>
      </c>
      <c r="E39" s="2" t="s">
        <v>13</v>
      </c>
      <c r="F39" s="2" t="s">
        <v>20</v>
      </c>
      <c r="G39" s="2" t="s">
        <v>38</v>
      </c>
      <c r="H39" s="2" t="s">
        <v>31</v>
      </c>
      <c r="I39" s="2">
        <v>420000</v>
      </c>
      <c r="J39" s="2">
        <v>8</v>
      </c>
      <c r="K39" s="2" t="s">
        <v>37</v>
      </c>
      <c r="L39" s="2">
        <f t="shared" si="0"/>
        <v>336000</v>
      </c>
    </row>
    <row r="40" spans="1:12" ht="14.25" customHeight="1" x14ac:dyDescent="0.2">
      <c r="A40" s="33">
        <v>45714</v>
      </c>
      <c r="B40" s="33"/>
      <c r="C40" s="2" t="s">
        <v>25</v>
      </c>
      <c r="D40" s="2" t="s">
        <v>12</v>
      </c>
      <c r="E40" s="2" t="s">
        <v>23</v>
      </c>
      <c r="F40" s="2" t="s">
        <v>14</v>
      </c>
      <c r="G40" s="2" t="s">
        <v>30</v>
      </c>
      <c r="H40" s="2" t="s">
        <v>31</v>
      </c>
      <c r="I40" s="2">
        <v>300000</v>
      </c>
      <c r="J40" s="2">
        <v>7</v>
      </c>
      <c r="K40" s="2" t="s">
        <v>35</v>
      </c>
      <c r="L40" s="2">
        <f t="shared" si="0"/>
        <v>240000</v>
      </c>
    </row>
    <row r="41" spans="1:12" ht="14.25" customHeight="1" x14ac:dyDescent="0.2">
      <c r="A41" s="33">
        <v>45715</v>
      </c>
      <c r="B41" s="33"/>
      <c r="C41" s="2" t="s">
        <v>11</v>
      </c>
      <c r="D41" s="2" t="s">
        <v>12</v>
      </c>
      <c r="E41" s="2" t="s">
        <v>13</v>
      </c>
      <c r="F41" s="2" t="s">
        <v>14</v>
      </c>
      <c r="G41" s="2" t="s">
        <v>21</v>
      </c>
      <c r="H41" s="2" t="s">
        <v>22</v>
      </c>
      <c r="I41" s="2">
        <v>30000</v>
      </c>
      <c r="J41" s="2">
        <v>6</v>
      </c>
      <c r="K41" s="2" t="s">
        <v>24</v>
      </c>
      <c r="L41" s="2">
        <f t="shared" si="0"/>
        <v>24000</v>
      </c>
    </row>
    <row r="42" spans="1:12" ht="14.25" customHeight="1" x14ac:dyDescent="0.2">
      <c r="A42" s="33">
        <v>45716</v>
      </c>
      <c r="B42" s="33"/>
      <c r="C42" s="2" t="s">
        <v>11</v>
      </c>
      <c r="D42" s="2" t="s">
        <v>12</v>
      </c>
      <c r="E42" s="2" t="s">
        <v>23</v>
      </c>
      <c r="F42" s="2" t="s">
        <v>20</v>
      </c>
      <c r="G42" s="2" t="s">
        <v>41</v>
      </c>
      <c r="H42" s="2" t="s">
        <v>22</v>
      </c>
      <c r="I42" s="2">
        <v>220000</v>
      </c>
      <c r="J42" s="2">
        <v>2</v>
      </c>
      <c r="K42" s="2" t="s">
        <v>35</v>
      </c>
      <c r="L42" s="2">
        <f t="shared" si="0"/>
        <v>176000</v>
      </c>
    </row>
    <row r="43" spans="1:12" ht="14.25" customHeight="1" x14ac:dyDescent="0.2">
      <c r="A43" s="33">
        <v>45717</v>
      </c>
      <c r="B43" s="33"/>
      <c r="C43" s="2" t="s">
        <v>11</v>
      </c>
      <c r="D43" s="2" t="s">
        <v>32</v>
      </c>
      <c r="E43" s="2" t="s">
        <v>13</v>
      </c>
      <c r="F43" s="2" t="s">
        <v>14</v>
      </c>
      <c r="G43" s="2" t="s">
        <v>36</v>
      </c>
      <c r="H43" s="2" t="s">
        <v>31</v>
      </c>
      <c r="I43" s="2">
        <v>150000</v>
      </c>
      <c r="J43" s="2">
        <v>1</v>
      </c>
      <c r="K43" s="2" t="s">
        <v>24</v>
      </c>
      <c r="L43" s="2">
        <f t="shared" si="0"/>
        <v>120000</v>
      </c>
    </row>
    <row r="44" spans="1:12" ht="14.25" customHeight="1" x14ac:dyDescent="0.2">
      <c r="A44" s="33">
        <v>45718</v>
      </c>
      <c r="B44" s="33"/>
      <c r="C44" s="2" t="s">
        <v>29</v>
      </c>
      <c r="D44" s="2" t="s">
        <v>19</v>
      </c>
      <c r="E44" s="2" t="s">
        <v>13</v>
      </c>
      <c r="F44" s="2" t="s">
        <v>20</v>
      </c>
      <c r="G44" s="2" t="s">
        <v>34</v>
      </c>
      <c r="H44" s="2" t="s">
        <v>16</v>
      </c>
      <c r="I44" s="2">
        <v>320000</v>
      </c>
      <c r="J44" s="2">
        <v>1</v>
      </c>
      <c r="K44" s="2" t="s">
        <v>39</v>
      </c>
      <c r="L44" s="2">
        <f t="shared" si="0"/>
        <v>256000</v>
      </c>
    </row>
    <row r="45" spans="1:12" ht="14.25" customHeight="1" x14ac:dyDescent="0.2">
      <c r="A45" s="33">
        <v>45719</v>
      </c>
      <c r="B45" s="33"/>
      <c r="C45" s="2" t="s">
        <v>29</v>
      </c>
      <c r="D45" s="2" t="s">
        <v>32</v>
      </c>
      <c r="E45" s="2" t="s">
        <v>23</v>
      </c>
      <c r="F45" s="2" t="s">
        <v>20</v>
      </c>
      <c r="G45" s="2" t="s">
        <v>21</v>
      </c>
      <c r="H45" s="2" t="s">
        <v>22</v>
      </c>
      <c r="I45" s="2">
        <v>30000</v>
      </c>
      <c r="J45" s="2">
        <v>3</v>
      </c>
      <c r="K45" s="2" t="s">
        <v>24</v>
      </c>
      <c r="L45" s="2">
        <f t="shared" si="0"/>
        <v>24000</v>
      </c>
    </row>
    <row r="46" spans="1:12" ht="14.25" customHeight="1" x14ac:dyDescent="0.2">
      <c r="A46" s="33">
        <v>45720</v>
      </c>
      <c r="B46" s="33"/>
      <c r="C46" s="2" t="s">
        <v>11</v>
      </c>
      <c r="D46" s="2" t="s">
        <v>12</v>
      </c>
      <c r="E46" s="2" t="s">
        <v>23</v>
      </c>
      <c r="F46" s="2" t="s">
        <v>14</v>
      </c>
      <c r="G46" s="2" t="s">
        <v>27</v>
      </c>
      <c r="H46" s="2" t="s">
        <v>22</v>
      </c>
      <c r="I46" s="2">
        <v>60000</v>
      </c>
      <c r="J46" s="2">
        <v>5</v>
      </c>
      <c r="K46" s="2" t="s">
        <v>28</v>
      </c>
      <c r="L46" s="2">
        <f t="shared" si="0"/>
        <v>48000</v>
      </c>
    </row>
    <row r="47" spans="1:12" ht="14.25" customHeight="1" x14ac:dyDescent="0.2">
      <c r="A47" s="33">
        <v>45721</v>
      </c>
      <c r="B47" s="33"/>
      <c r="C47" s="2" t="s">
        <v>18</v>
      </c>
      <c r="D47" s="2" t="s">
        <v>26</v>
      </c>
      <c r="E47" s="2" t="s">
        <v>23</v>
      </c>
      <c r="F47" s="2" t="s">
        <v>14</v>
      </c>
      <c r="G47" s="2" t="s">
        <v>36</v>
      </c>
      <c r="H47" s="2" t="s">
        <v>31</v>
      </c>
      <c r="I47" s="2">
        <v>150000</v>
      </c>
      <c r="J47" s="2">
        <v>3</v>
      </c>
      <c r="K47" s="2" t="s">
        <v>28</v>
      </c>
      <c r="L47" s="2">
        <f t="shared" si="0"/>
        <v>120000</v>
      </c>
    </row>
    <row r="48" spans="1:12" ht="14.25" customHeight="1" x14ac:dyDescent="0.2">
      <c r="A48" s="33">
        <v>45722</v>
      </c>
      <c r="B48" s="33"/>
      <c r="C48" s="2" t="s">
        <v>18</v>
      </c>
      <c r="D48" s="2" t="s">
        <v>19</v>
      </c>
      <c r="E48" s="2" t="s">
        <v>13</v>
      </c>
      <c r="F48" s="2" t="s">
        <v>14</v>
      </c>
      <c r="G48" s="2" t="s">
        <v>34</v>
      </c>
      <c r="H48" s="2" t="s">
        <v>16</v>
      </c>
      <c r="I48" s="2">
        <v>320000</v>
      </c>
      <c r="J48" s="2">
        <v>10</v>
      </c>
      <c r="K48" s="2" t="s">
        <v>28</v>
      </c>
      <c r="L48" s="2">
        <f t="shared" si="0"/>
        <v>256000</v>
      </c>
    </row>
    <row r="49" spans="1:12" ht="14.25" customHeight="1" x14ac:dyDescent="0.2">
      <c r="A49" s="33">
        <v>45723</v>
      </c>
      <c r="B49" s="33"/>
      <c r="C49" s="2" t="s">
        <v>18</v>
      </c>
      <c r="D49" s="2" t="s">
        <v>12</v>
      </c>
      <c r="E49" s="2" t="s">
        <v>23</v>
      </c>
      <c r="F49" s="2" t="s">
        <v>14</v>
      </c>
      <c r="G49" s="2" t="s">
        <v>41</v>
      </c>
      <c r="H49" s="2" t="s">
        <v>22</v>
      </c>
      <c r="I49" s="2">
        <v>220000</v>
      </c>
      <c r="J49" s="2">
        <v>6</v>
      </c>
      <c r="K49" s="2" t="s">
        <v>17</v>
      </c>
      <c r="L49" s="2">
        <f t="shared" si="0"/>
        <v>176000</v>
      </c>
    </row>
    <row r="50" spans="1:12" ht="14.25" customHeight="1" x14ac:dyDescent="0.2">
      <c r="A50" s="33">
        <v>45724</v>
      </c>
      <c r="B50" s="33"/>
      <c r="C50" s="2" t="s">
        <v>11</v>
      </c>
      <c r="D50" s="2" t="s">
        <v>32</v>
      </c>
      <c r="E50" s="2" t="s">
        <v>23</v>
      </c>
      <c r="F50" s="2" t="s">
        <v>14</v>
      </c>
      <c r="G50" s="2" t="s">
        <v>33</v>
      </c>
      <c r="H50" s="2" t="s">
        <v>22</v>
      </c>
      <c r="I50" s="2">
        <v>180000</v>
      </c>
      <c r="J50" s="2">
        <v>8</v>
      </c>
      <c r="K50" s="2" t="s">
        <v>28</v>
      </c>
      <c r="L50" s="2">
        <f t="shared" si="0"/>
        <v>144000</v>
      </c>
    </row>
    <row r="51" spans="1:12" ht="14.25" customHeight="1" x14ac:dyDescent="0.2">
      <c r="A51" s="33">
        <v>45725</v>
      </c>
      <c r="B51" s="33"/>
      <c r="C51" s="2" t="s">
        <v>11</v>
      </c>
      <c r="D51" s="2" t="s">
        <v>26</v>
      </c>
      <c r="E51" s="2" t="s">
        <v>13</v>
      </c>
      <c r="F51" s="2" t="s">
        <v>20</v>
      </c>
      <c r="G51" s="2" t="s">
        <v>34</v>
      </c>
      <c r="H51" s="2" t="s">
        <v>16</v>
      </c>
      <c r="I51" s="2">
        <v>320000</v>
      </c>
      <c r="J51" s="2">
        <v>2</v>
      </c>
      <c r="K51" s="2" t="s">
        <v>24</v>
      </c>
      <c r="L51" s="2">
        <f t="shared" si="0"/>
        <v>256000</v>
      </c>
    </row>
    <row r="52" spans="1:12" ht="14.25" customHeight="1" x14ac:dyDescent="0.2">
      <c r="A52" s="33">
        <v>45726</v>
      </c>
      <c r="B52" s="33"/>
      <c r="C52" s="2" t="s">
        <v>11</v>
      </c>
      <c r="D52" s="2" t="s">
        <v>19</v>
      </c>
      <c r="E52" s="2" t="s">
        <v>13</v>
      </c>
      <c r="F52" s="2" t="s">
        <v>20</v>
      </c>
      <c r="G52" s="2" t="s">
        <v>30</v>
      </c>
      <c r="H52" s="2" t="s">
        <v>31</v>
      </c>
      <c r="I52" s="2">
        <v>300000</v>
      </c>
      <c r="J52" s="2">
        <v>9</v>
      </c>
      <c r="K52" s="2" t="s">
        <v>35</v>
      </c>
      <c r="L52" s="2">
        <f t="shared" si="0"/>
        <v>240000</v>
      </c>
    </row>
    <row r="53" spans="1:12" ht="14.25" customHeight="1" x14ac:dyDescent="0.2">
      <c r="A53" s="33">
        <v>45727</v>
      </c>
      <c r="B53" s="33"/>
      <c r="C53" s="2" t="s">
        <v>29</v>
      </c>
      <c r="D53" s="2" t="s">
        <v>26</v>
      </c>
      <c r="E53" s="2" t="s">
        <v>13</v>
      </c>
      <c r="F53" s="2" t="s">
        <v>20</v>
      </c>
      <c r="G53" s="2" t="s">
        <v>38</v>
      </c>
      <c r="H53" s="2" t="s">
        <v>31</v>
      </c>
      <c r="I53" s="2">
        <v>420000</v>
      </c>
      <c r="J53" s="2">
        <v>1</v>
      </c>
      <c r="K53" s="2" t="s">
        <v>35</v>
      </c>
      <c r="L53" s="2">
        <f t="shared" si="0"/>
        <v>336000</v>
      </c>
    </row>
    <row r="54" spans="1:12" ht="14.25" customHeight="1" x14ac:dyDescent="0.2">
      <c r="A54" s="33">
        <v>45728</v>
      </c>
      <c r="B54" s="33"/>
      <c r="C54" s="2" t="s">
        <v>18</v>
      </c>
      <c r="D54" s="2" t="s">
        <v>26</v>
      </c>
      <c r="E54" s="2" t="s">
        <v>13</v>
      </c>
      <c r="F54" s="2" t="s">
        <v>14</v>
      </c>
      <c r="G54" s="2" t="s">
        <v>27</v>
      </c>
      <c r="H54" s="2" t="s">
        <v>22</v>
      </c>
      <c r="I54" s="2">
        <v>60000</v>
      </c>
      <c r="J54" s="2">
        <v>1</v>
      </c>
      <c r="K54" s="2" t="s">
        <v>28</v>
      </c>
      <c r="L54" s="2">
        <f t="shared" si="0"/>
        <v>48000</v>
      </c>
    </row>
    <row r="55" spans="1:12" ht="14.25" customHeight="1" x14ac:dyDescent="0.2">
      <c r="A55" s="33">
        <v>45729</v>
      </c>
      <c r="B55" s="33"/>
      <c r="C55" s="2" t="s">
        <v>18</v>
      </c>
      <c r="D55" s="2" t="s">
        <v>19</v>
      </c>
      <c r="E55" s="2" t="s">
        <v>23</v>
      </c>
      <c r="F55" s="2" t="s">
        <v>20</v>
      </c>
      <c r="G55" s="2" t="s">
        <v>30</v>
      </c>
      <c r="H55" s="2" t="s">
        <v>31</v>
      </c>
      <c r="I55" s="2">
        <v>300000</v>
      </c>
      <c r="J55" s="2">
        <v>9</v>
      </c>
      <c r="K55" s="2" t="s">
        <v>35</v>
      </c>
      <c r="L55" s="2">
        <f t="shared" si="0"/>
        <v>240000</v>
      </c>
    </row>
    <row r="56" spans="1:12" ht="14.25" customHeight="1" x14ac:dyDescent="0.2">
      <c r="A56" s="33">
        <v>45730</v>
      </c>
      <c r="B56" s="33"/>
      <c r="C56" s="2" t="s">
        <v>11</v>
      </c>
      <c r="D56" s="2" t="s">
        <v>26</v>
      </c>
      <c r="E56" s="2" t="s">
        <v>23</v>
      </c>
      <c r="F56" s="2" t="s">
        <v>14</v>
      </c>
      <c r="G56" s="2" t="s">
        <v>38</v>
      </c>
      <c r="H56" s="2" t="s">
        <v>31</v>
      </c>
      <c r="I56" s="2">
        <v>420000</v>
      </c>
      <c r="J56" s="2">
        <v>9</v>
      </c>
      <c r="K56" s="2" t="s">
        <v>24</v>
      </c>
      <c r="L56" s="2">
        <f t="shared" si="0"/>
        <v>336000</v>
      </c>
    </row>
    <row r="57" spans="1:12" ht="14.25" customHeight="1" x14ac:dyDescent="0.2">
      <c r="A57" s="33">
        <v>45731</v>
      </c>
      <c r="B57" s="33"/>
      <c r="C57" s="2" t="s">
        <v>18</v>
      </c>
      <c r="D57" s="2" t="s">
        <v>19</v>
      </c>
      <c r="E57" s="2" t="s">
        <v>13</v>
      </c>
      <c r="F57" s="2" t="s">
        <v>14</v>
      </c>
      <c r="G57" s="2" t="s">
        <v>41</v>
      </c>
      <c r="H57" s="2" t="s">
        <v>22</v>
      </c>
      <c r="I57" s="2">
        <v>220000</v>
      </c>
      <c r="J57" s="2">
        <v>8</v>
      </c>
      <c r="K57" s="2" t="s">
        <v>37</v>
      </c>
      <c r="L57" s="2">
        <f t="shared" si="0"/>
        <v>176000</v>
      </c>
    </row>
    <row r="58" spans="1:12" ht="14.25" customHeight="1" x14ac:dyDescent="0.2">
      <c r="A58" s="33">
        <v>45732</v>
      </c>
      <c r="B58" s="33"/>
      <c r="C58" s="2" t="s">
        <v>25</v>
      </c>
      <c r="D58" s="2" t="s">
        <v>12</v>
      </c>
      <c r="E58" s="2" t="s">
        <v>13</v>
      </c>
      <c r="F58" s="2" t="s">
        <v>14</v>
      </c>
      <c r="G58" s="2" t="s">
        <v>15</v>
      </c>
      <c r="H58" s="2" t="s">
        <v>16</v>
      </c>
      <c r="I58" s="2">
        <v>85000</v>
      </c>
      <c r="J58" s="2">
        <v>10</v>
      </c>
      <c r="K58" s="2" t="s">
        <v>35</v>
      </c>
      <c r="L58" s="2">
        <f t="shared" si="0"/>
        <v>68000</v>
      </c>
    </row>
    <row r="59" spans="1:12" ht="14.25" customHeight="1" x14ac:dyDescent="0.2">
      <c r="A59" s="33">
        <v>45733</v>
      </c>
      <c r="B59" s="33"/>
      <c r="C59" s="2" t="s">
        <v>11</v>
      </c>
      <c r="D59" s="2" t="s">
        <v>26</v>
      </c>
      <c r="E59" s="2" t="s">
        <v>23</v>
      </c>
      <c r="F59" s="2" t="s">
        <v>14</v>
      </c>
      <c r="G59" s="2" t="s">
        <v>36</v>
      </c>
      <c r="H59" s="2" t="s">
        <v>31</v>
      </c>
      <c r="I59" s="2">
        <v>150000</v>
      </c>
      <c r="J59" s="2">
        <v>4</v>
      </c>
      <c r="K59" s="2" t="s">
        <v>17</v>
      </c>
      <c r="L59" s="2">
        <f t="shared" si="0"/>
        <v>120000</v>
      </c>
    </row>
    <row r="60" spans="1:12" ht="14.25" customHeight="1" x14ac:dyDescent="0.2">
      <c r="A60" s="33">
        <v>45734</v>
      </c>
      <c r="B60" s="33"/>
      <c r="C60" s="2" t="s">
        <v>18</v>
      </c>
      <c r="D60" s="2" t="s">
        <v>19</v>
      </c>
      <c r="E60" s="2" t="s">
        <v>23</v>
      </c>
      <c r="F60" s="2" t="s">
        <v>20</v>
      </c>
      <c r="G60" s="2" t="s">
        <v>40</v>
      </c>
      <c r="H60" s="2" t="s">
        <v>31</v>
      </c>
      <c r="I60" s="2">
        <v>250000</v>
      </c>
      <c r="J60" s="2">
        <v>1</v>
      </c>
      <c r="K60" s="2" t="s">
        <v>28</v>
      </c>
      <c r="L60" s="2">
        <f t="shared" si="0"/>
        <v>200000</v>
      </c>
    </row>
    <row r="61" spans="1:12" ht="14.25" customHeight="1" x14ac:dyDescent="0.2">
      <c r="A61" s="33">
        <v>45735</v>
      </c>
      <c r="B61" s="33"/>
      <c r="C61" s="2" t="s">
        <v>25</v>
      </c>
      <c r="D61" s="2" t="s">
        <v>19</v>
      </c>
      <c r="E61" s="2" t="s">
        <v>13</v>
      </c>
      <c r="F61" s="2" t="s">
        <v>14</v>
      </c>
      <c r="G61" s="2" t="s">
        <v>21</v>
      </c>
      <c r="H61" s="2" t="s">
        <v>22</v>
      </c>
      <c r="I61" s="2">
        <v>30000</v>
      </c>
      <c r="J61" s="2">
        <v>10</v>
      </c>
      <c r="K61" s="2" t="s">
        <v>28</v>
      </c>
      <c r="L61" s="2">
        <f t="shared" si="0"/>
        <v>24000</v>
      </c>
    </row>
    <row r="62" spans="1:12" ht="14.25" customHeight="1" x14ac:dyDescent="0.2">
      <c r="A62" s="33">
        <v>45736</v>
      </c>
      <c r="B62" s="33"/>
      <c r="C62" s="2" t="s">
        <v>25</v>
      </c>
      <c r="D62" s="2" t="s">
        <v>19</v>
      </c>
      <c r="E62" s="2" t="s">
        <v>23</v>
      </c>
      <c r="F62" s="2" t="s">
        <v>14</v>
      </c>
      <c r="G62" s="2" t="s">
        <v>38</v>
      </c>
      <c r="H62" s="2" t="s">
        <v>31</v>
      </c>
      <c r="I62" s="2">
        <v>420000</v>
      </c>
      <c r="J62" s="2">
        <v>4</v>
      </c>
      <c r="K62" s="2" t="s">
        <v>24</v>
      </c>
      <c r="L62" s="2">
        <f t="shared" si="0"/>
        <v>336000</v>
      </c>
    </row>
    <row r="63" spans="1:12" ht="14.25" customHeight="1" x14ac:dyDescent="0.2">
      <c r="A63" s="33">
        <v>45737</v>
      </c>
      <c r="B63" s="33"/>
      <c r="C63" s="2" t="s">
        <v>18</v>
      </c>
      <c r="D63" s="2" t="s">
        <v>19</v>
      </c>
      <c r="E63" s="2" t="s">
        <v>13</v>
      </c>
      <c r="F63" s="2" t="s">
        <v>20</v>
      </c>
      <c r="G63" s="2" t="s">
        <v>15</v>
      </c>
      <c r="H63" s="2" t="s">
        <v>16</v>
      </c>
      <c r="I63" s="2">
        <v>85000</v>
      </c>
      <c r="J63" s="2">
        <v>2</v>
      </c>
      <c r="K63" s="2" t="s">
        <v>35</v>
      </c>
      <c r="L63" s="2">
        <f t="shared" si="0"/>
        <v>68000</v>
      </c>
    </row>
    <row r="64" spans="1:12" ht="14.25" customHeight="1" x14ac:dyDescent="0.2">
      <c r="A64" s="33">
        <v>45738</v>
      </c>
      <c r="B64" s="33"/>
      <c r="C64" s="2" t="s">
        <v>18</v>
      </c>
      <c r="D64" s="2" t="s">
        <v>19</v>
      </c>
      <c r="E64" s="2" t="s">
        <v>13</v>
      </c>
      <c r="F64" s="2" t="s">
        <v>14</v>
      </c>
      <c r="G64" s="2" t="s">
        <v>41</v>
      </c>
      <c r="H64" s="2" t="s">
        <v>22</v>
      </c>
      <c r="I64" s="2">
        <v>220000</v>
      </c>
      <c r="J64" s="2">
        <v>1</v>
      </c>
      <c r="K64" s="2" t="s">
        <v>28</v>
      </c>
      <c r="L64" s="2">
        <f t="shared" si="0"/>
        <v>176000</v>
      </c>
    </row>
    <row r="65" spans="1:12" ht="14.25" customHeight="1" x14ac:dyDescent="0.2">
      <c r="A65" s="33">
        <v>45739</v>
      </c>
      <c r="B65" s="33"/>
      <c r="C65" s="2" t="s">
        <v>11</v>
      </c>
      <c r="D65" s="2" t="s">
        <v>12</v>
      </c>
      <c r="E65" s="2" t="s">
        <v>13</v>
      </c>
      <c r="F65" s="2" t="s">
        <v>20</v>
      </c>
      <c r="G65" s="2" t="s">
        <v>33</v>
      </c>
      <c r="H65" s="2" t="s">
        <v>22</v>
      </c>
      <c r="I65" s="2">
        <v>180000</v>
      </c>
      <c r="J65" s="2">
        <v>9</v>
      </c>
      <c r="K65" s="2" t="s">
        <v>39</v>
      </c>
      <c r="L65" s="2">
        <f t="shared" si="0"/>
        <v>144000</v>
      </c>
    </row>
    <row r="66" spans="1:12" ht="14.25" customHeight="1" x14ac:dyDescent="0.2">
      <c r="A66" s="33">
        <v>45740</v>
      </c>
      <c r="B66" s="33"/>
      <c r="C66" s="2" t="s">
        <v>11</v>
      </c>
      <c r="D66" s="2" t="s">
        <v>26</v>
      </c>
      <c r="E66" s="2" t="s">
        <v>13</v>
      </c>
      <c r="F66" s="2" t="s">
        <v>20</v>
      </c>
      <c r="G66" s="2" t="s">
        <v>40</v>
      </c>
      <c r="H66" s="2" t="s">
        <v>31</v>
      </c>
      <c r="I66" s="2">
        <v>250000</v>
      </c>
      <c r="J66" s="2">
        <v>6</v>
      </c>
      <c r="K66" s="2" t="s">
        <v>17</v>
      </c>
      <c r="L66" s="2">
        <f t="shared" si="0"/>
        <v>200000</v>
      </c>
    </row>
    <row r="67" spans="1:12" ht="14.25" customHeight="1" x14ac:dyDescent="0.2">
      <c r="A67" s="33">
        <v>45741</v>
      </c>
      <c r="B67" s="33"/>
      <c r="C67" s="2" t="s">
        <v>11</v>
      </c>
      <c r="D67" s="2" t="s">
        <v>12</v>
      </c>
      <c r="E67" s="2" t="s">
        <v>13</v>
      </c>
      <c r="F67" s="2" t="s">
        <v>20</v>
      </c>
      <c r="G67" s="2" t="s">
        <v>33</v>
      </c>
      <c r="H67" s="2" t="s">
        <v>22</v>
      </c>
      <c r="I67" s="2">
        <v>180000</v>
      </c>
      <c r="J67" s="2">
        <v>3</v>
      </c>
      <c r="K67" s="2" t="s">
        <v>39</v>
      </c>
      <c r="L67" s="2">
        <f t="shared" si="0"/>
        <v>144000</v>
      </c>
    </row>
    <row r="68" spans="1:12" ht="14.25" customHeight="1" x14ac:dyDescent="0.2">
      <c r="A68" s="33">
        <v>45742</v>
      </c>
      <c r="B68" s="33"/>
      <c r="C68" s="2" t="s">
        <v>25</v>
      </c>
      <c r="D68" s="2" t="s">
        <v>12</v>
      </c>
      <c r="E68" s="2" t="s">
        <v>23</v>
      </c>
      <c r="F68" s="2" t="s">
        <v>14</v>
      </c>
      <c r="G68" s="2" t="s">
        <v>27</v>
      </c>
      <c r="H68" s="2" t="s">
        <v>22</v>
      </c>
      <c r="I68" s="2">
        <v>60000</v>
      </c>
      <c r="J68" s="2">
        <v>8</v>
      </c>
      <c r="K68" s="2" t="s">
        <v>35</v>
      </c>
      <c r="L68" s="2">
        <f t="shared" si="0"/>
        <v>48000</v>
      </c>
    </row>
    <row r="69" spans="1:12" ht="14.25" customHeight="1" x14ac:dyDescent="0.2">
      <c r="A69" s="33">
        <v>45743</v>
      </c>
      <c r="B69" s="33"/>
      <c r="C69" s="2" t="s">
        <v>29</v>
      </c>
      <c r="D69" s="2" t="s">
        <v>12</v>
      </c>
      <c r="E69" s="2" t="s">
        <v>13</v>
      </c>
      <c r="F69" s="2" t="s">
        <v>14</v>
      </c>
      <c r="G69" s="2" t="s">
        <v>27</v>
      </c>
      <c r="H69" s="2" t="s">
        <v>22</v>
      </c>
      <c r="I69" s="2">
        <v>60000</v>
      </c>
      <c r="J69" s="2">
        <v>3</v>
      </c>
      <c r="K69" s="2" t="s">
        <v>17</v>
      </c>
      <c r="L69" s="2">
        <f t="shared" si="0"/>
        <v>48000</v>
      </c>
    </row>
    <row r="70" spans="1:12" ht="14.25" customHeight="1" x14ac:dyDescent="0.2">
      <c r="A70" s="33">
        <v>45744</v>
      </c>
      <c r="B70" s="33"/>
      <c r="C70" s="2" t="s">
        <v>11</v>
      </c>
      <c r="D70" s="2" t="s">
        <v>26</v>
      </c>
      <c r="E70" s="2" t="s">
        <v>23</v>
      </c>
      <c r="F70" s="2" t="s">
        <v>14</v>
      </c>
      <c r="G70" s="2" t="s">
        <v>21</v>
      </c>
      <c r="H70" s="2" t="s">
        <v>22</v>
      </c>
      <c r="I70" s="2">
        <v>30000</v>
      </c>
      <c r="J70" s="2">
        <v>8</v>
      </c>
      <c r="K70" s="2" t="s">
        <v>28</v>
      </c>
      <c r="L70" s="2">
        <f t="shared" si="0"/>
        <v>24000</v>
      </c>
    </row>
    <row r="71" spans="1:12" ht="14.25" customHeight="1" x14ac:dyDescent="0.2">
      <c r="A71" s="33">
        <v>45745</v>
      </c>
      <c r="B71" s="33"/>
      <c r="C71" s="2" t="s">
        <v>25</v>
      </c>
      <c r="D71" s="2" t="s">
        <v>19</v>
      </c>
      <c r="E71" s="2" t="s">
        <v>13</v>
      </c>
      <c r="F71" s="2" t="s">
        <v>20</v>
      </c>
      <c r="G71" s="2" t="s">
        <v>27</v>
      </c>
      <c r="H71" s="2" t="s">
        <v>22</v>
      </c>
      <c r="I71" s="2">
        <v>60000</v>
      </c>
      <c r="J71" s="2">
        <v>4</v>
      </c>
      <c r="K71" s="2" t="s">
        <v>39</v>
      </c>
      <c r="L71" s="2">
        <f t="shared" si="0"/>
        <v>48000</v>
      </c>
    </row>
    <row r="72" spans="1:12" ht="14.25" customHeight="1" x14ac:dyDescent="0.2">
      <c r="A72" s="33">
        <v>45746</v>
      </c>
      <c r="B72" s="33"/>
      <c r="C72" s="2" t="s">
        <v>25</v>
      </c>
      <c r="D72" s="2" t="s">
        <v>12</v>
      </c>
      <c r="E72" s="2" t="s">
        <v>23</v>
      </c>
      <c r="F72" s="2" t="s">
        <v>20</v>
      </c>
      <c r="G72" s="2" t="s">
        <v>21</v>
      </c>
      <c r="H72" s="2" t="s">
        <v>22</v>
      </c>
      <c r="I72" s="2">
        <v>30000</v>
      </c>
      <c r="J72" s="2">
        <v>3</v>
      </c>
      <c r="K72" s="2" t="s">
        <v>24</v>
      </c>
      <c r="L72" s="2">
        <f t="shared" si="0"/>
        <v>24000</v>
      </c>
    </row>
    <row r="73" spans="1:12" ht="14.25" customHeight="1" x14ac:dyDescent="0.2">
      <c r="A73" s="33">
        <v>45747</v>
      </c>
      <c r="B73" s="33"/>
      <c r="C73" s="2" t="s">
        <v>18</v>
      </c>
      <c r="D73" s="2" t="s">
        <v>26</v>
      </c>
      <c r="E73" s="2" t="s">
        <v>13</v>
      </c>
      <c r="F73" s="2" t="s">
        <v>14</v>
      </c>
      <c r="G73" s="2" t="s">
        <v>33</v>
      </c>
      <c r="H73" s="2" t="s">
        <v>22</v>
      </c>
      <c r="I73" s="2">
        <v>180000</v>
      </c>
      <c r="J73" s="2">
        <v>5</v>
      </c>
      <c r="K73" s="2" t="s">
        <v>28</v>
      </c>
      <c r="L73" s="2">
        <f t="shared" si="0"/>
        <v>144000</v>
      </c>
    </row>
    <row r="74" spans="1:12" ht="14.25" customHeight="1" x14ac:dyDescent="0.2">
      <c r="A74" s="33">
        <v>45748</v>
      </c>
      <c r="B74" s="33"/>
      <c r="C74" s="2" t="s">
        <v>29</v>
      </c>
      <c r="D74" s="2" t="s">
        <v>12</v>
      </c>
      <c r="E74" s="2" t="s">
        <v>13</v>
      </c>
      <c r="F74" s="2" t="s">
        <v>20</v>
      </c>
      <c r="G74" s="2" t="s">
        <v>41</v>
      </c>
      <c r="H74" s="2" t="s">
        <v>22</v>
      </c>
      <c r="I74" s="2">
        <v>220000</v>
      </c>
      <c r="J74" s="2">
        <v>3</v>
      </c>
      <c r="K74" s="2" t="s">
        <v>39</v>
      </c>
      <c r="L74" s="2">
        <f t="shared" si="0"/>
        <v>176000</v>
      </c>
    </row>
    <row r="75" spans="1:12" ht="14.25" customHeight="1" x14ac:dyDescent="0.2">
      <c r="A75" s="33">
        <v>45749</v>
      </c>
      <c r="B75" s="33"/>
      <c r="C75" s="2" t="s">
        <v>11</v>
      </c>
      <c r="D75" s="2" t="s">
        <v>19</v>
      </c>
      <c r="E75" s="2" t="s">
        <v>13</v>
      </c>
      <c r="F75" s="2" t="s">
        <v>14</v>
      </c>
      <c r="G75" s="2" t="s">
        <v>27</v>
      </c>
      <c r="H75" s="2" t="s">
        <v>22</v>
      </c>
      <c r="I75" s="2">
        <v>60000</v>
      </c>
      <c r="J75" s="2">
        <v>4</v>
      </c>
      <c r="K75" s="2" t="s">
        <v>37</v>
      </c>
      <c r="L75" s="2">
        <f t="shared" si="0"/>
        <v>48000</v>
      </c>
    </row>
    <row r="76" spans="1:12" ht="14.25" customHeight="1" x14ac:dyDescent="0.2">
      <c r="A76" s="33">
        <v>45750</v>
      </c>
      <c r="B76" s="33"/>
      <c r="C76" s="2" t="s">
        <v>29</v>
      </c>
      <c r="D76" s="2" t="s">
        <v>12</v>
      </c>
      <c r="E76" s="2" t="s">
        <v>23</v>
      </c>
      <c r="F76" s="2" t="s">
        <v>14</v>
      </c>
      <c r="G76" s="2" t="s">
        <v>15</v>
      </c>
      <c r="H76" s="2" t="s">
        <v>16</v>
      </c>
      <c r="I76" s="2">
        <v>85000</v>
      </c>
      <c r="J76" s="2">
        <v>1</v>
      </c>
      <c r="K76" s="2" t="s">
        <v>37</v>
      </c>
      <c r="L76" s="2">
        <f t="shared" si="0"/>
        <v>68000</v>
      </c>
    </row>
    <row r="77" spans="1:12" ht="14.25" customHeight="1" x14ac:dyDescent="0.2">
      <c r="A77" s="33">
        <v>45751</v>
      </c>
      <c r="B77" s="33"/>
      <c r="C77" s="2" t="s">
        <v>18</v>
      </c>
      <c r="D77" s="2" t="s">
        <v>12</v>
      </c>
      <c r="E77" s="2" t="s">
        <v>13</v>
      </c>
      <c r="F77" s="2" t="s">
        <v>14</v>
      </c>
      <c r="G77" s="2" t="s">
        <v>21</v>
      </c>
      <c r="H77" s="2" t="s">
        <v>22</v>
      </c>
      <c r="I77" s="2">
        <v>30000</v>
      </c>
      <c r="J77" s="2">
        <v>5</v>
      </c>
      <c r="K77" s="2" t="s">
        <v>24</v>
      </c>
      <c r="L77" s="2">
        <f t="shared" si="0"/>
        <v>24000</v>
      </c>
    </row>
    <row r="78" spans="1:12" ht="14.25" customHeight="1" x14ac:dyDescent="0.2">
      <c r="A78" s="33">
        <v>45752</v>
      </c>
      <c r="B78" s="33"/>
      <c r="C78" s="2" t="s">
        <v>18</v>
      </c>
      <c r="D78" s="2" t="s">
        <v>32</v>
      </c>
      <c r="E78" s="2" t="s">
        <v>13</v>
      </c>
      <c r="F78" s="2" t="s">
        <v>20</v>
      </c>
      <c r="G78" s="2" t="s">
        <v>27</v>
      </c>
      <c r="H78" s="2" t="s">
        <v>22</v>
      </c>
      <c r="I78" s="2">
        <v>60000</v>
      </c>
      <c r="J78" s="2">
        <v>3</v>
      </c>
      <c r="K78" s="2" t="s">
        <v>37</v>
      </c>
      <c r="L78" s="2">
        <f t="shared" si="0"/>
        <v>48000</v>
      </c>
    </row>
    <row r="79" spans="1:12" ht="14.25" customHeight="1" x14ac:dyDescent="0.2">
      <c r="A79" s="33">
        <v>45753</v>
      </c>
      <c r="B79" s="33"/>
      <c r="C79" s="2" t="s">
        <v>11</v>
      </c>
      <c r="D79" s="2" t="s">
        <v>32</v>
      </c>
      <c r="E79" s="2" t="s">
        <v>13</v>
      </c>
      <c r="F79" s="2" t="s">
        <v>14</v>
      </c>
      <c r="G79" s="2" t="s">
        <v>27</v>
      </c>
      <c r="H79" s="2" t="s">
        <v>22</v>
      </c>
      <c r="I79" s="2">
        <v>60000</v>
      </c>
      <c r="J79" s="2">
        <v>6</v>
      </c>
      <c r="K79" s="2" t="s">
        <v>17</v>
      </c>
      <c r="L79" s="2">
        <f t="shared" si="0"/>
        <v>48000</v>
      </c>
    </row>
    <row r="80" spans="1:12" ht="14.25" customHeight="1" x14ac:dyDescent="0.2">
      <c r="A80" s="33">
        <v>45754</v>
      </c>
      <c r="B80" s="33"/>
      <c r="C80" s="2" t="s">
        <v>25</v>
      </c>
      <c r="D80" s="2" t="s">
        <v>26</v>
      </c>
      <c r="E80" s="2" t="s">
        <v>23</v>
      </c>
      <c r="F80" s="2" t="s">
        <v>14</v>
      </c>
      <c r="G80" s="2" t="s">
        <v>30</v>
      </c>
      <c r="H80" s="2" t="s">
        <v>31</v>
      </c>
      <c r="I80" s="2">
        <v>300000</v>
      </c>
      <c r="J80" s="2">
        <v>2</v>
      </c>
      <c r="K80" s="2" t="s">
        <v>17</v>
      </c>
      <c r="L80" s="2">
        <f t="shared" si="0"/>
        <v>240000</v>
      </c>
    </row>
    <row r="81" spans="1:12" ht="14.25" customHeight="1" x14ac:dyDescent="0.2">
      <c r="A81" s="33">
        <v>45755</v>
      </c>
      <c r="B81" s="33"/>
      <c r="C81" s="2" t="s">
        <v>11</v>
      </c>
      <c r="D81" s="2" t="s">
        <v>26</v>
      </c>
      <c r="E81" s="2" t="s">
        <v>13</v>
      </c>
      <c r="F81" s="2" t="s">
        <v>14</v>
      </c>
      <c r="G81" s="2" t="s">
        <v>36</v>
      </c>
      <c r="H81" s="2" t="s">
        <v>31</v>
      </c>
      <c r="I81" s="2">
        <v>150000</v>
      </c>
      <c r="J81" s="2">
        <v>7</v>
      </c>
      <c r="K81" s="2" t="s">
        <v>24</v>
      </c>
      <c r="L81" s="2">
        <f t="shared" si="0"/>
        <v>120000</v>
      </c>
    </row>
    <row r="82" spans="1:12" ht="14.25" customHeight="1" x14ac:dyDescent="0.2">
      <c r="A82" s="33">
        <v>45756</v>
      </c>
      <c r="B82" s="33"/>
      <c r="C82" s="2" t="s">
        <v>29</v>
      </c>
      <c r="D82" s="2" t="s">
        <v>26</v>
      </c>
      <c r="E82" s="2" t="s">
        <v>23</v>
      </c>
      <c r="F82" s="2" t="s">
        <v>20</v>
      </c>
      <c r="G82" s="2" t="s">
        <v>41</v>
      </c>
      <c r="H82" s="2" t="s">
        <v>22</v>
      </c>
      <c r="I82" s="2">
        <v>220000</v>
      </c>
      <c r="J82" s="2">
        <v>3</v>
      </c>
      <c r="K82" s="2" t="s">
        <v>28</v>
      </c>
      <c r="L82" s="2">
        <f t="shared" si="0"/>
        <v>176000</v>
      </c>
    </row>
    <row r="83" spans="1:12" ht="14.25" customHeight="1" x14ac:dyDescent="0.2">
      <c r="A83" s="33">
        <v>45757</v>
      </c>
      <c r="B83" s="33"/>
      <c r="C83" s="2" t="s">
        <v>11</v>
      </c>
      <c r="D83" s="2" t="s">
        <v>26</v>
      </c>
      <c r="E83" s="2" t="s">
        <v>13</v>
      </c>
      <c r="F83" s="2" t="s">
        <v>20</v>
      </c>
      <c r="G83" s="2" t="s">
        <v>27</v>
      </c>
      <c r="H83" s="2" t="s">
        <v>22</v>
      </c>
      <c r="I83" s="2">
        <v>60000</v>
      </c>
      <c r="J83" s="2">
        <v>9</v>
      </c>
      <c r="K83" s="2" t="s">
        <v>35</v>
      </c>
      <c r="L83" s="2">
        <f t="shared" si="0"/>
        <v>48000</v>
      </c>
    </row>
    <row r="84" spans="1:12" ht="14.25" customHeight="1" x14ac:dyDescent="0.2">
      <c r="A84" s="33">
        <v>45758</v>
      </c>
      <c r="B84" s="33"/>
      <c r="C84" s="2" t="s">
        <v>11</v>
      </c>
      <c r="D84" s="2" t="s">
        <v>19</v>
      </c>
      <c r="E84" s="2" t="s">
        <v>23</v>
      </c>
      <c r="F84" s="2" t="s">
        <v>20</v>
      </c>
      <c r="G84" s="2" t="s">
        <v>34</v>
      </c>
      <c r="H84" s="2" t="s">
        <v>16</v>
      </c>
      <c r="I84" s="2">
        <v>320000</v>
      </c>
      <c r="J84" s="2">
        <v>2</v>
      </c>
      <c r="K84" s="2" t="s">
        <v>28</v>
      </c>
      <c r="L84" s="2">
        <f t="shared" si="0"/>
        <v>256000</v>
      </c>
    </row>
    <row r="85" spans="1:12" ht="14.25" customHeight="1" x14ac:dyDescent="0.2">
      <c r="A85" s="33">
        <v>45759</v>
      </c>
      <c r="B85" s="33"/>
      <c r="C85" s="2" t="s">
        <v>11</v>
      </c>
      <c r="D85" s="2" t="s">
        <v>26</v>
      </c>
      <c r="E85" s="2" t="s">
        <v>23</v>
      </c>
      <c r="F85" s="2" t="s">
        <v>14</v>
      </c>
      <c r="G85" s="2" t="s">
        <v>41</v>
      </c>
      <c r="H85" s="2" t="s">
        <v>22</v>
      </c>
      <c r="I85" s="2">
        <v>220000</v>
      </c>
      <c r="J85" s="2">
        <v>5</v>
      </c>
      <c r="K85" s="2" t="s">
        <v>17</v>
      </c>
      <c r="L85" s="2">
        <f t="shared" si="0"/>
        <v>176000</v>
      </c>
    </row>
    <row r="86" spans="1:12" ht="14.25" customHeight="1" x14ac:dyDescent="0.2">
      <c r="A86" s="33">
        <v>45760</v>
      </c>
      <c r="B86" s="33"/>
      <c r="C86" s="2" t="s">
        <v>11</v>
      </c>
      <c r="D86" s="2" t="s">
        <v>12</v>
      </c>
      <c r="E86" s="2" t="s">
        <v>23</v>
      </c>
      <c r="F86" s="2" t="s">
        <v>14</v>
      </c>
      <c r="G86" s="2" t="s">
        <v>36</v>
      </c>
      <c r="H86" s="2" t="s">
        <v>31</v>
      </c>
      <c r="I86" s="2">
        <v>150000</v>
      </c>
      <c r="J86" s="2">
        <v>1</v>
      </c>
      <c r="K86" s="2" t="s">
        <v>39</v>
      </c>
      <c r="L86" s="2">
        <f t="shared" si="0"/>
        <v>120000</v>
      </c>
    </row>
    <row r="87" spans="1:12" ht="14.25" customHeight="1" x14ac:dyDescent="0.2">
      <c r="A87" s="33">
        <v>45761</v>
      </c>
      <c r="B87" s="33"/>
      <c r="C87" s="2" t="s">
        <v>25</v>
      </c>
      <c r="D87" s="2" t="s">
        <v>19</v>
      </c>
      <c r="E87" s="2" t="s">
        <v>13</v>
      </c>
      <c r="F87" s="2" t="s">
        <v>20</v>
      </c>
      <c r="G87" s="2" t="s">
        <v>30</v>
      </c>
      <c r="H87" s="2" t="s">
        <v>31</v>
      </c>
      <c r="I87" s="2">
        <v>300000</v>
      </c>
      <c r="J87" s="2">
        <v>8</v>
      </c>
      <c r="K87" s="2" t="s">
        <v>17</v>
      </c>
      <c r="L87" s="2">
        <f t="shared" si="0"/>
        <v>240000</v>
      </c>
    </row>
    <row r="88" spans="1:12" ht="14.25" customHeight="1" x14ac:dyDescent="0.2">
      <c r="A88" s="33">
        <v>45762</v>
      </c>
      <c r="B88" s="33"/>
      <c r="C88" s="2" t="s">
        <v>18</v>
      </c>
      <c r="D88" s="2" t="s">
        <v>32</v>
      </c>
      <c r="E88" s="2" t="s">
        <v>13</v>
      </c>
      <c r="F88" s="2" t="s">
        <v>14</v>
      </c>
      <c r="G88" s="2" t="s">
        <v>41</v>
      </c>
      <c r="H88" s="2" t="s">
        <v>22</v>
      </c>
      <c r="I88" s="2">
        <v>220000</v>
      </c>
      <c r="J88" s="2">
        <v>3</v>
      </c>
      <c r="K88" s="2" t="s">
        <v>37</v>
      </c>
      <c r="L88" s="2">
        <f t="shared" si="0"/>
        <v>176000</v>
      </c>
    </row>
    <row r="89" spans="1:12" ht="14.25" customHeight="1" x14ac:dyDescent="0.2">
      <c r="A89" s="33">
        <v>45763</v>
      </c>
      <c r="B89" s="33"/>
      <c r="C89" s="2" t="s">
        <v>11</v>
      </c>
      <c r="D89" s="2" t="s">
        <v>12</v>
      </c>
      <c r="E89" s="2" t="s">
        <v>13</v>
      </c>
      <c r="F89" s="2" t="s">
        <v>14</v>
      </c>
      <c r="G89" s="2" t="s">
        <v>40</v>
      </c>
      <c r="H89" s="2" t="s">
        <v>31</v>
      </c>
      <c r="I89" s="2">
        <v>250000</v>
      </c>
      <c r="J89" s="2">
        <v>8</v>
      </c>
      <c r="K89" s="2" t="s">
        <v>17</v>
      </c>
      <c r="L89" s="2">
        <f t="shared" si="0"/>
        <v>200000</v>
      </c>
    </row>
    <row r="90" spans="1:12" ht="14.25" customHeight="1" x14ac:dyDescent="0.2">
      <c r="A90" s="33">
        <v>45764</v>
      </c>
      <c r="B90" s="33"/>
      <c r="C90" s="2" t="s">
        <v>25</v>
      </c>
      <c r="D90" s="2" t="s">
        <v>19</v>
      </c>
      <c r="E90" s="2" t="s">
        <v>23</v>
      </c>
      <c r="F90" s="2" t="s">
        <v>14</v>
      </c>
      <c r="G90" s="2" t="s">
        <v>30</v>
      </c>
      <c r="H90" s="2" t="s">
        <v>31</v>
      </c>
      <c r="I90" s="2">
        <v>300000</v>
      </c>
      <c r="J90" s="2">
        <v>4</v>
      </c>
      <c r="K90" s="2" t="s">
        <v>28</v>
      </c>
      <c r="L90" s="2">
        <f t="shared" si="0"/>
        <v>240000</v>
      </c>
    </row>
    <row r="91" spans="1:12" ht="14.25" customHeight="1" x14ac:dyDescent="0.2">
      <c r="A91" s="33">
        <v>45765</v>
      </c>
      <c r="B91" s="33"/>
      <c r="C91" s="2" t="s">
        <v>25</v>
      </c>
      <c r="D91" s="2" t="s">
        <v>26</v>
      </c>
      <c r="E91" s="2" t="s">
        <v>23</v>
      </c>
      <c r="F91" s="2" t="s">
        <v>20</v>
      </c>
      <c r="G91" s="2" t="s">
        <v>30</v>
      </c>
      <c r="H91" s="2" t="s">
        <v>31</v>
      </c>
      <c r="I91" s="2">
        <v>300000</v>
      </c>
      <c r="J91" s="2">
        <v>1</v>
      </c>
      <c r="K91" s="2" t="s">
        <v>28</v>
      </c>
      <c r="L91" s="2">
        <f t="shared" si="0"/>
        <v>240000</v>
      </c>
    </row>
    <row r="92" spans="1:12" ht="14.25" customHeight="1" x14ac:dyDescent="0.2">
      <c r="A92" s="33">
        <v>45766</v>
      </c>
      <c r="B92" s="33"/>
      <c r="C92" s="2" t="s">
        <v>18</v>
      </c>
      <c r="D92" s="2" t="s">
        <v>32</v>
      </c>
      <c r="E92" s="2" t="s">
        <v>13</v>
      </c>
      <c r="F92" s="2" t="s">
        <v>14</v>
      </c>
      <c r="G92" s="2" t="s">
        <v>40</v>
      </c>
      <c r="H92" s="2" t="s">
        <v>31</v>
      </c>
      <c r="I92" s="2">
        <v>250000</v>
      </c>
      <c r="J92" s="2">
        <v>8</v>
      </c>
      <c r="K92" s="2" t="s">
        <v>28</v>
      </c>
      <c r="L92" s="2">
        <f t="shared" si="0"/>
        <v>200000</v>
      </c>
    </row>
    <row r="93" spans="1:12" ht="14.25" customHeight="1" x14ac:dyDescent="0.2">
      <c r="A93" s="33">
        <v>45767</v>
      </c>
      <c r="B93" s="33"/>
      <c r="C93" s="2" t="s">
        <v>11</v>
      </c>
      <c r="D93" s="2" t="s">
        <v>32</v>
      </c>
      <c r="E93" s="2" t="s">
        <v>23</v>
      </c>
      <c r="F93" s="2" t="s">
        <v>20</v>
      </c>
      <c r="G93" s="2" t="s">
        <v>33</v>
      </c>
      <c r="H93" s="2" t="s">
        <v>22</v>
      </c>
      <c r="I93" s="2">
        <v>180000</v>
      </c>
      <c r="J93" s="2">
        <v>2</v>
      </c>
      <c r="K93" s="2" t="s">
        <v>37</v>
      </c>
      <c r="L93" s="2">
        <f t="shared" si="0"/>
        <v>144000</v>
      </c>
    </row>
    <row r="94" spans="1:12" ht="14.25" customHeight="1" x14ac:dyDescent="0.2">
      <c r="A94" s="33">
        <v>45768</v>
      </c>
      <c r="B94" s="33"/>
      <c r="C94" s="2" t="s">
        <v>11</v>
      </c>
      <c r="D94" s="2" t="s">
        <v>32</v>
      </c>
      <c r="E94" s="2" t="s">
        <v>13</v>
      </c>
      <c r="F94" s="2" t="s">
        <v>20</v>
      </c>
      <c r="G94" s="2" t="s">
        <v>33</v>
      </c>
      <c r="H94" s="2" t="s">
        <v>22</v>
      </c>
      <c r="I94" s="2">
        <v>180000</v>
      </c>
      <c r="J94" s="2">
        <v>6</v>
      </c>
      <c r="K94" s="2" t="s">
        <v>28</v>
      </c>
      <c r="L94" s="2">
        <f t="shared" si="0"/>
        <v>144000</v>
      </c>
    </row>
    <row r="95" spans="1:12" ht="14.25" customHeight="1" x14ac:dyDescent="0.2">
      <c r="A95" s="33">
        <v>45769</v>
      </c>
      <c r="B95" s="33"/>
      <c r="C95" s="2" t="s">
        <v>29</v>
      </c>
      <c r="D95" s="2" t="s">
        <v>19</v>
      </c>
      <c r="E95" s="2" t="s">
        <v>23</v>
      </c>
      <c r="F95" s="2" t="s">
        <v>14</v>
      </c>
      <c r="G95" s="2" t="s">
        <v>30</v>
      </c>
      <c r="H95" s="2" t="s">
        <v>31</v>
      </c>
      <c r="I95" s="2">
        <v>300000</v>
      </c>
      <c r="J95" s="2">
        <v>2</v>
      </c>
      <c r="K95" s="2" t="s">
        <v>28</v>
      </c>
      <c r="L95" s="2">
        <f t="shared" si="0"/>
        <v>240000</v>
      </c>
    </row>
    <row r="96" spans="1:12" ht="14.25" customHeight="1" x14ac:dyDescent="0.2">
      <c r="A96" s="33">
        <v>45770</v>
      </c>
      <c r="B96" s="33"/>
      <c r="C96" s="2" t="s">
        <v>18</v>
      </c>
      <c r="D96" s="2" t="s">
        <v>12</v>
      </c>
      <c r="E96" s="2" t="s">
        <v>23</v>
      </c>
      <c r="F96" s="2" t="s">
        <v>20</v>
      </c>
      <c r="G96" s="2" t="s">
        <v>36</v>
      </c>
      <c r="H96" s="2" t="s">
        <v>31</v>
      </c>
      <c r="I96" s="2">
        <v>150000</v>
      </c>
      <c r="J96" s="2">
        <v>6</v>
      </c>
      <c r="K96" s="2" t="s">
        <v>17</v>
      </c>
      <c r="L96" s="2">
        <f t="shared" si="0"/>
        <v>120000</v>
      </c>
    </row>
    <row r="97" spans="1:12" ht="14.25" customHeight="1" x14ac:dyDescent="0.2">
      <c r="A97" s="33">
        <v>45771</v>
      </c>
      <c r="B97" s="33"/>
      <c r="C97" s="2" t="s">
        <v>25</v>
      </c>
      <c r="D97" s="2" t="s">
        <v>19</v>
      </c>
      <c r="E97" s="2" t="s">
        <v>23</v>
      </c>
      <c r="F97" s="2" t="s">
        <v>20</v>
      </c>
      <c r="G97" s="2" t="s">
        <v>38</v>
      </c>
      <c r="H97" s="2" t="s">
        <v>31</v>
      </c>
      <c r="I97" s="2">
        <v>420000</v>
      </c>
      <c r="J97" s="2">
        <v>10</v>
      </c>
      <c r="K97" s="2" t="s">
        <v>17</v>
      </c>
      <c r="L97" s="2">
        <f t="shared" si="0"/>
        <v>336000</v>
      </c>
    </row>
    <row r="98" spans="1:12" ht="14.25" customHeight="1" x14ac:dyDescent="0.2">
      <c r="A98" s="33">
        <v>45772</v>
      </c>
      <c r="B98" s="33"/>
      <c r="C98" s="2" t="s">
        <v>18</v>
      </c>
      <c r="D98" s="2" t="s">
        <v>26</v>
      </c>
      <c r="E98" s="2" t="s">
        <v>13</v>
      </c>
      <c r="F98" s="2" t="s">
        <v>14</v>
      </c>
      <c r="G98" s="2" t="s">
        <v>38</v>
      </c>
      <c r="H98" s="2" t="s">
        <v>31</v>
      </c>
      <c r="I98" s="2">
        <v>420000</v>
      </c>
      <c r="J98" s="2">
        <v>8</v>
      </c>
      <c r="K98" s="2" t="s">
        <v>28</v>
      </c>
      <c r="L98" s="2">
        <f t="shared" si="0"/>
        <v>336000</v>
      </c>
    </row>
    <row r="99" spans="1:12" ht="14.25" customHeight="1" x14ac:dyDescent="0.2">
      <c r="A99" s="33">
        <v>45773</v>
      </c>
      <c r="B99" s="33"/>
      <c r="C99" s="2" t="s">
        <v>25</v>
      </c>
      <c r="D99" s="2" t="s">
        <v>19</v>
      </c>
      <c r="E99" s="2" t="s">
        <v>13</v>
      </c>
      <c r="F99" s="2" t="s">
        <v>20</v>
      </c>
      <c r="G99" s="2" t="s">
        <v>33</v>
      </c>
      <c r="H99" s="2" t="s">
        <v>22</v>
      </c>
      <c r="I99" s="2">
        <v>180000</v>
      </c>
      <c r="J99" s="2">
        <v>8</v>
      </c>
      <c r="K99" s="2" t="s">
        <v>17</v>
      </c>
      <c r="L99" s="2">
        <f t="shared" si="0"/>
        <v>144000</v>
      </c>
    </row>
    <row r="100" spans="1:12" ht="14.25" customHeight="1" x14ac:dyDescent="0.2">
      <c r="A100" s="33">
        <v>45774</v>
      </c>
      <c r="B100" s="33"/>
      <c r="C100" s="2" t="s">
        <v>25</v>
      </c>
      <c r="D100" s="2" t="s">
        <v>26</v>
      </c>
      <c r="E100" s="2" t="s">
        <v>13</v>
      </c>
      <c r="F100" s="2" t="s">
        <v>20</v>
      </c>
      <c r="G100" s="2" t="s">
        <v>30</v>
      </c>
      <c r="H100" s="2" t="s">
        <v>31</v>
      </c>
      <c r="I100" s="2">
        <v>300000</v>
      </c>
      <c r="J100" s="2">
        <v>4</v>
      </c>
      <c r="K100" s="2" t="s">
        <v>37</v>
      </c>
      <c r="L100" s="2">
        <f t="shared" si="0"/>
        <v>240000</v>
      </c>
    </row>
    <row r="101" spans="1:12" ht="14.25" customHeight="1" x14ac:dyDescent="0.2">
      <c r="A101" s="33">
        <v>45775</v>
      </c>
      <c r="B101" s="33"/>
      <c r="C101" s="2" t="s">
        <v>25</v>
      </c>
      <c r="D101" s="2" t="s">
        <v>26</v>
      </c>
      <c r="E101" s="2" t="s">
        <v>13</v>
      </c>
      <c r="F101" s="2" t="s">
        <v>20</v>
      </c>
      <c r="G101" s="2" t="s">
        <v>38</v>
      </c>
      <c r="H101" s="2" t="s">
        <v>31</v>
      </c>
      <c r="I101" s="2">
        <v>420000</v>
      </c>
      <c r="J101" s="2">
        <v>1</v>
      </c>
      <c r="K101" s="2" t="s">
        <v>35</v>
      </c>
      <c r="L101" s="2">
        <f t="shared" si="0"/>
        <v>336000</v>
      </c>
    </row>
    <row r="102" spans="1:12" ht="14.25" customHeight="1" x14ac:dyDescent="0.2">
      <c r="A102" s="33">
        <v>45776</v>
      </c>
      <c r="B102" s="33"/>
      <c r="C102" s="2" t="s">
        <v>11</v>
      </c>
      <c r="D102" s="2" t="s">
        <v>26</v>
      </c>
      <c r="E102" s="2" t="s">
        <v>23</v>
      </c>
      <c r="F102" s="2" t="s">
        <v>14</v>
      </c>
      <c r="G102" s="2" t="s">
        <v>21</v>
      </c>
      <c r="H102" s="2" t="s">
        <v>22</v>
      </c>
      <c r="I102" s="2">
        <v>30000</v>
      </c>
      <c r="J102" s="2">
        <v>7</v>
      </c>
      <c r="K102" s="2" t="s">
        <v>28</v>
      </c>
      <c r="L102" s="2">
        <f t="shared" si="0"/>
        <v>24000</v>
      </c>
    </row>
    <row r="103" spans="1:12" ht="14.25" customHeight="1" x14ac:dyDescent="0.2">
      <c r="A103" s="33">
        <v>45777</v>
      </c>
      <c r="B103" s="33"/>
      <c r="C103" s="2" t="s">
        <v>25</v>
      </c>
      <c r="D103" s="2" t="s">
        <v>12</v>
      </c>
      <c r="E103" s="2" t="s">
        <v>13</v>
      </c>
      <c r="F103" s="2" t="s">
        <v>14</v>
      </c>
      <c r="G103" s="2" t="s">
        <v>38</v>
      </c>
      <c r="H103" s="2" t="s">
        <v>31</v>
      </c>
      <c r="I103" s="2">
        <v>420000</v>
      </c>
      <c r="J103" s="2">
        <v>3</v>
      </c>
      <c r="K103" s="2" t="s">
        <v>28</v>
      </c>
      <c r="L103" s="2">
        <f t="shared" si="0"/>
        <v>336000</v>
      </c>
    </row>
    <row r="104" spans="1:12" ht="14.25" customHeight="1" x14ac:dyDescent="0.2">
      <c r="A104" s="33">
        <v>45778</v>
      </c>
      <c r="B104" s="33"/>
      <c r="C104" s="2" t="s">
        <v>25</v>
      </c>
      <c r="D104" s="2" t="s">
        <v>12</v>
      </c>
      <c r="E104" s="2" t="s">
        <v>13</v>
      </c>
      <c r="F104" s="2" t="s">
        <v>20</v>
      </c>
      <c r="G104" s="2" t="s">
        <v>27</v>
      </c>
      <c r="H104" s="2" t="s">
        <v>22</v>
      </c>
      <c r="I104" s="2">
        <v>60000</v>
      </c>
      <c r="J104" s="2">
        <v>5</v>
      </c>
      <c r="K104" s="2" t="s">
        <v>39</v>
      </c>
      <c r="L104" s="2">
        <f t="shared" si="0"/>
        <v>48000</v>
      </c>
    </row>
    <row r="105" spans="1:12" ht="14.25" customHeight="1" x14ac:dyDescent="0.2">
      <c r="A105" s="33">
        <v>45779</v>
      </c>
      <c r="B105" s="33"/>
      <c r="C105" s="2" t="s">
        <v>11</v>
      </c>
      <c r="D105" s="2" t="s">
        <v>32</v>
      </c>
      <c r="E105" s="2" t="s">
        <v>23</v>
      </c>
      <c r="F105" s="2" t="s">
        <v>14</v>
      </c>
      <c r="G105" s="2" t="s">
        <v>30</v>
      </c>
      <c r="H105" s="2" t="s">
        <v>31</v>
      </c>
      <c r="I105" s="2">
        <v>300000</v>
      </c>
      <c r="J105" s="2">
        <v>9</v>
      </c>
      <c r="K105" s="2" t="s">
        <v>39</v>
      </c>
      <c r="L105" s="2">
        <f t="shared" si="0"/>
        <v>240000</v>
      </c>
    </row>
    <row r="106" spans="1:12" ht="14.25" customHeight="1" x14ac:dyDescent="0.2">
      <c r="A106" s="33">
        <v>45780</v>
      </c>
      <c r="B106" s="33"/>
      <c r="C106" s="2" t="s">
        <v>18</v>
      </c>
      <c r="D106" s="2" t="s">
        <v>26</v>
      </c>
      <c r="E106" s="2" t="s">
        <v>13</v>
      </c>
      <c r="F106" s="2" t="s">
        <v>20</v>
      </c>
      <c r="G106" s="2" t="s">
        <v>34</v>
      </c>
      <c r="H106" s="2" t="s">
        <v>16</v>
      </c>
      <c r="I106" s="2">
        <v>320000</v>
      </c>
      <c r="J106" s="2">
        <v>4</v>
      </c>
      <c r="K106" s="2" t="s">
        <v>35</v>
      </c>
      <c r="L106" s="2">
        <f t="shared" si="0"/>
        <v>256000</v>
      </c>
    </row>
    <row r="107" spans="1:12" ht="14.25" customHeight="1" x14ac:dyDescent="0.2">
      <c r="A107" s="33">
        <v>45781</v>
      </c>
      <c r="B107" s="33"/>
      <c r="C107" s="2" t="s">
        <v>29</v>
      </c>
      <c r="D107" s="2" t="s">
        <v>19</v>
      </c>
      <c r="E107" s="2" t="s">
        <v>13</v>
      </c>
      <c r="F107" s="2" t="s">
        <v>20</v>
      </c>
      <c r="G107" s="2" t="s">
        <v>33</v>
      </c>
      <c r="H107" s="2" t="s">
        <v>22</v>
      </c>
      <c r="I107" s="2">
        <v>180000</v>
      </c>
      <c r="J107" s="2">
        <v>2</v>
      </c>
      <c r="K107" s="2" t="s">
        <v>39</v>
      </c>
      <c r="L107" s="2">
        <f t="shared" si="0"/>
        <v>144000</v>
      </c>
    </row>
    <row r="108" spans="1:12" ht="14.25" customHeight="1" x14ac:dyDescent="0.2">
      <c r="A108" s="33">
        <v>45782</v>
      </c>
      <c r="B108" s="33"/>
      <c r="C108" s="2" t="s">
        <v>18</v>
      </c>
      <c r="D108" s="2" t="s">
        <v>19</v>
      </c>
      <c r="E108" s="2" t="s">
        <v>13</v>
      </c>
      <c r="F108" s="2" t="s">
        <v>14</v>
      </c>
      <c r="G108" s="2" t="s">
        <v>15</v>
      </c>
      <c r="H108" s="2" t="s">
        <v>16</v>
      </c>
      <c r="I108" s="2">
        <v>85000</v>
      </c>
      <c r="J108" s="2">
        <v>1</v>
      </c>
      <c r="K108" s="2" t="s">
        <v>35</v>
      </c>
      <c r="L108" s="2">
        <f t="shared" si="0"/>
        <v>68000</v>
      </c>
    </row>
    <row r="109" spans="1:12" ht="14.25" customHeight="1" x14ac:dyDescent="0.2">
      <c r="A109" s="33">
        <v>45783</v>
      </c>
      <c r="B109" s="33"/>
      <c r="C109" s="2" t="s">
        <v>29</v>
      </c>
      <c r="D109" s="2" t="s">
        <v>26</v>
      </c>
      <c r="E109" s="2" t="s">
        <v>23</v>
      </c>
      <c r="F109" s="2" t="s">
        <v>20</v>
      </c>
      <c r="G109" s="2" t="s">
        <v>34</v>
      </c>
      <c r="H109" s="2" t="s">
        <v>16</v>
      </c>
      <c r="I109" s="2">
        <v>320000</v>
      </c>
      <c r="J109" s="2">
        <v>7</v>
      </c>
      <c r="K109" s="2" t="s">
        <v>35</v>
      </c>
      <c r="L109" s="2">
        <f t="shared" si="0"/>
        <v>256000</v>
      </c>
    </row>
    <row r="110" spans="1:12" ht="14.25" customHeight="1" x14ac:dyDescent="0.2">
      <c r="A110" s="33">
        <v>45784</v>
      </c>
      <c r="B110" s="33"/>
      <c r="C110" s="2" t="s">
        <v>18</v>
      </c>
      <c r="D110" s="2" t="s">
        <v>32</v>
      </c>
      <c r="E110" s="2" t="s">
        <v>23</v>
      </c>
      <c r="F110" s="2" t="s">
        <v>14</v>
      </c>
      <c r="G110" s="2" t="s">
        <v>27</v>
      </c>
      <c r="H110" s="2" t="s">
        <v>22</v>
      </c>
      <c r="I110" s="2">
        <v>60000</v>
      </c>
      <c r="J110" s="2">
        <v>9</v>
      </c>
      <c r="K110" s="2" t="s">
        <v>17</v>
      </c>
      <c r="L110" s="2">
        <f t="shared" si="0"/>
        <v>48000</v>
      </c>
    </row>
    <row r="111" spans="1:12" ht="14.25" customHeight="1" x14ac:dyDescent="0.2">
      <c r="A111" s="33">
        <v>45785</v>
      </c>
      <c r="B111" s="33"/>
      <c r="C111" s="2" t="s">
        <v>29</v>
      </c>
      <c r="D111" s="2" t="s">
        <v>32</v>
      </c>
      <c r="E111" s="2" t="s">
        <v>23</v>
      </c>
      <c r="F111" s="2" t="s">
        <v>20</v>
      </c>
      <c r="G111" s="2" t="s">
        <v>15</v>
      </c>
      <c r="H111" s="2" t="s">
        <v>16</v>
      </c>
      <c r="I111" s="2">
        <v>85000</v>
      </c>
      <c r="J111" s="2">
        <v>1</v>
      </c>
      <c r="K111" s="2" t="s">
        <v>24</v>
      </c>
      <c r="L111" s="2">
        <f t="shared" si="0"/>
        <v>68000</v>
      </c>
    </row>
    <row r="112" spans="1:12" ht="14.25" customHeight="1" x14ac:dyDescent="0.2">
      <c r="A112" s="33">
        <v>45786</v>
      </c>
      <c r="B112" s="33"/>
      <c r="C112" s="2" t="s">
        <v>18</v>
      </c>
      <c r="D112" s="2" t="s">
        <v>19</v>
      </c>
      <c r="E112" s="2" t="s">
        <v>13</v>
      </c>
      <c r="F112" s="2" t="s">
        <v>14</v>
      </c>
      <c r="G112" s="2" t="s">
        <v>30</v>
      </c>
      <c r="H112" s="2" t="s">
        <v>31</v>
      </c>
      <c r="I112" s="2">
        <v>300000</v>
      </c>
      <c r="J112" s="2">
        <v>6</v>
      </c>
      <c r="K112" s="2" t="s">
        <v>39</v>
      </c>
      <c r="L112" s="2">
        <f t="shared" si="0"/>
        <v>240000</v>
      </c>
    </row>
    <row r="113" spans="1:12" ht="14.25" customHeight="1" x14ac:dyDescent="0.2">
      <c r="A113" s="33">
        <v>45787</v>
      </c>
      <c r="B113" s="33"/>
      <c r="C113" s="2" t="s">
        <v>29</v>
      </c>
      <c r="D113" s="2" t="s">
        <v>19</v>
      </c>
      <c r="E113" s="2" t="s">
        <v>23</v>
      </c>
      <c r="F113" s="2" t="s">
        <v>14</v>
      </c>
      <c r="G113" s="2" t="s">
        <v>21</v>
      </c>
      <c r="H113" s="2" t="s">
        <v>22</v>
      </c>
      <c r="I113" s="2">
        <v>30000</v>
      </c>
      <c r="J113" s="2">
        <v>5</v>
      </c>
      <c r="K113" s="2" t="s">
        <v>17</v>
      </c>
      <c r="L113" s="2">
        <f t="shared" si="0"/>
        <v>24000</v>
      </c>
    </row>
    <row r="114" spans="1:12" ht="14.25" customHeight="1" x14ac:dyDescent="0.2">
      <c r="A114" s="33">
        <v>45788</v>
      </c>
      <c r="B114" s="33"/>
      <c r="C114" s="2" t="s">
        <v>29</v>
      </c>
      <c r="D114" s="2" t="s">
        <v>12</v>
      </c>
      <c r="E114" s="2" t="s">
        <v>13</v>
      </c>
      <c r="F114" s="2" t="s">
        <v>20</v>
      </c>
      <c r="G114" s="2" t="s">
        <v>36</v>
      </c>
      <c r="H114" s="2" t="s">
        <v>31</v>
      </c>
      <c r="I114" s="2">
        <v>150000</v>
      </c>
      <c r="J114" s="2">
        <v>4</v>
      </c>
      <c r="K114" s="2" t="s">
        <v>37</v>
      </c>
      <c r="L114" s="2">
        <f t="shared" si="0"/>
        <v>120000</v>
      </c>
    </row>
    <row r="115" spans="1:12" ht="14.25" customHeight="1" x14ac:dyDescent="0.2">
      <c r="A115" s="33">
        <v>45789</v>
      </c>
      <c r="B115" s="33"/>
      <c r="C115" s="2" t="s">
        <v>25</v>
      </c>
      <c r="D115" s="2" t="s">
        <v>12</v>
      </c>
      <c r="E115" s="2" t="s">
        <v>23</v>
      </c>
      <c r="F115" s="2" t="s">
        <v>20</v>
      </c>
      <c r="G115" s="2" t="s">
        <v>36</v>
      </c>
      <c r="H115" s="2" t="s">
        <v>31</v>
      </c>
      <c r="I115" s="2">
        <v>150000</v>
      </c>
      <c r="J115" s="2">
        <v>6</v>
      </c>
      <c r="K115" s="2" t="s">
        <v>37</v>
      </c>
      <c r="L115" s="2">
        <f t="shared" si="0"/>
        <v>120000</v>
      </c>
    </row>
    <row r="116" spans="1:12" ht="14.25" customHeight="1" x14ac:dyDescent="0.2">
      <c r="A116" s="33">
        <v>45790</v>
      </c>
      <c r="B116" s="33"/>
      <c r="C116" s="2" t="s">
        <v>29</v>
      </c>
      <c r="D116" s="2" t="s">
        <v>19</v>
      </c>
      <c r="E116" s="2" t="s">
        <v>23</v>
      </c>
      <c r="F116" s="2" t="s">
        <v>20</v>
      </c>
      <c r="G116" s="2" t="s">
        <v>36</v>
      </c>
      <c r="H116" s="2" t="s">
        <v>31</v>
      </c>
      <c r="I116" s="2">
        <v>150000</v>
      </c>
      <c r="J116" s="2">
        <v>8</v>
      </c>
      <c r="K116" s="2" t="s">
        <v>37</v>
      </c>
      <c r="L116" s="2">
        <f t="shared" si="0"/>
        <v>120000</v>
      </c>
    </row>
    <row r="117" spans="1:12" ht="14.25" customHeight="1" x14ac:dyDescent="0.2">
      <c r="A117" s="33">
        <v>45791</v>
      </c>
      <c r="B117" s="33"/>
      <c r="C117" s="2" t="s">
        <v>25</v>
      </c>
      <c r="D117" s="2" t="s">
        <v>19</v>
      </c>
      <c r="E117" s="2" t="s">
        <v>13</v>
      </c>
      <c r="F117" s="2" t="s">
        <v>20</v>
      </c>
      <c r="G117" s="2" t="s">
        <v>21</v>
      </c>
      <c r="H117" s="2" t="s">
        <v>22</v>
      </c>
      <c r="I117" s="2">
        <v>30000</v>
      </c>
      <c r="J117" s="2">
        <v>6</v>
      </c>
      <c r="K117" s="2" t="s">
        <v>17</v>
      </c>
      <c r="L117" s="2">
        <f t="shared" si="0"/>
        <v>24000</v>
      </c>
    </row>
    <row r="118" spans="1:12" ht="14.25" customHeight="1" x14ac:dyDescent="0.2">
      <c r="A118" s="33">
        <v>45792</v>
      </c>
      <c r="B118" s="33"/>
      <c r="C118" s="2" t="s">
        <v>11</v>
      </c>
      <c r="D118" s="2" t="s">
        <v>19</v>
      </c>
      <c r="E118" s="2" t="s">
        <v>13</v>
      </c>
      <c r="F118" s="2" t="s">
        <v>14</v>
      </c>
      <c r="G118" s="2" t="s">
        <v>40</v>
      </c>
      <c r="H118" s="2" t="s">
        <v>31</v>
      </c>
      <c r="I118" s="2">
        <v>250000</v>
      </c>
      <c r="J118" s="2">
        <v>3</v>
      </c>
      <c r="K118" s="2" t="s">
        <v>35</v>
      </c>
      <c r="L118" s="2">
        <f t="shared" si="0"/>
        <v>200000</v>
      </c>
    </row>
    <row r="119" spans="1:12" ht="14.25" customHeight="1" x14ac:dyDescent="0.2">
      <c r="A119" s="33">
        <v>45793</v>
      </c>
      <c r="B119" s="33"/>
      <c r="C119" s="2" t="s">
        <v>25</v>
      </c>
      <c r="D119" s="2" t="s">
        <v>19</v>
      </c>
      <c r="E119" s="2" t="s">
        <v>23</v>
      </c>
      <c r="F119" s="2" t="s">
        <v>14</v>
      </c>
      <c r="G119" s="2" t="s">
        <v>36</v>
      </c>
      <c r="H119" s="2" t="s">
        <v>31</v>
      </c>
      <c r="I119" s="2">
        <v>150000</v>
      </c>
      <c r="J119" s="2">
        <v>5</v>
      </c>
      <c r="K119" s="2" t="s">
        <v>17</v>
      </c>
      <c r="L119" s="2">
        <f t="shared" si="0"/>
        <v>120000</v>
      </c>
    </row>
    <row r="120" spans="1:12" ht="14.25" customHeight="1" x14ac:dyDescent="0.2">
      <c r="A120" s="33">
        <v>45794</v>
      </c>
      <c r="B120" s="33"/>
      <c r="C120" s="2" t="s">
        <v>11</v>
      </c>
      <c r="D120" s="2" t="s">
        <v>19</v>
      </c>
      <c r="E120" s="2" t="s">
        <v>13</v>
      </c>
      <c r="F120" s="2" t="s">
        <v>14</v>
      </c>
      <c r="G120" s="2" t="s">
        <v>41</v>
      </c>
      <c r="H120" s="2" t="s">
        <v>22</v>
      </c>
      <c r="I120" s="2">
        <v>220000</v>
      </c>
      <c r="J120" s="2">
        <v>1</v>
      </c>
      <c r="K120" s="2" t="s">
        <v>37</v>
      </c>
      <c r="L120" s="2">
        <f t="shared" si="0"/>
        <v>176000</v>
      </c>
    </row>
    <row r="121" spans="1:12" ht="14.25" customHeight="1" x14ac:dyDescent="0.2">
      <c r="A121" s="33">
        <v>45795</v>
      </c>
      <c r="B121" s="33"/>
      <c r="C121" s="2" t="s">
        <v>29</v>
      </c>
      <c r="D121" s="2" t="s">
        <v>19</v>
      </c>
      <c r="E121" s="2" t="s">
        <v>13</v>
      </c>
      <c r="F121" s="2" t="s">
        <v>20</v>
      </c>
      <c r="G121" s="2" t="s">
        <v>34</v>
      </c>
      <c r="H121" s="2" t="s">
        <v>16</v>
      </c>
      <c r="I121" s="2">
        <v>320000</v>
      </c>
      <c r="J121" s="2">
        <v>10</v>
      </c>
      <c r="K121" s="2" t="s">
        <v>35</v>
      </c>
      <c r="L121" s="2">
        <f t="shared" si="0"/>
        <v>256000</v>
      </c>
    </row>
    <row r="122" spans="1:12" ht="14.25" customHeight="1" x14ac:dyDescent="0.2">
      <c r="A122" s="33">
        <v>45796</v>
      </c>
      <c r="B122" s="33"/>
      <c r="C122" s="2" t="s">
        <v>25</v>
      </c>
      <c r="D122" s="2" t="s">
        <v>12</v>
      </c>
      <c r="E122" s="2" t="s">
        <v>23</v>
      </c>
      <c r="F122" s="2" t="s">
        <v>20</v>
      </c>
      <c r="G122" s="2" t="s">
        <v>27</v>
      </c>
      <c r="H122" s="2" t="s">
        <v>22</v>
      </c>
      <c r="I122" s="2">
        <v>60000</v>
      </c>
      <c r="J122" s="2">
        <v>5</v>
      </c>
      <c r="K122" s="2" t="s">
        <v>24</v>
      </c>
      <c r="L122" s="2">
        <f t="shared" si="0"/>
        <v>48000</v>
      </c>
    </row>
    <row r="123" spans="1:12" ht="14.25" customHeight="1" x14ac:dyDescent="0.2">
      <c r="A123" s="33">
        <v>45797</v>
      </c>
      <c r="B123" s="33"/>
      <c r="C123" s="2" t="s">
        <v>18</v>
      </c>
      <c r="D123" s="2" t="s">
        <v>32</v>
      </c>
      <c r="E123" s="2" t="s">
        <v>13</v>
      </c>
      <c r="F123" s="2" t="s">
        <v>20</v>
      </c>
      <c r="G123" s="2" t="s">
        <v>36</v>
      </c>
      <c r="H123" s="2" t="s">
        <v>31</v>
      </c>
      <c r="I123" s="2">
        <v>150000</v>
      </c>
      <c r="J123" s="2">
        <v>7</v>
      </c>
      <c r="K123" s="2" t="s">
        <v>39</v>
      </c>
      <c r="L123" s="2">
        <f t="shared" si="0"/>
        <v>120000</v>
      </c>
    </row>
    <row r="124" spans="1:12" ht="14.25" customHeight="1" x14ac:dyDescent="0.2">
      <c r="A124" s="33">
        <v>45798</v>
      </c>
      <c r="B124" s="33"/>
      <c r="C124" s="2" t="s">
        <v>29</v>
      </c>
      <c r="D124" s="2" t="s">
        <v>26</v>
      </c>
      <c r="E124" s="2" t="s">
        <v>13</v>
      </c>
      <c r="F124" s="2" t="s">
        <v>14</v>
      </c>
      <c r="G124" s="2" t="s">
        <v>27</v>
      </c>
      <c r="H124" s="2" t="s">
        <v>22</v>
      </c>
      <c r="I124" s="2">
        <v>60000</v>
      </c>
      <c r="J124" s="2">
        <v>7</v>
      </c>
      <c r="K124" s="2" t="s">
        <v>28</v>
      </c>
      <c r="L124" s="2">
        <f t="shared" si="0"/>
        <v>48000</v>
      </c>
    </row>
    <row r="125" spans="1:12" ht="14.25" customHeight="1" x14ac:dyDescent="0.2">
      <c r="A125" s="33">
        <v>45799</v>
      </c>
      <c r="B125" s="33"/>
      <c r="C125" s="2" t="s">
        <v>29</v>
      </c>
      <c r="D125" s="2" t="s">
        <v>12</v>
      </c>
      <c r="E125" s="2" t="s">
        <v>23</v>
      </c>
      <c r="F125" s="2" t="s">
        <v>20</v>
      </c>
      <c r="G125" s="2" t="s">
        <v>41</v>
      </c>
      <c r="H125" s="2" t="s">
        <v>22</v>
      </c>
      <c r="I125" s="2">
        <v>220000</v>
      </c>
      <c r="J125" s="2">
        <v>4</v>
      </c>
      <c r="K125" s="2" t="s">
        <v>35</v>
      </c>
      <c r="L125" s="2">
        <f t="shared" si="0"/>
        <v>176000</v>
      </c>
    </row>
    <row r="126" spans="1:12" ht="14.25" customHeight="1" x14ac:dyDescent="0.2">
      <c r="A126" s="33">
        <v>45800</v>
      </c>
      <c r="B126" s="33"/>
      <c r="C126" s="2" t="s">
        <v>18</v>
      </c>
      <c r="D126" s="2" t="s">
        <v>26</v>
      </c>
      <c r="E126" s="2" t="s">
        <v>23</v>
      </c>
      <c r="F126" s="2" t="s">
        <v>20</v>
      </c>
      <c r="G126" s="2" t="s">
        <v>40</v>
      </c>
      <c r="H126" s="2" t="s">
        <v>31</v>
      </c>
      <c r="I126" s="2">
        <v>250000</v>
      </c>
      <c r="J126" s="2">
        <v>6</v>
      </c>
      <c r="K126" s="2" t="s">
        <v>24</v>
      </c>
      <c r="L126" s="2">
        <f t="shared" si="0"/>
        <v>200000</v>
      </c>
    </row>
    <row r="127" spans="1:12" ht="14.25" customHeight="1" x14ac:dyDescent="0.2">
      <c r="A127" s="33">
        <v>45801</v>
      </c>
      <c r="B127" s="33"/>
      <c r="C127" s="2" t="s">
        <v>29</v>
      </c>
      <c r="D127" s="2" t="s">
        <v>12</v>
      </c>
      <c r="E127" s="2" t="s">
        <v>23</v>
      </c>
      <c r="F127" s="2" t="s">
        <v>14</v>
      </c>
      <c r="G127" s="2" t="s">
        <v>38</v>
      </c>
      <c r="H127" s="2" t="s">
        <v>31</v>
      </c>
      <c r="I127" s="2">
        <v>420000</v>
      </c>
      <c r="J127" s="2">
        <v>10</v>
      </c>
      <c r="K127" s="2" t="s">
        <v>17</v>
      </c>
      <c r="L127" s="2">
        <f t="shared" si="0"/>
        <v>336000</v>
      </c>
    </row>
    <row r="128" spans="1:12" ht="14.25" customHeight="1" x14ac:dyDescent="0.2">
      <c r="A128" s="33">
        <v>45802</v>
      </c>
      <c r="B128" s="33"/>
      <c r="C128" s="2" t="s">
        <v>18</v>
      </c>
      <c r="D128" s="2" t="s">
        <v>12</v>
      </c>
      <c r="E128" s="2" t="s">
        <v>13</v>
      </c>
      <c r="F128" s="2" t="s">
        <v>14</v>
      </c>
      <c r="G128" s="2" t="s">
        <v>21</v>
      </c>
      <c r="H128" s="2" t="s">
        <v>22</v>
      </c>
      <c r="I128" s="2">
        <v>30000</v>
      </c>
      <c r="J128" s="2">
        <v>9</v>
      </c>
      <c r="K128" s="2" t="s">
        <v>39</v>
      </c>
      <c r="L128" s="2">
        <f t="shared" si="0"/>
        <v>24000</v>
      </c>
    </row>
    <row r="129" spans="1:12" ht="14.25" customHeight="1" x14ac:dyDescent="0.2">
      <c r="A129" s="33">
        <v>45803</v>
      </c>
      <c r="B129" s="33"/>
      <c r="C129" s="2" t="s">
        <v>11</v>
      </c>
      <c r="D129" s="2" t="s">
        <v>26</v>
      </c>
      <c r="E129" s="2" t="s">
        <v>13</v>
      </c>
      <c r="F129" s="2" t="s">
        <v>20</v>
      </c>
      <c r="G129" s="2" t="s">
        <v>33</v>
      </c>
      <c r="H129" s="2" t="s">
        <v>22</v>
      </c>
      <c r="I129" s="2">
        <v>180000</v>
      </c>
      <c r="J129" s="2">
        <v>8</v>
      </c>
      <c r="K129" s="2" t="s">
        <v>28</v>
      </c>
      <c r="L129" s="2">
        <f t="shared" si="0"/>
        <v>144000</v>
      </c>
    </row>
    <row r="130" spans="1:12" ht="14.25" customHeight="1" x14ac:dyDescent="0.2">
      <c r="A130" s="33">
        <v>45804</v>
      </c>
      <c r="B130" s="33"/>
      <c r="C130" s="2" t="s">
        <v>29</v>
      </c>
      <c r="D130" s="2" t="s">
        <v>19</v>
      </c>
      <c r="E130" s="2" t="s">
        <v>13</v>
      </c>
      <c r="F130" s="2" t="s">
        <v>14</v>
      </c>
      <c r="G130" s="2" t="s">
        <v>38</v>
      </c>
      <c r="H130" s="2" t="s">
        <v>31</v>
      </c>
      <c r="I130" s="2">
        <v>420000</v>
      </c>
      <c r="J130" s="2">
        <v>5</v>
      </c>
      <c r="K130" s="2" t="s">
        <v>37</v>
      </c>
      <c r="L130" s="2">
        <f t="shared" si="0"/>
        <v>336000</v>
      </c>
    </row>
    <row r="131" spans="1:12" ht="14.25" customHeight="1" x14ac:dyDescent="0.2">
      <c r="A131" s="33">
        <v>45805</v>
      </c>
      <c r="B131" s="33"/>
      <c r="C131" s="2" t="s">
        <v>11</v>
      </c>
      <c r="D131" s="2" t="s">
        <v>12</v>
      </c>
      <c r="E131" s="2" t="s">
        <v>23</v>
      </c>
      <c r="F131" s="2" t="s">
        <v>14</v>
      </c>
      <c r="G131" s="2" t="s">
        <v>27</v>
      </c>
      <c r="H131" s="2" t="s">
        <v>22</v>
      </c>
      <c r="I131" s="2">
        <v>60000</v>
      </c>
      <c r="J131" s="2">
        <v>9</v>
      </c>
      <c r="K131" s="2" t="s">
        <v>17</v>
      </c>
      <c r="L131" s="2">
        <f t="shared" si="0"/>
        <v>48000</v>
      </c>
    </row>
    <row r="132" spans="1:12" ht="14.25" customHeight="1" x14ac:dyDescent="0.2">
      <c r="A132" s="33">
        <v>45806</v>
      </c>
      <c r="B132" s="33"/>
      <c r="C132" s="2" t="s">
        <v>25</v>
      </c>
      <c r="D132" s="2" t="s">
        <v>26</v>
      </c>
      <c r="E132" s="2" t="s">
        <v>23</v>
      </c>
      <c r="F132" s="2" t="s">
        <v>20</v>
      </c>
      <c r="G132" s="2" t="s">
        <v>15</v>
      </c>
      <c r="H132" s="2" t="s">
        <v>16</v>
      </c>
      <c r="I132" s="2">
        <v>85000</v>
      </c>
      <c r="J132" s="2">
        <v>5</v>
      </c>
      <c r="K132" s="2" t="s">
        <v>24</v>
      </c>
      <c r="L132" s="2">
        <f t="shared" si="0"/>
        <v>68000</v>
      </c>
    </row>
    <row r="133" spans="1:12" ht="14.25" customHeight="1" x14ac:dyDescent="0.2">
      <c r="A133" s="33">
        <v>45807</v>
      </c>
      <c r="B133" s="33"/>
      <c r="C133" s="2" t="s">
        <v>25</v>
      </c>
      <c r="D133" s="2" t="s">
        <v>26</v>
      </c>
      <c r="E133" s="2" t="s">
        <v>23</v>
      </c>
      <c r="F133" s="2" t="s">
        <v>14</v>
      </c>
      <c r="G133" s="2" t="s">
        <v>15</v>
      </c>
      <c r="H133" s="2" t="s">
        <v>16</v>
      </c>
      <c r="I133" s="2">
        <v>85000</v>
      </c>
      <c r="J133" s="2">
        <v>1</v>
      </c>
      <c r="K133" s="2" t="s">
        <v>28</v>
      </c>
      <c r="L133" s="2">
        <f t="shared" si="0"/>
        <v>68000</v>
      </c>
    </row>
    <row r="134" spans="1:12" ht="14.25" customHeight="1" x14ac:dyDescent="0.2">
      <c r="A134" s="33">
        <v>45808</v>
      </c>
      <c r="B134" s="33"/>
      <c r="C134" s="2" t="s">
        <v>18</v>
      </c>
      <c r="D134" s="2" t="s">
        <v>19</v>
      </c>
      <c r="E134" s="2" t="s">
        <v>13</v>
      </c>
      <c r="F134" s="2" t="s">
        <v>20</v>
      </c>
      <c r="G134" s="2" t="s">
        <v>27</v>
      </c>
      <c r="H134" s="2" t="s">
        <v>22</v>
      </c>
      <c r="I134" s="2">
        <v>60000</v>
      </c>
      <c r="J134" s="2">
        <v>8</v>
      </c>
      <c r="K134" s="2" t="s">
        <v>35</v>
      </c>
      <c r="L134" s="2">
        <f t="shared" si="0"/>
        <v>48000</v>
      </c>
    </row>
    <row r="135" spans="1:12" ht="14.25" customHeight="1" x14ac:dyDescent="0.2">
      <c r="A135" s="33">
        <v>45809</v>
      </c>
      <c r="B135" s="33"/>
      <c r="C135" s="2" t="s">
        <v>11</v>
      </c>
      <c r="D135" s="2" t="s">
        <v>26</v>
      </c>
      <c r="E135" s="2" t="s">
        <v>23</v>
      </c>
      <c r="F135" s="2" t="s">
        <v>14</v>
      </c>
      <c r="G135" s="2" t="s">
        <v>36</v>
      </c>
      <c r="H135" s="2" t="s">
        <v>31</v>
      </c>
      <c r="I135" s="2">
        <v>150000</v>
      </c>
      <c r="J135" s="2">
        <v>5</v>
      </c>
      <c r="K135" s="2" t="s">
        <v>37</v>
      </c>
      <c r="L135" s="2">
        <f t="shared" si="0"/>
        <v>120000</v>
      </c>
    </row>
    <row r="136" spans="1:12" ht="14.25" customHeight="1" x14ac:dyDescent="0.2">
      <c r="A136" s="33">
        <v>45810</v>
      </c>
      <c r="B136" s="33"/>
      <c r="C136" s="2" t="s">
        <v>11</v>
      </c>
      <c r="D136" s="2" t="s">
        <v>32</v>
      </c>
      <c r="E136" s="2" t="s">
        <v>13</v>
      </c>
      <c r="F136" s="2" t="s">
        <v>14</v>
      </c>
      <c r="G136" s="2" t="s">
        <v>34</v>
      </c>
      <c r="H136" s="2" t="s">
        <v>16</v>
      </c>
      <c r="I136" s="2">
        <v>320000</v>
      </c>
      <c r="J136" s="2">
        <v>10</v>
      </c>
      <c r="K136" s="2" t="s">
        <v>35</v>
      </c>
      <c r="L136" s="2">
        <f t="shared" si="0"/>
        <v>256000</v>
      </c>
    </row>
    <row r="137" spans="1:12" ht="14.25" customHeight="1" x14ac:dyDescent="0.2">
      <c r="A137" s="33">
        <v>45811</v>
      </c>
      <c r="B137" s="33"/>
      <c r="C137" s="2" t="s">
        <v>11</v>
      </c>
      <c r="D137" s="2" t="s">
        <v>32</v>
      </c>
      <c r="E137" s="2" t="s">
        <v>23</v>
      </c>
      <c r="F137" s="2" t="s">
        <v>14</v>
      </c>
      <c r="G137" s="2" t="s">
        <v>40</v>
      </c>
      <c r="H137" s="2" t="s">
        <v>31</v>
      </c>
      <c r="I137" s="2">
        <v>250000</v>
      </c>
      <c r="J137" s="2">
        <v>6</v>
      </c>
      <c r="K137" s="2" t="s">
        <v>39</v>
      </c>
      <c r="L137" s="2">
        <f t="shared" si="0"/>
        <v>200000</v>
      </c>
    </row>
    <row r="138" spans="1:12" ht="14.25" customHeight="1" x14ac:dyDescent="0.2">
      <c r="A138" s="33">
        <v>45812</v>
      </c>
      <c r="B138" s="33"/>
      <c r="C138" s="2" t="s">
        <v>25</v>
      </c>
      <c r="D138" s="2" t="s">
        <v>26</v>
      </c>
      <c r="E138" s="2" t="s">
        <v>23</v>
      </c>
      <c r="F138" s="2" t="s">
        <v>14</v>
      </c>
      <c r="G138" s="2" t="s">
        <v>36</v>
      </c>
      <c r="H138" s="2" t="s">
        <v>31</v>
      </c>
      <c r="I138" s="2">
        <v>150000</v>
      </c>
      <c r="J138" s="2">
        <v>3</v>
      </c>
      <c r="K138" s="2" t="s">
        <v>17</v>
      </c>
      <c r="L138" s="2">
        <f t="shared" si="0"/>
        <v>120000</v>
      </c>
    </row>
    <row r="139" spans="1:12" ht="14.25" customHeight="1" x14ac:dyDescent="0.2">
      <c r="A139" s="33">
        <v>45813</v>
      </c>
      <c r="B139" s="33"/>
      <c r="C139" s="2" t="s">
        <v>11</v>
      </c>
      <c r="D139" s="2" t="s">
        <v>19</v>
      </c>
      <c r="E139" s="2" t="s">
        <v>23</v>
      </c>
      <c r="F139" s="2" t="s">
        <v>14</v>
      </c>
      <c r="G139" s="2" t="s">
        <v>27</v>
      </c>
      <c r="H139" s="2" t="s">
        <v>22</v>
      </c>
      <c r="I139" s="2">
        <v>60000</v>
      </c>
      <c r="J139" s="2">
        <v>10</v>
      </c>
      <c r="K139" s="2" t="s">
        <v>37</v>
      </c>
      <c r="L139" s="2">
        <f t="shared" si="0"/>
        <v>48000</v>
      </c>
    </row>
    <row r="140" spans="1:12" ht="14.25" customHeight="1" x14ac:dyDescent="0.2">
      <c r="A140" s="33">
        <v>45814</v>
      </c>
      <c r="B140" s="33"/>
      <c r="C140" s="2" t="s">
        <v>29</v>
      </c>
      <c r="D140" s="2" t="s">
        <v>26</v>
      </c>
      <c r="E140" s="2" t="s">
        <v>13</v>
      </c>
      <c r="F140" s="2" t="s">
        <v>14</v>
      </c>
      <c r="G140" s="2" t="s">
        <v>36</v>
      </c>
      <c r="H140" s="2" t="s">
        <v>31</v>
      </c>
      <c r="I140" s="2">
        <v>150000</v>
      </c>
      <c r="J140" s="2">
        <v>8</v>
      </c>
      <c r="K140" s="2" t="s">
        <v>28</v>
      </c>
      <c r="L140" s="2">
        <f t="shared" si="0"/>
        <v>120000</v>
      </c>
    </row>
    <row r="141" spans="1:12" ht="14.25" customHeight="1" x14ac:dyDescent="0.2">
      <c r="A141" s="33">
        <v>45815</v>
      </c>
      <c r="B141" s="33"/>
      <c r="C141" s="2" t="s">
        <v>25</v>
      </c>
      <c r="D141" s="2" t="s">
        <v>12</v>
      </c>
      <c r="E141" s="2" t="s">
        <v>13</v>
      </c>
      <c r="F141" s="2" t="s">
        <v>14</v>
      </c>
      <c r="G141" s="2" t="s">
        <v>40</v>
      </c>
      <c r="H141" s="2" t="s">
        <v>31</v>
      </c>
      <c r="I141" s="2">
        <v>250000</v>
      </c>
      <c r="J141" s="2">
        <v>7</v>
      </c>
      <c r="K141" s="2" t="s">
        <v>37</v>
      </c>
      <c r="L141" s="2">
        <f t="shared" si="0"/>
        <v>200000</v>
      </c>
    </row>
    <row r="142" spans="1:12" ht="14.25" customHeight="1" x14ac:dyDescent="0.2">
      <c r="A142" s="33">
        <v>45816</v>
      </c>
      <c r="B142" s="33"/>
      <c r="C142" s="2" t="s">
        <v>25</v>
      </c>
      <c r="D142" s="2" t="s">
        <v>32</v>
      </c>
      <c r="E142" s="2" t="s">
        <v>23</v>
      </c>
      <c r="F142" s="2" t="s">
        <v>14</v>
      </c>
      <c r="G142" s="2" t="s">
        <v>15</v>
      </c>
      <c r="H142" s="2" t="s">
        <v>16</v>
      </c>
      <c r="I142" s="2">
        <v>85000</v>
      </c>
      <c r="J142" s="2">
        <v>6</v>
      </c>
      <c r="K142" s="2" t="s">
        <v>35</v>
      </c>
      <c r="L142" s="2">
        <f t="shared" si="0"/>
        <v>68000</v>
      </c>
    </row>
    <row r="143" spans="1:12" ht="14.25" customHeight="1" x14ac:dyDescent="0.2">
      <c r="A143" s="33">
        <v>45817</v>
      </c>
      <c r="B143" s="33"/>
      <c r="C143" s="2" t="s">
        <v>29</v>
      </c>
      <c r="D143" s="2" t="s">
        <v>12</v>
      </c>
      <c r="E143" s="2" t="s">
        <v>23</v>
      </c>
      <c r="F143" s="2" t="s">
        <v>14</v>
      </c>
      <c r="G143" s="2" t="s">
        <v>33</v>
      </c>
      <c r="H143" s="2" t="s">
        <v>22</v>
      </c>
      <c r="I143" s="2">
        <v>180000</v>
      </c>
      <c r="J143" s="2">
        <v>9</v>
      </c>
      <c r="K143" s="2" t="s">
        <v>37</v>
      </c>
      <c r="L143" s="2">
        <f t="shared" si="0"/>
        <v>144000</v>
      </c>
    </row>
    <row r="144" spans="1:12" ht="14.25" customHeight="1" x14ac:dyDescent="0.2">
      <c r="A144" s="33">
        <v>45818</v>
      </c>
      <c r="B144" s="33"/>
      <c r="C144" s="2" t="s">
        <v>11</v>
      </c>
      <c r="D144" s="2" t="s">
        <v>32</v>
      </c>
      <c r="E144" s="2" t="s">
        <v>23</v>
      </c>
      <c r="F144" s="2" t="s">
        <v>14</v>
      </c>
      <c r="G144" s="2" t="s">
        <v>21</v>
      </c>
      <c r="H144" s="2" t="s">
        <v>22</v>
      </c>
      <c r="I144" s="2">
        <v>30000</v>
      </c>
      <c r="J144" s="2">
        <v>8</v>
      </c>
      <c r="K144" s="2" t="s">
        <v>37</v>
      </c>
      <c r="L144" s="2">
        <f t="shared" si="0"/>
        <v>24000</v>
      </c>
    </row>
    <row r="145" spans="1:12" ht="14.25" customHeight="1" x14ac:dyDescent="0.2">
      <c r="A145" s="33">
        <v>45819</v>
      </c>
      <c r="B145" s="33"/>
      <c r="C145" s="2" t="s">
        <v>25</v>
      </c>
      <c r="D145" s="2" t="s">
        <v>12</v>
      </c>
      <c r="E145" s="2" t="s">
        <v>23</v>
      </c>
      <c r="F145" s="2" t="s">
        <v>20</v>
      </c>
      <c r="G145" s="2" t="s">
        <v>15</v>
      </c>
      <c r="H145" s="2" t="s">
        <v>16</v>
      </c>
      <c r="I145" s="2">
        <v>85000</v>
      </c>
      <c r="J145" s="2">
        <v>1</v>
      </c>
      <c r="K145" s="2" t="s">
        <v>24</v>
      </c>
      <c r="L145" s="2">
        <f t="shared" si="0"/>
        <v>68000</v>
      </c>
    </row>
    <row r="146" spans="1:12" ht="14.25" customHeight="1" x14ac:dyDescent="0.2">
      <c r="A146" s="33">
        <v>45820</v>
      </c>
      <c r="B146" s="33"/>
      <c r="C146" s="2" t="s">
        <v>11</v>
      </c>
      <c r="D146" s="2" t="s">
        <v>32</v>
      </c>
      <c r="E146" s="2" t="s">
        <v>23</v>
      </c>
      <c r="F146" s="2" t="s">
        <v>14</v>
      </c>
      <c r="G146" s="2" t="s">
        <v>21</v>
      </c>
      <c r="H146" s="2" t="s">
        <v>22</v>
      </c>
      <c r="I146" s="2">
        <v>30000</v>
      </c>
      <c r="J146" s="2">
        <v>8</v>
      </c>
      <c r="K146" s="2" t="s">
        <v>39</v>
      </c>
      <c r="L146" s="2">
        <f t="shared" si="0"/>
        <v>24000</v>
      </c>
    </row>
    <row r="147" spans="1:12" ht="14.25" customHeight="1" x14ac:dyDescent="0.2">
      <c r="A147" s="33">
        <v>45821</v>
      </c>
      <c r="B147" s="33"/>
      <c r="C147" s="2" t="s">
        <v>29</v>
      </c>
      <c r="D147" s="2" t="s">
        <v>26</v>
      </c>
      <c r="E147" s="2" t="s">
        <v>13</v>
      </c>
      <c r="F147" s="2" t="s">
        <v>14</v>
      </c>
      <c r="G147" s="2" t="s">
        <v>34</v>
      </c>
      <c r="H147" s="2" t="s">
        <v>16</v>
      </c>
      <c r="I147" s="2">
        <v>320000</v>
      </c>
      <c r="J147" s="2">
        <v>2</v>
      </c>
      <c r="K147" s="2" t="s">
        <v>37</v>
      </c>
      <c r="L147" s="2">
        <f t="shared" si="0"/>
        <v>256000</v>
      </c>
    </row>
    <row r="148" spans="1:12" ht="14.25" customHeight="1" x14ac:dyDescent="0.2">
      <c r="A148" s="33">
        <v>45822</v>
      </c>
      <c r="B148" s="33"/>
      <c r="C148" s="2" t="s">
        <v>18</v>
      </c>
      <c r="D148" s="2" t="s">
        <v>12</v>
      </c>
      <c r="E148" s="2" t="s">
        <v>13</v>
      </c>
      <c r="F148" s="2" t="s">
        <v>14</v>
      </c>
      <c r="G148" s="2" t="s">
        <v>36</v>
      </c>
      <c r="H148" s="2" t="s">
        <v>31</v>
      </c>
      <c r="I148" s="2">
        <v>150000</v>
      </c>
      <c r="J148" s="2">
        <v>5</v>
      </c>
      <c r="K148" s="2" t="s">
        <v>37</v>
      </c>
      <c r="L148" s="2">
        <f t="shared" si="0"/>
        <v>120000</v>
      </c>
    </row>
    <row r="149" spans="1:12" ht="14.25" customHeight="1" x14ac:dyDescent="0.2">
      <c r="A149" s="33">
        <v>45823</v>
      </c>
      <c r="B149" s="33"/>
      <c r="C149" s="2" t="s">
        <v>18</v>
      </c>
      <c r="D149" s="2" t="s">
        <v>26</v>
      </c>
      <c r="E149" s="2" t="s">
        <v>23</v>
      </c>
      <c r="F149" s="2" t="s">
        <v>14</v>
      </c>
      <c r="G149" s="2" t="s">
        <v>40</v>
      </c>
      <c r="H149" s="2" t="s">
        <v>31</v>
      </c>
      <c r="I149" s="2">
        <v>250000</v>
      </c>
      <c r="J149" s="2">
        <v>5</v>
      </c>
      <c r="K149" s="2" t="s">
        <v>39</v>
      </c>
      <c r="L149" s="2">
        <f t="shared" si="0"/>
        <v>200000</v>
      </c>
    </row>
    <row r="150" spans="1:12" ht="14.25" customHeight="1" x14ac:dyDescent="0.2">
      <c r="A150" s="33">
        <v>45824</v>
      </c>
      <c r="B150" s="33"/>
      <c r="C150" s="2" t="s">
        <v>29</v>
      </c>
      <c r="D150" s="2" t="s">
        <v>32</v>
      </c>
      <c r="E150" s="2" t="s">
        <v>23</v>
      </c>
      <c r="F150" s="2" t="s">
        <v>14</v>
      </c>
      <c r="G150" s="2" t="s">
        <v>41</v>
      </c>
      <c r="H150" s="2" t="s">
        <v>22</v>
      </c>
      <c r="I150" s="2">
        <v>220000</v>
      </c>
      <c r="J150" s="2">
        <v>10</v>
      </c>
      <c r="K150" s="2" t="s">
        <v>24</v>
      </c>
      <c r="L150" s="2">
        <f t="shared" si="0"/>
        <v>176000</v>
      </c>
    </row>
    <row r="151" spans="1:12" ht="14.25" customHeight="1" x14ac:dyDescent="0.2">
      <c r="A151" s="33">
        <v>45825</v>
      </c>
      <c r="B151" s="33"/>
      <c r="C151" s="2" t="s">
        <v>29</v>
      </c>
      <c r="D151" s="2" t="s">
        <v>26</v>
      </c>
      <c r="E151" s="2" t="s">
        <v>23</v>
      </c>
      <c r="F151" s="2" t="s">
        <v>14</v>
      </c>
      <c r="G151" s="2" t="s">
        <v>27</v>
      </c>
      <c r="H151" s="2" t="s">
        <v>22</v>
      </c>
      <c r="I151" s="2">
        <v>60000</v>
      </c>
      <c r="J151" s="2">
        <v>2</v>
      </c>
      <c r="K151" s="2" t="s">
        <v>35</v>
      </c>
      <c r="L151" s="2">
        <f t="shared" si="0"/>
        <v>48000</v>
      </c>
    </row>
    <row r="152" spans="1:12" ht="14.25" customHeight="1" x14ac:dyDescent="0.2">
      <c r="A152" s="33">
        <v>45826</v>
      </c>
      <c r="B152" s="33"/>
      <c r="C152" s="2" t="s">
        <v>29</v>
      </c>
      <c r="D152" s="2" t="s">
        <v>26</v>
      </c>
      <c r="E152" s="2" t="s">
        <v>23</v>
      </c>
      <c r="F152" s="2" t="s">
        <v>20</v>
      </c>
      <c r="G152" s="2" t="s">
        <v>40</v>
      </c>
      <c r="H152" s="2" t="s">
        <v>31</v>
      </c>
      <c r="I152" s="2">
        <v>250000</v>
      </c>
      <c r="J152" s="2">
        <v>1</v>
      </c>
      <c r="K152" s="2" t="s">
        <v>37</v>
      </c>
      <c r="L152" s="2">
        <f t="shared" si="0"/>
        <v>200000</v>
      </c>
    </row>
    <row r="153" spans="1:12" ht="14.25" customHeight="1" x14ac:dyDescent="0.2">
      <c r="A153" s="33">
        <v>45827</v>
      </c>
      <c r="B153" s="33"/>
      <c r="C153" s="2" t="s">
        <v>11</v>
      </c>
      <c r="D153" s="2" t="s">
        <v>12</v>
      </c>
      <c r="E153" s="2" t="s">
        <v>13</v>
      </c>
      <c r="F153" s="2" t="s">
        <v>14</v>
      </c>
      <c r="G153" s="2" t="s">
        <v>33</v>
      </c>
      <c r="H153" s="2" t="s">
        <v>22</v>
      </c>
      <c r="I153" s="2">
        <v>180000</v>
      </c>
      <c r="J153" s="2">
        <v>8</v>
      </c>
      <c r="K153" s="2" t="s">
        <v>39</v>
      </c>
      <c r="L153" s="2">
        <f t="shared" si="0"/>
        <v>144000</v>
      </c>
    </row>
    <row r="154" spans="1:12" ht="14.25" customHeight="1" x14ac:dyDescent="0.2">
      <c r="A154" s="33">
        <v>45828</v>
      </c>
      <c r="B154" s="33"/>
      <c r="C154" s="2" t="s">
        <v>29</v>
      </c>
      <c r="D154" s="2" t="s">
        <v>19</v>
      </c>
      <c r="E154" s="2" t="s">
        <v>13</v>
      </c>
      <c r="F154" s="2" t="s">
        <v>14</v>
      </c>
      <c r="G154" s="2" t="s">
        <v>36</v>
      </c>
      <c r="H154" s="2" t="s">
        <v>31</v>
      </c>
      <c r="I154" s="2">
        <v>150000</v>
      </c>
      <c r="J154" s="2">
        <v>1</v>
      </c>
      <c r="K154" s="2" t="s">
        <v>17</v>
      </c>
      <c r="L154" s="2">
        <f t="shared" si="0"/>
        <v>120000</v>
      </c>
    </row>
    <row r="155" spans="1:12" ht="14.25" customHeight="1" x14ac:dyDescent="0.2">
      <c r="A155" s="33">
        <v>45829</v>
      </c>
      <c r="B155" s="33"/>
      <c r="C155" s="2" t="s">
        <v>29</v>
      </c>
      <c r="D155" s="2" t="s">
        <v>32</v>
      </c>
      <c r="E155" s="2" t="s">
        <v>13</v>
      </c>
      <c r="F155" s="2" t="s">
        <v>14</v>
      </c>
      <c r="G155" s="2" t="s">
        <v>21</v>
      </c>
      <c r="H155" s="2" t="s">
        <v>22</v>
      </c>
      <c r="I155" s="2">
        <v>30000</v>
      </c>
      <c r="J155" s="2">
        <v>6</v>
      </c>
      <c r="K155" s="2" t="s">
        <v>24</v>
      </c>
      <c r="L155" s="2">
        <f t="shared" si="0"/>
        <v>24000</v>
      </c>
    </row>
    <row r="156" spans="1:12" ht="14.25" customHeight="1" x14ac:dyDescent="0.2">
      <c r="A156" s="33">
        <v>45830</v>
      </c>
      <c r="B156" s="33"/>
      <c r="C156" s="2" t="s">
        <v>11</v>
      </c>
      <c r="D156" s="2" t="s">
        <v>12</v>
      </c>
      <c r="E156" s="2" t="s">
        <v>23</v>
      </c>
      <c r="F156" s="2" t="s">
        <v>14</v>
      </c>
      <c r="G156" s="2" t="s">
        <v>41</v>
      </c>
      <c r="H156" s="2" t="s">
        <v>22</v>
      </c>
      <c r="I156" s="2">
        <v>220000</v>
      </c>
      <c r="J156" s="2">
        <v>10</v>
      </c>
      <c r="K156" s="2" t="s">
        <v>39</v>
      </c>
      <c r="L156" s="2">
        <f t="shared" si="0"/>
        <v>176000</v>
      </c>
    </row>
    <row r="157" spans="1:12" ht="14.25" customHeight="1" x14ac:dyDescent="0.2">
      <c r="A157" s="33">
        <v>45831</v>
      </c>
      <c r="B157" s="33"/>
      <c r="C157" s="2" t="s">
        <v>11</v>
      </c>
      <c r="D157" s="2" t="s">
        <v>12</v>
      </c>
      <c r="E157" s="2" t="s">
        <v>13</v>
      </c>
      <c r="F157" s="2" t="s">
        <v>20</v>
      </c>
      <c r="G157" s="2" t="s">
        <v>38</v>
      </c>
      <c r="H157" s="2" t="s">
        <v>31</v>
      </c>
      <c r="I157" s="2">
        <v>420000</v>
      </c>
      <c r="J157" s="2">
        <v>1</v>
      </c>
      <c r="K157" s="2" t="s">
        <v>24</v>
      </c>
      <c r="L157" s="2">
        <f t="shared" si="0"/>
        <v>336000</v>
      </c>
    </row>
    <row r="158" spans="1:12" ht="14.25" customHeight="1" x14ac:dyDescent="0.2">
      <c r="A158" s="33">
        <v>45832</v>
      </c>
      <c r="B158" s="33"/>
      <c r="C158" s="2" t="s">
        <v>11</v>
      </c>
      <c r="D158" s="2" t="s">
        <v>19</v>
      </c>
      <c r="E158" s="2" t="s">
        <v>23</v>
      </c>
      <c r="F158" s="2" t="s">
        <v>20</v>
      </c>
      <c r="G158" s="2" t="s">
        <v>30</v>
      </c>
      <c r="H158" s="2" t="s">
        <v>31</v>
      </c>
      <c r="I158" s="2">
        <v>300000</v>
      </c>
      <c r="J158" s="2">
        <v>8</v>
      </c>
      <c r="K158" s="2" t="s">
        <v>24</v>
      </c>
      <c r="L158" s="2">
        <f t="shared" si="0"/>
        <v>240000</v>
      </c>
    </row>
    <row r="159" spans="1:12" ht="14.25" customHeight="1" x14ac:dyDescent="0.2">
      <c r="A159" s="33">
        <v>45833</v>
      </c>
      <c r="B159" s="33"/>
      <c r="C159" s="2" t="s">
        <v>29</v>
      </c>
      <c r="D159" s="2" t="s">
        <v>32</v>
      </c>
      <c r="E159" s="2" t="s">
        <v>23</v>
      </c>
      <c r="F159" s="2" t="s">
        <v>14</v>
      </c>
      <c r="G159" s="2" t="s">
        <v>40</v>
      </c>
      <c r="H159" s="2" t="s">
        <v>31</v>
      </c>
      <c r="I159" s="2">
        <v>250000</v>
      </c>
      <c r="J159" s="2">
        <v>3</v>
      </c>
      <c r="K159" s="2" t="s">
        <v>17</v>
      </c>
      <c r="L159" s="2">
        <f t="shared" si="0"/>
        <v>200000</v>
      </c>
    </row>
    <row r="160" spans="1:12" ht="14.25" customHeight="1" x14ac:dyDescent="0.2">
      <c r="A160" s="33">
        <v>45834</v>
      </c>
      <c r="B160" s="33"/>
      <c r="C160" s="2" t="s">
        <v>11</v>
      </c>
      <c r="D160" s="2" t="s">
        <v>32</v>
      </c>
      <c r="E160" s="2" t="s">
        <v>23</v>
      </c>
      <c r="F160" s="2" t="s">
        <v>14</v>
      </c>
      <c r="G160" s="2" t="s">
        <v>30</v>
      </c>
      <c r="H160" s="2" t="s">
        <v>31</v>
      </c>
      <c r="I160" s="2">
        <v>300000</v>
      </c>
      <c r="J160" s="2">
        <v>4</v>
      </c>
      <c r="K160" s="2" t="s">
        <v>35</v>
      </c>
      <c r="L160" s="2">
        <f t="shared" si="0"/>
        <v>240000</v>
      </c>
    </row>
    <row r="161" spans="1:12" ht="14.25" customHeight="1" x14ac:dyDescent="0.2">
      <c r="A161" s="33">
        <v>45835</v>
      </c>
      <c r="B161" s="33"/>
      <c r="C161" s="2" t="s">
        <v>11</v>
      </c>
      <c r="D161" s="2" t="s">
        <v>26</v>
      </c>
      <c r="E161" s="2" t="s">
        <v>13</v>
      </c>
      <c r="F161" s="2" t="s">
        <v>14</v>
      </c>
      <c r="G161" s="2" t="s">
        <v>36</v>
      </c>
      <c r="H161" s="2" t="s">
        <v>31</v>
      </c>
      <c r="I161" s="2">
        <v>150000</v>
      </c>
      <c r="J161" s="2">
        <v>6</v>
      </c>
      <c r="K161" s="2" t="s">
        <v>35</v>
      </c>
      <c r="L161" s="2">
        <f t="shared" si="0"/>
        <v>120000</v>
      </c>
    </row>
    <row r="162" spans="1:12" ht="14.25" customHeight="1" x14ac:dyDescent="0.2">
      <c r="A162" s="33">
        <v>45836</v>
      </c>
      <c r="B162" s="33"/>
      <c r="C162" s="2" t="s">
        <v>11</v>
      </c>
      <c r="D162" s="2" t="s">
        <v>32</v>
      </c>
      <c r="E162" s="2" t="s">
        <v>13</v>
      </c>
      <c r="F162" s="2" t="s">
        <v>14</v>
      </c>
      <c r="G162" s="2" t="s">
        <v>38</v>
      </c>
      <c r="H162" s="2" t="s">
        <v>31</v>
      </c>
      <c r="I162" s="2">
        <v>420000</v>
      </c>
      <c r="J162" s="2">
        <v>2</v>
      </c>
      <c r="K162" s="2" t="s">
        <v>17</v>
      </c>
      <c r="L162" s="2">
        <f t="shared" si="0"/>
        <v>336000</v>
      </c>
    </row>
    <row r="163" spans="1:12" ht="14.25" customHeight="1" x14ac:dyDescent="0.2">
      <c r="A163" s="33">
        <v>45837</v>
      </c>
      <c r="B163" s="33"/>
      <c r="C163" s="2" t="s">
        <v>25</v>
      </c>
      <c r="D163" s="2" t="s">
        <v>19</v>
      </c>
      <c r="E163" s="2" t="s">
        <v>13</v>
      </c>
      <c r="F163" s="2" t="s">
        <v>14</v>
      </c>
      <c r="G163" s="2" t="s">
        <v>41</v>
      </c>
      <c r="H163" s="2" t="s">
        <v>22</v>
      </c>
      <c r="I163" s="2">
        <v>220000</v>
      </c>
      <c r="J163" s="2">
        <v>1</v>
      </c>
      <c r="K163" s="2" t="s">
        <v>24</v>
      </c>
      <c r="L163" s="2">
        <f t="shared" si="0"/>
        <v>176000</v>
      </c>
    </row>
    <row r="164" spans="1:12" ht="14.25" customHeight="1" x14ac:dyDescent="0.2">
      <c r="A164" s="33">
        <v>45838</v>
      </c>
      <c r="B164" s="33"/>
      <c r="C164" s="2" t="s">
        <v>25</v>
      </c>
      <c r="D164" s="2" t="s">
        <v>32</v>
      </c>
      <c r="E164" s="2" t="s">
        <v>13</v>
      </c>
      <c r="F164" s="2" t="s">
        <v>20</v>
      </c>
      <c r="G164" s="2" t="s">
        <v>41</v>
      </c>
      <c r="H164" s="2" t="s">
        <v>22</v>
      </c>
      <c r="I164" s="2">
        <v>220000</v>
      </c>
      <c r="J164" s="2">
        <v>8</v>
      </c>
      <c r="K164" s="2" t="s">
        <v>37</v>
      </c>
      <c r="L164" s="2">
        <f t="shared" si="0"/>
        <v>176000</v>
      </c>
    </row>
    <row r="165" spans="1:12" ht="14.25" customHeight="1" x14ac:dyDescent="0.2">
      <c r="A165" s="33">
        <v>45839</v>
      </c>
      <c r="B165" s="33"/>
      <c r="C165" s="2" t="s">
        <v>29</v>
      </c>
      <c r="D165" s="2" t="s">
        <v>26</v>
      </c>
      <c r="E165" s="2" t="s">
        <v>13</v>
      </c>
      <c r="F165" s="2" t="s">
        <v>20</v>
      </c>
      <c r="G165" s="2" t="s">
        <v>21</v>
      </c>
      <c r="H165" s="2" t="s">
        <v>22</v>
      </c>
      <c r="I165" s="2">
        <v>30000</v>
      </c>
      <c r="J165" s="2">
        <v>10</v>
      </c>
      <c r="K165" s="2" t="s">
        <v>39</v>
      </c>
      <c r="L165" s="2">
        <f t="shared" si="0"/>
        <v>24000</v>
      </c>
    </row>
    <row r="166" spans="1:12" ht="14.25" customHeight="1" x14ac:dyDescent="0.2">
      <c r="A166" s="33">
        <v>45840</v>
      </c>
      <c r="B166" s="33"/>
      <c r="C166" s="2" t="s">
        <v>29</v>
      </c>
      <c r="D166" s="2" t="s">
        <v>19</v>
      </c>
      <c r="E166" s="2" t="s">
        <v>23</v>
      </c>
      <c r="F166" s="2" t="s">
        <v>14</v>
      </c>
      <c r="G166" s="2" t="s">
        <v>21</v>
      </c>
      <c r="H166" s="2" t="s">
        <v>22</v>
      </c>
      <c r="I166" s="2">
        <v>30000</v>
      </c>
      <c r="J166" s="2">
        <v>4</v>
      </c>
      <c r="K166" s="2" t="s">
        <v>39</v>
      </c>
      <c r="L166" s="2">
        <f t="shared" si="0"/>
        <v>24000</v>
      </c>
    </row>
    <row r="167" spans="1:12" ht="14.25" customHeight="1" x14ac:dyDescent="0.2">
      <c r="A167" s="33">
        <v>45841</v>
      </c>
      <c r="B167" s="33"/>
      <c r="C167" s="2" t="s">
        <v>11</v>
      </c>
      <c r="D167" s="2" t="s">
        <v>12</v>
      </c>
      <c r="E167" s="2" t="s">
        <v>23</v>
      </c>
      <c r="F167" s="2" t="s">
        <v>14</v>
      </c>
      <c r="G167" s="2" t="s">
        <v>33</v>
      </c>
      <c r="H167" s="2" t="s">
        <v>22</v>
      </c>
      <c r="I167" s="2">
        <v>180000</v>
      </c>
      <c r="J167" s="2">
        <v>6</v>
      </c>
      <c r="K167" s="2" t="s">
        <v>17</v>
      </c>
      <c r="L167" s="2">
        <f t="shared" si="0"/>
        <v>144000</v>
      </c>
    </row>
    <row r="168" spans="1:12" ht="14.25" customHeight="1" x14ac:dyDescent="0.2">
      <c r="A168" s="33">
        <v>45842</v>
      </c>
      <c r="B168" s="33"/>
      <c r="C168" s="2" t="s">
        <v>11</v>
      </c>
      <c r="D168" s="2" t="s">
        <v>32</v>
      </c>
      <c r="E168" s="2" t="s">
        <v>23</v>
      </c>
      <c r="F168" s="2" t="s">
        <v>14</v>
      </c>
      <c r="G168" s="2" t="s">
        <v>30</v>
      </c>
      <c r="H168" s="2" t="s">
        <v>31</v>
      </c>
      <c r="I168" s="2">
        <v>300000</v>
      </c>
      <c r="J168" s="2">
        <v>2</v>
      </c>
      <c r="K168" s="2" t="s">
        <v>39</v>
      </c>
      <c r="L168" s="2">
        <f t="shared" si="0"/>
        <v>240000</v>
      </c>
    </row>
    <row r="169" spans="1:12" ht="14.25" customHeight="1" x14ac:dyDescent="0.2">
      <c r="A169" s="33">
        <v>45843</v>
      </c>
      <c r="B169" s="33"/>
      <c r="C169" s="2" t="s">
        <v>18</v>
      </c>
      <c r="D169" s="2" t="s">
        <v>19</v>
      </c>
      <c r="E169" s="2" t="s">
        <v>13</v>
      </c>
      <c r="F169" s="2" t="s">
        <v>14</v>
      </c>
      <c r="G169" s="2" t="s">
        <v>36</v>
      </c>
      <c r="H169" s="2" t="s">
        <v>31</v>
      </c>
      <c r="I169" s="2">
        <v>150000</v>
      </c>
      <c r="J169" s="2">
        <v>9</v>
      </c>
      <c r="K169" s="2" t="s">
        <v>17</v>
      </c>
      <c r="L169" s="2">
        <f t="shared" si="0"/>
        <v>120000</v>
      </c>
    </row>
    <row r="170" spans="1:12" ht="14.25" customHeight="1" x14ac:dyDescent="0.2">
      <c r="A170" s="33">
        <v>45844</v>
      </c>
      <c r="B170" s="33"/>
      <c r="C170" s="2" t="s">
        <v>29</v>
      </c>
      <c r="D170" s="2" t="s">
        <v>12</v>
      </c>
      <c r="E170" s="2" t="s">
        <v>13</v>
      </c>
      <c r="F170" s="2" t="s">
        <v>20</v>
      </c>
      <c r="G170" s="2" t="s">
        <v>36</v>
      </c>
      <c r="H170" s="2" t="s">
        <v>31</v>
      </c>
      <c r="I170" s="2">
        <v>150000</v>
      </c>
      <c r="J170" s="2">
        <v>9</v>
      </c>
      <c r="K170" s="2" t="s">
        <v>24</v>
      </c>
      <c r="L170" s="2">
        <f t="shared" si="0"/>
        <v>120000</v>
      </c>
    </row>
    <row r="171" spans="1:12" ht="14.25" customHeight="1" x14ac:dyDescent="0.2">
      <c r="A171" s="33">
        <v>45845</v>
      </c>
      <c r="B171" s="33"/>
      <c r="C171" s="2" t="s">
        <v>11</v>
      </c>
      <c r="D171" s="2" t="s">
        <v>12</v>
      </c>
      <c r="E171" s="2" t="s">
        <v>13</v>
      </c>
      <c r="F171" s="2" t="s">
        <v>14</v>
      </c>
      <c r="G171" s="2" t="s">
        <v>21</v>
      </c>
      <c r="H171" s="2" t="s">
        <v>22</v>
      </c>
      <c r="I171" s="2">
        <v>30000</v>
      </c>
      <c r="J171" s="2">
        <v>4</v>
      </c>
      <c r="K171" s="2" t="s">
        <v>17</v>
      </c>
      <c r="L171" s="2">
        <f t="shared" si="0"/>
        <v>24000</v>
      </c>
    </row>
    <row r="172" spans="1:12" ht="14.25" customHeight="1" x14ac:dyDescent="0.2">
      <c r="A172" s="33">
        <v>45846</v>
      </c>
      <c r="B172" s="33"/>
      <c r="C172" s="2" t="s">
        <v>18</v>
      </c>
      <c r="D172" s="2" t="s">
        <v>26</v>
      </c>
      <c r="E172" s="2" t="s">
        <v>23</v>
      </c>
      <c r="F172" s="2" t="s">
        <v>14</v>
      </c>
      <c r="G172" s="2" t="s">
        <v>27</v>
      </c>
      <c r="H172" s="2" t="s">
        <v>22</v>
      </c>
      <c r="I172" s="2">
        <v>60000</v>
      </c>
      <c r="J172" s="2">
        <v>9</v>
      </c>
      <c r="K172" s="2" t="s">
        <v>28</v>
      </c>
      <c r="L172" s="2">
        <f t="shared" si="0"/>
        <v>48000</v>
      </c>
    </row>
    <row r="173" spans="1:12" ht="14.25" customHeight="1" x14ac:dyDescent="0.2">
      <c r="A173" s="33">
        <v>45847</v>
      </c>
      <c r="B173" s="33"/>
      <c r="C173" s="2" t="s">
        <v>25</v>
      </c>
      <c r="D173" s="2" t="s">
        <v>19</v>
      </c>
      <c r="E173" s="2" t="s">
        <v>13</v>
      </c>
      <c r="F173" s="2" t="s">
        <v>20</v>
      </c>
      <c r="G173" s="2" t="s">
        <v>30</v>
      </c>
      <c r="H173" s="2" t="s">
        <v>31</v>
      </c>
      <c r="I173" s="2">
        <v>300000</v>
      </c>
      <c r="J173" s="2">
        <v>9</v>
      </c>
      <c r="K173" s="2" t="s">
        <v>28</v>
      </c>
      <c r="L173" s="2">
        <f t="shared" si="0"/>
        <v>240000</v>
      </c>
    </row>
    <row r="174" spans="1:12" ht="14.25" customHeight="1" x14ac:dyDescent="0.2">
      <c r="A174" s="33">
        <v>45848</v>
      </c>
      <c r="B174" s="33"/>
      <c r="C174" s="2" t="s">
        <v>29</v>
      </c>
      <c r="D174" s="2" t="s">
        <v>32</v>
      </c>
      <c r="E174" s="2" t="s">
        <v>13</v>
      </c>
      <c r="F174" s="2" t="s">
        <v>14</v>
      </c>
      <c r="G174" s="2" t="s">
        <v>34</v>
      </c>
      <c r="H174" s="2" t="s">
        <v>16</v>
      </c>
      <c r="I174" s="2">
        <v>320000</v>
      </c>
      <c r="J174" s="2">
        <v>3</v>
      </c>
      <c r="K174" s="2" t="s">
        <v>39</v>
      </c>
      <c r="L174" s="2">
        <f t="shared" si="0"/>
        <v>256000</v>
      </c>
    </row>
    <row r="175" spans="1:12" ht="14.25" customHeight="1" x14ac:dyDescent="0.2">
      <c r="A175" s="33">
        <v>45849</v>
      </c>
      <c r="B175" s="33"/>
      <c r="C175" s="2" t="s">
        <v>11</v>
      </c>
      <c r="D175" s="2" t="s">
        <v>12</v>
      </c>
      <c r="E175" s="2" t="s">
        <v>13</v>
      </c>
      <c r="F175" s="2" t="s">
        <v>14</v>
      </c>
      <c r="G175" s="2" t="s">
        <v>36</v>
      </c>
      <c r="H175" s="2" t="s">
        <v>31</v>
      </c>
      <c r="I175" s="2">
        <v>150000</v>
      </c>
      <c r="J175" s="2">
        <v>1</v>
      </c>
      <c r="K175" s="2" t="s">
        <v>17</v>
      </c>
      <c r="L175" s="2">
        <f t="shared" si="0"/>
        <v>120000</v>
      </c>
    </row>
    <row r="176" spans="1:12" ht="14.25" customHeight="1" x14ac:dyDescent="0.2">
      <c r="A176" s="33">
        <v>45850</v>
      </c>
      <c r="B176" s="33"/>
      <c r="C176" s="2" t="s">
        <v>29</v>
      </c>
      <c r="D176" s="2" t="s">
        <v>19</v>
      </c>
      <c r="E176" s="2" t="s">
        <v>23</v>
      </c>
      <c r="F176" s="2" t="s">
        <v>14</v>
      </c>
      <c r="G176" s="2" t="s">
        <v>30</v>
      </c>
      <c r="H176" s="2" t="s">
        <v>31</v>
      </c>
      <c r="I176" s="2">
        <v>300000</v>
      </c>
      <c r="J176" s="2">
        <v>9</v>
      </c>
      <c r="K176" s="2" t="s">
        <v>28</v>
      </c>
      <c r="L176" s="2">
        <f t="shared" si="0"/>
        <v>240000</v>
      </c>
    </row>
    <row r="177" spans="1:12" ht="14.25" customHeight="1" x14ac:dyDescent="0.2">
      <c r="A177" s="33">
        <v>45851</v>
      </c>
      <c r="B177" s="33"/>
      <c r="C177" s="2" t="s">
        <v>18</v>
      </c>
      <c r="D177" s="2" t="s">
        <v>19</v>
      </c>
      <c r="E177" s="2" t="s">
        <v>13</v>
      </c>
      <c r="F177" s="2" t="s">
        <v>14</v>
      </c>
      <c r="G177" s="2" t="s">
        <v>41</v>
      </c>
      <c r="H177" s="2" t="s">
        <v>22</v>
      </c>
      <c r="I177" s="2">
        <v>220000</v>
      </c>
      <c r="J177" s="2">
        <v>3</v>
      </c>
      <c r="K177" s="2" t="s">
        <v>24</v>
      </c>
      <c r="L177" s="2">
        <f t="shared" si="0"/>
        <v>176000</v>
      </c>
    </row>
    <row r="178" spans="1:12" ht="14.25" customHeight="1" x14ac:dyDescent="0.2">
      <c r="A178" s="33">
        <v>45852</v>
      </c>
      <c r="B178" s="33"/>
      <c r="C178" s="2" t="s">
        <v>11</v>
      </c>
      <c r="D178" s="2" t="s">
        <v>26</v>
      </c>
      <c r="E178" s="2" t="s">
        <v>23</v>
      </c>
      <c r="F178" s="2" t="s">
        <v>14</v>
      </c>
      <c r="G178" s="2" t="s">
        <v>41</v>
      </c>
      <c r="H178" s="2" t="s">
        <v>22</v>
      </c>
      <c r="I178" s="2">
        <v>220000</v>
      </c>
      <c r="J178" s="2">
        <v>9</v>
      </c>
      <c r="K178" s="2" t="s">
        <v>39</v>
      </c>
      <c r="L178" s="2">
        <f t="shared" si="0"/>
        <v>176000</v>
      </c>
    </row>
    <row r="179" spans="1:12" ht="14.25" customHeight="1" x14ac:dyDescent="0.2">
      <c r="A179" s="33">
        <v>45853</v>
      </c>
      <c r="B179" s="33"/>
      <c r="C179" s="2" t="s">
        <v>18</v>
      </c>
      <c r="D179" s="2" t="s">
        <v>26</v>
      </c>
      <c r="E179" s="2" t="s">
        <v>23</v>
      </c>
      <c r="F179" s="2" t="s">
        <v>20</v>
      </c>
      <c r="G179" s="2" t="s">
        <v>27</v>
      </c>
      <c r="H179" s="2" t="s">
        <v>22</v>
      </c>
      <c r="I179" s="2">
        <v>60000</v>
      </c>
      <c r="J179" s="2">
        <v>6</v>
      </c>
      <c r="K179" s="2" t="s">
        <v>39</v>
      </c>
      <c r="L179" s="2">
        <f t="shared" si="0"/>
        <v>48000</v>
      </c>
    </row>
    <row r="180" spans="1:12" ht="14.25" customHeight="1" x14ac:dyDescent="0.2">
      <c r="A180" s="33">
        <v>45854</v>
      </c>
      <c r="B180" s="33"/>
      <c r="C180" s="2" t="s">
        <v>29</v>
      </c>
      <c r="D180" s="2" t="s">
        <v>26</v>
      </c>
      <c r="E180" s="2" t="s">
        <v>13</v>
      </c>
      <c r="F180" s="2" t="s">
        <v>20</v>
      </c>
      <c r="G180" s="2" t="s">
        <v>21</v>
      </c>
      <c r="H180" s="2" t="s">
        <v>22</v>
      </c>
      <c r="I180" s="2">
        <v>30000</v>
      </c>
      <c r="J180" s="2">
        <v>10</v>
      </c>
      <c r="K180" s="2" t="s">
        <v>35</v>
      </c>
      <c r="L180" s="2">
        <f t="shared" si="0"/>
        <v>24000</v>
      </c>
    </row>
    <row r="181" spans="1:12" ht="14.25" customHeight="1" x14ac:dyDescent="0.2">
      <c r="A181" s="33">
        <v>45855</v>
      </c>
      <c r="B181" s="33"/>
      <c r="C181" s="2" t="s">
        <v>25</v>
      </c>
      <c r="D181" s="2" t="s">
        <v>26</v>
      </c>
      <c r="E181" s="2" t="s">
        <v>23</v>
      </c>
      <c r="F181" s="2" t="s">
        <v>20</v>
      </c>
      <c r="G181" s="2" t="s">
        <v>38</v>
      </c>
      <c r="H181" s="2" t="s">
        <v>31</v>
      </c>
      <c r="I181" s="2">
        <v>420000</v>
      </c>
      <c r="J181" s="2">
        <v>8</v>
      </c>
      <c r="K181" s="2" t="s">
        <v>39</v>
      </c>
      <c r="L181" s="2">
        <f t="shared" si="0"/>
        <v>336000</v>
      </c>
    </row>
    <row r="182" spans="1:12" ht="14.25" customHeight="1" x14ac:dyDescent="0.2">
      <c r="A182" s="33">
        <v>45856</v>
      </c>
      <c r="B182" s="33"/>
      <c r="C182" s="2" t="s">
        <v>25</v>
      </c>
      <c r="D182" s="2" t="s">
        <v>26</v>
      </c>
      <c r="E182" s="2" t="s">
        <v>23</v>
      </c>
      <c r="F182" s="2" t="s">
        <v>14</v>
      </c>
      <c r="G182" s="2" t="s">
        <v>27</v>
      </c>
      <c r="H182" s="2" t="s">
        <v>22</v>
      </c>
      <c r="I182" s="2">
        <v>60000</v>
      </c>
      <c r="J182" s="2">
        <v>9</v>
      </c>
      <c r="K182" s="2" t="s">
        <v>17</v>
      </c>
      <c r="L182" s="2">
        <f t="shared" si="0"/>
        <v>48000</v>
      </c>
    </row>
    <row r="183" spans="1:12" ht="14.25" customHeight="1" x14ac:dyDescent="0.2">
      <c r="A183" s="33">
        <v>45857</v>
      </c>
      <c r="B183" s="33"/>
      <c r="C183" s="2" t="s">
        <v>18</v>
      </c>
      <c r="D183" s="2" t="s">
        <v>26</v>
      </c>
      <c r="E183" s="2" t="s">
        <v>23</v>
      </c>
      <c r="F183" s="2" t="s">
        <v>14</v>
      </c>
      <c r="G183" s="2" t="s">
        <v>40</v>
      </c>
      <c r="H183" s="2" t="s">
        <v>31</v>
      </c>
      <c r="I183" s="2">
        <v>250000</v>
      </c>
      <c r="J183" s="2">
        <v>1</v>
      </c>
      <c r="K183" s="2" t="s">
        <v>35</v>
      </c>
      <c r="L183" s="2">
        <f t="shared" si="0"/>
        <v>200000</v>
      </c>
    </row>
    <row r="184" spans="1:12" ht="14.25" customHeight="1" x14ac:dyDescent="0.2">
      <c r="A184" s="33">
        <v>45858</v>
      </c>
      <c r="B184" s="33"/>
      <c r="C184" s="2" t="s">
        <v>25</v>
      </c>
      <c r="D184" s="2" t="s">
        <v>26</v>
      </c>
      <c r="E184" s="2" t="s">
        <v>13</v>
      </c>
      <c r="F184" s="2" t="s">
        <v>14</v>
      </c>
      <c r="G184" s="2" t="s">
        <v>27</v>
      </c>
      <c r="H184" s="2" t="s">
        <v>22</v>
      </c>
      <c r="I184" s="2">
        <v>60000</v>
      </c>
      <c r="J184" s="2">
        <v>1</v>
      </c>
      <c r="K184" s="2" t="s">
        <v>39</v>
      </c>
      <c r="L184" s="2">
        <f t="shared" si="0"/>
        <v>48000</v>
      </c>
    </row>
    <row r="185" spans="1:12" ht="14.25" customHeight="1" x14ac:dyDescent="0.2">
      <c r="A185" s="33">
        <v>45859</v>
      </c>
      <c r="B185" s="33"/>
      <c r="C185" s="2" t="s">
        <v>25</v>
      </c>
      <c r="D185" s="2" t="s">
        <v>32</v>
      </c>
      <c r="E185" s="2" t="s">
        <v>13</v>
      </c>
      <c r="F185" s="2" t="s">
        <v>14</v>
      </c>
      <c r="G185" s="2" t="s">
        <v>38</v>
      </c>
      <c r="H185" s="2" t="s">
        <v>31</v>
      </c>
      <c r="I185" s="2">
        <v>420000</v>
      </c>
      <c r="J185" s="2">
        <v>8</v>
      </c>
      <c r="K185" s="2" t="s">
        <v>39</v>
      </c>
      <c r="L185" s="2">
        <f t="shared" si="0"/>
        <v>336000</v>
      </c>
    </row>
    <row r="186" spans="1:12" ht="14.25" customHeight="1" x14ac:dyDescent="0.2">
      <c r="A186" s="33">
        <v>45860</v>
      </c>
      <c r="B186" s="33"/>
      <c r="C186" s="2" t="s">
        <v>25</v>
      </c>
      <c r="D186" s="2" t="s">
        <v>12</v>
      </c>
      <c r="E186" s="2" t="s">
        <v>23</v>
      </c>
      <c r="F186" s="2" t="s">
        <v>20</v>
      </c>
      <c r="G186" s="2" t="s">
        <v>33</v>
      </c>
      <c r="H186" s="2" t="s">
        <v>22</v>
      </c>
      <c r="I186" s="2">
        <v>180000</v>
      </c>
      <c r="J186" s="2">
        <v>4</v>
      </c>
      <c r="K186" s="2" t="s">
        <v>39</v>
      </c>
      <c r="L186" s="2">
        <f t="shared" si="0"/>
        <v>144000</v>
      </c>
    </row>
    <row r="187" spans="1:12" ht="14.25" customHeight="1" x14ac:dyDescent="0.2">
      <c r="A187" s="33">
        <v>45861</v>
      </c>
      <c r="B187" s="33"/>
      <c r="C187" s="2" t="s">
        <v>18</v>
      </c>
      <c r="D187" s="2" t="s">
        <v>26</v>
      </c>
      <c r="E187" s="2" t="s">
        <v>13</v>
      </c>
      <c r="F187" s="2" t="s">
        <v>20</v>
      </c>
      <c r="G187" s="2" t="s">
        <v>33</v>
      </c>
      <c r="H187" s="2" t="s">
        <v>22</v>
      </c>
      <c r="I187" s="2">
        <v>180000</v>
      </c>
      <c r="J187" s="2">
        <v>7</v>
      </c>
      <c r="K187" s="2" t="s">
        <v>39</v>
      </c>
      <c r="L187" s="2">
        <f t="shared" si="0"/>
        <v>144000</v>
      </c>
    </row>
    <row r="188" spans="1:12" ht="14.25" customHeight="1" x14ac:dyDescent="0.2">
      <c r="A188" s="33">
        <v>45862</v>
      </c>
      <c r="B188" s="33"/>
      <c r="C188" s="2" t="s">
        <v>29</v>
      </c>
      <c r="D188" s="2" t="s">
        <v>26</v>
      </c>
      <c r="E188" s="2" t="s">
        <v>13</v>
      </c>
      <c r="F188" s="2" t="s">
        <v>14</v>
      </c>
      <c r="G188" s="2" t="s">
        <v>21</v>
      </c>
      <c r="H188" s="2" t="s">
        <v>22</v>
      </c>
      <c r="I188" s="2">
        <v>30000</v>
      </c>
      <c r="J188" s="2">
        <v>6</v>
      </c>
      <c r="K188" s="2" t="s">
        <v>37</v>
      </c>
      <c r="L188" s="2">
        <f t="shared" si="0"/>
        <v>24000</v>
      </c>
    </row>
    <row r="189" spans="1:12" ht="14.25" customHeight="1" x14ac:dyDescent="0.2">
      <c r="A189" s="33">
        <v>45863</v>
      </c>
      <c r="B189" s="33"/>
      <c r="C189" s="2" t="s">
        <v>18</v>
      </c>
      <c r="D189" s="2" t="s">
        <v>12</v>
      </c>
      <c r="E189" s="2" t="s">
        <v>13</v>
      </c>
      <c r="F189" s="2" t="s">
        <v>14</v>
      </c>
      <c r="G189" s="2" t="s">
        <v>33</v>
      </c>
      <c r="H189" s="2" t="s">
        <v>22</v>
      </c>
      <c r="I189" s="2">
        <v>180000</v>
      </c>
      <c r="J189" s="2">
        <v>4</v>
      </c>
      <c r="K189" s="2" t="s">
        <v>24</v>
      </c>
      <c r="L189" s="2">
        <f t="shared" si="0"/>
        <v>144000</v>
      </c>
    </row>
    <row r="190" spans="1:12" ht="14.25" customHeight="1" x14ac:dyDescent="0.2">
      <c r="A190" s="33">
        <v>45864</v>
      </c>
      <c r="B190" s="33"/>
      <c r="C190" s="2" t="s">
        <v>18</v>
      </c>
      <c r="D190" s="2" t="s">
        <v>32</v>
      </c>
      <c r="E190" s="2" t="s">
        <v>23</v>
      </c>
      <c r="F190" s="2" t="s">
        <v>20</v>
      </c>
      <c r="G190" s="2" t="s">
        <v>30</v>
      </c>
      <c r="H190" s="2" t="s">
        <v>31</v>
      </c>
      <c r="I190" s="2">
        <v>300000</v>
      </c>
      <c r="J190" s="2">
        <v>3</v>
      </c>
      <c r="K190" s="2" t="s">
        <v>28</v>
      </c>
      <c r="L190" s="2">
        <f t="shared" si="0"/>
        <v>240000</v>
      </c>
    </row>
    <row r="191" spans="1:12" ht="14.25" customHeight="1" x14ac:dyDescent="0.2">
      <c r="A191" s="33">
        <v>45865</v>
      </c>
      <c r="B191" s="33"/>
      <c r="C191" s="2" t="s">
        <v>11</v>
      </c>
      <c r="D191" s="2" t="s">
        <v>19</v>
      </c>
      <c r="E191" s="2" t="s">
        <v>13</v>
      </c>
      <c r="F191" s="2" t="s">
        <v>14</v>
      </c>
      <c r="G191" s="2" t="s">
        <v>27</v>
      </c>
      <c r="H191" s="2" t="s">
        <v>22</v>
      </c>
      <c r="I191" s="2">
        <v>60000</v>
      </c>
      <c r="J191" s="2">
        <v>3</v>
      </c>
      <c r="K191" s="2" t="s">
        <v>17</v>
      </c>
      <c r="L191" s="2">
        <f t="shared" si="0"/>
        <v>48000</v>
      </c>
    </row>
    <row r="192" spans="1:12" ht="14.25" customHeight="1" x14ac:dyDescent="0.2">
      <c r="A192" s="33">
        <v>45866</v>
      </c>
      <c r="B192" s="33"/>
      <c r="C192" s="2" t="s">
        <v>18</v>
      </c>
      <c r="D192" s="2" t="s">
        <v>12</v>
      </c>
      <c r="E192" s="2" t="s">
        <v>23</v>
      </c>
      <c r="F192" s="2" t="s">
        <v>14</v>
      </c>
      <c r="G192" s="2" t="s">
        <v>41</v>
      </c>
      <c r="H192" s="2" t="s">
        <v>22</v>
      </c>
      <c r="I192" s="2">
        <v>220000</v>
      </c>
      <c r="J192" s="2">
        <v>1</v>
      </c>
      <c r="K192" s="2" t="s">
        <v>28</v>
      </c>
      <c r="L192" s="2">
        <f t="shared" si="0"/>
        <v>176000</v>
      </c>
    </row>
    <row r="193" spans="1:12" ht="14.25" customHeight="1" x14ac:dyDescent="0.2">
      <c r="A193" s="33">
        <v>45867</v>
      </c>
      <c r="B193" s="33"/>
      <c r="C193" s="2" t="s">
        <v>29</v>
      </c>
      <c r="D193" s="2" t="s">
        <v>19</v>
      </c>
      <c r="E193" s="2" t="s">
        <v>13</v>
      </c>
      <c r="F193" s="2" t="s">
        <v>14</v>
      </c>
      <c r="G193" s="2" t="s">
        <v>30</v>
      </c>
      <c r="H193" s="2" t="s">
        <v>31</v>
      </c>
      <c r="I193" s="2">
        <v>300000</v>
      </c>
      <c r="J193" s="2">
        <v>2</v>
      </c>
      <c r="K193" s="2" t="s">
        <v>24</v>
      </c>
      <c r="L193" s="2">
        <f t="shared" si="0"/>
        <v>240000</v>
      </c>
    </row>
    <row r="194" spans="1:12" ht="14.25" customHeight="1" x14ac:dyDescent="0.2">
      <c r="A194" s="33">
        <v>45868</v>
      </c>
      <c r="B194" s="33"/>
      <c r="C194" s="2" t="s">
        <v>25</v>
      </c>
      <c r="D194" s="2" t="s">
        <v>26</v>
      </c>
      <c r="E194" s="2" t="s">
        <v>13</v>
      </c>
      <c r="F194" s="2" t="s">
        <v>14</v>
      </c>
      <c r="G194" s="2" t="s">
        <v>36</v>
      </c>
      <c r="H194" s="2" t="s">
        <v>31</v>
      </c>
      <c r="I194" s="2">
        <v>150000</v>
      </c>
      <c r="J194" s="2">
        <v>3</v>
      </c>
      <c r="K194" s="2" t="s">
        <v>24</v>
      </c>
      <c r="L194" s="2">
        <f t="shared" si="0"/>
        <v>120000</v>
      </c>
    </row>
    <row r="195" spans="1:12" ht="14.25" customHeight="1" x14ac:dyDescent="0.2">
      <c r="A195" s="33">
        <v>45869</v>
      </c>
      <c r="B195" s="33"/>
      <c r="C195" s="2" t="s">
        <v>29</v>
      </c>
      <c r="D195" s="2" t="s">
        <v>19</v>
      </c>
      <c r="E195" s="2" t="s">
        <v>23</v>
      </c>
      <c r="F195" s="2" t="s">
        <v>14</v>
      </c>
      <c r="G195" s="2" t="s">
        <v>15</v>
      </c>
      <c r="H195" s="2" t="s">
        <v>16</v>
      </c>
      <c r="I195" s="2">
        <v>85000</v>
      </c>
      <c r="J195" s="2">
        <v>1</v>
      </c>
      <c r="K195" s="2" t="s">
        <v>24</v>
      </c>
      <c r="L195" s="2">
        <f t="shared" si="0"/>
        <v>68000</v>
      </c>
    </row>
    <row r="196" spans="1:12" ht="14.25" customHeight="1" x14ac:dyDescent="0.2">
      <c r="A196" s="33">
        <v>45870</v>
      </c>
      <c r="B196" s="33"/>
      <c r="C196" s="2" t="s">
        <v>25</v>
      </c>
      <c r="D196" s="2" t="s">
        <v>19</v>
      </c>
      <c r="E196" s="2" t="s">
        <v>13</v>
      </c>
      <c r="F196" s="2" t="s">
        <v>20</v>
      </c>
      <c r="G196" s="2" t="s">
        <v>21</v>
      </c>
      <c r="H196" s="2" t="s">
        <v>22</v>
      </c>
      <c r="I196" s="2">
        <v>30000</v>
      </c>
      <c r="J196" s="2">
        <v>6</v>
      </c>
      <c r="K196" s="2" t="s">
        <v>17</v>
      </c>
      <c r="L196" s="2">
        <f t="shared" si="0"/>
        <v>24000</v>
      </c>
    </row>
    <row r="197" spans="1:12" ht="14.25" customHeight="1" x14ac:dyDescent="0.2">
      <c r="A197" s="33">
        <v>45871</v>
      </c>
      <c r="B197" s="33"/>
      <c r="C197" s="2" t="s">
        <v>11</v>
      </c>
      <c r="D197" s="2" t="s">
        <v>26</v>
      </c>
      <c r="E197" s="2" t="s">
        <v>23</v>
      </c>
      <c r="F197" s="2" t="s">
        <v>14</v>
      </c>
      <c r="G197" s="2" t="s">
        <v>36</v>
      </c>
      <c r="H197" s="2" t="s">
        <v>31</v>
      </c>
      <c r="I197" s="2">
        <v>150000</v>
      </c>
      <c r="J197" s="2">
        <v>5</v>
      </c>
      <c r="K197" s="2" t="s">
        <v>28</v>
      </c>
      <c r="L197" s="2">
        <f t="shared" si="0"/>
        <v>120000</v>
      </c>
    </row>
    <row r="198" spans="1:12" ht="14.25" customHeight="1" x14ac:dyDescent="0.2">
      <c r="A198" s="33">
        <v>45872</v>
      </c>
      <c r="B198" s="33"/>
      <c r="C198" s="2" t="s">
        <v>11</v>
      </c>
      <c r="D198" s="2" t="s">
        <v>19</v>
      </c>
      <c r="E198" s="2" t="s">
        <v>13</v>
      </c>
      <c r="F198" s="2" t="s">
        <v>20</v>
      </c>
      <c r="G198" s="2" t="s">
        <v>21</v>
      </c>
      <c r="H198" s="2" t="s">
        <v>22</v>
      </c>
      <c r="I198" s="2">
        <v>30000</v>
      </c>
      <c r="J198" s="2">
        <v>5</v>
      </c>
      <c r="K198" s="2" t="s">
        <v>37</v>
      </c>
      <c r="L198" s="2">
        <f t="shared" si="0"/>
        <v>24000</v>
      </c>
    </row>
    <row r="199" spans="1:12" ht="14.25" customHeight="1" x14ac:dyDescent="0.2">
      <c r="A199" s="33">
        <v>45873</v>
      </c>
      <c r="B199" s="33"/>
      <c r="C199" s="2" t="s">
        <v>18</v>
      </c>
      <c r="D199" s="2" t="s">
        <v>19</v>
      </c>
      <c r="E199" s="2" t="s">
        <v>13</v>
      </c>
      <c r="F199" s="2" t="s">
        <v>20</v>
      </c>
      <c r="G199" s="2" t="s">
        <v>33</v>
      </c>
      <c r="H199" s="2" t="s">
        <v>22</v>
      </c>
      <c r="I199" s="2">
        <v>180000</v>
      </c>
      <c r="J199" s="2">
        <v>9</v>
      </c>
      <c r="K199" s="2" t="s">
        <v>39</v>
      </c>
      <c r="L199" s="2">
        <f t="shared" si="0"/>
        <v>144000</v>
      </c>
    </row>
    <row r="200" spans="1:12" ht="14.25" customHeight="1" x14ac:dyDescent="0.2">
      <c r="A200" s="33">
        <v>45874</v>
      </c>
      <c r="B200" s="33"/>
      <c r="C200" s="2" t="s">
        <v>29</v>
      </c>
      <c r="D200" s="2" t="s">
        <v>26</v>
      </c>
      <c r="E200" s="2" t="s">
        <v>23</v>
      </c>
      <c r="F200" s="2" t="s">
        <v>20</v>
      </c>
      <c r="G200" s="2" t="s">
        <v>27</v>
      </c>
      <c r="H200" s="2" t="s">
        <v>22</v>
      </c>
      <c r="I200" s="2">
        <v>60000</v>
      </c>
      <c r="J200" s="2">
        <v>6</v>
      </c>
      <c r="K200" s="2" t="s">
        <v>28</v>
      </c>
      <c r="L200" s="2">
        <f t="shared" si="0"/>
        <v>48000</v>
      </c>
    </row>
    <row r="201" spans="1:12" ht="14.25" customHeight="1" x14ac:dyDescent="0.2">
      <c r="A201" s="33">
        <v>45875</v>
      </c>
      <c r="B201" s="33"/>
      <c r="C201" s="2" t="s">
        <v>29</v>
      </c>
      <c r="D201" s="2" t="s">
        <v>19</v>
      </c>
      <c r="E201" s="2" t="s">
        <v>13</v>
      </c>
      <c r="F201" s="2" t="s">
        <v>20</v>
      </c>
      <c r="G201" s="2" t="s">
        <v>40</v>
      </c>
      <c r="H201" s="2" t="s">
        <v>31</v>
      </c>
      <c r="I201" s="2">
        <v>250000</v>
      </c>
      <c r="J201" s="2">
        <v>10</v>
      </c>
      <c r="K201" s="2" t="s">
        <v>24</v>
      </c>
      <c r="L201" s="2">
        <f t="shared" si="0"/>
        <v>200000</v>
      </c>
    </row>
    <row r="202" spans="1:12" ht="14.25" customHeight="1" x14ac:dyDescent="0.2">
      <c r="A202" s="33">
        <v>45876</v>
      </c>
      <c r="B202" s="33"/>
      <c r="C202" s="2" t="s">
        <v>25</v>
      </c>
      <c r="D202" s="2" t="s">
        <v>26</v>
      </c>
      <c r="E202" s="2" t="s">
        <v>13</v>
      </c>
      <c r="F202" s="2" t="s">
        <v>20</v>
      </c>
      <c r="G202" s="2" t="s">
        <v>38</v>
      </c>
      <c r="H202" s="2" t="s">
        <v>31</v>
      </c>
      <c r="I202" s="2">
        <v>420000</v>
      </c>
      <c r="J202" s="2">
        <v>3</v>
      </c>
      <c r="K202" s="2" t="s">
        <v>24</v>
      </c>
      <c r="L202" s="2">
        <f t="shared" si="0"/>
        <v>336000</v>
      </c>
    </row>
    <row r="203" spans="1:12" ht="14.25" customHeight="1" x14ac:dyDescent="0.2">
      <c r="A203" s="33">
        <v>45877</v>
      </c>
      <c r="B203" s="33"/>
      <c r="C203" s="2" t="s">
        <v>29</v>
      </c>
      <c r="D203" s="2" t="s">
        <v>12</v>
      </c>
      <c r="E203" s="2" t="s">
        <v>23</v>
      </c>
      <c r="F203" s="2" t="s">
        <v>20</v>
      </c>
      <c r="G203" s="2" t="s">
        <v>36</v>
      </c>
      <c r="H203" s="2" t="s">
        <v>31</v>
      </c>
      <c r="I203" s="2">
        <v>150000</v>
      </c>
      <c r="J203" s="2">
        <v>3</v>
      </c>
      <c r="K203" s="2" t="s">
        <v>24</v>
      </c>
      <c r="L203" s="2">
        <f t="shared" si="0"/>
        <v>120000</v>
      </c>
    </row>
    <row r="204" spans="1:12" ht="14.25" customHeight="1" x14ac:dyDescent="0.2">
      <c r="A204" s="33">
        <v>45878</v>
      </c>
      <c r="B204" s="33"/>
      <c r="C204" s="2" t="s">
        <v>25</v>
      </c>
      <c r="D204" s="2" t="s">
        <v>32</v>
      </c>
      <c r="E204" s="2" t="s">
        <v>23</v>
      </c>
      <c r="F204" s="2" t="s">
        <v>20</v>
      </c>
      <c r="G204" s="2" t="s">
        <v>41</v>
      </c>
      <c r="H204" s="2" t="s">
        <v>22</v>
      </c>
      <c r="I204" s="2">
        <v>220000</v>
      </c>
      <c r="J204" s="2">
        <v>4</v>
      </c>
      <c r="K204" s="2" t="s">
        <v>24</v>
      </c>
      <c r="L204" s="2">
        <f t="shared" si="0"/>
        <v>176000</v>
      </c>
    </row>
    <row r="205" spans="1:12" ht="14.25" customHeight="1" x14ac:dyDescent="0.2">
      <c r="A205" s="33">
        <v>45879</v>
      </c>
      <c r="B205" s="33"/>
      <c r="C205" s="2" t="s">
        <v>25</v>
      </c>
      <c r="D205" s="2" t="s">
        <v>19</v>
      </c>
      <c r="E205" s="2" t="s">
        <v>23</v>
      </c>
      <c r="F205" s="2" t="s">
        <v>20</v>
      </c>
      <c r="G205" s="2" t="s">
        <v>15</v>
      </c>
      <c r="H205" s="2" t="s">
        <v>16</v>
      </c>
      <c r="I205" s="2">
        <v>85000</v>
      </c>
      <c r="J205" s="2">
        <v>10</v>
      </c>
      <c r="K205" s="2" t="s">
        <v>24</v>
      </c>
      <c r="L205" s="2">
        <f t="shared" si="0"/>
        <v>68000</v>
      </c>
    </row>
    <row r="206" spans="1:12" ht="14.25" customHeight="1" x14ac:dyDescent="0.2">
      <c r="A206" s="33">
        <v>45880</v>
      </c>
      <c r="B206" s="33"/>
      <c r="C206" s="2" t="s">
        <v>29</v>
      </c>
      <c r="D206" s="2" t="s">
        <v>26</v>
      </c>
      <c r="E206" s="2" t="s">
        <v>13</v>
      </c>
      <c r="F206" s="2" t="s">
        <v>20</v>
      </c>
      <c r="G206" s="2" t="s">
        <v>30</v>
      </c>
      <c r="H206" s="2" t="s">
        <v>31</v>
      </c>
      <c r="I206" s="2">
        <v>300000</v>
      </c>
      <c r="J206" s="2">
        <v>6</v>
      </c>
      <c r="K206" s="2" t="s">
        <v>39</v>
      </c>
      <c r="L206" s="2">
        <f t="shared" si="0"/>
        <v>240000</v>
      </c>
    </row>
    <row r="207" spans="1:12" ht="14.25" customHeight="1" x14ac:dyDescent="0.2">
      <c r="A207" s="33">
        <v>45881</v>
      </c>
      <c r="B207" s="33"/>
      <c r="C207" s="2" t="s">
        <v>11</v>
      </c>
      <c r="D207" s="2" t="s">
        <v>12</v>
      </c>
      <c r="E207" s="2" t="s">
        <v>13</v>
      </c>
      <c r="F207" s="2" t="s">
        <v>14</v>
      </c>
      <c r="G207" s="2" t="s">
        <v>30</v>
      </c>
      <c r="H207" s="2" t="s">
        <v>31</v>
      </c>
      <c r="I207" s="2">
        <v>300000</v>
      </c>
      <c r="J207" s="2">
        <v>8</v>
      </c>
      <c r="K207" s="2" t="s">
        <v>37</v>
      </c>
      <c r="L207" s="2">
        <f t="shared" si="0"/>
        <v>240000</v>
      </c>
    </row>
    <row r="208" spans="1:12" ht="14.25" customHeight="1" x14ac:dyDescent="0.2">
      <c r="A208" s="33">
        <v>45882</v>
      </c>
      <c r="B208" s="33"/>
      <c r="C208" s="2" t="s">
        <v>25</v>
      </c>
      <c r="D208" s="2" t="s">
        <v>32</v>
      </c>
      <c r="E208" s="2" t="s">
        <v>23</v>
      </c>
      <c r="F208" s="2" t="s">
        <v>20</v>
      </c>
      <c r="G208" s="2" t="s">
        <v>34</v>
      </c>
      <c r="H208" s="2" t="s">
        <v>16</v>
      </c>
      <c r="I208" s="2">
        <v>320000</v>
      </c>
      <c r="J208" s="2">
        <v>4</v>
      </c>
      <c r="K208" s="2" t="s">
        <v>28</v>
      </c>
      <c r="L208" s="2">
        <f t="shared" si="0"/>
        <v>256000</v>
      </c>
    </row>
    <row r="209" spans="1:12" ht="14.25" customHeight="1" x14ac:dyDescent="0.2">
      <c r="A209" s="33">
        <v>45883</v>
      </c>
      <c r="B209" s="33"/>
      <c r="C209" s="2" t="s">
        <v>25</v>
      </c>
      <c r="D209" s="2" t="s">
        <v>19</v>
      </c>
      <c r="E209" s="2" t="s">
        <v>23</v>
      </c>
      <c r="F209" s="2" t="s">
        <v>14</v>
      </c>
      <c r="G209" s="2" t="s">
        <v>33</v>
      </c>
      <c r="H209" s="2" t="s">
        <v>22</v>
      </c>
      <c r="I209" s="2">
        <v>180000</v>
      </c>
      <c r="J209" s="2">
        <v>5</v>
      </c>
      <c r="K209" s="2" t="s">
        <v>39</v>
      </c>
      <c r="L209" s="2">
        <f t="shared" si="0"/>
        <v>144000</v>
      </c>
    </row>
    <row r="210" spans="1:12" ht="14.25" customHeight="1" x14ac:dyDescent="0.2">
      <c r="A210" s="33">
        <v>45884</v>
      </c>
      <c r="B210" s="33"/>
      <c r="C210" s="2" t="s">
        <v>11</v>
      </c>
      <c r="D210" s="2" t="s">
        <v>12</v>
      </c>
      <c r="E210" s="2" t="s">
        <v>13</v>
      </c>
      <c r="F210" s="2" t="s">
        <v>20</v>
      </c>
      <c r="G210" s="2" t="s">
        <v>33</v>
      </c>
      <c r="H210" s="2" t="s">
        <v>22</v>
      </c>
      <c r="I210" s="2">
        <v>180000</v>
      </c>
      <c r="J210" s="2">
        <v>6</v>
      </c>
      <c r="K210" s="2" t="s">
        <v>35</v>
      </c>
      <c r="L210" s="2">
        <f t="shared" si="0"/>
        <v>144000</v>
      </c>
    </row>
    <row r="211" spans="1:12" ht="14.25" customHeight="1" x14ac:dyDescent="0.2">
      <c r="A211" s="33">
        <v>45885</v>
      </c>
      <c r="B211" s="33"/>
      <c r="C211" s="2" t="s">
        <v>18</v>
      </c>
      <c r="D211" s="2" t="s">
        <v>26</v>
      </c>
      <c r="E211" s="2" t="s">
        <v>23</v>
      </c>
      <c r="F211" s="2" t="s">
        <v>20</v>
      </c>
      <c r="G211" s="2" t="s">
        <v>36</v>
      </c>
      <c r="H211" s="2" t="s">
        <v>31</v>
      </c>
      <c r="I211" s="2">
        <v>150000</v>
      </c>
      <c r="J211" s="2">
        <v>9</v>
      </c>
      <c r="K211" s="2" t="s">
        <v>28</v>
      </c>
      <c r="L211" s="2">
        <f t="shared" si="0"/>
        <v>120000</v>
      </c>
    </row>
    <row r="212" spans="1:12" ht="14.25" customHeight="1" x14ac:dyDescent="0.2">
      <c r="A212" s="33">
        <v>45886</v>
      </c>
      <c r="B212" s="33"/>
      <c r="C212" s="2" t="s">
        <v>11</v>
      </c>
      <c r="D212" s="2" t="s">
        <v>12</v>
      </c>
      <c r="E212" s="2" t="s">
        <v>13</v>
      </c>
      <c r="F212" s="2" t="s">
        <v>14</v>
      </c>
      <c r="G212" s="2" t="s">
        <v>36</v>
      </c>
      <c r="H212" s="2" t="s">
        <v>31</v>
      </c>
      <c r="I212" s="2">
        <v>150000</v>
      </c>
      <c r="J212" s="2">
        <v>1</v>
      </c>
      <c r="K212" s="2" t="s">
        <v>35</v>
      </c>
      <c r="L212" s="2">
        <f t="shared" si="0"/>
        <v>120000</v>
      </c>
    </row>
    <row r="213" spans="1:12" ht="14.25" customHeight="1" x14ac:dyDescent="0.2">
      <c r="A213" s="33">
        <v>45887</v>
      </c>
      <c r="B213" s="33"/>
      <c r="C213" s="2" t="s">
        <v>18</v>
      </c>
      <c r="D213" s="2" t="s">
        <v>26</v>
      </c>
      <c r="E213" s="2" t="s">
        <v>13</v>
      </c>
      <c r="F213" s="2" t="s">
        <v>14</v>
      </c>
      <c r="G213" s="2" t="s">
        <v>33</v>
      </c>
      <c r="H213" s="2" t="s">
        <v>22</v>
      </c>
      <c r="I213" s="2">
        <v>180000</v>
      </c>
      <c r="J213" s="2">
        <v>8</v>
      </c>
      <c r="K213" s="2" t="s">
        <v>35</v>
      </c>
      <c r="L213" s="2">
        <f t="shared" si="0"/>
        <v>144000</v>
      </c>
    </row>
    <row r="214" spans="1:12" ht="14.25" customHeight="1" x14ac:dyDescent="0.2">
      <c r="A214" s="33">
        <v>45888</v>
      </c>
      <c r="B214" s="33"/>
      <c r="C214" s="2" t="s">
        <v>11</v>
      </c>
      <c r="D214" s="2" t="s">
        <v>12</v>
      </c>
      <c r="E214" s="2" t="s">
        <v>13</v>
      </c>
      <c r="F214" s="2" t="s">
        <v>20</v>
      </c>
      <c r="G214" s="2" t="s">
        <v>33</v>
      </c>
      <c r="H214" s="2" t="s">
        <v>22</v>
      </c>
      <c r="I214" s="2">
        <v>180000</v>
      </c>
      <c r="J214" s="2">
        <v>6</v>
      </c>
      <c r="K214" s="2" t="s">
        <v>28</v>
      </c>
      <c r="L214" s="2">
        <f t="shared" si="0"/>
        <v>144000</v>
      </c>
    </row>
    <row r="215" spans="1:12" ht="14.25" customHeight="1" x14ac:dyDescent="0.2">
      <c r="A215" s="33">
        <v>45889</v>
      </c>
      <c r="B215" s="33"/>
      <c r="C215" s="2" t="s">
        <v>29</v>
      </c>
      <c r="D215" s="2" t="s">
        <v>32</v>
      </c>
      <c r="E215" s="2" t="s">
        <v>23</v>
      </c>
      <c r="F215" s="2" t="s">
        <v>14</v>
      </c>
      <c r="G215" s="2" t="s">
        <v>33</v>
      </c>
      <c r="H215" s="2" t="s">
        <v>22</v>
      </c>
      <c r="I215" s="2">
        <v>180000</v>
      </c>
      <c r="J215" s="2">
        <v>3</v>
      </c>
      <c r="K215" s="2" t="s">
        <v>37</v>
      </c>
      <c r="L215" s="2">
        <f t="shared" si="0"/>
        <v>144000</v>
      </c>
    </row>
    <row r="216" spans="1:12" ht="14.25" customHeight="1" x14ac:dyDescent="0.2">
      <c r="A216" s="33">
        <v>45890</v>
      </c>
      <c r="B216" s="33"/>
      <c r="C216" s="2" t="s">
        <v>29</v>
      </c>
      <c r="D216" s="2" t="s">
        <v>26</v>
      </c>
      <c r="E216" s="2" t="s">
        <v>13</v>
      </c>
      <c r="F216" s="2" t="s">
        <v>14</v>
      </c>
      <c r="G216" s="2" t="s">
        <v>36</v>
      </c>
      <c r="H216" s="2" t="s">
        <v>31</v>
      </c>
      <c r="I216" s="2">
        <v>150000</v>
      </c>
      <c r="J216" s="2">
        <v>10</v>
      </c>
      <c r="K216" s="2" t="s">
        <v>17</v>
      </c>
      <c r="L216" s="2">
        <f t="shared" si="0"/>
        <v>120000</v>
      </c>
    </row>
    <row r="217" spans="1:12" ht="14.25" customHeight="1" x14ac:dyDescent="0.2">
      <c r="A217" s="33">
        <v>45891</v>
      </c>
      <c r="B217" s="33"/>
      <c r="C217" s="2" t="s">
        <v>25</v>
      </c>
      <c r="D217" s="2" t="s">
        <v>26</v>
      </c>
      <c r="E217" s="2" t="s">
        <v>13</v>
      </c>
      <c r="F217" s="2" t="s">
        <v>20</v>
      </c>
      <c r="G217" s="2" t="s">
        <v>33</v>
      </c>
      <c r="H217" s="2" t="s">
        <v>22</v>
      </c>
      <c r="I217" s="2">
        <v>180000</v>
      </c>
      <c r="J217" s="2">
        <v>8</v>
      </c>
      <c r="K217" s="2" t="s">
        <v>37</v>
      </c>
      <c r="L217" s="2">
        <f t="shared" si="0"/>
        <v>144000</v>
      </c>
    </row>
    <row r="218" spans="1:12" ht="14.25" customHeight="1" x14ac:dyDescent="0.2">
      <c r="A218" s="33">
        <v>45892</v>
      </c>
      <c r="B218" s="33"/>
      <c r="C218" s="2" t="s">
        <v>11</v>
      </c>
      <c r="D218" s="2" t="s">
        <v>26</v>
      </c>
      <c r="E218" s="2" t="s">
        <v>13</v>
      </c>
      <c r="F218" s="2" t="s">
        <v>20</v>
      </c>
      <c r="G218" s="2" t="s">
        <v>30</v>
      </c>
      <c r="H218" s="2" t="s">
        <v>31</v>
      </c>
      <c r="I218" s="2">
        <v>300000</v>
      </c>
      <c r="J218" s="2">
        <v>8</v>
      </c>
      <c r="K218" s="2" t="s">
        <v>28</v>
      </c>
      <c r="L218" s="2">
        <f t="shared" si="0"/>
        <v>240000</v>
      </c>
    </row>
    <row r="219" spans="1:12" ht="14.25" customHeight="1" x14ac:dyDescent="0.2">
      <c r="A219" s="33">
        <v>45893</v>
      </c>
      <c r="B219" s="33"/>
      <c r="C219" s="2" t="s">
        <v>11</v>
      </c>
      <c r="D219" s="2" t="s">
        <v>26</v>
      </c>
      <c r="E219" s="2" t="s">
        <v>13</v>
      </c>
      <c r="F219" s="2" t="s">
        <v>20</v>
      </c>
      <c r="G219" s="2" t="s">
        <v>34</v>
      </c>
      <c r="H219" s="2" t="s">
        <v>16</v>
      </c>
      <c r="I219" s="2">
        <v>320000</v>
      </c>
      <c r="J219" s="2">
        <v>9</v>
      </c>
      <c r="K219" s="2" t="s">
        <v>35</v>
      </c>
      <c r="L219" s="2">
        <f t="shared" si="0"/>
        <v>256000</v>
      </c>
    </row>
    <row r="220" spans="1:12" ht="14.25" customHeight="1" x14ac:dyDescent="0.2">
      <c r="A220" s="33">
        <v>45894</v>
      </c>
      <c r="B220" s="33"/>
      <c r="C220" s="2" t="s">
        <v>25</v>
      </c>
      <c r="D220" s="2" t="s">
        <v>26</v>
      </c>
      <c r="E220" s="2" t="s">
        <v>13</v>
      </c>
      <c r="F220" s="2" t="s">
        <v>14</v>
      </c>
      <c r="G220" s="2" t="s">
        <v>34</v>
      </c>
      <c r="H220" s="2" t="s">
        <v>16</v>
      </c>
      <c r="I220" s="2">
        <v>320000</v>
      </c>
      <c r="J220" s="2">
        <v>7</v>
      </c>
      <c r="K220" s="2" t="s">
        <v>39</v>
      </c>
      <c r="L220" s="2">
        <f t="shared" si="0"/>
        <v>256000</v>
      </c>
    </row>
    <row r="221" spans="1:12" ht="14.25" customHeight="1" x14ac:dyDescent="0.2">
      <c r="A221" s="33">
        <v>45895</v>
      </c>
      <c r="B221" s="33"/>
      <c r="C221" s="2" t="s">
        <v>18</v>
      </c>
      <c r="D221" s="2" t="s">
        <v>32</v>
      </c>
      <c r="E221" s="2" t="s">
        <v>13</v>
      </c>
      <c r="F221" s="2" t="s">
        <v>14</v>
      </c>
      <c r="G221" s="2" t="s">
        <v>36</v>
      </c>
      <c r="H221" s="2" t="s">
        <v>31</v>
      </c>
      <c r="I221" s="2">
        <v>150000</v>
      </c>
      <c r="J221" s="2">
        <v>7</v>
      </c>
      <c r="K221" s="2" t="s">
        <v>24</v>
      </c>
      <c r="L221" s="2">
        <f t="shared" si="0"/>
        <v>120000</v>
      </c>
    </row>
    <row r="222" spans="1:12" ht="14.25" customHeight="1" x14ac:dyDescent="0.2">
      <c r="A222" s="33">
        <v>45896</v>
      </c>
      <c r="B222" s="33"/>
      <c r="C222" s="2" t="s">
        <v>18</v>
      </c>
      <c r="D222" s="2" t="s">
        <v>32</v>
      </c>
      <c r="E222" s="2" t="s">
        <v>13</v>
      </c>
      <c r="F222" s="2" t="s">
        <v>20</v>
      </c>
      <c r="G222" s="2" t="s">
        <v>41</v>
      </c>
      <c r="H222" s="2" t="s">
        <v>22</v>
      </c>
      <c r="I222" s="2">
        <v>220000</v>
      </c>
      <c r="J222" s="2">
        <v>6</v>
      </c>
      <c r="K222" s="2" t="s">
        <v>39</v>
      </c>
      <c r="L222" s="2">
        <f t="shared" si="0"/>
        <v>176000</v>
      </c>
    </row>
    <row r="223" spans="1:12" ht="14.25" customHeight="1" x14ac:dyDescent="0.2">
      <c r="A223" s="33">
        <v>45897</v>
      </c>
      <c r="B223" s="33"/>
      <c r="C223" s="2" t="s">
        <v>29</v>
      </c>
      <c r="D223" s="2" t="s">
        <v>19</v>
      </c>
      <c r="E223" s="2" t="s">
        <v>13</v>
      </c>
      <c r="F223" s="2" t="s">
        <v>14</v>
      </c>
      <c r="G223" s="2" t="s">
        <v>40</v>
      </c>
      <c r="H223" s="2" t="s">
        <v>31</v>
      </c>
      <c r="I223" s="2">
        <v>250000</v>
      </c>
      <c r="J223" s="2">
        <v>1</v>
      </c>
      <c r="K223" s="2" t="s">
        <v>35</v>
      </c>
      <c r="L223" s="2">
        <f t="shared" si="0"/>
        <v>200000</v>
      </c>
    </row>
    <row r="224" spans="1:12" ht="14.25" customHeight="1" x14ac:dyDescent="0.2">
      <c r="A224" s="33">
        <v>45898</v>
      </c>
      <c r="B224" s="33"/>
      <c r="C224" s="2" t="s">
        <v>11</v>
      </c>
      <c r="D224" s="2" t="s">
        <v>19</v>
      </c>
      <c r="E224" s="2" t="s">
        <v>13</v>
      </c>
      <c r="F224" s="2" t="s">
        <v>14</v>
      </c>
      <c r="G224" s="2" t="s">
        <v>27</v>
      </c>
      <c r="H224" s="2" t="s">
        <v>22</v>
      </c>
      <c r="I224" s="2">
        <v>60000</v>
      </c>
      <c r="J224" s="2">
        <v>4</v>
      </c>
      <c r="K224" s="2" t="s">
        <v>24</v>
      </c>
      <c r="L224" s="2">
        <f t="shared" si="0"/>
        <v>48000</v>
      </c>
    </row>
    <row r="225" spans="1:12" ht="14.25" customHeight="1" x14ac:dyDescent="0.2">
      <c r="A225" s="33">
        <v>45899</v>
      </c>
      <c r="B225" s="33"/>
      <c r="C225" s="2" t="s">
        <v>29</v>
      </c>
      <c r="D225" s="2" t="s">
        <v>19</v>
      </c>
      <c r="E225" s="2" t="s">
        <v>13</v>
      </c>
      <c r="F225" s="2" t="s">
        <v>14</v>
      </c>
      <c r="G225" s="2" t="s">
        <v>15</v>
      </c>
      <c r="H225" s="2" t="s">
        <v>16</v>
      </c>
      <c r="I225" s="2">
        <v>85000</v>
      </c>
      <c r="J225" s="2">
        <v>9</v>
      </c>
      <c r="K225" s="2" t="s">
        <v>24</v>
      </c>
      <c r="L225" s="2">
        <f t="shared" si="0"/>
        <v>68000</v>
      </c>
    </row>
    <row r="226" spans="1:12" ht="14.25" customHeight="1" x14ac:dyDescent="0.2">
      <c r="A226" s="33">
        <v>45900</v>
      </c>
      <c r="B226" s="33"/>
      <c r="C226" s="2" t="s">
        <v>11</v>
      </c>
      <c r="D226" s="2" t="s">
        <v>12</v>
      </c>
      <c r="E226" s="2" t="s">
        <v>13</v>
      </c>
      <c r="F226" s="2" t="s">
        <v>14</v>
      </c>
      <c r="G226" s="2" t="s">
        <v>33</v>
      </c>
      <c r="H226" s="2" t="s">
        <v>22</v>
      </c>
      <c r="I226" s="2">
        <v>180000</v>
      </c>
      <c r="J226" s="2">
        <v>5</v>
      </c>
      <c r="K226" s="2" t="s">
        <v>17</v>
      </c>
      <c r="L226" s="2">
        <f t="shared" si="0"/>
        <v>144000</v>
      </c>
    </row>
    <row r="227" spans="1:12" ht="14.25" customHeight="1" x14ac:dyDescent="0.2">
      <c r="A227" s="33">
        <v>45901</v>
      </c>
      <c r="B227" s="33"/>
      <c r="C227" s="2" t="s">
        <v>11</v>
      </c>
      <c r="D227" s="2" t="s">
        <v>19</v>
      </c>
      <c r="E227" s="2" t="s">
        <v>13</v>
      </c>
      <c r="F227" s="2" t="s">
        <v>20</v>
      </c>
      <c r="G227" s="2" t="s">
        <v>36</v>
      </c>
      <c r="H227" s="2" t="s">
        <v>31</v>
      </c>
      <c r="I227" s="2">
        <v>150000</v>
      </c>
      <c r="J227" s="2">
        <v>4</v>
      </c>
      <c r="K227" s="2" t="s">
        <v>17</v>
      </c>
      <c r="L227" s="2">
        <f t="shared" si="0"/>
        <v>120000</v>
      </c>
    </row>
    <row r="228" spans="1:12" ht="14.25" customHeight="1" x14ac:dyDescent="0.2">
      <c r="A228" s="33">
        <v>45902</v>
      </c>
      <c r="B228" s="33"/>
      <c r="C228" s="2" t="s">
        <v>29</v>
      </c>
      <c r="D228" s="2" t="s">
        <v>19</v>
      </c>
      <c r="E228" s="2" t="s">
        <v>13</v>
      </c>
      <c r="F228" s="2" t="s">
        <v>14</v>
      </c>
      <c r="G228" s="2" t="s">
        <v>36</v>
      </c>
      <c r="H228" s="2" t="s">
        <v>31</v>
      </c>
      <c r="I228" s="2">
        <v>150000</v>
      </c>
      <c r="J228" s="2">
        <v>4</v>
      </c>
      <c r="K228" s="2" t="s">
        <v>28</v>
      </c>
      <c r="L228" s="2">
        <f t="shared" si="0"/>
        <v>120000</v>
      </c>
    </row>
    <row r="229" spans="1:12" ht="14.25" customHeight="1" x14ac:dyDescent="0.2">
      <c r="A229" s="33">
        <v>45903</v>
      </c>
      <c r="B229" s="33"/>
      <c r="C229" s="2" t="s">
        <v>18</v>
      </c>
      <c r="D229" s="2" t="s">
        <v>19</v>
      </c>
      <c r="E229" s="2" t="s">
        <v>23</v>
      </c>
      <c r="F229" s="2" t="s">
        <v>14</v>
      </c>
      <c r="G229" s="2" t="s">
        <v>21</v>
      </c>
      <c r="H229" s="2" t="s">
        <v>22</v>
      </c>
      <c r="I229" s="2">
        <v>30000</v>
      </c>
      <c r="J229" s="2">
        <v>2</v>
      </c>
      <c r="K229" s="2" t="s">
        <v>28</v>
      </c>
      <c r="L229" s="2">
        <f t="shared" si="0"/>
        <v>24000</v>
      </c>
    </row>
    <row r="230" spans="1:12" ht="14.25" customHeight="1" x14ac:dyDescent="0.2">
      <c r="A230" s="33">
        <v>45904</v>
      </c>
      <c r="B230" s="33"/>
      <c r="C230" s="2" t="s">
        <v>25</v>
      </c>
      <c r="D230" s="2" t="s">
        <v>32</v>
      </c>
      <c r="E230" s="2" t="s">
        <v>23</v>
      </c>
      <c r="F230" s="2" t="s">
        <v>14</v>
      </c>
      <c r="G230" s="2" t="s">
        <v>33</v>
      </c>
      <c r="H230" s="2" t="s">
        <v>22</v>
      </c>
      <c r="I230" s="2">
        <v>180000</v>
      </c>
      <c r="J230" s="2">
        <v>6</v>
      </c>
      <c r="K230" s="2" t="s">
        <v>37</v>
      </c>
      <c r="L230" s="2">
        <f t="shared" si="0"/>
        <v>144000</v>
      </c>
    </row>
    <row r="231" spans="1:12" ht="14.25" customHeight="1" x14ac:dyDescent="0.2">
      <c r="A231" s="33">
        <v>45905</v>
      </c>
      <c r="B231" s="33"/>
      <c r="C231" s="2" t="s">
        <v>29</v>
      </c>
      <c r="D231" s="2" t="s">
        <v>26</v>
      </c>
      <c r="E231" s="2" t="s">
        <v>23</v>
      </c>
      <c r="F231" s="2" t="s">
        <v>20</v>
      </c>
      <c r="G231" s="2" t="s">
        <v>27</v>
      </c>
      <c r="H231" s="2" t="s">
        <v>22</v>
      </c>
      <c r="I231" s="2">
        <v>60000</v>
      </c>
      <c r="J231" s="2">
        <v>9</v>
      </c>
      <c r="K231" s="2" t="s">
        <v>39</v>
      </c>
      <c r="L231" s="2">
        <f t="shared" si="0"/>
        <v>48000</v>
      </c>
    </row>
    <row r="232" spans="1:12" ht="14.25" customHeight="1" x14ac:dyDescent="0.2">
      <c r="A232" s="33">
        <v>45906</v>
      </c>
      <c r="B232" s="33"/>
      <c r="C232" s="2" t="s">
        <v>25</v>
      </c>
      <c r="D232" s="2" t="s">
        <v>12</v>
      </c>
      <c r="E232" s="2" t="s">
        <v>13</v>
      </c>
      <c r="F232" s="2" t="s">
        <v>14</v>
      </c>
      <c r="G232" s="2" t="s">
        <v>36</v>
      </c>
      <c r="H232" s="2" t="s">
        <v>31</v>
      </c>
      <c r="I232" s="2">
        <v>150000</v>
      </c>
      <c r="J232" s="2">
        <v>3</v>
      </c>
      <c r="K232" s="2" t="s">
        <v>24</v>
      </c>
      <c r="L232" s="2">
        <f t="shared" si="0"/>
        <v>120000</v>
      </c>
    </row>
    <row r="233" spans="1:12" ht="14.25" customHeight="1" x14ac:dyDescent="0.2">
      <c r="A233" s="33">
        <v>45907</v>
      </c>
      <c r="B233" s="33"/>
      <c r="C233" s="2" t="s">
        <v>29</v>
      </c>
      <c r="D233" s="2" t="s">
        <v>19</v>
      </c>
      <c r="E233" s="2" t="s">
        <v>13</v>
      </c>
      <c r="F233" s="2" t="s">
        <v>14</v>
      </c>
      <c r="G233" s="2" t="s">
        <v>15</v>
      </c>
      <c r="H233" s="2" t="s">
        <v>16</v>
      </c>
      <c r="I233" s="2">
        <v>85000</v>
      </c>
      <c r="J233" s="2">
        <v>3</v>
      </c>
      <c r="K233" s="2" t="s">
        <v>28</v>
      </c>
      <c r="L233" s="2">
        <f t="shared" si="0"/>
        <v>68000</v>
      </c>
    </row>
    <row r="234" spans="1:12" ht="14.25" customHeight="1" x14ac:dyDescent="0.2">
      <c r="A234" s="33">
        <v>45908</v>
      </c>
      <c r="B234" s="33"/>
      <c r="C234" s="2" t="s">
        <v>18</v>
      </c>
      <c r="D234" s="2" t="s">
        <v>12</v>
      </c>
      <c r="E234" s="2" t="s">
        <v>23</v>
      </c>
      <c r="F234" s="2" t="s">
        <v>20</v>
      </c>
      <c r="G234" s="2" t="s">
        <v>21</v>
      </c>
      <c r="H234" s="2" t="s">
        <v>22</v>
      </c>
      <c r="I234" s="2">
        <v>30000</v>
      </c>
      <c r="J234" s="2">
        <v>3</v>
      </c>
      <c r="K234" s="2" t="s">
        <v>35</v>
      </c>
      <c r="L234" s="2">
        <f t="shared" si="0"/>
        <v>24000</v>
      </c>
    </row>
    <row r="235" spans="1:12" ht="14.25" customHeight="1" x14ac:dyDescent="0.2">
      <c r="A235" s="33">
        <v>45909</v>
      </c>
      <c r="B235" s="33"/>
      <c r="C235" s="2" t="s">
        <v>18</v>
      </c>
      <c r="D235" s="2" t="s">
        <v>26</v>
      </c>
      <c r="E235" s="2" t="s">
        <v>23</v>
      </c>
      <c r="F235" s="2" t="s">
        <v>14</v>
      </c>
      <c r="G235" s="2" t="s">
        <v>15</v>
      </c>
      <c r="H235" s="2" t="s">
        <v>16</v>
      </c>
      <c r="I235" s="2">
        <v>85000</v>
      </c>
      <c r="J235" s="2">
        <v>2</v>
      </c>
      <c r="K235" s="2" t="s">
        <v>17</v>
      </c>
      <c r="L235" s="2">
        <f t="shared" si="0"/>
        <v>68000</v>
      </c>
    </row>
    <row r="236" spans="1:12" ht="14.25" customHeight="1" x14ac:dyDescent="0.2">
      <c r="A236" s="33">
        <v>45910</v>
      </c>
      <c r="B236" s="33"/>
      <c r="C236" s="2" t="s">
        <v>11</v>
      </c>
      <c r="D236" s="2" t="s">
        <v>32</v>
      </c>
      <c r="E236" s="2" t="s">
        <v>23</v>
      </c>
      <c r="F236" s="2" t="s">
        <v>14</v>
      </c>
      <c r="G236" s="2" t="s">
        <v>21</v>
      </c>
      <c r="H236" s="2" t="s">
        <v>22</v>
      </c>
      <c r="I236" s="2">
        <v>30000</v>
      </c>
      <c r="J236" s="2">
        <v>6</v>
      </c>
      <c r="K236" s="2" t="s">
        <v>17</v>
      </c>
      <c r="L236" s="2">
        <f t="shared" si="0"/>
        <v>24000</v>
      </c>
    </row>
    <row r="237" spans="1:12" ht="14.25" customHeight="1" x14ac:dyDescent="0.2">
      <c r="A237" s="33">
        <v>45911</v>
      </c>
      <c r="B237" s="33"/>
      <c r="C237" s="2" t="s">
        <v>11</v>
      </c>
      <c r="D237" s="2" t="s">
        <v>32</v>
      </c>
      <c r="E237" s="2" t="s">
        <v>23</v>
      </c>
      <c r="F237" s="2" t="s">
        <v>14</v>
      </c>
      <c r="G237" s="2" t="s">
        <v>34</v>
      </c>
      <c r="H237" s="2" t="s">
        <v>16</v>
      </c>
      <c r="I237" s="2">
        <v>320000</v>
      </c>
      <c r="J237" s="2">
        <v>1</v>
      </c>
      <c r="K237" s="2" t="s">
        <v>17</v>
      </c>
      <c r="L237" s="2">
        <f t="shared" si="0"/>
        <v>256000</v>
      </c>
    </row>
    <row r="238" spans="1:12" ht="14.25" customHeight="1" x14ac:dyDescent="0.2">
      <c r="A238" s="33">
        <v>45912</v>
      </c>
      <c r="B238" s="33"/>
      <c r="C238" s="2" t="s">
        <v>25</v>
      </c>
      <c r="D238" s="2" t="s">
        <v>19</v>
      </c>
      <c r="E238" s="2" t="s">
        <v>13</v>
      </c>
      <c r="F238" s="2" t="s">
        <v>20</v>
      </c>
      <c r="G238" s="2" t="s">
        <v>38</v>
      </c>
      <c r="H238" s="2" t="s">
        <v>31</v>
      </c>
      <c r="I238" s="2">
        <v>420000</v>
      </c>
      <c r="J238" s="2">
        <v>5</v>
      </c>
      <c r="K238" s="2" t="s">
        <v>37</v>
      </c>
      <c r="L238" s="2">
        <f t="shared" si="0"/>
        <v>336000</v>
      </c>
    </row>
    <row r="239" spans="1:12" ht="14.25" customHeight="1" x14ac:dyDescent="0.2">
      <c r="A239" s="33">
        <v>45913</v>
      </c>
      <c r="B239" s="33"/>
      <c r="C239" s="2" t="s">
        <v>11</v>
      </c>
      <c r="D239" s="2" t="s">
        <v>32</v>
      </c>
      <c r="E239" s="2" t="s">
        <v>13</v>
      </c>
      <c r="F239" s="2" t="s">
        <v>20</v>
      </c>
      <c r="G239" s="2" t="s">
        <v>21</v>
      </c>
      <c r="H239" s="2" t="s">
        <v>22</v>
      </c>
      <c r="I239" s="2">
        <v>30000</v>
      </c>
      <c r="J239" s="2">
        <v>9</v>
      </c>
      <c r="K239" s="2" t="s">
        <v>39</v>
      </c>
      <c r="L239" s="2">
        <f t="shared" si="0"/>
        <v>24000</v>
      </c>
    </row>
    <row r="240" spans="1:12" ht="14.25" customHeight="1" x14ac:dyDescent="0.2">
      <c r="A240" s="33">
        <v>45914</v>
      </c>
      <c r="B240" s="33"/>
      <c r="C240" s="2" t="s">
        <v>25</v>
      </c>
      <c r="D240" s="2" t="s">
        <v>32</v>
      </c>
      <c r="E240" s="2" t="s">
        <v>13</v>
      </c>
      <c r="F240" s="2" t="s">
        <v>14</v>
      </c>
      <c r="G240" s="2" t="s">
        <v>27</v>
      </c>
      <c r="H240" s="2" t="s">
        <v>22</v>
      </c>
      <c r="I240" s="2">
        <v>60000</v>
      </c>
      <c r="J240" s="2">
        <v>8</v>
      </c>
      <c r="K240" s="2" t="s">
        <v>37</v>
      </c>
      <c r="L240" s="2">
        <f t="shared" si="0"/>
        <v>48000</v>
      </c>
    </row>
    <row r="241" spans="1:12" ht="14.25" customHeight="1" x14ac:dyDescent="0.2">
      <c r="A241" s="33">
        <v>45915</v>
      </c>
      <c r="B241" s="33"/>
      <c r="C241" s="2" t="s">
        <v>11</v>
      </c>
      <c r="D241" s="2" t="s">
        <v>26</v>
      </c>
      <c r="E241" s="2" t="s">
        <v>13</v>
      </c>
      <c r="F241" s="2" t="s">
        <v>14</v>
      </c>
      <c r="G241" s="2" t="s">
        <v>30</v>
      </c>
      <c r="H241" s="2" t="s">
        <v>31</v>
      </c>
      <c r="I241" s="2">
        <v>300000</v>
      </c>
      <c r="J241" s="2">
        <v>2</v>
      </c>
      <c r="K241" s="2" t="s">
        <v>28</v>
      </c>
      <c r="L241" s="2">
        <f t="shared" si="0"/>
        <v>240000</v>
      </c>
    </row>
    <row r="242" spans="1:12" ht="14.25" customHeight="1" x14ac:dyDescent="0.2">
      <c r="A242" s="33">
        <v>45916</v>
      </c>
      <c r="B242" s="33"/>
      <c r="C242" s="2" t="s">
        <v>25</v>
      </c>
      <c r="D242" s="2" t="s">
        <v>12</v>
      </c>
      <c r="E242" s="2" t="s">
        <v>13</v>
      </c>
      <c r="F242" s="2" t="s">
        <v>14</v>
      </c>
      <c r="G242" s="2" t="s">
        <v>41</v>
      </c>
      <c r="H242" s="2" t="s">
        <v>22</v>
      </c>
      <c r="I242" s="2">
        <v>220000</v>
      </c>
      <c r="J242" s="2">
        <v>7</v>
      </c>
      <c r="K242" s="2" t="s">
        <v>28</v>
      </c>
      <c r="L242" s="2">
        <f t="shared" si="0"/>
        <v>176000</v>
      </c>
    </row>
    <row r="243" spans="1:12" ht="14.25" customHeight="1" x14ac:dyDescent="0.2">
      <c r="A243" s="33">
        <v>45917</v>
      </c>
      <c r="B243" s="33"/>
      <c r="C243" s="2" t="s">
        <v>29</v>
      </c>
      <c r="D243" s="2" t="s">
        <v>19</v>
      </c>
      <c r="E243" s="2" t="s">
        <v>23</v>
      </c>
      <c r="F243" s="2" t="s">
        <v>20</v>
      </c>
      <c r="G243" s="2" t="s">
        <v>30</v>
      </c>
      <c r="H243" s="2" t="s">
        <v>31</v>
      </c>
      <c r="I243" s="2">
        <v>300000</v>
      </c>
      <c r="J243" s="2">
        <v>8</v>
      </c>
      <c r="K243" s="2" t="s">
        <v>17</v>
      </c>
      <c r="L243" s="2">
        <f t="shared" si="0"/>
        <v>240000</v>
      </c>
    </row>
    <row r="244" spans="1:12" ht="14.25" customHeight="1" x14ac:dyDescent="0.2">
      <c r="A244" s="33">
        <v>45918</v>
      </c>
      <c r="B244" s="33"/>
      <c r="C244" s="2" t="s">
        <v>18</v>
      </c>
      <c r="D244" s="2" t="s">
        <v>19</v>
      </c>
      <c r="E244" s="2" t="s">
        <v>23</v>
      </c>
      <c r="F244" s="2" t="s">
        <v>20</v>
      </c>
      <c r="G244" s="2" t="s">
        <v>38</v>
      </c>
      <c r="H244" s="2" t="s">
        <v>31</v>
      </c>
      <c r="I244" s="2">
        <v>420000</v>
      </c>
      <c r="J244" s="2">
        <v>10</v>
      </c>
      <c r="K244" s="2" t="s">
        <v>35</v>
      </c>
      <c r="L244" s="2">
        <f t="shared" si="0"/>
        <v>336000</v>
      </c>
    </row>
    <row r="245" spans="1:12" ht="14.25" customHeight="1" x14ac:dyDescent="0.2">
      <c r="A245" s="33">
        <v>45919</v>
      </c>
      <c r="B245" s="33"/>
      <c r="C245" s="2" t="s">
        <v>18</v>
      </c>
      <c r="D245" s="2" t="s">
        <v>32</v>
      </c>
      <c r="E245" s="2" t="s">
        <v>23</v>
      </c>
      <c r="F245" s="2" t="s">
        <v>14</v>
      </c>
      <c r="G245" s="2" t="s">
        <v>30</v>
      </c>
      <c r="H245" s="2" t="s">
        <v>31</v>
      </c>
      <c r="I245" s="2">
        <v>300000</v>
      </c>
      <c r="J245" s="2">
        <v>2</v>
      </c>
      <c r="K245" s="2" t="s">
        <v>35</v>
      </c>
      <c r="L245" s="2">
        <f t="shared" si="0"/>
        <v>240000</v>
      </c>
    </row>
    <row r="246" spans="1:12" ht="14.25" customHeight="1" x14ac:dyDescent="0.2">
      <c r="A246" s="33">
        <v>45920</v>
      </c>
      <c r="B246" s="33"/>
      <c r="C246" s="2" t="s">
        <v>18</v>
      </c>
      <c r="D246" s="2" t="s">
        <v>19</v>
      </c>
      <c r="E246" s="2" t="s">
        <v>23</v>
      </c>
      <c r="F246" s="2" t="s">
        <v>14</v>
      </c>
      <c r="G246" s="2" t="s">
        <v>41</v>
      </c>
      <c r="H246" s="2" t="s">
        <v>22</v>
      </c>
      <c r="I246" s="2">
        <v>220000</v>
      </c>
      <c r="J246" s="2">
        <v>3</v>
      </c>
      <c r="K246" s="2" t="s">
        <v>28</v>
      </c>
      <c r="L246" s="2">
        <f t="shared" si="0"/>
        <v>176000</v>
      </c>
    </row>
    <row r="247" spans="1:12" ht="14.25" customHeight="1" x14ac:dyDescent="0.2">
      <c r="A247" s="33">
        <v>45921</v>
      </c>
      <c r="B247" s="33"/>
      <c r="C247" s="2" t="s">
        <v>18</v>
      </c>
      <c r="D247" s="2" t="s">
        <v>26</v>
      </c>
      <c r="E247" s="2" t="s">
        <v>23</v>
      </c>
      <c r="F247" s="2" t="s">
        <v>20</v>
      </c>
      <c r="G247" s="2" t="s">
        <v>15</v>
      </c>
      <c r="H247" s="2" t="s">
        <v>16</v>
      </c>
      <c r="I247" s="2">
        <v>85000</v>
      </c>
      <c r="J247" s="2">
        <v>6</v>
      </c>
      <c r="K247" s="2" t="s">
        <v>24</v>
      </c>
      <c r="L247" s="2">
        <f t="shared" si="0"/>
        <v>68000</v>
      </c>
    </row>
    <row r="248" spans="1:12" ht="14.25" customHeight="1" x14ac:dyDescent="0.2">
      <c r="A248" s="33">
        <v>45922</v>
      </c>
      <c r="B248" s="33"/>
      <c r="C248" s="2" t="s">
        <v>29</v>
      </c>
      <c r="D248" s="2" t="s">
        <v>32</v>
      </c>
      <c r="E248" s="2" t="s">
        <v>23</v>
      </c>
      <c r="F248" s="2" t="s">
        <v>14</v>
      </c>
      <c r="G248" s="2" t="s">
        <v>34</v>
      </c>
      <c r="H248" s="2" t="s">
        <v>16</v>
      </c>
      <c r="I248" s="2">
        <v>320000</v>
      </c>
      <c r="J248" s="2">
        <v>10</v>
      </c>
      <c r="K248" s="2" t="s">
        <v>39</v>
      </c>
      <c r="L248" s="2">
        <f t="shared" si="0"/>
        <v>256000</v>
      </c>
    </row>
    <row r="249" spans="1:12" ht="14.25" customHeight="1" x14ac:dyDescent="0.2">
      <c r="A249" s="33">
        <v>45923</v>
      </c>
      <c r="B249" s="33"/>
      <c r="C249" s="2" t="s">
        <v>18</v>
      </c>
      <c r="D249" s="2" t="s">
        <v>12</v>
      </c>
      <c r="E249" s="2" t="s">
        <v>23</v>
      </c>
      <c r="F249" s="2" t="s">
        <v>14</v>
      </c>
      <c r="G249" s="2" t="s">
        <v>30</v>
      </c>
      <c r="H249" s="2" t="s">
        <v>31</v>
      </c>
      <c r="I249" s="2">
        <v>300000</v>
      </c>
      <c r="J249" s="2">
        <v>2</v>
      </c>
      <c r="K249" s="2" t="s">
        <v>24</v>
      </c>
      <c r="L249" s="2">
        <f t="shared" si="0"/>
        <v>240000</v>
      </c>
    </row>
    <row r="250" spans="1:12" ht="14.25" customHeight="1" x14ac:dyDescent="0.2">
      <c r="A250" s="33">
        <v>45924</v>
      </c>
      <c r="B250" s="33"/>
      <c r="C250" s="2" t="s">
        <v>25</v>
      </c>
      <c r="D250" s="2" t="s">
        <v>12</v>
      </c>
      <c r="E250" s="2" t="s">
        <v>23</v>
      </c>
      <c r="F250" s="2" t="s">
        <v>20</v>
      </c>
      <c r="G250" s="2" t="s">
        <v>21</v>
      </c>
      <c r="H250" s="2" t="s">
        <v>22</v>
      </c>
      <c r="I250" s="2">
        <v>30000</v>
      </c>
      <c r="J250" s="2">
        <v>6</v>
      </c>
      <c r="K250" s="2" t="s">
        <v>39</v>
      </c>
      <c r="L250" s="2">
        <f t="shared" si="0"/>
        <v>24000</v>
      </c>
    </row>
    <row r="251" spans="1:12" ht="14.25" customHeight="1" x14ac:dyDescent="0.2">
      <c r="A251" s="33">
        <v>45925</v>
      </c>
      <c r="B251" s="33"/>
      <c r="C251" s="2" t="s">
        <v>25</v>
      </c>
      <c r="D251" s="2" t="s">
        <v>12</v>
      </c>
      <c r="E251" s="2" t="s">
        <v>23</v>
      </c>
      <c r="F251" s="2" t="s">
        <v>20</v>
      </c>
      <c r="G251" s="2" t="s">
        <v>27</v>
      </c>
      <c r="H251" s="2" t="s">
        <v>22</v>
      </c>
      <c r="I251" s="2">
        <v>60000</v>
      </c>
      <c r="J251" s="2">
        <v>2</v>
      </c>
      <c r="K251" s="2" t="s">
        <v>28</v>
      </c>
      <c r="L251" s="2">
        <f t="shared" si="0"/>
        <v>48000</v>
      </c>
    </row>
    <row r="252" spans="1:12" ht="14.25" customHeight="1" x14ac:dyDescent="0.2">
      <c r="A252" s="33">
        <v>45926</v>
      </c>
      <c r="B252" s="33"/>
      <c r="C252" s="2" t="s">
        <v>29</v>
      </c>
      <c r="D252" s="2" t="s">
        <v>26</v>
      </c>
      <c r="E252" s="2" t="s">
        <v>13</v>
      </c>
      <c r="F252" s="2" t="s">
        <v>14</v>
      </c>
      <c r="G252" s="2" t="s">
        <v>41</v>
      </c>
      <c r="H252" s="2" t="s">
        <v>22</v>
      </c>
      <c r="I252" s="2">
        <v>220000</v>
      </c>
      <c r="J252" s="2">
        <v>5</v>
      </c>
      <c r="K252" s="2" t="s">
        <v>17</v>
      </c>
      <c r="L252" s="2">
        <f t="shared" si="0"/>
        <v>176000</v>
      </c>
    </row>
    <row r="253" spans="1:12" ht="14.25" customHeight="1" x14ac:dyDescent="0.2">
      <c r="A253" s="33">
        <v>45927</v>
      </c>
      <c r="B253" s="33"/>
      <c r="C253" s="2" t="s">
        <v>11</v>
      </c>
      <c r="D253" s="2" t="s">
        <v>32</v>
      </c>
      <c r="E253" s="2" t="s">
        <v>13</v>
      </c>
      <c r="F253" s="2" t="s">
        <v>20</v>
      </c>
      <c r="G253" s="2" t="s">
        <v>33</v>
      </c>
      <c r="H253" s="2" t="s">
        <v>22</v>
      </c>
      <c r="I253" s="2">
        <v>180000</v>
      </c>
      <c r="J253" s="2">
        <v>6</v>
      </c>
      <c r="K253" s="2" t="s">
        <v>39</v>
      </c>
      <c r="L253" s="2">
        <f t="shared" si="0"/>
        <v>144000</v>
      </c>
    </row>
    <row r="254" spans="1:12" ht="14.25" customHeight="1" x14ac:dyDescent="0.2">
      <c r="A254" s="33">
        <v>45928</v>
      </c>
      <c r="B254" s="33"/>
      <c r="C254" s="2" t="s">
        <v>29</v>
      </c>
      <c r="D254" s="2" t="s">
        <v>12</v>
      </c>
      <c r="E254" s="2" t="s">
        <v>13</v>
      </c>
      <c r="F254" s="2" t="s">
        <v>14</v>
      </c>
      <c r="G254" s="2" t="s">
        <v>40</v>
      </c>
      <c r="H254" s="2" t="s">
        <v>31</v>
      </c>
      <c r="I254" s="2">
        <v>250000</v>
      </c>
      <c r="J254" s="2">
        <v>4</v>
      </c>
      <c r="K254" s="2" t="s">
        <v>35</v>
      </c>
      <c r="L254" s="2">
        <f t="shared" si="0"/>
        <v>200000</v>
      </c>
    </row>
    <row r="255" spans="1:12" ht="14.25" customHeight="1" x14ac:dyDescent="0.2">
      <c r="A255" s="33">
        <v>45929</v>
      </c>
      <c r="B255" s="33"/>
      <c r="C255" s="2" t="s">
        <v>29</v>
      </c>
      <c r="D255" s="2" t="s">
        <v>26</v>
      </c>
      <c r="E255" s="2" t="s">
        <v>23</v>
      </c>
      <c r="F255" s="2" t="s">
        <v>14</v>
      </c>
      <c r="G255" s="2" t="s">
        <v>15</v>
      </c>
      <c r="H255" s="2" t="s">
        <v>16</v>
      </c>
      <c r="I255" s="2">
        <v>85000</v>
      </c>
      <c r="J255" s="2">
        <v>10</v>
      </c>
      <c r="K255" s="2" t="s">
        <v>24</v>
      </c>
      <c r="L255" s="2">
        <f t="shared" si="0"/>
        <v>68000</v>
      </c>
    </row>
    <row r="256" spans="1:12" ht="14.25" customHeight="1" x14ac:dyDescent="0.2">
      <c r="A256" s="33">
        <v>45930</v>
      </c>
      <c r="B256" s="33"/>
      <c r="C256" s="2" t="s">
        <v>11</v>
      </c>
      <c r="D256" s="2" t="s">
        <v>19</v>
      </c>
      <c r="E256" s="2" t="s">
        <v>13</v>
      </c>
      <c r="F256" s="2" t="s">
        <v>14</v>
      </c>
      <c r="G256" s="2" t="s">
        <v>30</v>
      </c>
      <c r="H256" s="2" t="s">
        <v>31</v>
      </c>
      <c r="I256" s="2">
        <v>300000</v>
      </c>
      <c r="J256" s="2">
        <v>6</v>
      </c>
      <c r="K256" s="2" t="s">
        <v>24</v>
      </c>
      <c r="L256" s="2">
        <f t="shared" si="0"/>
        <v>240000</v>
      </c>
    </row>
    <row r="257" spans="1:12" ht="14.25" customHeight="1" x14ac:dyDescent="0.2">
      <c r="A257" s="33">
        <v>45931</v>
      </c>
      <c r="B257" s="33"/>
      <c r="C257" s="2" t="s">
        <v>29</v>
      </c>
      <c r="D257" s="2" t="s">
        <v>19</v>
      </c>
      <c r="E257" s="2" t="s">
        <v>23</v>
      </c>
      <c r="F257" s="2" t="s">
        <v>20</v>
      </c>
      <c r="G257" s="2" t="s">
        <v>41</v>
      </c>
      <c r="H257" s="2" t="s">
        <v>22</v>
      </c>
      <c r="I257" s="2">
        <v>220000</v>
      </c>
      <c r="J257" s="2">
        <v>3</v>
      </c>
      <c r="K257" s="2" t="s">
        <v>17</v>
      </c>
      <c r="L257" s="2">
        <f t="shared" ref="L257:L511" si="1">I257-I257*0.2</f>
        <v>176000</v>
      </c>
    </row>
    <row r="258" spans="1:12" ht="14.25" customHeight="1" x14ac:dyDescent="0.2">
      <c r="A258" s="33">
        <v>45932</v>
      </c>
      <c r="B258" s="33"/>
      <c r="C258" s="2" t="s">
        <v>29</v>
      </c>
      <c r="D258" s="2" t="s">
        <v>26</v>
      </c>
      <c r="E258" s="2" t="s">
        <v>13</v>
      </c>
      <c r="F258" s="2" t="s">
        <v>20</v>
      </c>
      <c r="G258" s="2" t="s">
        <v>21</v>
      </c>
      <c r="H258" s="2" t="s">
        <v>22</v>
      </c>
      <c r="I258" s="2">
        <v>30000</v>
      </c>
      <c r="J258" s="2">
        <v>8</v>
      </c>
      <c r="K258" s="2" t="s">
        <v>39</v>
      </c>
      <c r="L258" s="2">
        <f t="shared" si="1"/>
        <v>24000</v>
      </c>
    </row>
    <row r="259" spans="1:12" ht="14.25" customHeight="1" x14ac:dyDescent="0.2">
      <c r="A259" s="33">
        <v>45933</v>
      </c>
      <c r="B259" s="33"/>
      <c r="C259" s="2" t="s">
        <v>29</v>
      </c>
      <c r="D259" s="2" t="s">
        <v>12</v>
      </c>
      <c r="E259" s="2" t="s">
        <v>23</v>
      </c>
      <c r="F259" s="2" t="s">
        <v>14</v>
      </c>
      <c r="G259" s="2" t="s">
        <v>15</v>
      </c>
      <c r="H259" s="2" t="s">
        <v>16</v>
      </c>
      <c r="I259" s="2">
        <v>85000</v>
      </c>
      <c r="J259" s="2">
        <v>2</v>
      </c>
      <c r="K259" s="2" t="s">
        <v>17</v>
      </c>
      <c r="L259" s="2">
        <f t="shared" si="1"/>
        <v>68000</v>
      </c>
    </row>
    <row r="260" spans="1:12" ht="14.25" customHeight="1" x14ac:dyDescent="0.2">
      <c r="A260" s="33">
        <v>45934</v>
      </c>
      <c r="B260" s="33"/>
      <c r="C260" s="2" t="s">
        <v>25</v>
      </c>
      <c r="D260" s="2" t="s">
        <v>32</v>
      </c>
      <c r="E260" s="2" t="s">
        <v>13</v>
      </c>
      <c r="F260" s="2" t="s">
        <v>20</v>
      </c>
      <c r="G260" s="2" t="s">
        <v>36</v>
      </c>
      <c r="H260" s="2" t="s">
        <v>31</v>
      </c>
      <c r="I260" s="2">
        <v>150000</v>
      </c>
      <c r="J260" s="2">
        <v>3</v>
      </c>
      <c r="K260" s="2" t="s">
        <v>35</v>
      </c>
      <c r="L260" s="2">
        <f t="shared" si="1"/>
        <v>120000</v>
      </c>
    </row>
    <row r="261" spans="1:12" ht="14.25" customHeight="1" x14ac:dyDescent="0.2">
      <c r="A261" s="33">
        <v>45935</v>
      </c>
      <c r="B261" s="33"/>
      <c r="C261" s="2" t="s">
        <v>18</v>
      </c>
      <c r="D261" s="2" t="s">
        <v>32</v>
      </c>
      <c r="E261" s="2" t="s">
        <v>13</v>
      </c>
      <c r="F261" s="2" t="s">
        <v>20</v>
      </c>
      <c r="G261" s="2" t="s">
        <v>15</v>
      </c>
      <c r="H261" s="2" t="s">
        <v>16</v>
      </c>
      <c r="I261" s="2">
        <v>85000</v>
      </c>
      <c r="J261" s="2">
        <v>1</v>
      </c>
      <c r="K261" s="2" t="s">
        <v>37</v>
      </c>
      <c r="L261" s="2">
        <f t="shared" si="1"/>
        <v>68000</v>
      </c>
    </row>
    <row r="262" spans="1:12" ht="14.25" customHeight="1" x14ac:dyDescent="0.2">
      <c r="A262" s="33">
        <v>45936</v>
      </c>
      <c r="B262" s="33"/>
      <c r="C262" s="2" t="s">
        <v>25</v>
      </c>
      <c r="D262" s="2" t="s">
        <v>12</v>
      </c>
      <c r="E262" s="2" t="s">
        <v>23</v>
      </c>
      <c r="F262" s="2" t="s">
        <v>20</v>
      </c>
      <c r="G262" s="2" t="s">
        <v>40</v>
      </c>
      <c r="H262" s="2" t="s">
        <v>31</v>
      </c>
      <c r="I262" s="2">
        <v>250000</v>
      </c>
      <c r="J262" s="2">
        <v>3</v>
      </c>
      <c r="K262" s="2" t="s">
        <v>39</v>
      </c>
      <c r="L262" s="2">
        <f t="shared" si="1"/>
        <v>200000</v>
      </c>
    </row>
    <row r="263" spans="1:12" ht="14.25" customHeight="1" x14ac:dyDescent="0.2">
      <c r="A263" s="33">
        <v>45937</v>
      </c>
      <c r="B263" s="33"/>
      <c r="C263" s="2" t="s">
        <v>18</v>
      </c>
      <c r="D263" s="2" t="s">
        <v>12</v>
      </c>
      <c r="E263" s="2" t="s">
        <v>23</v>
      </c>
      <c r="F263" s="2" t="s">
        <v>20</v>
      </c>
      <c r="G263" s="2" t="s">
        <v>38</v>
      </c>
      <c r="H263" s="2" t="s">
        <v>31</v>
      </c>
      <c r="I263" s="2">
        <v>420000</v>
      </c>
      <c r="J263" s="2">
        <v>2</v>
      </c>
      <c r="K263" s="2" t="s">
        <v>17</v>
      </c>
      <c r="L263" s="2">
        <f t="shared" si="1"/>
        <v>336000</v>
      </c>
    </row>
    <row r="264" spans="1:12" ht="14.25" customHeight="1" x14ac:dyDescent="0.2">
      <c r="A264" s="33">
        <v>45938</v>
      </c>
      <c r="B264" s="33"/>
      <c r="C264" s="2" t="s">
        <v>11</v>
      </c>
      <c r="D264" s="2" t="s">
        <v>26</v>
      </c>
      <c r="E264" s="2" t="s">
        <v>13</v>
      </c>
      <c r="F264" s="2" t="s">
        <v>14</v>
      </c>
      <c r="G264" s="2" t="s">
        <v>36</v>
      </c>
      <c r="H264" s="2" t="s">
        <v>31</v>
      </c>
      <c r="I264" s="2">
        <v>150000</v>
      </c>
      <c r="J264" s="2">
        <v>9</v>
      </c>
      <c r="K264" s="2" t="s">
        <v>28</v>
      </c>
      <c r="L264" s="2">
        <f t="shared" si="1"/>
        <v>120000</v>
      </c>
    </row>
    <row r="265" spans="1:12" ht="14.25" customHeight="1" x14ac:dyDescent="0.2">
      <c r="A265" s="33">
        <v>45939</v>
      </c>
      <c r="B265" s="33"/>
      <c r="C265" s="2" t="s">
        <v>29</v>
      </c>
      <c r="D265" s="2" t="s">
        <v>32</v>
      </c>
      <c r="E265" s="2" t="s">
        <v>13</v>
      </c>
      <c r="F265" s="2" t="s">
        <v>20</v>
      </c>
      <c r="G265" s="2" t="s">
        <v>21</v>
      </c>
      <c r="H265" s="2" t="s">
        <v>22</v>
      </c>
      <c r="I265" s="2">
        <v>30000</v>
      </c>
      <c r="J265" s="2">
        <v>9</v>
      </c>
      <c r="K265" s="2" t="s">
        <v>24</v>
      </c>
      <c r="L265" s="2">
        <f t="shared" si="1"/>
        <v>24000</v>
      </c>
    </row>
    <row r="266" spans="1:12" ht="14.25" customHeight="1" x14ac:dyDescent="0.2">
      <c r="A266" s="33">
        <v>45940</v>
      </c>
      <c r="B266" s="33"/>
      <c r="C266" s="2" t="s">
        <v>18</v>
      </c>
      <c r="D266" s="2" t="s">
        <v>19</v>
      </c>
      <c r="E266" s="2" t="s">
        <v>23</v>
      </c>
      <c r="F266" s="2" t="s">
        <v>20</v>
      </c>
      <c r="G266" s="2" t="s">
        <v>41</v>
      </c>
      <c r="H266" s="2" t="s">
        <v>22</v>
      </c>
      <c r="I266" s="2">
        <v>220000</v>
      </c>
      <c r="J266" s="2">
        <v>6</v>
      </c>
      <c r="K266" s="2" t="s">
        <v>39</v>
      </c>
      <c r="L266" s="2">
        <f t="shared" si="1"/>
        <v>176000</v>
      </c>
    </row>
    <row r="267" spans="1:12" ht="14.25" customHeight="1" x14ac:dyDescent="0.2">
      <c r="A267" s="33">
        <v>45941</v>
      </c>
      <c r="B267" s="33"/>
      <c r="C267" s="2" t="s">
        <v>29</v>
      </c>
      <c r="D267" s="2" t="s">
        <v>26</v>
      </c>
      <c r="E267" s="2" t="s">
        <v>23</v>
      </c>
      <c r="F267" s="2" t="s">
        <v>20</v>
      </c>
      <c r="G267" s="2" t="s">
        <v>21</v>
      </c>
      <c r="H267" s="2" t="s">
        <v>22</v>
      </c>
      <c r="I267" s="2">
        <v>30000</v>
      </c>
      <c r="J267" s="2">
        <v>3</v>
      </c>
      <c r="K267" s="2" t="s">
        <v>39</v>
      </c>
      <c r="L267" s="2">
        <f t="shared" si="1"/>
        <v>24000</v>
      </c>
    </row>
    <row r="268" spans="1:12" ht="14.25" customHeight="1" x14ac:dyDescent="0.2">
      <c r="A268" s="33">
        <v>45942</v>
      </c>
      <c r="B268" s="33"/>
      <c r="C268" s="2" t="s">
        <v>11</v>
      </c>
      <c r="D268" s="2" t="s">
        <v>26</v>
      </c>
      <c r="E268" s="2" t="s">
        <v>13</v>
      </c>
      <c r="F268" s="2" t="s">
        <v>14</v>
      </c>
      <c r="G268" s="2" t="s">
        <v>38</v>
      </c>
      <c r="H268" s="2" t="s">
        <v>31</v>
      </c>
      <c r="I268" s="2">
        <v>420000</v>
      </c>
      <c r="J268" s="2">
        <v>10</v>
      </c>
      <c r="K268" s="2" t="s">
        <v>24</v>
      </c>
      <c r="L268" s="2">
        <f t="shared" si="1"/>
        <v>336000</v>
      </c>
    </row>
    <row r="269" spans="1:12" ht="14.25" customHeight="1" x14ac:dyDescent="0.2">
      <c r="A269" s="33">
        <v>45943</v>
      </c>
      <c r="B269" s="33"/>
      <c r="C269" s="2" t="s">
        <v>29</v>
      </c>
      <c r="D269" s="2" t="s">
        <v>32</v>
      </c>
      <c r="E269" s="2" t="s">
        <v>23</v>
      </c>
      <c r="F269" s="2" t="s">
        <v>14</v>
      </c>
      <c r="G269" s="2" t="s">
        <v>21</v>
      </c>
      <c r="H269" s="2" t="s">
        <v>22</v>
      </c>
      <c r="I269" s="2">
        <v>30000</v>
      </c>
      <c r="J269" s="2">
        <v>2</v>
      </c>
      <c r="K269" s="2" t="s">
        <v>37</v>
      </c>
      <c r="L269" s="2">
        <f t="shared" si="1"/>
        <v>24000</v>
      </c>
    </row>
    <row r="270" spans="1:12" ht="14.25" customHeight="1" x14ac:dyDescent="0.2">
      <c r="A270" s="33">
        <v>45944</v>
      </c>
      <c r="B270" s="33"/>
      <c r="C270" s="2" t="s">
        <v>18</v>
      </c>
      <c r="D270" s="2" t="s">
        <v>12</v>
      </c>
      <c r="E270" s="2" t="s">
        <v>23</v>
      </c>
      <c r="F270" s="2" t="s">
        <v>20</v>
      </c>
      <c r="G270" s="2" t="s">
        <v>36</v>
      </c>
      <c r="H270" s="2" t="s">
        <v>31</v>
      </c>
      <c r="I270" s="2">
        <v>150000</v>
      </c>
      <c r="J270" s="2">
        <v>5</v>
      </c>
      <c r="K270" s="2" t="s">
        <v>24</v>
      </c>
      <c r="L270" s="2">
        <f t="shared" si="1"/>
        <v>120000</v>
      </c>
    </row>
    <row r="271" spans="1:12" ht="14.25" customHeight="1" x14ac:dyDescent="0.2">
      <c r="A271" s="33">
        <v>45945</v>
      </c>
      <c r="B271" s="33"/>
      <c r="C271" s="2" t="s">
        <v>25</v>
      </c>
      <c r="D271" s="2" t="s">
        <v>32</v>
      </c>
      <c r="E271" s="2" t="s">
        <v>13</v>
      </c>
      <c r="F271" s="2" t="s">
        <v>20</v>
      </c>
      <c r="G271" s="2" t="s">
        <v>36</v>
      </c>
      <c r="H271" s="2" t="s">
        <v>31</v>
      </c>
      <c r="I271" s="2">
        <v>150000</v>
      </c>
      <c r="J271" s="2">
        <v>10</v>
      </c>
      <c r="K271" s="2" t="s">
        <v>37</v>
      </c>
      <c r="L271" s="2">
        <f t="shared" si="1"/>
        <v>120000</v>
      </c>
    </row>
    <row r="272" spans="1:12" ht="14.25" customHeight="1" x14ac:dyDescent="0.2">
      <c r="A272" s="33">
        <v>45946</v>
      </c>
      <c r="B272" s="33"/>
      <c r="C272" s="2" t="s">
        <v>11</v>
      </c>
      <c r="D272" s="2" t="s">
        <v>32</v>
      </c>
      <c r="E272" s="2" t="s">
        <v>23</v>
      </c>
      <c r="F272" s="2" t="s">
        <v>14</v>
      </c>
      <c r="G272" s="2" t="s">
        <v>33</v>
      </c>
      <c r="H272" s="2" t="s">
        <v>22</v>
      </c>
      <c r="I272" s="2">
        <v>180000</v>
      </c>
      <c r="J272" s="2">
        <v>3</v>
      </c>
      <c r="K272" s="2" t="s">
        <v>24</v>
      </c>
      <c r="L272" s="2">
        <f t="shared" si="1"/>
        <v>144000</v>
      </c>
    </row>
    <row r="273" spans="1:12" ht="14.25" customHeight="1" x14ac:dyDescent="0.2">
      <c r="A273" s="33">
        <v>45947</v>
      </c>
      <c r="B273" s="33"/>
      <c r="C273" s="2" t="s">
        <v>18</v>
      </c>
      <c r="D273" s="2" t="s">
        <v>26</v>
      </c>
      <c r="E273" s="2" t="s">
        <v>23</v>
      </c>
      <c r="F273" s="2" t="s">
        <v>14</v>
      </c>
      <c r="G273" s="2" t="s">
        <v>21</v>
      </c>
      <c r="H273" s="2" t="s">
        <v>22</v>
      </c>
      <c r="I273" s="2">
        <v>30000</v>
      </c>
      <c r="J273" s="2">
        <v>10</v>
      </c>
      <c r="K273" s="2" t="s">
        <v>28</v>
      </c>
      <c r="L273" s="2">
        <f t="shared" si="1"/>
        <v>24000</v>
      </c>
    </row>
    <row r="274" spans="1:12" ht="14.25" customHeight="1" x14ac:dyDescent="0.2">
      <c r="A274" s="33">
        <v>45948</v>
      </c>
      <c r="B274" s="33"/>
      <c r="C274" s="2" t="s">
        <v>18</v>
      </c>
      <c r="D274" s="2" t="s">
        <v>12</v>
      </c>
      <c r="E274" s="2" t="s">
        <v>13</v>
      </c>
      <c r="F274" s="2" t="s">
        <v>14</v>
      </c>
      <c r="G274" s="2" t="s">
        <v>38</v>
      </c>
      <c r="H274" s="2" t="s">
        <v>31</v>
      </c>
      <c r="I274" s="2">
        <v>420000</v>
      </c>
      <c r="J274" s="2">
        <v>2</v>
      </c>
      <c r="K274" s="2" t="s">
        <v>28</v>
      </c>
      <c r="L274" s="2">
        <f t="shared" si="1"/>
        <v>336000</v>
      </c>
    </row>
    <row r="275" spans="1:12" ht="14.25" customHeight="1" x14ac:dyDescent="0.2">
      <c r="A275" s="33">
        <v>45949</v>
      </c>
      <c r="B275" s="33"/>
      <c r="C275" s="2" t="s">
        <v>25</v>
      </c>
      <c r="D275" s="2" t="s">
        <v>12</v>
      </c>
      <c r="E275" s="2" t="s">
        <v>23</v>
      </c>
      <c r="F275" s="2" t="s">
        <v>14</v>
      </c>
      <c r="G275" s="2" t="s">
        <v>34</v>
      </c>
      <c r="H275" s="2" t="s">
        <v>16</v>
      </c>
      <c r="I275" s="2">
        <v>320000</v>
      </c>
      <c r="J275" s="2">
        <v>1</v>
      </c>
      <c r="K275" s="2" t="s">
        <v>35</v>
      </c>
      <c r="L275" s="2">
        <f t="shared" si="1"/>
        <v>256000</v>
      </c>
    </row>
    <row r="276" spans="1:12" ht="14.25" customHeight="1" x14ac:dyDescent="0.2">
      <c r="A276" s="33">
        <v>45950</v>
      </c>
      <c r="B276" s="33"/>
      <c r="C276" s="2" t="s">
        <v>29</v>
      </c>
      <c r="D276" s="2" t="s">
        <v>19</v>
      </c>
      <c r="E276" s="2" t="s">
        <v>13</v>
      </c>
      <c r="F276" s="2" t="s">
        <v>14</v>
      </c>
      <c r="G276" s="2" t="s">
        <v>36</v>
      </c>
      <c r="H276" s="2" t="s">
        <v>31</v>
      </c>
      <c r="I276" s="2">
        <v>150000</v>
      </c>
      <c r="J276" s="2">
        <v>2</v>
      </c>
      <c r="K276" s="2" t="s">
        <v>28</v>
      </c>
      <c r="L276" s="2">
        <f t="shared" si="1"/>
        <v>120000</v>
      </c>
    </row>
    <row r="277" spans="1:12" ht="14.25" customHeight="1" x14ac:dyDescent="0.2">
      <c r="A277" s="33">
        <v>45951</v>
      </c>
      <c r="B277" s="33"/>
      <c r="C277" s="2" t="s">
        <v>18</v>
      </c>
      <c r="D277" s="2" t="s">
        <v>19</v>
      </c>
      <c r="E277" s="2" t="s">
        <v>23</v>
      </c>
      <c r="F277" s="2" t="s">
        <v>20</v>
      </c>
      <c r="G277" s="2" t="s">
        <v>21</v>
      </c>
      <c r="H277" s="2" t="s">
        <v>22</v>
      </c>
      <c r="I277" s="2">
        <v>30000</v>
      </c>
      <c r="J277" s="2">
        <v>9</v>
      </c>
      <c r="K277" s="2" t="s">
        <v>39</v>
      </c>
      <c r="L277" s="2">
        <f t="shared" si="1"/>
        <v>24000</v>
      </c>
    </row>
    <row r="278" spans="1:12" ht="14.25" customHeight="1" x14ac:dyDescent="0.2">
      <c r="A278" s="33">
        <v>45952</v>
      </c>
      <c r="B278" s="33"/>
      <c r="C278" s="2" t="s">
        <v>11</v>
      </c>
      <c r="D278" s="2" t="s">
        <v>19</v>
      </c>
      <c r="E278" s="2" t="s">
        <v>13</v>
      </c>
      <c r="F278" s="2" t="s">
        <v>14</v>
      </c>
      <c r="G278" s="2" t="s">
        <v>15</v>
      </c>
      <c r="H278" s="2" t="s">
        <v>16</v>
      </c>
      <c r="I278" s="2">
        <v>85000</v>
      </c>
      <c r="J278" s="2">
        <v>7</v>
      </c>
      <c r="K278" s="2" t="s">
        <v>35</v>
      </c>
      <c r="L278" s="2">
        <f t="shared" si="1"/>
        <v>68000</v>
      </c>
    </row>
    <row r="279" spans="1:12" ht="14.25" customHeight="1" x14ac:dyDescent="0.2">
      <c r="A279" s="33">
        <v>45953</v>
      </c>
      <c r="B279" s="33"/>
      <c r="C279" s="2" t="s">
        <v>29</v>
      </c>
      <c r="D279" s="2" t="s">
        <v>12</v>
      </c>
      <c r="E279" s="2" t="s">
        <v>23</v>
      </c>
      <c r="F279" s="2" t="s">
        <v>14</v>
      </c>
      <c r="G279" s="2" t="s">
        <v>36</v>
      </c>
      <c r="H279" s="2" t="s">
        <v>31</v>
      </c>
      <c r="I279" s="2">
        <v>150000</v>
      </c>
      <c r="J279" s="2">
        <v>5</v>
      </c>
      <c r="K279" s="2" t="s">
        <v>24</v>
      </c>
      <c r="L279" s="2">
        <f t="shared" si="1"/>
        <v>120000</v>
      </c>
    </row>
    <row r="280" spans="1:12" ht="14.25" customHeight="1" x14ac:dyDescent="0.2">
      <c r="A280" s="33">
        <v>45954</v>
      </c>
      <c r="B280" s="33"/>
      <c r="C280" s="2" t="s">
        <v>11</v>
      </c>
      <c r="D280" s="2" t="s">
        <v>26</v>
      </c>
      <c r="E280" s="2" t="s">
        <v>13</v>
      </c>
      <c r="F280" s="2" t="s">
        <v>20</v>
      </c>
      <c r="G280" s="2" t="s">
        <v>34</v>
      </c>
      <c r="H280" s="2" t="s">
        <v>16</v>
      </c>
      <c r="I280" s="2">
        <v>320000</v>
      </c>
      <c r="J280" s="2">
        <v>9</v>
      </c>
      <c r="K280" s="2" t="s">
        <v>17</v>
      </c>
      <c r="L280" s="2">
        <f t="shared" si="1"/>
        <v>256000</v>
      </c>
    </row>
    <row r="281" spans="1:12" ht="14.25" customHeight="1" x14ac:dyDescent="0.2">
      <c r="A281" s="33">
        <v>45955</v>
      </c>
      <c r="B281" s="33"/>
      <c r="C281" s="2" t="s">
        <v>29</v>
      </c>
      <c r="D281" s="2" t="s">
        <v>19</v>
      </c>
      <c r="E281" s="2" t="s">
        <v>13</v>
      </c>
      <c r="F281" s="2" t="s">
        <v>14</v>
      </c>
      <c r="G281" s="2" t="s">
        <v>34</v>
      </c>
      <c r="H281" s="2" t="s">
        <v>16</v>
      </c>
      <c r="I281" s="2">
        <v>320000</v>
      </c>
      <c r="J281" s="2">
        <v>10</v>
      </c>
      <c r="K281" s="2" t="s">
        <v>35</v>
      </c>
      <c r="L281" s="2">
        <f t="shared" si="1"/>
        <v>256000</v>
      </c>
    </row>
    <row r="282" spans="1:12" ht="14.25" customHeight="1" x14ac:dyDescent="0.2">
      <c r="A282" s="33">
        <v>45956</v>
      </c>
      <c r="B282" s="33"/>
      <c r="C282" s="2" t="s">
        <v>29</v>
      </c>
      <c r="D282" s="2" t="s">
        <v>26</v>
      </c>
      <c r="E282" s="2" t="s">
        <v>23</v>
      </c>
      <c r="F282" s="2" t="s">
        <v>14</v>
      </c>
      <c r="G282" s="2" t="s">
        <v>15</v>
      </c>
      <c r="H282" s="2" t="s">
        <v>16</v>
      </c>
      <c r="I282" s="2">
        <v>85000</v>
      </c>
      <c r="J282" s="2">
        <v>7</v>
      </c>
      <c r="K282" s="2" t="s">
        <v>35</v>
      </c>
      <c r="L282" s="2">
        <f t="shared" si="1"/>
        <v>68000</v>
      </c>
    </row>
    <row r="283" spans="1:12" ht="14.25" customHeight="1" x14ac:dyDescent="0.2">
      <c r="A283" s="33">
        <v>45957</v>
      </c>
      <c r="B283" s="33"/>
      <c r="C283" s="2" t="s">
        <v>25</v>
      </c>
      <c r="D283" s="2" t="s">
        <v>26</v>
      </c>
      <c r="E283" s="2" t="s">
        <v>13</v>
      </c>
      <c r="F283" s="2" t="s">
        <v>14</v>
      </c>
      <c r="G283" s="2" t="s">
        <v>27</v>
      </c>
      <c r="H283" s="2" t="s">
        <v>22</v>
      </c>
      <c r="I283" s="2">
        <v>60000</v>
      </c>
      <c r="J283" s="2">
        <v>4</v>
      </c>
      <c r="K283" s="2" t="s">
        <v>35</v>
      </c>
      <c r="L283" s="2">
        <f t="shared" si="1"/>
        <v>48000</v>
      </c>
    </row>
    <row r="284" spans="1:12" ht="14.25" customHeight="1" x14ac:dyDescent="0.2">
      <c r="A284" s="33">
        <v>45958</v>
      </c>
      <c r="B284" s="33"/>
      <c r="C284" s="2" t="s">
        <v>18</v>
      </c>
      <c r="D284" s="2" t="s">
        <v>26</v>
      </c>
      <c r="E284" s="2" t="s">
        <v>13</v>
      </c>
      <c r="F284" s="2" t="s">
        <v>20</v>
      </c>
      <c r="G284" s="2" t="s">
        <v>27</v>
      </c>
      <c r="H284" s="2" t="s">
        <v>22</v>
      </c>
      <c r="I284" s="2">
        <v>60000</v>
      </c>
      <c r="J284" s="2">
        <v>7</v>
      </c>
      <c r="K284" s="2" t="s">
        <v>24</v>
      </c>
      <c r="L284" s="2">
        <f t="shared" si="1"/>
        <v>48000</v>
      </c>
    </row>
    <row r="285" spans="1:12" ht="14.25" customHeight="1" x14ac:dyDescent="0.2">
      <c r="A285" s="33">
        <v>45959</v>
      </c>
      <c r="B285" s="33"/>
      <c r="C285" s="2" t="s">
        <v>25</v>
      </c>
      <c r="D285" s="2" t="s">
        <v>19</v>
      </c>
      <c r="E285" s="2" t="s">
        <v>23</v>
      </c>
      <c r="F285" s="2" t="s">
        <v>14</v>
      </c>
      <c r="G285" s="2" t="s">
        <v>36</v>
      </c>
      <c r="H285" s="2" t="s">
        <v>31</v>
      </c>
      <c r="I285" s="2">
        <v>150000</v>
      </c>
      <c r="J285" s="2">
        <v>7</v>
      </c>
      <c r="K285" s="2" t="s">
        <v>39</v>
      </c>
      <c r="L285" s="2">
        <f t="shared" si="1"/>
        <v>120000</v>
      </c>
    </row>
    <row r="286" spans="1:12" ht="14.25" customHeight="1" x14ac:dyDescent="0.2">
      <c r="A286" s="33">
        <v>45960</v>
      </c>
      <c r="B286" s="33"/>
      <c r="C286" s="2" t="s">
        <v>11</v>
      </c>
      <c r="D286" s="2" t="s">
        <v>19</v>
      </c>
      <c r="E286" s="2" t="s">
        <v>13</v>
      </c>
      <c r="F286" s="2" t="s">
        <v>14</v>
      </c>
      <c r="G286" s="2" t="s">
        <v>15</v>
      </c>
      <c r="H286" s="2" t="s">
        <v>16</v>
      </c>
      <c r="I286" s="2">
        <v>85000</v>
      </c>
      <c r="J286" s="2">
        <v>3</v>
      </c>
      <c r="K286" s="2" t="s">
        <v>24</v>
      </c>
      <c r="L286" s="2">
        <f t="shared" si="1"/>
        <v>68000</v>
      </c>
    </row>
    <row r="287" spans="1:12" ht="14.25" customHeight="1" x14ac:dyDescent="0.2">
      <c r="A287" s="33">
        <v>45961</v>
      </c>
      <c r="B287" s="33"/>
      <c r="C287" s="2" t="s">
        <v>25</v>
      </c>
      <c r="D287" s="2" t="s">
        <v>32</v>
      </c>
      <c r="E287" s="2" t="s">
        <v>13</v>
      </c>
      <c r="F287" s="2" t="s">
        <v>14</v>
      </c>
      <c r="G287" s="2" t="s">
        <v>15</v>
      </c>
      <c r="H287" s="2" t="s">
        <v>16</v>
      </c>
      <c r="I287" s="2">
        <v>85000</v>
      </c>
      <c r="J287" s="2">
        <v>10</v>
      </c>
      <c r="K287" s="2" t="s">
        <v>28</v>
      </c>
      <c r="L287" s="2">
        <f t="shared" si="1"/>
        <v>68000</v>
      </c>
    </row>
    <row r="288" spans="1:12" ht="14.25" customHeight="1" x14ac:dyDescent="0.2">
      <c r="A288" s="33">
        <v>45962</v>
      </c>
      <c r="B288" s="33"/>
      <c r="C288" s="2" t="s">
        <v>18</v>
      </c>
      <c r="D288" s="2" t="s">
        <v>19</v>
      </c>
      <c r="E288" s="2" t="s">
        <v>23</v>
      </c>
      <c r="F288" s="2" t="s">
        <v>20</v>
      </c>
      <c r="G288" s="2" t="s">
        <v>30</v>
      </c>
      <c r="H288" s="2" t="s">
        <v>31</v>
      </c>
      <c r="I288" s="2">
        <v>300000</v>
      </c>
      <c r="J288" s="2">
        <v>10</v>
      </c>
      <c r="K288" s="2" t="s">
        <v>24</v>
      </c>
      <c r="L288" s="2">
        <f t="shared" si="1"/>
        <v>240000</v>
      </c>
    </row>
    <row r="289" spans="1:12" ht="14.25" customHeight="1" x14ac:dyDescent="0.2">
      <c r="A289" s="33">
        <v>45963</v>
      </c>
      <c r="B289" s="33"/>
      <c r="C289" s="2" t="s">
        <v>25</v>
      </c>
      <c r="D289" s="2" t="s">
        <v>32</v>
      </c>
      <c r="E289" s="2" t="s">
        <v>13</v>
      </c>
      <c r="F289" s="2" t="s">
        <v>20</v>
      </c>
      <c r="G289" s="2" t="s">
        <v>27</v>
      </c>
      <c r="H289" s="2" t="s">
        <v>22</v>
      </c>
      <c r="I289" s="2">
        <v>60000</v>
      </c>
      <c r="J289" s="2">
        <v>3</v>
      </c>
      <c r="K289" s="2" t="s">
        <v>17</v>
      </c>
      <c r="L289" s="2">
        <f t="shared" si="1"/>
        <v>48000</v>
      </c>
    </row>
    <row r="290" spans="1:12" ht="14.25" customHeight="1" x14ac:dyDescent="0.2">
      <c r="A290" s="33">
        <v>45964</v>
      </c>
      <c r="B290" s="33"/>
      <c r="C290" s="2" t="s">
        <v>18</v>
      </c>
      <c r="D290" s="2" t="s">
        <v>12</v>
      </c>
      <c r="E290" s="2" t="s">
        <v>23</v>
      </c>
      <c r="F290" s="2" t="s">
        <v>14</v>
      </c>
      <c r="G290" s="2" t="s">
        <v>27</v>
      </c>
      <c r="H290" s="2" t="s">
        <v>22</v>
      </c>
      <c r="I290" s="2">
        <v>60000</v>
      </c>
      <c r="J290" s="2">
        <v>3</v>
      </c>
      <c r="K290" s="2" t="s">
        <v>24</v>
      </c>
      <c r="L290" s="2">
        <f t="shared" si="1"/>
        <v>48000</v>
      </c>
    </row>
    <row r="291" spans="1:12" ht="14.25" customHeight="1" x14ac:dyDescent="0.2">
      <c r="A291" s="33">
        <v>45965</v>
      </c>
      <c r="B291" s="33"/>
      <c r="C291" s="2" t="s">
        <v>11</v>
      </c>
      <c r="D291" s="2" t="s">
        <v>19</v>
      </c>
      <c r="E291" s="2" t="s">
        <v>13</v>
      </c>
      <c r="F291" s="2" t="s">
        <v>14</v>
      </c>
      <c r="G291" s="2" t="s">
        <v>15</v>
      </c>
      <c r="H291" s="2" t="s">
        <v>16</v>
      </c>
      <c r="I291" s="2">
        <v>85000</v>
      </c>
      <c r="J291" s="2">
        <v>6</v>
      </c>
      <c r="K291" s="2" t="s">
        <v>24</v>
      </c>
      <c r="L291" s="2">
        <f t="shared" si="1"/>
        <v>68000</v>
      </c>
    </row>
    <row r="292" spans="1:12" ht="14.25" customHeight="1" x14ac:dyDescent="0.2">
      <c r="A292" s="33">
        <v>45966</v>
      </c>
      <c r="B292" s="33"/>
      <c r="C292" s="2" t="s">
        <v>18</v>
      </c>
      <c r="D292" s="2" t="s">
        <v>26</v>
      </c>
      <c r="E292" s="2" t="s">
        <v>23</v>
      </c>
      <c r="F292" s="2" t="s">
        <v>20</v>
      </c>
      <c r="G292" s="2" t="s">
        <v>38</v>
      </c>
      <c r="H292" s="2" t="s">
        <v>31</v>
      </c>
      <c r="I292" s="2">
        <v>420000</v>
      </c>
      <c r="J292" s="2">
        <v>2</v>
      </c>
      <c r="K292" s="2" t="s">
        <v>37</v>
      </c>
      <c r="L292" s="2">
        <f t="shared" si="1"/>
        <v>336000</v>
      </c>
    </row>
    <row r="293" spans="1:12" ht="14.25" customHeight="1" x14ac:dyDescent="0.2">
      <c r="A293" s="33">
        <v>45967</v>
      </c>
      <c r="B293" s="33"/>
      <c r="C293" s="2" t="s">
        <v>29</v>
      </c>
      <c r="D293" s="2" t="s">
        <v>32</v>
      </c>
      <c r="E293" s="2" t="s">
        <v>13</v>
      </c>
      <c r="F293" s="2" t="s">
        <v>20</v>
      </c>
      <c r="G293" s="2" t="s">
        <v>40</v>
      </c>
      <c r="H293" s="2" t="s">
        <v>31</v>
      </c>
      <c r="I293" s="2">
        <v>250000</v>
      </c>
      <c r="J293" s="2">
        <v>6</v>
      </c>
      <c r="K293" s="2" t="s">
        <v>39</v>
      </c>
      <c r="L293" s="2">
        <f t="shared" si="1"/>
        <v>200000</v>
      </c>
    </row>
    <row r="294" spans="1:12" ht="14.25" customHeight="1" x14ac:dyDescent="0.2">
      <c r="A294" s="33">
        <v>45968</v>
      </c>
      <c r="B294" s="33"/>
      <c r="C294" s="2" t="s">
        <v>29</v>
      </c>
      <c r="D294" s="2" t="s">
        <v>12</v>
      </c>
      <c r="E294" s="2" t="s">
        <v>13</v>
      </c>
      <c r="F294" s="2" t="s">
        <v>14</v>
      </c>
      <c r="G294" s="2" t="s">
        <v>36</v>
      </c>
      <c r="H294" s="2" t="s">
        <v>31</v>
      </c>
      <c r="I294" s="2">
        <v>150000</v>
      </c>
      <c r="J294" s="2">
        <v>8</v>
      </c>
      <c r="K294" s="2" t="s">
        <v>24</v>
      </c>
      <c r="L294" s="2">
        <f t="shared" si="1"/>
        <v>120000</v>
      </c>
    </row>
    <row r="295" spans="1:12" ht="14.25" customHeight="1" x14ac:dyDescent="0.2">
      <c r="A295" s="33">
        <v>45969</v>
      </c>
      <c r="B295" s="33"/>
      <c r="C295" s="2" t="s">
        <v>18</v>
      </c>
      <c r="D295" s="2" t="s">
        <v>26</v>
      </c>
      <c r="E295" s="2" t="s">
        <v>23</v>
      </c>
      <c r="F295" s="2" t="s">
        <v>14</v>
      </c>
      <c r="G295" s="2" t="s">
        <v>36</v>
      </c>
      <c r="H295" s="2" t="s">
        <v>31</v>
      </c>
      <c r="I295" s="2">
        <v>150000</v>
      </c>
      <c r="J295" s="2">
        <v>10</v>
      </c>
      <c r="K295" s="2" t="s">
        <v>24</v>
      </c>
      <c r="L295" s="2">
        <f t="shared" si="1"/>
        <v>120000</v>
      </c>
    </row>
    <row r="296" spans="1:12" ht="14.25" customHeight="1" x14ac:dyDescent="0.2">
      <c r="A296" s="33">
        <v>45970</v>
      </c>
      <c r="B296" s="33"/>
      <c r="C296" s="2" t="s">
        <v>18</v>
      </c>
      <c r="D296" s="2" t="s">
        <v>26</v>
      </c>
      <c r="E296" s="2" t="s">
        <v>13</v>
      </c>
      <c r="F296" s="2" t="s">
        <v>14</v>
      </c>
      <c r="G296" s="2" t="s">
        <v>40</v>
      </c>
      <c r="H296" s="2" t="s">
        <v>31</v>
      </c>
      <c r="I296" s="2">
        <v>250000</v>
      </c>
      <c r="J296" s="2">
        <v>5</v>
      </c>
      <c r="K296" s="2" t="s">
        <v>39</v>
      </c>
      <c r="L296" s="2">
        <f t="shared" si="1"/>
        <v>200000</v>
      </c>
    </row>
    <row r="297" spans="1:12" ht="14.25" customHeight="1" x14ac:dyDescent="0.2">
      <c r="A297" s="33">
        <v>45971</v>
      </c>
      <c r="B297" s="33"/>
      <c r="C297" s="2" t="s">
        <v>11</v>
      </c>
      <c r="D297" s="2" t="s">
        <v>26</v>
      </c>
      <c r="E297" s="2" t="s">
        <v>13</v>
      </c>
      <c r="F297" s="2" t="s">
        <v>20</v>
      </c>
      <c r="G297" s="2" t="s">
        <v>34</v>
      </c>
      <c r="H297" s="2" t="s">
        <v>16</v>
      </c>
      <c r="I297" s="2">
        <v>320000</v>
      </c>
      <c r="J297" s="2">
        <v>9</v>
      </c>
      <c r="K297" s="2" t="s">
        <v>17</v>
      </c>
      <c r="L297" s="2">
        <f t="shared" si="1"/>
        <v>256000</v>
      </c>
    </row>
    <row r="298" spans="1:12" ht="14.25" customHeight="1" x14ac:dyDescent="0.2">
      <c r="A298" s="33">
        <v>45972</v>
      </c>
      <c r="B298" s="33"/>
      <c r="C298" s="2" t="s">
        <v>11</v>
      </c>
      <c r="D298" s="2" t="s">
        <v>12</v>
      </c>
      <c r="E298" s="2" t="s">
        <v>23</v>
      </c>
      <c r="F298" s="2" t="s">
        <v>20</v>
      </c>
      <c r="G298" s="2" t="s">
        <v>33</v>
      </c>
      <c r="H298" s="2" t="s">
        <v>22</v>
      </c>
      <c r="I298" s="2">
        <v>180000</v>
      </c>
      <c r="J298" s="2">
        <v>10</v>
      </c>
      <c r="K298" s="2" t="s">
        <v>39</v>
      </c>
      <c r="L298" s="2">
        <f t="shared" si="1"/>
        <v>144000</v>
      </c>
    </row>
    <row r="299" spans="1:12" ht="14.25" customHeight="1" x14ac:dyDescent="0.2">
      <c r="A299" s="33">
        <v>45973</v>
      </c>
      <c r="B299" s="33"/>
      <c r="C299" s="2" t="s">
        <v>11</v>
      </c>
      <c r="D299" s="2" t="s">
        <v>26</v>
      </c>
      <c r="E299" s="2" t="s">
        <v>23</v>
      </c>
      <c r="F299" s="2" t="s">
        <v>20</v>
      </c>
      <c r="G299" s="2" t="s">
        <v>27</v>
      </c>
      <c r="H299" s="2" t="s">
        <v>22</v>
      </c>
      <c r="I299" s="2">
        <v>60000</v>
      </c>
      <c r="J299" s="2">
        <v>6</v>
      </c>
      <c r="K299" s="2" t="s">
        <v>37</v>
      </c>
      <c r="L299" s="2">
        <f t="shared" si="1"/>
        <v>48000</v>
      </c>
    </row>
    <row r="300" spans="1:12" ht="14.25" customHeight="1" x14ac:dyDescent="0.2">
      <c r="A300" s="33">
        <v>45974</v>
      </c>
      <c r="B300" s="33"/>
      <c r="C300" s="2" t="s">
        <v>11</v>
      </c>
      <c r="D300" s="2" t="s">
        <v>26</v>
      </c>
      <c r="E300" s="2" t="s">
        <v>23</v>
      </c>
      <c r="F300" s="2" t="s">
        <v>14</v>
      </c>
      <c r="G300" s="2" t="s">
        <v>36</v>
      </c>
      <c r="H300" s="2" t="s">
        <v>31</v>
      </c>
      <c r="I300" s="2">
        <v>150000</v>
      </c>
      <c r="J300" s="2">
        <v>10</v>
      </c>
      <c r="K300" s="2" t="s">
        <v>28</v>
      </c>
      <c r="L300" s="2">
        <f t="shared" si="1"/>
        <v>120000</v>
      </c>
    </row>
    <row r="301" spans="1:12" ht="14.25" customHeight="1" x14ac:dyDescent="0.2">
      <c r="A301" s="33">
        <v>45975</v>
      </c>
      <c r="B301" s="33"/>
      <c r="C301" s="2" t="s">
        <v>18</v>
      </c>
      <c r="D301" s="2" t="s">
        <v>12</v>
      </c>
      <c r="E301" s="2" t="s">
        <v>13</v>
      </c>
      <c r="F301" s="2" t="s">
        <v>14</v>
      </c>
      <c r="G301" s="2" t="s">
        <v>40</v>
      </c>
      <c r="H301" s="2" t="s">
        <v>31</v>
      </c>
      <c r="I301" s="2">
        <v>250000</v>
      </c>
      <c r="J301" s="2">
        <v>5</v>
      </c>
      <c r="K301" s="2" t="s">
        <v>37</v>
      </c>
      <c r="L301" s="2">
        <f t="shared" si="1"/>
        <v>200000</v>
      </c>
    </row>
    <row r="302" spans="1:12" ht="14.25" customHeight="1" x14ac:dyDescent="0.2">
      <c r="A302" s="33">
        <v>45976</v>
      </c>
      <c r="B302" s="33"/>
      <c r="C302" s="2" t="s">
        <v>11</v>
      </c>
      <c r="D302" s="2" t="s">
        <v>26</v>
      </c>
      <c r="E302" s="2" t="s">
        <v>13</v>
      </c>
      <c r="F302" s="2" t="s">
        <v>14</v>
      </c>
      <c r="G302" s="2" t="s">
        <v>33</v>
      </c>
      <c r="H302" s="2" t="s">
        <v>22</v>
      </c>
      <c r="I302" s="2">
        <v>180000</v>
      </c>
      <c r="J302" s="2">
        <v>3</v>
      </c>
      <c r="K302" s="2" t="s">
        <v>17</v>
      </c>
      <c r="L302" s="2">
        <f t="shared" si="1"/>
        <v>144000</v>
      </c>
    </row>
    <row r="303" spans="1:12" ht="14.25" customHeight="1" x14ac:dyDescent="0.2">
      <c r="A303" s="33">
        <v>45977</v>
      </c>
      <c r="B303" s="33"/>
      <c r="C303" s="2" t="s">
        <v>11</v>
      </c>
      <c r="D303" s="2" t="s">
        <v>26</v>
      </c>
      <c r="E303" s="2" t="s">
        <v>23</v>
      </c>
      <c r="F303" s="2" t="s">
        <v>20</v>
      </c>
      <c r="G303" s="2" t="s">
        <v>34</v>
      </c>
      <c r="H303" s="2" t="s">
        <v>16</v>
      </c>
      <c r="I303" s="2">
        <v>320000</v>
      </c>
      <c r="J303" s="2">
        <v>5</v>
      </c>
      <c r="K303" s="2" t="s">
        <v>37</v>
      </c>
      <c r="L303" s="2">
        <f t="shared" si="1"/>
        <v>256000</v>
      </c>
    </row>
    <row r="304" spans="1:12" ht="14.25" customHeight="1" x14ac:dyDescent="0.2">
      <c r="A304" s="33">
        <v>45978</v>
      </c>
      <c r="B304" s="33"/>
      <c r="C304" s="2" t="s">
        <v>25</v>
      </c>
      <c r="D304" s="2" t="s">
        <v>12</v>
      </c>
      <c r="E304" s="2" t="s">
        <v>13</v>
      </c>
      <c r="F304" s="2" t="s">
        <v>20</v>
      </c>
      <c r="G304" s="2" t="s">
        <v>34</v>
      </c>
      <c r="H304" s="2" t="s">
        <v>16</v>
      </c>
      <c r="I304" s="2">
        <v>320000</v>
      </c>
      <c r="J304" s="2">
        <v>10</v>
      </c>
      <c r="K304" s="2" t="s">
        <v>24</v>
      </c>
      <c r="L304" s="2">
        <f t="shared" si="1"/>
        <v>256000</v>
      </c>
    </row>
    <row r="305" spans="1:12" ht="14.25" customHeight="1" x14ac:dyDescent="0.2">
      <c r="A305" s="33">
        <v>45979</v>
      </c>
      <c r="B305" s="33"/>
      <c r="C305" s="2" t="s">
        <v>18</v>
      </c>
      <c r="D305" s="2" t="s">
        <v>12</v>
      </c>
      <c r="E305" s="2" t="s">
        <v>23</v>
      </c>
      <c r="F305" s="2" t="s">
        <v>14</v>
      </c>
      <c r="G305" s="2" t="s">
        <v>21</v>
      </c>
      <c r="H305" s="2" t="s">
        <v>22</v>
      </c>
      <c r="I305" s="2">
        <v>30000</v>
      </c>
      <c r="J305" s="2">
        <v>5</v>
      </c>
      <c r="K305" s="2" t="s">
        <v>17</v>
      </c>
      <c r="L305" s="2">
        <f t="shared" si="1"/>
        <v>24000</v>
      </c>
    </row>
    <row r="306" spans="1:12" ht="14.25" customHeight="1" x14ac:dyDescent="0.2">
      <c r="A306" s="33">
        <v>45980</v>
      </c>
      <c r="B306" s="33"/>
      <c r="C306" s="2" t="s">
        <v>29</v>
      </c>
      <c r="D306" s="2" t="s">
        <v>12</v>
      </c>
      <c r="E306" s="2" t="s">
        <v>23</v>
      </c>
      <c r="F306" s="2" t="s">
        <v>20</v>
      </c>
      <c r="G306" s="2" t="s">
        <v>38</v>
      </c>
      <c r="H306" s="2" t="s">
        <v>31</v>
      </c>
      <c r="I306" s="2">
        <v>420000</v>
      </c>
      <c r="J306" s="2">
        <v>3</v>
      </c>
      <c r="K306" s="2" t="s">
        <v>17</v>
      </c>
      <c r="L306" s="2">
        <f t="shared" si="1"/>
        <v>336000</v>
      </c>
    </row>
    <row r="307" spans="1:12" ht="14.25" customHeight="1" x14ac:dyDescent="0.2">
      <c r="A307" s="33">
        <v>45981</v>
      </c>
      <c r="B307" s="33"/>
      <c r="C307" s="2" t="s">
        <v>18</v>
      </c>
      <c r="D307" s="2" t="s">
        <v>26</v>
      </c>
      <c r="E307" s="2" t="s">
        <v>13</v>
      </c>
      <c r="F307" s="2" t="s">
        <v>14</v>
      </c>
      <c r="G307" s="2" t="s">
        <v>21</v>
      </c>
      <c r="H307" s="2" t="s">
        <v>22</v>
      </c>
      <c r="I307" s="2">
        <v>30000</v>
      </c>
      <c r="J307" s="2">
        <v>4</v>
      </c>
      <c r="K307" s="2" t="s">
        <v>35</v>
      </c>
      <c r="L307" s="2">
        <f t="shared" si="1"/>
        <v>24000</v>
      </c>
    </row>
    <row r="308" spans="1:12" ht="14.25" customHeight="1" x14ac:dyDescent="0.2">
      <c r="A308" s="33">
        <v>45982</v>
      </c>
      <c r="B308" s="33"/>
      <c r="C308" s="2" t="s">
        <v>18</v>
      </c>
      <c r="D308" s="2" t="s">
        <v>12</v>
      </c>
      <c r="E308" s="2" t="s">
        <v>13</v>
      </c>
      <c r="F308" s="2" t="s">
        <v>14</v>
      </c>
      <c r="G308" s="2" t="s">
        <v>33</v>
      </c>
      <c r="H308" s="2" t="s">
        <v>22</v>
      </c>
      <c r="I308" s="2">
        <v>180000</v>
      </c>
      <c r="J308" s="2">
        <v>4</v>
      </c>
      <c r="K308" s="2" t="s">
        <v>17</v>
      </c>
      <c r="L308" s="2">
        <f t="shared" si="1"/>
        <v>144000</v>
      </c>
    </row>
    <row r="309" spans="1:12" ht="14.25" customHeight="1" x14ac:dyDescent="0.2">
      <c r="A309" s="33">
        <v>45983</v>
      </c>
      <c r="B309" s="33"/>
      <c r="C309" s="2" t="s">
        <v>18</v>
      </c>
      <c r="D309" s="2" t="s">
        <v>19</v>
      </c>
      <c r="E309" s="2" t="s">
        <v>13</v>
      </c>
      <c r="F309" s="2" t="s">
        <v>14</v>
      </c>
      <c r="G309" s="2" t="s">
        <v>40</v>
      </c>
      <c r="H309" s="2" t="s">
        <v>31</v>
      </c>
      <c r="I309" s="2">
        <v>250000</v>
      </c>
      <c r="J309" s="2">
        <v>5</v>
      </c>
      <c r="K309" s="2" t="s">
        <v>39</v>
      </c>
      <c r="L309" s="2">
        <f t="shared" si="1"/>
        <v>200000</v>
      </c>
    </row>
    <row r="310" spans="1:12" ht="14.25" customHeight="1" x14ac:dyDescent="0.2">
      <c r="A310" s="33">
        <v>45984</v>
      </c>
      <c r="B310" s="33"/>
      <c r="C310" s="2" t="s">
        <v>11</v>
      </c>
      <c r="D310" s="2" t="s">
        <v>32</v>
      </c>
      <c r="E310" s="2" t="s">
        <v>23</v>
      </c>
      <c r="F310" s="2" t="s">
        <v>20</v>
      </c>
      <c r="G310" s="2" t="s">
        <v>33</v>
      </c>
      <c r="H310" s="2" t="s">
        <v>22</v>
      </c>
      <c r="I310" s="2">
        <v>180000</v>
      </c>
      <c r="J310" s="2">
        <v>3</v>
      </c>
      <c r="K310" s="2" t="s">
        <v>35</v>
      </c>
      <c r="L310" s="2">
        <f t="shared" si="1"/>
        <v>144000</v>
      </c>
    </row>
    <row r="311" spans="1:12" ht="14.25" customHeight="1" x14ac:dyDescent="0.2">
      <c r="A311" s="33">
        <v>45985</v>
      </c>
      <c r="B311" s="33"/>
      <c r="C311" s="2" t="s">
        <v>18</v>
      </c>
      <c r="D311" s="2" t="s">
        <v>12</v>
      </c>
      <c r="E311" s="2" t="s">
        <v>13</v>
      </c>
      <c r="F311" s="2" t="s">
        <v>14</v>
      </c>
      <c r="G311" s="2" t="s">
        <v>30</v>
      </c>
      <c r="H311" s="2" t="s">
        <v>31</v>
      </c>
      <c r="I311" s="2">
        <v>300000</v>
      </c>
      <c r="J311" s="2">
        <v>5</v>
      </c>
      <c r="K311" s="2" t="s">
        <v>39</v>
      </c>
      <c r="L311" s="2">
        <f t="shared" si="1"/>
        <v>240000</v>
      </c>
    </row>
    <row r="312" spans="1:12" ht="14.25" customHeight="1" x14ac:dyDescent="0.2">
      <c r="A312" s="33">
        <v>45986</v>
      </c>
      <c r="B312" s="33"/>
      <c r="C312" s="2" t="s">
        <v>11</v>
      </c>
      <c r="D312" s="2" t="s">
        <v>26</v>
      </c>
      <c r="E312" s="2" t="s">
        <v>13</v>
      </c>
      <c r="F312" s="2" t="s">
        <v>20</v>
      </c>
      <c r="G312" s="2" t="s">
        <v>15</v>
      </c>
      <c r="H312" s="2" t="s">
        <v>16</v>
      </c>
      <c r="I312" s="2">
        <v>85000</v>
      </c>
      <c r="J312" s="2">
        <v>8</v>
      </c>
      <c r="K312" s="2" t="s">
        <v>35</v>
      </c>
      <c r="L312" s="2">
        <f t="shared" si="1"/>
        <v>68000</v>
      </c>
    </row>
    <row r="313" spans="1:12" ht="14.25" customHeight="1" x14ac:dyDescent="0.2">
      <c r="A313" s="33">
        <v>45987</v>
      </c>
      <c r="B313" s="33"/>
      <c r="C313" s="2" t="s">
        <v>18</v>
      </c>
      <c r="D313" s="2" t="s">
        <v>19</v>
      </c>
      <c r="E313" s="2" t="s">
        <v>23</v>
      </c>
      <c r="F313" s="2" t="s">
        <v>14</v>
      </c>
      <c r="G313" s="2" t="s">
        <v>33</v>
      </c>
      <c r="H313" s="2" t="s">
        <v>22</v>
      </c>
      <c r="I313" s="2">
        <v>180000</v>
      </c>
      <c r="J313" s="2">
        <v>6</v>
      </c>
      <c r="K313" s="2" t="s">
        <v>39</v>
      </c>
      <c r="L313" s="2">
        <f t="shared" si="1"/>
        <v>144000</v>
      </c>
    </row>
    <row r="314" spans="1:12" ht="14.25" customHeight="1" x14ac:dyDescent="0.2">
      <c r="A314" s="33">
        <v>45988</v>
      </c>
      <c r="B314" s="33"/>
      <c r="C314" s="2" t="s">
        <v>18</v>
      </c>
      <c r="D314" s="2" t="s">
        <v>19</v>
      </c>
      <c r="E314" s="2" t="s">
        <v>23</v>
      </c>
      <c r="F314" s="2" t="s">
        <v>14</v>
      </c>
      <c r="G314" s="2" t="s">
        <v>38</v>
      </c>
      <c r="H314" s="2" t="s">
        <v>31</v>
      </c>
      <c r="I314" s="2">
        <v>420000</v>
      </c>
      <c r="J314" s="2">
        <v>7</v>
      </c>
      <c r="K314" s="2" t="s">
        <v>37</v>
      </c>
      <c r="L314" s="2">
        <f t="shared" si="1"/>
        <v>336000</v>
      </c>
    </row>
    <row r="315" spans="1:12" ht="14.25" customHeight="1" x14ac:dyDescent="0.2">
      <c r="A315" s="33">
        <v>45989</v>
      </c>
      <c r="B315" s="33"/>
      <c r="C315" s="2" t="s">
        <v>25</v>
      </c>
      <c r="D315" s="2" t="s">
        <v>26</v>
      </c>
      <c r="E315" s="2" t="s">
        <v>23</v>
      </c>
      <c r="F315" s="2" t="s">
        <v>14</v>
      </c>
      <c r="G315" s="2" t="s">
        <v>36</v>
      </c>
      <c r="H315" s="2" t="s">
        <v>31</v>
      </c>
      <c r="I315" s="2">
        <v>150000</v>
      </c>
      <c r="J315" s="2">
        <v>8</v>
      </c>
      <c r="K315" s="2" t="s">
        <v>17</v>
      </c>
      <c r="L315" s="2">
        <f t="shared" si="1"/>
        <v>120000</v>
      </c>
    </row>
    <row r="316" spans="1:12" ht="14.25" customHeight="1" x14ac:dyDescent="0.2">
      <c r="A316" s="33">
        <v>45990</v>
      </c>
      <c r="B316" s="33"/>
      <c r="C316" s="2" t="s">
        <v>18</v>
      </c>
      <c r="D316" s="2" t="s">
        <v>26</v>
      </c>
      <c r="E316" s="2" t="s">
        <v>13</v>
      </c>
      <c r="F316" s="2" t="s">
        <v>14</v>
      </c>
      <c r="G316" s="2" t="s">
        <v>15</v>
      </c>
      <c r="H316" s="2" t="s">
        <v>16</v>
      </c>
      <c r="I316" s="2">
        <v>85000</v>
      </c>
      <c r="J316" s="2">
        <v>6</v>
      </c>
      <c r="K316" s="2" t="s">
        <v>37</v>
      </c>
      <c r="L316" s="2">
        <f t="shared" si="1"/>
        <v>68000</v>
      </c>
    </row>
    <row r="317" spans="1:12" ht="14.25" customHeight="1" x14ac:dyDescent="0.2">
      <c r="A317" s="33">
        <v>45991</v>
      </c>
      <c r="B317" s="33"/>
      <c r="C317" s="2" t="s">
        <v>25</v>
      </c>
      <c r="D317" s="2" t="s">
        <v>12</v>
      </c>
      <c r="E317" s="2" t="s">
        <v>13</v>
      </c>
      <c r="F317" s="2" t="s">
        <v>20</v>
      </c>
      <c r="G317" s="2" t="s">
        <v>33</v>
      </c>
      <c r="H317" s="2" t="s">
        <v>22</v>
      </c>
      <c r="I317" s="2">
        <v>180000</v>
      </c>
      <c r="J317" s="2">
        <v>9</v>
      </c>
      <c r="K317" s="2" t="s">
        <v>28</v>
      </c>
      <c r="L317" s="2">
        <f t="shared" si="1"/>
        <v>144000</v>
      </c>
    </row>
    <row r="318" spans="1:12" ht="14.25" customHeight="1" x14ac:dyDescent="0.2">
      <c r="A318" s="33">
        <v>45992</v>
      </c>
      <c r="B318" s="33"/>
      <c r="C318" s="2" t="s">
        <v>11</v>
      </c>
      <c r="D318" s="2" t="s">
        <v>26</v>
      </c>
      <c r="E318" s="2" t="s">
        <v>23</v>
      </c>
      <c r="F318" s="2" t="s">
        <v>14</v>
      </c>
      <c r="G318" s="2" t="s">
        <v>40</v>
      </c>
      <c r="H318" s="2" t="s">
        <v>31</v>
      </c>
      <c r="I318" s="2">
        <v>250000</v>
      </c>
      <c r="J318" s="2">
        <v>5</v>
      </c>
      <c r="K318" s="2" t="s">
        <v>37</v>
      </c>
      <c r="L318" s="2">
        <f t="shared" si="1"/>
        <v>200000</v>
      </c>
    </row>
    <row r="319" spans="1:12" ht="14.25" customHeight="1" x14ac:dyDescent="0.2">
      <c r="A319" s="33">
        <v>45993</v>
      </c>
      <c r="B319" s="33"/>
      <c r="C319" s="2" t="s">
        <v>29</v>
      </c>
      <c r="D319" s="2" t="s">
        <v>26</v>
      </c>
      <c r="E319" s="2" t="s">
        <v>13</v>
      </c>
      <c r="F319" s="2" t="s">
        <v>20</v>
      </c>
      <c r="G319" s="2" t="s">
        <v>34</v>
      </c>
      <c r="H319" s="2" t="s">
        <v>16</v>
      </c>
      <c r="I319" s="2">
        <v>320000</v>
      </c>
      <c r="J319" s="2">
        <v>9</v>
      </c>
      <c r="K319" s="2" t="s">
        <v>28</v>
      </c>
      <c r="L319" s="2">
        <f t="shared" si="1"/>
        <v>256000</v>
      </c>
    </row>
    <row r="320" spans="1:12" ht="14.25" customHeight="1" x14ac:dyDescent="0.2">
      <c r="A320" s="33">
        <v>45994</v>
      </c>
      <c r="B320" s="33"/>
      <c r="C320" s="2" t="s">
        <v>29</v>
      </c>
      <c r="D320" s="2" t="s">
        <v>19</v>
      </c>
      <c r="E320" s="2" t="s">
        <v>23</v>
      </c>
      <c r="F320" s="2" t="s">
        <v>20</v>
      </c>
      <c r="G320" s="2" t="s">
        <v>36</v>
      </c>
      <c r="H320" s="2" t="s">
        <v>31</v>
      </c>
      <c r="I320" s="2">
        <v>150000</v>
      </c>
      <c r="J320" s="2">
        <v>7</v>
      </c>
      <c r="K320" s="2" t="s">
        <v>24</v>
      </c>
      <c r="L320" s="2">
        <f t="shared" si="1"/>
        <v>120000</v>
      </c>
    </row>
    <row r="321" spans="1:12" ht="14.25" customHeight="1" x14ac:dyDescent="0.2">
      <c r="A321" s="33">
        <v>45995</v>
      </c>
      <c r="B321" s="33"/>
      <c r="C321" s="2" t="s">
        <v>18</v>
      </c>
      <c r="D321" s="2" t="s">
        <v>12</v>
      </c>
      <c r="E321" s="2" t="s">
        <v>13</v>
      </c>
      <c r="F321" s="2" t="s">
        <v>14</v>
      </c>
      <c r="G321" s="2" t="s">
        <v>38</v>
      </c>
      <c r="H321" s="2" t="s">
        <v>31</v>
      </c>
      <c r="I321" s="2">
        <v>420000</v>
      </c>
      <c r="J321" s="2">
        <v>9</v>
      </c>
      <c r="K321" s="2" t="s">
        <v>37</v>
      </c>
      <c r="L321" s="2">
        <f t="shared" si="1"/>
        <v>336000</v>
      </c>
    </row>
    <row r="322" spans="1:12" ht="14.25" customHeight="1" x14ac:dyDescent="0.2">
      <c r="A322" s="33">
        <v>45996</v>
      </c>
      <c r="B322" s="33"/>
      <c r="C322" s="2" t="s">
        <v>25</v>
      </c>
      <c r="D322" s="2" t="s">
        <v>19</v>
      </c>
      <c r="E322" s="2" t="s">
        <v>23</v>
      </c>
      <c r="F322" s="2" t="s">
        <v>20</v>
      </c>
      <c r="G322" s="2" t="s">
        <v>27</v>
      </c>
      <c r="H322" s="2" t="s">
        <v>22</v>
      </c>
      <c r="I322" s="2">
        <v>60000</v>
      </c>
      <c r="J322" s="2">
        <v>4</v>
      </c>
      <c r="K322" s="2" t="s">
        <v>24</v>
      </c>
      <c r="L322" s="2">
        <f t="shared" si="1"/>
        <v>48000</v>
      </c>
    </row>
    <row r="323" spans="1:12" ht="14.25" customHeight="1" x14ac:dyDescent="0.2">
      <c r="A323" s="33">
        <v>45997</v>
      </c>
      <c r="B323" s="33"/>
      <c r="C323" s="2" t="s">
        <v>11</v>
      </c>
      <c r="D323" s="2" t="s">
        <v>26</v>
      </c>
      <c r="E323" s="2" t="s">
        <v>13</v>
      </c>
      <c r="F323" s="2" t="s">
        <v>20</v>
      </c>
      <c r="G323" s="2" t="s">
        <v>40</v>
      </c>
      <c r="H323" s="2" t="s">
        <v>31</v>
      </c>
      <c r="I323" s="2">
        <v>250000</v>
      </c>
      <c r="J323" s="2">
        <v>5</v>
      </c>
      <c r="K323" s="2" t="s">
        <v>24</v>
      </c>
      <c r="L323" s="2">
        <f t="shared" si="1"/>
        <v>200000</v>
      </c>
    </row>
    <row r="324" spans="1:12" ht="14.25" customHeight="1" x14ac:dyDescent="0.2">
      <c r="A324" s="33">
        <v>45998</v>
      </c>
      <c r="B324" s="33"/>
      <c r="C324" s="2" t="s">
        <v>11</v>
      </c>
      <c r="D324" s="2" t="s">
        <v>26</v>
      </c>
      <c r="E324" s="2" t="s">
        <v>23</v>
      </c>
      <c r="F324" s="2" t="s">
        <v>14</v>
      </c>
      <c r="G324" s="2" t="s">
        <v>30</v>
      </c>
      <c r="H324" s="2" t="s">
        <v>31</v>
      </c>
      <c r="I324" s="2">
        <v>300000</v>
      </c>
      <c r="J324" s="2">
        <v>8</v>
      </c>
      <c r="K324" s="2" t="s">
        <v>35</v>
      </c>
      <c r="L324" s="2">
        <f t="shared" si="1"/>
        <v>240000</v>
      </c>
    </row>
    <row r="325" spans="1:12" ht="14.25" customHeight="1" x14ac:dyDescent="0.2">
      <c r="A325" s="33">
        <v>45999</v>
      </c>
      <c r="B325" s="33"/>
      <c r="C325" s="2" t="s">
        <v>11</v>
      </c>
      <c r="D325" s="2" t="s">
        <v>26</v>
      </c>
      <c r="E325" s="2" t="s">
        <v>23</v>
      </c>
      <c r="F325" s="2" t="s">
        <v>14</v>
      </c>
      <c r="G325" s="2" t="s">
        <v>38</v>
      </c>
      <c r="H325" s="2" t="s">
        <v>31</v>
      </c>
      <c r="I325" s="2">
        <v>420000</v>
      </c>
      <c r="J325" s="2">
        <v>4</v>
      </c>
      <c r="K325" s="2" t="s">
        <v>39</v>
      </c>
      <c r="L325" s="2">
        <f t="shared" si="1"/>
        <v>336000</v>
      </c>
    </row>
    <row r="326" spans="1:12" ht="14.25" customHeight="1" x14ac:dyDescent="0.2">
      <c r="A326" s="33">
        <v>46000</v>
      </c>
      <c r="B326" s="33"/>
      <c r="C326" s="2" t="s">
        <v>11</v>
      </c>
      <c r="D326" s="2" t="s">
        <v>26</v>
      </c>
      <c r="E326" s="2" t="s">
        <v>23</v>
      </c>
      <c r="F326" s="2" t="s">
        <v>20</v>
      </c>
      <c r="G326" s="2" t="s">
        <v>21</v>
      </c>
      <c r="H326" s="2" t="s">
        <v>22</v>
      </c>
      <c r="I326" s="2">
        <v>30000</v>
      </c>
      <c r="J326" s="2">
        <v>4</v>
      </c>
      <c r="K326" s="2" t="s">
        <v>24</v>
      </c>
      <c r="L326" s="2">
        <f t="shared" si="1"/>
        <v>24000</v>
      </c>
    </row>
    <row r="327" spans="1:12" ht="14.25" customHeight="1" x14ac:dyDescent="0.2">
      <c r="A327" s="33">
        <v>46001</v>
      </c>
      <c r="B327" s="33"/>
      <c r="C327" s="2" t="s">
        <v>18</v>
      </c>
      <c r="D327" s="2" t="s">
        <v>32</v>
      </c>
      <c r="E327" s="2" t="s">
        <v>13</v>
      </c>
      <c r="F327" s="2" t="s">
        <v>14</v>
      </c>
      <c r="G327" s="2" t="s">
        <v>34</v>
      </c>
      <c r="H327" s="2" t="s">
        <v>16</v>
      </c>
      <c r="I327" s="2">
        <v>320000</v>
      </c>
      <c r="J327" s="2">
        <v>7</v>
      </c>
      <c r="K327" s="2" t="s">
        <v>24</v>
      </c>
      <c r="L327" s="2">
        <f t="shared" si="1"/>
        <v>256000</v>
      </c>
    </row>
    <row r="328" spans="1:12" ht="14.25" customHeight="1" x14ac:dyDescent="0.2">
      <c r="A328" s="33">
        <v>46002</v>
      </c>
      <c r="B328" s="33"/>
      <c r="C328" s="2" t="s">
        <v>25</v>
      </c>
      <c r="D328" s="2" t="s">
        <v>19</v>
      </c>
      <c r="E328" s="2" t="s">
        <v>13</v>
      </c>
      <c r="F328" s="2" t="s">
        <v>14</v>
      </c>
      <c r="G328" s="2" t="s">
        <v>36</v>
      </c>
      <c r="H328" s="2" t="s">
        <v>31</v>
      </c>
      <c r="I328" s="2">
        <v>150000</v>
      </c>
      <c r="J328" s="2">
        <v>8</v>
      </c>
      <c r="K328" s="2" t="s">
        <v>37</v>
      </c>
      <c r="L328" s="2">
        <f t="shared" si="1"/>
        <v>120000</v>
      </c>
    </row>
    <row r="329" spans="1:12" ht="14.25" customHeight="1" x14ac:dyDescent="0.2">
      <c r="A329" s="33">
        <v>46003</v>
      </c>
      <c r="B329" s="33"/>
      <c r="C329" s="2" t="s">
        <v>11</v>
      </c>
      <c r="D329" s="2" t="s">
        <v>19</v>
      </c>
      <c r="E329" s="2" t="s">
        <v>13</v>
      </c>
      <c r="F329" s="2" t="s">
        <v>20</v>
      </c>
      <c r="G329" s="2" t="s">
        <v>27</v>
      </c>
      <c r="H329" s="2" t="s">
        <v>22</v>
      </c>
      <c r="I329" s="2">
        <v>60000</v>
      </c>
      <c r="J329" s="2">
        <v>7</v>
      </c>
      <c r="K329" s="2" t="s">
        <v>28</v>
      </c>
      <c r="L329" s="2">
        <f t="shared" si="1"/>
        <v>48000</v>
      </c>
    </row>
    <row r="330" spans="1:12" ht="14.25" customHeight="1" x14ac:dyDescent="0.2">
      <c r="A330" s="33">
        <v>46004</v>
      </c>
      <c r="B330" s="33"/>
      <c r="C330" s="2" t="s">
        <v>25</v>
      </c>
      <c r="D330" s="2" t="s">
        <v>26</v>
      </c>
      <c r="E330" s="2" t="s">
        <v>13</v>
      </c>
      <c r="F330" s="2" t="s">
        <v>14</v>
      </c>
      <c r="G330" s="2" t="s">
        <v>33</v>
      </c>
      <c r="H330" s="2" t="s">
        <v>22</v>
      </c>
      <c r="I330" s="2">
        <v>180000</v>
      </c>
      <c r="J330" s="2">
        <v>4</v>
      </c>
      <c r="K330" s="2" t="s">
        <v>24</v>
      </c>
      <c r="L330" s="2">
        <f t="shared" si="1"/>
        <v>144000</v>
      </c>
    </row>
    <row r="331" spans="1:12" ht="14.25" customHeight="1" x14ac:dyDescent="0.2">
      <c r="A331" s="33">
        <v>46005</v>
      </c>
      <c r="B331" s="33"/>
      <c r="C331" s="2" t="s">
        <v>11</v>
      </c>
      <c r="D331" s="2" t="s">
        <v>26</v>
      </c>
      <c r="E331" s="2" t="s">
        <v>23</v>
      </c>
      <c r="F331" s="2" t="s">
        <v>20</v>
      </c>
      <c r="G331" s="2" t="s">
        <v>38</v>
      </c>
      <c r="H331" s="2" t="s">
        <v>31</v>
      </c>
      <c r="I331" s="2">
        <v>420000</v>
      </c>
      <c r="J331" s="2">
        <v>8</v>
      </c>
      <c r="K331" s="2" t="s">
        <v>37</v>
      </c>
      <c r="L331" s="2">
        <f t="shared" si="1"/>
        <v>336000</v>
      </c>
    </row>
    <row r="332" spans="1:12" ht="14.25" customHeight="1" x14ac:dyDescent="0.2">
      <c r="A332" s="33">
        <v>46006</v>
      </c>
      <c r="B332" s="33"/>
      <c r="C332" s="2" t="s">
        <v>11</v>
      </c>
      <c r="D332" s="2" t="s">
        <v>26</v>
      </c>
      <c r="E332" s="2" t="s">
        <v>13</v>
      </c>
      <c r="F332" s="2" t="s">
        <v>20</v>
      </c>
      <c r="G332" s="2" t="s">
        <v>30</v>
      </c>
      <c r="H332" s="2" t="s">
        <v>31</v>
      </c>
      <c r="I332" s="2">
        <v>300000</v>
      </c>
      <c r="J332" s="2">
        <v>2</v>
      </c>
      <c r="K332" s="2" t="s">
        <v>39</v>
      </c>
      <c r="L332" s="2">
        <f t="shared" si="1"/>
        <v>240000</v>
      </c>
    </row>
    <row r="333" spans="1:12" ht="14.25" customHeight="1" x14ac:dyDescent="0.2">
      <c r="A333" s="33">
        <v>46007</v>
      </c>
      <c r="B333" s="33"/>
      <c r="C333" s="2" t="s">
        <v>25</v>
      </c>
      <c r="D333" s="2" t="s">
        <v>19</v>
      </c>
      <c r="E333" s="2" t="s">
        <v>23</v>
      </c>
      <c r="F333" s="2" t="s">
        <v>14</v>
      </c>
      <c r="G333" s="2" t="s">
        <v>38</v>
      </c>
      <c r="H333" s="2" t="s">
        <v>31</v>
      </c>
      <c r="I333" s="2">
        <v>420000</v>
      </c>
      <c r="J333" s="2">
        <v>3</v>
      </c>
      <c r="K333" s="2" t="s">
        <v>37</v>
      </c>
      <c r="L333" s="2">
        <f t="shared" si="1"/>
        <v>336000</v>
      </c>
    </row>
    <row r="334" spans="1:12" ht="14.25" customHeight="1" x14ac:dyDescent="0.2">
      <c r="A334" s="33">
        <v>46008</v>
      </c>
      <c r="B334" s="33"/>
      <c r="C334" s="2" t="s">
        <v>29</v>
      </c>
      <c r="D334" s="2" t="s">
        <v>26</v>
      </c>
      <c r="E334" s="2" t="s">
        <v>13</v>
      </c>
      <c r="F334" s="2" t="s">
        <v>14</v>
      </c>
      <c r="G334" s="2" t="s">
        <v>15</v>
      </c>
      <c r="H334" s="2" t="s">
        <v>16</v>
      </c>
      <c r="I334" s="2">
        <v>85000</v>
      </c>
      <c r="J334" s="2">
        <v>3</v>
      </c>
      <c r="K334" s="2" t="s">
        <v>28</v>
      </c>
      <c r="L334" s="2">
        <f t="shared" si="1"/>
        <v>68000</v>
      </c>
    </row>
    <row r="335" spans="1:12" ht="14.25" customHeight="1" x14ac:dyDescent="0.2">
      <c r="A335" s="33">
        <v>46009</v>
      </c>
      <c r="B335" s="33"/>
      <c r="C335" s="2" t="s">
        <v>11</v>
      </c>
      <c r="D335" s="2" t="s">
        <v>32</v>
      </c>
      <c r="E335" s="2" t="s">
        <v>23</v>
      </c>
      <c r="F335" s="2" t="s">
        <v>20</v>
      </c>
      <c r="G335" s="2" t="s">
        <v>27</v>
      </c>
      <c r="H335" s="2" t="s">
        <v>22</v>
      </c>
      <c r="I335" s="2">
        <v>60000</v>
      </c>
      <c r="J335" s="2">
        <v>8</v>
      </c>
      <c r="K335" s="2" t="s">
        <v>24</v>
      </c>
      <c r="L335" s="2">
        <f t="shared" si="1"/>
        <v>48000</v>
      </c>
    </row>
    <row r="336" spans="1:12" ht="14.25" customHeight="1" x14ac:dyDescent="0.2">
      <c r="A336" s="33">
        <v>46010</v>
      </c>
      <c r="B336" s="33"/>
      <c r="C336" s="2" t="s">
        <v>11</v>
      </c>
      <c r="D336" s="2" t="s">
        <v>19</v>
      </c>
      <c r="E336" s="2" t="s">
        <v>23</v>
      </c>
      <c r="F336" s="2" t="s">
        <v>20</v>
      </c>
      <c r="G336" s="2" t="s">
        <v>33</v>
      </c>
      <c r="H336" s="2" t="s">
        <v>22</v>
      </c>
      <c r="I336" s="2">
        <v>180000</v>
      </c>
      <c r="J336" s="2">
        <v>10</v>
      </c>
      <c r="K336" s="2" t="s">
        <v>35</v>
      </c>
      <c r="L336" s="2">
        <f t="shared" si="1"/>
        <v>144000</v>
      </c>
    </row>
    <row r="337" spans="1:12" ht="14.25" customHeight="1" x14ac:dyDescent="0.2">
      <c r="A337" s="33">
        <v>46011</v>
      </c>
      <c r="B337" s="33"/>
      <c r="C337" s="2" t="s">
        <v>18</v>
      </c>
      <c r="D337" s="2" t="s">
        <v>32</v>
      </c>
      <c r="E337" s="2" t="s">
        <v>23</v>
      </c>
      <c r="F337" s="2" t="s">
        <v>14</v>
      </c>
      <c r="G337" s="2" t="s">
        <v>33</v>
      </c>
      <c r="H337" s="2" t="s">
        <v>22</v>
      </c>
      <c r="I337" s="2">
        <v>180000</v>
      </c>
      <c r="J337" s="2">
        <v>7</v>
      </c>
      <c r="K337" s="2" t="s">
        <v>17</v>
      </c>
      <c r="L337" s="2">
        <f t="shared" si="1"/>
        <v>144000</v>
      </c>
    </row>
    <row r="338" spans="1:12" ht="14.25" customHeight="1" x14ac:dyDescent="0.2">
      <c r="A338" s="33">
        <v>46012</v>
      </c>
      <c r="B338" s="33"/>
      <c r="C338" s="2" t="s">
        <v>18</v>
      </c>
      <c r="D338" s="2" t="s">
        <v>32</v>
      </c>
      <c r="E338" s="2" t="s">
        <v>13</v>
      </c>
      <c r="F338" s="2" t="s">
        <v>20</v>
      </c>
      <c r="G338" s="2" t="s">
        <v>21</v>
      </c>
      <c r="H338" s="2" t="s">
        <v>22</v>
      </c>
      <c r="I338" s="2">
        <v>30000</v>
      </c>
      <c r="J338" s="2">
        <v>3</v>
      </c>
      <c r="K338" s="2" t="s">
        <v>28</v>
      </c>
      <c r="L338" s="2">
        <f t="shared" si="1"/>
        <v>24000</v>
      </c>
    </row>
    <row r="339" spans="1:12" ht="14.25" customHeight="1" x14ac:dyDescent="0.2">
      <c r="A339" s="33">
        <v>46013</v>
      </c>
      <c r="B339" s="33"/>
      <c r="C339" s="2" t="s">
        <v>29</v>
      </c>
      <c r="D339" s="2" t="s">
        <v>12</v>
      </c>
      <c r="E339" s="2" t="s">
        <v>23</v>
      </c>
      <c r="F339" s="2" t="s">
        <v>20</v>
      </c>
      <c r="G339" s="2" t="s">
        <v>21</v>
      </c>
      <c r="H339" s="2" t="s">
        <v>22</v>
      </c>
      <c r="I339" s="2">
        <v>30000</v>
      </c>
      <c r="J339" s="2">
        <v>6</v>
      </c>
      <c r="K339" s="2" t="s">
        <v>24</v>
      </c>
      <c r="L339" s="2">
        <f t="shared" si="1"/>
        <v>24000</v>
      </c>
    </row>
    <row r="340" spans="1:12" ht="14.25" customHeight="1" x14ac:dyDescent="0.2">
      <c r="A340" s="33">
        <v>46014</v>
      </c>
      <c r="B340" s="33"/>
      <c r="C340" s="2" t="s">
        <v>29</v>
      </c>
      <c r="D340" s="2" t="s">
        <v>19</v>
      </c>
      <c r="E340" s="2" t="s">
        <v>23</v>
      </c>
      <c r="F340" s="2" t="s">
        <v>14</v>
      </c>
      <c r="G340" s="2" t="s">
        <v>38</v>
      </c>
      <c r="H340" s="2" t="s">
        <v>31</v>
      </c>
      <c r="I340" s="2">
        <v>420000</v>
      </c>
      <c r="J340" s="2">
        <v>4</v>
      </c>
      <c r="K340" s="2" t="s">
        <v>37</v>
      </c>
      <c r="L340" s="2">
        <f t="shared" si="1"/>
        <v>336000</v>
      </c>
    </row>
    <row r="341" spans="1:12" ht="14.25" customHeight="1" x14ac:dyDescent="0.2">
      <c r="A341" s="33">
        <v>46015</v>
      </c>
      <c r="B341" s="33"/>
      <c r="C341" s="2" t="s">
        <v>18</v>
      </c>
      <c r="D341" s="2" t="s">
        <v>26</v>
      </c>
      <c r="E341" s="2" t="s">
        <v>13</v>
      </c>
      <c r="F341" s="2" t="s">
        <v>14</v>
      </c>
      <c r="G341" s="2" t="s">
        <v>41</v>
      </c>
      <c r="H341" s="2" t="s">
        <v>22</v>
      </c>
      <c r="I341" s="2">
        <v>220000</v>
      </c>
      <c r="J341" s="2">
        <v>8</v>
      </c>
      <c r="K341" s="2" t="s">
        <v>39</v>
      </c>
      <c r="L341" s="2">
        <f t="shared" si="1"/>
        <v>176000</v>
      </c>
    </row>
    <row r="342" spans="1:12" ht="14.25" customHeight="1" x14ac:dyDescent="0.2">
      <c r="A342" s="33">
        <v>46016</v>
      </c>
      <c r="B342" s="33"/>
      <c r="C342" s="2" t="s">
        <v>29</v>
      </c>
      <c r="D342" s="2" t="s">
        <v>19</v>
      </c>
      <c r="E342" s="2" t="s">
        <v>23</v>
      </c>
      <c r="F342" s="2" t="s">
        <v>20</v>
      </c>
      <c r="G342" s="2" t="s">
        <v>15</v>
      </c>
      <c r="H342" s="2" t="s">
        <v>16</v>
      </c>
      <c r="I342" s="2">
        <v>85000</v>
      </c>
      <c r="J342" s="2">
        <v>5</v>
      </c>
      <c r="K342" s="2" t="s">
        <v>17</v>
      </c>
      <c r="L342" s="2">
        <f t="shared" si="1"/>
        <v>68000</v>
      </c>
    </row>
    <row r="343" spans="1:12" ht="14.25" customHeight="1" x14ac:dyDescent="0.2">
      <c r="A343" s="33">
        <v>46017</v>
      </c>
      <c r="B343" s="33"/>
      <c r="C343" s="2" t="s">
        <v>11</v>
      </c>
      <c r="D343" s="2" t="s">
        <v>19</v>
      </c>
      <c r="E343" s="2" t="s">
        <v>13</v>
      </c>
      <c r="F343" s="2" t="s">
        <v>14</v>
      </c>
      <c r="G343" s="2" t="s">
        <v>34</v>
      </c>
      <c r="H343" s="2" t="s">
        <v>16</v>
      </c>
      <c r="I343" s="2">
        <v>320000</v>
      </c>
      <c r="J343" s="2">
        <v>7</v>
      </c>
      <c r="K343" s="2" t="s">
        <v>28</v>
      </c>
      <c r="L343" s="2">
        <f t="shared" si="1"/>
        <v>256000</v>
      </c>
    </row>
    <row r="344" spans="1:12" ht="14.25" customHeight="1" x14ac:dyDescent="0.2">
      <c r="A344" s="33">
        <v>46018</v>
      </c>
      <c r="B344" s="33"/>
      <c r="C344" s="2" t="s">
        <v>25</v>
      </c>
      <c r="D344" s="2" t="s">
        <v>19</v>
      </c>
      <c r="E344" s="2" t="s">
        <v>23</v>
      </c>
      <c r="F344" s="2" t="s">
        <v>20</v>
      </c>
      <c r="G344" s="2" t="s">
        <v>33</v>
      </c>
      <c r="H344" s="2" t="s">
        <v>22</v>
      </c>
      <c r="I344" s="2">
        <v>180000</v>
      </c>
      <c r="J344" s="2">
        <v>6</v>
      </c>
      <c r="K344" s="2" t="s">
        <v>17</v>
      </c>
      <c r="L344" s="2">
        <f t="shared" si="1"/>
        <v>144000</v>
      </c>
    </row>
    <row r="345" spans="1:12" ht="14.25" customHeight="1" x14ac:dyDescent="0.2">
      <c r="A345" s="33">
        <v>46019</v>
      </c>
      <c r="B345" s="33"/>
      <c r="C345" s="2" t="s">
        <v>18</v>
      </c>
      <c r="D345" s="2" t="s">
        <v>32</v>
      </c>
      <c r="E345" s="2" t="s">
        <v>23</v>
      </c>
      <c r="F345" s="2" t="s">
        <v>14</v>
      </c>
      <c r="G345" s="2" t="s">
        <v>27</v>
      </c>
      <c r="H345" s="2" t="s">
        <v>22</v>
      </c>
      <c r="I345" s="2">
        <v>60000</v>
      </c>
      <c r="J345" s="2">
        <v>2</v>
      </c>
      <c r="K345" s="2" t="s">
        <v>37</v>
      </c>
      <c r="L345" s="2">
        <f t="shared" si="1"/>
        <v>48000</v>
      </c>
    </row>
    <row r="346" spans="1:12" ht="14.25" customHeight="1" x14ac:dyDescent="0.2">
      <c r="A346" s="33">
        <v>46020</v>
      </c>
      <c r="B346" s="33"/>
      <c r="C346" s="2" t="s">
        <v>11</v>
      </c>
      <c r="D346" s="2" t="s">
        <v>32</v>
      </c>
      <c r="E346" s="2" t="s">
        <v>23</v>
      </c>
      <c r="F346" s="2" t="s">
        <v>20</v>
      </c>
      <c r="G346" s="2" t="s">
        <v>33</v>
      </c>
      <c r="H346" s="2" t="s">
        <v>22</v>
      </c>
      <c r="I346" s="2">
        <v>180000</v>
      </c>
      <c r="J346" s="2">
        <v>5</v>
      </c>
      <c r="K346" s="2" t="s">
        <v>24</v>
      </c>
      <c r="L346" s="2">
        <f t="shared" si="1"/>
        <v>144000</v>
      </c>
    </row>
    <row r="347" spans="1:12" ht="14.25" customHeight="1" x14ac:dyDescent="0.2">
      <c r="A347" s="33">
        <v>46021</v>
      </c>
      <c r="B347" s="33"/>
      <c r="C347" s="2" t="s">
        <v>18</v>
      </c>
      <c r="D347" s="2" t="s">
        <v>32</v>
      </c>
      <c r="E347" s="2" t="s">
        <v>23</v>
      </c>
      <c r="F347" s="2" t="s">
        <v>20</v>
      </c>
      <c r="G347" s="2" t="s">
        <v>36</v>
      </c>
      <c r="H347" s="2" t="s">
        <v>31</v>
      </c>
      <c r="I347" s="2">
        <v>150000</v>
      </c>
      <c r="J347" s="2">
        <v>6</v>
      </c>
      <c r="K347" s="2" t="s">
        <v>37</v>
      </c>
      <c r="L347" s="2">
        <f t="shared" si="1"/>
        <v>120000</v>
      </c>
    </row>
    <row r="348" spans="1:12" ht="14.25" customHeight="1" x14ac:dyDescent="0.2">
      <c r="A348" s="33">
        <v>46022</v>
      </c>
      <c r="B348" s="33"/>
      <c r="C348" s="2" t="s">
        <v>18</v>
      </c>
      <c r="D348" s="2" t="s">
        <v>12</v>
      </c>
      <c r="E348" s="2" t="s">
        <v>23</v>
      </c>
      <c r="F348" s="2" t="s">
        <v>20</v>
      </c>
      <c r="G348" s="2" t="s">
        <v>21</v>
      </c>
      <c r="H348" s="2" t="s">
        <v>22</v>
      </c>
      <c r="I348" s="2">
        <v>30000</v>
      </c>
      <c r="J348" s="2">
        <v>2</v>
      </c>
      <c r="K348" s="2" t="s">
        <v>37</v>
      </c>
      <c r="L348" s="2">
        <f t="shared" si="1"/>
        <v>24000</v>
      </c>
    </row>
    <row r="349" spans="1:12" ht="14.25" customHeight="1" x14ac:dyDescent="0.2">
      <c r="A349" s="33">
        <v>46023</v>
      </c>
      <c r="B349" s="33"/>
      <c r="C349" s="2" t="s">
        <v>29</v>
      </c>
      <c r="D349" s="2" t="s">
        <v>12</v>
      </c>
      <c r="E349" s="2" t="s">
        <v>13</v>
      </c>
      <c r="F349" s="2" t="s">
        <v>14</v>
      </c>
      <c r="G349" s="2" t="s">
        <v>40</v>
      </c>
      <c r="H349" s="2" t="s">
        <v>31</v>
      </c>
      <c r="I349" s="2">
        <v>250000</v>
      </c>
      <c r="J349" s="2">
        <v>9</v>
      </c>
      <c r="K349" s="2" t="s">
        <v>37</v>
      </c>
      <c r="L349" s="2">
        <f t="shared" si="1"/>
        <v>200000</v>
      </c>
    </row>
    <row r="350" spans="1:12" ht="14.25" customHeight="1" x14ac:dyDescent="0.2">
      <c r="A350" s="33">
        <v>46024</v>
      </c>
      <c r="B350" s="33"/>
      <c r="C350" s="2" t="s">
        <v>11</v>
      </c>
      <c r="D350" s="2" t="s">
        <v>26</v>
      </c>
      <c r="E350" s="2" t="s">
        <v>13</v>
      </c>
      <c r="F350" s="2" t="s">
        <v>20</v>
      </c>
      <c r="G350" s="2" t="s">
        <v>27</v>
      </c>
      <c r="H350" s="2" t="s">
        <v>22</v>
      </c>
      <c r="I350" s="2">
        <v>60000</v>
      </c>
      <c r="J350" s="2">
        <v>4</v>
      </c>
      <c r="K350" s="2" t="s">
        <v>24</v>
      </c>
      <c r="L350" s="2">
        <f t="shared" si="1"/>
        <v>48000</v>
      </c>
    </row>
    <row r="351" spans="1:12" ht="14.25" customHeight="1" x14ac:dyDescent="0.2">
      <c r="A351" s="33">
        <v>46025</v>
      </c>
      <c r="B351" s="33"/>
      <c r="C351" s="2" t="s">
        <v>18</v>
      </c>
      <c r="D351" s="2" t="s">
        <v>12</v>
      </c>
      <c r="E351" s="2" t="s">
        <v>13</v>
      </c>
      <c r="F351" s="2" t="s">
        <v>14</v>
      </c>
      <c r="G351" s="2" t="s">
        <v>36</v>
      </c>
      <c r="H351" s="2" t="s">
        <v>31</v>
      </c>
      <c r="I351" s="2">
        <v>150000</v>
      </c>
      <c r="J351" s="2">
        <v>9</v>
      </c>
      <c r="K351" s="2" t="s">
        <v>37</v>
      </c>
      <c r="L351" s="2">
        <f t="shared" si="1"/>
        <v>120000</v>
      </c>
    </row>
    <row r="352" spans="1:12" ht="14.25" customHeight="1" x14ac:dyDescent="0.2">
      <c r="A352" s="33">
        <v>46026</v>
      </c>
      <c r="B352" s="33"/>
      <c r="C352" s="2" t="s">
        <v>29</v>
      </c>
      <c r="D352" s="2" t="s">
        <v>19</v>
      </c>
      <c r="E352" s="2" t="s">
        <v>23</v>
      </c>
      <c r="F352" s="2" t="s">
        <v>20</v>
      </c>
      <c r="G352" s="2" t="s">
        <v>33</v>
      </c>
      <c r="H352" s="2" t="s">
        <v>22</v>
      </c>
      <c r="I352" s="2">
        <v>180000</v>
      </c>
      <c r="J352" s="2">
        <v>3</v>
      </c>
      <c r="K352" s="2" t="s">
        <v>17</v>
      </c>
      <c r="L352" s="2">
        <f t="shared" si="1"/>
        <v>144000</v>
      </c>
    </row>
    <row r="353" spans="1:12" ht="14.25" customHeight="1" x14ac:dyDescent="0.2">
      <c r="A353" s="33">
        <v>46027</v>
      </c>
      <c r="B353" s="33"/>
      <c r="C353" s="2" t="s">
        <v>11</v>
      </c>
      <c r="D353" s="2" t="s">
        <v>12</v>
      </c>
      <c r="E353" s="2" t="s">
        <v>13</v>
      </c>
      <c r="F353" s="2" t="s">
        <v>14</v>
      </c>
      <c r="G353" s="2" t="s">
        <v>33</v>
      </c>
      <c r="H353" s="2" t="s">
        <v>22</v>
      </c>
      <c r="I353" s="2">
        <v>180000</v>
      </c>
      <c r="J353" s="2">
        <v>10</v>
      </c>
      <c r="K353" s="2" t="s">
        <v>17</v>
      </c>
      <c r="L353" s="2">
        <f t="shared" si="1"/>
        <v>144000</v>
      </c>
    </row>
    <row r="354" spans="1:12" ht="14.25" customHeight="1" x14ac:dyDescent="0.2">
      <c r="A354" s="33">
        <v>46028</v>
      </c>
      <c r="B354" s="33"/>
      <c r="C354" s="2" t="s">
        <v>18</v>
      </c>
      <c r="D354" s="2" t="s">
        <v>19</v>
      </c>
      <c r="E354" s="2" t="s">
        <v>13</v>
      </c>
      <c r="F354" s="2" t="s">
        <v>14</v>
      </c>
      <c r="G354" s="2" t="s">
        <v>41</v>
      </c>
      <c r="H354" s="2" t="s">
        <v>22</v>
      </c>
      <c r="I354" s="2">
        <v>220000</v>
      </c>
      <c r="J354" s="2">
        <v>2</v>
      </c>
      <c r="K354" s="2" t="s">
        <v>17</v>
      </c>
      <c r="L354" s="2">
        <f t="shared" si="1"/>
        <v>176000</v>
      </c>
    </row>
    <row r="355" spans="1:12" ht="14.25" customHeight="1" x14ac:dyDescent="0.2">
      <c r="A355" s="33">
        <v>46029</v>
      </c>
      <c r="B355" s="33"/>
      <c r="C355" s="2" t="s">
        <v>29</v>
      </c>
      <c r="D355" s="2" t="s">
        <v>12</v>
      </c>
      <c r="E355" s="2" t="s">
        <v>23</v>
      </c>
      <c r="F355" s="2" t="s">
        <v>14</v>
      </c>
      <c r="G355" s="2" t="s">
        <v>38</v>
      </c>
      <c r="H355" s="2" t="s">
        <v>31</v>
      </c>
      <c r="I355" s="2">
        <v>420000</v>
      </c>
      <c r="J355" s="2">
        <v>10</v>
      </c>
      <c r="K355" s="2" t="s">
        <v>28</v>
      </c>
      <c r="L355" s="2">
        <f t="shared" si="1"/>
        <v>336000</v>
      </c>
    </row>
    <row r="356" spans="1:12" ht="14.25" customHeight="1" x14ac:dyDescent="0.2">
      <c r="A356" s="33">
        <v>46030</v>
      </c>
      <c r="B356" s="33"/>
      <c r="C356" s="2" t="s">
        <v>11</v>
      </c>
      <c r="D356" s="2" t="s">
        <v>12</v>
      </c>
      <c r="E356" s="2" t="s">
        <v>13</v>
      </c>
      <c r="F356" s="2" t="s">
        <v>20</v>
      </c>
      <c r="G356" s="2" t="s">
        <v>21</v>
      </c>
      <c r="H356" s="2" t="s">
        <v>22</v>
      </c>
      <c r="I356" s="2">
        <v>30000</v>
      </c>
      <c r="J356" s="2">
        <v>9</v>
      </c>
      <c r="K356" s="2" t="s">
        <v>39</v>
      </c>
      <c r="L356" s="2">
        <f t="shared" si="1"/>
        <v>24000</v>
      </c>
    </row>
    <row r="357" spans="1:12" ht="14.25" customHeight="1" x14ac:dyDescent="0.2">
      <c r="A357" s="33">
        <v>46031</v>
      </c>
      <c r="B357" s="33"/>
      <c r="C357" s="2" t="s">
        <v>11</v>
      </c>
      <c r="D357" s="2" t="s">
        <v>32</v>
      </c>
      <c r="E357" s="2" t="s">
        <v>23</v>
      </c>
      <c r="F357" s="2" t="s">
        <v>14</v>
      </c>
      <c r="G357" s="2" t="s">
        <v>34</v>
      </c>
      <c r="H357" s="2" t="s">
        <v>16</v>
      </c>
      <c r="I357" s="2">
        <v>320000</v>
      </c>
      <c r="J357" s="2">
        <v>6</v>
      </c>
      <c r="K357" s="2" t="s">
        <v>35</v>
      </c>
      <c r="L357" s="2">
        <f t="shared" si="1"/>
        <v>256000</v>
      </c>
    </row>
    <row r="358" spans="1:12" ht="14.25" customHeight="1" x14ac:dyDescent="0.2">
      <c r="A358" s="33">
        <v>46032</v>
      </c>
      <c r="B358" s="33"/>
      <c r="C358" s="2" t="s">
        <v>11</v>
      </c>
      <c r="D358" s="2" t="s">
        <v>32</v>
      </c>
      <c r="E358" s="2" t="s">
        <v>13</v>
      </c>
      <c r="F358" s="2" t="s">
        <v>20</v>
      </c>
      <c r="G358" s="2" t="s">
        <v>38</v>
      </c>
      <c r="H358" s="2" t="s">
        <v>31</v>
      </c>
      <c r="I358" s="2">
        <v>420000</v>
      </c>
      <c r="J358" s="2">
        <v>2</v>
      </c>
      <c r="K358" s="2" t="s">
        <v>39</v>
      </c>
      <c r="L358" s="2">
        <f t="shared" si="1"/>
        <v>336000</v>
      </c>
    </row>
    <row r="359" spans="1:12" ht="14.25" customHeight="1" x14ac:dyDescent="0.2">
      <c r="A359" s="33">
        <v>46033</v>
      </c>
      <c r="B359" s="33"/>
      <c r="C359" s="2" t="s">
        <v>25</v>
      </c>
      <c r="D359" s="2" t="s">
        <v>26</v>
      </c>
      <c r="E359" s="2" t="s">
        <v>23</v>
      </c>
      <c r="F359" s="2" t="s">
        <v>14</v>
      </c>
      <c r="G359" s="2" t="s">
        <v>34</v>
      </c>
      <c r="H359" s="2" t="s">
        <v>16</v>
      </c>
      <c r="I359" s="2">
        <v>320000</v>
      </c>
      <c r="J359" s="2">
        <v>10</v>
      </c>
      <c r="K359" s="2" t="s">
        <v>35</v>
      </c>
      <c r="L359" s="2">
        <f t="shared" si="1"/>
        <v>256000</v>
      </c>
    </row>
    <row r="360" spans="1:12" ht="14.25" customHeight="1" x14ac:dyDescent="0.2">
      <c r="A360" s="33">
        <v>46034</v>
      </c>
      <c r="B360" s="33"/>
      <c r="C360" s="2" t="s">
        <v>18</v>
      </c>
      <c r="D360" s="2" t="s">
        <v>26</v>
      </c>
      <c r="E360" s="2" t="s">
        <v>23</v>
      </c>
      <c r="F360" s="2" t="s">
        <v>20</v>
      </c>
      <c r="G360" s="2" t="s">
        <v>30</v>
      </c>
      <c r="H360" s="2" t="s">
        <v>31</v>
      </c>
      <c r="I360" s="2">
        <v>300000</v>
      </c>
      <c r="J360" s="2">
        <v>8</v>
      </c>
      <c r="K360" s="2" t="s">
        <v>39</v>
      </c>
      <c r="L360" s="2">
        <f t="shared" si="1"/>
        <v>240000</v>
      </c>
    </row>
    <row r="361" spans="1:12" ht="14.25" customHeight="1" x14ac:dyDescent="0.2">
      <c r="A361" s="33">
        <v>46035</v>
      </c>
      <c r="B361" s="33"/>
      <c r="C361" s="2" t="s">
        <v>18</v>
      </c>
      <c r="D361" s="2" t="s">
        <v>12</v>
      </c>
      <c r="E361" s="2" t="s">
        <v>23</v>
      </c>
      <c r="F361" s="2" t="s">
        <v>14</v>
      </c>
      <c r="G361" s="2" t="s">
        <v>27</v>
      </c>
      <c r="H361" s="2" t="s">
        <v>22</v>
      </c>
      <c r="I361" s="2">
        <v>60000</v>
      </c>
      <c r="J361" s="2">
        <v>1</v>
      </c>
      <c r="K361" s="2" t="s">
        <v>24</v>
      </c>
      <c r="L361" s="2">
        <f t="shared" si="1"/>
        <v>48000</v>
      </c>
    </row>
    <row r="362" spans="1:12" ht="14.25" customHeight="1" x14ac:dyDescent="0.2">
      <c r="A362" s="33">
        <v>46036</v>
      </c>
      <c r="B362" s="33"/>
      <c r="C362" s="2" t="s">
        <v>25</v>
      </c>
      <c r="D362" s="2" t="s">
        <v>19</v>
      </c>
      <c r="E362" s="2" t="s">
        <v>23</v>
      </c>
      <c r="F362" s="2" t="s">
        <v>14</v>
      </c>
      <c r="G362" s="2" t="s">
        <v>15</v>
      </c>
      <c r="H362" s="2" t="s">
        <v>16</v>
      </c>
      <c r="I362" s="2">
        <v>85000</v>
      </c>
      <c r="J362" s="2">
        <v>3</v>
      </c>
      <c r="K362" s="2" t="s">
        <v>24</v>
      </c>
      <c r="L362" s="2">
        <f t="shared" si="1"/>
        <v>68000</v>
      </c>
    </row>
    <row r="363" spans="1:12" ht="14.25" customHeight="1" x14ac:dyDescent="0.2">
      <c r="A363" s="33">
        <v>46037</v>
      </c>
      <c r="B363" s="33"/>
      <c r="C363" s="2" t="s">
        <v>18</v>
      </c>
      <c r="D363" s="2" t="s">
        <v>26</v>
      </c>
      <c r="E363" s="2" t="s">
        <v>23</v>
      </c>
      <c r="F363" s="2" t="s">
        <v>20</v>
      </c>
      <c r="G363" s="2" t="s">
        <v>21</v>
      </c>
      <c r="H363" s="2" t="s">
        <v>22</v>
      </c>
      <c r="I363" s="2">
        <v>30000</v>
      </c>
      <c r="J363" s="2">
        <v>10</v>
      </c>
      <c r="K363" s="2" t="s">
        <v>17</v>
      </c>
      <c r="L363" s="2">
        <f t="shared" si="1"/>
        <v>24000</v>
      </c>
    </row>
    <row r="364" spans="1:12" ht="14.25" customHeight="1" x14ac:dyDescent="0.2">
      <c r="A364" s="33">
        <v>46038</v>
      </c>
      <c r="B364" s="33"/>
      <c r="C364" s="2" t="s">
        <v>18</v>
      </c>
      <c r="D364" s="2" t="s">
        <v>26</v>
      </c>
      <c r="E364" s="2" t="s">
        <v>23</v>
      </c>
      <c r="F364" s="2" t="s">
        <v>14</v>
      </c>
      <c r="G364" s="2" t="s">
        <v>21</v>
      </c>
      <c r="H364" s="2" t="s">
        <v>22</v>
      </c>
      <c r="I364" s="2">
        <v>30000</v>
      </c>
      <c r="J364" s="2">
        <v>4</v>
      </c>
      <c r="K364" s="2" t="s">
        <v>35</v>
      </c>
      <c r="L364" s="2">
        <f t="shared" si="1"/>
        <v>24000</v>
      </c>
    </row>
    <row r="365" spans="1:12" ht="14.25" customHeight="1" x14ac:dyDescent="0.2">
      <c r="A365" s="33">
        <v>46039</v>
      </c>
      <c r="B365" s="33"/>
      <c r="C365" s="2" t="s">
        <v>25</v>
      </c>
      <c r="D365" s="2" t="s">
        <v>32</v>
      </c>
      <c r="E365" s="2" t="s">
        <v>23</v>
      </c>
      <c r="F365" s="2" t="s">
        <v>20</v>
      </c>
      <c r="G365" s="2" t="s">
        <v>36</v>
      </c>
      <c r="H365" s="2" t="s">
        <v>31</v>
      </c>
      <c r="I365" s="2">
        <v>150000</v>
      </c>
      <c r="J365" s="2">
        <v>3</v>
      </c>
      <c r="K365" s="2" t="s">
        <v>24</v>
      </c>
      <c r="L365" s="2">
        <f t="shared" si="1"/>
        <v>120000</v>
      </c>
    </row>
    <row r="366" spans="1:12" ht="14.25" customHeight="1" x14ac:dyDescent="0.2">
      <c r="A366" s="33">
        <v>46040</v>
      </c>
      <c r="B366" s="33"/>
      <c r="C366" s="2" t="s">
        <v>11</v>
      </c>
      <c r="D366" s="2" t="s">
        <v>12</v>
      </c>
      <c r="E366" s="2" t="s">
        <v>23</v>
      </c>
      <c r="F366" s="2" t="s">
        <v>14</v>
      </c>
      <c r="G366" s="2" t="s">
        <v>36</v>
      </c>
      <c r="H366" s="2" t="s">
        <v>31</v>
      </c>
      <c r="I366" s="2">
        <v>150000</v>
      </c>
      <c r="J366" s="2">
        <v>3</v>
      </c>
      <c r="K366" s="2" t="s">
        <v>17</v>
      </c>
      <c r="L366" s="2">
        <f t="shared" si="1"/>
        <v>120000</v>
      </c>
    </row>
    <row r="367" spans="1:12" ht="14.25" customHeight="1" x14ac:dyDescent="0.2">
      <c r="A367" s="33">
        <v>46041</v>
      </c>
      <c r="B367" s="33"/>
      <c r="C367" s="2" t="s">
        <v>18</v>
      </c>
      <c r="D367" s="2" t="s">
        <v>26</v>
      </c>
      <c r="E367" s="2" t="s">
        <v>23</v>
      </c>
      <c r="F367" s="2" t="s">
        <v>20</v>
      </c>
      <c r="G367" s="2" t="s">
        <v>15</v>
      </c>
      <c r="H367" s="2" t="s">
        <v>16</v>
      </c>
      <c r="I367" s="2">
        <v>85000</v>
      </c>
      <c r="J367" s="2">
        <v>8</v>
      </c>
      <c r="K367" s="2" t="s">
        <v>17</v>
      </c>
      <c r="L367" s="2">
        <f t="shared" si="1"/>
        <v>68000</v>
      </c>
    </row>
    <row r="368" spans="1:12" ht="14.25" customHeight="1" x14ac:dyDescent="0.2">
      <c r="A368" s="33">
        <v>46042</v>
      </c>
      <c r="B368" s="33"/>
      <c r="C368" s="2" t="s">
        <v>25</v>
      </c>
      <c r="D368" s="2" t="s">
        <v>26</v>
      </c>
      <c r="E368" s="2" t="s">
        <v>23</v>
      </c>
      <c r="F368" s="2" t="s">
        <v>14</v>
      </c>
      <c r="G368" s="2" t="s">
        <v>38</v>
      </c>
      <c r="H368" s="2" t="s">
        <v>31</v>
      </c>
      <c r="I368" s="2">
        <v>420000</v>
      </c>
      <c r="J368" s="2">
        <v>7</v>
      </c>
      <c r="K368" s="2" t="s">
        <v>17</v>
      </c>
      <c r="L368" s="2">
        <f t="shared" si="1"/>
        <v>336000</v>
      </c>
    </row>
    <row r="369" spans="1:12" ht="14.25" customHeight="1" x14ac:dyDescent="0.2">
      <c r="A369" s="33">
        <v>46043</v>
      </c>
      <c r="B369" s="33"/>
      <c r="C369" s="2" t="s">
        <v>18</v>
      </c>
      <c r="D369" s="2" t="s">
        <v>32</v>
      </c>
      <c r="E369" s="2" t="s">
        <v>23</v>
      </c>
      <c r="F369" s="2" t="s">
        <v>20</v>
      </c>
      <c r="G369" s="2" t="s">
        <v>36</v>
      </c>
      <c r="H369" s="2" t="s">
        <v>31</v>
      </c>
      <c r="I369" s="2">
        <v>150000</v>
      </c>
      <c r="J369" s="2">
        <v>3</v>
      </c>
      <c r="K369" s="2" t="s">
        <v>24</v>
      </c>
      <c r="L369" s="2">
        <f t="shared" si="1"/>
        <v>120000</v>
      </c>
    </row>
    <row r="370" spans="1:12" ht="14.25" customHeight="1" x14ac:dyDescent="0.2">
      <c r="A370" s="33">
        <v>46044</v>
      </c>
      <c r="B370" s="33"/>
      <c r="C370" s="2" t="s">
        <v>11</v>
      </c>
      <c r="D370" s="2" t="s">
        <v>32</v>
      </c>
      <c r="E370" s="2" t="s">
        <v>23</v>
      </c>
      <c r="F370" s="2" t="s">
        <v>20</v>
      </c>
      <c r="G370" s="2" t="s">
        <v>34</v>
      </c>
      <c r="H370" s="2" t="s">
        <v>16</v>
      </c>
      <c r="I370" s="2">
        <v>320000</v>
      </c>
      <c r="J370" s="2">
        <v>1</v>
      </c>
      <c r="K370" s="2" t="s">
        <v>28</v>
      </c>
      <c r="L370" s="2">
        <f t="shared" si="1"/>
        <v>256000</v>
      </c>
    </row>
    <row r="371" spans="1:12" ht="14.25" customHeight="1" x14ac:dyDescent="0.2">
      <c r="A371" s="33">
        <v>46045</v>
      </c>
      <c r="B371" s="33"/>
      <c r="C371" s="2" t="s">
        <v>18</v>
      </c>
      <c r="D371" s="2" t="s">
        <v>32</v>
      </c>
      <c r="E371" s="2" t="s">
        <v>23</v>
      </c>
      <c r="F371" s="2" t="s">
        <v>14</v>
      </c>
      <c r="G371" s="2" t="s">
        <v>33</v>
      </c>
      <c r="H371" s="2" t="s">
        <v>22</v>
      </c>
      <c r="I371" s="2">
        <v>180000</v>
      </c>
      <c r="J371" s="2">
        <v>5</v>
      </c>
      <c r="K371" s="2" t="s">
        <v>17</v>
      </c>
      <c r="L371" s="2">
        <f t="shared" si="1"/>
        <v>144000</v>
      </c>
    </row>
    <row r="372" spans="1:12" ht="14.25" customHeight="1" x14ac:dyDescent="0.2">
      <c r="A372" s="33">
        <v>46046</v>
      </c>
      <c r="B372" s="33"/>
      <c r="C372" s="2" t="s">
        <v>29</v>
      </c>
      <c r="D372" s="2" t="s">
        <v>26</v>
      </c>
      <c r="E372" s="2" t="s">
        <v>23</v>
      </c>
      <c r="F372" s="2" t="s">
        <v>20</v>
      </c>
      <c r="G372" s="2" t="s">
        <v>30</v>
      </c>
      <c r="H372" s="2" t="s">
        <v>31</v>
      </c>
      <c r="I372" s="2">
        <v>300000</v>
      </c>
      <c r="J372" s="2">
        <v>1</v>
      </c>
      <c r="K372" s="2" t="s">
        <v>28</v>
      </c>
      <c r="L372" s="2">
        <f t="shared" si="1"/>
        <v>240000</v>
      </c>
    </row>
    <row r="373" spans="1:12" ht="14.25" customHeight="1" x14ac:dyDescent="0.2">
      <c r="A373" s="33">
        <v>46047</v>
      </c>
      <c r="B373" s="33"/>
      <c r="C373" s="2" t="s">
        <v>18</v>
      </c>
      <c r="D373" s="2" t="s">
        <v>12</v>
      </c>
      <c r="E373" s="2" t="s">
        <v>23</v>
      </c>
      <c r="F373" s="2" t="s">
        <v>14</v>
      </c>
      <c r="G373" s="2" t="s">
        <v>33</v>
      </c>
      <c r="H373" s="2" t="s">
        <v>22</v>
      </c>
      <c r="I373" s="2">
        <v>180000</v>
      </c>
      <c r="J373" s="2">
        <v>8</v>
      </c>
      <c r="K373" s="2" t="s">
        <v>37</v>
      </c>
      <c r="L373" s="2">
        <f t="shared" si="1"/>
        <v>144000</v>
      </c>
    </row>
    <row r="374" spans="1:12" ht="14.25" customHeight="1" x14ac:dyDescent="0.2">
      <c r="A374" s="33">
        <v>46048</v>
      </c>
      <c r="B374" s="33"/>
      <c r="C374" s="2" t="s">
        <v>25</v>
      </c>
      <c r="D374" s="2" t="s">
        <v>26</v>
      </c>
      <c r="E374" s="2" t="s">
        <v>23</v>
      </c>
      <c r="F374" s="2" t="s">
        <v>14</v>
      </c>
      <c r="G374" s="2" t="s">
        <v>33</v>
      </c>
      <c r="H374" s="2" t="s">
        <v>22</v>
      </c>
      <c r="I374" s="2">
        <v>180000</v>
      </c>
      <c r="J374" s="2">
        <v>3</v>
      </c>
      <c r="K374" s="2" t="s">
        <v>35</v>
      </c>
      <c r="L374" s="2">
        <f t="shared" si="1"/>
        <v>144000</v>
      </c>
    </row>
    <row r="375" spans="1:12" ht="14.25" customHeight="1" x14ac:dyDescent="0.2">
      <c r="A375" s="33">
        <v>46049</v>
      </c>
      <c r="B375" s="33"/>
      <c r="C375" s="2" t="s">
        <v>11</v>
      </c>
      <c r="D375" s="2" t="s">
        <v>32</v>
      </c>
      <c r="E375" s="2" t="s">
        <v>23</v>
      </c>
      <c r="F375" s="2" t="s">
        <v>20</v>
      </c>
      <c r="G375" s="2" t="s">
        <v>34</v>
      </c>
      <c r="H375" s="2" t="s">
        <v>16</v>
      </c>
      <c r="I375" s="2">
        <v>320000</v>
      </c>
      <c r="J375" s="2">
        <v>6</v>
      </c>
      <c r="K375" s="2" t="s">
        <v>39</v>
      </c>
      <c r="L375" s="2">
        <f t="shared" si="1"/>
        <v>256000</v>
      </c>
    </row>
    <row r="376" spans="1:12" ht="14.25" customHeight="1" x14ac:dyDescent="0.2">
      <c r="A376" s="33">
        <v>46050</v>
      </c>
      <c r="B376" s="33"/>
      <c r="C376" s="2" t="s">
        <v>11</v>
      </c>
      <c r="D376" s="2" t="s">
        <v>32</v>
      </c>
      <c r="E376" s="2" t="s">
        <v>23</v>
      </c>
      <c r="F376" s="2" t="s">
        <v>20</v>
      </c>
      <c r="G376" s="2" t="s">
        <v>27</v>
      </c>
      <c r="H376" s="2" t="s">
        <v>22</v>
      </c>
      <c r="I376" s="2">
        <v>60000</v>
      </c>
      <c r="J376" s="2">
        <v>10</v>
      </c>
      <c r="K376" s="2" t="s">
        <v>17</v>
      </c>
      <c r="L376" s="2">
        <f t="shared" si="1"/>
        <v>48000</v>
      </c>
    </row>
    <row r="377" spans="1:12" ht="14.25" customHeight="1" x14ac:dyDescent="0.2">
      <c r="A377" s="33">
        <v>46051</v>
      </c>
      <c r="B377" s="33"/>
      <c r="C377" s="2" t="s">
        <v>25</v>
      </c>
      <c r="D377" s="2" t="s">
        <v>19</v>
      </c>
      <c r="E377" s="2" t="s">
        <v>23</v>
      </c>
      <c r="F377" s="2" t="s">
        <v>20</v>
      </c>
      <c r="G377" s="2" t="s">
        <v>30</v>
      </c>
      <c r="H377" s="2" t="s">
        <v>31</v>
      </c>
      <c r="I377" s="2">
        <v>300000</v>
      </c>
      <c r="J377" s="2">
        <v>1</v>
      </c>
      <c r="K377" s="2" t="s">
        <v>37</v>
      </c>
      <c r="L377" s="2">
        <f t="shared" si="1"/>
        <v>240000</v>
      </c>
    </row>
    <row r="378" spans="1:12" ht="14.25" customHeight="1" x14ac:dyDescent="0.2">
      <c r="A378" s="33">
        <v>46052</v>
      </c>
      <c r="B378" s="33"/>
      <c r="C378" s="2" t="s">
        <v>11</v>
      </c>
      <c r="D378" s="2" t="s">
        <v>19</v>
      </c>
      <c r="E378" s="2" t="s">
        <v>23</v>
      </c>
      <c r="F378" s="2" t="s">
        <v>14</v>
      </c>
      <c r="G378" s="2" t="s">
        <v>33</v>
      </c>
      <c r="H378" s="2" t="s">
        <v>22</v>
      </c>
      <c r="I378" s="2">
        <v>180000</v>
      </c>
      <c r="J378" s="2">
        <v>1</v>
      </c>
      <c r="K378" s="2" t="s">
        <v>24</v>
      </c>
      <c r="L378" s="2">
        <f t="shared" si="1"/>
        <v>144000</v>
      </c>
    </row>
    <row r="379" spans="1:12" ht="14.25" customHeight="1" x14ac:dyDescent="0.2">
      <c r="A379" s="33">
        <v>46053</v>
      </c>
      <c r="B379" s="33"/>
      <c r="C379" s="2" t="s">
        <v>18</v>
      </c>
      <c r="D379" s="2" t="s">
        <v>19</v>
      </c>
      <c r="E379" s="2" t="s">
        <v>13</v>
      </c>
      <c r="F379" s="2" t="s">
        <v>20</v>
      </c>
      <c r="G379" s="2" t="s">
        <v>41</v>
      </c>
      <c r="H379" s="2" t="s">
        <v>22</v>
      </c>
      <c r="I379" s="2">
        <v>220000</v>
      </c>
      <c r="J379" s="2">
        <v>8</v>
      </c>
      <c r="K379" s="2" t="s">
        <v>37</v>
      </c>
      <c r="L379" s="2">
        <f t="shared" si="1"/>
        <v>176000</v>
      </c>
    </row>
    <row r="380" spans="1:12" ht="14.25" customHeight="1" x14ac:dyDescent="0.2">
      <c r="A380" s="33">
        <v>46054</v>
      </c>
      <c r="B380" s="33"/>
      <c r="C380" s="2" t="s">
        <v>29</v>
      </c>
      <c r="D380" s="2" t="s">
        <v>19</v>
      </c>
      <c r="E380" s="2" t="s">
        <v>23</v>
      </c>
      <c r="F380" s="2" t="s">
        <v>20</v>
      </c>
      <c r="G380" s="2" t="s">
        <v>15</v>
      </c>
      <c r="H380" s="2" t="s">
        <v>16</v>
      </c>
      <c r="I380" s="2">
        <v>85000</v>
      </c>
      <c r="J380" s="2">
        <v>7</v>
      </c>
      <c r="K380" s="2" t="s">
        <v>28</v>
      </c>
      <c r="L380" s="2">
        <f t="shared" si="1"/>
        <v>68000</v>
      </c>
    </row>
    <row r="381" spans="1:12" ht="14.25" customHeight="1" x14ac:dyDescent="0.2">
      <c r="A381" s="33">
        <v>46055</v>
      </c>
      <c r="B381" s="33"/>
      <c r="C381" s="2" t="s">
        <v>11</v>
      </c>
      <c r="D381" s="2" t="s">
        <v>12</v>
      </c>
      <c r="E381" s="2" t="s">
        <v>13</v>
      </c>
      <c r="F381" s="2" t="s">
        <v>20</v>
      </c>
      <c r="G381" s="2" t="s">
        <v>33</v>
      </c>
      <c r="H381" s="2" t="s">
        <v>22</v>
      </c>
      <c r="I381" s="2">
        <v>180000</v>
      </c>
      <c r="J381" s="2">
        <v>9</v>
      </c>
      <c r="K381" s="2" t="s">
        <v>39</v>
      </c>
      <c r="L381" s="2">
        <f t="shared" si="1"/>
        <v>144000</v>
      </c>
    </row>
    <row r="382" spans="1:12" ht="14.25" customHeight="1" x14ac:dyDescent="0.2">
      <c r="A382" s="33">
        <v>46056</v>
      </c>
      <c r="B382" s="33"/>
      <c r="C382" s="2" t="s">
        <v>29</v>
      </c>
      <c r="D382" s="2" t="s">
        <v>12</v>
      </c>
      <c r="E382" s="2" t="s">
        <v>23</v>
      </c>
      <c r="F382" s="2" t="s">
        <v>14</v>
      </c>
      <c r="G382" s="2" t="s">
        <v>34</v>
      </c>
      <c r="H382" s="2" t="s">
        <v>16</v>
      </c>
      <c r="I382" s="2">
        <v>320000</v>
      </c>
      <c r="J382" s="2">
        <v>3</v>
      </c>
      <c r="K382" s="2" t="s">
        <v>35</v>
      </c>
      <c r="L382" s="2">
        <f t="shared" si="1"/>
        <v>256000</v>
      </c>
    </row>
    <row r="383" spans="1:12" ht="14.25" customHeight="1" x14ac:dyDescent="0.2">
      <c r="A383" s="33">
        <v>46057</v>
      </c>
      <c r="B383" s="33"/>
      <c r="C383" s="2" t="s">
        <v>29</v>
      </c>
      <c r="D383" s="2" t="s">
        <v>12</v>
      </c>
      <c r="E383" s="2" t="s">
        <v>23</v>
      </c>
      <c r="F383" s="2" t="s">
        <v>14</v>
      </c>
      <c r="G383" s="2" t="s">
        <v>36</v>
      </c>
      <c r="H383" s="2" t="s">
        <v>31</v>
      </c>
      <c r="I383" s="2">
        <v>150000</v>
      </c>
      <c r="J383" s="2">
        <v>4</v>
      </c>
      <c r="K383" s="2" t="s">
        <v>17</v>
      </c>
      <c r="L383" s="2">
        <f t="shared" si="1"/>
        <v>120000</v>
      </c>
    </row>
    <row r="384" spans="1:12" ht="14.25" customHeight="1" x14ac:dyDescent="0.2">
      <c r="A384" s="33">
        <v>46058</v>
      </c>
      <c r="B384" s="33"/>
      <c r="C384" s="2" t="s">
        <v>18</v>
      </c>
      <c r="D384" s="2" t="s">
        <v>19</v>
      </c>
      <c r="E384" s="2" t="s">
        <v>13</v>
      </c>
      <c r="F384" s="2" t="s">
        <v>14</v>
      </c>
      <c r="G384" s="2" t="s">
        <v>41</v>
      </c>
      <c r="H384" s="2" t="s">
        <v>22</v>
      </c>
      <c r="I384" s="2">
        <v>220000</v>
      </c>
      <c r="J384" s="2">
        <v>10</v>
      </c>
      <c r="K384" s="2" t="s">
        <v>39</v>
      </c>
      <c r="L384" s="2">
        <f t="shared" si="1"/>
        <v>176000</v>
      </c>
    </row>
    <row r="385" spans="1:12" ht="14.25" customHeight="1" x14ac:dyDescent="0.2">
      <c r="A385" s="33">
        <v>46059</v>
      </c>
      <c r="B385" s="33"/>
      <c r="C385" s="2" t="s">
        <v>25</v>
      </c>
      <c r="D385" s="2" t="s">
        <v>12</v>
      </c>
      <c r="E385" s="2" t="s">
        <v>23</v>
      </c>
      <c r="F385" s="2" t="s">
        <v>14</v>
      </c>
      <c r="G385" s="2" t="s">
        <v>36</v>
      </c>
      <c r="H385" s="2" t="s">
        <v>31</v>
      </c>
      <c r="I385" s="2">
        <v>150000</v>
      </c>
      <c r="J385" s="2">
        <v>6</v>
      </c>
      <c r="K385" s="2" t="s">
        <v>17</v>
      </c>
      <c r="L385" s="2">
        <f t="shared" si="1"/>
        <v>120000</v>
      </c>
    </row>
    <row r="386" spans="1:12" ht="14.25" customHeight="1" x14ac:dyDescent="0.2">
      <c r="A386" s="33">
        <v>46060</v>
      </c>
      <c r="B386" s="33"/>
      <c r="C386" s="2" t="s">
        <v>11</v>
      </c>
      <c r="D386" s="2" t="s">
        <v>19</v>
      </c>
      <c r="E386" s="2" t="s">
        <v>23</v>
      </c>
      <c r="F386" s="2" t="s">
        <v>20</v>
      </c>
      <c r="G386" s="2" t="s">
        <v>33</v>
      </c>
      <c r="H386" s="2" t="s">
        <v>22</v>
      </c>
      <c r="I386" s="2">
        <v>180000</v>
      </c>
      <c r="J386" s="2">
        <v>1</v>
      </c>
      <c r="K386" s="2" t="s">
        <v>28</v>
      </c>
      <c r="L386" s="2">
        <f t="shared" si="1"/>
        <v>144000</v>
      </c>
    </row>
    <row r="387" spans="1:12" ht="14.25" customHeight="1" x14ac:dyDescent="0.2">
      <c r="A387" s="33">
        <v>46061</v>
      </c>
      <c r="B387" s="33"/>
      <c r="C387" s="2" t="s">
        <v>18</v>
      </c>
      <c r="D387" s="2" t="s">
        <v>26</v>
      </c>
      <c r="E387" s="2" t="s">
        <v>13</v>
      </c>
      <c r="F387" s="2" t="s">
        <v>14</v>
      </c>
      <c r="G387" s="2" t="s">
        <v>21</v>
      </c>
      <c r="H387" s="2" t="s">
        <v>22</v>
      </c>
      <c r="I387" s="2">
        <v>30000</v>
      </c>
      <c r="J387" s="2">
        <v>2</v>
      </c>
      <c r="K387" s="2" t="s">
        <v>35</v>
      </c>
      <c r="L387" s="2">
        <f t="shared" si="1"/>
        <v>24000</v>
      </c>
    </row>
    <row r="388" spans="1:12" ht="14.25" customHeight="1" x14ac:dyDescent="0.2">
      <c r="A388" s="33">
        <v>46062</v>
      </c>
      <c r="B388" s="33"/>
      <c r="C388" s="2" t="s">
        <v>29</v>
      </c>
      <c r="D388" s="2" t="s">
        <v>32</v>
      </c>
      <c r="E388" s="2" t="s">
        <v>23</v>
      </c>
      <c r="F388" s="2" t="s">
        <v>14</v>
      </c>
      <c r="G388" s="2" t="s">
        <v>34</v>
      </c>
      <c r="H388" s="2" t="s">
        <v>16</v>
      </c>
      <c r="I388" s="2">
        <v>320000</v>
      </c>
      <c r="J388" s="2">
        <v>7</v>
      </c>
      <c r="K388" s="2" t="s">
        <v>17</v>
      </c>
      <c r="L388" s="2">
        <f t="shared" si="1"/>
        <v>256000</v>
      </c>
    </row>
    <row r="389" spans="1:12" ht="14.25" customHeight="1" x14ac:dyDescent="0.2">
      <c r="A389" s="33">
        <v>46063</v>
      </c>
      <c r="B389" s="33"/>
      <c r="C389" s="2" t="s">
        <v>29</v>
      </c>
      <c r="D389" s="2" t="s">
        <v>26</v>
      </c>
      <c r="E389" s="2" t="s">
        <v>13</v>
      </c>
      <c r="F389" s="2" t="s">
        <v>20</v>
      </c>
      <c r="G389" s="2" t="s">
        <v>15</v>
      </c>
      <c r="H389" s="2" t="s">
        <v>16</v>
      </c>
      <c r="I389" s="2">
        <v>85000</v>
      </c>
      <c r="J389" s="2">
        <v>10</v>
      </c>
      <c r="K389" s="2" t="s">
        <v>24</v>
      </c>
      <c r="L389" s="2">
        <f t="shared" si="1"/>
        <v>68000</v>
      </c>
    </row>
    <row r="390" spans="1:12" ht="14.25" customHeight="1" x14ac:dyDescent="0.2">
      <c r="A390" s="33">
        <v>46064</v>
      </c>
      <c r="B390" s="33"/>
      <c r="C390" s="2" t="s">
        <v>18</v>
      </c>
      <c r="D390" s="2" t="s">
        <v>12</v>
      </c>
      <c r="E390" s="2" t="s">
        <v>23</v>
      </c>
      <c r="F390" s="2" t="s">
        <v>14</v>
      </c>
      <c r="G390" s="2" t="s">
        <v>33</v>
      </c>
      <c r="H390" s="2" t="s">
        <v>22</v>
      </c>
      <c r="I390" s="2">
        <v>180000</v>
      </c>
      <c r="J390" s="2">
        <v>7</v>
      </c>
      <c r="K390" s="2" t="s">
        <v>28</v>
      </c>
      <c r="L390" s="2">
        <f t="shared" si="1"/>
        <v>144000</v>
      </c>
    </row>
    <row r="391" spans="1:12" ht="14.25" customHeight="1" x14ac:dyDescent="0.2">
      <c r="A391" s="33">
        <v>46065</v>
      </c>
      <c r="B391" s="33"/>
      <c r="C391" s="2" t="s">
        <v>25</v>
      </c>
      <c r="D391" s="2" t="s">
        <v>19</v>
      </c>
      <c r="E391" s="2" t="s">
        <v>13</v>
      </c>
      <c r="F391" s="2" t="s">
        <v>14</v>
      </c>
      <c r="G391" s="2" t="s">
        <v>38</v>
      </c>
      <c r="H391" s="2" t="s">
        <v>31</v>
      </c>
      <c r="I391" s="2">
        <v>420000</v>
      </c>
      <c r="J391" s="2">
        <v>5</v>
      </c>
      <c r="K391" s="2" t="s">
        <v>35</v>
      </c>
      <c r="L391" s="2">
        <f t="shared" si="1"/>
        <v>336000</v>
      </c>
    </row>
    <row r="392" spans="1:12" ht="14.25" customHeight="1" x14ac:dyDescent="0.2">
      <c r="A392" s="33">
        <v>46066</v>
      </c>
      <c r="B392" s="33"/>
      <c r="C392" s="2" t="s">
        <v>25</v>
      </c>
      <c r="D392" s="2" t="s">
        <v>32</v>
      </c>
      <c r="E392" s="2" t="s">
        <v>23</v>
      </c>
      <c r="F392" s="2" t="s">
        <v>20</v>
      </c>
      <c r="G392" s="2" t="s">
        <v>34</v>
      </c>
      <c r="H392" s="2" t="s">
        <v>16</v>
      </c>
      <c r="I392" s="2">
        <v>320000</v>
      </c>
      <c r="J392" s="2">
        <v>8</v>
      </c>
      <c r="K392" s="2" t="s">
        <v>24</v>
      </c>
      <c r="L392" s="2">
        <f t="shared" si="1"/>
        <v>256000</v>
      </c>
    </row>
    <row r="393" spans="1:12" ht="14.25" customHeight="1" x14ac:dyDescent="0.2">
      <c r="A393" s="33">
        <v>46067</v>
      </c>
      <c r="B393" s="33"/>
      <c r="C393" s="2" t="s">
        <v>18</v>
      </c>
      <c r="D393" s="2" t="s">
        <v>26</v>
      </c>
      <c r="E393" s="2" t="s">
        <v>23</v>
      </c>
      <c r="F393" s="2" t="s">
        <v>20</v>
      </c>
      <c r="G393" s="2" t="s">
        <v>33</v>
      </c>
      <c r="H393" s="2" t="s">
        <v>22</v>
      </c>
      <c r="I393" s="2">
        <v>180000</v>
      </c>
      <c r="J393" s="2">
        <v>5</v>
      </c>
      <c r="K393" s="2" t="s">
        <v>28</v>
      </c>
      <c r="L393" s="2">
        <f t="shared" si="1"/>
        <v>144000</v>
      </c>
    </row>
    <row r="394" spans="1:12" ht="14.25" customHeight="1" x14ac:dyDescent="0.2">
      <c r="A394" s="33">
        <v>46068</v>
      </c>
      <c r="B394" s="33"/>
      <c r="C394" s="2" t="s">
        <v>29</v>
      </c>
      <c r="D394" s="2" t="s">
        <v>12</v>
      </c>
      <c r="E394" s="2" t="s">
        <v>23</v>
      </c>
      <c r="F394" s="2" t="s">
        <v>20</v>
      </c>
      <c r="G394" s="2" t="s">
        <v>38</v>
      </c>
      <c r="H394" s="2" t="s">
        <v>31</v>
      </c>
      <c r="I394" s="2">
        <v>420000</v>
      </c>
      <c r="J394" s="2">
        <v>2</v>
      </c>
      <c r="K394" s="2" t="s">
        <v>17</v>
      </c>
      <c r="L394" s="2">
        <f t="shared" si="1"/>
        <v>336000</v>
      </c>
    </row>
    <row r="395" spans="1:12" ht="14.25" customHeight="1" x14ac:dyDescent="0.2">
      <c r="A395" s="33">
        <v>46069</v>
      </c>
      <c r="B395" s="33"/>
      <c r="C395" s="2" t="s">
        <v>29</v>
      </c>
      <c r="D395" s="2" t="s">
        <v>26</v>
      </c>
      <c r="E395" s="2" t="s">
        <v>13</v>
      </c>
      <c r="F395" s="2" t="s">
        <v>14</v>
      </c>
      <c r="G395" s="2" t="s">
        <v>30</v>
      </c>
      <c r="H395" s="2" t="s">
        <v>31</v>
      </c>
      <c r="I395" s="2">
        <v>300000</v>
      </c>
      <c r="J395" s="2">
        <v>8</v>
      </c>
      <c r="K395" s="2" t="s">
        <v>24</v>
      </c>
      <c r="L395" s="2">
        <f t="shared" si="1"/>
        <v>240000</v>
      </c>
    </row>
    <row r="396" spans="1:12" ht="14.25" customHeight="1" x14ac:dyDescent="0.2">
      <c r="A396" s="33">
        <v>46070</v>
      </c>
      <c r="B396" s="33"/>
      <c r="C396" s="2" t="s">
        <v>18</v>
      </c>
      <c r="D396" s="2" t="s">
        <v>26</v>
      </c>
      <c r="E396" s="2" t="s">
        <v>13</v>
      </c>
      <c r="F396" s="2" t="s">
        <v>14</v>
      </c>
      <c r="G396" s="2" t="s">
        <v>34</v>
      </c>
      <c r="H396" s="2" t="s">
        <v>16</v>
      </c>
      <c r="I396" s="2">
        <v>320000</v>
      </c>
      <c r="J396" s="2">
        <v>1</v>
      </c>
      <c r="K396" s="2" t="s">
        <v>24</v>
      </c>
      <c r="L396" s="2">
        <f t="shared" si="1"/>
        <v>256000</v>
      </c>
    </row>
    <row r="397" spans="1:12" ht="14.25" customHeight="1" x14ac:dyDescent="0.2">
      <c r="A397" s="33">
        <v>46071</v>
      </c>
      <c r="B397" s="33"/>
      <c r="C397" s="2" t="s">
        <v>18</v>
      </c>
      <c r="D397" s="2" t="s">
        <v>26</v>
      </c>
      <c r="E397" s="2" t="s">
        <v>13</v>
      </c>
      <c r="F397" s="2" t="s">
        <v>14</v>
      </c>
      <c r="G397" s="2" t="s">
        <v>38</v>
      </c>
      <c r="H397" s="2" t="s">
        <v>31</v>
      </c>
      <c r="I397" s="2">
        <v>420000</v>
      </c>
      <c r="J397" s="2">
        <v>9</v>
      </c>
      <c r="K397" s="2" t="s">
        <v>17</v>
      </c>
      <c r="L397" s="2">
        <f t="shared" si="1"/>
        <v>336000</v>
      </c>
    </row>
    <row r="398" spans="1:12" ht="14.25" customHeight="1" x14ac:dyDescent="0.2">
      <c r="A398" s="33">
        <v>46072</v>
      </c>
      <c r="B398" s="33"/>
      <c r="C398" s="2" t="s">
        <v>18</v>
      </c>
      <c r="D398" s="2" t="s">
        <v>32</v>
      </c>
      <c r="E398" s="2" t="s">
        <v>23</v>
      </c>
      <c r="F398" s="2" t="s">
        <v>20</v>
      </c>
      <c r="G398" s="2" t="s">
        <v>15</v>
      </c>
      <c r="H398" s="2" t="s">
        <v>16</v>
      </c>
      <c r="I398" s="2">
        <v>85000</v>
      </c>
      <c r="J398" s="2">
        <v>8</v>
      </c>
      <c r="K398" s="2" t="s">
        <v>39</v>
      </c>
      <c r="L398" s="2">
        <f t="shared" si="1"/>
        <v>68000</v>
      </c>
    </row>
    <row r="399" spans="1:12" ht="14.25" customHeight="1" x14ac:dyDescent="0.2">
      <c r="A399" s="33">
        <v>46073</v>
      </c>
      <c r="B399" s="33"/>
      <c r="C399" s="2" t="s">
        <v>29</v>
      </c>
      <c r="D399" s="2" t="s">
        <v>12</v>
      </c>
      <c r="E399" s="2" t="s">
        <v>23</v>
      </c>
      <c r="F399" s="2" t="s">
        <v>20</v>
      </c>
      <c r="G399" s="2" t="s">
        <v>38</v>
      </c>
      <c r="H399" s="2" t="s">
        <v>31</v>
      </c>
      <c r="I399" s="2">
        <v>420000</v>
      </c>
      <c r="J399" s="2">
        <v>10</v>
      </c>
      <c r="K399" s="2" t="s">
        <v>35</v>
      </c>
      <c r="L399" s="2">
        <f t="shared" si="1"/>
        <v>336000</v>
      </c>
    </row>
    <row r="400" spans="1:12" ht="14.25" customHeight="1" x14ac:dyDescent="0.2">
      <c r="A400" s="33">
        <v>46074</v>
      </c>
      <c r="B400" s="33"/>
      <c r="C400" s="2" t="s">
        <v>18</v>
      </c>
      <c r="D400" s="2" t="s">
        <v>12</v>
      </c>
      <c r="E400" s="2" t="s">
        <v>13</v>
      </c>
      <c r="F400" s="2" t="s">
        <v>20</v>
      </c>
      <c r="G400" s="2" t="s">
        <v>40</v>
      </c>
      <c r="H400" s="2" t="s">
        <v>31</v>
      </c>
      <c r="I400" s="2">
        <v>250000</v>
      </c>
      <c r="J400" s="2">
        <v>1</v>
      </c>
      <c r="K400" s="2" t="s">
        <v>35</v>
      </c>
      <c r="L400" s="2">
        <f t="shared" si="1"/>
        <v>200000</v>
      </c>
    </row>
    <row r="401" spans="1:12" ht="14.25" customHeight="1" x14ac:dyDescent="0.2">
      <c r="A401" s="33">
        <v>46075</v>
      </c>
      <c r="B401" s="33"/>
      <c r="C401" s="2" t="s">
        <v>18</v>
      </c>
      <c r="D401" s="2" t="s">
        <v>32</v>
      </c>
      <c r="E401" s="2" t="s">
        <v>23</v>
      </c>
      <c r="F401" s="2" t="s">
        <v>14</v>
      </c>
      <c r="G401" s="2" t="s">
        <v>41</v>
      </c>
      <c r="H401" s="2" t="s">
        <v>22</v>
      </c>
      <c r="I401" s="2">
        <v>220000</v>
      </c>
      <c r="J401" s="2">
        <v>5</v>
      </c>
      <c r="K401" s="2" t="s">
        <v>39</v>
      </c>
      <c r="L401" s="2">
        <f t="shared" si="1"/>
        <v>176000</v>
      </c>
    </row>
    <row r="402" spans="1:12" ht="14.25" customHeight="1" x14ac:dyDescent="0.2">
      <c r="A402" s="33">
        <v>46076</v>
      </c>
      <c r="B402" s="33"/>
      <c r="C402" s="2" t="s">
        <v>29</v>
      </c>
      <c r="D402" s="2" t="s">
        <v>19</v>
      </c>
      <c r="E402" s="2" t="s">
        <v>13</v>
      </c>
      <c r="F402" s="2" t="s">
        <v>14</v>
      </c>
      <c r="G402" s="2" t="s">
        <v>30</v>
      </c>
      <c r="H402" s="2" t="s">
        <v>31</v>
      </c>
      <c r="I402" s="2">
        <v>300000</v>
      </c>
      <c r="J402" s="2">
        <v>1</v>
      </c>
      <c r="K402" s="2" t="s">
        <v>17</v>
      </c>
      <c r="L402" s="2">
        <f t="shared" si="1"/>
        <v>240000</v>
      </c>
    </row>
    <row r="403" spans="1:12" ht="14.25" customHeight="1" x14ac:dyDescent="0.2">
      <c r="A403" s="33">
        <v>46077</v>
      </c>
      <c r="B403" s="33"/>
      <c r="C403" s="2" t="s">
        <v>29</v>
      </c>
      <c r="D403" s="2" t="s">
        <v>26</v>
      </c>
      <c r="E403" s="2" t="s">
        <v>23</v>
      </c>
      <c r="F403" s="2" t="s">
        <v>20</v>
      </c>
      <c r="G403" s="2" t="s">
        <v>27</v>
      </c>
      <c r="H403" s="2" t="s">
        <v>22</v>
      </c>
      <c r="I403" s="2">
        <v>60000</v>
      </c>
      <c r="J403" s="2">
        <v>6</v>
      </c>
      <c r="K403" s="2" t="s">
        <v>37</v>
      </c>
      <c r="L403" s="2">
        <f t="shared" si="1"/>
        <v>48000</v>
      </c>
    </row>
    <row r="404" spans="1:12" ht="14.25" customHeight="1" x14ac:dyDescent="0.2">
      <c r="A404" s="33">
        <v>46078</v>
      </c>
      <c r="B404" s="33"/>
      <c r="C404" s="2" t="s">
        <v>25</v>
      </c>
      <c r="D404" s="2" t="s">
        <v>32</v>
      </c>
      <c r="E404" s="2" t="s">
        <v>13</v>
      </c>
      <c r="F404" s="2" t="s">
        <v>14</v>
      </c>
      <c r="G404" s="2" t="s">
        <v>27</v>
      </c>
      <c r="H404" s="2" t="s">
        <v>22</v>
      </c>
      <c r="I404" s="2">
        <v>60000</v>
      </c>
      <c r="J404" s="2">
        <v>8</v>
      </c>
      <c r="K404" s="2" t="s">
        <v>24</v>
      </c>
      <c r="L404" s="2">
        <f t="shared" si="1"/>
        <v>48000</v>
      </c>
    </row>
    <row r="405" spans="1:12" ht="14.25" customHeight="1" x14ac:dyDescent="0.2">
      <c r="A405" s="33">
        <v>46079</v>
      </c>
      <c r="B405" s="33"/>
      <c r="C405" s="2" t="s">
        <v>25</v>
      </c>
      <c r="D405" s="2" t="s">
        <v>26</v>
      </c>
      <c r="E405" s="2" t="s">
        <v>13</v>
      </c>
      <c r="F405" s="2" t="s">
        <v>20</v>
      </c>
      <c r="G405" s="2" t="s">
        <v>41</v>
      </c>
      <c r="H405" s="2" t="s">
        <v>22</v>
      </c>
      <c r="I405" s="2">
        <v>220000</v>
      </c>
      <c r="J405" s="2">
        <v>3</v>
      </c>
      <c r="K405" s="2" t="s">
        <v>37</v>
      </c>
      <c r="L405" s="2">
        <f t="shared" si="1"/>
        <v>176000</v>
      </c>
    </row>
    <row r="406" spans="1:12" ht="14.25" customHeight="1" x14ac:dyDescent="0.2">
      <c r="A406" s="33">
        <v>46080</v>
      </c>
      <c r="B406" s="33"/>
      <c r="C406" s="2" t="s">
        <v>29</v>
      </c>
      <c r="D406" s="2" t="s">
        <v>32</v>
      </c>
      <c r="E406" s="2" t="s">
        <v>13</v>
      </c>
      <c r="F406" s="2" t="s">
        <v>14</v>
      </c>
      <c r="G406" s="2" t="s">
        <v>27</v>
      </c>
      <c r="H406" s="2" t="s">
        <v>22</v>
      </c>
      <c r="I406" s="2">
        <v>60000</v>
      </c>
      <c r="J406" s="2">
        <v>1</v>
      </c>
      <c r="K406" s="2" t="s">
        <v>35</v>
      </c>
      <c r="L406" s="2">
        <f t="shared" si="1"/>
        <v>48000</v>
      </c>
    </row>
    <row r="407" spans="1:12" ht="14.25" customHeight="1" x14ac:dyDescent="0.2">
      <c r="A407" s="33">
        <v>46081</v>
      </c>
      <c r="B407" s="33"/>
      <c r="C407" s="2" t="s">
        <v>18</v>
      </c>
      <c r="D407" s="2" t="s">
        <v>19</v>
      </c>
      <c r="E407" s="2" t="s">
        <v>23</v>
      </c>
      <c r="F407" s="2" t="s">
        <v>14</v>
      </c>
      <c r="G407" s="2" t="s">
        <v>36</v>
      </c>
      <c r="H407" s="2" t="s">
        <v>31</v>
      </c>
      <c r="I407" s="2">
        <v>150000</v>
      </c>
      <c r="J407" s="2">
        <v>1</v>
      </c>
      <c r="K407" s="2" t="s">
        <v>28</v>
      </c>
      <c r="L407" s="2">
        <f t="shared" si="1"/>
        <v>120000</v>
      </c>
    </row>
    <row r="408" spans="1:12" ht="14.25" customHeight="1" x14ac:dyDescent="0.2">
      <c r="A408" s="33">
        <v>46082</v>
      </c>
      <c r="B408" s="33"/>
      <c r="C408" s="2" t="s">
        <v>11</v>
      </c>
      <c r="D408" s="2" t="s">
        <v>26</v>
      </c>
      <c r="E408" s="2" t="s">
        <v>23</v>
      </c>
      <c r="F408" s="2" t="s">
        <v>14</v>
      </c>
      <c r="G408" s="2" t="s">
        <v>34</v>
      </c>
      <c r="H408" s="2" t="s">
        <v>16</v>
      </c>
      <c r="I408" s="2">
        <v>320000</v>
      </c>
      <c r="J408" s="2">
        <v>7</v>
      </c>
      <c r="K408" s="2" t="s">
        <v>39</v>
      </c>
      <c r="L408" s="2">
        <f t="shared" si="1"/>
        <v>256000</v>
      </c>
    </row>
    <row r="409" spans="1:12" ht="14.25" customHeight="1" x14ac:dyDescent="0.2">
      <c r="A409" s="33">
        <v>46083</v>
      </c>
      <c r="B409" s="33"/>
      <c r="C409" s="2" t="s">
        <v>25</v>
      </c>
      <c r="D409" s="2" t="s">
        <v>26</v>
      </c>
      <c r="E409" s="2" t="s">
        <v>13</v>
      </c>
      <c r="F409" s="2" t="s">
        <v>20</v>
      </c>
      <c r="G409" s="2" t="s">
        <v>15</v>
      </c>
      <c r="H409" s="2" t="s">
        <v>16</v>
      </c>
      <c r="I409" s="2">
        <v>85000</v>
      </c>
      <c r="J409" s="2">
        <v>10</v>
      </c>
      <c r="K409" s="2" t="s">
        <v>28</v>
      </c>
      <c r="L409" s="2">
        <f t="shared" si="1"/>
        <v>68000</v>
      </c>
    </row>
    <row r="410" spans="1:12" ht="14.25" customHeight="1" x14ac:dyDescent="0.2">
      <c r="A410" s="33">
        <v>46084</v>
      </c>
      <c r="B410" s="33"/>
      <c r="C410" s="2" t="s">
        <v>11</v>
      </c>
      <c r="D410" s="2" t="s">
        <v>12</v>
      </c>
      <c r="E410" s="2" t="s">
        <v>23</v>
      </c>
      <c r="F410" s="2" t="s">
        <v>14</v>
      </c>
      <c r="G410" s="2" t="s">
        <v>36</v>
      </c>
      <c r="H410" s="2" t="s">
        <v>31</v>
      </c>
      <c r="I410" s="2">
        <v>150000</v>
      </c>
      <c r="J410" s="2">
        <v>10</v>
      </c>
      <c r="K410" s="2" t="s">
        <v>17</v>
      </c>
      <c r="L410" s="2">
        <f t="shared" si="1"/>
        <v>120000</v>
      </c>
    </row>
    <row r="411" spans="1:12" ht="14.25" customHeight="1" x14ac:dyDescent="0.2">
      <c r="A411" s="33">
        <v>46085</v>
      </c>
      <c r="B411" s="33"/>
      <c r="C411" s="2" t="s">
        <v>25</v>
      </c>
      <c r="D411" s="2" t="s">
        <v>19</v>
      </c>
      <c r="E411" s="2" t="s">
        <v>23</v>
      </c>
      <c r="F411" s="2" t="s">
        <v>14</v>
      </c>
      <c r="G411" s="2" t="s">
        <v>27</v>
      </c>
      <c r="H411" s="2" t="s">
        <v>22</v>
      </c>
      <c r="I411" s="2">
        <v>60000</v>
      </c>
      <c r="J411" s="2">
        <v>2</v>
      </c>
      <c r="K411" s="2" t="s">
        <v>28</v>
      </c>
      <c r="L411" s="2">
        <f t="shared" si="1"/>
        <v>48000</v>
      </c>
    </row>
    <row r="412" spans="1:12" ht="14.25" customHeight="1" x14ac:dyDescent="0.2">
      <c r="A412" s="33">
        <v>46086</v>
      </c>
      <c r="B412" s="33"/>
      <c r="C412" s="2" t="s">
        <v>29</v>
      </c>
      <c r="D412" s="2" t="s">
        <v>32</v>
      </c>
      <c r="E412" s="2" t="s">
        <v>23</v>
      </c>
      <c r="F412" s="2" t="s">
        <v>14</v>
      </c>
      <c r="G412" s="2" t="s">
        <v>30</v>
      </c>
      <c r="H412" s="2" t="s">
        <v>31</v>
      </c>
      <c r="I412" s="2">
        <v>300000</v>
      </c>
      <c r="J412" s="2">
        <v>6</v>
      </c>
      <c r="K412" s="2" t="s">
        <v>17</v>
      </c>
      <c r="L412" s="2">
        <f t="shared" si="1"/>
        <v>240000</v>
      </c>
    </row>
    <row r="413" spans="1:12" ht="14.25" customHeight="1" x14ac:dyDescent="0.2">
      <c r="A413" s="33">
        <v>46087</v>
      </c>
      <c r="B413" s="33"/>
      <c r="C413" s="2" t="s">
        <v>18</v>
      </c>
      <c r="D413" s="2" t="s">
        <v>26</v>
      </c>
      <c r="E413" s="2" t="s">
        <v>13</v>
      </c>
      <c r="F413" s="2" t="s">
        <v>14</v>
      </c>
      <c r="G413" s="2" t="s">
        <v>36</v>
      </c>
      <c r="H413" s="2" t="s">
        <v>31</v>
      </c>
      <c r="I413" s="2">
        <v>150000</v>
      </c>
      <c r="J413" s="2">
        <v>3</v>
      </c>
      <c r="K413" s="2" t="s">
        <v>37</v>
      </c>
      <c r="L413" s="2">
        <f t="shared" si="1"/>
        <v>120000</v>
      </c>
    </row>
    <row r="414" spans="1:12" ht="14.25" customHeight="1" x14ac:dyDescent="0.2">
      <c r="A414" s="33">
        <v>46088</v>
      </c>
      <c r="B414" s="33"/>
      <c r="C414" s="2" t="s">
        <v>11</v>
      </c>
      <c r="D414" s="2" t="s">
        <v>12</v>
      </c>
      <c r="E414" s="2" t="s">
        <v>23</v>
      </c>
      <c r="F414" s="2" t="s">
        <v>14</v>
      </c>
      <c r="G414" s="2" t="s">
        <v>21</v>
      </c>
      <c r="H414" s="2" t="s">
        <v>22</v>
      </c>
      <c r="I414" s="2">
        <v>30000</v>
      </c>
      <c r="J414" s="2">
        <v>2</v>
      </c>
      <c r="K414" s="2" t="s">
        <v>24</v>
      </c>
      <c r="L414" s="2">
        <f t="shared" si="1"/>
        <v>24000</v>
      </c>
    </row>
    <row r="415" spans="1:12" ht="14.25" customHeight="1" x14ac:dyDescent="0.2">
      <c r="A415" s="33">
        <v>46089</v>
      </c>
      <c r="B415" s="33"/>
      <c r="C415" s="2" t="s">
        <v>18</v>
      </c>
      <c r="D415" s="2" t="s">
        <v>19</v>
      </c>
      <c r="E415" s="2" t="s">
        <v>13</v>
      </c>
      <c r="F415" s="2" t="s">
        <v>14</v>
      </c>
      <c r="G415" s="2" t="s">
        <v>33</v>
      </c>
      <c r="H415" s="2" t="s">
        <v>22</v>
      </c>
      <c r="I415" s="2">
        <v>180000</v>
      </c>
      <c r="J415" s="2">
        <v>2</v>
      </c>
      <c r="K415" s="2" t="s">
        <v>37</v>
      </c>
      <c r="L415" s="2">
        <f t="shared" si="1"/>
        <v>144000</v>
      </c>
    </row>
    <row r="416" spans="1:12" ht="14.25" customHeight="1" x14ac:dyDescent="0.2">
      <c r="A416" s="33">
        <v>46090</v>
      </c>
      <c r="B416" s="33"/>
      <c r="C416" s="2" t="s">
        <v>11</v>
      </c>
      <c r="D416" s="2" t="s">
        <v>26</v>
      </c>
      <c r="E416" s="2" t="s">
        <v>23</v>
      </c>
      <c r="F416" s="2" t="s">
        <v>14</v>
      </c>
      <c r="G416" s="2" t="s">
        <v>34</v>
      </c>
      <c r="H416" s="2" t="s">
        <v>16</v>
      </c>
      <c r="I416" s="2">
        <v>320000</v>
      </c>
      <c r="J416" s="2">
        <v>3</v>
      </c>
      <c r="K416" s="2" t="s">
        <v>28</v>
      </c>
      <c r="L416" s="2">
        <f t="shared" si="1"/>
        <v>256000</v>
      </c>
    </row>
    <row r="417" spans="1:12" ht="14.25" customHeight="1" x14ac:dyDescent="0.2">
      <c r="A417" s="33">
        <v>46091</v>
      </c>
      <c r="B417" s="33"/>
      <c r="C417" s="2" t="s">
        <v>25</v>
      </c>
      <c r="D417" s="2" t="s">
        <v>26</v>
      </c>
      <c r="E417" s="2" t="s">
        <v>23</v>
      </c>
      <c r="F417" s="2" t="s">
        <v>20</v>
      </c>
      <c r="G417" s="2" t="s">
        <v>21</v>
      </c>
      <c r="H417" s="2" t="s">
        <v>22</v>
      </c>
      <c r="I417" s="2">
        <v>30000</v>
      </c>
      <c r="J417" s="2">
        <v>3</v>
      </c>
      <c r="K417" s="2" t="s">
        <v>37</v>
      </c>
      <c r="L417" s="2">
        <f t="shared" si="1"/>
        <v>24000</v>
      </c>
    </row>
    <row r="418" spans="1:12" ht="14.25" customHeight="1" x14ac:dyDescent="0.2">
      <c r="A418" s="33">
        <v>46092</v>
      </c>
      <c r="B418" s="33"/>
      <c r="C418" s="2" t="s">
        <v>11</v>
      </c>
      <c r="D418" s="2" t="s">
        <v>32</v>
      </c>
      <c r="E418" s="2" t="s">
        <v>13</v>
      </c>
      <c r="F418" s="2" t="s">
        <v>20</v>
      </c>
      <c r="G418" s="2" t="s">
        <v>15</v>
      </c>
      <c r="H418" s="2" t="s">
        <v>16</v>
      </c>
      <c r="I418" s="2">
        <v>85000</v>
      </c>
      <c r="J418" s="2">
        <v>3</v>
      </c>
      <c r="K418" s="2" t="s">
        <v>35</v>
      </c>
      <c r="L418" s="2">
        <f t="shared" si="1"/>
        <v>68000</v>
      </c>
    </row>
    <row r="419" spans="1:12" ht="14.25" customHeight="1" x14ac:dyDescent="0.2">
      <c r="A419" s="33">
        <v>46093</v>
      </c>
      <c r="B419" s="33"/>
      <c r="C419" s="2" t="s">
        <v>29</v>
      </c>
      <c r="D419" s="2" t="s">
        <v>26</v>
      </c>
      <c r="E419" s="2" t="s">
        <v>13</v>
      </c>
      <c r="F419" s="2" t="s">
        <v>20</v>
      </c>
      <c r="G419" s="2" t="s">
        <v>15</v>
      </c>
      <c r="H419" s="2" t="s">
        <v>16</v>
      </c>
      <c r="I419" s="2">
        <v>85000</v>
      </c>
      <c r="J419" s="2">
        <v>10</v>
      </c>
      <c r="K419" s="2" t="s">
        <v>37</v>
      </c>
      <c r="L419" s="2">
        <f t="shared" si="1"/>
        <v>68000</v>
      </c>
    </row>
    <row r="420" spans="1:12" ht="14.25" customHeight="1" x14ac:dyDescent="0.2">
      <c r="A420" s="33">
        <v>46094</v>
      </c>
      <c r="B420" s="33"/>
      <c r="C420" s="2" t="s">
        <v>18</v>
      </c>
      <c r="D420" s="2" t="s">
        <v>12</v>
      </c>
      <c r="E420" s="2" t="s">
        <v>23</v>
      </c>
      <c r="F420" s="2" t="s">
        <v>20</v>
      </c>
      <c r="G420" s="2" t="s">
        <v>33</v>
      </c>
      <c r="H420" s="2" t="s">
        <v>22</v>
      </c>
      <c r="I420" s="2">
        <v>180000</v>
      </c>
      <c r="J420" s="2">
        <v>10</v>
      </c>
      <c r="K420" s="2" t="s">
        <v>17</v>
      </c>
      <c r="L420" s="2">
        <f t="shared" si="1"/>
        <v>144000</v>
      </c>
    </row>
    <row r="421" spans="1:12" ht="14.25" customHeight="1" x14ac:dyDescent="0.2">
      <c r="A421" s="33">
        <v>46095</v>
      </c>
      <c r="B421" s="33"/>
      <c r="C421" s="2" t="s">
        <v>11</v>
      </c>
      <c r="D421" s="2" t="s">
        <v>19</v>
      </c>
      <c r="E421" s="2" t="s">
        <v>13</v>
      </c>
      <c r="F421" s="2" t="s">
        <v>20</v>
      </c>
      <c r="G421" s="2" t="s">
        <v>41</v>
      </c>
      <c r="H421" s="2" t="s">
        <v>22</v>
      </c>
      <c r="I421" s="2">
        <v>220000</v>
      </c>
      <c r="J421" s="2">
        <v>9</v>
      </c>
      <c r="K421" s="2" t="s">
        <v>28</v>
      </c>
      <c r="L421" s="2">
        <f t="shared" si="1"/>
        <v>176000</v>
      </c>
    </row>
    <row r="422" spans="1:12" ht="14.25" customHeight="1" x14ac:dyDescent="0.2">
      <c r="A422" s="33">
        <v>46096</v>
      </c>
      <c r="B422" s="33"/>
      <c r="C422" s="2" t="s">
        <v>11</v>
      </c>
      <c r="D422" s="2" t="s">
        <v>32</v>
      </c>
      <c r="E422" s="2" t="s">
        <v>23</v>
      </c>
      <c r="F422" s="2" t="s">
        <v>20</v>
      </c>
      <c r="G422" s="2" t="s">
        <v>38</v>
      </c>
      <c r="H422" s="2" t="s">
        <v>31</v>
      </c>
      <c r="I422" s="2">
        <v>420000</v>
      </c>
      <c r="J422" s="2">
        <v>9</v>
      </c>
      <c r="K422" s="2" t="s">
        <v>28</v>
      </c>
      <c r="L422" s="2">
        <f t="shared" si="1"/>
        <v>336000</v>
      </c>
    </row>
    <row r="423" spans="1:12" ht="14.25" customHeight="1" x14ac:dyDescent="0.2">
      <c r="A423" s="33">
        <v>46097</v>
      </c>
      <c r="B423" s="33"/>
      <c r="C423" s="2" t="s">
        <v>18</v>
      </c>
      <c r="D423" s="2" t="s">
        <v>12</v>
      </c>
      <c r="E423" s="2" t="s">
        <v>23</v>
      </c>
      <c r="F423" s="2" t="s">
        <v>14</v>
      </c>
      <c r="G423" s="2" t="s">
        <v>33</v>
      </c>
      <c r="H423" s="2" t="s">
        <v>22</v>
      </c>
      <c r="I423" s="2">
        <v>180000</v>
      </c>
      <c r="J423" s="2">
        <v>2</v>
      </c>
      <c r="K423" s="2" t="s">
        <v>37</v>
      </c>
      <c r="L423" s="2">
        <f t="shared" si="1"/>
        <v>144000</v>
      </c>
    </row>
    <row r="424" spans="1:12" ht="14.25" customHeight="1" x14ac:dyDescent="0.2">
      <c r="A424" s="33">
        <v>46098</v>
      </c>
      <c r="B424" s="33"/>
      <c r="C424" s="2" t="s">
        <v>11</v>
      </c>
      <c r="D424" s="2" t="s">
        <v>19</v>
      </c>
      <c r="E424" s="2" t="s">
        <v>23</v>
      </c>
      <c r="F424" s="2" t="s">
        <v>14</v>
      </c>
      <c r="G424" s="2" t="s">
        <v>30</v>
      </c>
      <c r="H424" s="2" t="s">
        <v>31</v>
      </c>
      <c r="I424" s="2">
        <v>300000</v>
      </c>
      <c r="J424" s="2">
        <v>3</v>
      </c>
      <c r="K424" s="2" t="s">
        <v>24</v>
      </c>
      <c r="L424" s="2">
        <f t="shared" si="1"/>
        <v>240000</v>
      </c>
    </row>
    <row r="425" spans="1:12" ht="14.25" customHeight="1" x14ac:dyDescent="0.2">
      <c r="A425" s="33">
        <v>46099</v>
      </c>
      <c r="B425" s="33"/>
      <c r="C425" s="2" t="s">
        <v>29</v>
      </c>
      <c r="D425" s="2" t="s">
        <v>26</v>
      </c>
      <c r="E425" s="2" t="s">
        <v>23</v>
      </c>
      <c r="F425" s="2" t="s">
        <v>14</v>
      </c>
      <c r="G425" s="2" t="s">
        <v>33</v>
      </c>
      <c r="H425" s="2" t="s">
        <v>22</v>
      </c>
      <c r="I425" s="2">
        <v>180000</v>
      </c>
      <c r="J425" s="2">
        <v>1</v>
      </c>
      <c r="K425" s="2" t="s">
        <v>39</v>
      </c>
      <c r="L425" s="2">
        <f t="shared" si="1"/>
        <v>144000</v>
      </c>
    </row>
    <row r="426" spans="1:12" ht="14.25" customHeight="1" x14ac:dyDescent="0.2">
      <c r="A426" s="33">
        <v>46100</v>
      </c>
      <c r="B426" s="33"/>
      <c r="C426" s="2" t="s">
        <v>29</v>
      </c>
      <c r="D426" s="2" t="s">
        <v>19</v>
      </c>
      <c r="E426" s="2" t="s">
        <v>13</v>
      </c>
      <c r="F426" s="2" t="s">
        <v>20</v>
      </c>
      <c r="G426" s="2" t="s">
        <v>34</v>
      </c>
      <c r="H426" s="2" t="s">
        <v>16</v>
      </c>
      <c r="I426" s="2">
        <v>320000</v>
      </c>
      <c r="J426" s="2">
        <v>9</v>
      </c>
      <c r="K426" s="2" t="s">
        <v>35</v>
      </c>
      <c r="L426" s="2">
        <f t="shared" si="1"/>
        <v>256000</v>
      </c>
    </row>
    <row r="427" spans="1:12" ht="14.25" customHeight="1" x14ac:dyDescent="0.2">
      <c r="A427" s="33">
        <v>46101</v>
      </c>
      <c r="B427" s="33"/>
      <c r="C427" s="2" t="s">
        <v>29</v>
      </c>
      <c r="D427" s="2" t="s">
        <v>12</v>
      </c>
      <c r="E427" s="2" t="s">
        <v>13</v>
      </c>
      <c r="F427" s="2" t="s">
        <v>14</v>
      </c>
      <c r="G427" s="2" t="s">
        <v>34</v>
      </c>
      <c r="H427" s="2" t="s">
        <v>16</v>
      </c>
      <c r="I427" s="2">
        <v>320000</v>
      </c>
      <c r="J427" s="2">
        <v>5</v>
      </c>
      <c r="K427" s="2" t="s">
        <v>24</v>
      </c>
      <c r="L427" s="2">
        <f t="shared" si="1"/>
        <v>256000</v>
      </c>
    </row>
    <row r="428" spans="1:12" ht="14.25" customHeight="1" x14ac:dyDescent="0.2">
      <c r="A428" s="33">
        <v>46102</v>
      </c>
      <c r="B428" s="33"/>
      <c r="C428" s="2" t="s">
        <v>29</v>
      </c>
      <c r="D428" s="2" t="s">
        <v>32</v>
      </c>
      <c r="E428" s="2" t="s">
        <v>13</v>
      </c>
      <c r="F428" s="2" t="s">
        <v>14</v>
      </c>
      <c r="G428" s="2" t="s">
        <v>27</v>
      </c>
      <c r="H428" s="2" t="s">
        <v>22</v>
      </c>
      <c r="I428" s="2">
        <v>60000</v>
      </c>
      <c r="J428" s="2">
        <v>8</v>
      </c>
      <c r="K428" s="2" t="s">
        <v>39</v>
      </c>
      <c r="L428" s="2">
        <f t="shared" si="1"/>
        <v>48000</v>
      </c>
    </row>
    <row r="429" spans="1:12" ht="14.25" customHeight="1" x14ac:dyDescent="0.2">
      <c r="A429" s="33">
        <v>46103</v>
      </c>
      <c r="B429" s="33"/>
      <c r="C429" s="2" t="s">
        <v>25</v>
      </c>
      <c r="D429" s="2" t="s">
        <v>12</v>
      </c>
      <c r="E429" s="2" t="s">
        <v>23</v>
      </c>
      <c r="F429" s="2" t="s">
        <v>14</v>
      </c>
      <c r="G429" s="2" t="s">
        <v>15</v>
      </c>
      <c r="H429" s="2" t="s">
        <v>16</v>
      </c>
      <c r="I429" s="2">
        <v>85000</v>
      </c>
      <c r="J429" s="2">
        <v>8</v>
      </c>
      <c r="K429" s="2" t="s">
        <v>24</v>
      </c>
      <c r="L429" s="2">
        <f t="shared" si="1"/>
        <v>68000</v>
      </c>
    </row>
    <row r="430" spans="1:12" ht="14.25" customHeight="1" x14ac:dyDescent="0.2">
      <c r="A430" s="33">
        <v>46104</v>
      </c>
      <c r="B430" s="33"/>
      <c r="C430" s="2" t="s">
        <v>18</v>
      </c>
      <c r="D430" s="2" t="s">
        <v>12</v>
      </c>
      <c r="E430" s="2" t="s">
        <v>13</v>
      </c>
      <c r="F430" s="2" t="s">
        <v>20</v>
      </c>
      <c r="G430" s="2" t="s">
        <v>34</v>
      </c>
      <c r="H430" s="2" t="s">
        <v>16</v>
      </c>
      <c r="I430" s="2">
        <v>320000</v>
      </c>
      <c r="J430" s="2">
        <v>5</v>
      </c>
      <c r="K430" s="2" t="s">
        <v>24</v>
      </c>
      <c r="L430" s="2">
        <f t="shared" si="1"/>
        <v>256000</v>
      </c>
    </row>
    <row r="431" spans="1:12" ht="14.25" customHeight="1" x14ac:dyDescent="0.2">
      <c r="A431" s="33">
        <v>46105</v>
      </c>
      <c r="B431" s="33"/>
      <c r="C431" s="2" t="s">
        <v>29</v>
      </c>
      <c r="D431" s="2" t="s">
        <v>26</v>
      </c>
      <c r="E431" s="2" t="s">
        <v>23</v>
      </c>
      <c r="F431" s="2" t="s">
        <v>14</v>
      </c>
      <c r="G431" s="2" t="s">
        <v>36</v>
      </c>
      <c r="H431" s="2" t="s">
        <v>31</v>
      </c>
      <c r="I431" s="2">
        <v>150000</v>
      </c>
      <c r="J431" s="2">
        <v>3</v>
      </c>
      <c r="K431" s="2" t="s">
        <v>37</v>
      </c>
      <c r="L431" s="2">
        <f t="shared" si="1"/>
        <v>120000</v>
      </c>
    </row>
    <row r="432" spans="1:12" ht="14.25" customHeight="1" x14ac:dyDescent="0.2">
      <c r="A432" s="33">
        <v>46106</v>
      </c>
      <c r="B432" s="33"/>
      <c r="C432" s="2" t="s">
        <v>29</v>
      </c>
      <c r="D432" s="2" t="s">
        <v>26</v>
      </c>
      <c r="E432" s="2" t="s">
        <v>13</v>
      </c>
      <c r="F432" s="2" t="s">
        <v>20</v>
      </c>
      <c r="G432" s="2" t="s">
        <v>36</v>
      </c>
      <c r="H432" s="2" t="s">
        <v>31</v>
      </c>
      <c r="I432" s="2">
        <v>150000</v>
      </c>
      <c r="J432" s="2">
        <v>1</v>
      </c>
      <c r="K432" s="2" t="s">
        <v>17</v>
      </c>
      <c r="L432" s="2">
        <f t="shared" si="1"/>
        <v>120000</v>
      </c>
    </row>
    <row r="433" spans="1:12" ht="14.25" customHeight="1" x14ac:dyDescent="0.2">
      <c r="A433" s="33">
        <v>46107</v>
      </c>
      <c r="B433" s="33"/>
      <c r="C433" s="2" t="s">
        <v>25</v>
      </c>
      <c r="D433" s="2" t="s">
        <v>26</v>
      </c>
      <c r="E433" s="2" t="s">
        <v>23</v>
      </c>
      <c r="F433" s="2" t="s">
        <v>14</v>
      </c>
      <c r="G433" s="2" t="s">
        <v>27</v>
      </c>
      <c r="H433" s="2" t="s">
        <v>22</v>
      </c>
      <c r="I433" s="2">
        <v>60000</v>
      </c>
      <c r="J433" s="2">
        <v>7</v>
      </c>
      <c r="K433" s="2" t="s">
        <v>24</v>
      </c>
      <c r="L433" s="2">
        <f t="shared" si="1"/>
        <v>48000</v>
      </c>
    </row>
    <row r="434" spans="1:12" ht="14.25" customHeight="1" x14ac:dyDescent="0.2">
      <c r="A434" s="33">
        <v>46108</v>
      </c>
      <c r="B434" s="33"/>
      <c r="C434" s="2" t="s">
        <v>11</v>
      </c>
      <c r="D434" s="2" t="s">
        <v>12</v>
      </c>
      <c r="E434" s="2" t="s">
        <v>13</v>
      </c>
      <c r="F434" s="2" t="s">
        <v>14</v>
      </c>
      <c r="G434" s="2" t="s">
        <v>33</v>
      </c>
      <c r="H434" s="2" t="s">
        <v>22</v>
      </c>
      <c r="I434" s="2">
        <v>180000</v>
      </c>
      <c r="J434" s="2">
        <v>1</v>
      </c>
      <c r="K434" s="2" t="s">
        <v>24</v>
      </c>
      <c r="L434" s="2">
        <f t="shared" si="1"/>
        <v>144000</v>
      </c>
    </row>
    <row r="435" spans="1:12" ht="14.25" customHeight="1" x14ac:dyDescent="0.2">
      <c r="A435" s="33">
        <v>46109</v>
      </c>
      <c r="B435" s="33"/>
      <c r="C435" s="2" t="s">
        <v>25</v>
      </c>
      <c r="D435" s="2" t="s">
        <v>12</v>
      </c>
      <c r="E435" s="2" t="s">
        <v>23</v>
      </c>
      <c r="F435" s="2" t="s">
        <v>14</v>
      </c>
      <c r="G435" s="2" t="s">
        <v>33</v>
      </c>
      <c r="H435" s="2" t="s">
        <v>22</v>
      </c>
      <c r="I435" s="2">
        <v>180000</v>
      </c>
      <c r="J435" s="2">
        <v>1</v>
      </c>
      <c r="K435" s="2" t="s">
        <v>35</v>
      </c>
      <c r="L435" s="2">
        <f t="shared" si="1"/>
        <v>144000</v>
      </c>
    </row>
    <row r="436" spans="1:12" ht="14.25" customHeight="1" x14ac:dyDescent="0.2">
      <c r="A436" s="33">
        <v>46110</v>
      </c>
      <c r="B436" s="33"/>
      <c r="C436" s="2" t="s">
        <v>25</v>
      </c>
      <c r="D436" s="2" t="s">
        <v>12</v>
      </c>
      <c r="E436" s="2" t="s">
        <v>13</v>
      </c>
      <c r="F436" s="2" t="s">
        <v>20</v>
      </c>
      <c r="G436" s="2" t="s">
        <v>40</v>
      </c>
      <c r="H436" s="2" t="s">
        <v>31</v>
      </c>
      <c r="I436" s="2">
        <v>250000</v>
      </c>
      <c r="J436" s="2">
        <v>9</v>
      </c>
      <c r="K436" s="2" t="s">
        <v>17</v>
      </c>
      <c r="L436" s="2">
        <f t="shared" si="1"/>
        <v>200000</v>
      </c>
    </row>
    <row r="437" spans="1:12" ht="14.25" customHeight="1" x14ac:dyDescent="0.2">
      <c r="A437" s="33">
        <v>46111</v>
      </c>
      <c r="B437" s="33"/>
      <c r="C437" s="2" t="s">
        <v>11</v>
      </c>
      <c r="D437" s="2" t="s">
        <v>26</v>
      </c>
      <c r="E437" s="2" t="s">
        <v>23</v>
      </c>
      <c r="F437" s="2" t="s">
        <v>14</v>
      </c>
      <c r="G437" s="2" t="s">
        <v>34</v>
      </c>
      <c r="H437" s="2" t="s">
        <v>16</v>
      </c>
      <c r="I437" s="2">
        <v>320000</v>
      </c>
      <c r="J437" s="2">
        <v>1</v>
      </c>
      <c r="K437" s="2" t="s">
        <v>24</v>
      </c>
      <c r="L437" s="2">
        <f t="shared" si="1"/>
        <v>256000</v>
      </c>
    </row>
    <row r="438" spans="1:12" ht="14.25" customHeight="1" x14ac:dyDescent="0.2">
      <c r="A438" s="33">
        <v>46112</v>
      </c>
      <c r="B438" s="33"/>
      <c r="C438" s="2" t="s">
        <v>25</v>
      </c>
      <c r="D438" s="2" t="s">
        <v>19</v>
      </c>
      <c r="E438" s="2" t="s">
        <v>13</v>
      </c>
      <c r="F438" s="2" t="s">
        <v>20</v>
      </c>
      <c r="G438" s="2" t="s">
        <v>33</v>
      </c>
      <c r="H438" s="2" t="s">
        <v>22</v>
      </c>
      <c r="I438" s="2">
        <v>180000</v>
      </c>
      <c r="J438" s="2">
        <v>10</v>
      </c>
      <c r="K438" s="2" t="s">
        <v>17</v>
      </c>
      <c r="L438" s="2">
        <f t="shared" si="1"/>
        <v>144000</v>
      </c>
    </row>
    <row r="439" spans="1:12" ht="14.25" customHeight="1" x14ac:dyDescent="0.2">
      <c r="A439" s="33">
        <v>46113</v>
      </c>
      <c r="B439" s="33"/>
      <c r="C439" s="2" t="s">
        <v>18</v>
      </c>
      <c r="D439" s="2" t="s">
        <v>26</v>
      </c>
      <c r="E439" s="2" t="s">
        <v>13</v>
      </c>
      <c r="F439" s="2" t="s">
        <v>20</v>
      </c>
      <c r="G439" s="2" t="s">
        <v>30</v>
      </c>
      <c r="H439" s="2" t="s">
        <v>31</v>
      </c>
      <c r="I439" s="2">
        <v>300000</v>
      </c>
      <c r="J439" s="2">
        <v>10</v>
      </c>
      <c r="K439" s="2" t="s">
        <v>35</v>
      </c>
      <c r="L439" s="2">
        <f t="shared" si="1"/>
        <v>240000</v>
      </c>
    </row>
    <row r="440" spans="1:12" ht="14.25" customHeight="1" x14ac:dyDescent="0.2">
      <c r="A440" s="33">
        <v>46114</v>
      </c>
      <c r="B440" s="33"/>
      <c r="C440" s="2" t="s">
        <v>25</v>
      </c>
      <c r="D440" s="2" t="s">
        <v>12</v>
      </c>
      <c r="E440" s="2" t="s">
        <v>13</v>
      </c>
      <c r="F440" s="2" t="s">
        <v>14</v>
      </c>
      <c r="G440" s="2" t="s">
        <v>38</v>
      </c>
      <c r="H440" s="2" t="s">
        <v>31</v>
      </c>
      <c r="I440" s="2">
        <v>420000</v>
      </c>
      <c r="J440" s="2">
        <v>4</v>
      </c>
      <c r="K440" s="2" t="s">
        <v>37</v>
      </c>
      <c r="L440" s="2">
        <f t="shared" si="1"/>
        <v>336000</v>
      </c>
    </row>
    <row r="441" spans="1:12" ht="14.25" customHeight="1" x14ac:dyDescent="0.2">
      <c r="A441" s="33">
        <v>46115</v>
      </c>
      <c r="B441" s="33"/>
      <c r="C441" s="2" t="s">
        <v>11</v>
      </c>
      <c r="D441" s="2" t="s">
        <v>12</v>
      </c>
      <c r="E441" s="2" t="s">
        <v>23</v>
      </c>
      <c r="F441" s="2" t="s">
        <v>20</v>
      </c>
      <c r="G441" s="2" t="s">
        <v>21</v>
      </c>
      <c r="H441" s="2" t="s">
        <v>22</v>
      </c>
      <c r="I441" s="2">
        <v>30000</v>
      </c>
      <c r="J441" s="2">
        <v>4</v>
      </c>
      <c r="K441" s="2" t="s">
        <v>28</v>
      </c>
      <c r="L441" s="2">
        <f t="shared" si="1"/>
        <v>24000</v>
      </c>
    </row>
    <row r="442" spans="1:12" ht="14.25" customHeight="1" x14ac:dyDescent="0.2">
      <c r="A442" s="33">
        <v>46116</v>
      </c>
      <c r="B442" s="33"/>
      <c r="C442" s="2" t="s">
        <v>29</v>
      </c>
      <c r="D442" s="2" t="s">
        <v>26</v>
      </c>
      <c r="E442" s="2" t="s">
        <v>13</v>
      </c>
      <c r="F442" s="2" t="s">
        <v>14</v>
      </c>
      <c r="G442" s="2" t="s">
        <v>21</v>
      </c>
      <c r="H442" s="2" t="s">
        <v>22</v>
      </c>
      <c r="I442" s="2">
        <v>30000</v>
      </c>
      <c r="J442" s="2">
        <v>10</v>
      </c>
      <c r="K442" s="2" t="s">
        <v>35</v>
      </c>
      <c r="L442" s="2">
        <f t="shared" si="1"/>
        <v>24000</v>
      </c>
    </row>
    <row r="443" spans="1:12" ht="14.25" customHeight="1" x14ac:dyDescent="0.2">
      <c r="A443" s="33">
        <v>46117</v>
      </c>
      <c r="B443" s="33"/>
      <c r="C443" s="2" t="s">
        <v>25</v>
      </c>
      <c r="D443" s="2" t="s">
        <v>12</v>
      </c>
      <c r="E443" s="2" t="s">
        <v>23</v>
      </c>
      <c r="F443" s="2" t="s">
        <v>20</v>
      </c>
      <c r="G443" s="2" t="s">
        <v>27</v>
      </c>
      <c r="H443" s="2" t="s">
        <v>22</v>
      </c>
      <c r="I443" s="2">
        <v>60000</v>
      </c>
      <c r="J443" s="2">
        <v>7</v>
      </c>
      <c r="K443" s="2" t="s">
        <v>17</v>
      </c>
      <c r="L443" s="2">
        <f t="shared" si="1"/>
        <v>48000</v>
      </c>
    </row>
    <row r="444" spans="1:12" ht="14.25" customHeight="1" x14ac:dyDescent="0.2">
      <c r="A444" s="33">
        <v>46118</v>
      </c>
      <c r="B444" s="33"/>
      <c r="C444" s="2" t="s">
        <v>29</v>
      </c>
      <c r="D444" s="2" t="s">
        <v>12</v>
      </c>
      <c r="E444" s="2" t="s">
        <v>23</v>
      </c>
      <c r="F444" s="2" t="s">
        <v>20</v>
      </c>
      <c r="G444" s="2" t="s">
        <v>33</v>
      </c>
      <c r="H444" s="2" t="s">
        <v>22</v>
      </c>
      <c r="I444" s="2">
        <v>180000</v>
      </c>
      <c r="J444" s="2">
        <v>4</v>
      </c>
      <c r="K444" s="2" t="s">
        <v>39</v>
      </c>
      <c r="L444" s="2">
        <f t="shared" si="1"/>
        <v>144000</v>
      </c>
    </row>
    <row r="445" spans="1:12" ht="14.25" customHeight="1" x14ac:dyDescent="0.2">
      <c r="A445" s="33">
        <v>46119</v>
      </c>
      <c r="B445" s="33"/>
      <c r="C445" s="2" t="s">
        <v>11</v>
      </c>
      <c r="D445" s="2" t="s">
        <v>32</v>
      </c>
      <c r="E445" s="2" t="s">
        <v>13</v>
      </c>
      <c r="F445" s="2" t="s">
        <v>20</v>
      </c>
      <c r="G445" s="2" t="s">
        <v>21</v>
      </c>
      <c r="H445" s="2" t="s">
        <v>22</v>
      </c>
      <c r="I445" s="2">
        <v>30000</v>
      </c>
      <c r="J445" s="2">
        <v>7</v>
      </c>
      <c r="K445" s="2" t="s">
        <v>35</v>
      </c>
      <c r="L445" s="2">
        <f t="shared" si="1"/>
        <v>24000</v>
      </c>
    </row>
    <row r="446" spans="1:12" ht="14.25" customHeight="1" x14ac:dyDescent="0.2">
      <c r="A446" s="33">
        <v>46120</v>
      </c>
      <c r="B446" s="33"/>
      <c r="C446" s="2" t="s">
        <v>25</v>
      </c>
      <c r="D446" s="2" t="s">
        <v>19</v>
      </c>
      <c r="E446" s="2" t="s">
        <v>23</v>
      </c>
      <c r="F446" s="2" t="s">
        <v>20</v>
      </c>
      <c r="G446" s="2" t="s">
        <v>38</v>
      </c>
      <c r="H446" s="2" t="s">
        <v>31</v>
      </c>
      <c r="I446" s="2">
        <v>420000</v>
      </c>
      <c r="J446" s="2">
        <v>10</v>
      </c>
      <c r="K446" s="2" t="s">
        <v>17</v>
      </c>
      <c r="L446" s="2">
        <f t="shared" si="1"/>
        <v>336000</v>
      </c>
    </row>
    <row r="447" spans="1:12" ht="14.25" customHeight="1" x14ac:dyDescent="0.2">
      <c r="A447" s="33">
        <v>46121</v>
      </c>
      <c r="B447" s="33"/>
      <c r="C447" s="2" t="s">
        <v>18</v>
      </c>
      <c r="D447" s="2" t="s">
        <v>12</v>
      </c>
      <c r="E447" s="2" t="s">
        <v>23</v>
      </c>
      <c r="F447" s="2" t="s">
        <v>14</v>
      </c>
      <c r="G447" s="2" t="s">
        <v>38</v>
      </c>
      <c r="H447" s="2" t="s">
        <v>31</v>
      </c>
      <c r="I447" s="2">
        <v>420000</v>
      </c>
      <c r="J447" s="2">
        <v>7</v>
      </c>
      <c r="K447" s="2" t="s">
        <v>35</v>
      </c>
      <c r="L447" s="2">
        <f t="shared" si="1"/>
        <v>336000</v>
      </c>
    </row>
    <row r="448" spans="1:12" ht="14.25" customHeight="1" x14ac:dyDescent="0.2">
      <c r="A448" s="33">
        <v>46122</v>
      </c>
      <c r="B448" s="33"/>
      <c r="C448" s="2" t="s">
        <v>25</v>
      </c>
      <c r="D448" s="2" t="s">
        <v>26</v>
      </c>
      <c r="E448" s="2" t="s">
        <v>13</v>
      </c>
      <c r="F448" s="2" t="s">
        <v>20</v>
      </c>
      <c r="G448" s="2" t="s">
        <v>40</v>
      </c>
      <c r="H448" s="2" t="s">
        <v>31</v>
      </c>
      <c r="I448" s="2">
        <v>250000</v>
      </c>
      <c r="J448" s="2">
        <v>5</v>
      </c>
      <c r="K448" s="2" t="s">
        <v>24</v>
      </c>
      <c r="L448" s="2">
        <f t="shared" si="1"/>
        <v>200000</v>
      </c>
    </row>
    <row r="449" spans="1:12" ht="14.25" customHeight="1" x14ac:dyDescent="0.2">
      <c r="A449" s="33">
        <v>46123</v>
      </c>
      <c r="B449" s="33"/>
      <c r="C449" s="2" t="s">
        <v>11</v>
      </c>
      <c r="D449" s="2" t="s">
        <v>32</v>
      </c>
      <c r="E449" s="2" t="s">
        <v>23</v>
      </c>
      <c r="F449" s="2" t="s">
        <v>14</v>
      </c>
      <c r="G449" s="2" t="s">
        <v>38</v>
      </c>
      <c r="H449" s="2" t="s">
        <v>31</v>
      </c>
      <c r="I449" s="2">
        <v>420000</v>
      </c>
      <c r="J449" s="2">
        <v>5</v>
      </c>
      <c r="K449" s="2" t="s">
        <v>28</v>
      </c>
      <c r="L449" s="2">
        <f t="shared" si="1"/>
        <v>336000</v>
      </c>
    </row>
    <row r="450" spans="1:12" ht="14.25" customHeight="1" x14ac:dyDescent="0.2">
      <c r="A450" s="33">
        <v>46124</v>
      </c>
      <c r="B450" s="33"/>
      <c r="C450" s="2" t="s">
        <v>18</v>
      </c>
      <c r="D450" s="2" t="s">
        <v>26</v>
      </c>
      <c r="E450" s="2" t="s">
        <v>23</v>
      </c>
      <c r="F450" s="2" t="s">
        <v>20</v>
      </c>
      <c r="G450" s="2" t="s">
        <v>34</v>
      </c>
      <c r="H450" s="2" t="s">
        <v>16</v>
      </c>
      <c r="I450" s="2">
        <v>320000</v>
      </c>
      <c r="J450" s="2">
        <v>2</v>
      </c>
      <c r="K450" s="2" t="s">
        <v>28</v>
      </c>
      <c r="L450" s="2">
        <f t="shared" si="1"/>
        <v>256000</v>
      </c>
    </row>
    <row r="451" spans="1:12" ht="14.25" customHeight="1" x14ac:dyDescent="0.2">
      <c r="A451" s="33">
        <v>46125</v>
      </c>
      <c r="B451" s="33"/>
      <c r="C451" s="2" t="s">
        <v>29</v>
      </c>
      <c r="D451" s="2" t="s">
        <v>12</v>
      </c>
      <c r="E451" s="2" t="s">
        <v>13</v>
      </c>
      <c r="F451" s="2" t="s">
        <v>20</v>
      </c>
      <c r="G451" s="2" t="s">
        <v>30</v>
      </c>
      <c r="H451" s="2" t="s">
        <v>31</v>
      </c>
      <c r="I451" s="2">
        <v>300000</v>
      </c>
      <c r="J451" s="2">
        <v>10</v>
      </c>
      <c r="K451" s="2" t="s">
        <v>37</v>
      </c>
      <c r="L451" s="2">
        <f t="shared" si="1"/>
        <v>240000</v>
      </c>
    </row>
    <row r="452" spans="1:12" ht="14.25" customHeight="1" x14ac:dyDescent="0.2">
      <c r="A452" s="33">
        <v>46126</v>
      </c>
      <c r="B452" s="33"/>
      <c r="C452" s="2" t="s">
        <v>18</v>
      </c>
      <c r="D452" s="2" t="s">
        <v>12</v>
      </c>
      <c r="E452" s="2" t="s">
        <v>13</v>
      </c>
      <c r="F452" s="2" t="s">
        <v>14</v>
      </c>
      <c r="G452" s="2" t="s">
        <v>40</v>
      </c>
      <c r="H452" s="2" t="s">
        <v>31</v>
      </c>
      <c r="I452" s="2">
        <v>250000</v>
      </c>
      <c r="J452" s="2">
        <v>5</v>
      </c>
      <c r="K452" s="2" t="s">
        <v>37</v>
      </c>
      <c r="L452" s="2">
        <f t="shared" si="1"/>
        <v>200000</v>
      </c>
    </row>
    <row r="453" spans="1:12" ht="14.25" customHeight="1" x14ac:dyDescent="0.2">
      <c r="A453" s="33">
        <v>46127</v>
      </c>
      <c r="B453" s="33"/>
      <c r="C453" s="2" t="s">
        <v>25</v>
      </c>
      <c r="D453" s="2" t="s">
        <v>26</v>
      </c>
      <c r="E453" s="2" t="s">
        <v>23</v>
      </c>
      <c r="F453" s="2" t="s">
        <v>20</v>
      </c>
      <c r="G453" s="2" t="s">
        <v>40</v>
      </c>
      <c r="H453" s="2" t="s">
        <v>31</v>
      </c>
      <c r="I453" s="2">
        <v>250000</v>
      </c>
      <c r="J453" s="2">
        <v>2</v>
      </c>
      <c r="K453" s="2" t="s">
        <v>24</v>
      </c>
      <c r="L453" s="2">
        <f t="shared" si="1"/>
        <v>200000</v>
      </c>
    </row>
    <row r="454" spans="1:12" ht="14.25" customHeight="1" x14ac:dyDescent="0.2">
      <c r="A454" s="33">
        <v>46128</v>
      </c>
      <c r="B454" s="33"/>
      <c r="C454" s="2" t="s">
        <v>29</v>
      </c>
      <c r="D454" s="2" t="s">
        <v>19</v>
      </c>
      <c r="E454" s="2" t="s">
        <v>13</v>
      </c>
      <c r="F454" s="2" t="s">
        <v>20</v>
      </c>
      <c r="G454" s="2" t="s">
        <v>33</v>
      </c>
      <c r="H454" s="2" t="s">
        <v>22</v>
      </c>
      <c r="I454" s="2">
        <v>180000</v>
      </c>
      <c r="J454" s="2">
        <v>1</v>
      </c>
      <c r="K454" s="2" t="s">
        <v>17</v>
      </c>
      <c r="L454" s="2">
        <f t="shared" si="1"/>
        <v>144000</v>
      </c>
    </row>
    <row r="455" spans="1:12" ht="14.25" customHeight="1" x14ac:dyDescent="0.2">
      <c r="A455" s="33">
        <v>46129</v>
      </c>
      <c r="B455" s="33"/>
      <c r="C455" s="2" t="s">
        <v>18</v>
      </c>
      <c r="D455" s="2" t="s">
        <v>19</v>
      </c>
      <c r="E455" s="2" t="s">
        <v>13</v>
      </c>
      <c r="F455" s="2" t="s">
        <v>20</v>
      </c>
      <c r="G455" s="2" t="s">
        <v>34</v>
      </c>
      <c r="H455" s="2" t="s">
        <v>16</v>
      </c>
      <c r="I455" s="2">
        <v>320000</v>
      </c>
      <c r="J455" s="2">
        <v>10</v>
      </c>
      <c r="K455" s="2" t="s">
        <v>35</v>
      </c>
      <c r="L455" s="2">
        <f t="shared" si="1"/>
        <v>256000</v>
      </c>
    </row>
    <row r="456" spans="1:12" ht="14.25" customHeight="1" x14ac:dyDescent="0.2">
      <c r="A456" s="33">
        <v>46130</v>
      </c>
      <c r="B456" s="33"/>
      <c r="C456" s="2" t="s">
        <v>25</v>
      </c>
      <c r="D456" s="2" t="s">
        <v>26</v>
      </c>
      <c r="E456" s="2" t="s">
        <v>23</v>
      </c>
      <c r="F456" s="2" t="s">
        <v>20</v>
      </c>
      <c r="G456" s="2" t="s">
        <v>36</v>
      </c>
      <c r="H456" s="2" t="s">
        <v>31</v>
      </c>
      <c r="I456" s="2">
        <v>150000</v>
      </c>
      <c r="J456" s="2">
        <v>2</v>
      </c>
      <c r="K456" s="2" t="s">
        <v>17</v>
      </c>
      <c r="L456" s="2">
        <f t="shared" si="1"/>
        <v>120000</v>
      </c>
    </row>
    <row r="457" spans="1:12" ht="14.25" customHeight="1" x14ac:dyDescent="0.2">
      <c r="A457" s="33">
        <v>46131</v>
      </c>
      <c r="B457" s="33"/>
      <c r="C457" s="2" t="s">
        <v>18</v>
      </c>
      <c r="D457" s="2" t="s">
        <v>19</v>
      </c>
      <c r="E457" s="2" t="s">
        <v>13</v>
      </c>
      <c r="F457" s="2" t="s">
        <v>20</v>
      </c>
      <c r="G457" s="2" t="s">
        <v>33</v>
      </c>
      <c r="H457" s="2" t="s">
        <v>22</v>
      </c>
      <c r="I457" s="2">
        <v>180000</v>
      </c>
      <c r="J457" s="2">
        <v>10</v>
      </c>
      <c r="K457" s="2" t="s">
        <v>28</v>
      </c>
      <c r="L457" s="2">
        <f t="shared" si="1"/>
        <v>144000</v>
      </c>
    </row>
    <row r="458" spans="1:12" ht="14.25" customHeight="1" x14ac:dyDescent="0.2">
      <c r="A458" s="33">
        <v>46132</v>
      </c>
      <c r="B458" s="33"/>
      <c r="C458" s="2" t="s">
        <v>11</v>
      </c>
      <c r="D458" s="2" t="s">
        <v>19</v>
      </c>
      <c r="E458" s="2" t="s">
        <v>13</v>
      </c>
      <c r="F458" s="2" t="s">
        <v>14</v>
      </c>
      <c r="G458" s="2" t="s">
        <v>36</v>
      </c>
      <c r="H458" s="2" t="s">
        <v>31</v>
      </c>
      <c r="I458" s="2">
        <v>150000</v>
      </c>
      <c r="J458" s="2">
        <v>2</v>
      </c>
      <c r="K458" s="2" t="s">
        <v>28</v>
      </c>
      <c r="L458" s="2">
        <f t="shared" si="1"/>
        <v>120000</v>
      </c>
    </row>
    <row r="459" spans="1:12" ht="14.25" customHeight="1" x14ac:dyDescent="0.2">
      <c r="A459" s="33">
        <v>46133</v>
      </c>
      <c r="B459" s="33"/>
      <c r="C459" s="2" t="s">
        <v>25</v>
      </c>
      <c r="D459" s="2" t="s">
        <v>26</v>
      </c>
      <c r="E459" s="2" t="s">
        <v>23</v>
      </c>
      <c r="F459" s="2" t="s">
        <v>20</v>
      </c>
      <c r="G459" s="2" t="s">
        <v>27</v>
      </c>
      <c r="H459" s="2" t="s">
        <v>22</v>
      </c>
      <c r="I459" s="2">
        <v>60000</v>
      </c>
      <c r="J459" s="2">
        <v>10</v>
      </c>
      <c r="K459" s="2" t="s">
        <v>28</v>
      </c>
      <c r="L459" s="2">
        <f t="shared" si="1"/>
        <v>48000</v>
      </c>
    </row>
    <row r="460" spans="1:12" ht="14.25" customHeight="1" x14ac:dyDescent="0.2">
      <c r="A460" s="33">
        <v>46134</v>
      </c>
      <c r="B460" s="33"/>
      <c r="C460" s="2" t="s">
        <v>11</v>
      </c>
      <c r="D460" s="2" t="s">
        <v>32</v>
      </c>
      <c r="E460" s="2" t="s">
        <v>23</v>
      </c>
      <c r="F460" s="2" t="s">
        <v>14</v>
      </c>
      <c r="G460" s="2" t="s">
        <v>41</v>
      </c>
      <c r="H460" s="2" t="s">
        <v>22</v>
      </c>
      <c r="I460" s="2">
        <v>220000</v>
      </c>
      <c r="J460" s="2">
        <v>4</v>
      </c>
      <c r="K460" s="2" t="s">
        <v>35</v>
      </c>
      <c r="L460" s="2">
        <f t="shared" si="1"/>
        <v>176000</v>
      </c>
    </row>
    <row r="461" spans="1:12" ht="14.25" customHeight="1" x14ac:dyDescent="0.2">
      <c r="A461" s="33">
        <v>46135</v>
      </c>
      <c r="B461" s="33"/>
      <c r="C461" s="2" t="s">
        <v>25</v>
      </c>
      <c r="D461" s="2" t="s">
        <v>19</v>
      </c>
      <c r="E461" s="2" t="s">
        <v>13</v>
      </c>
      <c r="F461" s="2" t="s">
        <v>14</v>
      </c>
      <c r="G461" s="2" t="s">
        <v>27</v>
      </c>
      <c r="H461" s="2" t="s">
        <v>22</v>
      </c>
      <c r="I461" s="2">
        <v>60000</v>
      </c>
      <c r="J461" s="2">
        <v>5</v>
      </c>
      <c r="K461" s="2" t="s">
        <v>35</v>
      </c>
      <c r="L461" s="2">
        <f t="shared" si="1"/>
        <v>48000</v>
      </c>
    </row>
    <row r="462" spans="1:12" ht="14.25" customHeight="1" x14ac:dyDescent="0.2">
      <c r="A462" s="33">
        <v>46136</v>
      </c>
      <c r="B462" s="33"/>
      <c r="C462" s="2" t="s">
        <v>25</v>
      </c>
      <c r="D462" s="2" t="s">
        <v>32</v>
      </c>
      <c r="E462" s="2" t="s">
        <v>23</v>
      </c>
      <c r="F462" s="2" t="s">
        <v>14</v>
      </c>
      <c r="G462" s="2" t="s">
        <v>40</v>
      </c>
      <c r="H462" s="2" t="s">
        <v>31</v>
      </c>
      <c r="I462" s="2">
        <v>250000</v>
      </c>
      <c r="J462" s="2">
        <v>3</v>
      </c>
      <c r="K462" s="2" t="s">
        <v>24</v>
      </c>
      <c r="L462" s="2">
        <f t="shared" si="1"/>
        <v>200000</v>
      </c>
    </row>
    <row r="463" spans="1:12" ht="14.25" customHeight="1" x14ac:dyDescent="0.2">
      <c r="A463" s="33">
        <v>46137</v>
      </c>
      <c r="B463" s="33"/>
      <c r="C463" s="2" t="s">
        <v>25</v>
      </c>
      <c r="D463" s="2" t="s">
        <v>19</v>
      </c>
      <c r="E463" s="2" t="s">
        <v>23</v>
      </c>
      <c r="F463" s="2" t="s">
        <v>20</v>
      </c>
      <c r="G463" s="2" t="s">
        <v>36</v>
      </c>
      <c r="H463" s="2" t="s">
        <v>31</v>
      </c>
      <c r="I463" s="2">
        <v>150000</v>
      </c>
      <c r="J463" s="2">
        <v>1</v>
      </c>
      <c r="K463" s="2" t="s">
        <v>37</v>
      </c>
      <c r="L463" s="2">
        <f t="shared" si="1"/>
        <v>120000</v>
      </c>
    </row>
    <row r="464" spans="1:12" ht="14.25" customHeight="1" x14ac:dyDescent="0.2">
      <c r="A464" s="33">
        <v>46138</v>
      </c>
      <c r="B464" s="33"/>
      <c r="C464" s="2" t="s">
        <v>29</v>
      </c>
      <c r="D464" s="2" t="s">
        <v>32</v>
      </c>
      <c r="E464" s="2" t="s">
        <v>23</v>
      </c>
      <c r="F464" s="2" t="s">
        <v>20</v>
      </c>
      <c r="G464" s="2" t="s">
        <v>41</v>
      </c>
      <c r="H464" s="2" t="s">
        <v>22</v>
      </c>
      <c r="I464" s="2">
        <v>220000</v>
      </c>
      <c r="J464" s="2">
        <v>1</v>
      </c>
      <c r="K464" s="2" t="s">
        <v>24</v>
      </c>
      <c r="L464" s="2">
        <f t="shared" si="1"/>
        <v>176000</v>
      </c>
    </row>
    <row r="465" spans="1:12" ht="14.25" customHeight="1" x14ac:dyDescent="0.2">
      <c r="A465" s="33">
        <v>46139</v>
      </c>
      <c r="B465" s="33"/>
      <c r="C465" s="2" t="s">
        <v>18</v>
      </c>
      <c r="D465" s="2" t="s">
        <v>26</v>
      </c>
      <c r="E465" s="2" t="s">
        <v>13</v>
      </c>
      <c r="F465" s="2" t="s">
        <v>20</v>
      </c>
      <c r="G465" s="2" t="s">
        <v>40</v>
      </c>
      <c r="H465" s="2" t="s">
        <v>31</v>
      </c>
      <c r="I465" s="2">
        <v>250000</v>
      </c>
      <c r="J465" s="2">
        <v>6</v>
      </c>
      <c r="K465" s="2" t="s">
        <v>37</v>
      </c>
      <c r="L465" s="2">
        <f t="shared" si="1"/>
        <v>200000</v>
      </c>
    </row>
    <row r="466" spans="1:12" ht="14.25" customHeight="1" x14ac:dyDescent="0.2">
      <c r="A466" s="33">
        <v>46140</v>
      </c>
      <c r="B466" s="33"/>
      <c r="C466" s="2" t="s">
        <v>11</v>
      </c>
      <c r="D466" s="2" t="s">
        <v>32</v>
      </c>
      <c r="E466" s="2" t="s">
        <v>13</v>
      </c>
      <c r="F466" s="2" t="s">
        <v>20</v>
      </c>
      <c r="G466" s="2" t="s">
        <v>41</v>
      </c>
      <c r="H466" s="2" t="s">
        <v>22</v>
      </c>
      <c r="I466" s="2">
        <v>220000</v>
      </c>
      <c r="J466" s="2">
        <v>10</v>
      </c>
      <c r="K466" s="2" t="s">
        <v>35</v>
      </c>
      <c r="L466" s="2">
        <f t="shared" si="1"/>
        <v>176000</v>
      </c>
    </row>
    <row r="467" spans="1:12" ht="14.25" customHeight="1" x14ac:dyDescent="0.2">
      <c r="A467" s="33">
        <v>46141</v>
      </c>
      <c r="B467" s="33"/>
      <c r="C467" s="2" t="s">
        <v>18</v>
      </c>
      <c r="D467" s="2" t="s">
        <v>12</v>
      </c>
      <c r="E467" s="2" t="s">
        <v>13</v>
      </c>
      <c r="F467" s="2" t="s">
        <v>20</v>
      </c>
      <c r="G467" s="2" t="s">
        <v>33</v>
      </c>
      <c r="H467" s="2" t="s">
        <v>22</v>
      </c>
      <c r="I467" s="2">
        <v>180000</v>
      </c>
      <c r="J467" s="2">
        <v>10</v>
      </c>
      <c r="K467" s="2" t="s">
        <v>24</v>
      </c>
      <c r="L467" s="2">
        <f t="shared" si="1"/>
        <v>144000</v>
      </c>
    </row>
    <row r="468" spans="1:12" ht="14.25" customHeight="1" x14ac:dyDescent="0.2">
      <c r="A468" s="33">
        <v>46142</v>
      </c>
      <c r="B468" s="33"/>
      <c r="C468" s="2" t="s">
        <v>11</v>
      </c>
      <c r="D468" s="2" t="s">
        <v>12</v>
      </c>
      <c r="E468" s="2" t="s">
        <v>23</v>
      </c>
      <c r="F468" s="2" t="s">
        <v>14</v>
      </c>
      <c r="G468" s="2" t="s">
        <v>27</v>
      </c>
      <c r="H468" s="2" t="s">
        <v>22</v>
      </c>
      <c r="I468" s="2">
        <v>60000</v>
      </c>
      <c r="J468" s="2">
        <v>6</v>
      </c>
      <c r="K468" s="2" t="s">
        <v>39</v>
      </c>
      <c r="L468" s="2">
        <f t="shared" si="1"/>
        <v>48000</v>
      </c>
    </row>
    <row r="469" spans="1:12" ht="14.25" customHeight="1" x14ac:dyDescent="0.2">
      <c r="A469" s="33">
        <v>46143</v>
      </c>
      <c r="B469" s="33"/>
      <c r="C469" s="2" t="s">
        <v>29</v>
      </c>
      <c r="D469" s="2" t="s">
        <v>26</v>
      </c>
      <c r="E469" s="2" t="s">
        <v>13</v>
      </c>
      <c r="F469" s="2" t="s">
        <v>20</v>
      </c>
      <c r="G469" s="2" t="s">
        <v>41</v>
      </c>
      <c r="H469" s="2" t="s">
        <v>22</v>
      </c>
      <c r="I469" s="2">
        <v>220000</v>
      </c>
      <c r="J469" s="2">
        <v>4</v>
      </c>
      <c r="K469" s="2" t="s">
        <v>24</v>
      </c>
      <c r="L469" s="2">
        <f t="shared" si="1"/>
        <v>176000</v>
      </c>
    </row>
    <row r="470" spans="1:12" ht="14.25" customHeight="1" x14ac:dyDescent="0.2">
      <c r="A470" s="33">
        <v>46144</v>
      </c>
      <c r="B470" s="33"/>
      <c r="C470" s="2" t="s">
        <v>25</v>
      </c>
      <c r="D470" s="2" t="s">
        <v>32</v>
      </c>
      <c r="E470" s="2" t="s">
        <v>23</v>
      </c>
      <c r="F470" s="2" t="s">
        <v>14</v>
      </c>
      <c r="G470" s="2" t="s">
        <v>36</v>
      </c>
      <c r="H470" s="2" t="s">
        <v>31</v>
      </c>
      <c r="I470" s="2">
        <v>150000</v>
      </c>
      <c r="J470" s="2">
        <v>1</v>
      </c>
      <c r="K470" s="2" t="s">
        <v>24</v>
      </c>
      <c r="L470" s="2">
        <f t="shared" si="1"/>
        <v>120000</v>
      </c>
    </row>
    <row r="471" spans="1:12" ht="14.25" customHeight="1" x14ac:dyDescent="0.2">
      <c r="A471" s="33">
        <v>46145</v>
      </c>
      <c r="B471" s="33"/>
      <c r="C471" s="2" t="s">
        <v>25</v>
      </c>
      <c r="D471" s="2" t="s">
        <v>26</v>
      </c>
      <c r="E471" s="2" t="s">
        <v>13</v>
      </c>
      <c r="F471" s="2" t="s">
        <v>20</v>
      </c>
      <c r="G471" s="2" t="s">
        <v>33</v>
      </c>
      <c r="H471" s="2" t="s">
        <v>22</v>
      </c>
      <c r="I471" s="2">
        <v>180000</v>
      </c>
      <c r="J471" s="2">
        <v>1</v>
      </c>
      <c r="K471" s="2" t="s">
        <v>28</v>
      </c>
      <c r="L471" s="2">
        <f t="shared" si="1"/>
        <v>144000</v>
      </c>
    </row>
    <row r="472" spans="1:12" ht="14.25" customHeight="1" x14ac:dyDescent="0.2">
      <c r="A472" s="33">
        <v>46146</v>
      </c>
      <c r="B472" s="33"/>
      <c r="C472" s="2" t="s">
        <v>18</v>
      </c>
      <c r="D472" s="2" t="s">
        <v>32</v>
      </c>
      <c r="E472" s="2" t="s">
        <v>23</v>
      </c>
      <c r="F472" s="2" t="s">
        <v>20</v>
      </c>
      <c r="G472" s="2" t="s">
        <v>41</v>
      </c>
      <c r="H472" s="2" t="s">
        <v>22</v>
      </c>
      <c r="I472" s="2">
        <v>220000</v>
      </c>
      <c r="J472" s="2">
        <v>8</v>
      </c>
      <c r="K472" s="2" t="s">
        <v>28</v>
      </c>
      <c r="L472" s="2">
        <f t="shared" si="1"/>
        <v>176000</v>
      </c>
    </row>
    <row r="473" spans="1:12" ht="14.25" customHeight="1" x14ac:dyDescent="0.2">
      <c r="A473" s="33">
        <v>46147</v>
      </c>
      <c r="B473" s="33"/>
      <c r="C473" s="2" t="s">
        <v>11</v>
      </c>
      <c r="D473" s="2" t="s">
        <v>19</v>
      </c>
      <c r="E473" s="2" t="s">
        <v>13</v>
      </c>
      <c r="F473" s="2" t="s">
        <v>20</v>
      </c>
      <c r="G473" s="2" t="s">
        <v>40</v>
      </c>
      <c r="H473" s="2" t="s">
        <v>31</v>
      </c>
      <c r="I473" s="2">
        <v>250000</v>
      </c>
      <c r="J473" s="2">
        <v>3</v>
      </c>
      <c r="K473" s="2" t="s">
        <v>24</v>
      </c>
      <c r="L473" s="2">
        <f t="shared" si="1"/>
        <v>200000</v>
      </c>
    </row>
    <row r="474" spans="1:12" ht="14.25" customHeight="1" x14ac:dyDescent="0.2">
      <c r="A474" s="33">
        <v>46148</v>
      </c>
      <c r="B474" s="33"/>
      <c r="C474" s="2" t="s">
        <v>29</v>
      </c>
      <c r="D474" s="2" t="s">
        <v>19</v>
      </c>
      <c r="E474" s="2" t="s">
        <v>23</v>
      </c>
      <c r="F474" s="2" t="s">
        <v>20</v>
      </c>
      <c r="G474" s="2" t="s">
        <v>27</v>
      </c>
      <c r="H474" s="2" t="s">
        <v>22</v>
      </c>
      <c r="I474" s="2">
        <v>60000</v>
      </c>
      <c r="J474" s="2">
        <v>1</v>
      </c>
      <c r="K474" s="2" t="s">
        <v>35</v>
      </c>
      <c r="L474" s="2">
        <f t="shared" si="1"/>
        <v>48000</v>
      </c>
    </row>
    <row r="475" spans="1:12" ht="14.25" customHeight="1" x14ac:dyDescent="0.2">
      <c r="A475" s="33">
        <v>46149</v>
      </c>
      <c r="B475" s="33"/>
      <c r="C475" s="2" t="s">
        <v>18</v>
      </c>
      <c r="D475" s="2" t="s">
        <v>32</v>
      </c>
      <c r="E475" s="2" t="s">
        <v>13</v>
      </c>
      <c r="F475" s="2" t="s">
        <v>20</v>
      </c>
      <c r="G475" s="2" t="s">
        <v>34</v>
      </c>
      <c r="H475" s="2" t="s">
        <v>16</v>
      </c>
      <c r="I475" s="2">
        <v>320000</v>
      </c>
      <c r="J475" s="2">
        <v>4</v>
      </c>
      <c r="K475" s="2" t="s">
        <v>17</v>
      </c>
      <c r="L475" s="2">
        <f t="shared" si="1"/>
        <v>256000</v>
      </c>
    </row>
    <row r="476" spans="1:12" ht="14.25" customHeight="1" x14ac:dyDescent="0.2">
      <c r="A476" s="33">
        <v>46150</v>
      </c>
      <c r="B476" s="33"/>
      <c r="C476" s="2" t="s">
        <v>25</v>
      </c>
      <c r="D476" s="2" t="s">
        <v>26</v>
      </c>
      <c r="E476" s="2" t="s">
        <v>23</v>
      </c>
      <c r="F476" s="2" t="s">
        <v>20</v>
      </c>
      <c r="G476" s="2" t="s">
        <v>38</v>
      </c>
      <c r="H476" s="2" t="s">
        <v>31</v>
      </c>
      <c r="I476" s="2">
        <v>420000</v>
      </c>
      <c r="J476" s="2">
        <v>8</v>
      </c>
      <c r="K476" s="2" t="s">
        <v>24</v>
      </c>
      <c r="L476" s="2">
        <f t="shared" si="1"/>
        <v>336000</v>
      </c>
    </row>
    <row r="477" spans="1:12" ht="14.25" customHeight="1" x14ac:dyDescent="0.2">
      <c r="A477" s="33">
        <v>46151</v>
      </c>
      <c r="B477" s="33"/>
      <c r="C477" s="2" t="s">
        <v>25</v>
      </c>
      <c r="D477" s="2" t="s">
        <v>19</v>
      </c>
      <c r="E477" s="2" t="s">
        <v>23</v>
      </c>
      <c r="F477" s="2" t="s">
        <v>20</v>
      </c>
      <c r="G477" s="2" t="s">
        <v>38</v>
      </c>
      <c r="H477" s="2" t="s">
        <v>31</v>
      </c>
      <c r="I477" s="2">
        <v>420000</v>
      </c>
      <c r="J477" s="2">
        <v>8</v>
      </c>
      <c r="K477" s="2" t="s">
        <v>35</v>
      </c>
      <c r="L477" s="2">
        <f t="shared" si="1"/>
        <v>336000</v>
      </c>
    </row>
    <row r="478" spans="1:12" ht="14.25" customHeight="1" x14ac:dyDescent="0.2">
      <c r="A478" s="33">
        <v>46152</v>
      </c>
      <c r="B478" s="33"/>
      <c r="C478" s="2" t="s">
        <v>29</v>
      </c>
      <c r="D478" s="2" t="s">
        <v>19</v>
      </c>
      <c r="E478" s="2" t="s">
        <v>13</v>
      </c>
      <c r="F478" s="2" t="s">
        <v>20</v>
      </c>
      <c r="G478" s="2" t="s">
        <v>27</v>
      </c>
      <c r="H478" s="2" t="s">
        <v>22</v>
      </c>
      <c r="I478" s="2">
        <v>60000</v>
      </c>
      <c r="J478" s="2">
        <v>1</v>
      </c>
      <c r="K478" s="2" t="s">
        <v>39</v>
      </c>
      <c r="L478" s="2">
        <f t="shared" si="1"/>
        <v>48000</v>
      </c>
    </row>
    <row r="479" spans="1:12" ht="14.25" customHeight="1" x14ac:dyDescent="0.2">
      <c r="A479" s="33">
        <v>46153</v>
      </c>
      <c r="B479" s="33"/>
      <c r="C479" s="2" t="s">
        <v>18</v>
      </c>
      <c r="D479" s="2" t="s">
        <v>12</v>
      </c>
      <c r="E479" s="2" t="s">
        <v>23</v>
      </c>
      <c r="F479" s="2" t="s">
        <v>20</v>
      </c>
      <c r="G479" s="2" t="s">
        <v>33</v>
      </c>
      <c r="H479" s="2" t="s">
        <v>22</v>
      </c>
      <c r="I479" s="2">
        <v>180000</v>
      </c>
      <c r="J479" s="2">
        <v>8</v>
      </c>
      <c r="K479" s="2" t="s">
        <v>24</v>
      </c>
      <c r="L479" s="2">
        <f t="shared" si="1"/>
        <v>144000</v>
      </c>
    </row>
    <row r="480" spans="1:12" ht="14.25" customHeight="1" x14ac:dyDescent="0.2">
      <c r="A480" s="33">
        <v>46154</v>
      </c>
      <c r="B480" s="33"/>
      <c r="C480" s="2" t="s">
        <v>11</v>
      </c>
      <c r="D480" s="2" t="s">
        <v>19</v>
      </c>
      <c r="E480" s="2" t="s">
        <v>23</v>
      </c>
      <c r="F480" s="2" t="s">
        <v>20</v>
      </c>
      <c r="G480" s="2" t="s">
        <v>33</v>
      </c>
      <c r="H480" s="2" t="s">
        <v>22</v>
      </c>
      <c r="I480" s="2">
        <v>180000</v>
      </c>
      <c r="J480" s="2">
        <v>2</v>
      </c>
      <c r="K480" s="2" t="s">
        <v>24</v>
      </c>
      <c r="L480" s="2">
        <f t="shared" si="1"/>
        <v>144000</v>
      </c>
    </row>
    <row r="481" spans="1:12" ht="14.25" customHeight="1" x14ac:dyDescent="0.2">
      <c r="A481" s="33">
        <v>46155</v>
      </c>
      <c r="B481" s="33"/>
      <c r="C481" s="2" t="s">
        <v>25</v>
      </c>
      <c r="D481" s="2" t="s">
        <v>19</v>
      </c>
      <c r="E481" s="2" t="s">
        <v>23</v>
      </c>
      <c r="F481" s="2" t="s">
        <v>14</v>
      </c>
      <c r="G481" s="2" t="s">
        <v>30</v>
      </c>
      <c r="H481" s="2" t="s">
        <v>31</v>
      </c>
      <c r="I481" s="2">
        <v>300000</v>
      </c>
      <c r="J481" s="2">
        <v>7</v>
      </c>
      <c r="K481" s="2" t="s">
        <v>35</v>
      </c>
      <c r="L481" s="2">
        <f t="shared" si="1"/>
        <v>240000</v>
      </c>
    </row>
    <row r="482" spans="1:12" ht="14.25" customHeight="1" x14ac:dyDescent="0.2">
      <c r="A482" s="33">
        <v>46156</v>
      </c>
      <c r="B482" s="33"/>
      <c r="C482" s="2" t="s">
        <v>11</v>
      </c>
      <c r="D482" s="2" t="s">
        <v>26</v>
      </c>
      <c r="E482" s="2" t="s">
        <v>13</v>
      </c>
      <c r="F482" s="2" t="s">
        <v>14</v>
      </c>
      <c r="G482" s="2" t="s">
        <v>40</v>
      </c>
      <c r="H482" s="2" t="s">
        <v>31</v>
      </c>
      <c r="I482" s="2">
        <v>250000</v>
      </c>
      <c r="J482" s="2">
        <v>6</v>
      </c>
      <c r="K482" s="2" t="s">
        <v>35</v>
      </c>
      <c r="L482" s="2">
        <f t="shared" si="1"/>
        <v>200000</v>
      </c>
    </row>
    <row r="483" spans="1:12" ht="14.25" customHeight="1" x14ac:dyDescent="0.2">
      <c r="A483" s="33">
        <v>46157</v>
      </c>
      <c r="B483" s="33"/>
      <c r="C483" s="2" t="s">
        <v>29</v>
      </c>
      <c r="D483" s="2" t="s">
        <v>26</v>
      </c>
      <c r="E483" s="2" t="s">
        <v>13</v>
      </c>
      <c r="F483" s="2" t="s">
        <v>20</v>
      </c>
      <c r="G483" s="2" t="s">
        <v>36</v>
      </c>
      <c r="H483" s="2" t="s">
        <v>31</v>
      </c>
      <c r="I483" s="2">
        <v>150000</v>
      </c>
      <c r="J483" s="2">
        <v>5</v>
      </c>
      <c r="K483" s="2" t="s">
        <v>24</v>
      </c>
      <c r="L483" s="2">
        <f t="shared" si="1"/>
        <v>120000</v>
      </c>
    </row>
    <row r="484" spans="1:12" ht="14.25" customHeight="1" x14ac:dyDescent="0.2">
      <c r="A484" s="33">
        <v>46158</v>
      </c>
      <c r="B484" s="33"/>
      <c r="C484" s="2" t="s">
        <v>11</v>
      </c>
      <c r="D484" s="2" t="s">
        <v>32</v>
      </c>
      <c r="E484" s="2" t="s">
        <v>13</v>
      </c>
      <c r="F484" s="2" t="s">
        <v>14</v>
      </c>
      <c r="G484" s="2" t="s">
        <v>15</v>
      </c>
      <c r="H484" s="2" t="s">
        <v>16</v>
      </c>
      <c r="I484" s="2">
        <v>85000</v>
      </c>
      <c r="J484" s="2">
        <v>10</v>
      </c>
      <c r="K484" s="2" t="s">
        <v>24</v>
      </c>
      <c r="L484" s="2">
        <f t="shared" si="1"/>
        <v>68000</v>
      </c>
    </row>
    <row r="485" spans="1:12" ht="14.25" customHeight="1" x14ac:dyDescent="0.2">
      <c r="A485" s="33">
        <v>46159</v>
      </c>
      <c r="B485" s="33"/>
      <c r="C485" s="2" t="s">
        <v>29</v>
      </c>
      <c r="D485" s="2" t="s">
        <v>32</v>
      </c>
      <c r="E485" s="2" t="s">
        <v>13</v>
      </c>
      <c r="F485" s="2" t="s">
        <v>14</v>
      </c>
      <c r="G485" s="2" t="s">
        <v>15</v>
      </c>
      <c r="H485" s="2" t="s">
        <v>16</v>
      </c>
      <c r="I485" s="2">
        <v>85000</v>
      </c>
      <c r="J485" s="2">
        <v>8</v>
      </c>
      <c r="K485" s="2" t="s">
        <v>35</v>
      </c>
      <c r="L485" s="2">
        <f t="shared" si="1"/>
        <v>68000</v>
      </c>
    </row>
    <row r="486" spans="1:12" ht="14.25" customHeight="1" x14ac:dyDescent="0.2">
      <c r="A486" s="33">
        <v>46160</v>
      </c>
      <c r="B486" s="33"/>
      <c r="C486" s="2" t="s">
        <v>25</v>
      </c>
      <c r="D486" s="2" t="s">
        <v>12</v>
      </c>
      <c r="E486" s="2" t="s">
        <v>13</v>
      </c>
      <c r="F486" s="2" t="s">
        <v>14</v>
      </c>
      <c r="G486" s="2" t="s">
        <v>15</v>
      </c>
      <c r="H486" s="2" t="s">
        <v>16</v>
      </c>
      <c r="I486" s="2">
        <v>85000</v>
      </c>
      <c r="J486" s="2">
        <v>2</v>
      </c>
      <c r="K486" s="2" t="s">
        <v>28</v>
      </c>
      <c r="L486" s="2">
        <f t="shared" si="1"/>
        <v>68000</v>
      </c>
    </row>
    <row r="487" spans="1:12" ht="14.25" customHeight="1" x14ac:dyDescent="0.2">
      <c r="A487" s="33">
        <v>46161</v>
      </c>
      <c r="B487" s="33"/>
      <c r="C487" s="2" t="s">
        <v>11</v>
      </c>
      <c r="D487" s="2" t="s">
        <v>32</v>
      </c>
      <c r="E487" s="2" t="s">
        <v>13</v>
      </c>
      <c r="F487" s="2" t="s">
        <v>14</v>
      </c>
      <c r="G487" s="2" t="s">
        <v>40</v>
      </c>
      <c r="H487" s="2" t="s">
        <v>31</v>
      </c>
      <c r="I487" s="2">
        <v>250000</v>
      </c>
      <c r="J487" s="2">
        <v>4</v>
      </c>
      <c r="K487" s="2" t="s">
        <v>17</v>
      </c>
      <c r="L487" s="2">
        <f t="shared" si="1"/>
        <v>200000</v>
      </c>
    </row>
    <row r="488" spans="1:12" ht="14.25" customHeight="1" x14ac:dyDescent="0.2">
      <c r="A488" s="33">
        <v>46162</v>
      </c>
      <c r="B488" s="33"/>
      <c r="C488" s="2" t="s">
        <v>25</v>
      </c>
      <c r="D488" s="2" t="s">
        <v>12</v>
      </c>
      <c r="E488" s="2" t="s">
        <v>13</v>
      </c>
      <c r="F488" s="2" t="s">
        <v>14</v>
      </c>
      <c r="G488" s="2" t="s">
        <v>36</v>
      </c>
      <c r="H488" s="2" t="s">
        <v>31</v>
      </c>
      <c r="I488" s="2">
        <v>150000</v>
      </c>
      <c r="J488" s="2">
        <v>6</v>
      </c>
      <c r="K488" s="2" t="s">
        <v>39</v>
      </c>
      <c r="L488" s="2">
        <f t="shared" si="1"/>
        <v>120000</v>
      </c>
    </row>
    <row r="489" spans="1:12" ht="14.25" customHeight="1" x14ac:dyDescent="0.2">
      <c r="A489" s="33">
        <v>46163</v>
      </c>
      <c r="B489" s="33"/>
      <c r="C489" s="2" t="s">
        <v>25</v>
      </c>
      <c r="D489" s="2" t="s">
        <v>32</v>
      </c>
      <c r="E489" s="2" t="s">
        <v>23</v>
      </c>
      <c r="F489" s="2" t="s">
        <v>20</v>
      </c>
      <c r="G489" s="2" t="s">
        <v>33</v>
      </c>
      <c r="H489" s="2" t="s">
        <v>22</v>
      </c>
      <c r="I489" s="2">
        <v>180000</v>
      </c>
      <c r="J489" s="2">
        <v>10</v>
      </c>
      <c r="K489" s="2" t="s">
        <v>37</v>
      </c>
      <c r="L489" s="2">
        <f t="shared" si="1"/>
        <v>144000</v>
      </c>
    </row>
    <row r="490" spans="1:12" ht="14.25" customHeight="1" x14ac:dyDescent="0.2">
      <c r="A490" s="33">
        <v>46164</v>
      </c>
      <c r="B490" s="33"/>
      <c r="C490" s="2" t="s">
        <v>25</v>
      </c>
      <c r="D490" s="2" t="s">
        <v>32</v>
      </c>
      <c r="E490" s="2" t="s">
        <v>13</v>
      </c>
      <c r="F490" s="2" t="s">
        <v>14</v>
      </c>
      <c r="G490" s="2" t="s">
        <v>36</v>
      </c>
      <c r="H490" s="2" t="s">
        <v>31</v>
      </c>
      <c r="I490" s="2">
        <v>150000</v>
      </c>
      <c r="J490" s="2">
        <v>8</v>
      </c>
      <c r="K490" s="2" t="s">
        <v>17</v>
      </c>
      <c r="L490" s="2">
        <f t="shared" si="1"/>
        <v>120000</v>
      </c>
    </row>
    <row r="491" spans="1:12" ht="14.25" customHeight="1" x14ac:dyDescent="0.2">
      <c r="A491" s="33">
        <v>46165</v>
      </c>
      <c r="B491" s="33"/>
      <c r="C491" s="2" t="s">
        <v>25</v>
      </c>
      <c r="D491" s="2" t="s">
        <v>19</v>
      </c>
      <c r="E491" s="2" t="s">
        <v>13</v>
      </c>
      <c r="F491" s="2" t="s">
        <v>14</v>
      </c>
      <c r="G491" s="2" t="s">
        <v>33</v>
      </c>
      <c r="H491" s="2" t="s">
        <v>22</v>
      </c>
      <c r="I491" s="2">
        <v>180000</v>
      </c>
      <c r="J491" s="2">
        <v>8</v>
      </c>
      <c r="K491" s="2" t="s">
        <v>24</v>
      </c>
      <c r="L491" s="2">
        <f t="shared" si="1"/>
        <v>144000</v>
      </c>
    </row>
    <row r="492" spans="1:12" ht="14.25" customHeight="1" x14ac:dyDescent="0.2">
      <c r="A492" s="33">
        <v>46166</v>
      </c>
      <c r="B492" s="33"/>
      <c r="C492" s="2" t="s">
        <v>18</v>
      </c>
      <c r="D492" s="2" t="s">
        <v>26</v>
      </c>
      <c r="E492" s="2" t="s">
        <v>23</v>
      </c>
      <c r="F492" s="2" t="s">
        <v>14</v>
      </c>
      <c r="G492" s="2" t="s">
        <v>36</v>
      </c>
      <c r="H492" s="2" t="s">
        <v>31</v>
      </c>
      <c r="I492" s="2">
        <v>150000</v>
      </c>
      <c r="J492" s="2">
        <v>6</v>
      </c>
      <c r="K492" s="2" t="s">
        <v>35</v>
      </c>
      <c r="L492" s="2">
        <f t="shared" si="1"/>
        <v>120000</v>
      </c>
    </row>
    <row r="493" spans="1:12" ht="14.25" customHeight="1" x14ac:dyDescent="0.2">
      <c r="A493" s="33">
        <v>46167</v>
      </c>
      <c r="B493" s="33"/>
      <c r="C493" s="2" t="s">
        <v>25</v>
      </c>
      <c r="D493" s="2" t="s">
        <v>32</v>
      </c>
      <c r="E493" s="2" t="s">
        <v>23</v>
      </c>
      <c r="F493" s="2" t="s">
        <v>20</v>
      </c>
      <c r="G493" s="2" t="s">
        <v>36</v>
      </c>
      <c r="H493" s="2" t="s">
        <v>31</v>
      </c>
      <c r="I493" s="2">
        <v>150000</v>
      </c>
      <c r="J493" s="2">
        <v>4</v>
      </c>
      <c r="K493" s="2" t="s">
        <v>39</v>
      </c>
      <c r="L493" s="2">
        <f t="shared" si="1"/>
        <v>120000</v>
      </c>
    </row>
    <row r="494" spans="1:12" ht="14.25" customHeight="1" x14ac:dyDescent="0.2">
      <c r="A494" s="33">
        <v>46168</v>
      </c>
      <c r="B494" s="33"/>
      <c r="C494" s="2" t="s">
        <v>11</v>
      </c>
      <c r="D494" s="2" t="s">
        <v>19</v>
      </c>
      <c r="E494" s="2" t="s">
        <v>13</v>
      </c>
      <c r="F494" s="2" t="s">
        <v>14</v>
      </c>
      <c r="G494" s="2" t="s">
        <v>33</v>
      </c>
      <c r="H494" s="2" t="s">
        <v>22</v>
      </c>
      <c r="I494" s="2">
        <v>180000</v>
      </c>
      <c r="J494" s="2">
        <v>1</v>
      </c>
      <c r="K494" s="2" t="s">
        <v>35</v>
      </c>
      <c r="L494" s="2">
        <f t="shared" si="1"/>
        <v>144000</v>
      </c>
    </row>
    <row r="495" spans="1:12" ht="14.25" customHeight="1" x14ac:dyDescent="0.2">
      <c r="A495" s="33">
        <v>46169</v>
      </c>
      <c r="B495" s="33"/>
      <c r="C495" s="2" t="s">
        <v>29</v>
      </c>
      <c r="D495" s="2" t="s">
        <v>19</v>
      </c>
      <c r="E495" s="2" t="s">
        <v>13</v>
      </c>
      <c r="F495" s="2" t="s">
        <v>14</v>
      </c>
      <c r="G495" s="2" t="s">
        <v>40</v>
      </c>
      <c r="H495" s="2" t="s">
        <v>31</v>
      </c>
      <c r="I495" s="2">
        <v>250000</v>
      </c>
      <c r="J495" s="2">
        <v>6</v>
      </c>
      <c r="K495" s="2" t="s">
        <v>39</v>
      </c>
      <c r="L495" s="2">
        <f t="shared" si="1"/>
        <v>200000</v>
      </c>
    </row>
    <row r="496" spans="1:12" ht="14.25" customHeight="1" x14ac:dyDescent="0.2">
      <c r="A496" s="33">
        <v>46170</v>
      </c>
      <c r="B496" s="33"/>
      <c r="C496" s="2" t="s">
        <v>25</v>
      </c>
      <c r="D496" s="2" t="s">
        <v>12</v>
      </c>
      <c r="E496" s="2" t="s">
        <v>13</v>
      </c>
      <c r="F496" s="2" t="s">
        <v>14</v>
      </c>
      <c r="G496" s="2" t="s">
        <v>27</v>
      </c>
      <c r="H496" s="2" t="s">
        <v>22</v>
      </c>
      <c r="I496" s="2">
        <v>60000</v>
      </c>
      <c r="J496" s="2">
        <v>6</v>
      </c>
      <c r="K496" s="2" t="s">
        <v>24</v>
      </c>
      <c r="L496" s="2">
        <f t="shared" si="1"/>
        <v>48000</v>
      </c>
    </row>
    <row r="497" spans="1:12" ht="14.25" customHeight="1" x14ac:dyDescent="0.2">
      <c r="A497" s="33">
        <v>46171</v>
      </c>
      <c r="B497" s="33"/>
      <c r="C497" s="2" t="s">
        <v>29</v>
      </c>
      <c r="D497" s="2" t="s">
        <v>32</v>
      </c>
      <c r="E497" s="2" t="s">
        <v>23</v>
      </c>
      <c r="F497" s="2" t="s">
        <v>20</v>
      </c>
      <c r="G497" s="2" t="s">
        <v>36</v>
      </c>
      <c r="H497" s="2" t="s">
        <v>31</v>
      </c>
      <c r="I497" s="2">
        <v>150000</v>
      </c>
      <c r="J497" s="2">
        <v>2</v>
      </c>
      <c r="K497" s="2" t="s">
        <v>24</v>
      </c>
      <c r="L497" s="2">
        <f t="shared" si="1"/>
        <v>120000</v>
      </c>
    </row>
    <row r="498" spans="1:12" ht="14.25" customHeight="1" x14ac:dyDescent="0.2">
      <c r="A498" s="33">
        <v>46172</v>
      </c>
      <c r="B498" s="33"/>
      <c r="C498" s="2" t="s">
        <v>18</v>
      </c>
      <c r="D498" s="2" t="s">
        <v>26</v>
      </c>
      <c r="E498" s="2" t="s">
        <v>23</v>
      </c>
      <c r="F498" s="2" t="s">
        <v>14</v>
      </c>
      <c r="G498" s="2" t="s">
        <v>15</v>
      </c>
      <c r="H498" s="2" t="s">
        <v>16</v>
      </c>
      <c r="I498" s="2">
        <v>85000</v>
      </c>
      <c r="J498" s="2">
        <v>2</v>
      </c>
      <c r="K498" s="2" t="s">
        <v>17</v>
      </c>
      <c r="L498" s="2">
        <f t="shared" si="1"/>
        <v>68000</v>
      </c>
    </row>
    <row r="499" spans="1:12" ht="14.25" customHeight="1" x14ac:dyDescent="0.2">
      <c r="A499" s="33">
        <v>46173</v>
      </c>
      <c r="B499" s="33"/>
      <c r="C499" s="2" t="s">
        <v>25</v>
      </c>
      <c r="D499" s="2" t="s">
        <v>19</v>
      </c>
      <c r="E499" s="2" t="s">
        <v>13</v>
      </c>
      <c r="F499" s="2" t="s">
        <v>20</v>
      </c>
      <c r="G499" s="2" t="s">
        <v>30</v>
      </c>
      <c r="H499" s="2" t="s">
        <v>31</v>
      </c>
      <c r="I499" s="2">
        <v>300000</v>
      </c>
      <c r="J499" s="2">
        <v>5</v>
      </c>
      <c r="K499" s="2" t="s">
        <v>35</v>
      </c>
      <c r="L499" s="2">
        <f t="shared" si="1"/>
        <v>240000</v>
      </c>
    </row>
    <row r="500" spans="1:12" ht="14.25" customHeight="1" x14ac:dyDescent="0.2">
      <c r="A500" s="33">
        <v>46174</v>
      </c>
      <c r="B500" s="33"/>
      <c r="C500" s="2" t="s">
        <v>18</v>
      </c>
      <c r="D500" s="2" t="s">
        <v>26</v>
      </c>
      <c r="E500" s="2" t="s">
        <v>23</v>
      </c>
      <c r="F500" s="2" t="s">
        <v>14</v>
      </c>
      <c r="G500" s="2" t="s">
        <v>38</v>
      </c>
      <c r="H500" s="2" t="s">
        <v>31</v>
      </c>
      <c r="I500" s="2">
        <v>420000</v>
      </c>
      <c r="J500" s="2">
        <v>10</v>
      </c>
      <c r="K500" s="2" t="s">
        <v>35</v>
      </c>
      <c r="L500" s="2">
        <f t="shared" si="1"/>
        <v>336000</v>
      </c>
    </row>
    <row r="501" spans="1:12" ht="14.25" customHeight="1" x14ac:dyDescent="0.2">
      <c r="A501" s="33">
        <v>46175</v>
      </c>
      <c r="B501" s="33"/>
      <c r="C501" s="2" t="s">
        <v>11</v>
      </c>
      <c r="D501" s="2" t="s">
        <v>32</v>
      </c>
      <c r="E501" s="2" t="s">
        <v>23</v>
      </c>
      <c r="F501" s="2" t="s">
        <v>14</v>
      </c>
      <c r="G501" s="2" t="s">
        <v>33</v>
      </c>
      <c r="H501" s="2" t="s">
        <v>22</v>
      </c>
      <c r="I501" s="2">
        <v>180000</v>
      </c>
      <c r="J501" s="2">
        <v>6</v>
      </c>
      <c r="K501" s="2" t="s">
        <v>24</v>
      </c>
      <c r="L501" s="2">
        <f t="shared" si="1"/>
        <v>144000</v>
      </c>
    </row>
    <row r="502" spans="1:12" ht="14.25" customHeight="1" x14ac:dyDescent="0.2">
      <c r="A502" s="33">
        <v>46176</v>
      </c>
      <c r="B502" s="33"/>
      <c r="C502" s="2" t="s">
        <v>18</v>
      </c>
      <c r="D502" s="2" t="s">
        <v>32</v>
      </c>
      <c r="E502" s="2" t="s">
        <v>13</v>
      </c>
      <c r="F502" s="2" t="s">
        <v>20</v>
      </c>
      <c r="G502" s="2" t="s">
        <v>15</v>
      </c>
      <c r="H502" s="2" t="s">
        <v>16</v>
      </c>
      <c r="I502" s="2">
        <v>85000</v>
      </c>
      <c r="J502" s="2">
        <v>4</v>
      </c>
      <c r="K502" s="2" t="s">
        <v>35</v>
      </c>
      <c r="L502" s="2">
        <f t="shared" si="1"/>
        <v>68000</v>
      </c>
    </row>
    <row r="503" spans="1:12" ht="14.25" customHeight="1" x14ac:dyDescent="0.2">
      <c r="A503" s="33">
        <v>46177</v>
      </c>
      <c r="B503" s="33"/>
      <c r="C503" s="2" t="s">
        <v>29</v>
      </c>
      <c r="D503" s="2" t="s">
        <v>26</v>
      </c>
      <c r="E503" s="2" t="s">
        <v>23</v>
      </c>
      <c r="F503" s="2" t="s">
        <v>14</v>
      </c>
      <c r="G503" s="2" t="s">
        <v>30</v>
      </c>
      <c r="H503" s="2" t="s">
        <v>31</v>
      </c>
      <c r="I503" s="2">
        <v>300000</v>
      </c>
      <c r="J503" s="2">
        <v>4</v>
      </c>
      <c r="K503" s="2" t="s">
        <v>37</v>
      </c>
      <c r="L503" s="2">
        <f t="shared" si="1"/>
        <v>240000</v>
      </c>
    </row>
    <row r="504" spans="1:12" ht="14.25" customHeight="1" x14ac:dyDescent="0.2">
      <c r="A504" s="33">
        <v>46178</v>
      </c>
      <c r="B504" s="33"/>
      <c r="C504" s="2" t="s">
        <v>25</v>
      </c>
      <c r="D504" s="2" t="s">
        <v>32</v>
      </c>
      <c r="E504" s="2" t="s">
        <v>13</v>
      </c>
      <c r="F504" s="2" t="s">
        <v>14</v>
      </c>
      <c r="G504" s="2" t="s">
        <v>15</v>
      </c>
      <c r="H504" s="2" t="s">
        <v>16</v>
      </c>
      <c r="I504" s="2">
        <v>85000</v>
      </c>
      <c r="J504" s="2">
        <v>3</v>
      </c>
      <c r="K504" s="2" t="s">
        <v>35</v>
      </c>
      <c r="L504" s="2">
        <f t="shared" si="1"/>
        <v>68000</v>
      </c>
    </row>
    <row r="505" spans="1:12" ht="14.25" customHeight="1" x14ac:dyDescent="0.2">
      <c r="A505" s="33">
        <v>46179</v>
      </c>
      <c r="B505" s="33"/>
      <c r="C505" s="2" t="s">
        <v>29</v>
      </c>
      <c r="D505" s="2" t="s">
        <v>12</v>
      </c>
      <c r="E505" s="2" t="s">
        <v>13</v>
      </c>
      <c r="F505" s="2" t="s">
        <v>20</v>
      </c>
      <c r="G505" s="2" t="s">
        <v>41</v>
      </c>
      <c r="H505" s="2" t="s">
        <v>22</v>
      </c>
      <c r="I505" s="2">
        <v>220000</v>
      </c>
      <c r="J505" s="2">
        <v>9</v>
      </c>
      <c r="K505" s="2" t="s">
        <v>37</v>
      </c>
      <c r="L505" s="2">
        <f t="shared" si="1"/>
        <v>176000</v>
      </c>
    </row>
    <row r="506" spans="1:12" ht="14.25" customHeight="1" x14ac:dyDescent="0.2">
      <c r="A506" s="33">
        <v>46180</v>
      </c>
      <c r="B506" s="33"/>
      <c r="C506" s="2" t="s">
        <v>11</v>
      </c>
      <c r="D506" s="2" t="s">
        <v>26</v>
      </c>
      <c r="E506" s="2" t="s">
        <v>23</v>
      </c>
      <c r="F506" s="2" t="s">
        <v>14</v>
      </c>
      <c r="G506" s="2" t="s">
        <v>33</v>
      </c>
      <c r="H506" s="2" t="s">
        <v>22</v>
      </c>
      <c r="I506" s="2">
        <v>180000</v>
      </c>
      <c r="J506" s="2">
        <v>3</v>
      </c>
      <c r="K506" s="2" t="s">
        <v>35</v>
      </c>
      <c r="L506" s="2">
        <f t="shared" si="1"/>
        <v>144000</v>
      </c>
    </row>
    <row r="507" spans="1:12" ht="14.25" customHeight="1" x14ac:dyDescent="0.2">
      <c r="A507" s="33">
        <v>46181</v>
      </c>
      <c r="B507" s="33"/>
      <c r="C507" s="2" t="s">
        <v>18</v>
      </c>
      <c r="D507" s="2" t="s">
        <v>19</v>
      </c>
      <c r="E507" s="2" t="s">
        <v>23</v>
      </c>
      <c r="F507" s="2" t="s">
        <v>20</v>
      </c>
      <c r="G507" s="2" t="s">
        <v>30</v>
      </c>
      <c r="H507" s="2" t="s">
        <v>31</v>
      </c>
      <c r="I507" s="2">
        <v>300000</v>
      </c>
      <c r="J507" s="2">
        <v>9</v>
      </c>
      <c r="K507" s="2" t="s">
        <v>24</v>
      </c>
      <c r="L507" s="2">
        <f t="shared" si="1"/>
        <v>240000</v>
      </c>
    </row>
    <row r="508" spans="1:12" ht="14.25" customHeight="1" x14ac:dyDescent="0.2">
      <c r="A508" s="33">
        <v>46182</v>
      </c>
      <c r="B508" s="33"/>
      <c r="C508" s="2" t="s">
        <v>29</v>
      </c>
      <c r="D508" s="2" t="s">
        <v>12</v>
      </c>
      <c r="E508" s="2" t="s">
        <v>23</v>
      </c>
      <c r="F508" s="2" t="s">
        <v>20</v>
      </c>
      <c r="G508" s="2" t="s">
        <v>36</v>
      </c>
      <c r="H508" s="2" t="s">
        <v>31</v>
      </c>
      <c r="I508" s="2">
        <v>150000</v>
      </c>
      <c r="J508" s="2">
        <v>4</v>
      </c>
      <c r="K508" s="2" t="s">
        <v>28</v>
      </c>
      <c r="L508" s="2">
        <f t="shared" si="1"/>
        <v>120000</v>
      </c>
    </row>
    <row r="509" spans="1:12" ht="14.25" customHeight="1" x14ac:dyDescent="0.2">
      <c r="A509" s="33">
        <v>46183</v>
      </c>
      <c r="B509" s="33"/>
      <c r="C509" s="2" t="s">
        <v>18</v>
      </c>
      <c r="D509" s="2" t="s">
        <v>32</v>
      </c>
      <c r="E509" s="2" t="s">
        <v>23</v>
      </c>
      <c r="F509" s="2" t="s">
        <v>20</v>
      </c>
      <c r="G509" s="2" t="s">
        <v>34</v>
      </c>
      <c r="H509" s="2" t="s">
        <v>16</v>
      </c>
      <c r="I509" s="2">
        <v>320000</v>
      </c>
      <c r="J509" s="2">
        <v>8</v>
      </c>
      <c r="K509" s="2" t="s">
        <v>37</v>
      </c>
      <c r="L509" s="2">
        <f t="shared" si="1"/>
        <v>256000</v>
      </c>
    </row>
    <row r="510" spans="1:12" ht="14.25" customHeight="1" x14ac:dyDescent="0.2">
      <c r="A510" s="33">
        <v>46184</v>
      </c>
      <c r="B510" s="33"/>
      <c r="C510" s="2" t="s">
        <v>29</v>
      </c>
      <c r="D510" s="2" t="s">
        <v>32</v>
      </c>
      <c r="E510" s="2" t="s">
        <v>13</v>
      </c>
      <c r="F510" s="2" t="s">
        <v>14</v>
      </c>
      <c r="G510" s="2" t="s">
        <v>34</v>
      </c>
      <c r="H510" s="2" t="s">
        <v>16</v>
      </c>
      <c r="I510" s="2">
        <v>320000</v>
      </c>
      <c r="J510" s="2">
        <v>7</v>
      </c>
      <c r="K510" s="2" t="s">
        <v>39</v>
      </c>
      <c r="L510" s="2">
        <f t="shared" si="1"/>
        <v>256000</v>
      </c>
    </row>
    <row r="511" spans="1:12" ht="14.25" customHeight="1" x14ac:dyDescent="0.2">
      <c r="A511" s="33">
        <v>46185</v>
      </c>
      <c r="B511" s="33"/>
      <c r="C511" s="2" t="s">
        <v>18</v>
      </c>
      <c r="D511" s="2" t="s">
        <v>32</v>
      </c>
      <c r="E511" s="2" t="s">
        <v>13</v>
      </c>
      <c r="F511" s="2" t="s">
        <v>20</v>
      </c>
      <c r="G511" s="2" t="s">
        <v>41</v>
      </c>
      <c r="H511" s="2" t="s">
        <v>22</v>
      </c>
      <c r="I511" s="2">
        <v>220000</v>
      </c>
      <c r="J511" s="2">
        <v>10</v>
      </c>
      <c r="K511" s="2" t="s">
        <v>28</v>
      </c>
      <c r="L511" s="2">
        <f t="shared" si="1"/>
        <v>176000</v>
      </c>
    </row>
    <row r="512" spans="1:12" ht="14.25" customHeight="1" x14ac:dyDescent="0.2">
      <c r="A512" s="33">
        <v>46186</v>
      </c>
      <c r="B512" s="33"/>
      <c r="C512" s="2" t="s">
        <v>25</v>
      </c>
      <c r="D512" s="2" t="s">
        <v>19</v>
      </c>
      <c r="E512" s="2" t="s">
        <v>13</v>
      </c>
      <c r="F512" s="2" t="s">
        <v>20</v>
      </c>
      <c r="G512" s="2" t="s">
        <v>21</v>
      </c>
      <c r="H512" s="2" t="s">
        <v>22</v>
      </c>
      <c r="I512" s="2">
        <v>30000</v>
      </c>
      <c r="J512" s="2">
        <v>7</v>
      </c>
      <c r="K512" s="2" t="s">
        <v>28</v>
      </c>
      <c r="L512" s="2">
        <f t="shared" ref="L512:L766" si="2">I512-I512*0.2</f>
        <v>24000</v>
      </c>
    </row>
    <row r="513" spans="1:12" ht="14.25" customHeight="1" x14ac:dyDescent="0.2">
      <c r="A513" s="33">
        <v>46187</v>
      </c>
      <c r="B513" s="33"/>
      <c r="C513" s="2" t="s">
        <v>18</v>
      </c>
      <c r="D513" s="2" t="s">
        <v>26</v>
      </c>
      <c r="E513" s="2" t="s">
        <v>13</v>
      </c>
      <c r="F513" s="2" t="s">
        <v>14</v>
      </c>
      <c r="G513" s="2" t="s">
        <v>34</v>
      </c>
      <c r="H513" s="2" t="s">
        <v>16</v>
      </c>
      <c r="I513" s="2">
        <v>320000</v>
      </c>
      <c r="J513" s="2">
        <v>2</v>
      </c>
      <c r="K513" s="2" t="s">
        <v>28</v>
      </c>
      <c r="L513" s="2">
        <f t="shared" si="2"/>
        <v>256000</v>
      </c>
    </row>
    <row r="514" spans="1:12" ht="14.25" customHeight="1" x14ac:dyDescent="0.2">
      <c r="A514" s="33">
        <v>46188</v>
      </c>
      <c r="B514" s="33"/>
      <c r="C514" s="2" t="s">
        <v>29</v>
      </c>
      <c r="D514" s="2" t="s">
        <v>26</v>
      </c>
      <c r="E514" s="2" t="s">
        <v>23</v>
      </c>
      <c r="F514" s="2" t="s">
        <v>20</v>
      </c>
      <c r="G514" s="2" t="s">
        <v>30</v>
      </c>
      <c r="H514" s="2" t="s">
        <v>31</v>
      </c>
      <c r="I514" s="2">
        <v>300000</v>
      </c>
      <c r="J514" s="2">
        <v>3</v>
      </c>
      <c r="K514" s="2" t="s">
        <v>37</v>
      </c>
      <c r="L514" s="2">
        <f t="shared" si="2"/>
        <v>240000</v>
      </c>
    </row>
    <row r="515" spans="1:12" ht="14.25" customHeight="1" x14ac:dyDescent="0.2">
      <c r="A515" s="33">
        <v>46189</v>
      </c>
      <c r="B515" s="33"/>
      <c r="C515" s="2" t="s">
        <v>25</v>
      </c>
      <c r="D515" s="2" t="s">
        <v>12</v>
      </c>
      <c r="E515" s="2" t="s">
        <v>13</v>
      </c>
      <c r="F515" s="2" t="s">
        <v>14</v>
      </c>
      <c r="G515" s="2" t="s">
        <v>30</v>
      </c>
      <c r="H515" s="2" t="s">
        <v>31</v>
      </c>
      <c r="I515" s="2">
        <v>300000</v>
      </c>
      <c r="J515" s="2">
        <v>3</v>
      </c>
      <c r="K515" s="2" t="s">
        <v>28</v>
      </c>
      <c r="L515" s="2">
        <f t="shared" si="2"/>
        <v>240000</v>
      </c>
    </row>
    <row r="516" spans="1:12" ht="14.25" customHeight="1" x14ac:dyDescent="0.2">
      <c r="A516" s="33">
        <v>46190</v>
      </c>
      <c r="B516" s="33"/>
      <c r="C516" s="2" t="s">
        <v>25</v>
      </c>
      <c r="D516" s="2" t="s">
        <v>32</v>
      </c>
      <c r="E516" s="2" t="s">
        <v>13</v>
      </c>
      <c r="F516" s="2" t="s">
        <v>20</v>
      </c>
      <c r="G516" s="2" t="s">
        <v>36</v>
      </c>
      <c r="H516" s="2" t="s">
        <v>31</v>
      </c>
      <c r="I516" s="2">
        <v>150000</v>
      </c>
      <c r="J516" s="2">
        <v>10</v>
      </c>
      <c r="K516" s="2" t="s">
        <v>28</v>
      </c>
      <c r="L516" s="2">
        <f t="shared" si="2"/>
        <v>120000</v>
      </c>
    </row>
    <row r="517" spans="1:12" ht="14.25" customHeight="1" x14ac:dyDescent="0.2">
      <c r="A517" s="33">
        <v>46191</v>
      </c>
      <c r="B517" s="33"/>
      <c r="C517" s="2" t="s">
        <v>25</v>
      </c>
      <c r="D517" s="2" t="s">
        <v>19</v>
      </c>
      <c r="E517" s="2" t="s">
        <v>23</v>
      </c>
      <c r="F517" s="2" t="s">
        <v>20</v>
      </c>
      <c r="G517" s="2" t="s">
        <v>21</v>
      </c>
      <c r="H517" s="2" t="s">
        <v>22</v>
      </c>
      <c r="I517" s="2">
        <v>30000</v>
      </c>
      <c r="J517" s="2">
        <v>7</v>
      </c>
      <c r="K517" s="2" t="s">
        <v>35</v>
      </c>
      <c r="L517" s="2">
        <f t="shared" si="2"/>
        <v>24000</v>
      </c>
    </row>
    <row r="518" spans="1:12" ht="14.25" customHeight="1" x14ac:dyDescent="0.2">
      <c r="A518" s="33">
        <v>46192</v>
      </c>
      <c r="B518" s="33"/>
      <c r="C518" s="2" t="s">
        <v>11</v>
      </c>
      <c r="D518" s="2" t="s">
        <v>12</v>
      </c>
      <c r="E518" s="2" t="s">
        <v>13</v>
      </c>
      <c r="F518" s="2" t="s">
        <v>14</v>
      </c>
      <c r="G518" s="2" t="s">
        <v>27</v>
      </c>
      <c r="H518" s="2" t="s">
        <v>22</v>
      </c>
      <c r="I518" s="2">
        <v>60000</v>
      </c>
      <c r="J518" s="2">
        <v>2</v>
      </c>
      <c r="K518" s="2" t="s">
        <v>37</v>
      </c>
      <c r="L518" s="2">
        <f t="shared" si="2"/>
        <v>48000</v>
      </c>
    </row>
    <row r="519" spans="1:12" ht="14.25" customHeight="1" x14ac:dyDescent="0.2">
      <c r="A519" s="33">
        <v>46193</v>
      </c>
      <c r="B519" s="33"/>
      <c r="C519" s="2" t="s">
        <v>18</v>
      </c>
      <c r="D519" s="2" t="s">
        <v>19</v>
      </c>
      <c r="E519" s="2" t="s">
        <v>13</v>
      </c>
      <c r="F519" s="2" t="s">
        <v>14</v>
      </c>
      <c r="G519" s="2" t="s">
        <v>30</v>
      </c>
      <c r="H519" s="2" t="s">
        <v>31</v>
      </c>
      <c r="I519" s="2">
        <v>300000</v>
      </c>
      <c r="J519" s="2">
        <v>8</v>
      </c>
      <c r="K519" s="2" t="s">
        <v>17</v>
      </c>
      <c r="L519" s="2">
        <f t="shared" si="2"/>
        <v>240000</v>
      </c>
    </row>
    <row r="520" spans="1:12" ht="14.25" customHeight="1" x14ac:dyDescent="0.2">
      <c r="A520" s="33">
        <v>46194</v>
      </c>
      <c r="B520" s="33"/>
      <c r="C520" s="2" t="s">
        <v>29</v>
      </c>
      <c r="D520" s="2" t="s">
        <v>19</v>
      </c>
      <c r="E520" s="2" t="s">
        <v>23</v>
      </c>
      <c r="F520" s="2" t="s">
        <v>20</v>
      </c>
      <c r="G520" s="2" t="s">
        <v>21</v>
      </c>
      <c r="H520" s="2" t="s">
        <v>22</v>
      </c>
      <c r="I520" s="2">
        <v>30000</v>
      </c>
      <c r="J520" s="2">
        <v>6</v>
      </c>
      <c r="K520" s="2" t="s">
        <v>28</v>
      </c>
      <c r="L520" s="2">
        <f t="shared" si="2"/>
        <v>24000</v>
      </c>
    </row>
    <row r="521" spans="1:12" ht="14.25" customHeight="1" x14ac:dyDescent="0.2">
      <c r="A521" s="33">
        <v>46195</v>
      </c>
      <c r="B521" s="33"/>
      <c r="C521" s="2" t="s">
        <v>11</v>
      </c>
      <c r="D521" s="2" t="s">
        <v>19</v>
      </c>
      <c r="E521" s="2" t="s">
        <v>23</v>
      </c>
      <c r="F521" s="2" t="s">
        <v>14</v>
      </c>
      <c r="G521" s="2" t="s">
        <v>40</v>
      </c>
      <c r="H521" s="2" t="s">
        <v>31</v>
      </c>
      <c r="I521" s="2">
        <v>250000</v>
      </c>
      <c r="J521" s="2">
        <v>6</v>
      </c>
      <c r="K521" s="2" t="s">
        <v>24</v>
      </c>
      <c r="L521" s="2">
        <f t="shared" si="2"/>
        <v>200000</v>
      </c>
    </row>
    <row r="522" spans="1:12" ht="14.25" customHeight="1" x14ac:dyDescent="0.2">
      <c r="A522" s="33">
        <v>46196</v>
      </c>
      <c r="B522" s="33"/>
      <c r="C522" s="2" t="s">
        <v>18</v>
      </c>
      <c r="D522" s="2" t="s">
        <v>32</v>
      </c>
      <c r="E522" s="2" t="s">
        <v>13</v>
      </c>
      <c r="F522" s="2" t="s">
        <v>14</v>
      </c>
      <c r="G522" s="2" t="s">
        <v>38</v>
      </c>
      <c r="H522" s="2" t="s">
        <v>31</v>
      </c>
      <c r="I522" s="2">
        <v>420000</v>
      </c>
      <c r="J522" s="2">
        <v>10</v>
      </c>
      <c r="K522" s="2" t="s">
        <v>35</v>
      </c>
      <c r="L522" s="2">
        <f t="shared" si="2"/>
        <v>336000</v>
      </c>
    </row>
    <row r="523" spans="1:12" ht="14.25" customHeight="1" x14ac:dyDescent="0.2">
      <c r="A523" s="33">
        <v>46197</v>
      </c>
      <c r="B523" s="33"/>
      <c r="C523" s="2" t="s">
        <v>25</v>
      </c>
      <c r="D523" s="2" t="s">
        <v>32</v>
      </c>
      <c r="E523" s="2" t="s">
        <v>13</v>
      </c>
      <c r="F523" s="2" t="s">
        <v>14</v>
      </c>
      <c r="G523" s="2" t="s">
        <v>27</v>
      </c>
      <c r="H523" s="2" t="s">
        <v>22</v>
      </c>
      <c r="I523" s="2">
        <v>60000</v>
      </c>
      <c r="J523" s="2">
        <v>9</v>
      </c>
      <c r="K523" s="2" t="s">
        <v>39</v>
      </c>
      <c r="L523" s="2">
        <f t="shared" si="2"/>
        <v>48000</v>
      </c>
    </row>
    <row r="524" spans="1:12" ht="14.25" customHeight="1" x14ac:dyDescent="0.2">
      <c r="A524" s="33">
        <v>46198</v>
      </c>
      <c r="B524" s="33"/>
      <c r="C524" s="2" t="s">
        <v>18</v>
      </c>
      <c r="D524" s="2" t="s">
        <v>26</v>
      </c>
      <c r="E524" s="2" t="s">
        <v>23</v>
      </c>
      <c r="F524" s="2" t="s">
        <v>20</v>
      </c>
      <c r="G524" s="2" t="s">
        <v>33</v>
      </c>
      <c r="H524" s="2" t="s">
        <v>22</v>
      </c>
      <c r="I524" s="2">
        <v>180000</v>
      </c>
      <c r="J524" s="2">
        <v>4</v>
      </c>
      <c r="K524" s="2" t="s">
        <v>17</v>
      </c>
      <c r="L524" s="2">
        <f t="shared" si="2"/>
        <v>144000</v>
      </c>
    </row>
    <row r="525" spans="1:12" ht="14.25" customHeight="1" x14ac:dyDescent="0.2">
      <c r="A525" s="33">
        <v>46199</v>
      </c>
      <c r="B525" s="33"/>
      <c r="C525" s="2" t="s">
        <v>29</v>
      </c>
      <c r="D525" s="2" t="s">
        <v>26</v>
      </c>
      <c r="E525" s="2" t="s">
        <v>13</v>
      </c>
      <c r="F525" s="2" t="s">
        <v>20</v>
      </c>
      <c r="G525" s="2" t="s">
        <v>33</v>
      </c>
      <c r="H525" s="2" t="s">
        <v>22</v>
      </c>
      <c r="I525" s="2">
        <v>180000</v>
      </c>
      <c r="J525" s="2">
        <v>10</v>
      </c>
      <c r="K525" s="2" t="s">
        <v>17</v>
      </c>
      <c r="L525" s="2">
        <f t="shared" si="2"/>
        <v>144000</v>
      </c>
    </row>
    <row r="526" spans="1:12" ht="14.25" customHeight="1" x14ac:dyDescent="0.2">
      <c r="A526" s="33">
        <v>46200</v>
      </c>
      <c r="B526" s="33"/>
      <c r="C526" s="2" t="s">
        <v>29</v>
      </c>
      <c r="D526" s="2" t="s">
        <v>19</v>
      </c>
      <c r="E526" s="2" t="s">
        <v>23</v>
      </c>
      <c r="F526" s="2" t="s">
        <v>14</v>
      </c>
      <c r="G526" s="2" t="s">
        <v>21</v>
      </c>
      <c r="H526" s="2" t="s">
        <v>22</v>
      </c>
      <c r="I526" s="2">
        <v>30000</v>
      </c>
      <c r="J526" s="2">
        <v>1</v>
      </c>
      <c r="K526" s="2" t="s">
        <v>37</v>
      </c>
      <c r="L526" s="2">
        <f t="shared" si="2"/>
        <v>24000</v>
      </c>
    </row>
    <row r="527" spans="1:12" ht="14.25" customHeight="1" x14ac:dyDescent="0.2">
      <c r="A527" s="33">
        <v>46201</v>
      </c>
      <c r="B527" s="33"/>
      <c r="C527" s="2" t="s">
        <v>18</v>
      </c>
      <c r="D527" s="2" t="s">
        <v>26</v>
      </c>
      <c r="E527" s="2" t="s">
        <v>13</v>
      </c>
      <c r="F527" s="2" t="s">
        <v>20</v>
      </c>
      <c r="G527" s="2" t="s">
        <v>38</v>
      </c>
      <c r="H527" s="2" t="s">
        <v>31</v>
      </c>
      <c r="I527" s="2">
        <v>420000</v>
      </c>
      <c r="J527" s="2">
        <v>3</v>
      </c>
      <c r="K527" s="2" t="s">
        <v>35</v>
      </c>
      <c r="L527" s="2">
        <f t="shared" si="2"/>
        <v>336000</v>
      </c>
    </row>
    <row r="528" spans="1:12" ht="14.25" customHeight="1" x14ac:dyDescent="0.2">
      <c r="A528" s="33">
        <v>46202</v>
      </c>
      <c r="B528" s="33"/>
      <c r="C528" s="2" t="s">
        <v>18</v>
      </c>
      <c r="D528" s="2" t="s">
        <v>12</v>
      </c>
      <c r="E528" s="2" t="s">
        <v>13</v>
      </c>
      <c r="F528" s="2" t="s">
        <v>20</v>
      </c>
      <c r="G528" s="2" t="s">
        <v>21</v>
      </c>
      <c r="H528" s="2" t="s">
        <v>22</v>
      </c>
      <c r="I528" s="2">
        <v>30000</v>
      </c>
      <c r="J528" s="2">
        <v>8</v>
      </c>
      <c r="K528" s="2" t="s">
        <v>35</v>
      </c>
      <c r="L528" s="2">
        <f t="shared" si="2"/>
        <v>24000</v>
      </c>
    </row>
    <row r="529" spans="1:12" ht="14.25" customHeight="1" x14ac:dyDescent="0.2">
      <c r="A529" s="33">
        <v>46203</v>
      </c>
      <c r="B529" s="33"/>
      <c r="C529" s="2" t="s">
        <v>25</v>
      </c>
      <c r="D529" s="2" t="s">
        <v>32</v>
      </c>
      <c r="E529" s="2" t="s">
        <v>23</v>
      </c>
      <c r="F529" s="2" t="s">
        <v>14</v>
      </c>
      <c r="G529" s="2" t="s">
        <v>34</v>
      </c>
      <c r="H529" s="2" t="s">
        <v>16</v>
      </c>
      <c r="I529" s="2">
        <v>320000</v>
      </c>
      <c r="J529" s="2">
        <v>2</v>
      </c>
      <c r="K529" s="2" t="s">
        <v>28</v>
      </c>
      <c r="L529" s="2">
        <f t="shared" si="2"/>
        <v>256000</v>
      </c>
    </row>
    <row r="530" spans="1:12" ht="14.25" customHeight="1" x14ac:dyDescent="0.2">
      <c r="A530" s="33">
        <v>46204</v>
      </c>
      <c r="B530" s="33"/>
      <c r="C530" s="2" t="s">
        <v>11</v>
      </c>
      <c r="D530" s="2" t="s">
        <v>19</v>
      </c>
      <c r="E530" s="2" t="s">
        <v>23</v>
      </c>
      <c r="F530" s="2" t="s">
        <v>20</v>
      </c>
      <c r="G530" s="2" t="s">
        <v>36</v>
      </c>
      <c r="H530" s="2" t="s">
        <v>31</v>
      </c>
      <c r="I530" s="2">
        <v>150000</v>
      </c>
      <c r="J530" s="2">
        <v>10</v>
      </c>
      <c r="K530" s="2" t="s">
        <v>28</v>
      </c>
      <c r="L530" s="2">
        <f t="shared" si="2"/>
        <v>120000</v>
      </c>
    </row>
    <row r="531" spans="1:12" ht="14.25" customHeight="1" x14ac:dyDescent="0.2">
      <c r="A531" s="33">
        <v>46205</v>
      </c>
      <c r="B531" s="33"/>
      <c r="C531" s="2" t="s">
        <v>29</v>
      </c>
      <c r="D531" s="2" t="s">
        <v>26</v>
      </c>
      <c r="E531" s="2" t="s">
        <v>23</v>
      </c>
      <c r="F531" s="2" t="s">
        <v>14</v>
      </c>
      <c r="G531" s="2" t="s">
        <v>40</v>
      </c>
      <c r="H531" s="2" t="s">
        <v>31</v>
      </c>
      <c r="I531" s="2">
        <v>250000</v>
      </c>
      <c r="J531" s="2">
        <v>9</v>
      </c>
      <c r="K531" s="2" t="s">
        <v>24</v>
      </c>
      <c r="L531" s="2">
        <f t="shared" si="2"/>
        <v>200000</v>
      </c>
    </row>
    <row r="532" spans="1:12" ht="14.25" customHeight="1" x14ac:dyDescent="0.2">
      <c r="A532" s="33">
        <v>46206</v>
      </c>
      <c r="B532" s="33"/>
      <c r="C532" s="2" t="s">
        <v>25</v>
      </c>
      <c r="D532" s="2" t="s">
        <v>26</v>
      </c>
      <c r="E532" s="2" t="s">
        <v>23</v>
      </c>
      <c r="F532" s="2" t="s">
        <v>20</v>
      </c>
      <c r="G532" s="2" t="s">
        <v>41</v>
      </c>
      <c r="H532" s="2" t="s">
        <v>22</v>
      </c>
      <c r="I532" s="2">
        <v>220000</v>
      </c>
      <c r="J532" s="2">
        <v>5</v>
      </c>
      <c r="K532" s="2" t="s">
        <v>24</v>
      </c>
      <c r="L532" s="2">
        <f t="shared" si="2"/>
        <v>176000</v>
      </c>
    </row>
    <row r="533" spans="1:12" ht="14.25" customHeight="1" x14ac:dyDescent="0.2">
      <c r="A533" s="33">
        <v>46207</v>
      </c>
      <c r="B533" s="33"/>
      <c r="C533" s="2" t="s">
        <v>11</v>
      </c>
      <c r="D533" s="2" t="s">
        <v>26</v>
      </c>
      <c r="E533" s="2" t="s">
        <v>13</v>
      </c>
      <c r="F533" s="2" t="s">
        <v>20</v>
      </c>
      <c r="G533" s="2" t="s">
        <v>36</v>
      </c>
      <c r="H533" s="2" t="s">
        <v>31</v>
      </c>
      <c r="I533" s="2">
        <v>150000</v>
      </c>
      <c r="J533" s="2">
        <v>5</v>
      </c>
      <c r="K533" s="2" t="s">
        <v>17</v>
      </c>
      <c r="L533" s="2">
        <f t="shared" si="2"/>
        <v>120000</v>
      </c>
    </row>
    <row r="534" spans="1:12" ht="14.25" customHeight="1" x14ac:dyDescent="0.2">
      <c r="A534" s="33">
        <v>46208</v>
      </c>
      <c r="B534" s="33"/>
      <c r="C534" s="2" t="s">
        <v>18</v>
      </c>
      <c r="D534" s="2" t="s">
        <v>32</v>
      </c>
      <c r="E534" s="2" t="s">
        <v>23</v>
      </c>
      <c r="F534" s="2" t="s">
        <v>20</v>
      </c>
      <c r="G534" s="2" t="s">
        <v>41</v>
      </c>
      <c r="H534" s="2" t="s">
        <v>22</v>
      </c>
      <c r="I534" s="2">
        <v>220000</v>
      </c>
      <c r="J534" s="2">
        <v>8</v>
      </c>
      <c r="K534" s="2" t="s">
        <v>37</v>
      </c>
      <c r="L534" s="2">
        <f t="shared" si="2"/>
        <v>176000</v>
      </c>
    </row>
    <row r="535" spans="1:12" ht="14.25" customHeight="1" x14ac:dyDescent="0.2">
      <c r="A535" s="33">
        <v>46209</v>
      </c>
      <c r="B535" s="33"/>
      <c r="C535" s="2" t="s">
        <v>18</v>
      </c>
      <c r="D535" s="2" t="s">
        <v>19</v>
      </c>
      <c r="E535" s="2" t="s">
        <v>13</v>
      </c>
      <c r="F535" s="2" t="s">
        <v>14</v>
      </c>
      <c r="G535" s="2" t="s">
        <v>15</v>
      </c>
      <c r="H535" s="2" t="s">
        <v>16</v>
      </c>
      <c r="I535" s="2">
        <v>85000</v>
      </c>
      <c r="J535" s="2">
        <v>4</v>
      </c>
      <c r="K535" s="2" t="s">
        <v>35</v>
      </c>
      <c r="L535" s="2">
        <f t="shared" si="2"/>
        <v>68000</v>
      </c>
    </row>
    <row r="536" spans="1:12" ht="14.25" customHeight="1" x14ac:dyDescent="0.2">
      <c r="A536" s="33">
        <v>46210</v>
      </c>
      <c r="B536" s="33"/>
      <c r="C536" s="2" t="s">
        <v>25</v>
      </c>
      <c r="D536" s="2" t="s">
        <v>26</v>
      </c>
      <c r="E536" s="2" t="s">
        <v>13</v>
      </c>
      <c r="F536" s="2" t="s">
        <v>14</v>
      </c>
      <c r="G536" s="2" t="s">
        <v>34</v>
      </c>
      <c r="H536" s="2" t="s">
        <v>16</v>
      </c>
      <c r="I536" s="2">
        <v>320000</v>
      </c>
      <c r="J536" s="2">
        <v>4</v>
      </c>
      <c r="K536" s="2" t="s">
        <v>35</v>
      </c>
      <c r="L536" s="2">
        <f t="shared" si="2"/>
        <v>256000</v>
      </c>
    </row>
    <row r="537" spans="1:12" ht="14.25" customHeight="1" x14ac:dyDescent="0.2">
      <c r="A537" s="33">
        <v>46211</v>
      </c>
      <c r="B537" s="33"/>
      <c r="C537" s="2" t="s">
        <v>18</v>
      </c>
      <c r="D537" s="2" t="s">
        <v>26</v>
      </c>
      <c r="E537" s="2" t="s">
        <v>23</v>
      </c>
      <c r="F537" s="2" t="s">
        <v>14</v>
      </c>
      <c r="G537" s="2" t="s">
        <v>40</v>
      </c>
      <c r="H537" s="2" t="s">
        <v>31</v>
      </c>
      <c r="I537" s="2">
        <v>250000</v>
      </c>
      <c r="J537" s="2">
        <v>2</v>
      </c>
      <c r="K537" s="2" t="s">
        <v>24</v>
      </c>
      <c r="L537" s="2">
        <f t="shared" si="2"/>
        <v>200000</v>
      </c>
    </row>
    <row r="538" spans="1:12" ht="14.25" customHeight="1" x14ac:dyDescent="0.2">
      <c r="A538" s="33">
        <v>46212</v>
      </c>
      <c r="B538" s="33"/>
      <c r="C538" s="2" t="s">
        <v>18</v>
      </c>
      <c r="D538" s="2" t="s">
        <v>12</v>
      </c>
      <c r="E538" s="2" t="s">
        <v>13</v>
      </c>
      <c r="F538" s="2" t="s">
        <v>14</v>
      </c>
      <c r="G538" s="2" t="s">
        <v>30</v>
      </c>
      <c r="H538" s="2" t="s">
        <v>31</v>
      </c>
      <c r="I538" s="2">
        <v>300000</v>
      </c>
      <c r="J538" s="2">
        <v>5</v>
      </c>
      <c r="K538" s="2" t="s">
        <v>24</v>
      </c>
      <c r="L538" s="2">
        <f t="shared" si="2"/>
        <v>240000</v>
      </c>
    </row>
    <row r="539" spans="1:12" ht="14.25" customHeight="1" x14ac:dyDescent="0.2">
      <c r="A539" s="33">
        <v>46213</v>
      </c>
      <c r="B539" s="33"/>
      <c r="C539" s="2" t="s">
        <v>18</v>
      </c>
      <c r="D539" s="2" t="s">
        <v>26</v>
      </c>
      <c r="E539" s="2" t="s">
        <v>13</v>
      </c>
      <c r="F539" s="2" t="s">
        <v>14</v>
      </c>
      <c r="G539" s="2" t="s">
        <v>27</v>
      </c>
      <c r="H539" s="2" t="s">
        <v>22</v>
      </c>
      <c r="I539" s="2">
        <v>60000</v>
      </c>
      <c r="J539" s="2">
        <v>9</v>
      </c>
      <c r="K539" s="2" t="s">
        <v>28</v>
      </c>
      <c r="L539" s="2">
        <f t="shared" si="2"/>
        <v>48000</v>
      </c>
    </row>
    <row r="540" spans="1:12" ht="14.25" customHeight="1" x14ac:dyDescent="0.2">
      <c r="A540" s="33">
        <v>46214</v>
      </c>
      <c r="B540" s="33"/>
      <c r="C540" s="2" t="s">
        <v>18</v>
      </c>
      <c r="D540" s="2" t="s">
        <v>26</v>
      </c>
      <c r="E540" s="2" t="s">
        <v>23</v>
      </c>
      <c r="F540" s="2" t="s">
        <v>14</v>
      </c>
      <c r="G540" s="2" t="s">
        <v>36</v>
      </c>
      <c r="H540" s="2" t="s">
        <v>31</v>
      </c>
      <c r="I540" s="2">
        <v>150000</v>
      </c>
      <c r="J540" s="2">
        <v>6</v>
      </c>
      <c r="K540" s="2" t="s">
        <v>28</v>
      </c>
      <c r="L540" s="2">
        <f t="shared" si="2"/>
        <v>120000</v>
      </c>
    </row>
    <row r="541" spans="1:12" ht="14.25" customHeight="1" x14ac:dyDescent="0.2">
      <c r="A541" s="33">
        <v>46215</v>
      </c>
      <c r="B541" s="33"/>
      <c r="C541" s="2" t="s">
        <v>25</v>
      </c>
      <c r="D541" s="2" t="s">
        <v>26</v>
      </c>
      <c r="E541" s="2" t="s">
        <v>23</v>
      </c>
      <c r="F541" s="2" t="s">
        <v>20</v>
      </c>
      <c r="G541" s="2" t="s">
        <v>15</v>
      </c>
      <c r="H541" s="2" t="s">
        <v>16</v>
      </c>
      <c r="I541" s="2">
        <v>85000</v>
      </c>
      <c r="J541" s="2">
        <v>3</v>
      </c>
      <c r="K541" s="2" t="s">
        <v>35</v>
      </c>
      <c r="L541" s="2">
        <f t="shared" si="2"/>
        <v>68000</v>
      </c>
    </row>
    <row r="542" spans="1:12" ht="14.25" customHeight="1" x14ac:dyDescent="0.2">
      <c r="A542" s="33">
        <v>46216</v>
      </c>
      <c r="B542" s="33"/>
      <c r="C542" s="2" t="s">
        <v>25</v>
      </c>
      <c r="D542" s="2" t="s">
        <v>19</v>
      </c>
      <c r="E542" s="2" t="s">
        <v>23</v>
      </c>
      <c r="F542" s="2" t="s">
        <v>20</v>
      </c>
      <c r="G542" s="2" t="s">
        <v>34</v>
      </c>
      <c r="H542" s="2" t="s">
        <v>16</v>
      </c>
      <c r="I542" s="2">
        <v>320000</v>
      </c>
      <c r="J542" s="2">
        <v>8</v>
      </c>
      <c r="K542" s="2" t="s">
        <v>28</v>
      </c>
      <c r="L542" s="2">
        <f t="shared" si="2"/>
        <v>256000</v>
      </c>
    </row>
    <row r="543" spans="1:12" ht="14.25" customHeight="1" x14ac:dyDescent="0.2">
      <c r="A543" s="33">
        <v>46217</v>
      </c>
      <c r="B543" s="33"/>
      <c r="C543" s="2" t="s">
        <v>18</v>
      </c>
      <c r="D543" s="2" t="s">
        <v>12</v>
      </c>
      <c r="E543" s="2" t="s">
        <v>23</v>
      </c>
      <c r="F543" s="2" t="s">
        <v>14</v>
      </c>
      <c r="G543" s="2" t="s">
        <v>40</v>
      </c>
      <c r="H543" s="2" t="s">
        <v>31</v>
      </c>
      <c r="I543" s="2">
        <v>250000</v>
      </c>
      <c r="J543" s="2">
        <v>1</v>
      </c>
      <c r="K543" s="2" t="s">
        <v>35</v>
      </c>
      <c r="L543" s="2">
        <f t="shared" si="2"/>
        <v>200000</v>
      </c>
    </row>
    <row r="544" spans="1:12" ht="14.25" customHeight="1" x14ac:dyDescent="0.2">
      <c r="A544" s="33">
        <v>46218</v>
      </c>
      <c r="B544" s="33"/>
      <c r="C544" s="2" t="s">
        <v>11</v>
      </c>
      <c r="D544" s="2" t="s">
        <v>19</v>
      </c>
      <c r="E544" s="2" t="s">
        <v>23</v>
      </c>
      <c r="F544" s="2" t="s">
        <v>20</v>
      </c>
      <c r="G544" s="2" t="s">
        <v>33</v>
      </c>
      <c r="H544" s="2" t="s">
        <v>22</v>
      </c>
      <c r="I544" s="2">
        <v>180000</v>
      </c>
      <c r="J544" s="2">
        <v>4</v>
      </c>
      <c r="K544" s="2" t="s">
        <v>17</v>
      </c>
      <c r="L544" s="2">
        <f t="shared" si="2"/>
        <v>144000</v>
      </c>
    </row>
    <row r="545" spans="1:12" ht="14.25" customHeight="1" x14ac:dyDescent="0.2">
      <c r="A545" s="33">
        <v>46219</v>
      </c>
      <c r="B545" s="33"/>
      <c r="C545" s="2" t="s">
        <v>18</v>
      </c>
      <c r="D545" s="2" t="s">
        <v>26</v>
      </c>
      <c r="E545" s="2" t="s">
        <v>13</v>
      </c>
      <c r="F545" s="2" t="s">
        <v>14</v>
      </c>
      <c r="G545" s="2" t="s">
        <v>27</v>
      </c>
      <c r="H545" s="2" t="s">
        <v>22</v>
      </c>
      <c r="I545" s="2">
        <v>60000</v>
      </c>
      <c r="J545" s="2">
        <v>6</v>
      </c>
      <c r="K545" s="2" t="s">
        <v>39</v>
      </c>
      <c r="L545" s="2">
        <f t="shared" si="2"/>
        <v>48000</v>
      </c>
    </row>
    <row r="546" spans="1:12" ht="14.25" customHeight="1" x14ac:dyDescent="0.2">
      <c r="A546" s="33">
        <v>46220</v>
      </c>
      <c r="B546" s="33"/>
      <c r="C546" s="2" t="s">
        <v>29</v>
      </c>
      <c r="D546" s="2" t="s">
        <v>32</v>
      </c>
      <c r="E546" s="2" t="s">
        <v>13</v>
      </c>
      <c r="F546" s="2" t="s">
        <v>20</v>
      </c>
      <c r="G546" s="2" t="s">
        <v>33</v>
      </c>
      <c r="H546" s="2" t="s">
        <v>22</v>
      </c>
      <c r="I546" s="2">
        <v>180000</v>
      </c>
      <c r="J546" s="2">
        <v>7</v>
      </c>
      <c r="K546" s="2" t="s">
        <v>17</v>
      </c>
      <c r="L546" s="2">
        <f t="shared" si="2"/>
        <v>144000</v>
      </c>
    </row>
    <row r="547" spans="1:12" ht="14.25" customHeight="1" x14ac:dyDescent="0.2">
      <c r="A547" s="33">
        <v>46221</v>
      </c>
      <c r="B547" s="33"/>
      <c r="C547" s="2" t="s">
        <v>29</v>
      </c>
      <c r="D547" s="2" t="s">
        <v>19</v>
      </c>
      <c r="E547" s="2" t="s">
        <v>13</v>
      </c>
      <c r="F547" s="2" t="s">
        <v>14</v>
      </c>
      <c r="G547" s="2" t="s">
        <v>36</v>
      </c>
      <c r="H547" s="2" t="s">
        <v>31</v>
      </c>
      <c r="I547" s="2">
        <v>150000</v>
      </c>
      <c r="J547" s="2">
        <v>10</v>
      </c>
      <c r="K547" s="2" t="s">
        <v>37</v>
      </c>
      <c r="L547" s="2">
        <f t="shared" si="2"/>
        <v>120000</v>
      </c>
    </row>
    <row r="548" spans="1:12" ht="14.25" customHeight="1" x14ac:dyDescent="0.2">
      <c r="A548" s="33">
        <v>46222</v>
      </c>
      <c r="B548" s="33"/>
      <c r="C548" s="2" t="s">
        <v>18</v>
      </c>
      <c r="D548" s="2" t="s">
        <v>26</v>
      </c>
      <c r="E548" s="2" t="s">
        <v>13</v>
      </c>
      <c r="F548" s="2" t="s">
        <v>20</v>
      </c>
      <c r="G548" s="2" t="s">
        <v>34</v>
      </c>
      <c r="H548" s="2" t="s">
        <v>16</v>
      </c>
      <c r="I548" s="2">
        <v>320000</v>
      </c>
      <c r="J548" s="2">
        <v>5</v>
      </c>
      <c r="K548" s="2" t="s">
        <v>37</v>
      </c>
      <c r="L548" s="2">
        <f t="shared" si="2"/>
        <v>256000</v>
      </c>
    </row>
    <row r="549" spans="1:12" ht="14.25" customHeight="1" x14ac:dyDescent="0.2">
      <c r="A549" s="33">
        <v>46223</v>
      </c>
      <c r="B549" s="33"/>
      <c r="C549" s="2" t="s">
        <v>11</v>
      </c>
      <c r="D549" s="2" t="s">
        <v>12</v>
      </c>
      <c r="E549" s="2" t="s">
        <v>23</v>
      </c>
      <c r="F549" s="2" t="s">
        <v>20</v>
      </c>
      <c r="G549" s="2" t="s">
        <v>36</v>
      </c>
      <c r="H549" s="2" t="s">
        <v>31</v>
      </c>
      <c r="I549" s="2">
        <v>150000</v>
      </c>
      <c r="J549" s="2">
        <v>7</v>
      </c>
      <c r="K549" s="2" t="s">
        <v>24</v>
      </c>
      <c r="L549" s="2">
        <f t="shared" si="2"/>
        <v>120000</v>
      </c>
    </row>
    <row r="550" spans="1:12" ht="14.25" customHeight="1" x14ac:dyDescent="0.2">
      <c r="A550" s="33">
        <v>46224</v>
      </c>
      <c r="B550" s="33"/>
      <c r="C550" s="2" t="s">
        <v>18</v>
      </c>
      <c r="D550" s="2" t="s">
        <v>12</v>
      </c>
      <c r="E550" s="2" t="s">
        <v>23</v>
      </c>
      <c r="F550" s="2" t="s">
        <v>14</v>
      </c>
      <c r="G550" s="2" t="s">
        <v>36</v>
      </c>
      <c r="H550" s="2" t="s">
        <v>31</v>
      </c>
      <c r="I550" s="2">
        <v>150000</v>
      </c>
      <c r="J550" s="2">
        <v>4</v>
      </c>
      <c r="K550" s="2" t="s">
        <v>37</v>
      </c>
      <c r="L550" s="2">
        <f t="shared" si="2"/>
        <v>120000</v>
      </c>
    </row>
    <row r="551" spans="1:12" ht="14.25" customHeight="1" x14ac:dyDescent="0.2">
      <c r="A551" s="33">
        <v>46225</v>
      </c>
      <c r="B551" s="33"/>
      <c r="C551" s="2" t="s">
        <v>29</v>
      </c>
      <c r="D551" s="2" t="s">
        <v>26</v>
      </c>
      <c r="E551" s="2" t="s">
        <v>23</v>
      </c>
      <c r="F551" s="2" t="s">
        <v>14</v>
      </c>
      <c r="G551" s="2" t="s">
        <v>30</v>
      </c>
      <c r="H551" s="2" t="s">
        <v>31</v>
      </c>
      <c r="I551" s="2">
        <v>300000</v>
      </c>
      <c r="J551" s="2">
        <v>6</v>
      </c>
      <c r="K551" s="2" t="s">
        <v>28</v>
      </c>
      <c r="L551" s="2">
        <f t="shared" si="2"/>
        <v>240000</v>
      </c>
    </row>
    <row r="552" spans="1:12" ht="14.25" customHeight="1" x14ac:dyDescent="0.2">
      <c r="A552" s="33">
        <v>46226</v>
      </c>
      <c r="B552" s="33"/>
      <c r="C552" s="2" t="s">
        <v>29</v>
      </c>
      <c r="D552" s="2" t="s">
        <v>12</v>
      </c>
      <c r="E552" s="2" t="s">
        <v>13</v>
      </c>
      <c r="F552" s="2" t="s">
        <v>20</v>
      </c>
      <c r="G552" s="2" t="s">
        <v>34</v>
      </c>
      <c r="H552" s="2" t="s">
        <v>16</v>
      </c>
      <c r="I552" s="2">
        <v>320000</v>
      </c>
      <c r="J552" s="2">
        <v>4</v>
      </c>
      <c r="K552" s="2" t="s">
        <v>28</v>
      </c>
      <c r="L552" s="2">
        <f t="shared" si="2"/>
        <v>256000</v>
      </c>
    </row>
    <row r="553" spans="1:12" ht="14.25" customHeight="1" x14ac:dyDescent="0.2">
      <c r="A553" s="33">
        <v>46227</v>
      </c>
      <c r="B553" s="33"/>
      <c r="C553" s="2" t="s">
        <v>25</v>
      </c>
      <c r="D553" s="2" t="s">
        <v>19</v>
      </c>
      <c r="E553" s="2" t="s">
        <v>23</v>
      </c>
      <c r="F553" s="2" t="s">
        <v>14</v>
      </c>
      <c r="G553" s="2" t="s">
        <v>21</v>
      </c>
      <c r="H553" s="2" t="s">
        <v>22</v>
      </c>
      <c r="I553" s="2">
        <v>30000</v>
      </c>
      <c r="J553" s="2">
        <v>4</v>
      </c>
      <c r="K553" s="2" t="s">
        <v>24</v>
      </c>
      <c r="L553" s="2">
        <f t="shared" si="2"/>
        <v>24000</v>
      </c>
    </row>
    <row r="554" spans="1:12" ht="14.25" customHeight="1" x14ac:dyDescent="0.2">
      <c r="A554" s="33">
        <v>46228</v>
      </c>
      <c r="B554" s="33"/>
      <c r="C554" s="2" t="s">
        <v>18</v>
      </c>
      <c r="D554" s="2" t="s">
        <v>26</v>
      </c>
      <c r="E554" s="2" t="s">
        <v>23</v>
      </c>
      <c r="F554" s="2" t="s">
        <v>14</v>
      </c>
      <c r="G554" s="2" t="s">
        <v>36</v>
      </c>
      <c r="H554" s="2" t="s">
        <v>31</v>
      </c>
      <c r="I554" s="2">
        <v>150000</v>
      </c>
      <c r="J554" s="2">
        <v>8</v>
      </c>
      <c r="K554" s="2" t="s">
        <v>39</v>
      </c>
      <c r="L554" s="2">
        <f t="shared" si="2"/>
        <v>120000</v>
      </c>
    </row>
    <row r="555" spans="1:12" ht="14.25" customHeight="1" x14ac:dyDescent="0.2">
      <c r="A555" s="33">
        <v>46229</v>
      </c>
      <c r="B555" s="33"/>
      <c r="C555" s="2" t="s">
        <v>25</v>
      </c>
      <c r="D555" s="2" t="s">
        <v>19</v>
      </c>
      <c r="E555" s="2" t="s">
        <v>13</v>
      </c>
      <c r="F555" s="2" t="s">
        <v>20</v>
      </c>
      <c r="G555" s="2" t="s">
        <v>40</v>
      </c>
      <c r="H555" s="2" t="s">
        <v>31</v>
      </c>
      <c r="I555" s="2">
        <v>250000</v>
      </c>
      <c r="J555" s="2">
        <v>8</v>
      </c>
      <c r="K555" s="2" t="s">
        <v>37</v>
      </c>
      <c r="L555" s="2">
        <f t="shared" si="2"/>
        <v>200000</v>
      </c>
    </row>
    <row r="556" spans="1:12" ht="14.25" customHeight="1" x14ac:dyDescent="0.2">
      <c r="A556" s="33">
        <v>46230</v>
      </c>
      <c r="B556" s="33"/>
      <c r="C556" s="2" t="s">
        <v>29</v>
      </c>
      <c r="D556" s="2" t="s">
        <v>19</v>
      </c>
      <c r="E556" s="2" t="s">
        <v>23</v>
      </c>
      <c r="F556" s="2" t="s">
        <v>14</v>
      </c>
      <c r="G556" s="2" t="s">
        <v>21</v>
      </c>
      <c r="H556" s="2" t="s">
        <v>22</v>
      </c>
      <c r="I556" s="2">
        <v>30000</v>
      </c>
      <c r="J556" s="2">
        <v>4</v>
      </c>
      <c r="K556" s="2" t="s">
        <v>39</v>
      </c>
      <c r="L556" s="2">
        <f t="shared" si="2"/>
        <v>24000</v>
      </c>
    </row>
    <row r="557" spans="1:12" ht="14.25" customHeight="1" x14ac:dyDescent="0.2">
      <c r="A557" s="33">
        <v>46231</v>
      </c>
      <c r="B557" s="33"/>
      <c r="C557" s="2" t="s">
        <v>25</v>
      </c>
      <c r="D557" s="2" t="s">
        <v>12</v>
      </c>
      <c r="E557" s="2" t="s">
        <v>23</v>
      </c>
      <c r="F557" s="2" t="s">
        <v>14</v>
      </c>
      <c r="G557" s="2" t="s">
        <v>38</v>
      </c>
      <c r="H557" s="2" t="s">
        <v>31</v>
      </c>
      <c r="I557" s="2">
        <v>420000</v>
      </c>
      <c r="J557" s="2">
        <v>2</v>
      </c>
      <c r="K557" s="2" t="s">
        <v>37</v>
      </c>
      <c r="L557" s="2">
        <f t="shared" si="2"/>
        <v>336000</v>
      </c>
    </row>
    <row r="558" spans="1:12" ht="14.25" customHeight="1" x14ac:dyDescent="0.2">
      <c r="A558" s="33">
        <v>46232</v>
      </c>
      <c r="B558" s="33"/>
      <c r="C558" s="2" t="s">
        <v>25</v>
      </c>
      <c r="D558" s="2" t="s">
        <v>12</v>
      </c>
      <c r="E558" s="2" t="s">
        <v>23</v>
      </c>
      <c r="F558" s="2" t="s">
        <v>20</v>
      </c>
      <c r="G558" s="2" t="s">
        <v>21</v>
      </c>
      <c r="H558" s="2" t="s">
        <v>22</v>
      </c>
      <c r="I558" s="2">
        <v>30000</v>
      </c>
      <c r="J558" s="2">
        <v>6</v>
      </c>
      <c r="K558" s="2" t="s">
        <v>37</v>
      </c>
      <c r="L558" s="2">
        <f t="shared" si="2"/>
        <v>24000</v>
      </c>
    </row>
    <row r="559" spans="1:12" ht="14.25" customHeight="1" x14ac:dyDescent="0.2">
      <c r="A559" s="33">
        <v>46233</v>
      </c>
      <c r="B559" s="33"/>
      <c r="C559" s="2" t="s">
        <v>29</v>
      </c>
      <c r="D559" s="2" t="s">
        <v>32</v>
      </c>
      <c r="E559" s="2" t="s">
        <v>23</v>
      </c>
      <c r="F559" s="2" t="s">
        <v>14</v>
      </c>
      <c r="G559" s="2" t="s">
        <v>41</v>
      </c>
      <c r="H559" s="2" t="s">
        <v>22</v>
      </c>
      <c r="I559" s="2">
        <v>220000</v>
      </c>
      <c r="J559" s="2">
        <v>2</v>
      </c>
      <c r="K559" s="2" t="s">
        <v>35</v>
      </c>
      <c r="L559" s="2">
        <f t="shared" si="2"/>
        <v>176000</v>
      </c>
    </row>
    <row r="560" spans="1:12" ht="14.25" customHeight="1" x14ac:dyDescent="0.2">
      <c r="A560" s="33">
        <v>46234</v>
      </c>
      <c r="B560" s="33"/>
      <c r="C560" s="2" t="s">
        <v>25</v>
      </c>
      <c r="D560" s="2" t="s">
        <v>12</v>
      </c>
      <c r="E560" s="2" t="s">
        <v>13</v>
      </c>
      <c r="F560" s="2" t="s">
        <v>14</v>
      </c>
      <c r="G560" s="2" t="s">
        <v>30</v>
      </c>
      <c r="H560" s="2" t="s">
        <v>31</v>
      </c>
      <c r="I560" s="2">
        <v>300000</v>
      </c>
      <c r="J560" s="2">
        <v>4</v>
      </c>
      <c r="K560" s="2" t="s">
        <v>35</v>
      </c>
      <c r="L560" s="2">
        <f t="shared" si="2"/>
        <v>240000</v>
      </c>
    </row>
    <row r="561" spans="1:12" ht="14.25" customHeight="1" x14ac:dyDescent="0.2">
      <c r="A561" s="33">
        <v>46235</v>
      </c>
      <c r="B561" s="33"/>
      <c r="C561" s="2" t="s">
        <v>25</v>
      </c>
      <c r="D561" s="2" t="s">
        <v>12</v>
      </c>
      <c r="E561" s="2" t="s">
        <v>23</v>
      </c>
      <c r="F561" s="2" t="s">
        <v>14</v>
      </c>
      <c r="G561" s="2" t="s">
        <v>38</v>
      </c>
      <c r="H561" s="2" t="s">
        <v>31</v>
      </c>
      <c r="I561" s="2">
        <v>420000</v>
      </c>
      <c r="J561" s="2">
        <v>8</v>
      </c>
      <c r="K561" s="2" t="s">
        <v>17</v>
      </c>
      <c r="L561" s="2">
        <f t="shared" si="2"/>
        <v>336000</v>
      </c>
    </row>
    <row r="562" spans="1:12" ht="14.25" customHeight="1" x14ac:dyDescent="0.2">
      <c r="A562" s="33">
        <v>46236</v>
      </c>
      <c r="B562" s="33"/>
      <c r="C562" s="2" t="s">
        <v>18</v>
      </c>
      <c r="D562" s="2" t="s">
        <v>12</v>
      </c>
      <c r="E562" s="2" t="s">
        <v>13</v>
      </c>
      <c r="F562" s="2" t="s">
        <v>14</v>
      </c>
      <c r="G562" s="2" t="s">
        <v>34</v>
      </c>
      <c r="H562" s="2" t="s">
        <v>16</v>
      </c>
      <c r="I562" s="2">
        <v>320000</v>
      </c>
      <c r="J562" s="2">
        <v>4</v>
      </c>
      <c r="K562" s="2" t="s">
        <v>35</v>
      </c>
      <c r="L562" s="2">
        <f t="shared" si="2"/>
        <v>256000</v>
      </c>
    </row>
    <row r="563" spans="1:12" ht="14.25" customHeight="1" x14ac:dyDescent="0.2">
      <c r="A563" s="33">
        <v>46237</v>
      </c>
      <c r="B563" s="33"/>
      <c r="C563" s="2" t="s">
        <v>11</v>
      </c>
      <c r="D563" s="2" t="s">
        <v>12</v>
      </c>
      <c r="E563" s="2" t="s">
        <v>23</v>
      </c>
      <c r="F563" s="2" t="s">
        <v>20</v>
      </c>
      <c r="G563" s="2" t="s">
        <v>40</v>
      </c>
      <c r="H563" s="2" t="s">
        <v>31</v>
      </c>
      <c r="I563" s="2">
        <v>250000</v>
      </c>
      <c r="J563" s="2">
        <v>8</v>
      </c>
      <c r="K563" s="2" t="s">
        <v>24</v>
      </c>
      <c r="L563" s="2">
        <f t="shared" si="2"/>
        <v>200000</v>
      </c>
    </row>
    <row r="564" spans="1:12" ht="14.25" customHeight="1" x14ac:dyDescent="0.2">
      <c r="A564" s="33">
        <v>46238</v>
      </c>
      <c r="B564" s="33"/>
      <c r="C564" s="2" t="s">
        <v>18</v>
      </c>
      <c r="D564" s="2" t="s">
        <v>19</v>
      </c>
      <c r="E564" s="2" t="s">
        <v>13</v>
      </c>
      <c r="F564" s="2" t="s">
        <v>20</v>
      </c>
      <c r="G564" s="2" t="s">
        <v>34</v>
      </c>
      <c r="H564" s="2" t="s">
        <v>16</v>
      </c>
      <c r="I564" s="2">
        <v>320000</v>
      </c>
      <c r="J564" s="2">
        <v>7</v>
      </c>
      <c r="K564" s="2" t="s">
        <v>39</v>
      </c>
      <c r="L564" s="2">
        <f t="shared" si="2"/>
        <v>256000</v>
      </c>
    </row>
    <row r="565" spans="1:12" ht="14.25" customHeight="1" x14ac:dyDescent="0.2">
      <c r="A565" s="33">
        <v>46239</v>
      </c>
      <c r="B565" s="33"/>
      <c r="C565" s="2" t="s">
        <v>11</v>
      </c>
      <c r="D565" s="2" t="s">
        <v>19</v>
      </c>
      <c r="E565" s="2" t="s">
        <v>23</v>
      </c>
      <c r="F565" s="2" t="s">
        <v>20</v>
      </c>
      <c r="G565" s="2" t="s">
        <v>30</v>
      </c>
      <c r="H565" s="2" t="s">
        <v>31</v>
      </c>
      <c r="I565" s="2">
        <v>300000</v>
      </c>
      <c r="J565" s="2">
        <v>6</v>
      </c>
      <c r="K565" s="2" t="s">
        <v>24</v>
      </c>
      <c r="L565" s="2">
        <f t="shared" si="2"/>
        <v>240000</v>
      </c>
    </row>
    <row r="566" spans="1:12" ht="14.25" customHeight="1" x14ac:dyDescent="0.2">
      <c r="A566" s="33">
        <v>46240</v>
      </c>
      <c r="B566" s="33"/>
      <c r="C566" s="2" t="s">
        <v>29</v>
      </c>
      <c r="D566" s="2" t="s">
        <v>32</v>
      </c>
      <c r="E566" s="2" t="s">
        <v>23</v>
      </c>
      <c r="F566" s="2" t="s">
        <v>20</v>
      </c>
      <c r="G566" s="2" t="s">
        <v>33</v>
      </c>
      <c r="H566" s="2" t="s">
        <v>22</v>
      </c>
      <c r="I566" s="2">
        <v>180000</v>
      </c>
      <c r="J566" s="2">
        <v>4</v>
      </c>
      <c r="K566" s="2" t="s">
        <v>17</v>
      </c>
      <c r="L566" s="2">
        <f t="shared" si="2"/>
        <v>144000</v>
      </c>
    </row>
    <row r="567" spans="1:12" ht="14.25" customHeight="1" x14ac:dyDescent="0.2">
      <c r="A567" s="33">
        <v>46241</v>
      </c>
      <c r="B567" s="33"/>
      <c r="C567" s="2" t="s">
        <v>11</v>
      </c>
      <c r="D567" s="2" t="s">
        <v>12</v>
      </c>
      <c r="E567" s="2" t="s">
        <v>23</v>
      </c>
      <c r="F567" s="2" t="s">
        <v>14</v>
      </c>
      <c r="G567" s="2" t="s">
        <v>40</v>
      </c>
      <c r="H567" s="2" t="s">
        <v>31</v>
      </c>
      <c r="I567" s="2">
        <v>250000</v>
      </c>
      <c r="J567" s="2">
        <v>6</v>
      </c>
      <c r="K567" s="2" t="s">
        <v>35</v>
      </c>
      <c r="L567" s="2">
        <f t="shared" si="2"/>
        <v>200000</v>
      </c>
    </row>
    <row r="568" spans="1:12" ht="14.25" customHeight="1" x14ac:dyDescent="0.2">
      <c r="A568" s="33">
        <v>46242</v>
      </c>
      <c r="B568" s="33"/>
      <c r="C568" s="2" t="s">
        <v>11</v>
      </c>
      <c r="D568" s="2" t="s">
        <v>26</v>
      </c>
      <c r="E568" s="2" t="s">
        <v>23</v>
      </c>
      <c r="F568" s="2" t="s">
        <v>14</v>
      </c>
      <c r="G568" s="2" t="s">
        <v>40</v>
      </c>
      <c r="H568" s="2" t="s">
        <v>31</v>
      </c>
      <c r="I568" s="2">
        <v>250000</v>
      </c>
      <c r="J568" s="2">
        <v>7</v>
      </c>
      <c r="K568" s="2" t="s">
        <v>35</v>
      </c>
      <c r="L568" s="2">
        <f t="shared" si="2"/>
        <v>200000</v>
      </c>
    </row>
    <row r="569" spans="1:12" ht="14.25" customHeight="1" x14ac:dyDescent="0.2">
      <c r="A569" s="33">
        <v>46243</v>
      </c>
      <c r="B569" s="33"/>
      <c r="C569" s="2" t="s">
        <v>18</v>
      </c>
      <c r="D569" s="2" t="s">
        <v>19</v>
      </c>
      <c r="E569" s="2" t="s">
        <v>13</v>
      </c>
      <c r="F569" s="2" t="s">
        <v>20</v>
      </c>
      <c r="G569" s="2" t="s">
        <v>38</v>
      </c>
      <c r="H569" s="2" t="s">
        <v>31</v>
      </c>
      <c r="I569" s="2">
        <v>420000</v>
      </c>
      <c r="J569" s="2">
        <v>2</v>
      </c>
      <c r="K569" s="2" t="s">
        <v>17</v>
      </c>
      <c r="L569" s="2">
        <f t="shared" si="2"/>
        <v>336000</v>
      </c>
    </row>
    <row r="570" spans="1:12" ht="14.25" customHeight="1" x14ac:dyDescent="0.2">
      <c r="A570" s="33">
        <v>46244</v>
      </c>
      <c r="B570" s="33"/>
      <c r="C570" s="2" t="s">
        <v>25</v>
      </c>
      <c r="D570" s="2" t="s">
        <v>19</v>
      </c>
      <c r="E570" s="2" t="s">
        <v>23</v>
      </c>
      <c r="F570" s="2" t="s">
        <v>14</v>
      </c>
      <c r="G570" s="2" t="s">
        <v>36</v>
      </c>
      <c r="H570" s="2" t="s">
        <v>31</v>
      </c>
      <c r="I570" s="2">
        <v>150000</v>
      </c>
      <c r="J570" s="2">
        <v>2</v>
      </c>
      <c r="K570" s="2" t="s">
        <v>24</v>
      </c>
      <c r="L570" s="2">
        <f t="shared" si="2"/>
        <v>120000</v>
      </c>
    </row>
    <row r="571" spans="1:12" ht="14.25" customHeight="1" x14ac:dyDescent="0.2">
      <c r="A571" s="33">
        <v>46245</v>
      </c>
      <c r="B571" s="33"/>
      <c r="C571" s="2" t="s">
        <v>29</v>
      </c>
      <c r="D571" s="2" t="s">
        <v>19</v>
      </c>
      <c r="E571" s="2" t="s">
        <v>13</v>
      </c>
      <c r="F571" s="2" t="s">
        <v>14</v>
      </c>
      <c r="G571" s="2" t="s">
        <v>41</v>
      </c>
      <c r="H571" s="2" t="s">
        <v>22</v>
      </c>
      <c r="I571" s="2">
        <v>220000</v>
      </c>
      <c r="J571" s="2">
        <v>8</v>
      </c>
      <c r="K571" s="2" t="s">
        <v>39</v>
      </c>
      <c r="L571" s="2">
        <f t="shared" si="2"/>
        <v>176000</v>
      </c>
    </row>
    <row r="572" spans="1:12" ht="14.25" customHeight="1" x14ac:dyDescent="0.2">
      <c r="A572" s="33">
        <v>46246</v>
      </c>
      <c r="B572" s="33"/>
      <c r="C572" s="2" t="s">
        <v>18</v>
      </c>
      <c r="D572" s="2" t="s">
        <v>12</v>
      </c>
      <c r="E572" s="2" t="s">
        <v>13</v>
      </c>
      <c r="F572" s="2" t="s">
        <v>20</v>
      </c>
      <c r="G572" s="2" t="s">
        <v>36</v>
      </c>
      <c r="H572" s="2" t="s">
        <v>31</v>
      </c>
      <c r="I572" s="2">
        <v>150000</v>
      </c>
      <c r="J572" s="2">
        <v>2</v>
      </c>
      <c r="K572" s="2" t="s">
        <v>28</v>
      </c>
      <c r="L572" s="2">
        <f t="shared" si="2"/>
        <v>120000</v>
      </c>
    </row>
    <row r="573" spans="1:12" ht="14.25" customHeight="1" x14ac:dyDescent="0.2">
      <c r="A573" s="33">
        <v>46247</v>
      </c>
      <c r="B573" s="33"/>
      <c r="C573" s="2" t="s">
        <v>18</v>
      </c>
      <c r="D573" s="2" t="s">
        <v>19</v>
      </c>
      <c r="E573" s="2" t="s">
        <v>23</v>
      </c>
      <c r="F573" s="2" t="s">
        <v>14</v>
      </c>
      <c r="G573" s="2" t="s">
        <v>21</v>
      </c>
      <c r="H573" s="2" t="s">
        <v>22</v>
      </c>
      <c r="I573" s="2">
        <v>30000</v>
      </c>
      <c r="J573" s="2">
        <v>1</v>
      </c>
      <c r="K573" s="2" t="s">
        <v>35</v>
      </c>
      <c r="L573" s="2">
        <f t="shared" si="2"/>
        <v>24000</v>
      </c>
    </row>
    <row r="574" spans="1:12" ht="14.25" customHeight="1" x14ac:dyDescent="0.2">
      <c r="A574" s="33">
        <v>46248</v>
      </c>
      <c r="B574" s="33"/>
      <c r="C574" s="2" t="s">
        <v>18</v>
      </c>
      <c r="D574" s="2" t="s">
        <v>12</v>
      </c>
      <c r="E574" s="2" t="s">
        <v>13</v>
      </c>
      <c r="F574" s="2" t="s">
        <v>20</v>
      </c>
      <c r="G574" s="2" t="s">
        <v>33</v>
      </c>
      <c r="H574" s="2" t="s">
        <v>22</v>
      </c>
      <c r="I574" s="2">
        <v>180000</v>
      </c>
      <c r="J574" s="2">
        <v>5</v>
      </c>
      <c r="K574" s="2" t="s">
        <v>17</v>
      </c>
      <c r="L574" s="2">
        <f t="shared" si="2"/>
        <v>144000</v>
      </c>
    </row>
    <row r="575" spans="1:12" ht="14.25" customHeight="1" x14ac:dyDescent="0.2">
      <c r="A575" s="33">
        <v>46249</v>
      </c>
      <c r="B575" s="33"/>
      <c r="C575" s="2" t="s">
        <v>11</v>
      </c>
      <c r="D575" s="2" t="s">
        <v>26</v>
      </c>
      <c r="E575" s="2" t="s">
        <v>23</v>
      </c>
      <c r="F575" s="2" t="s">
        <v>20</v>
      </c>
      <c r="G575" s="2" t="s">
        <v>36</v>
      </c>
      <c r="H575" s="2" t="s">
        <v>31</v>
      </c>
      <c r="I575" s="2">
        <v>150000</v>
      </c>
      <c r="J575" s="2">
        <v>9</v>
      </c>
      <c r="K575" s="2" t="s">
        <v>37</v>
      </c>
      <c r="L575" s="2">
        <f t="shared" si="2"/>
        <v>120000</v>
      </c>
    </row>
    <row r="576" spans="1:12" ht="14.25" customHeight="1" x14ac:dyDescent="0.2">
      <c r="A576" s="33">
        <v>46250</v>
      </c>
      <c r="B576" s="33"/>
      <c r="C576" s="2" t="s">
        <v>25</v>
      </c>
      <c r="D576" s="2" t="s">
        <v>19</v>
      </c>
      <c r="E576" s="2" t="s">
        <v>23</v>
      </c>
      <c r="F576" s="2" t="s">
        <v>20</v>
      </c>
      <c r="G576" s="2" t="s">
        <v>36</v>
      </c>
      <c r="H576" s="2" t="s">
        <v>31</v>
      </c>
      <c r="I576" s="2">
        <v>150000</v>
      </c>
      <c r="J576" s="2">
        <v>5</v>
      </c>
      <c r="K576" s="2" t="s">
        <v>37</v>
      </c>
      <c r="L576" s="2">
        <f t="shared" si="2"/>
        <v>120000</v>
      </c>
    </row>
    <row r="577" spans="1:12" ht="14.25" customHeight="1" x14ac:dyDescent="0.2">
      <c r="A577" s="33">
        <v>46251</v>
      </c>
      <c r="B577" s="33"/>
      <c r="C577" s="2" t="s">
        <v>25</v>
      </c>
      <c r="D577" s="2" t="s">
        <v>12</v>
      </c>
      <c r="E577" s="2" t="s">
        <v>13</v>
      </c>
      <c r="F577" s="2" t="s">
        <v>14</v>
      </c>
      <c r="G577" s="2" t="s">
        <v>41</v>
      </c>
      <c r="H577" s="2" t="s">
        <v>22</v>
      </c>
      <c r="I577" s="2">
        <v>220000</v>
      </c>
      <c r="J577" s="2">
        <v>4</v>
      </c>
      <c r="K577" s="2" t="s">
        <v>39</v>
      </c>
      <c r="L577" s="2">
        <f t="shared" si="2"/>
        <v>176000</v>
      </c>
    </row>
    <row r="578" spans="1:12" ht="14.25" customHeight="1" x14ac:dyDescent="0.2">
      <c r="A578" s="33">
        <v>46252</v>
      </c>
      <c r="B578" s="33"/>
      <c r="C578" s="2" t="s">
        <v>11</v>
      </c>
      <c r="D578" s="2" t="s">
        <v>26</v>
      </c>
      <c r="E578" s="2" t="s">
        <v>13</v>
      </c>
      <c r="F578" s="2" t="s">
        <v>14</v>
      </c>
      <c r="G578" s="2" t="s">
        <v>34</v>
      </c>
      <c r="H578" s="2" t="s">
        <v>16</v>
      </c>
      <c r="I578" s="2">
        <v>320000</v>
      </c>
      <c r="J578" s="2">
        <v>4</v>
      </c>
      <c r="K578" s="2" t="s">
        <v>17</v>
      </c>
      <c r="L578" s="2">
        <f t="shared" si="2"/>
        <v>256000</v>
      </c>
    </row>
    <row r="579" spans="1:12" ht="14.25" customHeight="1" x14ac:dyDescent="0.2">
      <c r="A579" s="33">
        <v>46253</v>
      </c>
      <c r="B579" s="33"/>
      <c r="C579" s="2" t="s">
        <v>11</v>
      </c>
      <c r="D579" s="2" t="s">
        <v>32</v>
      </c>
      <c r="E579" s="2" t="s">
        <v>23</v>
      </c>
      <c r="F579" s="2" t="s">
        <v>20</v>
      </c>
      <c r="G579" s="2" t="s">
        <v>34</v>
      </c>
      <c r="H579" s="2" t="s">
        <v>16</v>
      </c>
      <c r="I579" s="2">
        <v>320000</v>
      </c>
      <c r="J579" s="2">
        <v>8</v>
      </c>
      <c r="K579" s="2" t="s">
        <v>17</v>
      </c>
      <c r="L579" s="2">
        <f t="shared" si="2"/>
        <v>256000</v>
      </c>
    </row>
    <row r="580" spans="1:12" ht="14.25" customHeight="1" x14ac:dyDescent="0.2">
      <c r="A580" s="33">
        <v>46254</v>
      </c>
      <c r="B580" s="33"/>
      <c r="C580" s="2" t="s">
        <v>29</v>
      </c>
      <c r="D580" s="2" t="s">
        <v>32</v>
      </c>
      <c r="E580" s="2" t="s">
        <v>13</v>
      </c>
      <c r="F580" s="2" t="s">
        <v>14</v>
      </c>
      <c r="G580" s="2" t="s">
        <v>27</v>
      </c>
      <c r="H580" s="2" t="s">
        <v>22</v>
      </c>
      <c r="I580" s="2">
        <v>60000</v>
      </c>
      <c r="J580" s="2">
        <v>9</v>
      </c>
      <c r="K580" s="2" t="s">
        <v>17</v>
      </c>
      <c r="L580" s="2">
        <f t="shared" si="2"/>
        <v>48000</v>
      </c>
    </row>
    <row r="581" spans="1:12" ht="14.25" customHeight="1" x14ac:dyDescent="0.2">
      <c r="A581" s="33">
        <v>46255</v>
      </c>
      <c r="B581" s="33"/>
      <c r="C581" s="2" t="s">
        <v>18</v>
      </c>
      <c r="D581" s="2" t="s">
        <v>19</v>
      </c>
      <c r="E581" s="2" t="s">
        <v>13</v>
      </c>
      <c r="F581" s="2" t="s">
        <v>20</v>
      </c>
      <c r="G581" s="2" t="s">
        <v>30</v>
      </c>
      <c r="H581" s="2" t="s">
        <v>31</v>
      </c>
      <c r="I581" s="2">
        <v>300000</v>
      </c>
      <c r="J581" s="2">
        <v>10</v>
      </c>
      <c r="K581" s="2" t="s">
        <v>17</v>
      </c>
      <c r="L581" s="2">
        <f t="shared" si="2"/>
        <v>240000</v>
      </c>
    </row>
    <row r="582" spans="1:12" ht="14.25" customHeight="1" x14ac:dyDescent="0.2">
      <c r="A582" s="33">
        <v>46256</v>
      </c>
      <c r="B582" s="33"/>
      <c r="C582" s="2" t="s">
        <v>29</v>
      </c>
      <c r="D582" s="2" t="s">
        <v>19</v>
      </c>
      <c r="E582" s="2" t="s">
        <v>23</v>
      </c>
      <c r="F582" s="2" t="s">
        <v>14</v>
      </c>
      <c r="G582" s="2" t="s">
        <v>36</v>
      </c>
      <c r="H582" s="2" t="s">
        <v>31</v>
      </c>
      <c r="I582" s="2">
        <v>150000</v>
      </c>
      <c r="J582" s="2">
        <v>6</v>
      </c>
      <c r="K582" s="2" t="s">
        <v>35</v>
      </c>
      <c r="L582" s="2">
        <f t="shared" si="2"/>
        <v>120000</v>
      </c>
    </row>
    <row r="583" spans="1:12" ht="14.25" customHeight="1" x14ac:dyDescent="0.2">
      <c r="A583" s="33">
        <v>46257</v>
      </c>
      <c r="B583" s="33"/>
      <c r="C583" s="2" t="s">
        <v>25</v>
      </c>
      <c r="D583" s="2" t="s">
        <v>26</v>
      </c>
      <c r="E583" s="2" t="s">
        <v>23</v>
      </c>
      <c r="F583" s="2" t="s">
        <v>14</v>
      </c>
      <c r="G583" s="2" t="s">
        <v>33</v>
      </c>
      <c r="H583" s="2" t="s">
        <v>22</v>
      </c>
      <c r="I583" s="2">
        <v>180000</v>
      </c>
      <c r="J583" s="2">
        <v>8</v>
      </c>
      <c r="K583" s="2" t="s">
        <v>37</v>
      </c>
      <c r="L583" s="2">
        <f t="shared" si="2"/>
        <v>144000</v>
      </c>
    </row>
    <row r="584" spans="1:12" ht="14.25" customHeight="1" x14ac:dyDescent="0.2">
      <c r="A584" s="33">
        <v>46258</v>
      </c>
      <c r="B584" s="33"/>
      <c r="C584" s="2" t="s">
        <v>18</v>
      </c>
      <c r="D584" s="2" t="s">
        <v>12</v>
      </c>
      <c r="E584" s="2" t="s">
        <v>13</v>
      </c>
      <c r="F584" s="2" t="s">
        <v>14</v>
      </c>
      <c r="G584" s="2" t="s">
        <v>27</v>
      </c>
      <c r="H584" s="2" t="s">
        <v>22</v>
      </c>
      <c r="I584" s="2">
        <v>60000</v>
      </c>
      <c r="J584" s="2">
        <v>7</v>
      </c>
      <c r="K584" s="2" t="s">
        <v>39</v>
      </c>
      <c r="L584" s="2">
        <f t="shared" si="2"/>
        <v>48000</v>
      </c>
    </row>
    <row r="585" spans="1:12" ht="14.25" customHeight="1" x14ac:dyDescent="0.2">
      <c r="A585" s="33">
        <v>46259</v>
      </c>
      <c r="B585" s="33"/>
      <c r="C585" s="2" t="s">
        <v>18</v>
      </c>
      <c r="D585" s="2" t="s">
        <v>19</v>
      </c>
      <c r="E585" s="2" t="s">
        <v>13</v>
      </c>
      <c r="F585" s="2" t="s">
        <v>20</v>
      </c>
      <c r="G585" s="2" t="s">
        <v>36</v>
      </c>
      <c r="H585" s="2" t="s">
        <v>31</v>
      </c>
      <c r="I585" s="2">
        <v>150000</v>
      </c>
      <c r="J585" s="2">
        <v>9</v>
      </c>
      <c r="K585" s="2" t="s">
        <v>17</v>
      </c>
      <c r="L585" s="2">
        <f t="shared" si="2"/>
        <v>120000</v>
      </c>
    </row>
    <row r="586" spans="1:12" ht="14.25" customHeight="1" x14ac:dyDescent="0.2">
      <c r="A586" s="33">
        <v>46260</v>
      </c>
      <c r="B586" s="33"/>
      <c r="C586" s="2" t="s">
        <v>18</v>
      </c>
      <c r="D586" s="2" t="s">
        <v>19</v>
      </c>
      <c r="E586" s="2" t="s">
        <v>13</v>
      </c>
      <c r="F586" s="2" t="s">
        <v>20</v>
      </c>
      <c r="G586" s="2" t="s">
        <v>33</v>
      </c>
      <c r="H586" s="2" t="s">
        <v>22</v>
      </c>
      <c r="I586" s="2">
        <v>180000</v>
      </c>
      <c r="J586" s="2">
        <v>4</v>
      </c>
      <c r="K586" s="2" t="s">
        <v>35</v>
      </c>
      <c r="L586" s="2">
        <f t="shared" si="2"/>
        <v>144000</v>
      </c>
    </row>
    <row r="587" spans="1:12" ht="14.25" customHeight="1" x14ac:dyDescent="0.2">
      <c r="A587" s="33">
        <v>46261</v>
      </c>
      <c r="B587" s="33"/>
      <c r="C587" s="2" t="s">
        <v>11</v>
      </c>
      <c r="D587" s="2" t="s">
        <v>32</v>
      </c>
      <c r="E587" s="2" t="s">
        <v>13</v>
      </c>
      <c r="F587" s="2" t="s">
        <v>20</v>
      </c>
      <c r="G587" s="2" t="s">
        <v>33</v>
      </c>
      <c r="H587" s="2" t="s">
        <v>22</v>
      </c>
      <c r="I587" s="2">
        <v>180000</v>
      </c>
      <c r="J587" s="2">
        <v>1</v>
      </c>
      <c r="K587" s="2" t="s">
        <v>37</v>
      </c>
      <c r="L587" s="2">
        <f t="shared" si="2"/>
        <v>144000</v>
      </c>
    </row>
    <row r="588" spans="1:12" ht="14.25" customHeight="1" x14ac:dyDescent="0.2">
      <c r="A588" s="33">
        <v>46262</v>
      </c>
      <c r="B588" s="33"/>
      <c r="C588" s="2" t="s">
        <v>11</v>
      </c>
      <c r="D588" s="2" t="s">
        <v>12</v>
      </c>
      <c r="E588" s="2" t="s">
        <v>13</v>
      </c>
      <c r="F588" s="2" t="s">
        <v>14</v>
      </c>
      <c r="G588" s="2" t="s">
        <v>27</v>
      </c>
      <c r="H588" s="2" t="s">
        <v>22</v>
      </c>
      <c r="I588" s="2">
        <v>60000</v>
      </c>
      <c r="J588" s="2">
        <v>6</v>
      </c>
      <c r="K588" s="2" t="s">
        <v>37</v>
      </c>
      <c r="L588" s="2">
        <f t="shared" si="2"/>
        <v>48000</v>
      </c>
    </row>
    <row r="589" spans="1:12" ht="14.25" customHeight="1" x14ac:dyDescent="0.2">
      <c r="A589" s="33">
        <v>46263</v>
      </c>
      <c r="B589" s="33"/>
      <c r="C589" s="2" t="s">
        <v>18</v>
      </c>
      <c r="D589" s="2" t="s">
        <v>26</v>
      </c>
      <c r="E589" s="2" t="s">
        <v>23</v>
      </c>
      <c r="F589" s="2" t="s">
        <v>20</v>
      </c>
      <c r="G589" s="2" t="s">
        <v>34</v>
      </c>
      <c r="H589" s="2" t="s">
        <v>16</v>
      </c>
      <c r="I589" s="2">
        <v>320000</v>
      </c>
      <c r="J589" s="2">
        <v>8</v>
      </c>
      <c r="K589" s="2" t="s">
        <v>35</v>
      </c>
      <c r="L589" s="2">
        <f t="shared" si="2"/>
        <v>256000</v>
      </c>
    </row>
    <row r="590" spans="1:12" ht="14.25" customHeight="1" x14ac:dyDescent="0.2">
      <c r="A590" s="33">
        <v>46264</v>
      </c>
      <c r="B590" s="33"/>
      <c r="C590" s="2" t="s">
        <v>18</v>
      </c>
      <c r="D590" s="2" t="s">
        <v>26</v>
      </c>
      <c r="E590" s="2" t="s">
        <v>13</v>
      </c>
      <c r="F590" s="2" t="s">
        <v>14</v>
      </c>
      <c r="G590" s="2" t="s">
        <v>33</v>
      </c>
      <c r="H590" s="2" t="s">
        <v>22</v>
      </c>
      <c r="I590" s="2">
        <v>180000</v>
      </c>
      <c r="J590" s="2">
        <v>6</v>
      </c>
      <c r="K590" s="2" t="s">
        <v>37</v>
      </c>
      <c r="L590" s="2">
        <f t="shared" si="2"/>
        <v>144000</v>
      </c>
    </row>
    <row r="591" spans="1:12" ht="14.25" customHeight="1" x14ac:dyDescent="0.2">
      <c r="A591" s="33">
        <v>46265</v>
      </c>
      <c r="B591" s="33"/>
      <c r="C591" s="2" t="s">
        <v>25</v>
      </c>
      <c r="D591" s="2" t="s">
        <v>19</v>
      </c>
      <c r="E591" s="2" t="s">
        <v>23</v>
      </c>
      <c r="F591" s="2" t="s">
        <v>14</v>
      </c>
      <c r="G591" s="2" t="s">
        <v>27</v>
      </c>
      <c r="H591" s="2" t="s">
        <v>22</v>
      </c>
      <c r="I591" s="2">
        <v>60000</v>
      </c>
      <c r="J591" s="2">
        <v>8</v>
      </c>
      <c r="K591" s="2" t="s">
        <v>24</v>
      </c>
      <c r="L591" s="2">
        <f t="shared" si="2"/>
        <v>48000</v>
      </c>
    </row>
    <row r="592" spans="1:12" ht="14.25" customHeight="1" x14ac:dyDescent="0.2">
      <c r="A592" s="33">
        <v>46266</v>
      </c>
      <c r="B592" s="33"/>
      <c r="C592" s="2" t="s">
        <v>18</v>
      </c>
      <c r="D592" s="2" t="s">
        <v>19</v>
      </c>
      <c r="E592" s="2" t="s">
        <v>23</v>
      </c>
      <c r="F592" s="2" t="s">
        <v>14</v>
      </c>
      <c r="G592" s="2" t="s">
        <v>38</v>
      </c>
      <c r="H592" s="2" t="s">
        <v>31</v>
      </c>
      <c r="I592" s="2">
        <v>420000</v>
      </c>
      <c r="J592" s="2">
        <v>3</v>
      </c>
      <c r="K592" s="2" t="s">
        <v>17</v>
      </c>
      <c r="L592" s="2">
        <f t="shared" si="2"/>
        <v>336000</v>
      </c>
    </row>
    <row r="593" spans="1:12" ht="14.25" customHeight="1" x14ac:dyDescent="0.2">
      <c r="A593" s="33">
        <v>46267</v>
      </c>
      <c r="B593" s="33"/>
      <c r="C593" s="2" t="s">
        <v>25</v>
      </c>
      <c r="D593" s="2" t="s">
        <v>26</v>
      </c>
      <c r="E593" s="2" t="s">
        <v>23</v>
      </c>
      <c r="F593" s="2" t="s">
        <v>14</v>
      </c>
      <c r="G593" s="2" t="s">
        <v>41</v>
      </c>
      <c r="H593" s="2" t="s">
        <v>22</v>
      </c>
      <c r="I593" s="2">
        <v>220000</v>
      </c>
      <c r="J593" s="2">
        <v>5</v>
      </c>
      <c r="K593" s="2" t="s">
        <v>24</v>
      </c>
      <c r="L593" s="2">
        <f t="shared" si="2"/>
        <v>176000</v>
      </c>
    </row>
    <row r="594" spans="1:12" ht="14.25" customHeight="1" x14ac:dyDescent="0.2">
      <c r="A594" s="33">
        <v>46268</v>
      </c>
      <c r="B594" s="33"/>
      <c r="C594" s="2" t="s">
        <v>11</v>
      </c>
      <c r="D594" s="2" t="s">
        <v>32</v>
      </c>
      <c r="E594" s="2" t="s">
        <v>13</v>
      </c>
      <c r="F594" s="2" t="s">
        <v>14</v>
      </c>
      <c r="G594" s="2" t="s">
        <v>27</v>
      </c>
      <c r="H594" s="2" t="s">
        <v>22</v>
      </c>
      <c r="I594" s="2">
        <v>60000</v>
      </c>
      <c r="J594" s="2">
        <v>6</v>
      </c>
      <c r="K594" s="2" t="s">
        <v>17</v>
      </c>
      <c r="L594" s="2">
        <f t="shared" si="2"/>
        <v>48000</v>
      </c>
    </row>
    <row r="595" spans="1:12" ht="14.25" customHeight="1" x14ac:dyDescent="0.2">
      <c r="A595" s="33">
        <v>46269</v>
      </c>
      <c r="B595" s="33"/>
      <c r="C595" s="2" t="s">
        <v>11</v>
      </c>
      <c r="D595" s="2" t="s">
        <v>32</v>
      </c>
      <c r="E595" s="2" t="s">
        <v>13</v>
      </c>
      <c r="F595" s="2" t="s">
        <v>20</v>
      </c>
      <c r="G595" s="2" t="s">
        <v>27</v>
      </c>
      <c r="H595" s="2" t="s">
        <v>22</v>
      </c>
      <c r="I595" s="2">
        <v>60000</v>
      </c>
      <c r="J595" s="2">
        <v>8</v>
      </c>
      <c r="K595" s="2" t="s">
        <v>39</v>
      </c>
      <c r="L595" s="2">
        <f t="shared" si="2"/>
        <v>48000</v>
      </c>
    </row>
    <row r="596" spans="1:12" ht="14.25" customHeight="1" x14ac:dyDescent="0.2">
      <c r="A596" s="33">
        <v>46270</v>
      </c>
      <c r="B596" s="33"/>
      <c r="C596" s="2" t="s">
        <v>11</v>
      </c>
      <c r="D596" s="2" t="s">
        <v>19</v>
      </c>
      <c r="E596" s="2" t="s">
        <v>23</v>
      </c>
      <c r="F596" s="2" t="s">
        <v>14</v>
      </c>
      <c r="G596" s="2" t="s">
        <v>21</v>
      </c>
      <c r="H596" s="2" t="s">
        <v>22</v>
      </c>
      <c r="I596" s="2">
        <v>30000</v>
      </c>
      <c r="J596" s="2">
        <v>2</v>
      </c>
      <c r="K596" s="2" t="s">
        <v>17</v>
      </c>
      <c r="L596" s="2">
        <f t="shared" si="2"/>
        <v>24000</v>
      </c>
    </row>
    <row r="597" spans="1:12" ht="14.25" customHeight="1" x14ac:dyDescent="0.2">
      <c r="A597" s="33">
        <v>46271</v>
      </c>
      <c r="B597" s="33"/>
      <c r="C597" s="2" t="s">
        <v>18</v>
      </c>
      <c r="D597" s="2" t="s">
        <v>12</v>
      </c>
      <c r="E597" s="2" t="s">
        <v>23</v>
      </c>
      <c r="F597" s="2" t="s">
        <v>20</v>
      </c>
      <c r="G597" s="2" t="s">
        <v>30</v>
      </c>
      <c r="H597" s="2" t="s">
        <v>31</v>
      </c>
      <c r="I597" s="2">
        <v>300000</v>
      </c>
      <c r="J597" s="2">
        <v>3</v>
      </c>
      <c r="K597" s="2" t="s">
        <v>35</v>
      </c>
      <c r="L597" s="2">
        <f t="shared" si="2"/>
        <v>240000</v>
      </c>
    </row>
    <row r="598" spans="1:12" ht="14.25" customHeight="1" x14ac:dyDescent="0.2">
      <c r="A598" s="33">
        <v>46272</v>
      </c>
      <c r="B598" s="33"/>
      <c r="C598" s="2" t="s">
        <v>29</v>
      </c>
      <c r="D598" s="2" t="s">
        <v>19</v>
      </c>
      <c r="E598" s="2" t="s">
        <v>23</v>
      </c>
      <c r="F598" s="2" t="s">
        <v>20</v>
      </c>
      <c r="G598" s="2" t="s">
        <v>40</v>
      </c>
      <c r="H598" s="2" t="s">
        <v>31</v>
      </c>
      <c r="I598" s="2">
        <v>250000</v>
      </c>
      <c r="J598" s="2">
        <v>3</v>
      </c>
      <c r="K598" s="2" t="s">
        <v>24</v>
      </c>
      <c r="L598" s="2">
        <f t="shared" si="2"/>
        <v>200000</v>
      </c>
    </row>
    <row r="599" spans="1:12" ht="14.25" customHeight="1" x14ac:dyDescent="0.2">
      <c r="A599" s="33">
        <v>46273</v>
      </c>
      <c r="B599" s="33"/>
      <c r="C599" s="2" t="s">
        <v>29</v>
      </c>
      <c r="D599" s="2" t="s">
        <v>19</v>
      </c>
      <c r="E599" s="2" t="s">
        <v>23</v>
      </c>
      <c r="F599" s="2" t="s">
        <v>20</v>
      </c>
      <c r="G599" s="2" t="s">
        <v>38</v>
      </c>
      <c r="H599" s="2" t="s">
        <v>31</v>
      </c>
      <c r="I599" s="2">
        <v>420000</v>
      </c>
      <c r="J599" s="2">
        <v>1</v>
      </c>
      <c r="K599" s="2" t="s">
        <v>24</v>
      </c>
      <c r="L599" s="2">
        <f t="shared" si="2"/>
        <v>336000</v>
      </c>
    </row>
    <row r="600" spans="1:12" ht="14.25" customHeight="1" x14ac:dyDescent="0.2">
      <c r="A600" s="33">
        <v>46274</v>
      </c>
      <c r="B600" s="33"/>
      <c r="C600" s="2" t="s">
        <v>25</v>
      </c>
      <c r="D600" s="2" t="s">
        <v>12</v>
      </c>
      <c r="E600" s="2" t="s">
        <v>23</v>
      </c>
      <c r="F600" s="2" t="s">
        <v>20</v>
      </c>
      <c r="G600" s="2" t="s">
        <v>21</v>
      </c>
      <c r="H600" s="2" t="s">
        <v>22</v>
      </c>
      <c r="I600" s="2">
        <v>30000</v>
      </c>
      <c r="J600" s="2">
        <v>1</v>
      </c>
      <c r="K600" s="2" t="s">
        <v>35</v>
      </c>
      <c r="L600" s="2">
        <f t="shared" si="2"/>
        <v>24000</v>
      </c>
    </row>
    <row r="601" spans="1:12" ht="14.25" customHeight="1" x14ac:dyDescent="0.2">
      <c r="A601" s="33">
        <v>46275</v>
      </c>
      <c r="B601" s="33"/>
      <c r="C601" s="2" t="s">
        <v>25</v>
      </c>
      <c r="D601" s="2" t="s">
        <v>26</v>
      </c>
      <c r="E601" s="2" t="s">
        <v>13</v>
      </c>
      <c r="F601" s="2" t="s">
        <v>14</v>
      </c>
      <c r="G601" s="2" t="s">
        <v>21</v>
      </c>
      <c r="H601" s="2" t="s">
        <v>22</v>
      </c>
      <c r="I601" s="2">
        <v>30000</v>
      </c>
      <c r="J601" s="2">
        <v>8</v>
      </c>
      <c r="K601" s="2" t="s">
        <v>37</v>
      </c>
      <c r="L601" s="2">
        <f t="shared" si="2"/>
        <v>24000</v>
      </c>
    </row>
    <row r="602" spans="1:12" ht="14.25" customHeight="1" x14ac:dyDescent="0.2">
      <c r="A602" s="33">
        <v>46276</v>
      </c>
      <c r="B602" s="33"/>
      <c r="C602" s="2" t="s">
        <v>29</v>
      </c>
      <c r="D602" s="2" t="s">
        <v>12</v>
      </c>
      <c r="E602" s="2" t="s">
        <v>23</v>
      </c>
      <c r="F602" s="2" t="s">
        <v>14</v>
      </c>
      <c r="G602" s="2" t="s">
        <v>40</v>
      </c>
      <c r="H602" s="2" t="s">
        <v>31</v>
      </c>
      <c r="I602" s="2">
        <v>250000</v>
      </c>
      <c r="J602" s="2">
        <v>10</v>
      </c>
      <c r="K602" s="2" t="s">
        <v>37</v>
      </c>
      <c r="L602" s="2">
        <f t="shared" si="2"/>
        <v>200000</v>
      </c>
    </row>
    <row r="603" spans="1:12" ht="14.25" customHeight="1" x14ac:dyDescent="0.2">
      <c r="A603" s="33">
        <v>46277</v>
      </c>
      <c r="B603" s="33"/>
      <c r="C603" s="2" t="s">
        <v>29</v>
      </c>
      <c r="D603" s="2" t="s">
        <v>26</v>
      </c>
      <c r="E603" s="2" t="s">
        <v>23</v>
      </c>
      <c r="F603" s="2" t="s">
        <v>20</v>
      </c>
      <c r="G603" s="2" t="s">
        <v>36</v>
      </c>
      <c r="H603" s="2" t="s">
        <v>31</v>
      </c>
      <c r="I603" s="2">
        <v>150000</v>
      </c>
      <c r="J603" s="2">
        <v>10</v>
      </c>
      <c r="K603" s="2" t="s">
        <v>24</v>
      </c>
      <c r="L603" s="2">
        <f t="shared" si="2"/>
        <v>120000</v>
      </c>
    </row>
    <row r="604" spans="1:12" ht="14.25" customHeight="1" x14ac:dyDescent="0.2">
      <c r="A604" s="33">
        <v>46278</v>
      </c>
      <c r="B604" s="33"/>
      <c r="C604" s="2" t="s">
        <v>18</v>
      </c>
      <c r="D604" s="2" t="s">
        <v>32</v>
      </c>
      <c r="E604" s="2" t="s">
        <v>13</v>
      </c>
      <c r="F604" s="2" t="s">
        <v>20</v>
      </c>
      <c r="G604" s="2" t="s">
        <v>40</v>
      </c>
      <c r="H604" s="2" t="s">
        <v>31</v>
      </c>
      <c r="I604" s="2">
        <v>250000</v>
      </c>
      <c r="J604" s="2">
        <v>8</v>
      </c>
      <c r="K604" s="2" t="s">
        <v>17</v>
      </c>
      <c r="L604" s="2">
        <f t="shared" si="2"/>
        <v>200000</v>
      </c>
    </row>
    <row r="605" spans="1:12" ht="14.25" customHeight="1" x14ac:dyDescent="0.2">
      <c r="A605" s="33">
        <v>46279</v>
      </c>
      <c r="B605" s="33"/>
      <c r="C605" s="2" t="s">
        <v>29</v>
      </c>
      <c r="D605" s="2" t="s">
        <v>26</v>
      </c>
      <c r="E605" s="2" t="s">
        <v>13</v>
      </c>
      <c r="F605" s="2" t="s">
        <v>20</v>
      </c>
      <c r="G605" s="2" t="s">
        <v>40</v>
      </c>
      <c r="H605" s="2" t="s">
        <v>31</v>
      </c>
      <c r="I605" s="2">
        <v>250000</v>
      </c>
      <c r="J605" s="2">
        <v>9</v>
      </c>
      <c r="K605" s="2" t="s">
        <v>39</v>
      </c>
      <c r="L605" s="2">
        <f t="shared" si="2"/>
        <v>200000</v>
      </c>
    </row>
    <row r="606" spans="1:12" ht="14.25" customHeight="1" x14ac:dyDescent="0.2">
      <c r="A606" s="33">
        <v>46280</v>
      </c>
      <c r="B606" s="33"/>
      <c r="C606" s="2" t="s">
        <v>29</v>
      </c>
      <c r="D606" s="2" t="s">
        <v>32</v>
      </c>
      <c r="E606" s="2" t="s">
        <v>13</v>
      </c>
      <c r="F606" s="2" t="s">
        <v>20</v>
      </c>
      <c r="G606" s="2" t="s">
        <v>38</v>
      </c>
      <c r="H606" s="2" t="s">
        <v>31</v>
      </c>
      <c r="I606" s="2">
        <v>420000</v>
      </c>
      <c r="J606" s="2">
        <v>10</v>
      </c>
      <c r="K606" s="2" t="s">
        <v>28</v>
      </c>
      <c r="L606" s="2">
        <f t="shared" si="2"/>
        <v>336000</v>
      </c>
    </row>
    <row r="607" spans="1:12" ht="14.25" customHeight="1" x14ac:dyDescent="0.2">
      <c r="A607" s="33">
        <v>46281</v>
      </c>
      <c r="B607" s="33"/>
      <c r="C607" s="2" t="s">
        <v>11</v>
      </c>
      <c r="D607" s="2" t="s">
        <v>19</v>
      </c>
      <c r="E607" s="2" t="s">
        <v>23</v>
      </c>
      <c r="F607" s="2" t="s">
        <v>14</v>
      </c>
      <c r="G607" s="2" t="s">
        <v>15</v>
      </c>
      <c r="H607" s="2" t="s">
        <v>16</v>
      </c>
      <c r="I607" s="2">
        <v>85000</v>
      </c>
      <c r="J607" s="2">
        <v>4</v>
      </c>
      <c r="K607" s="2" t="s">
        <v>24</v>
      </c>
      <c r="L607" s="2">
        <f t="shared" si="2"/>
        <v>68000</v>
      </c>
    </row>
    <row r="608" spans="1:12" ht="14.25" customHeight="1" x14ac:dyDescent="0.2">
      <c r="A608" s="33">
        <v>46282</v>
      </c>
      <c r="B608" s="33"/>
      <c r="C608" s="2" t="s">
        <v>18</v>
      </c>
      <c r="D608" s="2" t="s">
        <v>19</v>
      </c>
      <c r="E608" s="2" t="s">
        <v>13</v>
      </c>
      <c r="F608" s="2" t="s">
        <v>14</v>
      </c>
      <c r="G608" s="2" t="s">
        <v>33</v>
      </c>
      <c r="H608" s="2" t="s">
        <v>22</v>
      </c>
      <c r="I608" s="2">
        <v>180000</v>
      </c>
      <c r="J608" s="2">
        <v>1</v>
      </c>
      <c r="K608" s="2" t="s">
        <v>39</v>
      </c>
      <c r="L608" s="2">
        <f t="shared" si="2"/>
        <v>144000</v>
      </c>
    </row>
    <row r="609" spans="1:12" ht="14.25" customHeight="1" x14ac:dyDescent="0.2">
      <c r="A609" s="33">
        <v>46283</v>
      </c>
      <c r="B609" s="33"/>
      <c r="C609" s="2" t="s">
        <v>25</v>
      </c>
      <c r="D609" s="2" t="s">
        <v>19</v>
      </c>
      <c r="E609" s="2" t="s">
        <v>13</v>
      </c>
      <c r="F609" s="2" t="s">
        <v>20</v>
      </c>
      <c r="G609" s="2" t="s">
        <v>33</v>
      </c>
      <c r="H609" s="2" t="s">
        <v>22</v>
      </c>
      <c r="I609" s="2">
        <v>180000</v>
      </c>
      <c r="J609" s="2">
        <v>9</v>
      </c>
      <c r="K609" s="2" t="s">
        <v>35</v>
      </c>
      <c r="L609" s="2">
        <f t="shared" si="2"/>
        <v>144000</v>
      </c>
    </row>
    <row r="610" spans="1:12" ht="14.25" customHeight="1" x14ac:dyDescent="0.2">
      <c r="A610" s="33">
        <v>46284</v>
      </c>
      <c r="B610" s="33"/>
      <c r="C610" s="2" t="s">
        <v>18</v>
      </c>
      <c r="D610" s="2" t="s">
        <v>26</v>
      </c>
      <c r="E610" s="2" t="s">
        <v>23</v>
      </c>
      <c r="F610" s="2" t="s">
        <v>20</v>
      </c>
      <c r="G610" s="2" t="s">
        <v>36</v>
      </c>
      <c r="H610" s="2" t="s">
        <v>31</v>
      </c>
      <c r="I610" s="2">
        <v>150000</v>
      </c>
      <c r="J610" s="2">
        <v>10</v>
      </c>
      <c r="K610" s="2" t="s">
        <v>28</v>
      </c>
      <c r="L610" s="2">
        <f t="shared" si="2"/>
        <v>120000</v>
      </c>
    </row>
    <row r="611" spans="1:12" ht="14.25" customHeight="1" x14ac:dyDescent="0.2">
      <c r="A611" s="33">
        <v>46285</v>
      </c>
      <c r="B611" s="33"/>
      <c r="C611" s="2" t="s">
        <v>18</v>
      </c>
      <c r="D611" s="2" t="s">
        <v>32</v>
      </c>
      <c r="E611" s="2" t="s">
        <v>23</v>
      </c>
      <c r="F611" s="2" t="s">
        <v>20</v>
      </c>
      <c r="G611" s="2" t="s">
        <v>30</v>
      </c>
      <c r="H611" s="2" t="s">
        <v>31</v>
      </c>
      <c r="I611" s="2">
        <v>300000</v>
      </c>
      <c r="J611" s="2">
        <v>1</v>
      </c>
      <c r="K611" s="2" t="s">
        <v>28</v>
      </c>
      <c r="L611" s="2">
        <f t="shared" si="2"/>
        <v>240000</v>
      </c>
    </row>
    <row r="612" spans="1:12" ht="14.25" customHeight="1" x14ac:dyDescent="0.2">
      <c r="A612" s="33">
        <v>46286</v>
      </c>
      <c r="B612" s="33"/>
      <c r="C612" s="2" t="s">
        <v>25</v>
      </c>
      <c r="D612" s="2" t="s">
        <v>32</v>
      </c>
      <c r="E612" s="2" t="s">
        <v>13</v>
      </c>
      <c r="F612" s="2" t="s">
        <v>14</v>
      </c>
      <c r="G612" s="2" t="s">
        <v>36</v>
      </c>
      <c r="H612" s="2" t="s">
        <v>31</v>
      </c>
      <c r="I612" s="2">
        <v>150000</v>
      </c>
      <c r="J612" s="2">
        <v>8</v>
      </c>
      <c r="K612" s="2" t="s">
        <v>17</v>
      </c>
      <c r="L612" s="2">
        <f t="shared" si="2"/>
        <v>120000</v>
      </c>
    </row>
    <row r="613" spans="1:12" ht="14.25" customHeight="1" x14ac:dyDescent="0.2">
      <c r="A613" s="33">
        <v>46287</v>
      </c>
      <c r="B613" s="33"/>
      <c r="C613" s="2" t="s">
        <v>11</v>
      </c>
      <c r="D613" s="2" t="s">
        <v>32</v>
      </c>
      <c r="E613" s="2" t="s">
        <v>13</v>
      </c>
      <c r="F613" s="2" t="s">
        <v>20</v>
      </c>
      <c r="G613" s="2" t="s">
        <v>36</v>
      </c>
      <c r="H613" s="2" t="s">
        <v>31</v>
      </c>
      <c r="I613" s="2">
        <v>150000</v>
      </c>
      <c r="J613" s="2">
        <v>3</v>
      </c>
      <c r="K613" s="2" t="s">
        <v>35</v>
      </c>
      <c r="L613" s="2">
        <f t="shared" si="2"/>
        <v>120000</v>
      </c>
    </row>
    <row r="614" spans="1:12" ht="14.25" customHeight="1" x14ac:dyDescent="0.2">
      <c r="A614" s="33">
        <v>46288</v>
      </c>
      <c r="B614" s="33"/>
      <c r="C614" s="2" t="s">
        <v>29</v>
      </c>
      <c r="D614" s="2" t="s">
        <v>32</v>
      </c>
      <c r="E614" s="2" t="s">
        <v>13</v>
      </c>
      <c r="F614" s="2" t="s">
        <v>20</v>
      </c>
      <c r="G614" s="2" t="s">
        <v>34</v>
      </c>
      <c r="H614" s="2" t="s">
        <v>16</v>
      </c>
      <c r="I614" s="2">
        <v>320000</v>
      </c>
      <c r="J614" s="2">
        <v>3</v>
      </c>
      <c r="K614" s="2" t="s">
        <v>17</v>
      </c>
      <c r="L614" s="2">
        <f t="shared" si="2"/>
        <v>256000</v>
      </c>
    </row>
    <row r="615" spans="1:12" ht="14.25" customHeight="1" x14ac:dyDescent="0.2">
      <c r="A615" s="33">
        <v>46289</v>
      </c>
      <c r="B615" s="33"/>
      <c r="C615" s="2" t="s">
        <v>25</v>
      </c>
      <c r="D615" s="2" t="s">
        <v>26</v>
      </c>
      <c r="E615" s="2" t="s">
        <v>13</v>
      </c>
      <c r="F615" s="2" t="s">
        <v>14</v>
      </c>
      <c r="G615" s="2" t="s">
        <v>33</v>
      </c>
      <c r="H615" s="2" t="s">
        <v>22</v>
      </c>
      <c r="I615" s="2">
        <v>180000</v>
      </c>
      <c r="J615" s="2">
        <v>8</v>
      </c>
      <c r="K615" s="2" t="s">
        <v>17</v>
      </c>
      <c r="L615" s="2">
        <f t="shared" si="2"/>
        <v>144000</v>
      </c>
    </row>
    <row r="616" spans="1:12" ht="14.25" customHeight="1" x14ac:dyDescent="0.2">
      <c r="A616" s="33">
        <v>46290</v>
      </c>
      <c r="B616" s="33"/>
      <c r="C616" s="2" t="s">
        <v>25</v>
      </c>
      <c r="D616" s="2" t="s">
        <v>26</v>
      </c>
      <c r="E616" s="2" t="s">
        <v>13</v>
      </c>
      <c r="F616" s="2" t="s">
        <v>20</v>
      </c>
      <c r="G616" s="2" t="s">
        <v>33</v>
      </c>
      <c r="H616" s="2" t="s">
        <v>22</v>
      </c>
      <c r="I616" s="2">
        <v>180000</v>
      </c>
      <c r="J616" s="2">
        <v>1</v>
      </c>
      <c r="K616" s="2" t="s">
        <v>24</v>
      </c>
      <c r="L616" s="2">
        <f t="shared" si="2"/>
        <v>144000</v>
      </c>
    </row>
    <row r="617" spans="1:12" ht="14.25" customHeight="1" x14ac:dyDescent="0.2">
      <c r="A617" s="33">
        <v>46291</v>
      </c>
      <c r="B617" s="33"/>
      <c r="C617" s="2" t="s">
        <v>11</v>
      </c>
      <c r="D617" s="2" t="s">
        <v>19</v>
      </c>
      <c r="E617" s="2" t="s">
        <v>13</v>
      </c>
      <c r="F617" s="2" t="s">
        <v>20</v>
      </c>
      <c r="G617" s="2" t="s">
        <v>27</v>
      </c>
      <c r="H617" s="2" t="s">
        <v>22</v>
      </c>
      <c r="I617" s="2">
        <v>60000</v>
      </c>
      <c r="J617" s="2">
        <v>7</v>
      </c>
      <c r="K617" s="2" t="s">
        <v>37</v>
      </c>
      <c r="L617" s="2">
        <f t="shared" si="2"/>
        <v>48000</v>
      </c>
    </row>
    <row r="618" spans="1:12" ht="14.25" customHeight="1" x14ac:dyDescent="0.2">
      <c r="A618" s="33">
        <v>46292</v>
      </c>
      <c r="B618" s="33"/>
      <c r="C618" s="2" t="s">
        <v>18</v>
      </c>
      <c r="D618" s="2" t="s">
        <v>26</v>
      </c>
      <c r="E618" s="2" t="s">
        <v>23</v>
      </c>
      <c r="F618" s="2" t="s">
        <v>20</v>
      </c>
      <c r="G618" s="2" t="s">
        <v>34</v>
      </c>
      <c r="H618" s="2" t="s">
        <v>16</v>
      </c>
      <c r="I618" s="2">
        <v>320000</v>
      </c>
      <c r="J618" s="2">
        <v>7</v>
      </c>
      <c r="K618" s="2" t="s">
        <v>24</v>
      </c>
      <c r="L618" s="2">
        <f t="shared" si="2"/>
        <v>256000</v>
      </c>
    </row>
    <row r="619" spans="1:12" ht="14.25" customHeight="1" x14ac:dyDescent="0.2">
      <c r="A619" s="33">
        <v>46293</v>
      </c>
      <c r="B619" s="33"/>
      <c r="C619" s="2" t="s">
        <v>25</v>
      </c>
      <c r="D619" s="2" t="s">
        <v>19</v>
      </c>
      <c r="E619" s="2" t="s">
        <v>23</v>
      </c>
      <c r="F619" s="2" t="s">
        <v>14</v>
      </c>
      <c r="G619" s="2" t="s">
        <v>15</v>
      </c>
      <c r="H619" s="2" t="s">
        <v>16</v>
      </c>
      <c r="I619" s="2">
        <v>85000</v>
      </c>
      <c r="J619" s="2">
        <v>9</v>
      </c>
      <c r="K619" s="2" t="s">
        <v>24</v>
      </c>
      <c r="L619" s="2">
        <f t="shared" si="2"/>
        <v>68000</v>
      </c>
    </row>
    <row r="620" spans="1:12" ht="14.25" customHeight="1" x14ac:dyDescent="0.2">
      <c r="A620" s="33">
        <v>46294</v>
      </c>
      <c r="B620" s="33"/>
      <c r="C620" s="2" t="s">
        <v>11</v>
      </c>
      <c r="D620" s="2" t="s">
        <v>19</v>
      </c>
      <c r="E620" s="2" t="s">
        <v>13</v>
      </c>
      <c r="F620" s="2" t="s">
        <v>14</v>
      </c>
      <c r="G620" s="2" t="s">
        <v>34</v>
      </c>
      <c r="H620" s="2" t="s">
        <v>16</v>
      </c>
      <c r="I620" s="2">
        <v>320000</v>
      </c>
      <c r="J620" s="2">
        <v>3</v>
      </c>
      <c r="K620" s="2" t="s">
        <v>37</v>
      </c>
      <c r="L620" s="2">
        <f t="shared" si="2"/>
        <v>256000</v>
      </c>
    </row>
    <row r="621" spans="1:12" ht="14.25" customHeight="1" x14ac:dyDescent="0.2">
      <c r="A621" s="33">
        <v>46295</v>
      </c>
      <c r="B621" s="33"/>
      <c r="C621" s="2" t="s">
        <v>25</v>
      </c>
      <c r="D621" s="2" t="s">
        <v>32</v>
      </c>
      <c r="E621" s="2" t="s">
        <v>13</v>
      </c>
      <c r="F621" s="2" t="s">
        <v>14</v>
      </c>
      <c r="G621" s="2" t="s">
        <v>41</v>
      </c>
      <c r="H621" s="2" t="s">
        <v>22</v>
      </c>
      <c r="I621" s="2">
        <v>220000</v>
      </c>
      <c r="J621" s="2">
        <v>4</v>
      </c>
      <c r="K621" s="2" t="s">
        <v>37</v>
      </c>
      <c r="L621" s="2">
        <f t="shared" si="2"/>
        <v>176000</v>
      </c>
    </row>
    <row r="622" spans="1:12" ht="14.25" customHeight="1" x14ac:dyDescent="0.2">
      <c r="A622" s="33">
        <v>46296</v>
      </c>
      <c r="B622" s="33"/>
      <c r="C622" s="2" t="s">
        <v>18</v>
      </c>
      <c r="D622" s="2" t="s">
        <v>26</v>
      </c>
      <c r="E622" s="2" t="s">
        <v>23</v>
      </c>
      <c r="F622" s="2" t="s">
        <v>14</v>
      </c>
      <c r="G622" s="2" t="s">
        <v>34</v>
      </c>
      <c r="H622" s="2" t="s">
        <v>16</v>
      </c>
      <c r="I622" s="2">
        <v>320000</v>
      </c>
      <c r="J622" s="2">
        <v>7</v>
      </c>
      <c r="K622" s="2" t="s">
        <v>35</v>
      </c>
      <c r="L622" s="2">
        <f t="shared" si="2"/>
        <v>256000</v>
      </c>
    </row>
    <row r="623" spans="1:12" ht="14.25" customHeight="1" x14ac:dyDescent="0.2">
      <c r="A623" s="33">
        <v>46297</v>
      </c>
      <c r="B623" s="33"/>
      <c r="C623" s="2" t="s">
        <v>18</v>
      </c>
      <c r="D623" s="2" t="s">
        <v>12</v>
      </c>
      <c r="E623" s="2" t="s">
        <v>23</v>
      </c>
      <c r="F623" s="2" t="s">
        <v>14</v>
      </c>
      <c r="G623" s="2" t="s">
        <v>40</v>
      </c>
      <c r="H623" s="2" t="s">
        <v>31</v>
      </c>
      <c r="I623" s="2">
        <v>250000</v>
      </c>
      <c r="J623" s="2">
        <v>1</v>
      </c>
      <c r="K623" s="2" t="s">
        <v>28</v>
      </c>
      <c r="L623" s="2">
        <f t="shared" si="2"/>
        <v>200000</v>
      </c>
    </row>
    <row r="624" spans="1:12" ht="14.25" customHeight="1" x14ac:dyDescent="0.2">
      <c r="A624" s="33">
        <v>46298</v>
      </c>
      <c r="B624" s="33"/>
      <c r="C624" s="2" t="s">
        <v>18</v>
      </c>
      <c r="D624" s="2" t="s">
        <v>26</v>
      </c>
      <c r="E624" s="2" t="s">
        <v>13</v>
      </c>
      <c r="F624" s="2" t="s">
        <v>20</v>
      </c>
      <c r="G624" s="2" t="s">
        <v>21</v>
      </c>
      <c r="H624" s="2" t="s">
        <v>22</v>
      </c>
      <c r="I624" s="2">
        <v>30000</v>
      </c>
      <c r="J624" s="2">
        <v>5</v>
      </c>
      <c r="K624" s="2" t="s">
        <v>28</v>
      </c>
      <c r="L624" s="2">
        <f t="shared" si="2"/>
        <v>24000</v>
      </c>
    </row>
    <row r="625" spans="1:12" ht="14.25" customHeight="1" x14ac:dyDescent="0.2">
      <c r="A625" s="33">
        <v>46299</v>
      </c>
      <c r="B625" s="33"/>
      <c r="C625" s="2" t="s">
        <v>25</v>
      </c>
      <c r="D625" s="2" t="s">
        <v>26</v>
      </c>
      <c r="E625" s="2" t="s">
        <v>23</v>
      </c>
      <c r="F625" s="2" t="s">
        <v>14</v>
      </c>
      <c r="G625" s="2" t="s">
        <v>41</v>
      </c>
      <c r="H625" s="2" t="s">
        <v>22</v>
      </c>
      <c r="I625" s="2">
        <v>220000</v>
      </c>
      <c r="J625" s="2">
        <v>5</v>
      </c>
      <c r="K625" s="2" t="s">
        <v>24</v>
      </c>
      <c r="L625" s="2">
        <f t="shared" si="2"/>
        <v>176000</v>
      </c>
    </row>
    <row r="626" spans="1:12" ht="14.25" customHeight="1" x14ac:dyDescent="0.2">
      <c r="A626" s="33">
        <v>46300</v>
      </c>
      <c r="B626" s="33"/>
      <c r="C626" s="2" t="s">
        <v>29</v>
      </c>
      <c r="D626" s="2" t="s">
        <v>26</v>
      </c>
      <c r="E626" s="2" t="s">
        <v>23</v>
      </c>
      <c r="F626" s="2" t="s">
        <v>20</v>
      </c>
      <c r="G626" s="2" t="s">
        <v>40</v>
      </c>
      <c r="H626" s="2" t="s">
        <v>31</v>
      </c>
      <c r="I626" s="2">
        <v>250000</v>
      </c>
      <c r="J626" s="2">
        <v>4</v>
      </c>
      <c r="K626" s="2" t="s">
        <v>35</v>
      </c>
      <c r="L626" s="2">
        <f t="shared" si="2"/>
        <v>200000</v>
      </c>
    </row>
    <row r="627" spans="1:12" ht="14.25" customHeight="1" x14ac:dyDescent="0.2">
      <c r="A627" s="33">
        <v>46301</v>
      </c>
      <c r="B627" s="33"/>
      <c r="C627" s="2" t="s">
        <v>29</v>
      </c>
      <c r="D627" s="2" t="s">
        <v>12</v>
      </c>
      <c r="E627" s="2" t="s">
        <v>13</v>
      </c>
      <c r="F627" s="2" t="s">
        <v>20</v>
      </c>
      <c r="G627" s="2" t="s">
        <v>33</v>
      </c>
      <c r="H627" s="2" t="s">
        <v>22</v>
      </c>
      <c r="I627" s="2">
        <v>180000</v>
      </c>
      <c r="J627" s="2">
        <v>4</v>
      </c>
      <c r="K627" s="2" t="s">
        <v>17</v>
      </c>
      <c r="L627" s="2">
        <f t="shared" si="2"/>
        <v>144000</v>
      </c>
    </row>
    <row r="628" spans="1:12" ht="14.25" customHeight="1" x14ac:dyDescent="0.2">
      <c r="A628" s="33">
        <v>46302</v>
      </c>
      <c r="B628" s="33"/>
      <c r="C628" s="2" t="s">
        <v>25</v>
      </c>
      <c r="D628" s="2" t="s">
        <v>12</v>
      </c>
      <c r="E628" s="2" t="s">
        <v>23</v>
      </c>
      <c r="F628" s="2" t="s">
        <v>20</v>
      </c>
      <c r="G628" s="2" t="s">
        <v>27</v>
      </c>
      <c r="H628" s="2" t="s">
        <v>22</v>
      </c>
      <c r="I628" s="2">
        <v>60000</v>
      </c>
      <c r="J628" s="2">
        <v>10</v>
      </c>
      <c r="K628" s="2" t="s">
        <v>24</v>
      </c>
      <c r="L628" s="2">
        <f t="shared" si="2"/>
        <v>48000</v>
      </c>
    </row>
    <row r="629" spans="1:12" ht="14.25" customHeight="1" x14ac:dyDescent="0.2">
      <c r="A629" s="33">
        <v>46303</v>
      </c>
      <c r="B629" s="33"/>
      <c r="C629" s="2" t="s">
        <v>18</v>
      </c>
      <c r="D629" s="2" t="s">
        <v>26</v>
      </c>
      <c r="E629" s="2" t="s">
        <v>13</v>
      </c>
      <c r="F629" s="2" t="s">
        <v>14</v>
      </c>
      <c r="G629" s="2" t="s">
        <v>34</v>
      </c>
      <c r="H629" s="2" t="s">
        <v>16</v>
      </c>
      <c r="I629" s="2">
        <v>320000</v>
      </c>
      <c r="J629" s="2">
        <v>10</v>
      </c>
      <c r="K629" s="2" t="s">
        <v>17</v>
      </c>
      <c r="L629" s="2">
        <f t="shared" si="2"/>
        <v>256000</v>
      </c>
    </row>
    <row r="630" spans="1:12" ht="14.25" customHeight="1" x14ac:dyDescent="0.2">
      <c r="A630" s="33">
        <v>46304</v>
      </c>
      <c r="B630" s="33"/>
      <c r="C630" s="2" t="s">
        <v>18</v>
      </c>
      <c r="D630" s="2" t="s">
        <v>26</v>
      </c>
      <c r="E630" s="2" t="s">
        <v>13</v>
      </c>
      <c r="F630" s="2" t="s">
        <v>20</v>
      </c>
      <c r="G630" s="2" t="s">
        <v>36</v>
      </c>
      <c r="H630" s="2" t="s">
        <v>31</v>
      </c>
      <c r="I630" s="2">
        <v>150000</v>
      </c>
      <c r="J630" s="2">
        <v>4</v>
      </c>
      <c r="K630" s="2" t="s">
        <v>28</v>
      </c>
      <c r="L630" s="2">
        <f t="shared" si="2"/>
        <v>120000</v>
      </c>
    </row>
    <row r="631" spans="1:12" ht="14.25" customHeight="1" x14ac:dyDescent="0.2">
      <c r="A631" s="33">
        <v>46305</v>
      </c>
      <c r="B631" s="33"/>
      <c r="C631" s="2" t="s">
        <v>11</v>
      </c>
      <c r="D631" s="2" t="s">
        <v>12</v>
      </c>
      <c r="E631" s="2" t="s">
        <v>23</v>
      </c>
      <c r="F631" s="2" t="s">
        <v>20</v>
      </c>
      <c r="G631" s="2" t="s">
        <v>34</v>
      </c>
      <c r="H631" s="2" t="s">
        <v>16</v>
      </c>
      <c r="I631" s="2">
        <v>320000</v>
      </c>
      <c r="J631" s="2">
        <v>4</v>
      </c>
      <c r="K631" s="2" t="s">
        <v>17</v>
      </c>
      <c r="L631" s="2">
        <f t="shared" si="2"/>
        <v>256000</v>
      </c>
    </row>
    <row r="632" spans="1:12" ht="14.25" customHeight="1" x14ac:dyDescent="0.2">
      <c r="A632" s="33">
        <v>46306</v>
      </c>
      <c r="B632" s="33"/>
      <c r="C632" s="2" t="s">
        <v>25</v>
      </c>
      <c r="D632" s="2" t="s">
        <v>19</v>
      </c>
      <c r="E632" s="2" t="s">
        <v>23</v>
      </c>
      <c r="F632" s="2" t="s">
        <v>14</v>
      </c>
      <c r="G632" s="2" t="s">
        <v>30</v>
      </c>
      <c r="H632" s="2" t="s">
        <v>31</v>
      </c>
      <c r="I632" s="2">
        <v>300000</v>
      </c>
      <c r="J632" s="2">
        <v>7</v>
      </c>
      <c r="K632" s="2" t="s">
        <v>37</v>
      </c>
      <c r="L632" s="2">
        <f t="shared" si="2"/>
        <v>240000</v>
      </c>
    </row>
    <row r="633" spans="1:12" ht="14.25" customHeight="1" x14ac:dyDescent="0.2">
      <c r="A633" s="33">
        <v>46307</v>
      </c>
      <c r="B633" s="33"/>
      <c r="C633" s="2" t="s">
        <v>29</v>
      </c>
      <c r="D633" s="2" t="s">
        <v>12</v>
      </c>
      <c r="E633" s="2" t="s">
        <v>23</v>
      </c>
      <c r="F633" s="2" t="s">
        <v>20</v>
      </c>
      <c r="G633" s="2" t="s">
        <v>36</v>
      </c>
      <c r="H633" s="2" t="s">
        <v>31</v>
      </c>
      <c r="I633" s="2">
        <v>150000</v>
      </c>
      <c r="J633" s="2">
        <v>10</v>
      </c>
      <c r="K633" s="2" t="s">
        <v>17</v>
      </c>
      <c r="L633" s="2">
        <f t="shared" si="2"/>
        <v>120000</v>
      </c>
    </row>
    <row r="634" spans="1:12" ht="14.25" customHeight="1" x14ac:dyDescent="0.2">
      <c r="A634" s="33">
        <v>46308</v>
      </c>
      <c r="B634" s="33"/>
      <c r="C634" s="2" t="s">
        <v>25</v>
      </c>
      <c r="D634" s="2" t="s">
        <v>19</v>
      </c>
      <c r="E634" s="2" t="s">
        <v>23</v>
      </c>
      <c r="F634" s="2" t="s">
        <v>14</v>
      </c>
      <c r="G634" s="2" t="s">
        <v>41</v>
      </c>
      <c r="H634" s="2" t="s">
        <v>22</v>
      </c>
      <c r="I634" s="2">
        <v>220000</v>
      </c>
      <c r="J634" s="2">
        <v>9</v>
      </c>
      <c r="K634" s="2" t="s">
        <v>17</v>
      </c>
      <c r="L634" s="2">
        <f t="shared" si="2"/>
        <v>176000</v>
      </c>
    </row>
    <row r="635" spans="1:12" ht="14.25" customHeight="1" x14ac:dyDescent="0.2">
      <c r="A635" s="33">
        <v>46309</v>
      </c>
      <c r="B635" s="33"/>
      <c r="C635" s="2" t="s">
        <v>11</v>
      </c>
      <c r="D635" s="2" t="s">
        <v>32</v>
      </c>
      <c r="E635" s="2" t="s">
        <v>23</v>
      </c>
      <c r="F635" s="2" t="s">
        <v>20</v>
      </c>
      <c r="G635" s="2" t="s">
        <v>15</v>
      </c>
      <c r="H635" s="2" t="s">
        <v>16</v>
      </c>
      <c r="I635" s="2">
        <v>85000</v>
      </c>
      <c r="J635" s="2">
        <v>4</v>
      </c>
      <c r="K635" s="2" t="s">
        <v>28</v>
      </c>
      <c r="L635" s="2">
        <f t="shared" si="2"/>
        <v>68000</v>
      </c>
    </row>
    <row r="636" spans="1:12" ht="14.25" customHeight="1" x14ac:dyDescent="0.2">
      <c r="A636" s="33">
        <v>46310</v>
      </c>
      <c r="B636" s="33"/>
      <c r="C636" s="2" t="s">
        <v>25</v>
      </c>
      <c r="D636" s="2" t="s">
        <v>26</v>
      </c>
      <c r="E636" s="2" t="s">
        <v>23</v>
      </c>
      <c r="F636" s="2" t="s">
        <v>14</v>
      </c>
      <c r="G636" s="2" t="s">
        <v>34</v>
      </c>
      <c r="H636" s="2" t="s">
        <v>16</v>
      </c>
      <c r="I636" s="2">
        <v>320000</v>
      </c>
      <c r="J636" s="2">
        <v>1</v>
      </c>
      <c r="K636" s="2" t="s">
        <v>39</v>
      </c>
      <c r="L636" s="2">
        <f t="shared" si="2"/>
        <v>256000</v>
      </c>
    </row>
    <row r="637" spans="1:12" ht="14.25" customHeight="1" x14ac:dyDescent="0.2">
      <c r="A637" s="33">
        <v>46311</v>
      </c>
      <c r="B637" s="33"/>
      <c r="C637" s="2" t="s">
        <v>18</v>
      </c>
      <c r="D637" s="2" t="s">
        <v>32</v>
      </c>
      <c r="E637" s="2" t="s">
        <v>23</v>
      </c>
      <c r="F637" s="2" t="s">
        <v>20</v>
      </c>
      <c r="G637" s="2" t="s">
        <v>38</v>
      </c>
      <c r="H637" s="2" t="s">
        <v>31</v>
      </c>
      <c r="I637" s="2">
        <v>420000</v>
      </c>
      <c r="J637" s="2">
        <v>1</v>
      </c>
      <c r="K637" s="2" t="s">
        <v>35</v>
      </c>
      <c r="L637" s="2">
        <f t="shared" si="2"/>
        <v>336000</v>
      </c>
    </row>
    <row r="638" spans="1:12" ht="14.25" customHeight="1" x14ac:dyDescent="0.2">
      <c r="A638" s="33">
        <v>46312</v>
      </c>
      <c r="B638" s="33"/>
      <c r="C638" s="2" t="s">
        <v>25</v>
      </c>
      <c r="D638" s="2" t="s">
        <v>26</v>
      </c>
      <c r="E638" s="2" t="s">
        <v>23</v>
      </c>
      <c r="F638" s="2" t="s">
        <v>20</v>
      </c>
      <c r="G638" s="2" t="s">
        <v>38</v>
      </c>
      <c r="H638" s="2" t="s">
        <v>31</v>
      </c>
      <c r="I638" s="2">
        <v>420000</v>
      </c>
      <c r="J638" s="2">
        <v>6</v>
      </c>
      <c r="K638" s="2" t="s">
        <v>24</v>
      </c>
      <c r="L638" s="2">
        <f t="shared" si="2"/>
        <v>336000</v>
      </c>
    </row>
    <row r="639" spans="1:12" ht="14.25" customHeight="1" x14ac:dyDescent="0.2">
      <c r="A639" s="33">
        <v>46313</v>
      </c>
      <c r="B639" s="33"/>
      <c r="C639" s="2" t="s">
        <v>29</v>
      </c>
      <c r="D639" s="2" t="s">
        <v>19</v>
      </c>
      <c r="E639" s="2" t="s">
        <v>23</v>
      </c>
      <c r="F639" s="2" t="s">
        <v>14</v>
      </c>
      <c r="G639" s="2" t="s">
        <v>27</v>
      </c>
      <c r="H639" s="2" t="s">
        <v>22</v>
      </c>
      <c r="I639" s="2">
        <v>60000</v>
      </c>
      <c r="J639" s="2">
        <v>8</v>
      </c>
      <c r="K639" s="2" t="s">
        <v>37</v>
      </c>
      <c r="L639" s="2">
        <f t="shared" si="2"/>
        <v>48000</v>
      </c>
    </row>
    <row r="640" spans="1:12" ht="14.25" customHeight="1" x14ac:dyDescent="0.2">
      <c r="A640" s="33">
        <v>46314</v>
      </c>
      <c r="B640" s="33"/>
      <c r="C640" s="2" t="s">
        <v>18</v>
      </c>
      <c r="D640" s="2" t="s">
        <v>12</v>
      </c>
      <c r="E640" s="2" t="s">
        <v>23</v>
      </c>
      <c r="F640" s="2" t="s">
        <v>20</v>
      </c>
      <c r="G640" s="2" t="s">
        <v>41</v>
      </c>
      <c r="H640" s="2" t="s">
        <v>22</v>
      </c>
      <c r="I640" s="2">
        <v>220000</v>
      </c>
      <c r="J640" s="2">
        <v>7</v>
      </c>
      <c r="K640" s="2" t="s">
        <v>17</v>
      </c>
      <c r="L640" s="2">
        <f t="shared" si="2"/>
        <v>176000</v>
      </c>
    </row>
    <row r="641" spans="1:12" ht="14.25" customHeight="1" x14ac:dyDescent="0.2">
      <c r="A641" s="33">
        <v>46315</v>
      </c>
      <c r="B641" s="33"/>
      <c r="C641" s="2" t="s">
        <v>25</v>
      </c>
      <c r="D641" s="2" t="s">
        <v>12</v>
      </c>
      <c r="E641" s="2" t="s">
        <v>23</v>
      </c>
      <c r="F641" s="2" t="s">
        <v>14</v>
      </c>
      <c r="G641" s="2" t="s">
        <v>34</v>
      </c>
      <c r="H641" s="2" t="s">
        <v>16</v>
      </c>
      <c r="I641" s="2">
        <v>320000</v>
      </c>
      <c r="J641" s="2">
        <v>9</v>
      </c>
      <c r="K641" s="2" t="s">
        <v>35</v>
      </c>
      <c r="L641" s="2">
        <f t="shared" si="2"/>
        <v>256000</v>
      </c>
    </row>
    <row r="642" spans="1:12" ht="14.25" customHeight="1" x14ac:dyDescent="0.2">
      <c r="A642" s="33">
        <v>46316</v>
      </c>
      <c r="B642" s="33"/>
      <c r="C642" s="2" t="s">
        <v>11</v>
      </c>
      <c r="D642" s="2" t="s">
        <v>32</v>
      </c>
      <c r="E642" s="2" t="s">
        <v>23</v>
      </c>
      <c r="F642" s="2" t="s">
        <v>20</v>
      </c>
      <c r="G642" s="2" t="s">
        <v>30</v>
      </c>
      <c r="H642" s="2" t="s">
        <v>31</v>
      </c>
      <c r="I642" s="2">
        <v>300000</v>
      </c>
      <c r="J642" s="2">
        <v>2</v>
      </c>
      <c r="K642" s="2" t="s">
        <v>37</v>
      </c>
      <c r="L642" s="2">
        <f t="shared" si="2"/>
        <v>240000</v>
      </c>
    </row>
    <row r="643" spans="1:12" ht="14.25" customHeight="1" x14ac:dyDescent="0.2">
      <c r="A643" s="33">
        <v>46317</v>
      </c>
      <c r="B643" s="33"/>
      <c r="C643" s="2" t="s">
        <v>25</v>
      </c>
      <c r="D643" s="2" t="s">
        <v>12</v>
      </c>
      <c r="E643" s="2" t="s">
        <v>23</v>
      </c>
      <c r="F643" s="2" t="s">
        <v>14</v>
      </c>
      <c r="G643" s="2" t="s">
        <v>40</v>
      </c>
      <c r="H643" s="2" t="s">
        <v>31</v>
      </c>
      <c r="I643" s="2">
        <v>250000</v>
      </c>
      <c r="J643" s="2">
        <v>4</v>
      </c>
      <c r="K643" s="2" t="s">
        <v>37</v>
      </c>
      <c r="L643" s="2">
        <f t="shared" si="2"/>
        <v>200000</v>
      </c>
    </row>
    <row r="644" spans="1:12" ht="14.25" customHeight="1" x14ac:dyDescent="0.2">
      <c r="A644" s="33">
        <v>46318</v>
      </c>
      <c r="B644" s="33"/>
      <c r="C644" s="2" t="s">
        <v>29</v>
      </c>
      <c r="D644" s="2" t="s">
        <v>19</v>
      </c>
      <c r="E644" s="2" t="s">
        <v>13</v>
      </c>
      <c r="F644" s="2" t="s">
        <v>14</v>
      </c>
      <c r="G644" s="2" t="s">
        <v>21</v>
      </c>
      <c r="H644" s="2" t="s">
        <v>22</v>
      </c>
      <c r="I644" s="2">
        <v>30000</v>
      </c>
      <c r="J644" s="2">
        <v>4</v>
      </c>
      <c r="K644" s="2" t="s">
        <v>37</v>
      </c>
      <c r="L644" s="2">
        <f t="shared" si="2"/>
        <v>24000</v>
      </c>
    </row>
    <row r="645" spans="1:12" ht="14.25" customHeight="1" x14ac:dyDescent="0.2">
      <c r="A645" s="33">
        <v>46319</v>
      </c>
      <c r="B645" s="33"/>
      <c r="C645" s="2" t="s">
        <v>11</v>
      </c>
      <c r="D645" s="2" t="s">
        <v>19</v>
      </c>
      <c r="E645" s="2" t="s">
        <v>13</v>
      </c>
      <c r="F645" s="2" t="s">
        <v>20</v>
      </c>
      <c r="G645" s="2" t="s">
        <v>41</v>
      </c>
      <c r="H645" s="2" t="s">
        <v>22</v>
      </c>
      <c r="I645" s="2">
        <v>220000</v>
      </c>
      <c r="J645" s="2">
        <v>4</v>
      </c>
      <c r="K645" s="2" t="s">
        <v>17</v>
      </c>
      <c r="L645" s="2">
        <f t="shared" si="2"/>
        <v>176000</v>
      </c>
    </row>
    <row r="646" spans="1:12" ht="14.25" customHeight="1" x14ac:dyDescent="0.2">
      <c r="A646" s="33">
        <v>46320</v>
      </c>
      <c r="B646" s="33"/>
      <c r="C646" s="2" t="s">
        <v>29</v>
      </c>
      <c r="D646" s="2" t="s">
        <v>32</v>
      </c>
      <c r="E646" s="2" t="s">
        <v>13</v>
      </c>
      <c r="F646" s="2" t="s">
        <v>20</v>
      </c>
      <c r="G646" s="2" t="s">
        <v>30</v>
      </c>
      <c r="H646" s="2" t="s">
        <v>31</v>
      </c>
      <c r="I646" s="2">
        <v>300000</v>
      </c>
      <c r="J646" s="2">
        <v>2</v>
      </c>
      <c r="K646" s="2" t="s">
        <v>37</v>
      </c>
      <c r="L646" s="2">
        <f t="shared" si="2"/>
        <v>240000</v>
      </c>
    </row>
    <row r="647" spans="1:12" ht="14.25" customHeight="1" x14ac:dyDescent="0.2">
      <c r="A647" s="33">
        <v>46321</v>
      </c>
      <c r="B647" s="33"/>
      <c r="C647" s="2" t="s">
        <v>25</v>
      </c>
      <c r="D647" s="2" t="s">
        <v>19</v>
      </c>
      <c r="E647" s="2" t="s">
        <v>13</v>
      </c>
      <c r="F647" s="2" t="s">
        <v>14</v>
      </c>
      <c r="G647" s="2" t="s">
        <v>34</v>
      </c>
      <c r="H647" s="2" t="s">
        <v>16</v>
      </c>
      <c r="I647" s="2">
        <v>320000</v>
      </c>
      <c r="J647" s="2">
        <v>7</v>
      </c>
      <c r="K647" s="2" t="s">
        <v>24</v>
      </c>
      <c r="L647" s="2">
        <f t="shared" si="2"/>
        <v>256000</v>
      </c>
    </row>
    <row r="648" spans="1:12" ht="14.25" customHeight="1" x14ac:dyDescent="0.2">
      <c r="A648" s="33">
        <v>46322</v>
      </c>
      <c r="B648" s="33"/>
      <c r="C648" s="2" t="s">
        <v>18</v>
      </c>
      <c r="D648" s="2" t="s">
        <v>32</v>
      </c>
      <c r="E648" s="2" t="s">
        <v>23</v>
      </c>
      <c r="F648" s="2" t="s">
        <v>14</v>
      </c>
      <c r="G648" s="2" t="s">
        <v>27</v>
      </c>
      <c r="H648" s="2" t="s">
        <v>22</v>
      </c>
      <c r="I648" s="2">
        <v>60000</v>
      </c>
      <c r="J648" s="2">
        <v>5</v>
      </c>
      <c r="K648" s="2" t="s">
        <v>28</v>
      </c>
      <c r="L648" s="2">
        <f t="shared" si="2"/>
        <v>48000</v>
      </c>
    </row>
    <row r="649" spans="1:12" ht="14.25" customHeight="1" x14ac:dyDescent="0.2">
      <c r="A649" s="33">
        <v>46323</v>
      </c>
      <c r="B649" s="33"/>
      <c r="C649" s="2" t="s">
        <v>25</v>
      </c>
      <c r="D649" s="2" t="s">
        <v>26</v>
      </c>
      <c r="E649" s="2" t="s">
        <v>13</v>
      </c>
      <c r="F649" s="2" t="s">
        <v>14</v>
      </c>
      <c r="G649" s="2" t="s">
        <v>15</v>
      </c>
      <c r="H649" s="2" t="s">
        <v>16</v>
      </c>
      <c r="I649" s="2">
        <v>85000</v>
      </c>
      <c r="J649" s="2">
        <v>7</v>
      </c>
      <c r="K649" s="2" t="s">
        <v>35</v>
      </c>
      <c r="L649" s="2">
        <f t="shared" si="2"/>
        <v>68000</v>
      </c>
    </row>
    <row r="650" spans="1:12" ht="14.25" customHeight="1" x14ac:dyDescent="0.2">
      <c r="A650" s="33">
        <v>46324</v>
      </c>
      <c r="B650" s="33"/>
      <c r="C650" s="2" t="s">
        <v>11</v>
      </c>
      <c r="D650" s="2" t="s">
        <v>19</v>
      </c>
      <c r="E650" s="2" t="s">
        <v>13</v>
      </c>
      <c r="F650" s="2" t="s">
        <v>20</v>
      </c>
      <c r="G650" s="2" t="s">
        <v>30</v>
      </c>
      <c r="H650" s="2" t="s">
        <v>31</v>
      </c>
      <c r="I650" s="2">
        <v>300000</v>
      </c>
      <c r="J650" s="2">
        <v>6</v>
      </c>
      <c r="K650" s="2" t="s">
        <v>39</v>
      </c>
      <c r="L650" s="2">
        <f t="shared" si="2"/>
        <v>240000</v>
      </c>
    </row>
    <row r="651" spans="1:12" ht="14.25" customHeight="1" x14ac:dyDescent="0.2">
      <c r="A651" s="33">
        <v>46325</v>
      </c>
      <c r="B651" s="33"/>
      <c r="C651" s="2" t="s">
        <v>18</v>
      </c>
      <c r="D651" s="2" t="s">
        <v>26</v>
      </c>
      <c r="E651" s="2" t="s">
        <v>23</v>
      </c>
      <c r="F651" s="2" t="s">
        <v>14</v>
      </c>
      <c r="G651" s="2" t="s">
        <v>33</v>
      </c>
      <c r="H651" s="2" t="s">
        <v>22</v>
      </c>
      <c r="I651" s="2">
        <v>180000</v>
      </c>
      <c r="J651" s="2">
        <v>5</v>
      </c>
      <c r="K651" s="2" t="s">
        <v>28</v>
      </c>
      <c r="L651" s="2">
        <f t="shared" si="2"/>
        <v>144000</v>
      </c>
    </row>
    <row r="652" spans="1:12" ht="14.25" customHeight="1" x14ac:dyDescent="0.2">
      <c r="A652" s="33">
        <v>46326</v>
      </c>
      <c r="B652" s="33"/>
      <c r="C652" s="2" t="s">
        <v>18</v>
      </c>
      <c r="D652" s="2" t="s">
        <v>19</v>
      </c>
      <c r="E652" s="2" t="s">
        <v>23</v>
      </c>
      <c r="F652" s="2" t="s">
        <v>20</v>
      </c>
      <c r="G652" s="2" t="s">
        <v>30</v>
      </c>
      <c r="H652" s="2" t="s">
        <v>31</v>
      </c>
      <c r="I652" s="2">
        <v>300000</v>
      </c>
      <c r="J652" s="2">
        <v>1</v>
      </c>
      <c r="K652" s="2" t="s">
        <v>37</v>
      </c>
      <c r="L652" s="2">
        <f t="shared" si="2"/>
        <v>240000</v>
      </c>
    </row>
    <row r="653" spans="1:12" ht="14.25" customHeight="1" x14ac:dyDescent="0.2">
      <c r="A653" s="33">
        <v>46327</v>
      </c>
      <c r="B653" s="33"/>
      <c r="C653" s="2" t="s">
        <v>11</v>
      </c>
      <c r="D653" s="2" t="s">
        <v>12</v>
      </c>
      <c r="E653" s="2" t="s">
        <v>13</v>
      </c>
      <c r="F653" s="2" t="s">
        <v>20</v>
      </c>
      <c r="G653" s="2" t="s">
        <v>27</v>
      </c>
      <c r="H653" s="2" t="s">
        <v>22</v>
      </c>
      <c r="I653" s="2">
        <v>60000</v>
      </c>
      <c r="J653" s="2">
        <v>7</v>
      </c>
      <c r="K653" s="2" t="s">
        <v>24</v>
      </c>
      <c r="L653" s="2">
        <f t="shared" si="2"/>
        <v>48000</v>
      </c>
    </row>
    <row r="654" spans="1:12" ht="14.25" customHeight="1" x14ac:dyDescent="0.2">
      <c r="A654" s="33">
        <v>46328</v>
      </c>
      <c r="B654" s="33"/>
      <c r="C654" s="2" t="s">
        <v>25</v>
      </c>
      <c r="D654" s="2" t="s">
        <v>26</v>
      </c>
      <c r="E654" s="2" t="s">
        <v>13</v>
      </c>
      <c r="F654" s="2" t="s">
        <v>14</v>
      </c>
      <c r="G654" s="2" t="s">
        <v>21</v>
      </c>
      <c r="H654" s="2" t="s">
        <v>22</v>
      </c>
      <c r="I654" s="2">
        <v>30000</v>
      </c>
      <c r="J654" s="2">
        <v>8</v>
      </c>
      <c r="K654" s="2" t="s">
        <v>28</v>
      </c>
      <c r="L654" s="2">
        <f t="shared" si="2"/>
        <v>24000</v>
      </c>
    </row>
    <row r="655" spans="1:12" ht="14.25" customHeight="1" x14ac:dyDescent="0.2">
      <c r="A655" s="33">
        <v>46329</v>
      </c>
      <c r="B655" s="33"/>
      <c r="C655" s="2" t="s">
        <v>11</v>
      </c>
      <c r="D655" s="2" t="s">
        <v>19</v>
      </c>
      <c r="E655" s="2" t="s">
        <v>23</v>
      </c>
      <c r="F655" s="2" t="s">
        <v>14</v>
      </c>
      <c r="G655" s="2" t="s">
        <v>41</v>
      </c>
      <c r="H655" s="2" t="s">
        <v>22</v>
      </c>
      <c r="I655" s="2">
        <v>220000</v>
      </c>
      <c r="J655" s="2">
        <v>3</v>
      </c>
      <c r="K655" s="2" t="s">
        <v>35</v>
      </c>
      <c r="L655" s="2">
        <f t="shared" si="2"/>
        <v>176000</v>
      </c>
    </row>
    <row r="656" spans="1:12" ht="14.25" customHeight="1" x14ac:dyDescent="0.2">
      <c r="A656" s="33">
        <v>46330</v>
      </c>
      <c r="B656" s="33"/>
      <c r="C656" s="2" t="s">
        <v>25</v>
      </c>
      <c r="D656" s="2" t="s">
        <v>19</v>
      </c>
      <c r="E656" s="2" t="s">
        <v>23</v>
      </c>
      <c r="F656" s="2" t="s">
        <v>14</v>
      </c>
      <c r="G656" s="2" t="s">
        <v>41</v>
      </c>
      <c r="H656" s="2" t="s">
        <v>22</v>
      </c>
      <c r="I656" s="2">
        <v>220000</v>
      </c>
      <c r="J656" s="2">
        <v>7</v>
      </c>
      <c r="K656" s="2" t="s">
        <v>35</v>
      </c>
      <c r="L656" s="2">
        <f t="shared" si="2"/>
        <v>176000</v>
      </c>
    </row>
    <row r="657" spans="1:12" ht="14.25" customHeight="1" x14ac:dyDescent="0.2">
      <c r="A657" s="33">
        <v>46331</v>
      </c>
      <c r="B657" s="33"/>
      <c r="C657" s="2" t="s">
        <v>29</v>
      </c>
      <c r="D657" s="2" t="s">
        <v>12</v>
      </c>
      <c r="E657" s="2" t="s">
        <v>13</v>
      </c>
      <c r="F657" s="2" t="s">
        <v>20</v>
      </c>
      <c r="G657" s="2" t="s">
        <v>33</v>
      </c>
      <c r="H657" s="2" t="s">
        <v>22</v>
      </c>
      <c r="I657" s="2">
        <v>180000</v>
      </c>
      <c r="J657" s="2">
        <v>2</v>
      </c>
      <c r="K657" s="2" t="s">
        <v>24</v>
      </c>
      <c r="L657" s="2">
        <f t="shared" si="2"/>
        <v>144000</v>
      </c>
    </row>
    <row r="658" spans="1:12" ht="14.25" customHeight="1" x14ac:dyDescent="0.2">
      <c r="A658" s="33">
        <v>46332</v>
      </c>
      <c r="B658" s="33"/>
      <c r="C658" s="2" t="s">
        <v>11</v>
      </c>
      <c r="D658" s="2" t="s">
        <v>26</v>
      </c>
      <c r="E658" s="2" t="s">
        <v>13</v>
      </c>
      <c r="F658" s="2" t="s">
        <v>20</v>
      </c>
      <c r="G658" s="2" t="s">
        <v>27</v>
      </c>
      <c r="H658" s="2" t="s">
        <v>22</v>
      </c>
      <c r="I658" s="2">
        <v>60000</v>
      </c>
      <c r="J658" s="2">
        <v>8</v>
      </c>
      <c r="K658" s="2" t="s">
        <v>37</v>
      </c>
      <c r="L658" s="2">
        <f t="shared" si="2"/>
        <v>48000</v>
      </c>
    </row>
    <row r="659" spans="1:12" ht="14.25" customHeight="1" x14ac:dyDescent="0.2">
      <c r="A659" s="33">
        <v>46333</v>
      </c>
      <c r="B659" s="33"/>
      <c r="C659" s="2" t="s">
        <v>29</v>
      </c>
      <c r="D659" s="2" t="s">
        <v>19</v>
      </c>
      <c r="E659" s="2" t="s">
        <v>13</v>
      </c>
      <c r="F659" s="2" t="s">
        <v>14</v>
      </c>
      <c r="G659" s="2" t="s">
        <v>21</v>
      </c>
      <c r="H659" s="2" t="s">
        <v>22</v>
      </c>
      <c r="I659" s="2">
        <v>30000</v>
      </c>
      <c r="J659" s="2">
        <v>2</v>
      </c>
      <c r="K659" s="2" t="s">
        <v>35</v>
      </c>
      <c r="L659" s="2">
        <f t="shared" si="2"/>
        <v>24000</v>
      </c>
    </row>
    <row r="660" spans="1:12" ht="14.25" customHeight="1" x14ac:dyDescent="0.2">
      <c r="A660" s="33">
        <v>46334</v>
      </c>
      <c r="B660" s="33"/>
      <c r="C660" s="2" t="s">
        <v>29</v>
      </c>
      <c r="D660" s="2" t="s">
        <v>19</v>
      </c>
      <c r="E660" s="2" t="s">
        <v>23</v>
      </c>
      <c r="F660" s="2" t="s">
        <v>14</v>
      </c>
      <c r="G660" s="2" t="s">
        <v>36</v>
      </c>
      <c r="H660" s="2" t="s">
        <v>31</v>
      </c>
      <c r="I660" s="2">
        <v>150000</v>
      </c>
      <c r="J660" s="2">
        <v>5</v>
      </c>
      <c r="K660" s="2" t="s">
        <v>35</v>
      </c>
      <c r="L660" s="2">
        <f t="shared" si="2"/>
        <v>120000</v>
      </c>
    </row>
    <row r="661" spans="1:12" ht="14.25" customHeight="1" x14ac:dyDescent="0.2">
      <c r="A661" s="33">
        <v>46335</v>
      </c>
      <c r="B661" s="33"/>
      <c r="C661" s="2" t="s">
        <v>11</v>
      </c>
      <c r="D661" s="2" t="s">
        <v>19</v>
      </c>
      <c r="E661" s="2" t="s">
        <v>23</v>
      </c>
      <c r="F661" s="2" t="s">
        <v>20</v>
      </c>
      <c r="G661" s="2" t="s">
        <v>40</v>
      </c>
      <c r="H661" s="2" t="s">
        <v>31</v>
      </c>
      <c r="I661" s="2">
        <v>250000</v>
      </c>
      <c r="J661" s="2">
        <v>5</v>
      </c>
      <c r="K661" s="2" t="s">
        <v>35</v>
      </c>
      <c r="L661" s="2">
        <f t="shared" si="2"/>
        <v>200000</v>
      </c>
    </row>
    <row r="662" spans="1:12" ht="14.25" customHeight="1" x14ac:dyDescent="0.2">
      <c r="A662" s="33">
        <v>46336</v>
      </c>
      <c r="B662" s="33"/>
      <c r="C662" s="2" t="s">
        <v>25</v>
      </c>
      <c r="D662" s="2" t="s">
        <v>12</v>
      </c>
      <c r="E662" s="2" t="s">
        <v>23</v>
      </c>
      <c r="F662" s="2" t="s">
        <v>14</v>
      </c>
      <c r="G662" s="2" t="s">
        <v>15</v>
      </c>
      <c r="H662" s="2" t="s">
        <v>16</v>
      </c>
      <c r="I662" s="2">
        <v>85000</v>
      </c>
      <c r="J662" s="2">
        <v>4</v>
      </c>
      <c r="K662" s="2" t="s">
        <v>24</v>
      </c>
      <c r="L662" s="2">
        <f t="shared" si="2"/>
        <v>68000</v>
      </c>
    </row>
    <row r="663" spans="1:12" ht="14.25" customHeight="1" x14ac:dyDescent="0.2">
      <c r="A663" s="33">
        <v>46337</v>
      </c>
      <c r="B663" s="33"/>
      <c r="C663" s="2" t="s">
        <v>11</v>
      </c>
      <c r="D663" s="2" t="s">
        <v>26</v>
      </c>
      <c r="E663" s="2" t="s">
        <v>13</v>
      </c>
      <c r="F663" s="2" t="s">
        <v>20</v>
      </c>
      <c r="G663" s="2" t="s">
        <v>30</v>
      </c>
      <c r="H663" s="2" t="s">
        <v>31</v>
      </c>
      <c r="I663" s="2">
        <v>300000</v>
      </c>
      <c r="J663" s="2">
        <v>10</v>
      </c>
      <c r="K663" s="2" t="s">
        <v>24</v>
      </c>
      <c r="L663" s="2">
        <f t="shared" si="2"/>
        <v>240000</v>
      </c>
    </row>
    <row r="664" spans="1:12" ht="14.25" customHeight="1" x14ac:dyDescent="0.2">
      <c r="A664" s="33">
        <v>46338</v>
      </c>
      <c r="B664" s="33"/>
      <c r="C664" s="2" t="s">
        <v>25</v>
      </c>
      <c r="D664" s="2" t="s">
        <v>12</v>
      </c>
      <c r="E664" s="2" t="s">
        <v>23</v>
      </c>
      <c r="F664" s="2" t="s">
        <v>14</v>
      </c>
      <c r="G664" s="2" t="s">
        <v>40</v>
      </c>
      <c r="H664" s="2" t="s">
        <v>31</v>
      </c>
      <c r="I664" s="2">
        <v>250000</v>
      </c>
      <c r="J664" s="2">
        <v>8</v>
      </c>
      <c r="K664" s="2" t="s">
        <v>39</v>
      </c>
      <c r="L664" s="2">
        <f t="shared" si="2"/>
        <v>200000</v>
      </c>
    </row>
    <row r="665" spans="1:12" ht="14.25" customHeight="1" x14ac:dyDescent="0.2">
      <c r="A665" s="33">
        <v>46339</v>
      </c>
      <c r="B665" s="33"/>
      <c r="C665" s="2" t="s">
        <v>11</v>
      </c>
      <c r="D665" s="2" t="s">
        <v>19</v>
      </c>
      <c r="E665" s="2" t="s">
        <v>13</v>
      </c>
      <c r="F665" s="2" t="s">
        <v>20</v>
      </c>
      <c r="G665" s="2" t="s">
        <v>34</v>
      </c>
      <c r="H665" s="2" t="s">
        <v>16</v>
      </c>
      <c r="I665" s="2">
        <v>320000</v>
      </c>
      <c r="J665" s="2">
        <v>4</v>
      </c>
      <c r="K665" s="2" t="s">
        <v>39</v>
      </c>
      <c r="L665" s="2">
        <f t="shared" si="2"/>
        <v>256000</v>
      </c>
    </row>
    <row r="666" spans="1:12" ht="14.25" customHeight="1" x14ac:dyDescent="0.2">
      <c r="A666" s="33">
        <v>46340</v>
      </c>
      <c r="B666" s="33"/>
      <c r="C666" s="2" t="s">
        <v>29</v>
      </c>
      <c r="D666" s="2" t="s">
        <v>19</v>
      </c>
      <c r="E666" s="2" t="s">
        <v>23</v>
      </c>
      <c r="F666" s="2" t="s">
        <v>20</v>
      </c>
      <c r="G666" s="2" t="s">
        <v>21</v>
      </c>
      <c r="H666" s="2" t="s">
        <v>22</v>
      </c>
      <c r="I666" s="2">
        <v>30000</v>
      </c>
      <c r="J666" s="2">
        <v>10</v>
      </c>
      <c r="K666" s="2" t="s">
        <v>28</v>
      </c>
      <c r="L666" s="2">
        <f t="shared" si="2"/>
        <v>24000</v>
      </c>
    </row>
    <row r="667" spans="1:12" ht="14.25" customHeight="1" x14ac:dyDescent="0.2">
      <c r="A667" s="33">
        <v>46341</v>
      </c>
      <c r="B667" s="33"/>
      <c r="C667" s="2" t="s">
        <v>29</v>
      </c>
      <c r="D667" s="2" t="s">
        <v>12</v>
      </c>
      <c r="E667" s="2" t="s">
        <v>23</v>
      </c>
      <c r="F667" s="2" t="s">
        <v>14</v>
      </c>
      <c r="G667" s="2" t="s">
        <v>40</v>
      </c>
      <c r="H667" s="2" t="s">
        <v>31</v>
      </c>
      <c r="I667" s="2">
        <v>250000</v>
      </c>
      <c r="J667" s="2">
        <v>4</v>
      </c>
      <c r="K667" s="2" t="s">
        <v>37</v>
      </c>
      <c r="L667" s="2">
        <f t="shared" si="2"/>
        <v>200000</v>
      </c>
    </row>
    <row r="668" spans="1:12" ht="14.25" customHeight="1" x14ac:dyDescent="0.2">
      <c r="A668" s="33">
        <v>46342</v>
      </c>
      <c r="B668" s="33"/>
      <c r="C668" s="2" t="s">
        <v>18</v>
      </c>
      <c r="D668" s="2" t="s">
        <v>12</v>
      </c>
      <c r="E668" s="2" t="s">
        <v>23</v>
      </c>
      <c r="F668" s="2" t="s">
        <v>14</v>
      </c>
      <c r="G668" s="2" t="s">
        <v>34</v>
      </c>
      <c r="H668" s="2" t="s">
        <v>16</v>
      </c>
      <c r="I668" s="2">
        <v>320000</v>
      </c>
      <c r="J668" s="2">
        <v>5</v>
      </c>
      <c r="K668" s="2" t="s">
        <v>28</v>
      </c>
      <c r="L668" s="2">
        <f t="shared" si="2"/>
        <v>256000</v>
      </c>
    </row>
    <row r="669" spans="1:12" ht="14.25" customHeight="1" x14ac:dyDescent="0.2">
      <c r="A669" s="33">
        <v>46343</v>
      </c>
      <c r="B669" s="33"/>
      <c r="C669" s="2" t="s">
        <v>18</v>
      </c>
      <c r="D669" s="2" t="s">
        <v>19</v>
      </c>
      <c r="E669" s="2" t="s">
        <v>13</v>
      </c>
      <c r="F669" s="2" t="s">
        <v>20</v>
      </c>
      <c r="G669" s="2" t="s">
        <v>34</v>
      </c>
      <c r="H669" s="2" t="s">
        <v>16</v>
      </c>
      <c r="I669" s="2">
        <v>320000</v>
      </c>
      <c r="J669" s="2">
        <v>9</v>
      </c>
      <c r="K669" s="2" t="s">
        <v>39</v>
      </c>
      <c r="L669" s="2">
        <f t="shared" si="2"/>
        <v>256000</v>
      </c>
    </row>
    <row r="670" spans="1:12" ht="14.25" customHeight="1" x14ac:dyDescent="0.2">
      <c r="A670" s="33">
        <v>46344</v>
      </c>
      <c r="B670" s="33"/>
      <c r="C670" s="2" t="s">
        <v>18</v>
      </c>
      <c r="D670" s="2" t="s">
        <v>19</v>
      </c>
      <c r="E670" s="2" t="s">
        <v>13</v>
      </c>
      <c r="F670" s="2" t="s">
        <v>14</v>
      </c>
      <c r="G670" s="2" t="s">
        <v>33</v>
      </c>
      <c r="H670" s="2" t="s">
        <v>22</v>
      </c>
      <c r="I670" s="2">
        <v>180000</v>
      </c>
      <c r="J670" s="2">
        <v>1</v>
      </c>
      <c r="K670" s="2" t="s">
        <v>37</v>
      </c>
      <c r="L670" s="2">
        <f t="shared" si="2"/>
        <v>144000</v>
      </c>
    </row>
    <row r="671" spans="1:12" ht="14.25" customHeight="1" x14ac:dyDescent="0.2">
      <c r="A671" s="33">
        <v>46345</v>
      </c>
      <c r="B671" s="33"/>
      <c r="C671" s="2" t="s">
        <v>25</v>
      </c>
      <c r="D671" s="2" t="s">
        <v>12</v>
      </c>
      <c r="E671" s="2" t="s">
        <v>13</v>
      </c>
      <c r="F671" s="2" t="s">
        <v>14</v>
      </c>
      <c r="G671" s="2" t="s">
        <v>21</v>
      </c>
      <c r="H671" s="2" t="s">
        <v>22</v>
      </c>
      <c r="I671" s="2">
        <v>30000</v>
      </c>
      <c r="J671" s="2">
        <v>7</v>
      </c>
      <c r="K671" s="2" t="s">
        <v>28</v>
      </c>
      <c r="L671" s="2">
        <f t="shared" si="2"/>
        <v>24000</v>
      </c>
    </row>
    <row r="672" spans="1:12" ht="14.25" customHeight="1" x14ac:dyDescent="0.2">
      <c r="A672" s="33">
        <v>46346</v>
      </c>
      <c r="B672" s="33"/>
      <c r="C672" s="2" t="s">
        <v>29</v>
      </c>
      <c r="D672" s="2" t="s">
        <v>32</v>
      </c>
      <c r="E672" s="2" t="s">
        <v>23</v>
      </c>
      <c r="F672" s="2" t="s">
        <v>20</v>
      </c>
      <c r="G672" s="2" t="s">
        <v>41</v>
      </c>
      <c r="H672" s="2" t="s">
        <v>22</v>
      </c>
      <c r="I672" s="2">
        <v>220000</v>
      </c>
      <c r="J672" s="2">
        <v>5</v>
      </c>
      <c r="K672" s="2" t="s">
        <v>35</v>
      </c>
      <c r="L672" s="2">
        <f t="shared" si="2"/>
        <v>176000</v>
      </c>
    </row>
    <row r="673" spans="1:12" ht="14.25" customHeight="1" x14ac:dyDescent="0.2">
      <c r="A673" s="33">
        <v>46347</v>
      </c>
      <c r="B673" s="33"/>
      <c r="C673" s="2" t="s">
        <v>29</v>
      </c>
      <c r="D673" s="2" t="s">
        <v>32</v>
      </c>
      <c r="E673" s="2" t="s">
        <v>23</v>
      </c>
      <c r="F673" s="2" t="s">
        <v>14</v>
      </c>
      <c r="G673" s="2" t="s">
        <v>33</v>
      </c>
      <c r="H673" s="2" t="s">
        <v>22</v>
      </c>
      <c r="I673" s="2">
        <v>180000</v>
      </c>
      <c r="J673" s="2">
        <v>4</v>
      </c>
      <c r="K673" s="2" t="s">
        <v>39</v>
      </c>
      <c r="L673" s="2">
        <f t="shared" si="2"/>
        <v>144000</v>
      </c>
    </row>
    <row r="674" spans="1:12" ht="14.25" customHeight="1" x14ac:dyDescent="0.2">
      <c r="A674" s="33">
        <v>46348</v>
      </c>
      <c r="B674" s="33"/>
      <c r="C674" s="2" t="s">
        <v>25</v>
      </c>
      <c r="D674" s="2" t="s">
        <v>12</v>
      </c>
      <c r="E674" s="2" t="s">
        <v>23</v>
      </c>
      <c r="F674" s="2" t="s">
        <v>14</v>
      </c>
      <c r="G674" s="2" t="s">
        <v>33</v>
      </c>
      <c r="H674" s="2" t="s">
        <v>22</v>
      </c>
      <c r="I674" s="2">
        <v>180000</v>
      </c>
      <c r="J674" s="2">
        <v>2</v>
      </c>
      <c r="K674" s="2" t="s">
        <v>28</v>
      </c>
      <c r="L674" s="2">
        <f t="shared" si="2"/>
        <v>144000</v>
      </c>
    </row>
    <row r="675" spans="1:12" ht="14.25" customHeight="1" x14ac:dyDescent="0.2">
      <c r="A675" s="33">
        <v>46349</v>
      </c>
      <c r="B675" s="33"/>
      <c r="C675" s="2" t="s">
        <v>11</v>
      </c>
      <c r="D675" s="2" t="s">
        <v>26</v>
      </c>
      <c r="E675" s="2" t="s">
        <v>23</v>
      </c>
      <c r="F675" s="2" t="s">
        <v>14</v>
      </c>
      <c r="G675" s="2" t="s">
        <v>41</v>
      </c>
      <c r="H675" s="2" t="s">
        <v>22</v>
      </c>
      <c r="I675" s="2">
        <v>220000</v>
      </c>
      <c r="J675" s="2">
        <v>2</v>
      </c>
      <c r="K675" s="2" t="s">
        <v>37</v>
      </c>
      <c r="L675" s="2">
        <f t="shared" si="2"/>
        <v>176000</v>
      </c>
    </row>
    <row r="676" spans="1:12" ht="14.25" customHeight="1" x14ac:dyDescent="0.2">
      <c r="A676" s="33">
        <v>46350</v>
      </c>
      <c r="B676" s="33"/>
      <c r="C676" s="2" t="s">
        <v>11</v>
      </c>
      <c r="D676" s="2" t="s">
        <v>19</v>
      </c>
      <c r="E676" s="2" t="s">
        <v>23</v>
      </c>
      <c r="F676" s="2" t="s">
        <v>20</v>
      </c>
      <c r="G676" s="2" t="s">
        <v>27</v>
      </c>
      <c r="H676" s="2" t="s">
        <v>22</v>
      </c>
      <c r="I676" s="2">
        <v>60000</v>
      </c>
      <c r="J676" s="2">
        <v>10</v>
      </c>
      <c r="K676" s="2" t="s">
        <v>37</v>
      </c>
      <c r="L676" s="2">
        <f t="shared" si="2"/>
        <v>48000</v>
      </c>
    </row>
    <row r="677" spans="1:12" ht="14.25" customHeight="1" x14ac:dyDescent="0.2">
      <c r="A677" s="33">
        <v>46351</v>
      </c>
      <c r="B677" s="33"/>
      <c r="C677" s="2" t="s">
        <v>29</v>
      </c>
      <c r="D677" s="2" t="s">
        <v>12</v>
      </c>
      <c r="E677" s="2" t="s">
        <v>13</v>
      </c>
      <c r="F677" s="2" t="s">
        <v>20</v>
      </c>
      <c r="G677" s="2" t="s">
        <v>21</v>
      </c>
      <c r="H677" s="2" t="s">
        <v>22</v>
      </c>
      <c r="I677" s="2">
        <v>30000</v>
      </c>
      <c r="J677" s="2">
        <v>2</v>
      </c>
      <c r="K677" s="2" t="s">
        <v>39</v>
      </c>
      <c r="L677" s="2">
        <f t="shared" si="2"/>
        <v>24000</v>
      </c>
    </row>
    <row r="678" spans="1:12" ht="14.25" customHeight="1" x14ac:dyDescent="0.2">
      <c r="A678" s="33">
        <v>46352</v>
      </c>
      <c r="B678" s="33"/>
      <c r="C678" s="2" t="s">
        <v>18</v>
      </c>
      <c r="D678" s="2" t="s">
        <v>19</v>
      </c>
      <c r="E678" s="2" t="s">
        <v>23</v>
      </c>
      <c r="F678" s="2" t="s">
        <v>14</v>
      </c>
      <c r="G678" s="2" t="s">
        <v>30</v>
      </c>
      <c r="H678" s="2" t="s">
        <v>31</v>
      </c>
      <c r="I678" s="2">
        <v>300000</v>
      </c>
      <c r="J678" s="2">
        <v>3</v>
      </c>
      <c r="K678" s="2" t="s">
        <v>24</v>
      </c>
      <c r="L678" s="2">
        <f t="shared" si="2"/>
        <v>240000</v>
      </c>
    </row>
    <row r="679" spans="1:12" ht="14.25" customHeight="1" x14ac:dyDescent="0.2">
      <c r="A679" s="33">
        <v>46353</v>
      </c>
      <c r="B679" s="33"/>
      <c r="C679" s="2" t="s">
        <v>25</v>
      </c>
      <c r="D679" s="2" t="s">
        <v>26</v>
      </c>
      <c r="E679" s="2" t="s">
        <v>13</v>
      </c>
      <c r="F679" s="2" t="s">
        <v>20</v>
      </c>
      <c r="G679" s="2" t="s">
        <v>21</v>
      </c>
      <c r="H679" s="2" t="s">
        <v>22</v>
      </c>
      <c r="I679" s="2">
        <v>30000</v>
      </c>
      <c r="J679" s="2">
        <v>8</v>
      </c>
      <c r="K679" s="2" t="s">
        <v>17</v>
      </c>
      <c r="L679" s="2">
        <f t="shared" si="2"/>
        <v>24000</v>
      </c>
    </row>
    <row r="680" spans="1:12" ht="14.25" customHeight="1" x14ac:dyDescent="0.2">
      <c r="A680" s="33">
        <v>46354</v>
      </c>
      <c r="B680" s="33"/>
      <c r="C680" s="2" t="s">
        <v>29</v>
      </c>
      <c r="D680" s="2" t="s">
        <v>12</v>
      </c>
      <c r="E680" s="2" t="s">
        <v>13</v>
      </c>
      <c r="F680" s="2" t="s">
        <v>14</v>
      </c>
      <c r="G680" s="2" t="s">
        <v>30</v>
      </c>
      <c r="H680" s="2" t="s">
        <v>31</v>
      </c>
      <c r="I680" s="2">
        <v>300000</v>
      </c>
      <c r="J680" s="2">
        <v>7</v>
      </c>
      <c r="K680" s="2" t="s">
        <v>17</v>
      </c>
      <c r="L680" s="2">
        <f t="shared" si="2"/>
        <v>240000</v>
      </c>
    </row>
    <row r="681" spans="1:12" ht="14.25" customHeight="1" x14ac:dyDescent="0.2">
      <c r="A681" s="33">
        <v>46355</v>
      </c>
      <c r="B681" s="33"/>
      <c r="C681" s="2" t="s">
        <v>18</v>
      </c>
      <c r="D681" s="2" t="s">
        <v>12</v>
      </c>
      <c r="E681" s="2" t="s">
        <v>13</v>
      </c>
      <c r="F681" s="2" t="s">
        <v>14</v>
      </c>
      <c r="G681" s="2" t="s">
        <v>21</v>
      </c>
      <c r="H681" s="2" t="s">
        <v>22</v>
      </c>
      <c r="I681" s="2">
        <v>30000</v>
      </c>
      <c r="J681" s="2">
        <v>2</v>
      </c>
      <c r="K681" s="2" t="s">
        <v>35</v>
      </c>
      <c r="L681" s="2">
        <f t="shared" si="2"/>
        <v>24000</v>
      </c>
    </row>
    <row r="682" spans="1:12" ht="14.25" customHeight="1" x14ac:dyDescent="0.2">
      <c r="A682" s="33">
        <v>46356</v>
      </c>
      <c r="B682" s="33"/>
      <c r="C682" s="2" t="s">
        <v>18</v>
      </c>
      <c r="D682" s="2" t="s">
        <v>12</v>
      </c>
      <c r="E682" s="2" t="s">
        <v>23</v>
      </c>
      <c r="F682" s="2" t="s">
        <v>20</v>
      </c>
      <c r="G682" s="2" t="s">
        <v>41</v>
      </c>
      <c r="H682" s="2" t="s">
        <v>22</v>
      </c>
      <c r="I682" s="2">
        <v>220000</v>
      </c>
      <c r="J682" s="2">
        <v>8</v>
      </c>
      <c r="K682" s="2" t="s">
        <v>28</v>
      </c>
      <c r="L682" s="2">
        <f t="shared" si="2"/>
        <v>176000</v>
      </c>
    </row>
    <row r="683" spans="1:12" ht="14.25" customHeight="1" x14ac:dyDescent="0.2">
      <c r="A683" s="33">
        <v>46357</v>
      </c>
      <c r="B683" s="33"/>
      <c r="C683" s="2" t="s">
        <v>11</v>
      </c>
      <c r="D683" s="2" t="s">
        <v>26</v>
      </c>
      <c r="E683" s="2" t="s">
        <v>13</v>
      </c>
      <c r="F683" s="2" t="s">
        <v>14</v>
      </c>
      <c r="G683" s="2" t="s">
        <v>27</v>
      </c>
      <c r="H683" s="2" t="s">
        <v>22</v>
      </c>
      <c r="I683" s="2">
        <v>60000</v>
      </c>
      <c r="J683" s="2">
        <v>1</v>
      </c>
      <c r="K683" s="2" t="s">
        <v>17</v>
      </c>
      <c r="L683" s="2">
        <f t="shared" si="2"/>
        <v>48000</v>
      </c>
    </row>
    <row r="684" spans="1:12" ht="14.25" customHeight="1" x14ac:dyDescent="0.2">
      <c r="A684" s="33">
        <v>46358</v>
      </c>
      <c r="B684" s="33"/>
      <c r="C684" s="2" t="s">
        <v>25</v>
      </c>
      <c r="D684" s="2" t="s">
        <v>26</v>
      </c>
      <c r="E684" s="2" t="s">
        <v>23</v>
      </c>
      <c r="F684" s="2" t="s">
        <v>14</v>
      </c>
      <c r="G684" s="2" t="s">
        <v>15</v>
      </c>
      <c r="H684" s="2" t="s">
        <v>16</v>
      </c>
      <c r="I684" s="2">
        <v>85000</v>
      </c>
      <c r="J684" s="2">
        <v>9</v>
      </c>
      <c r="K684" s="2" t="s">
        <v>37</v>
      </c>
      <c r="L684" s="2">
        <f t="shared" si="2"/>
        <v>68000</v>
      </c>
    </row>
    <row r="685" spans="1:12" ht="14.25" customHeight="1" x14ac:dyDescent="0.2">
      <c r="A685" s="33">
        <v>46359</v>
      </c>
      <c r="B685" s="33"/>
      <c r="C685" s="2" t="s">
        <v>18</v>
      </c>
      <c r="D685" s="2" t="s">
        <v>19</v>
      </c>
      <c r="E685" s="2" t="s">
        <v>13</v>
      </c>
      <c r="F685" s="2" t="s">
        <v>20</v>
      </c>
      <c r="G685" s="2" t="s">
        <v>15</v>
      </c>
      <c r="H685" s="2" t="s">
        <v>16</v>
      </c>
      <c r="I685" s="2">
        <v>85000</v>
      </c>
      <c r="J685" s="2">
        <v>4</v>
      </c>
      <c r="K685" s="2" t="s">
        <v>35</v>
      </c>
      <c r="L685" s="2">
        <f t="shared" si="2"/>
        <v>68000</v>
      </c>
    </row>
    <row r="686" spans="1:12" ht="14.25" customHeight="1" x14ac:dyDescent="0.2">
      <c r="A686" s="33">
        <v>46360</v>
      </c>
      <c r="B686" s="33"/>
      <c r="C686" s="2" t="s">
        <v>18</v>
      </c>
      <c r="D686" s="2" t="s">
        <v>32</v>
      </c>
      <c r="E686" s="2" t="s">
        <v>23</v>
      </c>
      <c r="F686" s="2" t="s">
        <v>20</v>
      </c>
      <c r="G686" s="2" t="s">
        <v>33</v>
      </c>
      <c r="H686" s="2" t="s">
        <v>22</v>
      </c>
      <c r="I686" s="2">
        <v>180000</v>
      </c>
      <c r="J686" s="2">
        <v>6</v>
      </c>
      <c r="K686" s="2" t="s">
        <v>17</v>
      </c>
      <c r="L686" s="2">
        <f t="shared" si="2"/>
        <v>144000</v>
      </c>
    </row>
    <row r="687" spans="1:12" ht="14.25" customHeight="1" x14ac:dyDescent="0.2">
      <c r="A687" s="33">
        <v>46361</v>
      </c>
      <c r="B687" s="33"/>
      <c r="C687" s="2" t="s">
        <v>11</v>
      </c>
      <c r="D687" s="2" t="s">
        <v>32</v>
      </c>
      <c r="E687" s="2" t="s">
        <v>13</v>
      </c>
      <c r="F687" s="2" t="s">
        <v>14</v>
      </c>
      <c r="G687" s="2" t="s">
        <v>33</v>
      </c>
      <c r="H687" s="2" t="s">
        <v>22</v>
      </c>
      <c r="I687" s="2">
        <v>180000</v>
      </c>
      <c r="J687" s="2">
        <v>2</v>
      </c>
      <c r="K687" s="2" t="s">
        <v>39</v>
      </c>
      <c r="L687" s="2">
        <f t="shared" si="2"/>
        <v>144000</v>
      </c>
    </row>
    <row r="688" spans="1:12" ht="14.25" customHeight="1" x14ac:dyDescent="0.2">
      <c r="A688" s="33">
        <v>46362</v>
      </c>
      <c r="B688" s="33"/>
      <c r="C688" s="2" t="s">
        <v>29</v>
      </c>
      <c r="D688" s="2" t="s">
        <v>12</v>
      </c>
      <c r="E688" s="2" t="s">
        <v>13</v>
      </c>
      <c r="F688" s="2" t="s">
        <v>14</v>
      </c>
      <c r="G688" s="2" t="s">
        <v>27</v>
      </c>
      <c r="H688" s="2" t="s">
        <v>22</v>
      </c>
      <c r="I688" s="2">
        <v>60000</v>
      </c>
      <c r="J688" s="2">
        <v>8</v>
      </c>
      <c r="K688" s="2" t="s">
        <v>28</v>
      </c>
      <c r="L688" s="2">
        <f t="shared" si="2"/>
        <v>48000</v>
      </c>
    </row>
    <row r="689" spans="1:12" ht="14.25" customHeight="1" x14ac:dyDescent="0.2">
      <c r="A689" s="33">
        <v>46363</v>
      </c>
      <c r="B689" s="33"/>
      <c r="C689" s="2" t="s">
        <v>29</v>
      </c>
      <c r="D689" s="2" t="s">
        <v>32</v>
      </c>
      <c r="E689" s="2" t="s">
        <v>13</v>
      </c>
      <c r="F689" s="2" t="s">
        <v>14</v>
      </c>
      <c r="G689" s="2" t="s">
        <v>34</v>
      </c>
      <c r="H689" s="2" t="s">
        <v>16</v>
      </c>
      <c r="I689" s="2">
        <v>320000</v>
      </c>
      <c r="J689" s="2">
        <v>4</v>
      </c>
      <c r="K689" s="2" t="s">
        <v>35</v>
      </c>
      <c r="L689" s="2">
        <f t="shared" si="2"/>
        <v>256000</v>
      </c>
    </row>
    <row r="690" spans="1:12" ht="14.25" customHeight="1" x14ac:dyDescent="0.2">
      <c r="A690" s="33">
        <v>46364</v>
      </c>
      <c r="B690" s="33"/>
      <c r="C690" s="2" t="s">
        <v>18</v>
      </c>
      <c r="D690" s="2" t="s">
        <v>19</v>
      </c>
      <c r="E690" s="2" t="s">
        <v>23</v>
      </c>
      <c r="F690" s="2" t="s">
        <v>14</v>
      </c>
      <c r="G690" s="2" t="s">
        <v>33</v>
      </c>
      <c r="H690" s="2" t="s">
        <v>22</v>
      </c>
      <c r="I690" s="2">
        <v>180000</v>
      </c>
      <c r="J690" s="2">
        <v>3</v>
      </c>
      <c r="K690" s="2" t="s">
        <v>24</v>
      </c>
      <c r="L690" s="2">
        <f t="shared" si="2"/>
        <v>144000</v>
      </c>
    </row>
    <row r="691" spans="1:12" ht="14.25" customHeight="1" x14ac:dyDescent="0.2">
      <c r="A691" s="33">
        <v>46365</v>
      </c>
      <c r="B691" s="33"/>
      <c r="C691" s="2" t="s">
        <v>18</v>
      </c>
      <c r="D691" s="2" t="s">
        <v>12</v>
      </c>
      <c r="E691" s="2" t="s">
        <v>13</v>
      </c>
      <c r="F691" s="2" t="s">
        <v>20</v>
      </c>
      <c r="G691" s="2" t="s">
        <v>36</v>
      </c>
      <c r="H691" s="2" t="s">
        <v>31</v>
      </c>
      <c r="I691" s="2">
        <v>150000</v>
      </c>
      <c r="J691" s="2">
        <v>9</v>
      </c>
      <c r="K691" s="2" t="s">
        <v>28</v>
      </c>
      <c r="L691" s="2">
        <f t="shared" si="2"/>
        <v>120000</v>
      </c>
    </row>
    <row r="692" spans="1:12" ht="14.25" customHeight="1" x14ac:dyDescent="0.2">
      <c r="A692" s="33">
        <v>46366</v>
      </c>
      <c r="B692" s="33"/>
      <c r="C692" s="2" t="s">
        <v>18</v>
      </c>
      <c r="D692" s="2" t="s">
        <v>19</v>
      </c>
      <c r="E692" s="2" t="s">
        <v>23</v>
      </c>
      <c r="F692" s="2" t="s">
        <v>20</v>
      </c>
      <c r="G692" s="2" t="s">
        <v>15</v>
      </c>
      <c r="H692" s="2" t="s">
        <v>16</v>
      </c>
      <c r="I692" s="2">
        <v>85000</v>
      </c>
      <c r="J692" s="2">
        <v>4</v>
      </c>
      <c r="K692" s="2" t="s">
        <v>17</v>
      </c>
      <c r="L692" s="2">
        <f t="shared" si="2"/>
        <v>68000</v>
      </c>
    </row>
    <row r="693" spans="1:12" ht="14.25" customHeight="1" x14ac:dyDescent="0.2">
      <c r="A693" s="33">
        <v>46367</v>
      </c>
      <c r="B693" s="33"/>
      <c r="C693" s="2" t="s">
        <v>25</v>
      </c>
      <c r="D693" s="2" t="s">
        <v>26</v>
      </c>
      <c r="E693" s="2" t="s">
        <v>13</v>
      </c>
      <c r="F693" s="2" t="s">
        <v>14</v>
      </c>
      <c r="G693" s="2" t="s">
        <v>41</v>
      </c>
      <c r="H693" s="2" t="s">
        <v>22</v>
      </c>
      <c r="I693" s="2">
        <v>220000</v>
      </c>
      <c r="J693" s="2">
        <v>4</v>
      </c>
      <c r="K693" s="2" t="s">
        <v>17</v>
      </c>
      <c r="L693" s="2">
        <f t="shared" si="2"/>
        <v>176000</v>
      </c>
    </row>
    <row r="694" spans="1:12" ht="14.25" customHeight="1" x14ac:dyDescent="0.2">
      <c r="A694" s="33">
        <v>46368</v>
      </c>
      <c r="B694" s="33"/>
      <c r="C694" s="2" t="s">
        <v>29</v>
      </c>
      <c r="D694" s="2" t="s">
        <v>12</v>
      </c>
      <c r="E694" s="2" t="s">
        <v>13</v>
      </c>
      <c r="F694" s="2" t="s">
        <v>14</v>
      </c>
      <c r="G694" s="2" t="s">
        <v>21</v>
      </c>
      <c r="H694" s="2" t="s">
        <v>22</v>
      </c>
      <c r="I694" s="2">
        <v>30000</v>
      </c>
      <c r="J694" s="2">
        <v>8</v>
      </c>
      <c r="K694" s="2" t="s">
        <v>37</v>
      </c>
      <c r="L694" s="2">
        <f t="shared" si="2"/>
        <v>24000</v>
      </c>
    </row>
    <row r="695" spans="1:12" ht="14.25" customHeight="1" x14ac:dyDescent="0.2">
      <c r="A695" s="33">
        <v>46369</v>
      </c>
      <c r="B695" s="33"/>
      <c r="C695" s="2" t="s">
        <v>25</v>
      </c>
      <c r="D695" s="2" t="s">
        <v>12</v>
      </c>
      <c r="E695" s="2" t="s">
        <v>13</v>
      </c>
      <c r="F695" s="2" t="s">
        <v>14</v>
      </c>
      <c r="G695" s="2" t="s">
        <v>15</v>
      </c>
      <c r="H695" s="2" t="s">
        <v>16</v>
      </c>
      <c r="I695" s="2">
        <v>85000</v>
      </c>
      <c r="J695" s="2">
        <v>4</v>
      </c>
      <c r="K695" s="2" t="s">
        <v>17</v>
      </c>
      <c r="L695" s="2">
        <f t="shared" si="2"/>
        <v>68000</v>
      </c>
    </row>
    <row r="696" spans="1:12" ht="14.25" customHeight="1" x14ac:dyDescent="0.2">
      <c r="A696" s="33">
        <v>46370</v>
      </c>
      <c r="B696" s="33"/>
      <c r="C696" s="2" t="s">
        <v>29</v>
      </c>
      <c r="D696" s="2" t="s">
        <v>12</v>
      </c>
      <c r="E696" s="2" t="s">
        <v>13</v>
      </c>
      <c r="F696" s="2" t="s">
        <v>14</v>
      </c>
      <c r="G696" s="2" t="s">
        <v>30</v>
      </c>
      <c r="H696" s="2" t="s">
        <v>31</v>
      </c>
      <c r="I696" s="2">
        <v>300000</v>
      </c>
      <c r="J696" s="2">
        <v>2</v>
      </c>
      <c r="K696" s="2" t="s">
        <v>28</v>
      </c>
      <c r="L696" s="2">
        <f t="shared" si="2"/>
        <v>240000</v>
      </c>
    </row>
    <row r="697" spans="1:12" ht="14.25" customHeight="1" x14ac:dyDescent="0.2">
      <c r="A697" s="33">
        <v>46371</v>
      </c>
      <c r="B697" s="33"/>
      <c r="C697" s="2" t="s">
        <v>11</v>
      </c>
      <c r="D697" s="2" t="s">
        <v>26</v>
      </c>
      <c r="E697" s="2" t="s">
        <v>23</v>
      </c>
      <c r="F697" s="2" t="s">
        <v>20</v>
      </c>
      <c r="G697" s="2" t="s">
        <v>15</v>
      </c>
      <c r="H697" s="2" t="s">
        <v>16</v>
      </c>
      <c r="I697" s="2">
        <v>85000</v>
      </c>
      <c r="J697" s="2">
        <v>2</v>
      </c>
      <c r="K697" s="2" t="s">
        <v>37</v>
      </c>
      <c r="L697" s="2">
        <f t="shared" si="2"/>
        <v>68000</v>
      </c>
    </row>
    <row r="698" spans="1:12" ht="14.25" customHeight="1" x14ac:dyDescent="0.2">
      <c r="A698" s="33">
        <v>46372</v>
      </c>
      <c r="B698" s="33"/>
      <c r="C698" s="2" t="s">
        <v>11</v>
      </c>
      <c r="D698" s="2" t="s">
        <v>12</v>
      </c>
      <c r="E698" s="2" t="s">
        <v>23</v>
      </c>
      <c r="F698" s="2" t="s">
        <v>14</v>
      </c>
      <c r="G698" s="2" t="s">
        <v>38</v>
      </c>
      <c r="H698" s="2" t="s">
        <v>31</v>
      </c>
      <c r="I698" s="2">
        <v>420000</v>
      </c>
      <c r="J698" s="2">
        <v>5</v>
      </c>
      <c r="K698" s="2" t="s">
        <v>17</v>
      </c>
      <c r="L698" s="2">
        <f t="shared" si="2"/>
        <v>336000</v>
      </c>
    </row>
    <row r="699" spans="1:12" ht="14.25" customHeight="1" x14ac:dyDescent="0.2">
      <c r="A699" s="33">
        <v>46373</v>
      </c>
      <c r="B699" s="33"/>
      <c r="C699" s="2" t="s">
        <v>25</v>
      </c>
      <c r="D699" s="2" t="s">
        <v>26</v>
      </c>
      <c r="E699" s="2" t="s">
        <v>23</v>
      </c>
      <c r="F699" s="2" t="s">
        <v>14</v>
      </c>
      <c r="G699" s="2" t="s">
        <v>30</v>
      </c>
      <c r="H699" s="2" t="s">
        <v>31</v>
      </c>
      <c r="I699" s="2">
        <v>300000</v>
      </c>
      <c r="J699" s="2">
        <v>8</v>
      </c>
      <c r="K699" s="2" t="s">
        <v>24</v>
      </c>
      <c r="L699" s="2">
        <f t="shared" si="2"/>
        <v>240000</v>
      </c>
    </row>
    <row r="700" spans="1:12" ht="14.25" customHeight="1" x14ac:dyDescent="0.2">
      <c r="A700" s="33">
        <v>46374</v>
      </c>
      <c r="B700" s="33"/>
      <c r="C700" s="2" t="s">
        <v>11</v>
      </c>
      <c r="D700" s="2" t="s">
        <v>19</v>
      </c>
      <c r="E700" s="2" t="s">
        <v>23</v>
      </c>
      <c r="F700" s="2" t="s">
        <v>20</v>
      </c>
      <c r="G700" s="2" t="s">
        <v>27</v>
      </c>
      <c r="H700" s="2" t="s">
        <v>22</v>
      </c>
      <c r="I700" s="2">
        <v>60000</v>
      </c>
      <c r="J700" s="2">
        <v>1</v>
      </c>
      <c r="K700" s="2" t="s">
        <v>17</v>
      </c>
      <c r="L700" s="2">
        <f t="shared" si="2"/>
        <v>48000</v>
      </c>
    </row>
    <row r="701" spans="1:12" ht="14.25" customHeight="1" x14ac:dyDescent="0.2">
      <c r="A701" s="33">
        <v>46375</v>
      </c>
      <c r="B701" s="33"/>
      <c r="C701" s="2" t="s">
        <v>11</v>
      </c>
      <c r="D701" s="2" t="s">
        <v>26</v>
      </c>
      <c r="E701" s="2" t="s">
        <v>13</v>
      </c>
      <c r="F701" s="2" t="s">
        <v>14</v>
      </c>
      <c r="G701" s="2" t="s">
        <v>40</v>
      </c>
      <c r="H701" s="2" t="s">
        <v>31</v>
      </c>
      <c r="I701" s="2">
        <v>250000</v>
      </c>
      <c r="J701" s="2">
        <v>8</v>
      </c>
      <c r="K701" s="2" t="s">
        <v>17</v>
      </c>
      <c r="L701" s="2">
        <f t="shared" si="2"/>
        <v>200000</v>
      </c>
    </row>
    <row r="702" spans="1:12" ht="14.25" customHeight="1" x14ac:dyDescent="0.2">
      <c r="A702" s="33">
        <v>46376</v>
      </c>
      <c r="B702" s="33"/>
      <c r="C702" s="2" t="s">
        <v>11</v>
      </c>
      <c r="D702" s="2" t="s">
        <v>19</v>
      </c>
      <c r="E702" s="2" t="s">
        <v>23</v>
      </c>
      <c r="F702" s="2" t="s">
        <v>14</v>
      </c>
      <c r="G702" s="2" t="s">
        <v>30</v>
      </c>
      <c r="H702" s="2" t="s">
        <v>31</v>
      </c>
      <c r="I702" s="2">
        <v>300000</v>
      </c>
      <c r="J702" s="2">
        <v>4</v>
      </c>
      <c r="K702" s="2" t="s">
        <v>17</v>
      </c>
      <c r="L702" s="2">
        <f t="shared" si="2"/>
        <v>240000</v>
      </c>
    </row>
    <row r="703" spans="1:12" ht="14.25" customHeight="1" x14ac:dyDescent="0.2">
      <c r="A703" s="33">
        <v>46377</v>
      </c>
      <c r="B703" s="33"/>
      <c r="C703" s="2" t="s">
        <v>18</v>
      </c>
      <c r="D703" s="2" t="s">
        <v>26</v>
      </c>
      <c r="E703" s="2" t="s">
        <v>23</v>
      </c>
      <c r="F703" s="2" t="s">
        <v>14</v>
      </c>
      <c r="G703" s="2" t="s">
        <v>30</v>
      </c>
      <c r="H703" s="2" t="s">
        <v>31</v>
      </c>
      <c r="I703" s="2">
        <v>300000</v>
      </c>
      <c r="J703" s="2">
        <v>10</v>
      </c>
      <c r="K703" s="2" t="s">
        <v>37</v>
      </c>
      <c r="L703" s="2">
        <f t="shared" si="2"/>
        <v>240000</v>
      </c>
    </row>
    <row r="704" spans="1:12" ht="14.25" customHeight="1" x14ac:dyDescent="0.2">
      <c r="A704" s="33">
        <v>46378</v>
      </c>
      <c r="B704" s="33"/>
      <c r="C704" s="2" t="s">
        <v>25</v>
      </c>
      <c r="D704" s="2" t="s">
        <v>19</v>
      </c>
      <c r="E704" s="2" t="s">
        <v>13</v>
      </c>
      <c r="F704" s="2" t="s">
        <v>14</v>
      </c>
      <c r="G704" s="2" t="s">
        <v>30</v>
      </c>
      <c r="H704" s="2" t="s">
        <v>31</v>
      </c>
      <c r="I704" s="2">
        <v>300000</v>
      </c>
      <c r="J704" s="2">
        <v>2</v>
      </c>
      <c r="K704" s="2" t="s">
        <v>39</v>
      </c>
      <c r="L704" s="2">
        <f t="shared" si="2"/>
        <v>240000</v>
      </c>
    </row>
    <row r="705" spans="1:12" ht="14.25" customHeight="1" x14ac:dyDescent="0.2">
      <c r="A705" s="33">
        <v>46379</v>
      </c>
      <c r="B705" s="33"/>
      <c r="C705" s="2" t="s">
        <v>11</v>
      </c>
      <c r="D705" s="2" t="s">
        <v>32</v>
      </c>
      <c r="E705" s="2" t="s">
        <v>13</v>
      </c>
      <c r="F705" s="2" t="s">
        <v>20</v>
      </c>
      <c r="G705" s="2" t="s">
        <v>15</v>
      </c>
      <c r="H705" s="2" t="s">
        <v>16</v>
      </c>
      <c r="I705" s="2">
        <v>85000</v>
      </c>
      <c r="J705" s="2">
        <v>2</v>
      </c>
      <c r="K705" s="2" t="s">
        <v>35</v>
      </c>
      <c r="L705" s="2">
        <f t="shared" si="2"/>
        <v>68000</v>
      </c>
    </row>
    <row r="706" spans="1:12" ht="14.25" customHeight="1" x14ac:dyDescent="0.2">
      <c r="A706" s="33">
        <v>46380</v>
      </c>
      <c r="B706" s="33"/>
      <c r="C706" s="2" t="s">
        <v>29</v>
      </c>
      <c r="D706" s="2" t="s">
        <v>19</v>
      </c>
      <c r="E706" s="2" t="s">
        <v>13</v>
      </c>
      <c r="F706" s="2" t="s">
        <v>14</v>
      </c>
      <c r="G706" s="2" t="s">
        <v>34</v>
      </c>
      <c r="H706" s="2" t="s">
        <v>16</v>
      </c>
      <c r="I706" s="2">
        <v>320000</v>
      </c>
      <c r="J706" s="2">
        <v>3</v>
      </c>
      <c r="K706" s="2" t="s">
        <v>28</v>
      </c>
      <c r="L706" s="2">
        <f t="shared" si="2"/>
        <v>256000</v>
      </c>
    </row>
    <row r="707" spans="1:12" ht="14.25" customHeight="1" x14ac:dyDescent="0.2">
      <c r="A707" s="33">
        <v>46381</v>
      </c>
      <c r="B707" s="33"/>
      <c r="C707" s="2" t="s">
        <v>11</v>
      </c>
      <c r="D707" s="2" t="s">
        <v>26</v>
      </c>
      <c r="E707" s="2" t="s">
        <v>13</v>
      </c>
      <c r="F707" s="2" t="s">
        <v>20</v>
      </c>
      <c r="G707" s="2" t="s">
        <v>36</v>
      </c>
      <c r="H707" s="2" t="s">
        <v>31</v>
      </c>
      <c r="I707" s="2">
        <v>150000</v>
      </c>
      <c r="J707" s="2">
        <v>4</v>
      </c>
      <c r="K707" s="2" t="s">
        <v>17</v>
      </c>
      <c r="L707" s="2">
        <f t="shared" si="2"/>
        <v>120000</v>
      </c>
    </row>
    <row r="708" spans="1:12" ht="14.25" customHeight="1" x14ac:dyDescent="0.2">
      <c r="A708" s="33">
        <v>46382</v>
      </c>
      <c r="B708" s="33"/>
      <c r="C708" s="2" t="s">
        <v>11</v>
      </c>
      <c r="D708" s="2" t="s">
        <v>26</v>
      </c>
      <c r="E708" s="2" t="s">
        <v>23</v>
      </c>
      <c r="F708" s="2" t="s">
        <v>20</v>
      </c>
      <c r="G708" s="2" t="s">
        <v>27</v>
      </c>
      <c r="H708" s="2" t="s">
        <v>22</v>
      </c>
      <c r="I708" s="2">
        <v>60000</v>
      </c>
      <c r="J708" s="2">
        <v>8</v>
      </c>
      <c r="K708" s="2" t="s">
        <v>28</v>
      </c>
      <c r="L708" s="2">
        <f t="shared" si="2"/>
        <v>48000</v>
      </c>
    </row>
    <row r="709" spans="1:12" ht="14.25" customHeight="1" x14ac:dyDescent="0.2">
      <c r="A709" s="33">
        <v>46383</v>
      </c>
      <c r="B709" s="33"/>
      <c r="C709" s="2" t="s">
        <v>29</v>
      </c>
      <c r="D709" s="2" t="s">
        <v>12</v>
      </c>
      <c r="E709" s="2" t="s">
        <v>23</v>
      </c>
      <c r="F709" s="2" t="s">
        <v>20</v>
      </c>
      <c r="G709" s="2" t="s">
        <v>15</v>
      </c>
      <c r="H709" s="2" t="s">
        <v>16</v>
      </c>
      <c r="I709" s="2">
        <v>85000</v>
      </c>
      <c r="J709" s="2">
        <v>2</v>
      </c>
      <c r="K709" s="2" t="s">
        <v>17</v>
      </c>
      <c r="L709" s="2">
        <f t="shared" si="2"/>
        <v>68000</v>
      </c>
    </row>
    <row r="710" spans="1:12" ht="14.25" customHeight="1" x14ac:dyDescent="0.2">
      <c r="A710" s="33">
        <v>46384</v>
      </c>
      <c r="B710" s="33"/>
      <c r="C710" s="2" t="s">
        <v>29</v>
      </c>
      <c r="D710" s="2" t="s">
        <v>19</v>
      </c>
      <c r="E710" s="2" t="s">
        <v>23</v>
      </c>
      <c r="F710" s="2" t="s">
        <v>20</v>
      </c>
      <c r="G710" s="2" t="s">
        <v>30</v>
      </c>
      <c r="H710" s="2" t="s">
        <v>31</v>
      </c>
      <c r="I710" s="2">
        <v>300000</v>
      </c>
      <c r="J710" s="2">
        <v>8</v>
      </c>
      <c r="K710" s="2" t="s">
        <v>24</v>
      </c>
      <c r="L710" s="2">
        <f t="shared" si="2"/>
        <v>240000</v>
      </c>
    </row>
    <row r="711" spans="1:12" ht="14.25" customHeight="1" x14ac:dyDescent="0.2">
      <c r="A711" s="33">
        <v>46385</v>
      </c>
      <c r="B711" s="33"/>
      <c r="C711" s="2" t="s">
        <v>29</v>
      </c>
      <c r="D711" s="2" t="s">
        <v>12</v>
      </c>
      <c r="E711" s="2" t="s">
        <v>13</v>
      </c>
      <c r="F711" s="2" t="s">
        <v>14</v>
      </c>
      <c r="G711" s="2" t="s">
        <v>34</v>
      </c>
      <c r="H711" s="2" t="s">
        <v>16</v>
      </c>
      <c r="I711" s="2">
        <v>320000</v>
      </c>
      <c r="J711" s="2">
        <v>5</v>
      </c>
      <c r="K711" s="2" t="s">
        <v>37</v>
      </c>
      <c r="L711" s="2">
        <f t="shared" si="2"/>
        <v>256000</v>
      </c>
    </row>
    <row r="712" spans="1:12" ht="14.25" customHeight="1" x14ac:dyDescent="0.2">
      <c r="A712" s="33">
        <v>46386</v>
      </c>
      <c r="B712" s="33"/>
      <c r="C712" s="2" t="s">
        <v>11</v>
      </c>
      <c r="D712" s="2" t="s">
        <v>19</v>
      </c>
      <c r="E712" s="2" t="s">
        <v>23</v>
      </c>
      <c r="F712" s="2" t="s">
        <v>20</v>
      </c>
      <c r="G712" s="2" t="s">
        <v>21</v>
      </c>
      <c r="H712" s="2" t="s">
        <v>22</v>
      </c>
      <c r="I712" s="2">
        <v>30000</v>
      </c>
      <c r="J712" s="2">
        <v>3</v>
      </c>
      <c r="K712" s="2" t="s">
        <v>24</v>
      </c>
      <c r="L712" s="2">
        <f t="shared" si="2"/>
        <v>24000</v>
      </c>
    </row>
    <row r="713" spans="1:12" ht="14.25" customHeight="1" x14ac:dyDescent="0.2">
      <c r="A713" s="33">
        <v>46387</v>
      </c>
      <c r="B713" s="33"/>
      <c r="C713" s="2" t="s">
        <v>25</v>
      </c>
      <c r="D713" s="2" t="s">
        <v>12</v>
      </c>
      <c r="E713" s="2" t="s">
        <v>13</v>
      </c>
      <c r="F713" s="2" t="s">
        <v>20</v>
      </c>
      <c r="G713" s="2" t="s">
        <v>21</v>
      </c>
      <c r="H713" s="2" t="s">
        <v>22</v>
      </c>
      <c r="I713" s="2">
        <v>30000</v>
      </c>
      <c r="J713" s="2">
        <v>1</v>
      </c>
      <c r="K713" s="2" t="s">
        <v>24</v>
      </c>
      <c r="L713" s="2">
        <f t="shared" si="2"/>
        <v>24000</v>
      </c>
    </row>
    <row r="714" spans="1:12" ht="14.25" customHeight="1" x14ac:dyDescent="0.2">
      <c r="A714" s="33">
        <v>46388</v>
      </c>
      <c r="B714" s="33"/>
      <c r="C714" s="2" t="s">
        <v>25</v>
      </c>
      <c r="D714" s="2" t="s">
        <v>32</v>
      </c>
      <c r="E714" s="2" t="s">
        <v>23</v>
      </c>
      <c r="F714" s="2" t="s">
        <v>20</v>
      </c>
      <c r="G714" s="2" t="s">
        <v>36</v>
      </c>
      <c r="H714" s="2" t="s">
        <v>31</v>
      </c>
      <c r="I714" s="2">
        <v>150000</v>
      </c>
      <c r="J714" s="2">
        <v>3</v>
      </c>
      <c r="K714" s="2" t="s">
        <v>24</v>
      </c>
      <c r="L714" s="2">
        <f t="shared" si="2"/>
        <v>120000</v>
      </c>
    </row>
    <row r="715" spans="1:12" ht="14.25" customHeight="1" x14ac:dyDescent="0.2">
      <c r="A715" s="33">
        <v>46389</v>
      </c>
      <c r="B715" s="33"/>
      <c r="C715" s="2" t="s">
        <v>25</v>
      </c>
      <c r="D715" s="2" t="s">
        <v>26</v>
      </c>
      <c r="E715" s="2" t="s">
        <v>13</v>
      </c>
      <c r="F715" s="2" t="s">
        <v>14</v>
      </c>
      <c r="G715" s="2" t="s">
        <v>21</v>
      </c>
      <c r="H715" s="2" t="s">
        <v>22</v>
      </c>
      <c r="I715" s="2">
        <v>30000</v>
      </c>
      <c r="J715" s="2">
        <v>5</v>
      </c>
      <c r="K715" s="2" t="s">
        <v>35</v>
      </c>
      <c r="L715" s="2">
        <f t="shared" si="2"/>
        <v>24000</v>
      </c>
    </row>
    <row r="716" spans="1:12" ht="14.25" customHeight="1" x14ac:dyDescent="0.2">
      <c r="A716" s="33">
        <v>46390</v>
      </c>
      <c r="B716" s="33"/>
      <c r="C716" s="2" t="s">
        <v>29</v>
      </c>
      <c r="D716" s="2" t="s">
        <v>32</v>
      </c>
      <c r="E716" s="2" t="s">
        <v>23</v>
      </c>
      <c r="F716" s="2" t="s">
        <v>20</v>
      </c>
      <c r="G716" s="2" t="s">
        <v>33</v>
      </c>
      <c r="H716" s="2" t="s">
        <v>22</v>
      </c>
      <c r="I716" s="2">
        <v>180000</v>
      </c>
      <c r="J716" s="2">
        <v>4</v>
      </c>
      <c r="K716" s="2" t="s">
        <v>24</v>
      </c>
      <c r="L716" s="2">
        <f t="shared" si="2"/>
        <v>144000</v>
      </c>
    </row>
    <row r="717" spans="1:12" ht="14.25" customHeight="1" x14ac:dyDescent="0.2">
      <c r="A717" s="33">
        <v>46391</v>
      </c>
      <c r="B717" s="33"/>
      <c r="C717" s="2" t="s">
        <v>25</v>
      </c>
      <c r="D717" s="2" t="s">
        <v>26</v>
      </c>
      <c r="E717" s="2" t="s">
        <v>23</v>
      </c>
      <c r="F717" s="2" t="s">
        <v>20</v>
      </c>
      <c r="G717" s="2" t="s">
        <v>33</v>
      </c>
      <c r="H717" s="2" t="s">
        <v>22</v>
      </c>
      <c r="I717" s="2">
        <v>180000</v>
      </c>
      <c r="J717" s="2">
        <v>3</v>
      </c>
      <c r="K717" s="2" t="s">
        <v>39</v>
      </c>
      <c r="L717" s="2">
        <f t="shared" si="2"/>
        <v>144000</v>
      </c>
    </row>
    <row r="718" spans="1:12" ht="14.25" customHeight="1" x14ac:dyDescent="0.2">
      <c r="A718" s="33">
        <v>46392</v>
      </c>
      <c r="B718" s="33"/>
      <c r="C718" s="2" t="s">
        <v>18</v>
      </c>
      <c r="D718" s="2" t="s">
        <v>19</v>
      </c>
      <c r="E718" s="2" t="s">
        <v>23</v>
      </c>
      <c r="F718" s="2" t="s">
        <v>20</v>
      </c>
      <c r="G718" s="2" t="s">
        <v>30</v>
      </c>
      <c r="H718" s="2" t="s">
        <v>31</v>
      </c>
      <c r="I718" s="2">
        <v>300000</v>
      </c>
      <c r="J718" s="2">
        <v>8</v>
      </c>
      <c r="K718" s="2" t="s">
        <v>17</v>
      </c>
      <c r="L718" s="2">
        <f t="shared" si="2"/>
        <v>240000</v>
      </c>
    </row>
    <row r="719" spans="1:12" ht="14.25" customHeight="1" x14ac:dyDescent="0.2">
      <c r="A719" s="33">
        <v>46393</v>
      </c>
      <c r="B719" s="33"/>
      <c r="C719" s="2" t="s">
        <v>18</v>
      </c>
      <c r="D719" s="2" t="s">
        <v>32</v>
      </c>
      <c r="E719" s="2" t="s">
        <v>23</v>
      </c>
      <c r="F719" s="2" t="s">
        <v>14</v>
      </c>
      <c r="G719" s="2" t="s">
        <v>15</v>
      </c>
      <c r="H719" s="2" t="s">
        <v>16</v>
      </c>
      <c r="I719" s="2">
        <v>85000</v>
      </c>
      <c r="J719" s="2">
        <v>8</v>
      </c>
      <c r="K719" s="2" t="s">
        <v>24</v>
      </c>
      <c r="L719" s="2">
        <f t="shared" si="2"/>
        <v>68000</v>
      </c>
    </row>
    <row r="720" spans="1:12" ht="14.25" customHeight="1" x14ac:dyDescent="0.2">
      <c r="A720" s="33">
        <v>46394</v>
      </c>
      <c r="B720" s="33"/>
      <c r="C720" s="2" t="s">
        <v>29</v>
      </c>
      <c r="D720" s="2" t="s">
        <v>19</v>
      </c>
      <c r="E720" s="2" t="s">
        <v>13</v>
      </c>
      <c r="F720" s="2" t="s">
        <v>20</v>
      </c>
      <c r="G720" s="2" t="s">
        <v>33</v>
      </c>
      <c r="H720" s="2" t="s">
        <v>22</v>
      </c>
      <c r="I720" s="2">
        <v>180000</v>
      </c>
      <c r="J720" s="2">
        <v>1</v>
      </c>
      <c r="K720" s="2" t="s">
        <v>17</v>
      </c>
      <c r="L720" s="2">
        <f t="shared" si="2"/>
        <v>144000</v>
      </c>
    </row>
    <row r="721" spans="1:12" ht="14.25" customHeight="1" x14ac:dyDescent="0.2">
      <c r="A721" s="33">
        <v>46395</v>
      </c>
      <c r="B721" s="33"/>
      <c r="C721" s="2" t="s">
        <v>25</v>
      </c>
      <c r="D721" s="2" t="s">
        <v>12</v>
      </c>
      <c r="E721" s="2" t="s">
        <v>23</v>
      </c>
      <c r="F721" s="2" t="s">
        <v>14</v>
      </c>
      <c r="G721" s="2" t="s">
        <v>38</v>
      </c>
      <c r="H721" s="2" t="s">
        <v>31</v>
      </c>
      <c r="I721" s="2">
        <v>420000</v>
      </c>
      <c r="J721" s="2">
        <v>6</v>
      </c>
      <c r="K721" s="2" t="s">
        <v>24</v>
      </c>
      <c r="L721" s="2">
        <f t="shared" si="2"/>
        <v>336000</v>
      </c>
    </row>
    <row r="722" spans="1:12" ht="14.25" customHeight="1" x14ac:dyDescent="0.2">
      <c r="A722" s="33">
        <v>46396</v>
      </c>
      <c r="B722" s="33"/>
      <c r="C722" s="2" t="s">
        <v>11</v>
      </c>
      <c r="D722" s="2" t="s">
        <v>32</v>
      </c>
      <c r="E722" s="2" t="s">
        <v>13</v>
      </c>
      <c r="F722" s="2" t="s">
        <v>20</v>
      </c>
      <c r="G722" s="2" t="s">
        <v>38</v>
      </c>
      <c r="H722" s="2" t="s">
        <v>31</v>
      </c>
      <c r="I722" s="2">
        <v>420000</v>
      </c>
      <c r="J722" s="2">
        <v>4</v>
      </c>
      <c r="K722" s="2" t="s">
        <v>37</v>
      </c>
      <c r="L722" s="2">
        <f t="shared" si="2"/>
        <v>336000</v>
      </c>
    </row>
    <row r="723" spans="1:12" ht="14.25" customHeight="1" x14ac:dyDescent="0.2">
      <c r="A723" s="33">
        <v>46397</v>
      </c>
      <c r="B723" s="33"/>
      <c r="C723" s="2" t="s">
        <v>18</v>
      </c>
      <c r="D723" s="2" t="s">
        <v>32</v>
      </c>
      <c r="E723" s="2" t="s">
        <v>23</v>
      </c>
      <c r="F723" s="2" t="s">
        <v>20</v>
      </c>
      <c r="G723" s="2" t="s">
        <v>33</v>
      </c>
      <c r="H723" s="2" t="s">
        <v>22</v>
      </c>
      <c r="I723" s="2">
        <v>180000</v>
      </c>
      <c r="J723" s="2">
        <v>3</v>
      </c>
      <c r="K723" s="2" t="s">
        <v>24</v>
      </c>
      <c r="L723" s="2">
        <f t="shared" si="2"/>
        <v>144000</v>
      </c>
    </row>
    <row r="724" spans="1:12" ht="14.25" customHeight="1" x14ac:dyDescent="0.2">
      <c r="A724" s="33">
        <v>46398</v>
      </c>
      <c r="B724" s="33"/>
      <c r="C724" s="2" t="s">
        <v>25</v>
      </c>
      <c r="D724" s="2" t="s">
        <v>19</v>
      </c>
      <c r="E724" s="2" t="s">
        <v>13</v>
      </c>
      <c r="F724" s="2" t="s">
        <v>14</v>
      </c>
      <c r="G724" s="2" t="s">
        <v>27</v>
      </c>
      <c r="H724" s="2" t="s">
        <v>22</v>
      </c>
      <c r="I724" s="2">
        <v>60000</v>
      </c>
      <c r="J724" s="2">
        <v>3</v>
      </c>
      <c r="K724" s="2" t="s">
        <v>24</v>
      </c>
      <c r="L724" s="2">
        <f t="shared" si="2"/>
        <v>48000</v>
      </c>
    </row>
    <row r="725" spans="1:12" ht="14.25" customHeight="1" x14ac:dyDescent="0.2">
      <c r="A725" s="33">
        <v>46399</v>
      </c>
      <c r="B725" s="33"/>
      <c r="C725" s="2" t="s">
        <v>18</v>
      </c>
      <c r="D725" s="2" t="s">
        <v>32</v>
      </c>
      <c r="E725" s="2" t="s">
        <v>13</v>
      </c>
      <c r="F725" s="2" t="s">
        <v>20</v>
      </c>
      <c r="G725" s="2" t="s">
        <v>36</v>
      </c>
      <c r="H725" s="2" t="s">
        <v>31</v>
      </c>
      <c r="I725" s="2">
        <v>150000</v>
      </c>
      <c r="J725" s="2">
        <v>1</v>
      </c>
      <c r="K725" s="2" t="s">
        <v>28</v>
      </c>
      <c r="L725" s="2">
        <f t="shared" si="2"/>
        <v>120000</v>
      </c>
    </row>
    <row r="726" spans="1:12" ht="14.25" customHeight="1" x14ac:dyDescent="0.2">
      <c r="A726" s="33">
        <v>46400</v>
      </c>
      <c r="B726" s="33"/>
      <c r="C726" s="2" t="s">
        <v>25</v>
      </c>
      <c r="D726" s="2" t="s">
        <v>12</v>
      </c>
      <c r="E726" s="2" t="s">
        <v>23</v>
      </c>
      <c r="F726" s="2" t="s">
        <v>14</v>
      </c>
      <c r="G726" s="2" t="s">
        <v>38</v>
      </c>
      <c r="H726" s="2" t="s">
        <v>31</v>
      </c>
      <c r="I726" s="2">
        <v>420000</v>
      </c>
      <c r="J726" s="2">
        <v>4</v>
      </c>
      <c r="K726" s="2" t="s">
        <v>24</v>
      </c>
      <c r="L726" s="2">
        <f t="shared" si="2"/>
        <v>336000</v>
      </c>
    </row>
    <row r="727" spans="1:12" ht="14.25" customHeight="1" x14ac:dyDescent="0.2">
      <c r="A727" s="33">
        <v>46401</v>
      </c>
      <c r="B727" s="33"/>
      <c r="C727" s="2" t="s">
        <v>29</v>
      </c>
      <c r="D727" s="2" t="s">
        <v>19</v>
      </c>
      <c r="E727" s="2" t="s">
        <v>23</v>
      </c>
      <c r="F727" s="2" t="s">
        <v>14</v>
      </c>
      <c r="G727" s="2" t="s">
        <v>40</v>
      </c>
      <c r="H727" s="2" t="s">
        <v>31</v>
      </c>
      <c r="I727" s="2">
        <v>250000</v>
      </c>
      <c r="J727" s="2">
        <v>6</v>
      </c>
      <c r="K727" s="2" t="s">
        <v>28</v>
      </c>
      <c r="L727" s="2">
        <f t="shared" si="2"/>
        <v>200000</v>
      </c>
    </row>
    <row r="728" spans="1:12" ht="14.25" customHeight="1" x14ac:dyDescent="0.2">
      <c r="A728" s="33">
        <v>46402</v>
      </c>
      <c r="B728" s="33"/>
      <c r="C728" s="2" t="s">
        <v>25</v>
      </c>
      <c r="D728" s="2" t="s">
        <v>12</v>
      </c>
      <c r="E728" s="2" t="s">
        <v>23</v>
      </c>
      <c r="F728" s="2" t="s">
        <v>20</v>
      </c>
      <c r="G728" s="2" t="s">
        <v>34</v>
      </c>
      <c r="H728" s="2" t="s">
        <v>16</v>
      </c>
      <c r="I728" s="2">
        <v>320000</v>
      </c>
      <c r="J728" s="2">
        <v>1</v>
      </c>
      <c r="K728" s="2" t="s">
        <v>35</v>
      </c>
      <c r="L728" s="2">
        <f t="shared" si="2"/>
        <v>256000</v>
      </c>
    </row>
    <row r="729" spans="1:12" ht="14.25" customHeight="1" x14ac:dyDescent="0.2">
      <c r="A729" s="33">
        <v>46403</v>
      </c>
      <c r="B729" s="33"/>
      <c r="C729" s="2" t="s">
        <v>29</v>
      </c>
      <c r="D729" s="2" t="s">
        <v>32</v>
      </c>
      <c r="E729" s="2" t="s">
        <v>23</v>
      </c>
      <c r="F729" s="2" t="s">
        <v>20</v>
      </c>
      <c r="G729" s="2" t="s">
        <v>41</v>
      </c>
      <c r="H729" s="2" t="s">
        <v>22</v>
      </c>
      <c r="I729" s="2">
        <v>220000</v>
      </c>
      <c r="J729" s="2">
        <v>10</v>
      </c>
      <c r="K729" s="2" t="s">
        <v>39</v>
      </c>
      <c r="L729" s="2">
        <f t="shared" si="2"/>
        <v>176000</v>
      </c>
    </row>
    <row r="730" spans="1:12" ht="14.25" customHeight="1" x14ac:dyDescent="0.2">
      <c r="A730" s="33">
        <v>46404</v>
      </c>
      <c r="B730" s="33"/>
      <c r="C730" s="2" t="s">
        <v>29</v>
      </c>
      <c r="D730" s="2" t="s">
        <v>19</v>
      </c>
      <c r="E730" s="2" t="s">
        <v>13</v>
      </c>
      <c r="F730" s="2" t="s">
        <v>14</v>
      </c>
      <c r="G730" s="2" t="s">
        <v>41</v>
      </c>
      <c r="H730" s="2" t="s">
        <v>22</v>
      </c>
      <c r="I730" s="2">
        <v>220000</v>
      </c>
      <c r="J730" s="2">
        <v>5</v>
      </c>
      <c r="K730" s="2" t="s">
        <v>24</v>
      </c>
      <c r="L730" s="2">
        <f t="shared" si="2"/>
        <v>176000</v>
      </c>
    </row>
    <row r="731" spans="1:12" ht="14.25" customHeight="1" x14ac:dyDescent="0.2">
      <c r="A731" s="33">
        <v>46405</v>
      </c>
      <c r="B731" s="33"/>
      <c r="C731" s="2" t="s">
        <v>25</v>
      </c>
      <c r="D731" s="2" t="s">
        <v>26</v>
      </c>
      <c r="E731" s="2" t="s">
        <v>23</v>
      </c>
      <c r="F731" s="2" t="s">
        <v>20</v>
      </c>
      <c r="G731" s="2" t="s">
        <v>41</v>
      </c>
      <c r="H731" s="2" t="s">
        <v>22</v>
      </c>
      <c r="I731" s="2">
        <v>220000</v>
      </c>
      <c r="J731" s="2">
        <v>8</v>
      </c>
      <c r="K731" s="2" t="s">
        <v>39</v>
      </c>
      <c r="L731" s="2">
        <f t="shared" si="2"/>
        <v>176000</v>
      </c>
    </row>
    <row r="732" spans="1:12" ht="14.25" customHeight="1" x14ac:dyDescent="0.2">
      <c r="A732" s="33">
        <v>46406</v>
      </c>
      <c r="B732" s="33"/>
      <c r="C732" s="2" t="s">
        <v>18</v>
      </c>
      <c r="D732" s="2" t="s">
        <v>12</v>
      </c>
      <c r="E732" s="2" t="s">
        <v>13</v>
      </c>
      <c r="F732" s="2" t="s">
        <v>14</v>
      </c>
      <c r="G732" s="2" t="s">
        <v>41</v>
      </c>
      <c r="H732" s="2" t="s">
        <v>22</v>
      </c>
      <c r="I732" s="2">
        <v>220000</v>
      </c>
      <c r="J732" s="2">
        <v>9</v>
      </c>
      <c r="K732" s="2" t="s">
        <v>28</v>
      </c>
      <c r="L732" s="2">
        <f t="shared" si="2"/>
        <v>176000</v>
      </c>
    </row>
    <row r="733" spans="1:12" ht="14.25" customHeight="1" x14ac:dyDescent="0.2">
      <c r="A733" s="33">
        <v>46407</v>
      </c>
      <c r="B733" s="33"/>
      <c r="C733" s="2" t="s">
        <v>29</v>
      </c>
      <c r="D733" s="2" t="s">
        <v>26</v>
      </c>
      <c r="E733" s="2" t="s">
        <v>23</v>
      </c>
      <c r="F733" s="2" t="s">
        <v>14</v>
      </c>
      <c r="G733" s="2" t="s">
        <v>30</v>
      </c>
      <c r="H733" s="2" t="s">
        <v>31</v>
      </c>
      <c r="I733" s="2">
        <v>300000</v>
      </c>
      <c r="J733" s="2">
        <v>7</v>
      </c>
      <c r="K733" s="2" t="s">
        <v>39</v>
      </c>
      <c r="L733" s="2">
        <f t="shared" si="2"/>
        <v>240000</v>
      </c>
    </row>
    <row r="734" spans="1:12" ht="14.25" customHeight="1" x14ac:dyDescent="0.2">
      <c r="A734" s="33">
        <v>46408</v>
      </c>
      <c r="B734" s="33"/>
      <c r="C734" s="2" t="s">
        <v>11</v>
      </c>
      <c r="D734" s="2" t="s">
        <v>32</v>
      </c>
      <c r="E734" s="2" t="s">
        <v>13</v>
      </c>
      <c r="F734" s="2" t="s">
        <v>14</v>
      </c>
      <c r="G734" s="2" t="s">
        <v>38</v>
      </c>
      <c r="H734" s="2" t="s">
        <v>31</v>
      </c>
      <c r="I734" s="2">
        <v>420000</v>
      </c>
      <c r="J734" s="2">
        <v>1</v>
      </c>
      <c r="K734" s="2" t="s">
        <v>28</v>
      </c>
      <c r="L734" s="2">
        <f t="shared" si="2"/>
        <v>336000</v>
      </c>
    </row>
    <row r="735" spans="1:12" ht="14.25" customHeight="1" x14ac:dyDescent="0.2">
      <c r="A735" s="33">
        <v>46409</v>
      </c>
      <c r="B735" s="33"/>
      <c r="C735" s="2" t="s">
        <v>11</v>
      </c>
      <c r="D735" s="2" t="s">
        <v>19</v>
      </c>
      <c r="E735" s="2" t="s">
        <v>23</v>
      </c>
      <c r="F735" s="2" t="s">
        <v>20</v>
      </c>
      <c r="G735" s="2" t="s">
        <v>33</v>
      </c>
      <c r="H735" s="2" t="s">
        <v>22</v>
      </c>
      <c r="I735" s="2">
        <v>180000</v>
      </c>
      <c r="J735" s="2">
        <v>6</v>
      </c>
      <c r="K735" s="2" t="s">
        <v>28</v>
      </c>
      <c r="L735" s="2">
        <f t="shared" si="2"/>
        <v>144000</v>
      </c>
    </row>
    <row r="736" spans="1:12" ht="14.25" customHeight="1" x14ac:dyDescent="0.2">
      <c r="A736" s="33">
        <v>46410</v>
      </c>
      <c r="B736" s="33"/>
      <c r="C736" s="2" t="s">
        <v>29</v>
      </c>
      <c r="D736" s="2" t="s">
        <v>12</v>
      </c>
      <c r="E736" s="2" t="s">
        <v>13</v>
      </c>
      <c r="F736" s="2" t="s">
        <v>14</v>
      </c>
      <c r="G736" s="2" t="s">
        <v>40</v>
      </c>
      <c r="H736" s="2" t="s">
        <v>31</v>
      </c>
      <c r="I736" s="2">
        <v>250000</v>
      </c>
      <c r="J736" s="2">
        <v>3</v>
      </c>
      <c r="K736" s="2" t="s">
        <v>28</v>
      </c>
      <c r="L736" s="2">
        <f t="shared" si="2"/>
        <v>200000</v>
      </c>
    </row>
    <row r="737" spans="1:12" ht="14.25" customHeight="1" x14ac:dyDescent="0.2">
      <c r="A737" s="33">
        <v>46411</v>
      </c>
      <c r="B737" s="33"/>
      <c r="C737" s="2" t="s">
        <v>29</v>
      </c>
      <c r="D737" s="2" t="s">
        <v>32</v>
      </c>
      <c r="E737" s="2" t="s">
        <v>13</v>
      </c>
      <c r="F737" s="2" t="s">
        <v>14</v>
      </c>
      <c r="G737" s="2" t="s">
        <v>34</v>
      </c>
      <c r="H737" s="2" t="s">
        <v>16</v>
      </c>
      <c r="I737" s="2">
        <v>320000</v>
      </c>
      <c r="J737" s="2">
        <v>2</v>
      </c>
      <c r="K737" s="2" t="s">
        <v>17</v>
      </c>
      <c r="L737" s="2">
        <f t="shared" si="2"/>
        <v>256000</v>
      </c>
    </row>
    <row r="738" spans="1:12" ht="14.25" customHeight="1" x14ac:dyDescent="0.2">
      <c r="A738" s="33">
        <v>46412</v>
      </c>
      <c r="B738" s="33"/>
      <c r="C738" s="2" t="s">
        <v>18</v>
      </c>
      <c r="D738" s="2" t="s">
        <v>19</v>
      </c>
      <c r="E738" s="2" t="s">
        <v>23</v>
      </c>
      <c r="F738" s="2" t="s">
        <v>14</v>
      </c>
      <c r="G738" s="2" t="s">
        <v>27</v>
      </c>
      <c r="H738" s="2" t="s">
        <v>22</v>
      </c>
      <c r="I738" s="2">
        <v>60000</v>
      </c>
      <c r="J738" s="2">
        <v>3</v>
      </c>
      <c r="K738" s="2" t="s">
        <v>24</v>
      </c>
      <c r="L738" s="2">
        <f t="shared" si="2"/>
        <v>48000</v>
      </c>
    </row>
    <row r="739" spans="1:12" ht="14.25" customHeight="1" x14ac:dyDescent="0.2">
      <c r="A739" s="33">
        <v>46413</v>
      </c>
      <c r="B739" s="33"/>
      <c r="C739" s="2" t="s">
        <v>25</v>
      </c>
      <c r="D739" s="2" t="s">
        <v>32</v>
      </c>
      <c r="E739" s="2" t="s">
        <v>23</v>
      </c>
      <c r="F739" s="2" t="s">
        <v>20</v>
      </c>
      <c r="G739" s="2" t="s">
        <v>21</v>
      </c>
      <c r="H739" s="2" t="s">
        <v>22</v>
      </c>
      <c r="I739" s="2">
        <v>30000</v>
      </c>
      <c r="J739" s="2">
        <v>9</v>
      </c>
      <c r="K739" s="2" t="s">
        <v>24</v>
      </c>
      <c r="L739" s="2">
        <f t="shared" si="2"/>
        <v>24000</v>
      </c>
    </row>
    <row r="740" spans="1:12" ht="14.25" customHeight="1" x14ac:dyDescent="0.2">
      <c r="A740" s="33">
        <v>46414</v>
      </c>
      <c r="B740" s="33"/>
      <c r="C740" s="2" t="s">
        <v>18</v>
      </c>
      <c r="D740" s="2" t="s">
        <v>26</v>
      </c>
      <c r="E740" s="2" t="s">
        <v>23</v>
      </c>
      <c r="F740" s="2" t="s">
        <v>20</v>
      </c>
      <c r="G740" s="2" t="s">
        <v>33</v>
      </c>
      <c r="H740" s="2" t="s">
        <v>22</v>
      </c>
      <c r="I740" s="2">
        <v>180000</v>
      </c>
      <c r="J740" s="2">
        <v>6</v>
      </c>
      <c r="K740" s="2" t="s">
        <v>24</v>
      </c>
      <c r="L740" s="2">
        <f t="shared" si="2"/>
        <v>144000</v>
      </c>
    </row>
    <row r="741" spans="1:12" ht="14.25" customHeight="1" x14ac:dyDescent="0.2">
      <c r="A741" s="33">
        <v>46415</v>
      </c>
      <c r="B741" s="33"/>
      <c r="C741" s="2" t="s">
        <v>25</v>
      </c>
      <c r="D741" s="2" t="s">
        <v>26</v>
      </c>
      <c r="E741" s="2" t="s">
        <v>23</v>
      </c>
      <c r="F741" s="2" t="s">
        <v>14</v>
      </c>
      <c r="G741" s="2" t="s">
        <v>27</v>
      </c>
      <c r="H741" s="2" t="s">
        <v>22</v>
      </c>
      <c r="I741" s="2">
        <v>60000</v>
      </c>
      <c r="J741" s="2">
        <v>8</v>
      </c>
      <c r="K741" s="2" t="s">
        <v>37</v>
      </c>
      <c r="L741" s="2">
        <f t="shared" si="2"/>
        <v>48000</v>
      </c>
    </row>
    <row r="742" spans="1:12" ht="14.25" customHeight="1" x14ac:dyDescent="0.2">
      <c r="A742" s="33">
        <v>46416</v>
      </c>
      <c r="B742" s="33"/>
      <c r="C742" s="2" t="s">
        <v>25</v>
      </c>
      <c r="D742" s="2" t="s">
        <v>26</v>
      </c>
      <c r="E742" s="2" t="s">
        <v>23</v>
      </c>
      <c r="F742" s="2" t="s">
        <v>14</v>
      </c>
      <c r="G742" s="2" t="s">
        <v>27</v>
      </c>
      <c r="H742" s="2" t="s">
        <v>22</v>
      </c>
      <c r="I742" s="2">
        <v>60000</v>
      </c>
      <c r="J742" s="2">
        <v>8</v>
      </c>
      <c r="K742" s="2" t="s">
        <v>39</v>
      </c>
      <c r="L742" s="2">
        <f t="shared" si="2"/>
        <v>48000</v>
      </c>
    </row>
    <row r="743" spans="1:12" ht="14.25" customHeight="1" x14ac:dyDescent="0.2">
      <c r="A743" s="33">
        <v>46417</v>
      </c>
      <c r="B743" s="33"/>
      <c r="C743" s="2" t="s">
        <v>25</v>
      </c>
      <c r="D743" s="2" t="s">
        <v>26</v>
      </c>
      <c r="E743" s="2" t="s">
        <v>23</v>
      </c>
      <c r="F743" s="2" t="s">
        <v>20</v>
      </c>
      <c r="G743" s="2" t="s">
        <v>40</v>
      </c>
      <c r="H743" s="2" t="s">
        <v>31</v>
      </c>
      <c r="I743" s="2">
        <v>250000</v>
      </c>
      <c r="J743" s="2">
        <v>3</v>
      </c>
      <c r="K743" s="2" t="s">
        <v>35</v>
      </c>
      <c r="L743" s="2">
        <f t="shared" si="2"/>
        <v>200000</v>
      </c>
    </row>
    <row r="744" spans="1:12" ht="14.25" customHeight="1" x14ac:dyDescent="0.2">
      <c r="A744" s="33">
        <v>46418</v>
      </c>
      <c r="B744" s="33"/>
      <c r="C744" s="2" t="s">
        <v>29</v>
      </c>
      <c r="D744" s="2" t="s">
        <v>26</v>
      </c>
      <c r="E744" s="2" t="s">
        <v>23</v>
      </c>
      <c r="F744" s="2" t="s">
        <v>20</v>
      </c>
      <c r="G744" s="2" t="s">
        <v>15</v>
      </c>
      <c r="H744" s="2" t="s">
        <v>16</v>
      </c>
      <c r="I744" s="2">
        <v>85000</v>
      </c>
      <c r="J744" s="2">
        <v>6</v>
      </c>
      <c r="K744" s="2" t="s">
        <v>37</v>
      </c>
      <c r="L744" s="2">
        <f t="shared" si="2"/>
        <v>68000</v>
      </c>
    </row>
    <row r="745" spans="1:12" ht="14.25" customHeight="1" x14ac:dyDescent="0.2">
      <c r="A745" s="33">
        <v>46419</v>
      </c>
      <c r="B745" s="33"/>
      <c r="C745" s="2" t="s">
        <v>18</v>
      </c>
      <c r="D745" s="2" t="s">
        <v>32</v>
      </c>
      <c r="E745" s="2" t="s">
        <v>23</v>
      </c>
      <c r="F745" s="2" t="s">
        <v>14</v>
      </c>
      <c r="G745" s="2" t="s">
        <v>41</v>
      </c>
      <c r="H745" s="2" t="s">
        <v>22</v>
      </c>
      <c r="I745" s="2">
        <v>220000</v>
      </c>
      <c r="J745" s="2">
        <v>9</v>
      </c>
      <c r="K745" s="2" t="s">
        <v>28</v>
      </c>
      <c r="L745" s="2">
        <f t="shared" si="2"/>
        <v>176000</v>
      </c>
    </row>
    <row r="746" spans="1:12" ht="14.25" customHeight="1" x14ac:dyDescent="0.2">
      <c r="A746" s="33">
        <v>46420</v>
      </c>
      <c r="B746" s="33"/>
      <c r="C746" s="2" t="s">
        <v>29</v>
      </c>
      <c r="D746" s="2" t="s">
        <v>32</v>
      </c>
      <c r="E746" s="2" t="s">
        <v>23</v>
      </c>
      <c r="F746" s="2" t="s">
        <v>20</v>
      </c>
      <c r="G746" s="2" t="s">
        <v>40</v>
      </c>
      <c r="H746" s="2" t="s">
        <v>31</v>
      </c>
      <c r="I746" s="2">
        <v>250000</v>
      </c>
      <c r="J746" s="2">
        <v>4</v>
      </c>
      <c r="K746" s="2" t="s">
        <v>28</v>
      </c>
      <c r="L746" s="2">
        <f t="shared" si="2"/>
        <v>200000</v>
      </c>
    </row>
    <row r="747" spans="1:12" ht="14.25" customHeight="1" x14ac:dyDescent="0.2">
      <c r="A747" s="33">
        <v>46421</v>
      </c>
      <c r="B747" s="33"/>
      <c r="C747" s="2" t="s">
        <v>25</v>
      </c>
      <c r="D747" s="2" t="s">
        <v>26</v>
      </c>
      <c r="E747" s="2" t="s">
        <v>23</v>
      </c>
      <c r="F747" s="2" t="s">
        <v>20</v>
      </c>
      <c r="G747" s="2" t="s">
        <v>40</v>
      </c>
      <c r="H747" s="2" t="s">
        <v>31</v>
      </c>
      <c r="I747" s="2">
        <v>250000</v>
      </c>
      <c r="J747" s="2">
        <v>3</v>
      </c>
      <c r="K747" s="2" t="s">
        <v>17</v>
      </c>
      <c r="L747" s="2">
        <f t="shared" si="2"/>
        <v>200000</v>
      </c>
    </row>
    <row r="748" spans="1:12" ht="14.25" customHeight="1" x14ac:dyDescent="0.2">
      <c r="A748" s="33">
        <v>46422</v>
      </c>
      <c r="B748" s="33"/>
      <c r="C748" s="2" t="s">
        <v>25</v>
      </c>
      <c r="D748" s="2" t="s">
        <v>32</v>
      </c>
      <c r="E748" s="2" t="s">
        <v>23</v>
      </c>
      <c r="F748" s="2" t="s">
        <v>20</v>
      </c>
      <c r="G748" s="2" t="s">
        <v>21</v>
      </c>
      <c r="H748" s="2" t="s">
        <v>22</v>
      </c>
      <c r="I748" s="2">
        <v>30000</v>
      </c>
      <c r="J748" s="2">
        <v>10</v>
      </c>
      <c r="K748" s="2" t="s">
        <v>17</v>
      </c>
      <c r="L748" s="2">
        <f t="shared" si="2"/>
        <v>24000</v>
      </c>
    </row>
    <row r="749" spans="1:12" ht="14.25" customHeight="1" x14ac:dyDescent="0.2">
      <c r="A749" s="33">
        <v>46423</v>
      </c>
      <c r="B749" s="33"/>
      <c r="C749" s="2" t="s">
        <v>29</v>
      </c>
      <c r="D749" s="2" t="s">
        <v>26</v>
      </c>
      <c r="E749" s="2" t="s">
        <v>23</v>
      </c>
      <c r="F749" s="2" t="s">
        <v>20</v>
      </c>
      <c r="G749" s="2" t="s">
        <v>30</v>
      </c>
      <c r="H749" s="2" t="s">
        <v>31</v>
      </c>
      <c r="I749" s="2">
        <v>300000</v>
      </c>
      <c r="J749" s="2">
        <v>4</v>
      </c>
      <c r="K749" s="2" t="s">
        <v>39</v>
      </c>
      <c r="L749" s="2">
        <f t="shared" si="2"/>
        <v>240000</v>
      </c>
    </row>
    <row r="750" spans="1:12" ht="14.25" customHeight="1" x14ac:dyDescent="0.2">
      <c r="A750" s="33">
        <v>46424</v>
      </c>
      <c r="B750" s="33"/>
      <c r="C750" s="2" t="s">
        <v>25</v>
      </c>
      <c r="D750" s="2" t="s">
        <v>12</v>
      </c>
      <c r="E750" s="2" t="s">
        <v>23</v>
      </c>
      <c r="F750" s="2" t="s">
        <v>20</v>
      </c>
      <c r="G750" s="2" t="s">
        <v>34</v>
      </c>
      <c r="H750" s="2" t="s">
        <v>16</v>
      </c>
      <c r="I750" s="2">
        <v>320000</v>
      </c>
      <c r="J750" s="2">
        <v>2</v>
      </c>
      <c r="K750" s="2" t="s">
        <v>35</v>
      </c>
      <c r="L750" s="2">
        <f t="shared" si="2"/>
        <v>256000</v>
      </c>
    </row>
    <row r="751" spans="1:12" ht="14.25" customHeight="1" x14ac:dyDescent="0.2">
      <c r="A751" s="33">
        <v>46425</v>
      </c>
      <c r="B751" s="33"/>
      <c r="C751" s="2" t="s">
        <v>25</v>
      </c>
      <c r="D751" s="2" t="s">
        <v>32</v>
      </c>
      <c r="E751" s="2" t="s">
        <v>23</v>
      </c>
      <c r="F751" s="2" t="s">
        <v>20</v>
      </c>
      <c r="G751" s="2" t="s">
        <v>38</v>
      </c>
      <c r="H751" s="2" t="s">
        <v>31</v>
      </c>
      <c r="I751" s="2">
        <v>420000</v>
      </c>
      <c r="J751" s="2">
        <v>8</v>
      </c>
      <c r="K751" s="2" t="s">
        <v>39</v>
      </c>
      <c r="L751" s="2">
        <f t="shared" si="2"/>
        <v>336000</v>
      </c>
    </row>
    <row r="752" spans="1:12" ht="14.25" customHeight="1" x14ac:dyDescent="0.2">
      <c r="A752" s="33">
        <v>46426</v>
      </c>
      <c r="B752" s="33"/>
      <c r="C752" s="2" t="s">
        <v>25</v>
      </c>
      <c r="D752" s="2" t="s">
        <v>32</v>
      </c>
      <c r="E752" s="2" t="s">
        <v>23</v>
      </c>
      <c r="F752" s="2" t="s">
        <v>20</v>
      </c>
      <c r="G752" s="2" t="s">
        <v>21</v>
      </c>
      <c r="H752" s="2" t="s">
        <v>22</v>
      </c>
      <c r="I752" s="2">
        <v>30000</v>
      </c>
      <c r="J752" s="2">
        <v>2</v>
      </c>
      <c r="K752" s="2" t="s">
        <v>24</v>
      </c>
      <c r="L752" s="2">
        <f t="shared" si="2"/>
        <v>24000</v>
      </c>
    </row>
    <row r="753" spans="1:12" ht="14.25" customHeight="1" x14ac:dyDescent="0.2">
      <c r="A753" s="33">
        <v>46427</v>
      </c>
      <c r="B753" s="33"/>
      <c r="C753" s="2" t="s">
        <v>29</v>
      </c>
      <c r="D753" s="2" t="s">
        <v>32</v>
      </c>
      <c r="E753" s="2" t="s">
        <v>23</v>
      </c>
      <c r="F753" s="2" t="s">
        <v>20</v>
      </c>
      <c r="G753" s="2" t="s">
        <v>36</v>
      </c>
      <c r="H753" s="2" t="s">
        <v>31</v>
      </c>
      <c r="I753" s="2">
        <v>150000</v>
      </c>
      <c r="J753" s="2">
        <v>3</v>
      </c>
      <c r="K753" s="2" t="s">
        <v>17</v>
      </c>
      <c r="L753" s="2">
        <f t="shared" si="2"/>
        <v>120000</v>
      </c>
    </row>
    <row r="754" spans="1:12" ht="14.25" customHeight="1" x14ac:dyDescent="0.2">
      <c r="A754" s="33">
        <v>46428</v>
      </c>
      <c r="B754" s="33"/>
      <c r="C754" s="2" t="s">
        <v>25</v>
      </c>
      <c r="D754" s="2" t="s">
        <v>19</v>
      </c>
      <c r="E754" s="2" t="s">
        <v>23</v>
      </c>
      <c r="F754" s="2" t="s">
        <v>20</v>
      </c>
      <c r="G754" s="2" t="s">
        <v>41</v>
      </c>
      <c r="H754" s="2" t="s">
        <v>22</v>
      </c>
      <c r="I754" s="2">
        <v>220000</v>
      </c>
      <c r="J754" s="2">
        <v>6</v>
      </c>
      <c r="K754" s="2" t="s">
        <v>24</v>
      </c>
      <c r="L754" s="2">
        <f t="shared" si="2"/>
        <v>176000</v>
      </c>
    </row>
    <row r="755" spans="1:12" ht="14.25" customHeight="1" x14ac:dyDescent="0.2">
      <c r="A755" s="33">
        <v>46429</v>
      </c>
      <c r="B755" s="33"/>
      <c r="C755" s="2" t="s">
        <v>11</v>
      </c>
      <c r="D755" s="2" t="s">
        <v>12</v>
      </c>
      <c r="E755" s="2" t="s">
        <v>23</v>
      </c>
      <c r="F755" s="2" t="s">
        <v>14</v>
      </c>
      <c r="G755" s="2" t="s">
        <v>27</v>
      </c>
      <c r="H755" s="2" t="s">
        <v>22</v>
      </c>
      <c r="I755" s="2">
        <v>60000</v>
      </c>
      <c r="J755" s="2">
        <v>7</v>
      </c>
      <c r="K755" s="2" t="s">
        <v>35</v>
      </c>
      <c r="L755" s="2">
        <f t="shared" si="2"/>
        <v>48000</v>
      </c>
    </row>
    <row r="756" spans="1:12" ht="14.25" customHeight="1" x14ac:dyDescent="0.2">
      <c r="A756" s="33">
        <v>46430</v>
      </c>
      <c r="B756" s="33"/>
      <c r="C756" s="2" t="s">
        <v>25</v>
      </c>
      <c r="D756" s="2" t="s">
        <v>12</v>
      </c>
      <c r="E756" s="2" t="s">
        <v>13</v>
      </c>
      <c r="F756" s="2" t="s">
        <v>14</v>
      </c>
      <c r="G756" s="2" t="s">
        <v>15</v>
      </c>
      <c r="H756" s="2" t="s">
        <v>16</v>
      </c>
      <c r="I756" s="2">
        <v>85000</v>
      </c>
      <c r="J756" s="2">
        <v>7</v>
      </c>
      <c r="K756" s="2" t="s">
        <v>35</v>
      </c>
      <c r="L756" s="2">
        <f t="shared" si="2"/>
        <v>68000</v>
      </c>
    </row>
    <row r="757" spans="1:12" ht="14.25" customHeight="1" x14ac:dyDescent="0.2">
      <c r="A757" s="33">
        <v>46431</v>
      </c>
      <c r="B757" s="33"/>
      <c r="C757" s="2" t="s">
        <v>11</v>
      </c>
      <c r="D757" s="2" t="s">
        <v>19</v>
      </c>
      <c r="E757" s="2" t="s">
        <v>13</v>
      </c>
      <c r="F757" s="2" t="s">
        <v>14</v>
      </c>
      <c r="G757" s="2" t="s">
        <v>38</v>
      </c>
      <c r="H757" s="2" t="s">
        <v>31</v>
      </c>
      <c r="I757" s="2">
        <v>420000</v>
      </c>
      <c r="J757" s="2">
        <v>6</v>
      </c>
      <c r="K757" s="2" t="s">
        <v>17</v>
      </c>
      <c r="L757" s="2">
        <f t="shared" si="2"/>
        <v>336000</v>
      </c>
    </row>
    <row r="758" spans="1:12" ht="14.25" customHeight="1" x14ac:dyDescent="0.2">
      <c r="A758" s="33">
        <v>46432</v>
      </c>
      <c r="B758" s="33"/>
      <c r="C758" s="2" t="s">
        <v>11</v>
      </c>
      <c r="D758" s="2" t="s">
        <v>12</v>
      </c>
      <c r="E758" s="2" t="s">
        <v>13</v>
      </c>
      <c r="F758" s="2" t="s">
        <v>20</v>
      </c>
      <c r="G758" s="2" t="s">
        <v>30</v>
      </c>
      <c r="H758" s="2" t="s">
        <v>31</v>
      </c>
      <c r="I758" s="2">
        <v>300000</v>
      </c>
      <c r="J758" s="2">
        <v>3</v>
      </c>
      <c r="K758" s="2" t="s">
        <v>28</v>
      </c>
      <c r="L758" s="2">
        <f t="shared" si="2"/>
        <v>240000</v>
      </c>
    </row>
    <row r="759" spans="1:12" ht="14.25" customHeight="1" x14ac:dyDescent="0.2">
      <c r="A759" s="33">
        <v>46433</v>
      </c>
      <c r="B759" s="33"/>
      <c r="C759" s="2" t="s">
        <v>29</v>
      </c>
      <c r="D759" s="2" t="s">
        <v>32</v>
      </c>
      <c r="E759" s="2" t="s">
        <v>13</v>
      </c>
      <c r="F759" s="2" t="s">
        <v>14</v>
      </c>
      <c r="G759" s="2" t="s">
        <v>41</v>
      </c>
      <c r="H759" s="2" t="s">
        <v>22</v>
      </c>
      <c r="I759" s="2">
        <v>220000</v>
      </c>
      <c r="J759" s="2">
        <v>10</v>
      </c>
      <c r="K759" s="2" t="s">
        <v>17</v>
      </c>
      <c r="L759" s="2">
        <f t="shared" si="2"/>
        <v>176000</v>
      </c>
    </row>
    <row r="760" spans="1:12" ht="14.25" customHeight="1" x14ac:dyDescent="0.2">
      <c r="A760" s="33">
        <v>46434</v>
      </c>
      <c r="B760" s="33"/>
      <c r="C760" s="2" t="s">
        <v>29</v>
      </c>
      <c r="D760" s="2" t="s">
        <v>12</v>
      </c>
      <c r="E760" s="2" t="s">
        <v>23</v>
      </c>
      <c r="F760" s="2" t="s">
        <v>20</v>
      </c>
      <c r="G760" s="2" t="s">
        <v>15</v>
      </c>
      <c r="H760" s="2" t="s">
        <v>16</v>
      </c>
      <c r="I760" s="2">
        <v>85000</v>
      </c>
      <c r="J760" s="2">
        <v>4</v>
      </c>
      <c r="K760" s="2" t="s">
        <v>35</v>
      </c>
      <c r="L760" s="2">
        <f t="shared" si="2"/>
        <v>68000</v>
      </c>
    </row>
    <row r="761" spans="1:12" ht="14.25" customHeight="1" x14ac:dyDescent="0.2">
      <c r="A761" s="33">
        <v>46435</v>
      </c>
      <c r="B761" s="33"/>
      <c r="C761" s="2" t="s">
        <v>29</v>
      </c>
      <c r="D761" s="2" t="s">
        <v>19</v>
      </c>
      <c r="E761" s="2" t="s">
        <v>13</v>
      </c>
      <c r="F761" s="2" t="s">
        <v>20</v>
      </c>
      <c r="G761" s="2" t="s">
        <v>34</v>
      </c>
      <c r="H761" s="2" t="s">
        <v>16</v>
      </c>
      <c r="I761" s="2">
        <v>320000</v>
      </c>
      <c r="J761" s="2">
        <v>4</v>
      </c>
      <c r="K761" s="2" t="s">
        <v>39</v>
      </c>
      <c r="L761" s="2">
        <f t="shared" si="2"/>
        <v>256000</v>
      </c>
    </row>
    <row r="762" spans="1:12" ht="14.25" customHeight="1" x14ac:dyDescent="0.2">
      <c r="A762" s="33">
        <v>46436</v>
      </c>
      <c r="B762" s="33"/>
      <c r="C762" s="2" t="s">
        <v>25</v>
      </c>
      <c r="D762" s="2" t="s">
        <v>32</v>
      </c>
      <c r="E762" s="2" t="s">
        <v>13</v>
      </c>
      <c r="F762" s="2" t="s">
        <v>20</v>
      </c>
      <c r="G762" s="2" t="s">
        <v>36</v>
      </c>
      <c r="H762" s="2" t="s">
        <v>31</v>
      </c>
      <c r="I762" s="2">
        <v>150000</v>
      </c>
      <c r="J762" s="2">
        <v>6</v>
      </c>
      <c r="K762" s="2" t="s">
        <v>39</v>
      </c>
      <c r="L762" s="2">
        <f t="shared" si="2"/>
        <v>120000</v>
      </c>
    </row>
    <row r="763" spans="1:12" ht="14.25" customHeight="1" x14ac:dyDescent="0.2">
      <c r="A763" s="33">
        <v>46437</v>
      </c>
      <c r="B763" s="33"/>
      <c r="C763" s="2" t="s">
        <v>11</v>
      </c>
      <c r="D763" s="2" t="s">
        <v>19</v>
      </c>
      <c r="E763" s="2" t="s">
        <v>13</v>
      </c>
      <c r="F763" s="2" t="s">
        <v>20</v>
      </c>
      <c r="G763" s="2" t="s">
        <v>34</v>
      </c>
      <c r="H763" s="2" t="s">
        <v>16</v>
      </c>
      <c r="I763" s="2">
        <v>320000</v>
      </c>
      <c r="J763" s="2">
        <v>2</v>
      </c>
      <c r="K763" s="2" t="s">
        <v>39</v>
      </c>
      <c r="L763" s="2">
        <f t="shared" si="2"/>
        <v>256000</v>
      </c>
    </row>
    <row r="764" spans="1:12" ht="14.25" customHeight="1" x14ac:dyDescent="0.2">
      <c r="A764" s="33">
        <v>46438</v>
      </c>
      <c r="B764" s="33"/>
      <c r="C764" s="2" t="s">
        <v>29</v>
      </c>
      <c r="D764" s="2" t="s">
        <v>26</v>
      </c>
      <c r="E764" s="2" t="s">
        <v>13</v>
      </c>
      <c r="F764" s="2" t="s">
        <v>14</v>
      </c>
      <c r="G764" s="2" t="s">
        <v>34</v>
      </c>
      <c r="H764" s="2" t="s">
        <v>16</v>
      </c>
      <c r="I764" s="2">
        <v>320000</v>
      </c>
      <c r="J764" s="2">
        <v>10</v>
      </c>
      <c r="K764" s="2" t="s">
        <v>39</v>
      </c>
      <c r="L764" s="2">
        <f t="shared" si="2"/>
        <v>256000</v>
      </c>
    </row>
    <row r="765" spans="1:12" ht="14.25" customHeight="1" x14ac:dyDescent="0.2">
      <c r="A765" s="33">
        <v>46439</v>
      </c>
      <c r="B765" s="33"/>
      <c r="C765" s="2" t="s">
        <v>25</v>
      </c>
      <c r="D765" s="2" t="s">
        <v>19</v>
      </c>
      <c r="E765" s="2" t="s">
        <v>23</v>
      </c>
      <c r="F765" s="2" t="s">
        <v>14</v>
      </c>
      <c r="G765" s="2" t="s">
        <v>38</v>
      </c>
      <c r="H765" s="2" t="s">
        <v>31</v>
      </c>
      <c r="I765" s="2">
        <v>420000</v>
      </c>
      <c r="J765" s="2">
        <v>8</v>
      </c>
      <c r="K765" s="2" t="s">
        <v>17</v>
      </c>
      <c r="L765" s="2">
        <f t="shared" si="2"/>
        <v>336000</v>
      </c>
    </row>
    <row r="766" spans="1:12" ht="14.25" customHeight="1" x14ac:dyDescent="0.2">
      <c r="A766" s="33">
        <v>46440</v>
      </c>
      <c r="B766" s="33"/>
      <c r="C766" s="2" t="s">
        <v>29</v>
      </c>
      <c r="D766" s="2" t="s">
        <v>12</v>
      </c>
      <c r="E766" s="2" t="s">
        <v>23</v>
      </c>
      <c r="F766" s="2" t="s">
        <v>14</v>
      </c>
      <c r="G766" s="2" t="s">
        <v>36</v>
      </c>
      <c r="H766" s="2" t="s">
        <v>31</v>
      </c>
      <c r="I766" s="2">
        <v>150000</v>
      </c>
      <c r="J766" s="2">
        <v>5</v>
      </c>
      <c r="K766" s="2" t="s">
        <v>37</v>
      </c>
      <c r="L766" s="2">
        <f t="shared" si="2"/>
        <v>120000</v>
      </c>
    </row>
    <row r="767" spans="1:12" ht="14.25" customHeight="1" x14ac:dyDescent="0.2">
      <c r="A767" s="33">
        <v>46441</v>
      </c>
      <c r="B767" s="33"/>
      <c r="C767" s="2" t="s">
        <v>11</v>
      </c>
      <c r="D767" s="2" t="s">
        <v>26</v>
      </c>
      <c r="E767" s="2" t="s">
        <v>23</v>
      </c>
      <c r="F767" s="2" t="s">
        <v>20</v>
      </c>
      <c r="G767" s="2" t="s">
        <v>15</v>
      </c>
      <c r="H767" s="2" t="s">
        <v>16</v>
      </c>
      <c r="I767" s="2">
        <v>85000</v>
      </c>
      <c r="J767" s="2">
        <v>1</v>
      </c>
      <c r="K767" s="2" t="s">
        <v>37</v>
      </c>
      <c r="L767" s="2">
        <f t="shared" ref="L767:L1021" si="3">I767-I767*0.2</f>
        <v>68000</v>
      </c>
    </row>
    <row r="768" spans="1:12" ht="14.25" customHeight="1" x14ac:dyDescent="0.2">
      <c r="A768" s="33">
        <v>46442</v>
      </c>
      <c r="B768" s="33"/>
      <c r="C768" s="2" t="s">
        <v>18</v>
      </c>
      <c r="D768" s="2" t="s">
        <v>32</v>
      </c>
      <c r="E768" s="2" t="s">
        <v>23</v>
      </c>
      <c r="F768" s="2" t="s">
        <v>20</v>
      </c>
      <c r="G768" s="2" t="s">
        <v>38</v>
      </c>
      <c r="H768" s="2" t="s">
        <v>31</v>
      </c>
      <c r="I768" s="2">
        <v>420000</v>
      </c>
      <c r="J768" s="2">
        <v>2</v>
      </c>
      <c r="K768" s="2" t="s">
        <v>39</v>
      </c>
      <c r="L768" s="2">
        <f t="shared" si="3"/>
        <v>336000</v>
      </c>
    </row>
    <row r="769" spans="1:12" ht="14.25" customHeight="1" x14ac:dyDescent="0.2">
      <c r="A769" s="33">
        <v>46443</v>
      </c>
      <c r="B769" s="33"/>
      <c r="C769" s="2" t="s">
        <v>18</v>
      </c>
      <c r="D769" s="2" t="s">
        <v>32</v>
      </c>
      <c r="E769" s="2" t="s">
        <v>13</v>
      </c>
      <c r="F769" s="2" t="s">
        <v>20</v>
      </c>
      <c r="G769" s="2" t="s">
        <v>33</v>
      </c>
      <c r="H769" s="2" t="s">
        <v>22</v>
      </c>
      <c r="I769" s="2">
        <v>180000</v>
      </c>
      <c r="J769" s="2">
        <v>6</v>
      </c>
      <c r="K769" s="2" t="s">
        <v>39</v>
      </c>
      <c r="L769" s="2">
        <f t="shared" si="3"/>
        <v>144000</v>
      </c>
    </row>
    <row r="770" spans="1:12" ht="14.25" customHeight="1" x14ac:dyDescent="0.2">
      <c r="A770" s="33">
        <v>46444</v>
      </c>
      <c r="B770" s="33"/>
      <c r="C770" s="2" t="s">
        <v>18</v>
      </c>
      <c r="D770" s="2" t="s">
        <v>12</v>
      </c>
      <c r="E770" s="2" t="s">
        <v>13</v>
      </c>
      <c r="F770" s="2" t="s">
        <v>20</v>
      </c>
      <c r="G770" s="2" t="s">
        <v>41</v>
      </c>
      <c r="H770" s="2" t="s">
        <v>22</v>
      </c>
      <c r="I770" s="2">
        <v>220000</v>
      </c>
      <c r="J770" s="2">
        <v>7</v>
      </c>
      <c r="K770" s="2" t="s">
        <v>17</v>
      </c>
      <c r="L770" s="2">
        <f t="shared" si="3"/>
        <v>176000</v>
      </c>
    </row>
    <row r="771" spans="1:12" ht="14.25" customHeight="1" x14ac:dyDescent="0.2">
      <c r="A771" s="33">
        <v>46445</v>
      </c>
      <c r="B771" s="33"/>
      <c r="C771" s="2" t="s">
        <v>18</v>
      </c>
      <c r="D771" s="2" t="s">
        <v>12</v>
      </c>
      <c r="E771" s="2" t="s">
        <v>13</v>
      </c>
      <c r="F771" s="2" t="s">
        <v>14</v>
      </c>
      <c r="G771" s="2" t="s">
        <v>41</v>
      </c>
      <c r="H771" s="2" t="s">
        <v>22</v>
      </c>
      <c r="I771" s="2">
        <v>220000</v>
      </c>
      <c r="J771" s="2">
        <v>5</v>
      </c>
      <c r="K771" s="2" t="s">
        <v>24</v>
      </c>
      <c r="L771" s="2">
        <f t="shared" si="3"/>
        <v>176000</v>
      </c>
    </row>
    <row r="772" spans="1:12" ht="14.25" customHeight="1" x14ac:dyDescent="0.2">
      <c r="A772" s="33">
        <v>46446</v>
      </c>
      <c r="B772" s="33"/>
      <c r="C772" s="2" t="s">
        <v>29</v>
      </c>
      <c r="D772" s="2" t="s">
        <v>12</v>
      </c>
      <c r="E772" s="2" t="s">
        <v>13</v>
      </c>
      <c r="F772" s="2" t="s">
        <v>20</v>
      </c>
      <c r="G772" s="2" t="s">
        <v>30</v>
      </c>
      <c r="H772" s="2" t="s">
        <v>31</v>
      </c>
      <c r="I772" s="2">
        <v>300000</v>
      </c>
      <c r="J772" s="2">
        <v>6</v>
      </c>
      <c r="K772" s="2" t="s">
        <v>28</v>
      </c>
      <c r="L772" s="2">
        <f t="shared" si="3"/>
        <v>240000</v>
      </c>
    </row>
    <row r="773" spans="1:12" ht="14.25" customHeight="1" x14ac:dyDescent="0.2">
      <c r="A773" s="33">
        <v>46447</v>
      </c>
      <c r="B773" s="33"/>
      <c r="C773" s="2" t="s">
        <v>11</v>
      </c>
      <c r="D773" s="2" t="s">
        <v>26</v>
      </c>
      <c r="E773" s="2" t="s">
        <v>13</v>
      </c>
      <c r="F773" s="2" t="s">
        <v>20</v>
      </c>
      <c r="G773" s="2" t="s">
        <v>40</v>
      </c>
      <c r="H773" s="2" t="s">
        <v>31</v>
      </c>
      <c r="I773" s="2">
        <v>250000</v>
      </c>
      <c r="J773" s="2">
        <v>4</v>
      </c>
      <c r="K773" s="2" t="s">
        <v>28</v>
      </c>
      <c r="L773" s="2">
        <f t="shared" si="3"/>
        <v>200000</v>
      </c>
    </row>
    <row r="774" spans="1:12" ht="14.25" customHeight="1" x14ac:dyDescent="0.2">
      <c r="A774" s="33">
        <v>46448</v>
      </c>
      <c r="B774" s="33"/>
      <c r="C774" s="2" t="s">
        <v>29</v>
      </c>
      <c r="D774" s="2" t="s">
        <v>19</v>
      </c>
      <c r="E774" s="2" t="s">
        <v>23</v>
      </c>
      <c r="F774" s="2" t="s">
        <v>14</v>
      </c>
      <c r="G774" s="2" t="s">
        <v>34</v>
      </c>
      <c r="H774" s="2" t="s">
        <v>16</v>
      </c>
      <c r="I774" s="2">
        <v>320000</v>
      </c>
      <c r="J774" s="2">
        <v>5</v>
      </c>
      <c r="K774" s="2" t="s">
        <v>24</v>
      </c>
      <c r="L774" s="2">
        <f t="shared" si="3"/>
        <v>256000</v>
      </c>
    </row>
    <row r="775" spans="1:12" ht="14.25" customHeight="1" x14ac:dyDescent="0.2">
      <c r="A775" s="33">
        <v>46449</v>
      </c>
      <c r="B775" s="33"/>
      <c r="C775" s="2" t="s">
        <v>29</v>
      </c>
      <c r="D775" s="2" t="s">
        <v>12</v>
      </c>
      <c r="E775" s="2" t="s">
        <v>13</v>
      </c>
      <c r="F775" s="2" t="s">
        <v>20</v>
      </c>
      <c r="G775" s="2" t="s">
        <v>30</v>
      </c>
      <c r="H775" s="2" t="s">
        <v>31</v>
      </c>
      <c r="I775" s="2">
        <v>300000</v>
      </c>
      <c r="J775" s="2">
        <v>10</v>
      </c>
      <c r="K775" s="2" t="s">
        <v>39</v>
      </c>
      <c r="L775" s="2">
        <f t="shared" si="3"/>
        <v>240000</v>
      </c>
    </row>
    <row r="776" spans="1:12" ht="14.25" customHeight="1" x14ac:dyDescent="0.2">
      <c r="A776" s="33">
        <v>46450</v>
      </c>
      <c r="B776" s="33"/>
      <c r="C776" s="2" t="s">
        <v>29</v>
      </c>
      <c r="D776" s="2" t="s">
        <v>12</v>
      </c>
      <c r="E776" s="2" t="s">
        <v>13</v>
      </c>
      <c r="F776" s="2" t="s">
        <v>20</v>
      </c>
      <c r="G776" s="2" t="s">
        <v>27</v>
      </c>
      <c r="H776" s="2" t="s">
        <v>22</v>
      </c>
      <c r="I776" s="2">
        <v>60000</v>
      </c>
      <c r="J776" s="2">
        <v>5</v>
      </c>
      <c r="K776" s="2" t="s">
        <v>37</v>
      </c>
      <c r="L776" s="2">
        <f t="shared" si="3"/>
        <v>48000</v>
      </c>
    </row>
    <row r="777" spans="1:12" ht="14.25" customHeight="1" x14ac:dyDescent="0.2">
      <c r="A777" s="33">
        <v>46451</v>
      </c>
      <c r="B777" s="33"/>
      <c r="C777" s="2" t="s">
        <v>29</v>
      </c>
      <c r="D777" s="2" t="s">
        <v>26</v>
      </c>
      <c r="E777" s="2" t="s">
        <v>13</v>
      </c>
      <c r="F777" s="2" t="s">
        <v>14</v>
      </c>
      <c r="G777" s="2" t="s">
        <v>38</v>
      </c>
      <c r="H777" s="2" t="s">
        <v>31</v>
      </c>
      <c r="I777" s="2">
        <v>420000</v>
      </c>
      <c r="J777" s="2">
        <v>8</v>
      </c>
      <c r="K777" s="2" t="s">
        <v>35</v>
      </c>
      <c r="L777" s="2">
        <f t="shared" si="3"/>
        <v>336000</v>
      </c>
    </row>
    <row r="778" spans="1:12" ht="14.25" customHeight="1" x14ac:dyDescent="0.2">
      <c r="A778" s="33">
        <v>46452</v>
      </c>
      <c r="B778" s="33"/>
      <c r="C778" s="2" t="s">
        <v>11</v>
      </c>
      <c r="D778" s="2" t="s">
        <v>32</v>
      </c>
      <c r="E778" s="2" t="s">
        <v>23</v>
      </c>
      <c r="F778" s="2" t="s">
        <v>14</v>
      </c>
      <c r="G778" s="2" t="s">
        <v>30</v>
      </c>
      <c r="H778" s="2" t="s">
        <v>31</v>
      </c>
      <c r="I778" s="2">
        <v>300000</v>
      </c>
      <c r="J778" s="2">
        <v>1</v>
      </c>
      <c r="K778" s="2" t="s">
        <v>24</v>
      </c>
      <c r="L778" s="2">
        <f t="shared" si="3"/>
        <v>240000</v>
      </c>
    </row>
    <row r="779" spans="1:12" ht="14.25" customHeight="1" x14ac:dyDescent="0.2">
      <c r="A779" s="33">
        <v>46453</v>
      </c>
      <c r="B779" s="33"/>
      <c r="C779" s="2" t="s">
        <v>11</v>
      </c>
      <c r="D779" s="2" t="s">
        <v>26</v>
      </c>
      <c r="E779" s="2" t="s">
        <v>23</v>
      </c>
      <c r="F779" s="2" t="s">
        <v>20</v>
      </c>
      <c r="G779" s="2" t="s">
        <v>38</v>
      </c>
      <c r="H779" s="2" t="s">
        <v>31</v>
      </c>
      <c r="I779" s="2">
        <v>420000</v>
      </c>
      <c r="J779" s="2">
        <v>2</v>
      </c>
      <c r="K779" s="2" t="s">
        <v>37</v>
      </c>
      <c r="L779" s="2">
        <f t="shared" si="3"/>
        <v>336000</v>
      </c>
    </row>
    <row r="780" spans="1:12" ht="14.25" customHeight="1" x14ac:dyDescent="0.2">
      <c r="A780" s="33">
        <v>46454</v>
      </c>
      <c r="B780" s="33"/>
      <c r="C780" s="2" t="s">
        <v>25</v>
      </c>
      <c r="D780" s="2" t="s">
        <v>19</v>
      </c>
      <c r="E780" s="2" t="s">
        <v>23</v>
      </c>
      <c r="F780" s="2" t="s">
        <v>14</v>
      </c>
      <c r="G780" s="2" t="s">
        <v>38</v>
      </c>
      <c r="H780" s="2" t="s">
        <v>31</v>
      </c>
      <c r="I780" s="2">
        <v>420000</v>
      </c>
      <c r="J780" s="2">
        <v>7</v>
      </c>
      <c r="K780" s="2" t="s">
        <v>35</v>
      </c>
      <c r="L780" s="2">
        <f t="shared" si="3"/>
        <v>336000</v>
      </c>
    </row>
    <row r="781" spans="1:12" ht="14.25" customHeight="1" x14ac:dyDescent="0.2">
      <c r="A781" s="33">
        <v>46455</v>
      </c>
      <c r="B781" s="33"/>
      <c r="C781" s="2" t="s">
        <v>11</v>
      </c>
      <c r="D781" s="2" t="s">
        <v>26</v>
      </c>
      <c r="E781" s="2" t="s">
        <v>23</v>
      </c>
      <c r="F781" s="2" t="s">
        <v>14</v>
      </c>
      <c r="G781" s="2" t="s">
        <v>33</v>
      </c>
      <c r="H781" s="2" t="s">
        <v>22</v>
      </c>
      <c r="I781" s="2">
        <v>180000</v>
      </c>
      <c r="J781" s="2">
        <v>8</v>
      </c>
      <c r="K781" s="2" t="s">
        <v>28</v>
      </c>
      <c r="L781" s="2">
        <f t="shared" si="3"/>
        <v>144000</v>
      </c>
    </row>
    <row r="782" spans="1:12" ht="14.25" customHeight="1" x14ac:dyDescent="0.2">
      <c r="A782" s="33">
        <v>46456</v>
      </c>
      <c r="B782" s="33"/>
      <c r="C782" s="2" t="s">
        <v>11</v>
      </c>
      <c r="D782" s="2" t="s">
        <v>26</v>
      </c>
      <c r="E782" s="2" t="s">
        <v>13</v>
      </c>
      <c r="F782" s="2" t="s">
        <v>14</v>
      </c>
      <c r="G782" s="2" t="s">
        <v>27</v>
      </c>
      <c r="H782" s="2" t="s">
        <v>22</v>
      </c>
      <c r="I782" s="2">
        <v>60000</v>
      </c>
      <c r="J782" s="2">
        <v>7</v>
      </c>
      <c r="K782" s="2" t="s">
        <v>28</v>
      </c>
      <c r="L782" s="2">
        <f t="shared" si="3"/>
        <v>48000</v>
      </c>
    </row>
    <row r="783" spans="1:12" ht="14.25" customHeight="1" x14ac:dyDescent="0.2">
      <c r="A783" s="33">
        <v>46457</v>
      </c>
      <c r="B783" s="33"/>
      <c r="C783" s="2" t="s">
        <v>18</v>
      </c>
      <c r="D783" s="2" t="s">
        <v>19</v>
      </c>
      <c r="E783" s="2" t="s">
        <v>23</v>
      </c>
      <c r="F783" s="2" t="s">
        <v>14</v>
      </c>
      <c r="G783" s="2" t="s">
        <v>38</v>
      </c>
      <c r="H783" s="2" t="s">
        <v>31</v>
      </c>
      <c r="I783" s="2">
        <v>420000</v>
      </c>
      <c r="J783" s="2">
        <v>7</v>
      </c>
      <c r="K783" s="2" t="s">
        <v>28</v>
      </c>
      <c r="L783" s="2">
        <f t="shared" si="3"/>
        <v>336000</v>
      </c>
    </row>
    <row r="784" spans="1:12" ht="14.25" customHeight="1" x14ac:dyDescent="0.2">
      <c r="A784" s="33">
        <v>46458</v>
      </c>
      <c r="B784" s="33"/>
      <c r="C784" s="2" t="s">
        <v>18</v>
      </c>
      <c r="D784" s="2" t="s">
        <v>12</v>
      </c>
      <c r="E784" s="2" t="s">
        <v>13</v>
      </c>
      <c r="F784" s="2" t="s">
        <v>14</v>
      </c>
      <c r="G784" s="2" t="s">
        <v>33</v>
      </c>
      <c r="H784" s="2" t="s">
        <v>22</v>
      </c>
      <c r="I784" s="2">
        <v>180000</v>
      </c>
      <c r="J784" s="2">
        <v>5</v>
      </c>
      <c r="K784" s="2" t="s">
        <v>39</v>
      </c>
      <c r="L784" s="2">
        <f t="shared" si="3"/>
        <v>144000</v>
      </c>
    </row>
    <row r="785" spans="1:12" ht="14.25" customHeight="1" x14ac:dyDescent="0.2">
      <c r="A785" s="33">
        <v>46459</v>
      </c>
      <c r="B785" s="33"/>
      <c r="C785" s="2" t="s">
        <v>18</v>
      </c>
      <c r="D785" s="2" t="s">
        <v>26</v>
      </c>
      <c r="E785" s="2" t="s">
        <v>23</v>
      </c>
      <c r="F785" s="2" t="s">
        <v>20</v>
      </c>
      <c r="G785" s="2" t="s">
        <v>38</v>
      </c>
      <c r="H785" s="2" t="s">
        <v>31</v>
      </c>
      <c r="I785" s="2">
        <v>420000</v>
      </c>
      <c r="J785" s="2">
        <v>9</v>
      </c>
      <c r="K785" s="2" t="s">
        <v>39</v>
      </c>
      <c r="L785" s="2">
        <f t="shared" si="3"/>
        <v>336000</v>
      </c>
    </row>
    <row r="786" spans="1:12" ht="14.25" customHeight="1" x14ac:dyDescent="0.2">
      <c r="A786" s="33">
        <v>46460</v>
      </c>
      <c r="B786" s="33"/>
      <c r="C786" s="2" t="s">
        <v>18</v>
      </c>
      <c r="D786" s="2" t="s">
        <v>26</v>
      </c>
      <c r="E786" s="2" t="s">
        <v>23</v>
      </c>
      <c r="F786" s="2" t="s">
        <v>20</v>
      </c>
      <c r="G786" s="2" t="s">
        <v>30</v>
      </c>
      <c r="H786" s="2" t="s">
        <v>31</v>
      </c>
      <c r="I786" s="2">
        <v>300000</v>
      </c>
      <c r="J786" s="2">
        <v>7</v>
      </c>
      <c r="K786" s="2" t="s">
        <v>35</v>
      </c>
      <c r="L786" s="2">
        <f t="shared" si="3"/>
        <v>240000</v>
      </c>
    </row>
    <row r="787" spans="1:12" ht="14.25" customHeight="1" x14ac:dyDescent="0.2">
      <c r="A787" s="33">
        <v>46461</v>
      </c>
      <c r="B787" s="33"/>
      <c r="C787" s="2" t="s">
        <v>11</v>
      </c>
      <c r="D787" s="2" t="s">
        <v>32</v>
      </c>
      <c r="E787" s="2" t="s">
        <v>13</v>
      </c>
      <c r="F787" s="2" t="s">
        <v>20</v>
      </c>
      <c r="G787" s="2" t="s">
        <v>36</v>
      </c>
      <c r="H787" s="2" t="s">
        <v>31</v>
      </c>
      <c r="I787" s="2">
        <v>150000</v>
      </c>
      <c r="J787" s="2">
        <v>3</v>
      </c>
      <c r="K787" s="2" t="s">
        <v>24</v>
      </c>
      <c r="L787" s="2">
        <f t="shared" si="3"/>
        <v>120000</v>
      </c>
    </row>
    <row r="788" spans="1:12" ht="14.25" customHeight="1" x14ac:dyDescent="0.2">
      <c r="A788" s="33">
        <v>46462</v>
      </c>
      <c r="B788" s="33"/>
      <c r="C788" s="2" t="s">
        <v>11</v>
      </c>
      <c r="D788" s="2" t="s">
        <v>19</v>
      </c>
      <c r="E788" s="2" t="s">
        <v>13</v>
      </c>
      <c r="F788" s="2" t="s">
        <v>20</v>
      </c>
      <c r="G788" s="2" t="s">
        <v>30</v>
      </c>
      <c r="H788" s="2" t="s">
        <v>31</v>
      </c>
      <c r="I788" s="2">
        <v>300000</v>
      </c>
      <c r="J788" s="2">
        <v>10</v>
      </c>
      <c r="K788" s="2" t="s">
        <v>39</v>
      </c>
      <c r="L788" s="2">
        <f t="shared" si="3"/>
        <v>240000</v>
      </c>
    </row>
    <row r="789" spans="1:12" ht="14.25" customHeight="1" x14ac:dyDescent="0.2">
      <c r="A789" s="33">
        <v>46463</v>
      </c>
      <c r="B789" s="33"/>
      <c r="C789" s="2" t="s">
        <v>18</v>
      </c>
      <c r="D789" s="2" t="s">
        <v>12</v>
      </c>
      <c r="E789" s="2" t="s">
        <v>13</v>
      </c>
      <c r="F789" s="2" t="s">
        <v>14</v>
      </c>
      <c r="G789" s="2" t="s">
        <v>38</v>
      </c>
      <c r="H789" s="2" t="s">
        <v>31</v>
      </c>
      <c r="I789" s="2">
        <v>420000</v>
      </c>
      <c r="J789" s="2">
        <v>8</v>
      </c>
      <c r="K789" s="2" t="s">
        <v>39</v>
      </c>
      <c r="L789" s="2">
        <f t="shared" si="3"/>
        <v>336000</v>
      </c>
    </row>
    <row r="790" spans="1:12" ht="14.25" customHeight="1" x14ac:dyDescent="0.2">
      <c r="A790" s="33">
        <v>46464</v>
      </c>
      <c r="B790" s="33"/>
      <c r="C790" s="2" t="s">
        <v>11</v>
      </c>
      <c r="D790" s="2" t="s">
        <v>26</v>
      </c>
      <c r="E790" s="2" t="s">
        <v>23</v>
      </c>
      <c r="F790" s="2" t="s">
        <v>20</v>
      </c>
      <c r="G790" s="2" t="s">
        <v>41</v>
      </c>
      <c r="H790" s="2" t="s">
        <v>22</v>
      </c>
      <c r="I790" s="2">
        <v>220000</v>
      </c>
      <c r="J790" s="2">
        <v>2</v>
      </c>
      <c r="K790" s="2" t="s">
        <v>28</v>
      </c>
      <c r="L790" s="2">
        <f t="shared" si="3"/>
        <v>176000</v>
      </c>
    </row>
    <row r="791" spans="1:12" ht="14.25" customHeight="1" x14ac:dyDescent="0.2">
      <c r="A791" s="33">
        <v>46465</v>
      </c>
      <c r="B791" s="33"/>
      <c r="C791" s="2" t="s">
        <v>11</v>
      </c>
      <c r="D791" s="2" t="s">
        <v>32</v>
      </c>
      <c r="E791" s="2" t="s">
        <v>13</v>
      </c>
      <c r="F791" s="2" t="s">
        <v>14</v>
      </c>
      <c r="G791" s="2" t="s">
        <v>36</v>
      </c>
      <c r="H791" s="2" t="s">
        <v>31</v>
      </c>
      <c r="I791" s="2">
        <v>150000</v>
      </c>
      <c r="J791" s="2">
        <v>4</v>
      </c>
      <c r="K791" s="2" t="s">
        <v>17</v>
      </c>
      <c r="L791" s="2">
        <f t="shared" si="3"/>
        <v>120000</v>
      </c>
    </row>
    <row r="792" spans="1:12" ht="14.25" customHeight="1" x14ac:dyDescent="0.2">
      <c r="A792" s="33">
        <v>46466</v>
      </c>
      <c r="B792" s="33"/>
      <c r="C792" s="2" t="s">
        <v>11</v>
      </c>
      <c r="D792" s="2" t="s">
        <v>19</v>
      </c>
      <c r="E792" s="2" t="s">
        <v>13</v>
      </c>
      <c r="F792" s="2" t="s">
        <v>14</v>
      </c>
      <c r="G792" s="2" t="s">
        <v>21</v>
      </c>
      <c r="H792" s="2" t="s">
        <v>22</v>
      </c>
      <c r="I792" s="2">
        <v>30000</v>
      </c>
      <c r="J792" s="2">
        <v>8</v>
      </c>
      <c r="K792" s="2" t="s">
        <v>35</v>
      </c>
      <c r="L792" s="2">
        <f t="shared" si="3"/>
        <v>24000</v>
      </c>
    </row>
    <row r="793" spans="1:12" ht="14.25" customHeight="1" x14ac:dyDescent="0.2">
      <c r="A793" s="33">
        <v>46467</v>
      </c>
      <c r="B793" s="33"/>
      <c r="C793" s="2" t="s">
        <v>11</v>
      </c>
      <c r="D793" s="2" t="s">
        <v>26</v>
      </c>
      <c r="E793" s="2" t="s">
        <v>23</v>
      </c>
      <c r="F793" s="2" t="s">
        <v>20</v>
      </c>
      <c r="G793" s="2" t="s">
        <v>38</v>
      </c>
      <c r="H793" s="2" t="s">
        <v>31</v>
      </c>
      <c r="I793" s="2">
        <v>420000</v>
      </c>
      <c r="J793" s="2">
        <v>3</v>
      </c>
      <c r="K793" s="2" t="s">
        <v>37</v>
      </c>
      <c r="L793" s="2">
        <f t="shared" si="3"/>
        <v>336000</v>
      </c>
    </row>
    <row r="794" spans="1:12" ht="14.25" customHeight="1" x14ac:dyDescent="0.2">
      <c r="A794" s="33">
        <v>46468</v>
      </c>
      <c r="B794" s="33"/>
      <c r="C794" s="2" t="s">
        <v>11</v>
      </c>
      <c r="D794" s="2" t="s">
        <v>12</v>
      </c>
      <c r="E794" s="2" t="s">
        <v>23</v>
      </c>
      <c r="F794" s="2" t="s">
        <v>20</v>
      </c>
      <c r="G794" s="2" t="s">
        <v>30</v>
      </c>
      <c r="H794" s="2" t="s">
        <v>31</v>
      </c>
      <c r="I794" s="2">
        <v>300000</v>
      </c>
      <c r="J794" s="2">
        <v>4</v>
      </c>
      <c r="K794" s="2" t="s">
        <v>39</v>
      </c>
      <c r="L794" s="2">
        <f t="shared" si="3"/>
        <v>240000</v>
      </c>
    </row>
    <row r="795" spans="1:12" ht="14.25" customHeight="1" x14ac:dyDescent="0.2">
      <c r="A795" s="33">
        <v>46469</v>
      </c>
      <c r="B795" s="33"/>
      <c r="C795" s="2" t="s">
        <v>11</v>
      </c>
      <c r="D795" s="2" t="s">
        <v>19</v>
      </c>
      <c r="E795" s="2" t="s">
        <v>13</v>
      </c>
      <c r="F795" s="2" t="s">
        <v>14</v>
      </c>
      <c r="G795" s="2" t="s">
        <v>40</v>
      </c>
      <c r="H795" s="2" t="s">
        <v>31</v>
      </c>
      <c r="I795" s="2">
        <v>250000</v>
      </c>
      <c r="J795" s="2">
        <v>6</v>
      </c>
      <c r="K795" s="2" t="s">
        <v>24</v>
      </c>
      <c r="L795" s="2">
        <f t="shared" si="3"/>
        <v>200000</v>
      </c>
    </row>
    <row r="796" spans="1:12" ht="14.25" customHeight="1" x14ac:dyDescent="0.2">
      <c r="A796" s="33">
        <v>46470</v>
      </c>
      <c r="B796" s="33"/>
      <c r="C796" s="2" t="s">
        <v>11</v>
      </c>
      <c r="D796" s="2" t="s">
        <v>26</v>
      </c>
      <c r="E796" s="2" t="s">
        <v>23</v>
      </c>
      <c r="F796" s="2" t="s">
        <v>20</v>
      </c>
      <c r="G796" s="2" t="s">
        <v>34</v>
      </c>
      <c r="H796" s="2" t="s">
        <v>16</v>
      </c>
      <c r="I796" s="2">
        <v>320000</v>
      </c>
      <c r="J796" s="2">
        <v>6</v>
      </c>
      <c r="K796" s="2" t="s">
        <v>35</v>
      </c>
      <c r="L796" s="2">
        <f t="shared" si="3"/>
        <v>256000</v>
      </c>
    </row>
    <row r="797" spans="1:12" ht="14.25" customHeight="1" x14ac:dyDescent="0.2">
      <c r="A797" s="33">
        <v>46471</v>
      </c>
      <c r="B797" s="33"/>
      <c r="C797" s="2" t="s">
        <v>11</v>
      </c>
      <c r="D797" s="2" t="s">
        <v>26</v>
      </c>
      <c r="E797" s="2" t="s">
        <v>13</v>
      </c>
      <c r="F797" s="2" t="s">
        <v>14</v>
      </c>
      <c r="G797" s="2" t="s">
        <v>33</v>
      </c>
      <c r="H797" s="2" t="s">
        <v>22</v>
      </c>
      <c r="I797" s="2">
        <v>180000</v>
      </c>
      <c r="J797" s="2">
        <v>5</v>
      </c>
      <c r="K797" s="2" t="s">
        <v>35</v>
      </c>
      <c r="L797" s="2">
        <f t="shared" si="3"/>
        <v>144000</v>
      </c>
    </row>
    <row r="798" spans="1:12" ht="14.25" customHeight="1" x14ac:dyDescent="0.2">
      <c r="A798" s="33">
        <v>46472</v>
      </c>
      <c r="B798" s="33"/>
      <c r="C798" s="2" t="s">
        <v>11</v>
      </c>
      <c r="D798" s="2" t="s">
        <v>12</v>
      </c>
      <c r="E798" s="2" t="s">
        <v>13</v>
      </c>
      <c r="F798" s="2" t="s">
        <v>14</v>
      </c>
      <c r="G798" s="2" t="s">
        <v>36</v>
      </c>
      <c r="H798" s="2" t="s">
        <v>31</v>
      </c>
      <c r="I798" s="2">
        <v>150000</v>
      </c>
      <c r="J798" s="2">
        <v>1</v>
      </c>
      <c r="K798" s="2" t="s">
        <v>28</v>
      </c>
      <c r="L798" s="2">
        <f t="shared" si="3"/>
        <v>120000</v>
      </c>
    </row>
    <row r="799" spans="1:12" ht="14.25" customHeight="1" x14ac:dyDescent="0.2">
      <c r="A799" s="33">
        <v>46473</v>
      </c>
      <c r="B799" s="33"/>
      <c r="C799" s="2" t="s">
        <v>11</v>
      </c>
      <c r="D799" s="2" t="s">
        <v>12</v>
      </c>
      <c r="E799" s="2" t="s">
        <v>13</v>
      </c>
      <c r="F799" s="2" t="s">
        <v>20</v>
      </c>
      <c r="G799" s="2" t="s">
        <v>27</v>
      </c>
      <c r="H799" s="2" t="s">
        <v>22</v>
      </c>
      <c r="I799" s="2">
        <v>60000</v>
      </c>
      <c r="J799" s="2">
        <v>3</v>
      </c>
      <c r="K799" s="2" t="s">
        <v>39</v>
      </c>
      <c r="L799" s="2">
        <f t="shared" si="3"/>
        <v>48000</v>
      </c>
    </row>
    <row r="800" spans="1:12" ht="14.25" customHeight="1" x14ac:dyDescent="0.2">
      <c r="A800" s="33">
        <v>46474</v>
      </c>
      <c r="B800" s="33"/>
      <c r="C800" s="2" t="s">
        <v>18</v>
      </c>
      <c r="D800" s="2" t="s">
        <v>32</v>
      </c>
      <c r="E800" s="2" t="s">
        <v>23</v>
      </c>
      <c r="F800" s="2" t="s">
        <v>14</v>
      </c>
      <c r="G800" s="2" t="s">
        <v>15</v>
      </c>
      <c r="H800" s="2" t="s">
        <v>16</v>
      </c>
      <c r="I800" s="2">
        <v>85000</v>
      </c>
      <c r="J800" s="2">
        <v>10</v>
      </c>
      <c r="K800" s="2" t="s">
        <v>24</v>
      </c>
      <c r="L800" s="2">
        <f t="shared" si="3"/>
        <v>68000</v>
      </c>
    </row>
    <row r="801" spans="1:12" ht="14.25" customHeight="1" x14ac:dyDescent="0.2">
      <c r="A801" s="33">
        <v>46475</v>
      </c>
      <c r="B801" s="33"/>
      <c r="C801" s="2" t="s">
        <v>11</v>
      </c>
      <c r="D801" s="2" t="s">
        <v>32</v>
      </c>
      <c r="E801" s="2" t="s">
        <v>23</v>
      </c>
      <c r="F801" s="2" t="s">
        <v>20</v>
      </c>
      <c r="G801" s="2" t="s">
        <v>36</v>
      </c>
      <c r="H801" s="2" t="s">
        <v>31</v>
      </c>
      <c r="I801" s="2">
        <v>150000</v>
      </c>
      <c r="J801" s="2">
        <v>3</v>
      </c>
      <c r="K801" s="2" t="s">
        <v>37</v>
      </c>
      <c r="L801" s="2">
        <f t="shared" si="3"/>
        <v>120000</v>
      </c>
    </row>
    <row r="802" spans="1:12" ht="14.25" customHeight="1" x14ac:dyDescent="0.2">
      <c r="A802" s="33">
        <v>46476</v>
      </c>
      <c r="B802" s="33"/>
      <c r="C802" s="2" t="s">
        <v>25</v>
      </c>
      <c r="D802" s="2" t="s">
        <v>12</v>
      </c>
      <c r="E802" s="2" t="s">
        <v>23</v>
      </c>
      <c r="F802" s="2" t="s">
        <v>20</v>
      </c>
      <c r="G802" s="2" t="s">
        <v>38</v>
      </c>
      <c r="H802" s="2" t="s">
        <v>31</v>
      </c>
      <c r="I802" s="2">
        <v>420000</v>
      </c>
      <c r="J802" s="2">
        <v>9</v>
      </c>
      <c r="K802" s="2" t="s">
        <v>37</v>
      </c>
      <c r="L802" s="2">
        <f t="shared" si="3"/>
        <v>336000</v>
      </c>
    </row>
    <row r="803" spans="1:12" ht="14.25" customHeight="1" x14ac:dyDescent="0.2">
      <c r="A803" s="33">
        <v>46477</v>
      </c>
      <c r="B803" s="33"/>
      <c r="C803" s="2" t="s">
        <v>25</v>
      </c>
      <c r="D803" s="2" t="s">
        <v>32</v>
      </c>
      <c r="E803" s="2" t="s">
        <v>13</v>
      </c>
      <c r="F803" s="2" t="s">
        <v>20</v>
      </c>
      <c r="G803" s="2" t="s">
        <v>41</v>
      </c>
      <c r="H803" s="2" t="s">
        <v>22</v>
      </c>
      <c r="I803" s="2">
        <v>220000</v>
      </c>
      <c r="J803" s="2">
        <v>1</v>
      </c>
      <c r="K803" s="2" t="s">
        <v>35</v>
      </c>
      <c r="L803" s="2">
        <f t="shared" si="3"/>
        <v>176000</v>
      </c>
    </row>
    <row r="804" spans="1:12" ht="14.25" customHeight="1" x14ac:dyDescent="0.2">
      <c r="A804" s="33">
        <v>46478</v>
      </c>
      <c r="B804" s="33"/>
      <c r="C804" s="2" t="s">
        <v>18</v>
      </c>
      <c r="D804" s="2" t="s">
        <v>32</v>
      </c>
      <c r="E804" s="2" t="s">
        <v>23</v>
      </c>
      <c r="F804" s="2" t="s">
        <v>14</v>
      </c>
      <c r="G804" s="2" t="s">
        <v>15</v>
      </c>
      <c r="H804" s="2" t="s">
        <v>16</v>
      </c>
      <c r="I804" s="2">
        <v>85000</v>
      </c>
      <c r="J804" s="2">
        <v>4</v>
      </c>
      <c r="K804" s="2" t="s">
        <v>24</v>
      </c>
      <c r="L804" s="2">
        <f t="shared" si="3"/>
        <v>68000</v>
      </c>
    </row>
    <row r="805" spans="1:12" ht="14.25" customHeight="1" x14ac:dyDescent="0.2">
      <c r="A805" s="33">
        <v>46479</v>
      </c>
      <c r="B805" s="33"/>
      <c r="C805" s="2" t="s">
        <v>11</v>
      </c>
      <c r="D805" s="2" t="s">
        <v>12</v>
      </c>
      <c r="E805" s="2" t="s">
        <v>13</v>
      </c>
      <c r="F805" s="2" t="s">
        <v>14</v>
      </c>
      <c r="G805" s="2" t="s">
        <v>38</v>
      </c>
      <c r="H805" s="2" t="s">
        <v>31</v>
      </c>
      <c r="I805" s="2">
        <v>420000</v>
      </c>
      <c r="J805" s="2">
        <v>6</v>
      </c>
      <c r="K805" s="2" t="s">
        <v>37</v>
      </c>
      <c r="L805" s="2">
        <f t="shared" si="3"/>
        <v>336000</v>
      </c>
    </row>
    <row r="806" spans="1:12" ht="14.25" customHeight="1" x14ac:dyDescent="0.2">
      <c r="A806" s="33">
        <v>46480</v>
      </c>
      <c r="B806" s="33"/>
      <c r="C806" s="2" t="s">
        <v>29</v>
      </c>
      <c r="D806" s="2" t="s">
        <v>32</v>
      </c>
      <c r="E806" s="2" t="s">
        <v>23</v>
      </c>
      <c r="F806" s="2" t="s">
        <v>14</v>
      </c>
      <c r="G806" s="2" t="s">
        <v>38</v>
      </c>
      <c r="H806" s="2" t="s">
        <v>31</v>
      </c>
      <c r="I806" s="2">
        <v>420000</v>
      </c>
      <c r="J806" s="2">
        <v>6</v>
      </c>
      <c r="K806" s="2" t="s">
        <v>28</v>
      </c>
      <c r="L806" s="2">
        <f t="shared" si="3"/>
        <v>336000</v>
      </c>
    </row>
    <row r="807" spans="1:12" ht="14.25" customHeight="1" x14ac:dyDescent="0.2">
      <c r="A807" s="33">
        <v>46481</v>
      </c>
      <c r="B807" s="33"/>
      <c r="C807" s="2" t="s">
        <v>18</v>
      </c>
      <c r="D807" s="2" t="s">
        <v>12</v>
      </c>
      <c r="E807" s="2" t="s">
        <v>13</v>
      </c>
      <c r="F807" s="2" t="s">
        <v>14</v>
      </c>
      <c r="G807" s="2" t="s">
        <v>30</v>
      </c>
      <c r="H807" s="2" t="s">
        <v>31</v>
      </c>
      <c r="I807" s="2">
        <v>300000</v>
      </c>
      <c r="J807" s="2">
        <v>10</v>
      </c>
      <c r="K807" s="2" t="s">
        <v>35</v>
      </c>
      <c r="L807" s="2">
        <f t="shared" si="3"/>
        <v>240000</v>
      </c>
    </row>
    <row r="808" spans="1:12" ht="14.25" customHeight="1" x14ac:dyDescent="0.2">
      <c r="A808" s="33">
        <v>46482</v>
      </c>
      <c r="B808" s="33"/>
      <c r="C808" s="2" t="s">
        <v>25</v>
      </c>
      <c r="D808" s="2" t="s">
        <v>19</v>
      </c>
      <c r="E808" s="2" t="s">
        <v>13</v>
      </c>
      <c r="F808" s="2" t="s">
        <v>20</v>
      </c>
      <c r="G808" s="2" t="s">
        <v>41</v>
      </c>
      <c r="H808" s="2" t="s">
        <v>22</v>
      </c>
      <c r="I808" s="2">
        <v>220000</v>
      </c>
      <c r="J808" s="2">
        <v>4</v>
      </c>
      <c r="K808" s="2" t="s">
        <v>28</v>
      </c>
      <c r="L808" s="2">
        <f t="shared" si="3"/>
        <v>176000</v>
      </c>
    </row>
    <row r="809" spans="1:12" ht="14.25" customHeight="1" x14ac:dyDescent="0.2">
      <c r="A809" s="33">
        <v>46483</v>
      </c>
      <c r="B809" s="33"/>
      <c r="C809" s="2" t="s">
        <v>11</v>
      </c>
      <c r="D809" s="2" t="s">
        <v>32</v>
      </c>
      <c r="E809" s="2" t="s">
        <v>13</v>
      </c>
      <c r="F809" s="2" t="s">
        <v>20</v>
      </c>
      <c r="G809" s="2" t="s">
        <v>33</v>
      </c>
      <c r="H809" s="2" t="s">
        <v>22</v>
      </c>
      <c r="I809" s="2">
        <v>180000</v>
      </c>
      <c r="J809" s="2">
        <v>8</v>
      </c>
      <c r="K809" s="2" t="s">
        <v>37</v>
      </c>
      <c r="L809" s="2">
        <f t="shared" si="3"/>
        <v>144000</v>
      </c>
    </row>
    <row r="810" spans="1:12" ht="14.25" customHeight="1" x14ac:dyDescent="0.2">
      <c r="A810" s="33">
        <v>46484</v>
      </c>
      <c r="B810" s="33"/>
      <c r="C810" s="2" t="s">
        <v>11</v>
      </c>
      <c r="D810" s="2" t="s">
        <v>32</v>
      </c>
      <c r="E810" s="2" t="s">
        <v>13</v>
      </c>
      <c r="F810" s="2" t="s">
        <v>14</v>
      </c>
      <c r="G810" s="2" t="s">
        <v>40</v>
      </c>
      <c r="H810" s="2" t="s">
        <v>31</v>
      </c>
      <c r="I810" s="2">
        <v>250000</v>
      </c>
      <c r="J810" s="2">
        <v>3</v>
      </c>
      <c r="K810" s="2" t="s">
        <v>17</v>
      </c>
      <c r="L810" s="2">
        <f t="shared" si="3"/>
        <v>200000</v>
      </c>
    </row>
    <row r="811" spans="1:12" ht="14.25" customHeight="1" x14ac:dyDescent="0.2">
      <c r="A811" s="33">
        <v>46485</v>
      </c>
      <c r="B811" s="33"/>
      <c r="C811" s="2" t="s">
        <v>29</v>
      </c>
      <c r="D811" s="2" t="s">
        <v>26</v>
      </c>
      <c r="E811" s="2" t="s">
        <v>23</v>
      </c>
      <c r="F811" s="2" t="s">
        <v>14</v>
      </c>
      <c r="G811" s="2" t="s">
        <v>30</v>
      </c>
      <c r="H811" s="2" t="s">
        <v>31</v>
      </c>
      <c r="I811" s="2">
        <v>300000</v>
      </c>
      <c r="J811" s="2">
        <v>7</v>
      </c>
      <c r="K811" s="2" t="s">
        <v>17</v>
      </c>
      <c r="L811" s="2">
        <f t="shared" si="3"/>
        <v>240000</v>
      </c>
    </row>
    <row r="812" spans="1:12" ht="14.25" customHeight="1" x14ac:dyDescent="0.2">
      <c r="A812" s="33">
        <v>46486</v>
      </c>
      <c r="B812" s="33"/>
      <c r="C812" s="2" t="s">
        <v>29</v>
      </c>
      <c r="D812" s="2" t="s">
        <v>32</v>
      </c>
      <c r="E812" s="2" t="s">
        <v>13</v>
      </c>
      <c r="F812" s="2" t="s">
        <v>20</v>
      </c>
      <c r="G812" s="2" t="s">
        <v>30</v>
      </c>
      <c r="H812" s="2" t="s">
        <v>31</v>
      </c>
      <c r="I812" s="2">
        <v>300000</v>
      </c>
      <c r="J812" s="2">
        <v>7</v>
      </c>
      <c r="K812" s="2" t="s">
        <v>39</v>
      </c>
      <c r="L812" s="2">
        <f t="shared" si="3"/>
        <v>240000</v>
      </c>
    </row>
    <row r="813" spans="1:12" ht="14.25" customHeight="1" x14ac:dyDescent="0.2">
      <c r="A813" s="33">
        <v>46487</v>
      </c>
      <c r="B813" s="33"/>
      <c r="C813" s="2" t="s">
        <v>29</v>
      </c>
      <c r="D813" s="2" t="s">
        <v>32</v>
      </c>
      <c r="E813" s="2" t="s">
        <v>23</v>
      </c>
      <c r="F813" s="2" t="s">
        <v>20</v>
      </c>
      <c r="G813" s="2" t="s">
        <v>40</v>
      </c>
      <c r="H813" s="2" t="s">
        <v>31</v>
      </c>
      <c r="I813" s="2">
        <v>250000</v>
      </c>
      <c r="J813" s="2">
        <v>1</v>
      </c>
      <c r="K813" s="2" t="s">
        <v>37</v>
      </c>
      <c r="L813" s="2">
        <f t="shared" si="3"/>
        <v>200000</v>
      </c>
    </row>
    <row r="814" spans="1:12" ht="14.25" customHeight="1" x14ac:dyDescent="0.2">
      <c r="A814" s="33">
        <v>46488</v>
      </c>
      <c r="B814" s="33"/>
      <c r="C814" s="2" t="s">
        <v>11</v>
      </c>
      <c r="D814" s="2" t="s">
        <v>19</v>
      </c>
      <c r="E814" s="2" t="s">
        <v>23</v>
      </c>
      <c r="F814" s="2" t="s">
        <v>14</v>
      </c>
      <c r="G814" s="2" t="s">
        <v>30</v>
      </c>
      <c r="H814" s="2" t="s">
        <v>31</v>
      </c>
      <c r="I814" s="2">
        <v>300000</v>
      </c>
      <c r="J814" s="2">
        <v>3</v>
      </c>
      <c r="K814" s="2" t="s">
        <v>35</v>
      </c>
      <c r="L814" s="2">
        <f t="shared" si="3"/>
        <v>240000</v>
      </c>
    </row>
    <row r="815" spans="1:12" ht="14.25" customHeight="1" x14ac:dyDescent="0.2">
      <c r="A815" s="33">
        <v>46489</v>
      </c>
      <c r="B815" s="33"/>
      <c r="C815" s="2" t="s">
        <v>25</v>
      </c>
      <c r="D815" s="2" t="s">
        <v>12</v>
      </c>
      <c r="E815" s="2" t="s">
        <v>13</v>
      </c>
      <c r="F815" s="2" t="s">
        <v>14</v>
      </c>
      <c r="G815" s="2" t="s">
        <v>38</v>
      </c>
      <c r="H815" s="2" t="s">
        <v>31</v>
      </c>
      <c r="I815" s="2">
        <v>420000</v>
      </c>
      <c r="J815" s="2">
        <v>10</v>
      </c>
      <c r="K815" s="2" t="s">
        <v>28</v>
      </c>
      <c r="L815" s="2">
        <f t="shared" si="3"/>
        <v>336000</v>
      </c>
    </row>
    <row r="816" spans="1:12" ht="14.25" customHeight="1" x14ac:dyDescent="0.2">
      <c r="A816" s="33">
        <v>46490</v>
      </c>
      <c r="B816" s="33"/>
      <c r="C816" s="2" t="s">
        <v>29</v>
      </c>
      <c r="D816" s="2" t="s">
        <v>26</v>
      </c>
      <c r="E816" s="2" t="s">
        <v>23</v>
      </c>
      <c r="F816" s="2" t="s">
        <v>14</v>
      </c>
      <c r="G816" s="2" t="s">
        <v>27</v>
      </c>
      <c r="H816" s="2" t="s">
        <v>22</v>
      </c>
      <c r="I816" s="2">
        <v>60000</v>
      </c>
      <c r="J816" s="2">
        <v>9</v>
      </c>
      <c r="K816" s="2" t="s">
        <v>35</v>
      </c>
      <c r="L816" s="2">
        <f t="shared" si="3"/>
        <v>48000</v>
      </c>
    </row>
    <row r="817" spans="1:12" ht="14.25" customHeight="1" x14ac:dyDescent="0.2">
      <c r="A817" s="33">
        <v>46491</v>
      </c>
      <c r="B817" s="33"/>
      <c r="C817" s="2" t="s">
        <v>11</v>
      </c>
      <c r="D817" s="2" t="s">
        <v>12</v>
      </c>
      <c r="E817" s="2" t="s">
        <v>13</v>
      </c>
      <c r="F817" s="2" t="s">
        <v>14</v>
      </c>
      <c r="G817" s="2" t="s">
        <v>40</v>
      </c>
      <c r="H817" s="2" t="s">
        <v>31</v>
      </c>
      <c r="I817" s="2">
        <v>250000</v>
      </c>
      <c r="J817" s="2">
        <v>4</v>
      </c>
      <c r="K817" s="2" t="s">
        <v>28</v>
      </c>
      <c r="L817" s="2">
        <f t="shared" si="3"/>
        <v>200000</v>
      </c>
    </row>
    <row r="818" spans="1:12" ht="14.25" customHeight="1" x14ac:dyDescent="0.2">
      <c r="A818" s="33">
        <v>46492</v>
      </c>
      <c r="B818" s="33"/>
      <c r="C818" s="2" t="s">
        <v>18</v>
      </c>
      <c r="D818" s="2" t="s">
        <v>26</v>
      </c>
      <c r="E818" s="2" t="s">
        <v>13</v>
      </c>
      <c r="F818" s="2" t="s">
        <v>14</v>
      </c>
      <c r="G818" s="2" t="s">
        <v>40</v>
      </c>
      <c r="H818" s="2" t="s">
        <v>31</v>
      </c>
      <c r="I818" s="2">
        <v>250000</v>
      </c>
      <c r="J818" s="2">
        <v>3</v>
      </c>
      <c r="K818" s="2" t="s">
        <v>37</v>
      </c>
      <c r="L818" s="2">
        <f t="shared" si="3"/>
        <v>200000</v>
      </c>
    </row>
    <row r="819" spans="1:12" ht="14.25" customHeight="1" x14ac:dyDescent="0.2">
      <c r="A819" s="33">
        <v>46493</v>
      </c>
      <c r="B819" s="33"/>
      <c r="C819" s="2" t="s">
        <v>11</v>
      </c>
      <c r="D819" s="2" t="s">
        <v>32</v>
      </c>
      <c r="E819" s="2" t="s">
        <v>13</v>
      </c>
      <c r="F819" s="2" t="s">
        <v>20</v>
      </c>
      <c r="G819" s="2" t="s">
        <v>27</v>
      </c>
      <c r="H819" s="2" t="s">
        <v>22</v>
      </c>
      <c r="I819" s="2">
        <v>60000</v>
      </c>
      <c r="J819" s="2">
        <v>3</v>
      </c>
      <c r="K819" s="2" t="s">
        <v>17</v>
      </c>
      <c r="L819" s="2">
        <f t="shared" si="3"/>
        <v>48000</v>
      </c>
    </row>
    <row r="820" spans="1:12" ht="14.25" customHeight="1" x14ac:dyDescent="0.2">
      <c r="A820" s="33">
        <v>46494</v>
      </c>
      <c r="B820" s="33"/>
      <c r="C820" s="2" t="s">
        <v>11</v>
      </c>
      <c r="D820" s="2" t="s">
        <v>19</v>
      </c>
      <c r="E820" s="2" t="s">
        <v>23</v>
      </c>
      <c r="F820" s="2" t="s">
        <v>14</v>
      </c>
      <c r="G820" s="2" t="s">
        <v>34</v>
      </c>
      <c r="H820" s="2" t="s">
        <v>16</v>
      </c>
      <c r="I820" s="2">
        <v>320000</v>
      </c>
      <c r="J820" s="2">
        <v>1</v>
      </c>
      <c r="K820" s="2" t="s">
        <v>24</v>
      </c>
      <c r="L820" s="2">
        <f t="shared" si="3"/>
        <v>256000</v>
      </c>
    </row>
    <row r="821" spans="1:12" ht="14.25" customHeight="1" x14ac:dyDescent="0.2">
      <c r="A821" s="33">
        <v>46495</v>
      </c>
      <c r="B821" s="33"/>
      <c r="C821" s="2" t="s">
        <v>29</v>
      </c>
      <c r="D821" s="2" t="s">
        <v>32</v>
      </c>
      <c r="E821" s="2" t="s">
        <v>23</v>
      </c>
      <c r="F821" s="2" t="s">
        <v>20</v>
      </c>
      <c r="G821" s="2" t="s">
        <v>27</v>
      </c>
      <c r="H821" s="2" t="s">
        <v>22</v>
      </c>
      <c r="I821" s="2">
        <v>60000</v>
      </c>
      <c r="J821" s="2">
        <v>8</v>
      </c>
      <c r="K821" s="2" t="s">
        <v>24</v>
      </c>
      <c r="L821" s="2">
        <f t="shared" si="3"/>
        <v>48000</v>
      </c>
    </row>
    <row r="822" spans="1:12" ht="14.25" customHeight="1" x14ac:dyDescent="0.2">
      <c r="A822" s="33">
        <v>46496</v>
      </c>
      <c r="B822" s="33"/>
      <c r="C822" s="2" t="s">
        <v>18</v>
      </c>
      <c r="D822" s="2" t="s">
        <v>26</v>
      </c>
      <c r="E822" s="2" t="s">
        <v>23</v>
      </c>
      <c r="F822" s="2" t="s">
        <v>20</v>
      </c>
      <c r="G822" s="2" t="s">
        <v>40</v>
      </c>
      <c r="H822" s="2" t="s">
        <v>31</v>
      </c>
      <c r="I822" s="2">
        <v>250000</v>
      </c>
      <c r="J822" s="2">
        <v>5</v>
      </c>
      <c r="K822" s="2" t="s">
        <v>35</v>
      </c>
      <c r="L822" s="2">
        <f t="shared" si="3"/>
        <v>200000</v>
      </c>
    </row>
    <row r="823" spans="1:12" ht="14.25" customHeight="1" x14ac:dyDescent="0.2">
      <c r="A823" s="33">
        <v>46497</v>
      </c>
      <c r="B823" s="33"/>
      <c r="C823" s="2" t="s">
        <v>11</v>
      </c>
      <c r="D823" s="2" t="s">
        <v>12</v>
      </c>
      <c r="E823" s="2" t="s">
        <v>23</v>
      </c>
      <c r="F823" s="2" t="s">
        <v>20</v>
      </c>
      <c r="G823" s="2" t="s">
        <v>34</v>
      </c>
      <c r="H823" s="2" t="s">
        <v>16</v>
      </c>
      <c r="I823" s="2">
        <v>320000</v>
      </c>
      <c r="J823" s="2">
        <v>2</v>
      </c>
      <c r="K823" s="2" t="s">
        <v>39</v>
      </c>
      <c r="L823" s="2">
        <f t="shared" si="3"/>
        <v>256000</v>
      </c>
    </row>
    <row r="824" spans="1:12" ht="14.25" customHeight="1" x14ac:dyDescent="0.2">
      <c r="A824" s="33">
        <v>46498</v>
      </c>
      <c r="B824" s="33"/>
      <c r="C824" s="2" t="s">
        <v>25</v>
      </c>
      <c r="D824" s="2" t="s">
        <v>26</v>
      </c>
      <c r="E824" s="2" t="s">
        <v>23</v>
      </c>
      <c r="F824" s="2" t="s">
        <v>14</v>
      </c>
      <c r="G824" s="2" t="s">
        <v>41</v>
      </c>
      <c r="H824" s="2" t="s">
        <v>22</v>
      </c>
      <c r="I824" s="2">
        <v>220000</v>
      </c>
      <c r="J824" s="2">
        <v>5</v>
      </c>
      <c r="K824" s="2" t="s">
        <v>24</v>
      </c>
      <c r="L824" s="2">
        <f t="shared" si="3"/>
        <v>176000</v>
      </c>
    </row>
    <row r="825" spans="1:12" ht="14.25" customHeight="1" x14ac:dyDescent="0.2">
      <c r="A825" s="33">
        <v>46499</v>
      </c>
      <c r="B825" s="33"/>
      <c r="C825" s="2" t="s">
        <v>11</v>
      </c>
      <c r="D825" s="2" t="s">
        <v>19</v>
      </c>
      <c r="E825" s="2" t="s">
        <v>23</v>
      </c>
      <c r="F825" s="2" t="s">
        <v>20</v>
      </c>
      <c r="G825" s="2" t="s">
        <v>40</v>
      </c>
      <c r="H825" s="2" t="s">
        <v>31</v>
      </c>
      <c r="I825" s="2">
        <v>250000</v>
      </c>
      <c r="J825" s="2">
        <v>3</v>
      </c>
      <c r="K825" s="2" t="s">
        <v>17</v>
      </c>
      <c r="L825" s="2">
        <f t="shared" si="3"/>
        <v>200000</v>
      </c>
    </row>
    <row r="826" spans="1:12" ht="14.25" customHeight="1" x14ac:dyDescent="0.2">
      <c r="A826" s="33">
        <v>46500</v>
      </c>
      <c r="B826" s="33"/>
      <c r="C826" s="2" t="s">
        <v>11</v>
      </c>
      <c r="D826" s="2" t="s">
        <v>26</v>
      </c>
      <c r="E826" s="2" t="s">
        <v>13</v>
      </c>
      <c r="F826" s="2" t="s">
        <v>20</v>
      </c>
      <c r="G826" s="2" t="s">
        <v>15</v>
      </c>
      <c r="H826" s="2" t="s">
        <v>16</v>
      </c>
      <c r="I826" s="2">
        <v>85000</v>
      </c>
      <c r="J826" s="2">
        <v>10</v>
      </c>
      <c r="K826" s="2" t="s">
        <v>28</v>
      </c>
      <c r="L826" s="2">
        <f t="shared" si="3"/>
        <v>68000</v>
      </c>
    </row>
    <row r="827" spans="1:12" ht="14.25" customHeight="1" x14ac:dyDescent="0.2">
      <c r="A827" s="33">
        <v>46501</v>
      </c>
      <c r="B827" s="33"/>
      <c r="C827" s="2" t="s">
        <v>25</v>
      </c>
      <c r="D827" s="2" t="s">
        <v>12</v>
      </c>
      <c r="E827" s="2" t="s">
        <v>13</v>
      </c>
      <c r="F827" s="2" t="s">
        <v>20</v>
      </c>
      <c r="G827" s="2" t="s">
        <v>38</v>
      </c>
      <c r="H827" s="2" t="s">
        <v>31</v>
      </c>
      <c r="I827" s="2">
        <v>420000</v>
      </c>
      <c r="J827" s="2">
        <v>6</v>
      </c>
      <c r="K827" s="2" t="s">
        <v>35</v>
      </c>
      <c r="L827" s="2">
        <f t="shared" si="3"/>
        <v>336000</v>
      </c>
    </row>
    <row r="828" spans="1:12" ht="14.25" customHeight="1" x14ac:dyDescent="0.2">
      <c r="A828" s="33">
        <v>46502</v>
      </c>
      <c r="B828" s="33"/>
      <c r="C828" s="2" t="s">
        <v>29</v>
      </c>
      <c r="D828" s="2" t="s">
        <v>19</v>
      </c>
      <c r="E828" s="2" t="s">
        <v>13</v>
      </c>
      <c r="F828" s="2" t="s">
        <v>20</v>
      </c>
      <c r="G828" s="2" t="s">
        <v>36</v>
      </c>
      <c r="H828" s="2" t="s">
        <v>31</v>
      </c>
      <c r="I828" s="2">
        <v>150000</v>
      </c>
      <c r="J828" s="2">
        <v>5</v>
      </c>
      <c r="K828" s="2" t="s">
        <v>24</v>
      </c>
      <c r="L828" s="2">
        <f t="shared" si="3"/>
        <v>120000</v>
      </c>
    </row>
    <row r="829" spans="1:12" ht="14.25" customHeight="1" x14ac:dyDescent="0.2">
      <c r="A829" s="33">
        <v>46503</v>
      </c>
      <c r="B829" s="33"/>
      <c r="C829" s="2" t="s">
        <v>29</v>
      </c>
      <c r="D829" s="2" t="s">
        <v>12</v>
      </c>
      <c r="E829" s="2" t="s">
        <v>13</v>
      </c>
      <c r="F829" s="2" t="s">
        <v>20</v>
      </c>
      <c r="G829" s="2" t="s">
        <v>34</v>
      </c>
      <c r="H829" s="2" t="s">
        <v>16</v>
      </c>
      <c r="I829" s="2">
        <v>320000</v>
      </c>
      <c r="J829" s="2">
        <v>3</v>
      </c>
      <c r="K829" s="2" t="s">
        <v>37</v>
      </c>
      <c r="L829" s="2">
        <f t="shared" si="3"/>
        <v>256000</v>
      </c>
    </row>
    <row r="830" spans="1:12" ht="14.25" customHeight="1" x14ac:dyDescent="0.2">
      <c r="A830" s="33">
        <v>46504</v>
      </c>
      <c r="B830" s="33"/>
      <c r="C830" s="2" t="s">
        <v>29</v>
      </c>
      <c r="D830" s="2" t="s">
        <v>32</v>
      </c>
      <c r="E830" s="2" t="s">
        <v>23</v>
      </c>
      <c r="F830" s="2" t="s">
        <v>14</v>
      </c>
      <c r="G830" s="2" t="s">
        <v>21</v>
      </c>
      <c r="H830" s="2" t="s">
        <v>22</v>
      </c>
      <c r="I830" s="2">
        <v>30000</v>
      </c>
      <c r="J830" s="2">
        <v>1</v>
      </c>
      <c r="K830" s="2" t="s">
        <v>35</v>
      </c>
      <c r="L830" s="2">
        <f t="shared" si="3"/>
        <v>24000</v>
      </c>
    </row>
    <row r="831" spans="1:12" ht="14.25" customHeight="1" x14ac:dyDescent="0.2">
      <c r="A831" s="33">
        <v>46505</v>
      </c>
      <c r="B831" s="33"/>
      <c r="C831" s="2" t="s">
        <v>11</v>
      </c>
      <c r="D831" s="2" t="s">
        <v>26</v>
      </c>
      <c r="E831" s="2" t="s">
        <v>13</v>
      </c>
      <c r="F831" s="2" t="s">
        <v>14</v>
      </c>
      <c r="G831" s="2" t="s">
        <v>33</v>
      </c>
      <c r="H831" s="2" t="s">
        <v>22</v>
      </c>
      <c r="I831" s="2">
        <v>180000</v>
      </c>
      <c r="J831" s="2">
        <v>10</v>
      </c>
      <c r="K831" s="2" t="s">
        <v>35</v>
      </c>
      <c r="L831" s="2">
        <f t="shared" si="3"/>
        <v>144000</v>
      </c>
    </row>
    <row r="832" spans="1:12" ht="14.25" customHeight="1" x14ac:dyDescent="0.2">
      <c r="A832" s="33">
        <v>46506</v>
      </c>
      <c r="B832" s="33"/>
      <c r="C832" s="2" t="s">
        <v>25</v>
      </c>
      <c r="D832" s="2" t="s">
        <v>12</v>
      </c>
      <c r="E832" s="2" t="s">
        <v>23</v>
      </c>
      <c r="F832" s="2" t="s">
        <v>20</v>
      </c>
      <c r="G832" s="2" t="s">
        <v>33</v>
      </c>
      <c r="H832" s="2" t="s">
        <v>22</v>
      </c>
      <c r="I832" s="2">
        <v>180000</v>
      </c>
      <c r="J832" s="2">
        <v>3</v>
      </c>
      <c r="K832" s="2" t="s">
        <v>17</v>
      </c>
      <c r="L832" s="2">
        <f t="shared" si="3"/>
        <v>144000</v>
      </c>
    </row>
    <row r="833" spans="1:12" ht="14.25" customHeight="1" x14ac:dyDescent="0.2">
      <c r="A833" s="33">
        <v>46507</v>
      </c>
      <c r="B833" s="33"/>
      <c r="C833" s="2" t="s">
        <v>18</v>
      </c>
      <c r="D833" s="2" t="s">
        <v>12</v>
      </c>
      <c r="E833" s="2" t="s">
        <v>23</v>
      </c>
      <c r="F833" s="2" t="s">
        <v>14</v>
      </c>
      <c r="G833" s="2" t="s">
        <v>38</v>
      </c>
      <c r="H833" s="2" t="s">
        <v>31</v>
      </c>
      <c r="I833" s="2">
        <v>420000</v>
      </c>
      <c r="J833" s="2">
        <v>3</v>
      </c>
      <c r="K833" s="2" t="s">
        <v>24</v>
      </c>
      <c r="L833" s="2">
        <f t="shared" si="3"/>
        <v>336000</v>
      </c>
    </row>
    <row r="834" spans="1:12" ht="14.25" customHeight="1" x14ac:dyDescent="0.2">
      <c r="A834" s="33">
        <v>46508</v>
      </c>
      <c r="B834" s="33"/>
      <c r="C834" s="2" t="s">
        <v>18</v>
      </c>
      <c r="D834" s="2" t="s">
        <v>19</v>
      </c>
      <c r="E834" s="2" t="s">
        <v>13</v>
      </c>
      <c r="F834" s="2" t="s">
        <v>14</v>
      </c>
      <c r="G834" s="2" t="s">
        <v>41</v>
      </c>
      <c r="H834" s="2" t="s">
        <v>22</v>
      </c>
      <c r="I834" s="2">
        <v>220000</v>
      </c>
      <c r="J834" s="2">
        <v>6</v>
      </c>
      <c r="K834" s="2" t="s">
        <v>37</v>
      </c>
      <c r="L834" s="2">
        <f t="shared" si="3"/>
        <v>176000</v>
      </c>
    </row>
    <row r="835" spans="1:12" ht="14.25" customHeight="1" x14ac:dyDescent="0.2">
      <c r="A835" s="33">
        <v>46509</v>
      </c>
      <c r="B835" s="33"/>
      <c r="C835" s="2" t="s">
        <v>25</v>
      </c>
      <c r="D835" s="2" t="s">
        <v>26</v>
      </c>
      <c r="E835" s="2" t="s">
        <v>13</v>
      </c>
      <c r="F835" s="2" t="s">
        <v>14</v>
      </c>
      <c r="G835" s="2" t="s">
        <v>27</v>
      </c>
      <c r="H835" s="2" t="s">
        <v>22</v>
      </c>
      <c r="I835" s="2">
        <v>60000</v>
      </c>
      <c r="J835" s="2">
        <v>10</v>
      </c>
      <c r="K835" s="2" t="s">
        <v>35</v>
      </c>
      <c r="L835" s="2">
        <f t="shared" si="3"/>
        <v>48000</v>
      </c>
    </row>
    <row r="836" spans="1:12" ht="14.25" customHeight="1" x14ac:dyDescent="0.2">
      <c r="A836" s="33">
        <v>46510</v>
      </c>
      <c r="B836" s="33"/>
      <c r="C836" s="2" t="s">
        <v>25</v>
      </c>
      <c r="D836" s="2" t="s">
        <v>19</v>
      </c>
      <c r="E836" s="2" t="s">
        <v>13</v>
      </c>
      <c r="F836" s="2" t="s">
        <v>20</v>
      </c>
      <c r="G836" s="2" t="s">
        <v>33</v>
      </c>
      <c r="H836" s="2" t="s">
        <v>22</v>
      </c>
      <c r="I836" s="2">
        <v>180000</v>
      </c>
      <c r="J836" s="2">
        <v>10</v>
      </c>
      <c r="K836" s="2" t="s">
        <v>28</v>
      </c>
      <c r="L836" s="2">
        <f t="shared" si="3"/>
        <v>144000</v>
      </c>
    </row>
    <row r="837" spans="1:12" ht="14.25" customHeight="1" x14ac:dyDescent="0.2">
      <c r="A837" s="33">
        <v>46511</v>
      </c>
      <c r="B837" s="33"/>
      <c r="C837" s="2" t="s">
        <v>18</v>
      </c>
      <c r="D837" s="2" t="s">
        <v>12</v>
      </c>
      <c r="E837" s="2" t="s">
        <v>23</v>
      </c>
      <c r="F837" s="2" t="s">
        <v>20</v>
      </c>
      <c r="G837" s="2" t="s">
        <v>41</v>
      </c>
      <c r="H837" s="2" t="s">
        <v>22</v>
      </c>
      <c r="I837" s="2">
        <v>220000</v>
      </c>
      <c r="J837" s="2">
        <v>4</v>
      </c>
      <c r="K837" s="2" t="s">
        <v>24</v>
      </c>
      <c r="L837" s="2">
        <f t="shared" si="3"/>
        <v>176000</v>
      </c>
    </row>
    <row r="838" spans="1:12" ht="14.25" customHeight="1" x14ac:dyDescent="0.2">
      <c r="A838" s="33">
        <v>46512</v>
      </c>
      <c r="B838" s="33"/>
      <c r="C838" s="2" t="s">
        <v>25</v>
      </c>
      <c r="D838" s="2" t="s">
        <v>32</v>
      </c>
      <c r="E838" s="2" t="s">
        <v>23</v>
      </c>
      <c r="F838" s="2" t="s">
        <v>20</v>
      </c>
      <c r="G838" s="2" t="s">
        <v>40</v>
      </c>
      <c r="H838" s="2" t="s">
        <v>31</v>
      </c>
      <c r="I838" s="2">
        <v>250000</v>
      </c>
      <c r="J838" s="2">
        <v>4</v>
      </c>
      <c r="K838" s="2" t="s">
        <v>35</v>
      </c>
      <c r="L838" s="2">
        <f t="shared" si="3"/>
        <v>200000</v>
      </c>
    </row>
    <row r="839" spans="1:12" ht="14.25" customHeight="1" x14ac:dyDescent="0.2">
      <c r="A839" s="33">
        <v>46513</v>
      </c>
      <c r="B839" s="33"/>
      <c r="C839" s="2" t="s">
        <v>25</v>
      </c>
      <c r="D839" s="2" t="s">
        <v>19</v>
      </c>
      <c r="E839" s="2" t="s">
        <v>23</v>
      </c>
      <c r="F839" s="2" t="s">
        <v>20</v>
      </c>
      <c r="G839" s="2" t="s">
        <v>21</v>
      </c>
      <c r="H839" s="2" t="s">
        <v>22</v>
      </c>
      <c r="I839" s="2">
        <v>30000</v>
      </c>
      <c r="J839" s="2">
        <v>2</v>
      </c>
      <c r="K839" s="2" t="s">
        <v>39</v>
      </c>
      <c r="L839" s="2">
        <f t="shared" si="3"/>
        <v>24000</v>
      </c>
    </row>
    <row r="840" spans="1:12" ht="14.25" customHeight="1" x14ac:dyDescent="0.2">
      <c r="A840" s="33">
        <v>46514</v>
      </c>
      <c r="B840" s="33"/>
      <c r="C840" s="2" t="s">
        <v>11</v>
      </c>
      <c r="D840" s="2" t="s">
        <v>26</v>
      </c>
      <c r="E840" s="2" t="s">
        <v>13</v>
      </c>
      <c r="F840" s="2" t="s">
        <v>20</v>
      </c>
      <c r="G840" s="2" t="s">
        <v>33</v>
      </c>
      <c r="H840" s="2" t="s">
        <v>22</v>
      </c>
      <c r="I840" s="2">
        <v>180000</v>
      </c>
      <c r="J840" s="2">
        <v>6</v>
      </c>
      <c r="K840" s="2" t="s">
        <v>28</v>
      </c>
      <c r="L840" s="2">
        <f t="shared" si="3"/>
        <v>144000</v>
      </c>
    </row>
    <row r="841" spans="1:12" ht="14.25" customHeight="1" x14ac:dyDescent="0.2">
      <c r="A841" s="33">
        <v>46515</v>
      </c>
      <c r="B841" s="33"/>
      <c r="C841" s="2" t="s">
        <v>25</v>
      </c>
      <c r="D841" s="2" t="s">
        <v>32</v>
      </c>
      <c r="E841" s="2" t="s">
        <v>23</v>
      </c>
      <c r="F841" s="2" t="s">
        <v>20</v>
      </c>
      <c r="G841" s="2" t="s">
        <v>33</v>
      </c>
      <c r="H841" s="2" t="s">
        <v>22</v>
      </c>
      <c r="I841" s="2">
        <v>180000</v>
      </c>
      <c r="J841" s="2">
        <v>8</v>
      </c>
      <c r="K841" s="2" t="s">
        <v>39</v>
      </c>
      <c r="L841" s="2">
        <f t="shared" si="3"/>
        <v>144000</v>
      </c>
    </row>
    <row r="842" spans="1:12" ht="14.25" customHeight="1" x14ac:dyDescent="0.2">
      <c r="A842" s="33">
        <v>46516</v>
      </c>
      <c r="B842" s="33"/>
      <c r="C842" s="2" t="s">
        <v>11</v>
      </c>
      <c r="D842" s="2" t="s">
        <v>19</v>
      </c>
      <c r="E842" s="2" t="s">
        <v>23</v>
      </c>
      <c r="F842" s="2" t="s">
        <v>20</v>
      </c>
      <c r="G842" s="2" t="s">
        <v>38</v>
      </c>
      <c r="H842" s="2" t="s">
        <v>31</v>
      </c>
      <c r="I842" s="2">
        <v>420000</v>
      </c>
      <c r="J842" s="2">
        <v>3</v>
      </c>
      <c r="K842" s="2" t="s">
        <v>17</v>
      </c>
      <c r="L842" s="2">
        <f t="shared" si="3"/>
        <v>336000</v>
      </c>
    </row>
    <row r="843" spans="1:12" ht="14.25" customHeight="1" x14ac:dyDescent="0.2">
      <c r="A843" s="33">
        <v>46517</v>
      </c>
      <c r="B843" s="33"/>
      <c r="C843" s="2" t="s">
        <v>29</v>
      </c>
      <c r="D843" s="2" t="s">
        <v>26</v>
      </c>
      <c r="E843" s="2" t="s">
        <v>23</v>
      </c>
      <c r="F843" s="2" t="s">
        <v>14</v>
      </c>
      <c r="G843" s="2" t="s">
        <v>21</v>
      </c>
      <c r="H843" s="2" t="s">
        <v>22</v>
      </c>
      <c r="I843" s="2">
        <v>30000</v>
      </c>
      <c r="J843" s="2">
        <v>10</v>
      </c>
      <c r="K843" s="2" t="s">
        <v>28</v>
      </c>
      <c r="L843" s="2">
        <f t="shared" si="3"/>
        <v>24000</v>
      </c>
    </row>
    <row r="844" spans="1:12" ht="14.25" customHeight="1" x14ac:dyDescent="0.2">
      <c r="A844" s="33">
        <v>46518</v>
      </c>
      <c r="B844" s="33"/>
      <c r="C844" s="2" t="s">
        <v>18</v>
      </c>
      <c r="D844" s="2" t="s">
        <v>26</v>
      </c>
      <c r="E844" s="2" t="s">
        <v>23</v>
      </c>
      <c r="F844" s="2" t="s">
        <v>14</v>
      </c>
      <c r="G844" s="2" t="s">
        <v>15</v>
      </c>
      <c r="H844" s="2" t="s">
        <v>16</v>
      </c>
      <c r="I844" s="2">
        <v>85000</v>
      </c>
      <c r="J844" s="2">
        <v>7</v>
      </c>
      <c r="K844" s="2" t="s">
        <v>39</v>
      </c>
      <c r="L844" s="2">
        <f t="shared" si="3"/>
        <v>68000</v>
      </c>
    </row>
    <row r="845" spans="1:12" ht="14.25" customHeight="1" x14ac:dyDescent="0.2">
      <c r="A845" s="33">
        <v>46519</v>
      </c>
      <c r="B845" s="33"/>
      <c r="C845" s="2" t="s">
        <v>11</v>
      </c>
      <c r="D845" s="2" t="s">
        <v>12</v>
      </c>
      <c r="E845" s="2" t="s">
        <v>13</v>
      </c>
      <c r="F845" s="2" t="s">
        <v>20</v>
      </c>
      <c r="G845" s="2" t="s">
        <v>21</v>
      </c>
      <c r="H845" s="2" t="s">
        <v>22</v>
      </c>
      <c r="I845" s="2">
        <v>30000</v>
      </c>
      <c r="J845" s="2">
        <v>5</v>
      </c>
      <c r="K845" s="2" t="s">
        <v>17</v>
      </c>
      <c r="L845" s="2">
        <f t="shared" si="3"/>
        <v>24000</v>
      </c>
    </row>
    <row r="846" spans="1:12" ht="14.25" customHeight="1" x14ac:dyDescent="0.2">
      <c r="A846" s="33">
        <v>46520</v>
      </c>
      <c r="B846" s="33"/>
      <c r="C846" s="2" t="s">
        <v>29</v>
      </c>
      <c r="D846" s="2" t="s">
        <v>12</v>
      </c>
      <c r="E846" s="2" t="s">
        <v>13</v>
      </c>
      <c r="F846" s="2" t="s">
        <v>20</v>
      </c>
      <c r="G846" s="2" t="s">
        <v>30</v>
      </c>
      <c r="H846" s="2" t="s">
        <v>31</v>
      </c>
      <c r="I846" s="2">
        <v>300000</v>
      </c>
      <c r="J846" s="2">
        <v>5</v>
      </c>
      <c r="K846" s="2" t="s">
        <v>39</v>
      </c>
      <c r="L846" s="2">
        <f t="shared" si="3"/>
        <v>240000</v>
      </c>
    </row>
    <row r="847" spans="1:12" ht="14.25" customHeight="1" x14ac:dyDescent="0.2">
      <c r="A847" s="33">
        <v>46521</v>
      </c>
      <c r="B847" s="33"/>
      <c r="C847" s="2" t="s">
        <v>11</v>
      </c>
      <c r="D847" s="2" t="s">
        <v>26</v>
      </c>
      <c r="E847" s="2" t="s">
        <v>23</v>
      </c>
      <c r="F847" s="2" t="s">
        <v>20</v>
      </c>
      <c r="G847" s="2" t="s">
        <v>15</v>
      </c>
      <c r="H847" s="2" t="s">
        <v>16</v>
      </c>
      <c r="I847" s="2">
        <v>85000</v>
      </c>
      <c r="J847" s="2">
        <v>8</v>
      </c>
      <c r="K847" s="2" t="s">
        <v>28</v>
      </c>
      <c r="L847" s="2">
        <f t="shared" si="3"/>
        <v>68000</v>
      </c>
    </row>
    <row r="848" spans="1:12" ht="14.25" customHeight="1" x14ac:dyDescent="0.2">
      <c r="A848" s="33">
        <v>46522</v>
      </c>
      <c r="B848" s="33"/>
      <c r="C848" s="2" t="s">
        <v>25</v>
      </c>
      <c r="D848" s="2" t="s">
        <v>32</v>
      </c>
      <c r="E848" s="2" t="s">
        <v>23</v>
      </c>
      <c r="F848" s="2" t="s">
        <v>20</v>
      </c>
      <c r="G848" s="2" t="s">
        <v>41</v>
      </c>
      <c r="H848" s="2" t="s">
        <v>22</v>
      </c>
      <c r="I848" s="2">
        <v>220000</v>
      </c>
      <c r="J848" s="2">
        <v>7</v>
      </c>
      <c r="K848" s="2" t="s">
        <v>24</v>
      </c>
      <c r="L848" s="2">
        <f t="shared" si="3"/>
        <v>176000</v>
      </c>
    </row>
    <row r="849" spans="1:12" ht="14.25" customHeight="1" x14ac:dyDescent="0.2">
      <c r="A849" s="33">
        <v>46523</v>
      </c>
      <c r="B849" s="33"/>
      <c r="C849" s="2" t="s">
        <v>29</v>
      </c>
      <c r="D849" s="2" t="s">
        <v>19</v>
      </c>
      <c r="E849" s="2" t="s">
        <v>13</v>
      </c>
      <c r="F849" s="2" t="s">
        <v>14</v>
      </c>
      <c r="G849" s="2" t="s">
        <v>15</v>
      </c>
      <c r="H849" s="2" t="s">
        <v>16</v>
      </c>
      <c r="I849" s="2">
        <v>85000</v>
      </c>
      <c r="J849" s="2">
        <v>8</v>
      </c>
      <c r="K849" s="2" t="s">
        <v>24</v>
      </c>
      <c r="L849" s="2">
        <f t="shared" si="3"/>
        <v>68000</v>
      </c>
    </row>
    <row r="850" spans="1:12" ht="14.25" customHeight="1" x14ac:dyDescent="0.2">
      <c r="A850" s="33">
        <v>46524</v>
      </c>
      <c r="B850" s="33"/>
      <c r="C850" s="2" t="s">
        <v>18</v>
      </c>
      <c r="D850" s="2" t="s">
        <v>32</v>
      </c>
      <c r="E850" s="2" t="s">
        <v>23</v>
      </c>
      <c r="F850" s="2" t="s">
        <v>14</v>
      </c>
      <c r="G850" s="2" t="s">
        <v>36</v>
      </c>
      <c r="H850" s="2" t="s">
        <v>31</v>
      </c>
      <c r="I850" s="2">
        <v>150000</v>
      </c>
      <c r="J850" s="2">
        <v>5</v>
      </c>
      <c r="K850" s="2" t="s">
        <v>35</v>
      </c>
      <c r="L850" s="2">
        <f t="shared" si="3"/>
        <v>120000</v>
      </c>
    </row>
    <row r="851" spans="1:12" ht="14.25" customHeight="1" x14ac:dyDescent="0.2">
      <c r="A851" s="33">
        <v>46525</v>
      </c>
      <c r="B851" s="33"/>
      <c r="C851" s="2" t="s">
        <v>18</v>
      </c>
      <c r="D851" s="2" t="s">
        <v>12</v>
      </c>
      <c r="E851" s="2" t="s">
        <v>13</v>
      </c>
      <c r="F851" s="2" t="s">
        <v>20</v>
      </c>
      <c r="G851" s="2" t="s">
        <v>27</v>
      </c>
      <c r="H851" s="2" t="s">
        <v>22</v>
      </c>
      <c r="I851" s="2">
        <v>60000</v>
      </c>
      <c r="J851" s="2">
        <v>10</v>
      </c>
      <c r="K851" s="2" t="s">
        <v>24</v>
      </c>
      <c r="L851" s="2">
        <f t="shared" si="3"/>
        <v>48000</v>
      </c>
    </row>
    <row r="852" spans="1:12" ht="14.25" customHeight="1" x14ac:dyDescent="0.2">
      <c r="A852" s="33">
        <v>46526</v>
      </c>
      <c r="B852" s="33"/>
      <c r="C852" s="2" t="s">
        <v>11</v>
      </c>
      <c r="D852" s="2" t="s">
        <v>26</v>
      </c>
      <c r="E852" s="2" t="s">
        <v>23</v>
      </c>
      <c r="F852" s="2" t="s">
        <v>14</v>
      </c>
      <c r="G852" s="2" t="s">
        <v>41</v>
      </c>
      <c r="H852" s="2" t="s">
        <v>22</v>
      </c>
      <c r="I852" s="2">
        <v>220000</v>
      </c>
      <c r="J852" s="2">
        <v>1</v>
      </c>
      <c r="K852" s="2" t="s">
        <v>17</v>
      </c>
      <c r="L852" s="2">
        <f t="shared" si="3"/>
        <v>176000</v>
      </c>
    </row>
    <row r="853" spans="1:12" ht="14.25" customHeight="1" x14ac:dyDescent="0.2">
      <c r="A853" s="33">
        <v>46527</v>
      </c>
      <c r="B853" s="33"/>
      <c r="C853" s="2" t="s">
        <v>29</v>
      </c>
      <c r="D853" s="2" t="s">
        <v>19</v>
      </c>
      <c r="E853" s="2" t="s">
        <v>23</v>
      </c>
      <c r="F853" s="2" t="s">
        <v>14</v>
      </c>
      <c r="G853" s="2" t="s">
        <v>21</v>
      </c>
      <c r="H853" s="2" t="s">
        <v>22</v>
      </c>
      <c r="I853" s="2">
        <v>30000</v>
      </c>
      <c r="J853" s="2">
        <v>3</v>
      </c>
      <c r="K853" s="2" t="s">
        <v>28</v>
      </c>
      <c r="L853" s="2">
        <f t="shared" si="3"/>
        <v>24000</v>
      </c>
    </row>
    <row r="854" spans="1:12" ht="14.25" customHeight="1" x14ac:dyDescent="0.2">
      <c r="A854" s="33">
        <v>46528</v>
      </c>
      <c r="B854" s="33"/>
      <c r="C854" s="2" t="s">
        <v>25</v>
      </c>
      <c r="D854" s="2" t="s">
        <v>19</v>
      </c>
      <c r="E854" s="2" t="s">
        <v>23</v>
      </c>
      <c r="F854" s="2" t="s">
        <v>14</v>
      </c>
      <c r="G854" s="2" t="s">
        <v>38</v>
      </c>
      <c r="H854" s="2" t="s">
        <v>31</v>
      </c>
      <c r="I854" s="2">
        <v>420000</v>
      </c>
      <c r="J854" s="2">
        <v>1</v>
      </c>
      <c r="K854" s="2" t="s">
        <v>35</v>
      </c>
      <c r="L854" s="2">
        <f t="shared" si="3"/>
        <v>336000</v>
      </c>
    </row>
    <row r="855" spans="1:12" ht="14.25" customHeight="1" x14ac:dyDescent="0.2">
      <c r="A855" s="33">
        <v>46529</v>
      </c>
      <c r="B855" s="33"/>
      <c r="C855" s="2" t="s">
        <v>18</v>
      </c>
      <c r="D855" s="2" t="s">
        <v>12</v>
      </c>
      <c r="E855" s="2" t="s">
        <v>13</v>
      </c>
      <c r="F855" s="2" t="s">
        <v>20</v>
      </c>
      <c r="G855" s="2" t="s">
        <v>21</v>
      </c>
      <c r="H855" s="2" t="s">
        <v>22</v>
      </c>
      <c r="I855" s="2">
        <v>30000</v>
      </c>
      <c r="J855" s="2">
        <v>5</v>
      </c>
      <c r="K855" s="2" t="s">
        <v>39</v>
      </c>
      <c r="L855" s="2">
        <f t="shared" si="3"/>
        <v>24000</v>
      </c>
    </row>
    <row r="856" spans="1:12" ht="14.25" customHeight="1" x14ac:dyDescent="0.2">
      <c r="A856" s="33">
        <v>46530</v>
      </c>
      <c r="B856" s="33"/>
      <c r="C856" s="2" t="s">
        <v>18</v>
      </c>
      <c r="D856" s="2" t="s">
        <v>32</v>
      </c>
      <c r="E856" s="2" t="s">
        <v>23</v>
      </c>
      <c r="F856" s="2" t="s">
        <v>14</v>
      </c>
      <c r="G856" s="2" t="s">
        <v>38</v>
      </c>
      <c r="H856" s="2" t="s">
        <v>31</v>
      </c>
      <c r="I856" s="2">
        <v>420000</v>
      </c>
      <c r="J856" s="2">
        <v>7</v>
      </c>
      <c r="K856" s="2" t="s">
        <v>17</v>
      </c>
      <c r="L856" s="2">
        <f t="shared" si="3"/>
        <v>336000</v>
      </c>
    </row>
    <row r="857" spans="1:12" ht="14.25" customHeight="1" x14ac:dyDescent="0.2">
      <c r="A857" s="33">
        <v>46531</v>
      </c>
      <c r="B857" s="33"/>
      <c r="C857" s="2" t="s">
        <v>25</v>
      </c>
      <c r="D857" s="2" t="s">
        <v>19</v>
      </c>
      <c r="E857" s="2" t="s">
        <v>13</v>
      </c>
      <c r="F857" s="2" t="s">
        <v>20</v>
      </c>
      <c r="G857" s="2" t="s">
        <v>33</v>
      </c>
      <c r="H857" s="2" t="s">
        <v>22</v>
      </c>
      <c r="I857" s="2">
        <v>180000</v>
      </c>
      <c r="J857" s="2">
        <v>8</v>
      </c>
      <c r="K857" s="2" t="s">
        <v>37</v>
      </c>
      <c r="L857" s="2">
        <f t="shared" si="3"/>
        <v>144000</v>
      </c>
    </row>
    <row r="858" spans="1:12" ht="14.25" customHeight="1" x14ac:dyDescent="0.2">
      <c r="A858" s="33">
        <v>46532</v>
      </c>
      <c r="B858" s="33"/>
      <c r="C858" s="2" t="s">
        <v>11</v>
      </c>
      <c r="D858" s="2" t="s">
        <v>32</v>
      </c>
      <c r="E858" s="2" t="s">
        <v>23</v>
      </c>
      <c r="F858" s="2" t="s">
        <v>20</v>
      </c>
      <c r="G858" s="2" t="s">
        <v>41</v>
      </c>
      <c r="H858" s="2" t="s">
        <v>22</v>
      </c>
      <c r="I858" s="2">
        <v>220000</v>
      </c>
      <c r="J858" s="2">
        <v>3</v>
      </c>
      <c r="K858" s="2" t="s">
        <v>28</v>
      </c>
      <c r="L858" s="2">
        <f t="shared" si="3"/>
        <v>176000</v>
      </c>
    </row>
    <row r="859" spans="1:12" ht="14.25" customHeight="1" x14ac:dyDescent="0.2">
      <c r="A859" s="33">
        <v>46533</v>
      </c>
      <c r="B859" s="33"/>
      <c r="C859" s="2" t="s">
        <v>18</v>
      </c>
      <c r="D859" s="2" t="s">
        <v>32</v>
      </c>
      <c r="E859" s="2" t="s">
        <v>13</v>
      </c>
      <c r="F859" s="2" t="s">
        <v>14</v>
      </c>
      <c r="G859" s="2" t="s">
        <v>38</v>
      </c>
      <c r="H859" s="2" t="s">
        <v>31</v>
      </c>
      <c r="I859" s="2">
        <v>420000</v>
      </c>
      <c r="J859" s="2">
        <v>3</v>
      </c>
      <c r="K859" s="2" t="s">
        <v>17</v>
      </c>
      <c r="L859" s="2">
        <f t="shared" si="3"/>
        <v>336000</v>
      </c>
    </row>
    <row r="860" spans="1:12" ht="14.25" customHeight="1" x14ac:dyDescent="0.2">
      <c r="A860" s="33">
        <v>46534</v>
      </c>
      <c r="B860" s="33"/>
      <c r="C860" s="2" t="s">
        <v>18</v>
      </c>
      <c r="D860" s="2" t="s">
        <v>26</v>
      </c>
      <c r="E860" s="2" t="s">
        <v>13</v>
      </c>
      <c r="F860" s="2" t="s">
        <v>14</v>
      </c>
      <c r="G860" s="2" t="s">
        <v>33</v>
      </c>
      <c r="H860" s="2" t="s">
        <v>22</v>
      </c>
      <c r="I860" s="2">
        <v>180000</v>
      </c>
      <c r="J860" s="2">
        <v>5</v>
      </c>
      <c r="K860" s="2" t="s">
        <v>39</v>
      </c>
      <c r="L860" s="2">
        <f t="shared" si="3"/>
        <v>144000</v>
      </c>
    </row>
    <row r="861" spans="1:12" ht="14.25" customHeight="1" x14ac:dyDescent="0.2">
      <c r="A861" s="33">
        <v>46535</v>
      </c>
      <c r="B861" s="33"/>
      <c r="C861" s="2" t="s">
        <v>11</v>
      </c>
      <c r="D861" s="2" t="s">
        <v>26</v>
      </c>
      <c r="E861" s="2" t="s">
        <v>23</v>
      </c>
      <c r="F861" s="2" t="s">
        <v>14</v>
      </c>
      <c r="G861" s="2" t="s">
        <v>41</v>
      </c>
      <c r="H861" s="2" t="s">
        <v>22</v>
      </c>
      <c r="I861" s="2">
        <v>220000</v>
      </c>
      <c r="J861" s="2">
        <v>5</v>
      </c>
      <c r="K861" s="2" t="s">
        <v>28</v>
      </c>
      <c r="L861" s="2">
        <f t="shared" si="3"/>
        <v>176000</v>
      </c>
    </row>
    <row r="862" spans="1:12" ht="14.25" customHeight="1" x14ac:dyDescent="0.2">
      <c r="A862" s="33">
        <v>46536</v>
      </c>
      <c r="B862" s="33"/>
      <c r="C862" s="2" t="s">
        <v>29</v>
      </c>
      <c r="D862" s="2" t="s">
        <v>32</v>
      </c>
      <c r="E862" s="2" t="s">
        <v>23</v>
      </c>
      <c r="F862" s="2" t="s">
        <v>14</v>
      </c>
      <c r="G862" s="2" t="s">
        <v>40</v>
      </c>
      <c r="H862" s="2" t="s">
        <v>31</v>
      </c>
      <c r="I862" s="2">
        <v>250000</v>
      </c>
      <c r="J862" s="2">
        <v>2</v>
      </c>
      <c r="K862" s="2" t="s">
        <v>35</v>
      </c>
      <c r="L862" s="2">
        <f t="shared" si="3"/>
        <v>200000</v>
      </c>
    </row>
    <row r="863" spans="1:12" ht="14.25" customHeight="1" x14ac:dyDescent="0.2">
      <c r="A863" s="33">
        <v>46537</v>
      </c>
      <c r="B863" s="33"/>
      <c r="C863" s="2" t="s">
        <v>18</v>
      </c>
      <c r="D863" s="2" t="s">
        <v>26</v>
      </c>
      <c r="E863" s="2" t="s">
        <v>23</v>
      </c>
      <c r="F863" s="2" t="s">
        <v>14</v>
      </c>
      <c r="G863" s="2" t="s">
        <v>38</v>
      </c>
      <c r="H863" s="2" t="s">
        <v>31</v>
      </c>
      <c r="I863" s="2">
        <v>420000</v>
      </c>
      <c r="J863" s="2">
        <v>3</v>
      </c>
      <c r="K863" s="2" t="s">
        <v>35</v>
      </c>
      <c r="L863" s="2">
        <f t="shared" si="3"/>
        <v>336000</v>
      </c>
    </row>
    <row r="864" spans="1:12" ht="14.25" customHeight="1" x14ac:dyDescent="0.2">
      <c r="A864" s="33">
        <v>46538</v>
      </c>
      <c r="B864" s="33"/>
      <c r="C864" s="2" t="s">
        <v>18</v>
      </c>
      <c r="D864" s="2" t="s">
        <v>19</v>
      </c>
      <c r="E864" s="2" t="s">
        <v>23</v>
      </c>
      <c r="F864" s="2" t="s">
        <v>14</v>
      </c>
      <c r="G864" s="2" t="s">
        <v>38</v>
      </c>
      <c r="H864" s="2" t="s">
        <v>31</v>
      </c>
      <c r="I864" s="2">
        <v>420000</v>
      </c>
      <c r="J864" s="2">
        <v>8</v>
      </c>
      <c r="K864" s="2" t="s">
        <v>28</v>
      </c>
      <c r="L864" s="2">
        <f t="shared" si="3"/>
        <v>336000</v>
      </c>
    </row>
    <row r="865" spans="1:12" ht="14.25" customHeight="1" x14ac:dyDescent="0.2">
      <c r="A865" s="33">
        <v>46539</v>
      </c>
      <c r="B865" s="33"/>
      <c r="C865" s="2" t="s">
        <v>18</v>
      </c>
      <c r="D865" s="2" t="s">
        <v>12</v>
      </c>
      <c r="E865" s="2" t="s">
        <v>23</v>
      </c>
      <c r="F865" s="2" t="s">
        <v>14</v>
      </c>
      <c r="G865" s="2" t="s">
        <v>38</v>
      </c>
      <c r="H865" s="2" t="s">
        <v>31</v>
      </c>
      <c r="I865" s="2">
        <v>420000</v>
      </c>
      <c r="J865" s="2">
        <v>7</v>
      </c>
      <c r="K865" s="2" t="s">
        <v>17</v>
      </c>
      <c r="L865" s="2">
        <f t="shared" si="3"/>
        <v>336000</v>
      </c>
    </row>
    <row r="866" spans="1:12" ht="14.25" customHeight="1" x14ac:dyDescent="0.2">
      <c r="A866" s="33">
        <v>46540</v>
      </c>
      <c r="B866" s="33"/>
      <c r="C866" s="2" t="s">
        <v>11</v>
      </c>
      <c r="D866" s="2" t="s">
        <v>26</v>
      </c>
      <c r="E866" s="2" t="s">
        <v>23</v>
      </c>
      <c r="F866" s="2" t="s">
        <v>14</v>
      </c>
      <c r="G866" s="2" t="s">
        <v>34</v>
      </c>
      <c r="H866" s="2" t="s">
        <v>16</v>
      </c>
      <c r="I866" s="2">
        <v>320000</v>
      </c>
      <c r="J866" s="2">
        <v>6</v>
      </c>
      <c r="K866" s="2" t="s">
        <v>28</v>
      </c>
      <c r="L866" s="2">
        <f t="shared" si="3"/>
        <v>256000</v>
      </c>
    </row>
    <row r="867" spans="1:12" ht="14.25" customHeight="1" x14ac:dyDescent="0.2">
      <c r="A867" s="33">
        <v>46541</v>
      </c>
      <c r="B867" s="33"/>
      <c r="C867" s="2" t="s">
        <v>29</v>
      </c>
      <c r="D867" s="2" t="s">
        <v>26</v>
      </c>
      <c r="E867" s="2" t="s">
        <v>23</v>
      </c>
      <c r="F867" s="2" t="s">
        <v>14</v>
      </c>
      <c r="G867" s="2" t="s">
        <v>27</v>
      </c>
      <c r="H867" s="2" t="s">
        <v>22</v>
      </c>
      <c r="I867" s="2">
        <v>60000</v>
      </c>
      <c r="J867" s="2">
        <v>3</v>
      </c>
      <c r="K867" s="2" t="s">
        <v>28</v>
      </c>
      <c r="L867" s="2">
        <f t="shared" si="3"/>
        <v>48000</v>
      </c>
    </row>
    <row r="868" spans="1:12" ht="14.25" customHeight="1" x14ac:dyDescent="0.2">
      <c r="A868" s="33">
        <v>46542</v>
      </c>
      <c r="B868" s="33"/>
      <c r="C868" s="2" t="s">
        <v>11</v>
      </c>
      <c r="D868" s="2" t="s">
        <v>12</v>
      </c>
      <c r="E868" s="2" t="s">
        <v>23</v>
      </c>
      <c r="F868" s="2" t="s">
        <v>20</v>
      </c>
      <c r="G868" s="2" t="s">
        <v>15</v>
      </c>
      <c r="H868" s="2" t="s">
        <v>16</v>
      </c>
      <c r="I868" s="2">
        <v>85000</v>
      </c>
      <c r="J868" s="2">
        <v>8</v>
      </c>
      <c r="K868" s="2" t="s">
        <v>17</v>
      </c>
      <c r="L868" s="2">
        <f t="shared" si="3"/>
        <v>68000</v>
      </c>
    </row>
    <row r="869" spans="1:12" ht="14.25" customHeight="1" x14ac:dyDescent="0.2">
      <c r="A869" s="33">
        <v>46543</v>
      </c>
      <c r="B869" s="33"/>
      <c r="C869" s="2" t="s">
        <v>11</v>
      </c>
      <c r="D869" s="2" t="s">
        <v>12</v>
      </c>
      <c r="E869" s="2" t="s">
        <v>23</v>
      </c>
      <c r="F869" s="2" t="s">
        <v>20</v>
      </c>
      <c r="G869" s="2" t="s">
        <v>33</v>
      </c>
      <c r="H869" s="2" t="s">
        <v>22</v>
      </c>
      <c r="I869" s="2">
        <v>180000</v>
      </c>
      <c r="J869" s="2">
        <v>9</v>
      </c>
      <c r="K869" s="2" t="s">
        <v>35</v>
      </c>
      <c r="L869" s="2">
        <f t="shared" si="3"/>
        <v>144000</v>
      </c>
    </row>
    <row r="870" spans="1:12" ht="14.25" customHeight="1" x14ac:dyDescent="0.2">
      <c r="A870" s="33">
        <v>46544</v>
      </c>
      <c r="B870" s="33"/>
      <c r="C870" s="2" t="s">
        <v>11</v>
      </c>
      <c r="D870" s="2" t="s">
        <v>26</v>
      </c>
      <c r="E870" s="2" t="s">
        <v>23</v>
      </c>
      <c r="F870" s="2" t="s">
        <v>20</v>
      </c>
      <c r="G870" s="2" t="s">
        <v>41</v>
      </c>
      <c r="H870" s="2" t="s">
        <v>22</v>
      </c>
      <c r="I870" s="2">
        <v>220000</v>
      </c>
      <c r="J870" s="2">
        <v>5</v>
      </c>
      <c r="K870" s="2" t="s">
        <v>35</v>
      </c>
      <c r="L870" s="2">
        <f t="shared" si="3"/>
        <v>176000</v>
      </c>
    </row>
    <row r="871" spans="1:12" ht="14.25" customHeight="1" x14ac:dyDescent="0.2">
      <c r="A871" s="33">
        <v>46545</v>
      </c>
      <c r="B871" s="33"/>
      <c r="C871" s="2" t="s">
        <v>25</v>
      </c>
      <c r="D871" s="2" t="s">
        <v>26</v>
      </c>
      <c r="E871" s="2" t="s">
        <v>23</v>
      </c>
      <c r="F871" s="2" t="s">
        <v>20</v>
      </c>
      <c r="G871" s="2" t="s">
        <v>33</v>
      </c>
      <c r="H871" s="2" t="s">
        <v>22</v>
      </c>
      <c r="I871" s="2">
        <v>180000</v>
      </c>
      <c r="J871" s="2">
        <v>5</v>
      </c>
      <c r="K871" s="2" t="s">
        <v>35</v>
      </c>
      <c r="L871" s="2">
        <f t="shared" si="3"/>
        <v>144000</v>
      </c>
    </row>
    <row r="872" spans="1:12" ht="14.25" customHeight="1" x14ac:dyDescent="0.2">
      <c r="A872" s="33">
        <v>46546</v>
      </c>
      <c r="B872" s="33"/>
      <c r="C872" s="2" t="s">
        <v>11</v>
      </c>
      <c r="D872" s="2" t="s">
        <v>19</v>
      </c>
      <c r="E872" s="2" t="s">
        <v>23</v>
      </c>
      <c r="F872" s="2" t="s">
        <v>14</v>
      </c>
      <c r="G872" s="2" t="s">
        <v>27</v>
      </c>
      <c r="H872" s="2" t="s">
        <v>22</v>
      </c>
      <c r="I872" s="2">
        <v>60000</v>
      </c>
      <c r="J872" s="2">
        <v>7</v>
      </c>
      <c r="K872" s="2" t="s">
        <v>17</v>
      </c>
      <c r="L872" s="2">
        <f t="shared" si="3"/>
        <v>48000</v>
      </c>
    </row>
    <row r="873" spans="1:12" ht="14.25" customHeight="1" x14ac:dyDescent="0.2">
      <c r="A873" s="33">
        <v>46547</v>
      </c>
      <c r="B873" s="33"/>
      <c r="C873" s="2" t="s">
        <v>25</v>
      </c>
      <c r="D873" s="2" t="s">
        <v>26</v>
      </c>
      <c r="E873" s="2" t="s">
        <v>23</v>
      </c>
      <c r="F873" s="2" t="s">
        <v>20</v>
      </c>
      <c r="G873" s="2" t="s">
        <v>36</v>
      </c>
      <c r="H873" s="2" t="s">
        <v>31</v>
      </c>
      <c r="I873" s="2">
        <v>150000</v>
      </c>
      <c r="J873" s="2">
        <v>7</v>
      </c>
      <c r="K873" s="2" t="s">
        <v>35</v>
      </c>
      <c r="L873" s="2">
        <f t="shared" si="3"/>
        <v>120000</v>
      </c>
    </row>
    <row r="874" spans="1:12" ht="14.25" customHeight="1" x14ac:dyDescent="0.2">
      <c r="A874" s="33">
        <v>46548</v>
      </c>
      <c r="B874" s="33"/>
      <c r="C874" s="2" t="s">
        <v>18</v>
      </c>
      <c r="D874" s="2" t="s">
        <v>12</v>
      </c>
      <c r="E874" s="2" t="s">
        <v>23</v>
      </c>
      <c r="F874" s="2" t="s">
        <v>20</v>
      </c>
      <c r="G874" s="2" t="s">
        <v>21</v>
      </c>
      <c r="H874" s="2" t="s">
        <v>22</v>
      </c>
      <c r="I874" s="2">
        <v>30000</v>
      </c>
      <c r="J874" s="2">
        <v>4</v>
      </c>
      <c r="K874" s="2" t="s">
        <v>37</v>
      </c>
      <c r="L874" s="2">
        <f t="shared" si="3"/>
        <v>24000</v>
      </c>
    </row>
    <row r="875" spans="1:12" ht="14.25" customHeight="1" x14ac:dyDescent="0.2">
      <c r="A875" s="33">
        <v>46549</v>
      </c>
      <c r="B875" s="33"/>
      <c r="C875" s="2" t="s">
        <v>11</v>
      </c>
      <c r="D875" s="2" t="s">
        <v>32</v>
      </c>
      <c r="E875" s="2" t="s">
        <v>23</v>
      </c>
      <c r="F875" s="2" t="s">
        <v>20</v>
      </c>
      <c r="G875" s="2" t="s">
        <v>38</v>
      </c>
      <c r="H875" s="2" t="s">
        <v>31</v>
      </c>
      <c r="I875" s="2">
        <v>420000</v>
      </c>
      <c r="J875" s="2">
        <v>1</v>
      </c>
      <c r="K875" s="2" t="s">
        <v>37</v>
      </c>
      <c r="L875" s="2">
        <f t="shared" si="3"/>
        <v>336000</v>
      </c>
    </row>
    <row r="876" spans="1:12" ht="14.25" customHeight="1" x14ac:dyDescent="0.2">
      <c r="A876" s="33">
        <v>46550</v>
      </c>
      <c r="B876" s="33"/>
      <c r="C876" s="2" t="s">
        <v>11</v>
      </c>
      <c r="D876" s="2" t="s">
        <v>26</v>
      </c>
      <c r="E876" s="2" t="s">
        <v>23</v>
      </c>
      <c r="F876" s="2" t="s">
        <v>20</v>
      </c>
      <c r="G876" s="2" t="s">
        <v>38</v>
      </c>
      <c r="H876" s="2" t="s">
        <v>31</v>
      </c>
      <c r="I876" s="2">
        <v>420000</v>
      </c>
      <c r="J876" s="2">
        <v>4</v>
      </c>
      <c r="K876" s="2" t="s">
        <v>35</v>
      </c>
      <c r="L876" s="2">
        <f t="shared" si="3"/>
        <v>336000</v>
      </c>
    </row>
    <row r="877" spans="1:12" ht="14.25" customHeight="1" x14ac:dyDescent="0.2">
      <c r="A877" s="33">
        <v>46551</v>
      </c>
      <c r="B877" s="33"/>
      <c r="C877" s="2" t="s">
        <v>29</v>
      </c>
      <c r="D877" s="2" t="s">
        <v>26</v>
      </c>
      <c r="E877" s="2" t="s">
        <v>23</v>
      </c>
      <c r="F877" s="2" t="s">
        <v>14</v>
      </c>
      <c r="G877" s="2" t="s">
        <v>15</v>
      </c>
      <c r="H877" s="2" t="s">
        <v>16</v>
      </c>
      <c r="I877" s="2">
        <v>85000</v>
      </c>
      <c r="J877" s="2">
        <v>4</v>
      </c>
      <c r="K877" s="2" t="s">
        <v>35</v>
      </c>
      <c r="L877" s="2">
        <f t="shared" si="3"/>
        <v>68000</v>
      </c>
    </row>
    <row r="878" spans="1:12" ht="14.25" customHeight="1" x14ac:dyDescent="0.2">
      <c r="A878" s="33">
        <v>46552</v>
      </c>
      <c r="B878" s="33"/>
      <c r="C878" s="2" t="s">
        <v>11</v>
      </c>
      <c r="D878" s="2" t="s">
        <v>19</v>
      </c>
      <c r="E878" s="2" t="s">
        <v>23</v>
      </c>
      <c r="F878" s="2" t="s">
        <v>20</v>
      </c>
      <c r="G878" s="2" t="s">
        <v>34</v>
      </c>
      <c r="H878" s="2" t="s">
        <v>16</v>
      </c>
      <c r="I878" s="2">
        <v>320000</v>
      </c>
      <c r="J878" s="2">
        <v>5</v>
      </c>
      <c r="K878" s="2" t="s">
        <v>28</v>
      </c>
      <c r="L878" s="2">
        <f t="shared" si="3"/>
        <v>256000</v>
      </c>
    </row>
    <row r="879" spans="1:12" ht="14.25" customHeight="1" x14ac:dyDescent="0.2">
      <c r="A879" s="33">
        <v>46553</v>
      </c>
      <c r="B879" s="33"/>
      <c r="C879" s="2" t="s">
        <v>18</v>
      </c>
      <c r="D879" s="2" t="s">
        <v>12</v>
      </c>
      <c r="E879" s="2" t="s">
        <v>23</v>
      </c>
      <c r="F879" s="2" t="s">
        <v>20</v>
      </c>
      <c r="G879" s="2" t="s">
        <v>15</v>
      </c>
      <c r="H879" s="2" t="s">
        <v>16</v>
      </c>
      <c r="I879" s="2">
        <v>85000</v>
      </c>
      <c r="J879" s="2">
        <v>4</v>
      </c>
      <c r="K879" s="2" t="s">
        <v>28</v>
      </c>
      <c r="L879" s="2">
        <f t="shared" si="3"/>
        <v>68000</v>
      </c>
    </row>
    <row r="880" spans="1:12" ht="14.25" customHeight="1" x14ac:dyDescent="0.2">
      <c r="A880" s="33">
        <v>46554</v>
      </c>
      <c r="B880" s="33"/>
      <c r="C880" s="2" t="s">
        <v>11</v>
      </c>
      <c r="D880" s="2" t="s">
        <v>12</v>
      </c>
      <c r="E880" s="2" t="s">
        <v>23</v>
      </c>
      <c r="F880" s="2" t="s">
        <v>20</v>
      </c>
      <c r="G880" s="2" t="s">
        <v>38</v>
      </c>
      <c r="H880" s="2" t="s">
        <v>31</v>
      </c>
      <c r="I880" s="2">
        <v>420000</v>
      </c>
      <c r="J880" s="2">
        <v>7</v>
      </c>
      <c r="K880" s="2" t="s">
        <v>39</v>
      </c>
      <c r="L880" s="2">
        <f t="shared" si="3"/>
        <v>336000</v>
      </c>
    </row>
    <row r="881" spans="1:12" ht="14.25" customHeight="1" x14ac:dyDescent="0.2">
      <c r="A881" s="33">
        <v>46555</v>
      </c>
      <c r="B881" s="33"/>
      <c r="C881" s="2" t="s">
        <v>11</v>
      </c>
      <c r="D881" s="2" t="s">
        <v>26</v>
      </c>
      <c r="E881" s="2" t="s">
        <v>23</v>
      </c>
      <c r="F881" s="2" t="s">
        <v>14</v>
      </c>
      <c r="G881" s="2" t="s">
        <v>21</v>
      </c>
      <c r="H881" s="2" t="s">
        <v>22</v>
      </c>
      <c r="I881" s="2">
        <v>30000</v>
      </c>
      <c r="J881" s="2">
        <v>10</v>
      </c>
      <c r="K881" s="2" t="s">
        <v>28</v>
      </c>
      <c r="L881" s="2">
        <f t="shared" si="3"/>
        <v>24000</v>
      </c>
    </row>
    <row r="882" spans="1:12" ht="14.25" customHeight="1" x14ac:dyDescent="0.2">
      <c r="A882" s="33">
        <v>46556</v>
      </c>
      <c r="B882" s="33"/>
      <c r="C882" s="2" t="s">
        <v>11</v>
      </c>
      <c r="D882" s="2" t="s">
        <v>26</v>
      </c>
      <c r="E882" s="2" t="s">
        <v>23</v>
      </c>
      <c r="F882" s="2" t="s">
        <v>14</v>
      </c>
      <c r="G882" s="2" t="s">
        <v>36</v>
      </c>
      <c r="H882" s="2" t="s">
        <v>31</v>
      </c>
      <c r="I882" s="2">
        <v>150000</v>
      </c>
      <c r="J882" s="2">
        <v>10</v>
      </c>
      <c r="K882" s="2" t="s">
        <v>28</v>
      </c>
      <c r="L882" s="2">
        <f t="shared" si="3"/>
        <v>120000</v>
      </c>
    </row>
    <row r="883" spans="1:12" ht="14.25" customHeight="1" x14ac:dyDescent="0.2">
      <c r="A883" s="33">
        <v>46557</v>
      </c>
      <c r="B883" s="33"/>
      <c r="C883" s="2" t="s">
        <v>25</v>
      </c>
      <c r="D883" s="2" t="s">
        <v>12</v>
      </c>
      <c r="E883" s="2" t="s">
        <v>23</v>
      </c>
      <c r="F883" s="2" t="s">
        <v>20</v>
      </c>
      <c r="G883" s="2" t="s">
        <v>40</v>
      </c>
      <c r="H883" s="2" t="s">
        <v>31</v>
      </c>
      <c r="I883" s="2">
        <v>250000</v>
      </c>
      <c r="J883" s="2">
        <v>4</v>
      </c>
      <c r="K883" s="2" t="s">
        <v>37</v>
      </c>
      <c r="L883" s="2">
        <f t="shared" si="3"/>
        <v>200000</v>
      </c>
    </row>
    <row r="884" spans="1:12" ht="14.25" customHeight="1" x14ac:dyDescent="0.2">
      <c r="A884" s="33">
        <v>46558</v>
      </c>
      <c r="B884" s="33"/>
      <c r="C884" s="2" t="s">
        <v>18</v>
      </c>
      <c r="D884" s="2" t="s">
        <v>32</v>
      </c>
      <c r="E884" s="2" t="s">
        <v>13</v>
      </c>
      <c r="F884" s="2" t="s">
        <v>14</v>
      </c>
      <c r="G884" s="2" t="s">
        <v>41</v>
      </c>
      <c r="H884" s="2" t="s">
        <v>22</v>
      </c>
      <c r="I884" s="2">
        <v>220000</v>
      </c>
      <c r="J884" s="2">
        <v>6</v>
      </c>
      <c r="K884" s="2" t="s">
        <v>37</v>
      </c>
      <c r="L884" s="2">
        <f t="shared" si="3"/>
        <v>176000</v>
      </c>
    </row>
    <row r="885" spans="1:12" ht="14.25" customHeight="1" x14ac:dyDescent="0.2">
      <c r="A885" s="33">
        <v>46559</v>
      </c>
      <c r="B885" s="33"/>
      <c r="C885" s="2" t="s">
        <v>29</v>
      </c>
      <c r="D885" s="2" t="s">
        <v>12</v>
      </c>
      <c r="E885" s="2" t="s">
        <v>13</v>
      </c>
      <c r="F885" s="2" t="s">
        <v>20</v>
      </c>
      <c r="G885" s="2" t="s">
        <v>36</v>
      </c>
      <c r="H885" s="2" t="s">
        <v>31</v>
      </c>
      <c r="I885" s="2">
        <v>150000</v>
      </c>
      <c r="J885" s="2">
        <v>10</v>
      </c>
      <c r="K885" s="2" t="s">
        <v>24</v>
      </c>
      <c r="L885" s="2">
        <f t="shared" si="3"/>
        <v>120000</v>
      </c>
    </row>
    <row r="886" spans="1:12" ht="14.25" customHeight="1" x14ac:dyDescent="0.2">
      <c r="A886" s="33">
        <v>46560</v>
      </c>
      <c r="B886" s="33"/>
      <c r="C886" s="2" t="s">
        <v>18</v>
      </c>
      <c r="D886" s="2" t="s">
        <v>26</v>
      </c>
      <c r="E886" s="2" t="s">
        <v>13</v>
      </c>
      <c r="F886" s="2" t="s">
        <v>14</v>
      </c>
      <c r="G886" s="2" t="s">
        <v>36</v>
      </c>
      <c r="H886" s="2" t="s">
        <v>31</v>
      </c>
      <c r="I886" s="2">
        <v>150000</v>
      </c>
      <c r="J886" s="2">
        <v>2</v>
      </c>
      <c r="K886" s="2" t="s">
        <v>28</v>
      </c>
      <c r="L886" s="2">
        <f t="shared" si="3"/>
        <v>120000</v>
      </c>
    </row>
    <row r="887" spans="1:12" ht="14.25" customHeight="1" x14ac:dyDescent="0.2">
      <c r="A887" s="33">
        <v>46561</v>
      </c>
      <c r="B887" s="33"/>
      <c r="C887" s="2" t="s">
        <v>11</v>
      </c>
      <c r="D887" s="2" t="s">
        <v>12</v>
      </c>
      <c r="E887" s="2" t="s">
        <v>13</v>
      </c>
      <c r="F887" s="2" t="s">
        <v>14</v>
      </c>
      <c r="G887" s="2" t="s">
        <v>40</v>
      </c>
      <c r="H887" s="2" t="s">
        <v>31</v>
      </c>
      <c r="I887" s="2">
        <v>250000</v>
      </c>
      <c r="J887" s="2">
        <v>4</v>
      </c>
      <c r="K887" s="2" t="s">
        <v>35</v>
      </c>
      <c r="L887" s="2">
        <f t="shared" si="3"/>
        <v>200000</v>
      </c>
    </row>
    <row r="888" spans="1:12" ht="14.25" customHeight="1" x14ac:dyDescent="0.2">
      <c r="A888" s="33">
        <v>46562</v>
      </c>
      <c r="B888" s="33"/>
      <c r="C888" s="2" t="s">
        <v>18</v>
      </c>
      <c r="D888" s="2" t="s">
        <v>12</v>
      </c>
      <c r="E888" s="2" t="s">
        <v>13</v>
      </c>
      <c r="F888" s="2" t="s">
        <v>20</v>
      </c>
      <c r="G888" s="2" t="s">
        <v>36</v>
      </c>
      <c r="H888" s="2" t="s">
        <v>31</v>
      </c>
      <c r="I888" s="2">
        <v>150000</v>
      </c>
      <c r="J888" s="2">
        <v>9</v>
      </c>
      <c r="K888" s="2" t="s">
        <v>24</v>
      </c>
      <c r="L888" s="2">
        <f t="shared" si="3"/>
        <v>120000</v>
      </c>
    </row>
    <row r="889" spans="1:12" ht="14.25" customHeight="1" x14ac:dyDescent="0.2">
      <c r="A889" s="33">
        <v>46563</v>
      </c>
      <c r="B889" s="33"/>
      <c r="C889" s="2" t="s">
        <v>29</v>
      </c>
      <c r="D889" s="2" t="s">
        <v>26</v>
      </c>
      <c r="E889" s="2" t="s">
        <v>13</v>
      </c>
      <c r="F889" s="2" t="s">
        <v>20</v>
      </c>
      <c r="G889" s="2" t="s">
        <v>38</v>
      </c>
      <c r="H889" s="2" t="s">
        <v>31</v>
      </c>
      <c r="I889" s="2">
        <v>420000</v>
      </c>
      <c r="J889" s="2">
        <v>7</v>
      </c>
      <c r="K889" s="2" t="s">
        <v>35</v>
      </c>
      <c r="L889" s="2">
        <f t="shared" si="3"/>
        <v>336000</v>
      </c>
    </row>
    <row r="890" spans="1:12" ht="14.25" customHeight="1" x14ac:dyDescent="0.2">
      <c r="A890" s="33">
        <v>46564</v>
      </c>
      <c r="B890" s="33"/>
      <c r="C890" s="2" t="s">
        <v>18</v>
      </c>
      <c r="D890" s="2" t="s">
        <v>19</v>
      </c>
      <c r="E890" s="2" t="s">
        <v>13</v>
      </c>
      <c r="F890" s="2" t="s">
        <v>14</v>
      </c>
      <c r="G890" s="2" t="s">
        <v>15</v>
      </c>
      <c r="H890" s="2" t="s">
        <v>16</v>
      </c>
      <c r="I890" s="2">
        <v>85000</v>
      </c>
      <c r="J890" s="2">
        <v>2</v>
      </c>
      <c r="K890" s="2" t="s">
        <v>17</v>
      </c>
      <c r="L890" s="2">
        <f t="shared" si="3"/>
        <v>68000</v>
      </c>
    </row>
    <row r="891" spans="1:12" ht="14.25" customHeight="1" x14ac:dyDescent="0.2">
      <c r="A891" s="33">
        <v>46565</v>
      </c>
      <c r="B891" s="33"/>
      <c r="C891" s="2" t="s">
        <v>25</v>
      </c>
      <c r="D891" s="2" t="s">
        <v>19</v>
      </c>
      <c r="E891" s="2" t="s">
        <v>23</v>
      </c>
      <c r="F891" s="2" t="s">
        <v>20</v>
      </c>
      <c r="G891" s="2" t="s">
        <v>15</v>
      </c>
      <c r="H891" s="2" t="s">
        <v>16</v>
      </c>
      <c r="I891" s="2">
        <v>85000</v>
      </c>
      <c r="J891" s="2">
        <v>1</v>
      </c>
      <c r="K891" s="2" t="s">
        <v>35</v>
      </c>
      <c r="L891" s="2">
        <f t="shared" si="3"/>
        <v>68000</v>
      </c>
    </row>
    <row r="892" spans="1:12" ht="14.25" customHeight="1" x14ac:dyDescent="0.2">
      <c r="A892" s="33">
        <v>46566</v>
      </c>
      <c r="B892" s="33"/>
      <c r="C892" s="2" t="s">
        <v>25</v>
      </c>
      <c r="D892" s="2" t="s">
        <v>26</v>
      </c>
      <c r="E892" s="2" t="s">
        <v>13</v>
      </c>
      <c r="F892" s="2" t="s">
        <v>20</v>
      </c>
      <c r="G892" s="2" t="s">
        <v>38</v>
      </c>
      <c r="H892" s="2" t="s">
        <v>31</v>
      </c>
      <c r="I892" s="2">
        <v>420000</v>
      </c>
      <c r="J892" s="2">
        <v>9</v>
      </c>
      <c r="K892" s="2" t="s">
        <v>17</v>
      </c>
      <c r="L892" s="2">
        <f t="shared" si="3"/>
        <v>336000</v>
      </c>
    </row>
    <row r="893" spans="1:12" ht="14.25" customHeight="1" x14ac:dyDescent="0.2">
      <c r="A893" s="33">
        <v>46567</v>
      </c>
      <c r="B893" s="33"/>
      <c r="C893" s="2" t="s">
        <v>29</v>
      </c>
      <c r="D893" s="2" t="s">
        <v>19</v>
      </c>
      <c r="E893" s="2" t="s">
        <v>13</v>
      </c>
      <c r="F893" s="2" t="s">
        <v>20</v>
      </c>
      <c r="G893" s="2" t="s">
        <v>41</v>
      </c>
      <c r="H893" s="2" t="s">
        <v>22</v>
      </c>
      <c r="I893" s="2">
        <v>220000</v>
      </c>
      <c r="J893" s="2">
        <v>2</v>
      </c>
      <c r="K893" s="2" t="s">
        <v>39</v>
      </c>
      <c r="L893" s="2">
        <f t="shared" si="3"/>
        <v>176000</v>
      </c>
    </row>
    <row r="894" spans="1:12" ht="14.25" customHeight="1" x14ac:dyDescent="0.2">
      <c r="A894" s="33">
        <v>46568</v>
      </c>
      <c r="B894" s="33"/>
      <c r="C894" s="2" t="s">
        <v>11</v>
      </c>
      <c r="D894" s="2" t="s">
        <v>26</v>
      </c>
      <c r="E894" s="2" t="s">
        <v>23</v>
      </c>
      <c r="F894" s="2" t="s">
        <v>20</v>
      </c>
      <c r="G894" s="2" t="s">
        <v>41</v>
      </c>
      <c r="H894" s="2" t="s">
        <v>22</v>
      </c>
      <c r="I894" s="2">
        <v>220000</v>
      </c>
      <c r="J894" s="2">
        <v>8</v>
      </c>
      <c r="K894" s="2" t="s">
        <v>37</v>
      </c>
      <c r="L894" s="2">
        <f t="shared" si="3"/>
        <v>176000</v>
      </c>
    </row>
    <row r="895" spans="1:12" ht="14.25" customHeight="1" x14ac:dyDescent="0.2">
      <c r="A895" s="33">
        <v>46569</v>
      </c>
      <c r="B895" s="33"/>
      <c r="C895" s="2" t="s">
        <v>29</v>
      </c>
      <c r="D895" s="2" t="s">
        <v>12</v>
      </c>
      <c r="E895" s="2" t="s">
        <v>23</v>
      </c>
      <c r="F895" s="2" t="s">
        <v>14</v>
      </c>
      <c r="G895" s="2" t="s">
        <v>21</v>
      </c>
      <c r="H895" s="2" t="s">
        <v>22</v>
      </c>
      <c r="I895" s="2">
        <v>30000</v>
      </c>
      <c r="J895" s="2">
        <v>9</v>
      </c>
      <c r="K895" s="2" t="s">
        <v>17</v>
      </c>
      <c r="L895" s="2">
        <f t="shared" si="3"/>
        <v>24000</v>
      </c>
    </row>
    <row r="896" spans="1:12" ht="14.25" customHeight="1" x14ac:dyDescent="0.2">
      <c r="A896" s="33">
        <v>46570</v>
      </c>
      <c r="B896" s="33"/>
      <c r="C896" s="2" t="s">
        <v>29</v>
      </c>
      <c r="D896" s="2" t="s">
        <v>32</v>
      </c>
      <c r="E896" s="2" t="s">
        <v>23</v>
      </c>
      <c r="F896" s="2" t="s">
        <v>14</v>
      </c>
      <c r="G896" s="2" t="s">
        <v>34</v>
      </c>
      <c r="H896" s="2" t="s">
        <v>16</v>
      </c>
      <c r="I896" s="2">
        <v>320000</v>
      </c>
      <c r="J896" s="2">
        <v>3</v>
      </c>
      <c r="K896" s="2" t="s">
        <v>37</v>
      </c>
      <c r="L896" s="2">
        <f t="shared" si="3"/>
        <v>256000</v>
      </c>
    </row>
    <row r="897" spans="1:12" ht="14.25" customHeight="1" x14ac:dyDescent="0.2">
      <c r="A897" s="33">
        <v>46571</v>
      </c>
      <c r="B897" s="33"/>
      <c r="C897" s="2" t="s">
        <v>29</v>
      </c>
      <c r="D897" s="2" t="s">
        <v>12</v>
      </c>
      <c r="E897" s="2" t="s">
        <v>13</v>
      </c>
      <c r="F897" s="2" t="s">
        <v>14</v>
      </c>
      <c r="G897" s="2" t="s">
        <v>21</v>
      </c>
      <c r="H897" s="2" t="s">
        <v>22</v>
      </c>
      <c r="I897" s="2">
        <v>30000</v>
      </c>
      <c r="J897" s="2">
        <v>6</v>
      </c>
      <c r="K897" s="2" t="s">
        <v>35</v>
      </c>
      <c r="L897" s="2">
        <f t="shared" si="3"/>
        <v>24000</v>
      </c>
    </row>
    <row r="898" spans="1:12" ht="14.25" customHeight="1" x14ac:dyDescent="0.2">
      <c r="A898" s="33">
        <v>46572</v>
      </c>
      <c r="B898" s="33"/>
      <c r="C898" s="2" t="s">
        <v>29</v>
      </c>
      <c r="D898" s="2" t="s">
        <v>26</v>
      </c>
      <c r="E898" s="2" t="s">
        <v>23</v>
      </c>
      <c r="F898" s="2" t="s">
        <v>14</v>
      </c>
      <c r="G898" s="2" t="s">
        <v>27</v>
      </c>
      <c r="H898" s="2" t="s">
        <v>22</v>
      </c>
      <c r="I898" s="2">
        <v>60000</v>
      </c>
      <c r="J898" s="2">
        <v>7</v>
      </c>
      <c r="K898" s="2" t="s">
        <v>28</v>
      </c>
      <c r="L898" s="2">
        <f t="shared" si="3"/>
        <v>48000</v>
      </c>
    </row>
    <row r="899" spans="1:12" ht="14.25" customHeight="1" x14ac:dyDescent="0.2">
      <c r="A899" s="33">
        <v>46573</v>
      </c>
      <c r="B899" s="33"/>
      <c r="C899" s="2" t="s">
        <v>25</v>
      </c>
      <c r="D899" s="2" t="s">
        <v>26</v>
      </c>
      <c r="E899" s="2" t="s">
        <v>13</v>
      </c>
      <c r="F899" s="2" t="s">
        <v>14</v>
      </c>
      <c r="G899" s="2" t="s">
        <v>33</v>
      </c>
      <c r="H899" s="2" t="s">
        <v>22</v>
      </c>
      <c r="I899" s="2">
        <v>180000</v>
      </c>
      <c r="J899" s="2">
        <v>2</v>
      </c>
      <c r="K899" s="2" t="s">
        <v>35</v>
      </c>
      <c r="L899" s="2">
        <f t="shared" si="3"/>
        <v>144000</v>
      </c>
    </row>
    <row r="900" spans="1:12" ht="14.25" customHeight="1" x14ac:dyDescent="0.2">
      <c r="A900" s="33">
        <v>46574</v>
      </c>
      <c r="B900" s="33"/>
      <c r="C900" s="2" t="s">
        <v>18</v>
      </c>
      <c r="D900" s="2" t="s">
        <v>32</v>
      </c>
      <c r="E900" s="2" t="s">
        <v>23</v>
      </c>
      <c r="F900" s="2" t="s">
        <v>20</v>
      </c>
      <c r="G900" s="2" t="s">
        <v>21</v>
      </c>
      <c r="H900" s="2" t="s">
        <v>22</v>
      </c>
      <c r="I900" s="2">
        <v>30000</v>
      </c>
      <c r="J900" s="2">
        <v>5</v>
      </c>
      <c r="K900" s="2" t="s">
        <v>17</v>
      </c>
      <c r="L900" s="2">
        <f t="shared" si="3"/>
        <v>24000</v>
      </c>
    </row>
    <row r="901" spans="1:12" ht="14.25" customHeight="1" x14ac:dyDescent="0.2">
      <c r="A901" s="33">
        <v>46575</v>
      </c>
      <c r="B901" s="33"/>
      <c r="C901" s="2" t="s">
        <v>11</v>
      </c>
      <c r="D901" s="2" t="s">
        <v>19</v>
      </c>
      <c r="E901" s="2" t="s">
        <v>23</v>
      </c>
      <c r="F901" s="2" t="s">
        <v>20</v>
      </c>
      <c r="G901" s="2" t="s">
        <v>36</v>
      </c>
      <c r="H901" s="2" t="s">
        <v>31</v>
      </c>
      <c r="I901" s="2">
        <v>150000</v>
      </c>
      <c r="J901" s="2">
        <v>2</v>
      </c>
      <c r="K901" s="2" t="s">
        <v>37</v>
      </c>
      <c r="L901" s="2">
        <f t="shared" si="3"/>
        <v>120000</v>
      </c>
    </row>
    <row r="902" spans="1:12" ht="14.25" customHeight="1" x14ac:dyDescent="0.2">
      <c r="A902" s="33">
        <v>46576</v>
      </c>
      <c r="B902" s="33"/>
      <c r="C902" s="2" t="s">
        <v>25</v>
      </c>
      <c r="D902" s="2" t="s">
        <v>12</v>
      </c>
      <c r="E902" s="2" t="s">
        <v>13</v>
      </c>
      <c r="F902" s="2" t="s">
        <v>14</v>
      </c>
      <c r="G902" s="2" t="s">
        <v>21</v>
      </c>
      <c r="H902" s="2" t="s">
        <v>22</v>
      </c>
      <c r="I902" s="2">
        <v>30000</v>
      </c>
      <c r="J902" s="2">
        <v>9</v>
      </c>
      <c r="K902" s="2" t="s">
        <v>39</v>
      </c>
      <c r="L902" s="2">
        <f t="shared" si="3"/>
        <v>24000</v>
      </c>
    </row>
    <row r="903" spans="1:12" ht="14.25" customHeight="1" x14ac:dyDescent="0.2">
      <c r="A903" s="33">
        <v>46577</v>
      </c>
      <c r="B903" s="33"/>
      <c r="C903" s="2" t="s">
        <v>25</v>
      </c>
      <c r="D903" s="2" t="s">
        <v>26</v>
      </c>
      <c r="E903" s="2" t="s">
        <v>23</v>
      </c>
      <c r="F903" s="2" t="s">
        <v>14</v>
      </c>
      <c r="G903" s="2" t="s">
        <v>36</v>
      </c>
      <c r="H903" s="2" t="s">
        <v>31</v>
      </c>
      <c r="I903" s="2">
        <v>150000</v>
      </c>
      <c r="J903" s="2">
        <v>5</v>
      </c>
      <c r="K903" s="2" t="s">
        <v>35</v>
      </c>
      <c r="L903" s="2">
        <f t="shared" si="3"/>
        <v>120000</v>
      </c>
    </row>
    <row r="904" spans="1:12" ht="14.25" customHeight="1" x14ac:dyDescent="0.2">
      <c r="A904" s="33">
        <v>46578</v>
      </c>
      <c r="B904" s="33"/>
      <c r="C904" s="2" t="s">
        <v>25</v>
      </c>
      <c r="D904" s="2" t="s">
        <v>26</v>
      </c>
      <c r="E904" s="2" t="s">
        <v>13</v>
      </c>
      <c r="F904" s="2" t="s">
        <v>20</v>
      </c>
      <c r="G904" s="2" t="s">
        <v>27</v>
      </c>
      <c r="H904" s="2" t="s">
        <v>22</v>
      </c>
      <c r="I904" s="2">
        <v>60000</v>
      </c>
      <c r="J904" s="2">
        <v>8</v>
      </c>
      <c r="K904" s="2" t="s">
        <v>39</v>
      </c>
      <c r="L904" s="2">
        <f t="shared" si="3"/>
        <v>48000</v>
      </c>
    </row>
    <row r="905" spans="1:12" ht="14.25" customHeight="1" x14ac:dyDescent="0.2">
      <c r="A905" s="33">
        <v>46579</v>
      </c>
      <c r="B905" s="33"/>
      <c r="C905" s="2" t="s">
        <v>18</v>
      </c>
      <c r="D905" s="2" t="s">
        <v>19</v>
      </c>
      <c r="E905" s="2" t="s">
        <v>13</v>
      </c>
      <c r="F905" s="2" t="s">
        <v>14</v>
      </c>
      <c r="G905" s="2" t="s">
        <v>36</v>
      </c>
      <c r="H905" s="2" t="s">
        <v>31</v>
      </c>
      <c r="I905" s="2">
        <v>150000</v>
      </c>
      <c r="J905" s="2">
        <v>8</v>
      </c>
      <c r="K905" s="2" t="s">
        <v>37</v>
      </c>
      <c r="L905" s="2">
        <f t="shared" si="3"/>
        <v>120000</v>
      </c>
    </row>
    <row r="906" spans="1:12" ht="14.25" customHeight="1" x14ac:dyDescent="0.2">
      <c r="A906" s="33">
        <v>46580</v>
      </c>
      <c r="B906" s="33"/>
      <c r="C906" s="2" t="s">
        <v>18</v>
      </c>
      <c r="D906" s="2" t="s">
        <v>26</v>
      </c>
      <c r="E906" s="2" t="s">
        <v>13</v>
      </c>
      <c r="F906" s="2" t="s">
        <v>20</v>
      </c>
      <c r="G906" s="2" t="s">
        <v>15</v>
      </c>
      <c r="H906" s="2" t="s">
        <v>16</v>
      </c>
      <c r="I906" s="2">
        <v>85000</v>
      </c>
      <c r="J906" s="2">
        <v>3</v>
      </c>
      <c r="K906" s="2" t="s">
        <v>39</v>
      </c>
      <c r="L906" s="2">
        <f t="shared" si="3"/>
        <v>68000</v>
      </c>
    </row>
    <row r="907" spans="1:12" ht="14.25" customHeight="1" x14ac:dyDescent="0.2">
      <c r="A907" s="33">
        <v>46581</v>
      </c>
      <c r="B907" s="33"/>
      <c r="C907" s="2" t="s">
        <v>25</v>
      </c>
      <c r="D907" s="2" t="s">
        <v>12</v>
      </c>
      <c r="E907" s="2" t="s">
        <v>23</v>
      </c>
      <c r="F907" s="2" t="s">
        <v>14</v>
      </c>
      <c r="G907" s="2" t="s">
        <v>33</v>
      </c>
      <c r="H907" s="2" t="s">
        <v>22</v>
      </c>
      <c r="I907" s="2">
        <v>180000</v>
      </c>
      <c r="J907" s="2">
        <v>4</v>
      </c>
      <c r="K907" s="2" t="s">
        <v>37</v>
      </c>
      <c r="L907" s="2">
        <f t="shared" si="3"/>
        <v>144000</v>
      </c>
    </row>
    <row r="908" spans="1:12" ht="14.25" customHeight="1" x14ac:dyDescent="0.2">
      <c r="A908" s="33">
        <v>46582</v>
      </c>
      <c r="B908" s="33"/>
      <c r="C908" s="2" t="s">
        <v>29</v>
      </c>
      <c r="D908" s="2" t="s">
        <v>12</v>
      </c>
      <c r="E908" s="2" t="s">
        <v>13</v>
      </c>
      <c r="F908" s="2" t="s">
        <v>14</v>
      </c>
      <c r="G908" s="2" t="s">
        <v>38</v>
      </c>
      <c r="H908" s="2" t="s">
        <v>31</v>
      </c>
      <c r="I908" s="2">
        <v>420000</v>
      </c>
      <c r="J908" s="2">
        <v>7</v>
      </c>
      <c r="K908" s="2" t="s">
        <v>24</v>
      </c>
      <c r="L908" s="2">
        <f t="shared" si="3"/>
        <v>336000</v>
      </c>
    </row>
    <row r="909" spans="1:12" ht="14.25" customHeight="1" x14ac:dyDescent="0.2">
      <c r="A909" s="33">
        <v>46583</v>
      </c>
      <c r="B909" s="33"/>
      <c r="C909" s="2" t="s">
        <v>18</v>
      </c>
      <c r="D909" s="2" t="s">
        <v>19</v>
      </c>
      <c r="E909" s="2" t="s">
        <v>13</v>
      </c>
      <c r="F909" s="2" t="s">
        <v>20</v>
      </c>
      <c r="G909" s="2" t="s">
        <v>27</v>
      </c>
      <c r="H909" s="2" t="s">
        <v>22</v>
      </c>
      <c r="I909" s="2">
        <v>60000</v>
      </c>
      <c r="J909" s="2">
        <v>8</v>
      </c>
      <c r="K909" s="2" t="s">
        <v>24</v>
      </c>
      <c r="L909" s="2">
        <f t="shared" si="3"/>
        <v>48000</v>
      </c>
    </row>
    <row r="910" spans="1:12" ht="14.25" customHeight="1" x14ac:dyDescent="0.2">
      <c r="A910" s="33">
        <v>46584</v>
      </c>
      <c r="B910" s="33"/>
      <c r="C910" s="2" t="s">
        <v>25</v>
      </c>
      <c r="D910" s="2" t="s">
        <v>26</v>
      </c>
      <c r="E910" s="2" t="s">
        <v>13</v>
      </c>
      <c r="F910" s="2" t="s">
        <v>20</v>
      </c>
      <c r="G910" s="2" t="s">
        <v>30</v>
      </c>
      <c r="H910" s="2" t="s">
        <v>31</v>
      </c>
      <c r="I910" s="2">
        <v>300000</v>
      </c>
      <c r="J910" s="2">
        <v>1</v>
      </c>
      <c r="K910" s="2" t="s">
        <v>35</v>
      </c>
      <c r="L910" s="2">
        <f t="shared" si="3"/>
        <v>240000</v>
      </c>
    </row>
    <row r="911" spans="1:12" ht="14.25" customHeight="1" x14ac:dyDescent="0.2">
      <c r="A911" s="33">
        <v>46585</v>
      </c>
      <c r="B911" s="33"/>
      <c r="C911" s="2" t="s">
        <v>18</v>
      </c>
      <c r="D911" s="2" t="s">
        <v>26</v>
      </c>
      <c r="E911" s="2" t="s">
        <v>13</v>
      </c>
      <c r="F911" s="2" t="s">
        <v>14</v>
      </c>
      <c r="G911" s="2" t="s">
        <v>21</v>
      </c>
      <c r="H911" s="2" t="s">
        <v>22</v>
      </c>
      <c r="I911" s="2">
        <v>30000</v>
      </c>
      <c r="J911" s="2">
        <v>6</v>
      </c>
      <c r="K911" s="2" t="s">
        <v>35</v>
      </c>
      <c r="L911" s="2">
        <f t="shared" si="3"/>
        <v>24000</v>
      </c>
    </row>
    <row r="912" spans="1:12" ht="14.25" customHeight="1" x14ac:dyDescent="0.2">
      <c r="A912" s="33">
        <v>46586</v>
      </c>
      <c r="B912" s="33"/>
      <c r="C912" s="2" t="s">
        <v>29</v>
      </c>
      <c r="D912" s="2" t="s">
        <v>19</v>
      </c>
      <c r="E912" s="2" t="s">
        <v>23</v>
      </c>
      <c r="F912" s="2" t="s">
        <v>20</v>
      </c>
      <c r="G912" s="2" t="s">
        <v>40</v>
      </c>
      <c r="H912" s="2" t="s">
        <v>31</v>
      </c>
      <c r="I912" s="2">
        <v>250000</v>
      </c>
      <c r="J912" s="2">
        <v>9</v>
      </c>
      <c r="K912" s="2" t="s">
        <v>37</v>
      </c>
      <c r="L912" s="2">
        <f t="shared" si="3"/>
        <v>200000</v>
      </c>
    </row>
    <row r="913" spans="1:12" ht="14.25" customHeight="1" x14ac:dyDescent="0.2">
      <c r="A913" s="33">
        <v>46587</v>
      </c>
      <c r="B913" s="33"/>
      <c r="C913" s="2" t="s">
        <v>18</v>
      </c>
      <c r="D913" s="2" t="s">
        <v>26</v>
      </c>
      <c r="E913" s="2" t="s">
        <v>23</v>
      </c>
      <c r="F913" s="2" t="s">
        <v>20</v>
      </c>
      <c r="G913" s="2" t="s">
        <v>38</v>
      </c>
      <c r="H913" s="2" t="s">
        <v>31</v>
      </c>
      <c r="I913" s="2">
        <v>420000</v>
      </c>
      <c r="J913" s="2">
        <v>9</v>
      </c>
      <c r="K913" s="2" t="s">
        <v>35</v>
      </c>
      <c r="L913" s="2">
        <f t="shared" si="3"/>
        <v>336000</v>
      </c>
    </row>
    <row r="914" spans="1:12" ht="14.25" customHeight="1" x14ac:dyDescent="0.2">
      <c r="A914" s="33">
        <v>46588</v>
      </c>
      <c r="B914" s="33"/>
      <c r="C914" s="2" t="s">
        <v>18</v>
      </c>
      <c r="D914" s="2" t="s">
        <v>26</v>
      </c>
      <c r="E914" s="2" t="s">
        <v>23</v>
      </c>
      <c r="F914" s="2" t="s">
        <v>20</v>
      </c>
      <c r="G914" s="2" t="s">
        <v>36</v>
      </c>
      <c r="H914" s="2" t="s">
        <v>31</v>
      </c>
      <c r="I914" s="2">
        <v>150000</v>
      </c>
      <c r="J914" s="2">
        <v>9</v>
      </c>
      <c r="K914" s="2" t="s">
        <v>35</v>
      </c>
      <c r="L914" s="2">
        <f t="shared" si="3"/>
        <v>120000</v>
      </c>
    </row>
    <row r="915" spans="1:12" ht="14.25" customHeight="1" x14ac:dyDescent="0.2">
      <c r="A915" s="33">
        <v>46589</v>
      </c>
      <c r="B915" s="33"/>
      <c r="C915" s="2" t="s">
        <v>18</v>
      </c>
      <c r="D915" s="2" t="s">
        <v>19</v>
      </c>
      <c r="E915" s="2" t="s">
        <v>23</v>
      </c>
      <c r="F915" s="2" t="s">
        <v>14</v>
      </c>
      <c r="G915" s="2" t="s">
        <v>30</v>
      </c>
      <c r="H915" s="2" t="s">
        <v>31</v>
      </c>
      <c r="I915" s="2">
        <v>300000</v>
      </c>
      <c r="J915" s="2">
        <v>5</v>
      </c>
      <c r="K915" s="2" t="s">
        <v>39</v>
      </c>
      <c r="L915" s="2">
        <f t="shared" si="3"/>
        <v>240000</v>
      </c>
    </row>
    <row r="916" spans="1:12" ht="14.25" customHeight="1" x14ac:dyDescent="0.2">
      <c r="A916" s="33">
        <v>46590</v>
      </c>
      <c r="B916" s="33"/>
      <c r="C916" s="2" t="s">
        <v>29</v>
      </c>
      <c r="D916" s="2" t="s">
        <v>32</v>
      </c>
      <c r="E916" s="2" t="s">
        <v>13</v>
      </c>
      <c r="F916" s="2" t="s">
        <v>14</v>
      </c>
      <c r="G916" s="2" t="s">
        <v>21</v>
      </c>
      <c r="H916" s="2" t="s">
        <v>22</v>
      </c>
      <c r="I916" s="2">
        <v>30000</v>
      </c>
      <c r="J916" s="2">
        <v>4</v>
      </c>
      <c r="K916" s="2" t="s">
        <v>35</v>
      </c>
      <c r="L916" s="2">
        <f t="shared" si="3"/>
        <v>24000</v>
      </c>
    </row>
    <row r="917" spans="1:12" ht="14.25" customHeight="1" x14ac:dyDescent="0.2">
      <c r="A917" s="33">
        <v>46591</v>
      </c>
      <c r="B917" s="33"/>
      <c r="C917" s="2" t="s">
        <v>11</v>
      </c>
      <c r="D917" s="2" t="s">
        <v>32</v>
      </c>
      <c r="E917" s="2" t="s">
        <v>13</v>
      </c>
      <c r="F917" s="2" t="s">
        <v>20</v>
      </c>
      <c r="G917" s="2" t="s">
        <v>38</v>
      </c>
      <c r="H917" s="2" t="s">
        <v>31</v>
      </c>
      <c r="I917" s="2">
        <v>420000</v>
      </c>
      <c r="J917" s="2">
        <v>7</v>
      </c>
      <c r="K917" s="2" t="s">
        <v>39</v>
      </c>
      <c r="L917" s="2">
        <f t="shared" si="3"/>
        <v>336000</v>
      </c>
    </row>
    <row r="918" spans="1:12" ht="14.25" customHeight="1" x14ac:dyDescent="0.2">
      <c r="A918" s="33">
        <v>46592</v>
      </c>
      <c r="B918" s="33"/>
      <c r="C918" s="2" t="s">
        <v>18</v>
      </c>
      <c r="D918" s="2" t="s">
        <v>19</v>
      </c>
      <c r="E918" s="2" t="s">
        <v>23</v>
      </c>
      <c r="F918" s="2" t="s">
        <v>20</v>
      </c>
      <c r="G918" s="2" t="s">
        <v>34</v>
      </c>
      <c r="H918" s="2" t="s">
        <v>16</v>
      </c>
      <c r="I918" s="2">
        <v>320000</v>
      </c>
      <c r="J918" s="2">
        <v>6</v>
      </c>
      <c r="K918" s="2" t="s">
        <v>35</v>
      </c>
      <c r="L918" s="2">
        <f t="shared" si="3"/>
        <v>256000</v>
      </c>
    </row>
    <row r="919" spans="1:12" ht="14.25" customHeight="1" x14ac:dyDescent="0.2">
      <c r="A919" s="33">
        <v>46593</v>
      </c>
      <c r="B919" s="33"/>
      <c r="C919" s="2" t="s">
        <v>25</v>
      </c>
      <c r="D919" s="2" t="s">
        <v>32</v>
      </c>
      <c r="E919" s="2" t="s">
        <v>13</v>
      </c>
      <c r="F919" s="2" t="s">
        <v>14</v>
      </c>
      <c r="G919" s="2" t="s">
        <v>15</v>
      </c>
      <c r="H919" s="2" t="s">
        <v>16</v>
      </c>
      <c r="I919" s="2">
        <v>85000</v>
      </c>
      <c r="J919" s="2">
        <v>2</v>
      </c>
      <c r="K919" s="2" t="s">
        <v>39</v>
      </c>
      <c r="L919" s="2">
        <f t="shared" si="3"/>
        <v>68000</v>
      </c>
    </row>
    <row r="920" spans="1:12" ht="14.25" customHeight="1" x14ac:dyDescent="0.2">
      <c r="A920" s="33">
        <v>46594</v>
      </c>
      <c r="B920" s="33"/>
      <c r="C920" s="2" t="s">
        <v>11</v>
      </c>
      <c r="D920" s="2" t="s">
        <v>19</v>
      </c>
      <c r="E920" s="2" t="s">
        <v>13</v>
      </c>
      <c r="F920" s="2" t="s">
        <v>14</v>
      </c>
      <c r="G920" s="2" t="s">
        <v>36</v>
      </c>
      <c r="H920" s="2" t="s">
        <v>31</v>
      </c>
      <c r="I920" s="2">
        <v>150000</v>
      </c>
      <c r="J920" s="2">
        <v>1</v>
      </c>
      <c r="K920" s="2" t="s">
        <v>39</v>
      </c>
      <c r="L920" s="2">
        <f t="shared" si="3"/>
        <v>120000</v>
      </c>
    </row>
    <row r="921" spans="1:12" ht="14.25" customHeight="1" x14ac:dyDescent="0.2">
      <c r="A921" s="33">
        <v>46595</v>
      </c>
      <c r="B921" s="33"/>
      <c r="C921" s="2" t="s">
        <v>11</v>
      </c>
      <c r="D921" s="2" t="s">
        <v>12</v>
      </c>
      <c r="E921" s="2" t="s">
        <v>23</v>
      </c>
      <c r="F921" s="2" t="s">
        <v>20</v>
      </c>
      <c r="G921" s="2" t="s">
        <v>15</v>
      </c>
      <c r="H921" s="2" t="s">
        <v>16</v>
      </c>
      <c r="I921" s="2">
        <v>85000</v>
      </c>
      <c r="J921" s="2">
        <v>2</v>
      </c>
      <c r="K921" s="2" t="s">
        <v>37</v>
      </c>
      <c r="L921" s="2">
        <f t="shared" si="3"/>
        <v>68000</v>
      </c>
    </row>
    <row r="922" spans="1:12" ht="14.25" customHeight="1" x14ac:dyDescent="0.2">
      <c r="A922" s="33">
        <v>46596</v>
      </c>
      <c r="B922" s="33"/>
      <c r="C922" s="2" t="s">
        <v>11</v>
      </c>
      <c r="D922" s="2" t="s">
        <v>32</v>
      </c>
      <c r="E922" s="2" t="s">
        <v>23</v>
      </c>
      <c r="F922" s="2" t="s">
        <v>14</v>
      </c>
      <c r="G922" s="2" t="s">
        <v>15</v>
      </c>
      <c r="H922" s="2" t="s">
        <v>16</v>
      </c>
      <c r="I922" s="2">
        <v>85000</v>
      </c>
      <c r="J922" s="2">
        <v>1</v>
      </c>
      <c r="K922" s="2" t="s">
        <v>28</v>
      </c>
      <c r="L922" s="2">
        <f t="shared" si="3"/>
        <v>68000</v>
      </c>
    </row>
    <row r="923" spans="1:12" ht="14.25" customHeight="1" x14ac:dyDescent="0.2">
      <c r="A923" s="33">
        <v>46597</v>
      </c>
      <c r="B923" s="33"/>
      <c r="C923" s="2" t="s">
        <v>29</v>
      </c>
      <c r="D923" s="2" t="s">
        <v>26</v>
      </c>
      <c r="E923" s="2" t="s">
        <v>13</v>
      </c>
      <c r="F923" s="2" t="s">
        <v>14</v>
      </c>
      <c r="G923" s="2" t="s">
        <v>33</v>
      </c>
      <c r="H923" s="2" t="s">
        <v>22</v>
      </c>
      <c r="I923" s="2">
        <v>180000</v>
      </c>
      <c r="J923" s="2">
        <v>4</v>
      </c>
      <c r="K923" s="2" t="s">
        <v>39</v>
      </c>
      <c r="L923" s="2">
        <f t="shared" si="3"/>
        <v>144000</v>
      </c>
    </row>
    <row r="924" spans="1:12" ht="14.25" customHeight="1" x14ac:dyDescent="0.2">
      <c r="A924" s="33">
        <v>46598</v>
      </c>
      <c r="B924" s="33"/>
      <c r="C924" s="2" t="s">
        <v>18</v>
      </c>
      <c r="D924" s="2" t="s">
        <v>12</v>
      </c>
      <c r="E924" s="2" t="s">
        <v>23</v>
      </c>
      <c r="F924" s="2" t="s">
        <v>14</v>
      </c>
      <c r="G924" s="2" t="s">
        <v>38</v>
      </c>
      <c r="H924" s="2" t="s">
        <v>31</v>
      </c>
      <c r="I924" s="2">
        <v>420000</v>
      </c>
      <c r="J924" s="2">
        <v>8</v>
      </c>
      <c r="K924" s="2" t="s">
        <v>24</v>
      </c>
      <c r="L924" s="2">
        <f t="shared" si="3"/>
        <v>336000</v>
      </c>
    </row>
    <row r="925" spans="1:12" ht="14.25" customHeight="1" x14ac:dyDescent="0.2">
      <c r="A925" s="33">
        <v>46599</v>
      </c>
      <c r="B925" s="33"/>
      <c r="C925" s="2" t="s">
        <v>11</v>
      </c>
      <c r="D925" s="2" t="s">
        <v>26</v>
      </c>
      <c r="E925" s="2" t="s">
        <v>23</v>
      </c>
      <c r="F925" s="2" t="s">
        <v>20</v>
      </c>
      <c r="G925" s="2" t="s">
        <v>33</v>
      </c>
      <c r="H925" s="2" t="s">
        <v>22</v>
      </c>
      <c r="I925" s="2">
        <v>180000</v>
      </c>
      <c r="J925" s="2">
        <v>9</v>
      </c>
      <c r="K925" s="2" t="s">
        <v>24</v>
      </c>
      <c r="L925" s="2">
        <f t="shared" si="3"/>
        <v>144000</v>
      </c>
    </row>
    <row r="926" spans="1:12" ht="14.25" customHeight="1" x14ac:dyDescent="0.2">
      <c r="A926" s="33">
        <v>46600</v>
      </c>
      <c r="B926" s="33"/>
      <c r="C926" s="2" t="s">
        <v>29</v>
      </c>
      <c r="D926" s="2" t="s">
        <v>19</v>
      </c>
      <c r="E926" s="2" t="s">
        <v>23</v>
      </c>
      <c r="F926" s="2" t="s">
        <v>20</v>
      </c>
      <c r="G926" s="2" t="s">
        <v>30</v>
      </c>
      <c r="H926" s="2" t="s">
        <v>31</v>
      </c>
      <c r="I926" s="2">
        <v>300000</v>
      </c>
      <c r="J926" s="2">
        <v>5</v>
      </c>
      <c r="K926" s="2" t="s">
        <v>39</v>
      </c>
      <c r="L926" s="2">
        <f t="shared" si="3"/>
        <v>240000</v>
      </c>
    </row>
    <row r="927" spans="1:12" ht="14.25" customHeight="1" x14ac:dyDescent="0.2">
      <c r="A927" s="33">
        <v>46601</v>
      </c>
      <c r="B927" s="33"/>
      <c r="C927" s="2" t="s">
        <v>11</v>
      </c>
      <c r="D927" s="2" t="s">
        <v>26</v>
      </c>
      <c r="E927" s="2" t="s">
        <v>23</v>
      </c>
      <c r="F927" s="2" t="s">
        <v>20</v>
      </c>
      <c r="G927" s="2" t="s">
        <v>27</v>
      </c>
      <c r="H927" s="2" t="s">
        <v>22</v>
      </c>
      <c r="I927" s="2">
        <v>60000</v>
      </c>
      <c r="J927" s="2">
        <v>4</v>
      </c>
      <c r="K927" s="2" t="s">
        <v>37</v>
      </c>
      <c r="L927" s="2">
        <f t="shared" si="3"/>
        <v>48000</v>
      </c>
    </row>
    <row r="928" spans="1:12" ht="14.25" customHeight="1" x14ac:dyDescent="0.2">
      <c r="A928" s="33">
        <v>46602</v>
      </c>
      <c r="B928" s="33"/>
      <c r="C928" s="2" t="s">
        <v>18</v>
      </c>
      <c r="D928" s="2" t="s">
        <v>19</v>
      </c>
      <c r="E928" s="2" t="s">
        <v>23</v>
      </c>
      <c r="F928" s="2" t="s">
        <v>14</v>
      </c>
      <c r="G928" s="2" t="s">
        <v>40</v>
      </c>
      <c r="H928" s="2" t="s">
        <v>31</v>
      </c>
      <c r="I928" s="2">
        <v>250000</v>
      </c>
      <c r="J928" s="2">
        <v>4</v>
      </c>
      <c r="K928" s="2" t="s">
        <v>37</v>
      </c>
      <c r="L928" s="2">
        <f t="shared" si="3"/>
        <v>200000</v>
      </c>
    </row>
    <row r="929" spans="1:12" ht="14.25" customHeight="1" x14ac:dyDescent="0.2">
      <c r="A929" s="33">
        <v>46603</v>
      </c>
      <c r="B929" s="33"/>
      <c r="C929" s="2" t="s">
        <v>29</v>
      </c>
      <c r="D929" s="2" t="s">
        <v>12</v>
      </c>
      <c r="E929" s="2" t="s">
        <v>13</v>
      </c>
      <c r="F929" s="2" t="s">
        <v>20</v>
      </c>
      <c r="G929" s="2" t="s">
        <v>41</v>
      </c>
      <c r="H929" s="2" t="s">
        <v>22</v>
      </c>
      <c r="I929" s="2">
        <v>220000</v>
      </c>
      <c r="J929" s="2">
        <v>6</v>
      </c>
      <c r="K929" s="2" t="s">
        <v>39</v>
      </c>
      <c r="L929" s="2">
        <f t="shared" si="3"/>
        <v>176000</v>
      </c>
    </row>
    <row r="930" spans="1:12" ht="14.25" customHeight="1" x14ac:dyDescent="0.2">
      <c r="A930" s="33">
        <v>46604</v>
      </c>
      <c r="B930" s="33"/>
      <c r="C930" s="2" t="s">
        <v>18</v>
      </c>
      <c r="D930" s="2" t="s">
        <v>19</v>
      </c>
      <c r="E930" s="2" t="s">
        <v>23</v>
      </c>
      <c r="F930" s="2" t="s">
        <v>14</v>
      </c>
      <c r="G930" s="2" t="s">
        <v>30</v>
      </c>
      <c r="H930" s="2" t="s">
        <v>31</v>
      </c>
      <c r="I930" s="2">
        <v>300000</v>
      </c>
      <c r="J930" s="2">
        <v>7</v>
      </c>
      <c r="K930" s="2" t="s">
        <v>28</v>
      </c>
      <c r="L930" s="2">
        <f t="shared" si="3"/>
        <v>240000</v>
      </c>
    </row>
    <row r="931" spans="1:12" ht="14.25" customHeight="1" x14ac:dyDescent="0.2">
      <c r="A931" s="33">
        <v>46605</v>
      </c>
      <c r="B931" s="33"/>
      <c r="C931" s="2" t="s">
        <v>25</v>
      </c>
      <c r="D931" s="2" t="s">
        <v>19</v>
      </c>
      <c r="E931" s="2" t="s">
        <v>13</v>
      </c>
      <c r="F931" s="2" t="s">
        <v>14</v>
      </c>
      <c r="G931" s="2" t="s">
        <v>38</v>
      </c>
      <c r="H931" s="2" t="s">
        <v>31</v>
      </c>
      <c r="I931" s="2">
        <v>420000</v>
      </c>
      <c r="J931" s="2">
        <v>10</v>
      </c>
      <c r="K931" s="2" t="s">
        <v>28</v>
      </c>
      <c r="L931" s="2">
        <f t="shared" si="3"/>
        <v>336000</v>
      </c>
    </row>
    <row r="932" spans="1:12" ht="14.25" customHeight="1" x14ac:dyDescent="0.2">
      <c r="A932" s="33">
        <v>46606</v>
      </c>
      <c r="B932" s="33"/>
      <c r="C932" s="2" t="s">
        <v>11</v>
      </c>
      <c r="D932" s="2" t="s">
        <v>19</v>
      </c>
      <c r="E932" s="2" t="s">
        <v>23</v>
      </c>
      <c r="F932" s="2" t="s">
        <v>20</v>
      </c>
      <c r="G932" s="2" t="s">
        <v>21</v>
      </c>
      <c r="H932" s="2" t="s">
        <v>22</v>
      </c>
      <c r="I932" s="2">
        <v>30000</v>
      </c>
      <c r="J932" s="2">
        <v>7</v>
      </c>
      <c r="K932" s="2" t="s">
        <v>28</v>
      </c>
      <c r="L932" s="2">
        <f t="shared" si="3"/>
        <v>24000</v>
      </c>
    </row>
    <row r="933" spans="1:12" ht="14.25" customHeight="1" x14ac:dyDescent="0.2">
      <c r="A933" s="33">
        <v>46607</v>
      </c>
      <c r="B933" s="33"/>
      <c r="C933" s="2" t="s">
        <v>29</v>
      </c>
      <c r="D933" s="2" t="s">
        <v>19</v>
      </c>
      <c r="E933" s="2" t="s">
        <v>23</v>
      </c>
      <c r="F933" s="2" t="s">
        <v>14</v>
      </c>
      <c r="G933" s="2" t="s">
        <v>41</v>
      </c>
      <c r="H933" s="2" t="s">
        <v>22</v>
      </c>
      <c r="I933" s="2">
        <v>220000</v>
      </c>
      <c r="J933" s="2">
        <v>8</v>
      </c>
      <c r="K933" s="2" t="s">
        <v>37</v>
      </c>
      <c r="L933" s="2">
        <f t="shared" si="3"/>
        <v>176000</v>
      </c>
    </row>
    <row r="934" spans="1:12" ht="14.25" customHeight="1" x14ac:dyDescent="0.2">
      <c r="A934" s="33">
        <v>46608</v>
      </c>
      <c r="B934" s="33"/>
      <c r="C934" s="2" t="s">
        <v>25</v>
      </c>
      <c r="D934" s="2" t="s">
        <v>32</v>
      </c>
      <c r="E934" s="2" t="s">
        <v>13</v>
      </c>
      <c r="F934" s="2" t="s">
        <v>20</v>
      </c>
      <c r="G934" s="2" t="s">
        <v>34</v>
      </c>
      <c r="H934" s="2" t="s">
        <v>16</v>
      </c>
      <c r="I934" s="2">
        <v>320000</v>
      </c>
      <c r="J934" s="2">
        <v>9</v>
      </c>
      <c r="K934" s="2" t="s">
        <v>24</v>
      </c>
      <c r="L934" s="2">
        <f t="shared" si="3"/>
        <v>256000</v>
      </c>
    </row>
    <row r="935" spans="1:12" ht="14.25" customHeight="1" x14ac:dyDescent="0.2">
      <c r="A935" s="33">
        <v>46609</v>
      </c>
      <c r="B935" s="33"/>
      <c r="C935" s="2" t="s">
        <v>18</v>
      </c>
      <c r="D935" s="2" t="s">
        <v>26</v>
      </c>
      <c r="E935" s="2" t="s">
        <v>23</v>
      </c>
      <c r="F935" s="2" t="s">
        <v>20</v>
      </c>
      <c r="G935" s="2" t="s">
        <v>33</v>
      </c>
      <c r="H935" s="2" t="s">
        <v>22</v>
      </c>
      <c r="I935" s="2">
        <v>180000</v>
      </c>
      <c r="J935" s="2">
        <v>8</v>
      </c>
      <c r="K935" s="2" t="s">
        <v>28</v>
      </c>
      <c r="L935" s="2">
        <f t="shared" si="3"/>
        <v>144000</v>
      </c>
    </row>
    <row r="936" spans="1:12" ht="14.25" customHeight="1" x14ac:dyDescent="0.2">
      <c r="A936" s="33">
        <v>46610</v>
      </c>
      <c r="B936" s="33"/>
      <c r="C936" s="2" t="s">
        <v>29</v>
      </c>
      <c r="D936" s="2" t="s">
        <v>12</v>
      </c>
      <c r="E936" s="2" t="s">
        <v>13</v>
      </c>
      <c r="F936" s="2" t="s">
        <v>14</v>
      </c>
      <c r="G936" s="2" t="s">
        <v>21</v>
      </c>
      <c r="H936" s="2" t="s">
        <v>22</v>
      </c>
      <c r="I936" s="2">
        <v>30000</v>
      </c>
      <c r="J936" s="2">
        <v>5</v>
      </c>
      <c r="K936" s="2" t="s">
        <v>35</v>
      </c>
      <c r="L936" s="2">
        <f t="shared" si="3"/>
        <v>24000</v>
      </c>
    </row>
    <row r="937" spans="1:12" ht="14.25" customHeight="1" x14ac:dyDescent="0.2">
      <c r="A937" s="33">
        <v>46611</v>
      </c>
      <c r="B937" s="33"/>
      <c r="C937" s="2" t="s">
        <v>25</v>
      </c>
      <c r="D937" s="2" t="s">
        <v>26</v>
      </c>
      <c r="E937" s="2" t="s">
        <v>13</v>
      </c>
      <c r="F937" s="2" t="s">
        <v>20</v>
      </c>
      <c r="G937" s="2" t="s">
        <v>34</v>
      </c>
      <c r="H937" s="2" t="s">
        <v>16</v>
      </c>
      <c r="I937" s="2">
        <v>320000</v>
      </c>
      <c r="J937" s="2">
        <v>8</v>
      </c>
      <c r="K937" s="2" t="s">
        <v>28</v>
      </c>
      <c r="L937" s="2">
        <f t="shared" si="3"/>
        <v>256000</v>
      </c>
    </row>
    <row r="938" spans="1:12" ht="14.25" customHeight="1" x14ac:dyDescent="0.2">
      <c r="A938" s="33">
        <v>46612</v>
      </c>
      <c r="B938" s="33"/>
      <c r="C938" s="2" t="s">
        <v>29</v>
      </c>
      <c r="D938" s="2" t="s">
        <v>19</v>
      </c>
      <c r="E938" s="2" t="s">
        <v>13</v>
      </c>
      <c r="F938" s="2" t="s">
        <v>20</v>
      </c>
      <c r="G938" s="2" t="s">
        <v>34</v>
      </c>
      <c r="H938" s="2" t="s">
        <v>16</v>
      </c>
      <c r="I938" s="2">
        <v>320000</v>
      </c>
      <c r="J938" s="2">
        <v>8</v>
      </c>
      <c r="K938" s="2" t="s">
        <v>24</v>
      </c>
      <c r="L938" s="2">
        <f t="shared" si="3"/>
        <v>256000</v>
      </c>
    </row>
    <row r="939" spans="1:12" ht="14.25" customHeight="1" x14ac:dyDescent="0.2">
      <c r="A939" s="33">
        <v>46613</v>
      </c>
      <c r="B939" s="33"/>
      <c r="C939" s="2" t="s">
        <v>18</v>
      </c>
      <c r="D939" s="2" t="s">
        <v>26</v>
      </c>
      <c r="E939" s="2" t="s">
        <v>23</v>
      </c>
      <c r="F939" s="2" t="s">
        <v>20</v>
      </c>
      <c r="G939" s="2" t="s">
        <v>21</v>
      </c>
      <c r="H939" s="2" t="s">
        <v>22</v>
      </c>
      <c r="I939" s="2">
        <v>30000</v>
      </c>
      <c r="J939" s="2">
        <v>4</v>
      </c>
      <c r="K939" s="2" t="s">
        <v>28</v>
      </c>
      <c r="L939" s="2">
        <f t="shared" si="3"/>
        <v>24000</v>
      </c>
    </row>
    <row r="940" spans="1:12" ht="14.25" customHeight="1" x14ac:dyDescent="0.2">
      <c r="A940" s="33">
        <v>46614</v>
      </c>
      <c r="B940" s="33"/>
      <c r="C940" s="2" t="s">
        <v>11</v>
      </c>
      <c r="D940" s="2" t="s">
        <v>32</v>
      </c>
      <c r="E940" s="2" t="s">
        <v>13</v>
      </c>
      <c r="F940" s="2" t="s">
        <v>20</v>
      </c>
      <c r="G940" s="2" t="s">
        <v>33</v>
      </c>
      <c r="H940" s="2" t="s">
        <v>22</v>
      </c>
      <c r="I940" s="2">
        <v>180000</v>
      </c>
      <c r="J940" s="2">
        <v>3</v>
      </c>
      <c r="K940" s="2" t="s">
        <v>35</v>
      </c>
      <c r="L940" s="2">
        <f t="shared" si="3"/>
        <v>144000</v>
      </c>
    </row>
    <row r="941" spans="1:12" ht="14.25" customHeight="1" x14ac:dyDescent="0.2">
      <c r="A941" s="33">
        <v>46615</v>
      </c>
      <c r="B941" s="33"/>
      <c r="C941" s="2" t="s">
        <v>29</v>
      </c>
      <c r="D941" s="2" t="s">
        <v>26</v>
      </c>
      <c r="E941" s="2" t="s">
        <v>13</v>
      </c>
      <c r="F941" s="2" t="s">
        <v>14</v>
      </c>
      <c r="G941" s="2" t="s">
        <v>33</v>
      </c>
      <c r="H941" s="2" t="s">
        <v>22</v>
      </c>
      <c r="I941" s="2">
        <v>180000</v>
      </c>
      <c r="J941" s="2">
        <v>9</v>
      </c>
      <c r="K941" s="2" t="s">
        <v>35</v>
      </c>
      <c r="L941" s="2">
        <f t="shared" si="3"/>
        <v>144000</v>
      </c>
    </row>
    <row r="942" spans="1:12" ht="14.25" customHeight="1" x14ac:dyDescent="0.2">
      <c r="A942" s="33">
        <v>46616</v>
      </c>
      <c r="B942" s="33"/>
      <c r="C942" s="2" t="s">
        <v>29</v>
      </c>
      <c r="D942" s="2" t="s">
        <v>19</v>
      </c>
      <c r="E942" s="2" t="s">
        <v>23</v>
      </c>
      <c r="F942" s="2" t="s">
        <v>20</v>
      </c>
      <c r="G942" s="2" t="s">
        <v>33</v>
      </c>
      <c r="H942" s="2" t="s">
        <v>22</v>
      </c>
      <c r="I942" s="2">
        <v>180000</v>
      </c>
      <c r="J942" s="2">
        <v>1</v>
      </c>
      <c r="K942" s="2" t="s">
        <v>28</v>
      </c>
      <c r="L942" s="2">
        <f t="shared" si="3"/>
        <v>144000</v>
      </c>
    </row>
    <row r="943" spans="1:12" ht="14.25" customHeight="1" x14ac:dyDescent="0.2">
      <c r="A943" s="33">
        <v>46617</v>
      </c>
      <c r="B943" s="33"/>
      <c r="C943" s="2" t="s">
        <v>11</v>
      </c>
      <c r="D943" s="2" t="s">
        <v>32</v>
      </c>
      <c r="E943" s="2" t="s">
        <v>23</v>
      </c>
      <c r="F943" s="2" t="s">
        <v>14</v>
      </c>
      <c r="G943" s="2" t="s">
        <v>41</v>
      </c>
      <c r="H943" s="2" t="s">
        <v>22</v>
      </c>
      <c r="I943" s="2">
        <v>220000</v>
      </c>
      <c r="J943" s="2">
        <v>6</v>
      </c>
      <c r="K943" s="2" t="s">
        <v>24</v>
      </c>
      <c r="L943" s="2">
        <f t="shared" si="3"/>
        <v>176000</v>
      </c>
    </row>
    <row r="944" spans="1:12" ht="14.25" customHeight="1" x14ac:dyDescent="0.2">
      <c r="A944" s="33">
        <v>46618</v>
      </c>
      <c r="B944" s="33"/>
      <c r="C944" s="2" t="s">
        <v>18</v>
      </c>
      <c r="D944" s="2" t="s">
        <v>19</v>
      </c>
      <c r="E944" s="2" t="s">
        <v>13</v>
      </c>
      <c r="F944" s="2" t="s">
        <v>14</v>
      </c>
      <c r="G944" s="2" t="s">
        <v>30</v>
      </c>
      <c r="H944" s="2" t="s">
        <v>31</v>
      </c>
      <c r="I944" s="2">
        <v>300000</v>
      </c>
      <c r="J944" s="2">
        <v>3</v>
      </c>
      <c r="K944" s="2" t="s">
        <v>24</v>
      </c>
      <c r="L944" s="2">
        <f t="shared" si="3"/>
        <v>240000</v>
      </c>
    </row>
    <row r="945" spans="1:12" ht="14.25" customHeight="1" x14ac:dyDescent="0.2">
      <c r="A945" s="33">
        <v>46619</v>
      </c>
      <c r="B945" s="33"/>
      <c r="C945" s="2" t="s">
        <v>25</v>
      </c>
      <c r="D945" s="2" t="s">
        <v>19</v>
      </c>
      <c r="E945" s="2" t="s">
        <v>23</v>
      </c>
      <c r="F945" s="2" t="s">
        <v>20</v>
      </c>
      <c r="G945" s="2" t="s">
        <v>34</v>
      </c>
      <c r="H945" s="2" t="s">
        <v>16</v>
      </c>
      <c r="I945" s="2">
        <v>320000</v>
      </c>
      <c r="J945" s="2">
        <v>1</v>
      </c>
      <c r="K945" s="2" t="s">
        <v>35</v>
      </c>
      <c r="L945" s="2">
        <f t="shared" si="3"/>
        <v>256000</v>
      </c>
    </row>
    <row r="946" spans="1:12" ht="14.25" customHeight="1" x14ac:dyDescent="0.2">
      <c r="A946" s="33">
        <v>46620</v>
      </c>
      <c r="B946" s="33"/>
      <c r="C946" s="2" t="s">
        <v>25</v>
      </c>
      <c r="D946" s="2" t="s">
        <v>12</v>
      </c>
      <c r="E946" s="2" t="s">
        <v>23</v>
      </c>
      <c r="F946" s="2" t="s">
        <v>20</v>
      </c>
      <c r="G946" s="2" t="s">
        <v>36</v>
      </c>
      <c r="H946" s="2" t="s">
        <v>31</v>
      </c>
      <c r="I946" s="2">
        <v>150000</v>
      </c>
      <c r="J946" s="2">
        <v>6</v>
      </c>
      <c r="K946" s="2" t="s">
        <v>35</v>
      </c>
      <c r="L946" s="2">
        <f t="shared" si="3"/>
        <v>120000</v>
      </c>
    </row>
    <row r="947" spans="1:12" ht="14.25" customHeight="1" x14ac:dyDescent="0.2">
      <c r="A947" s="33">
        <v>46621</v>
      </c>
      <c r="B947" s="33"/>
      <c r="C947" s="2" t="s">
        <v>18</v>
      </c>
      <c r="D947" s="2" t="s">
        <v>19</v>
      </c>
      <c r="E947" s="2" t="s">
        <v>23</v>
      </c>
      <c r="F947" s="2" t="s">
        <v>20</v>
      </c>
      <c r="G947" s="2" t="s">
        <v>41</v>
      </c>
      <c r="H947" s="2" t="s">
        <v>22</v>
      </c>
      <c r="I947" s="2">
        <v>220000</v>
      </c>
      <c r="J947" s="2">
        <v>7</v>
      </c>
      <c r="K947" s="2" t="s">
        <v>24</v>
      </c>
      <c r="L947" s="2">
        <f t="shared" si="3"/>
        <v>176000</v>
      </c>
    </row>
    <row r="948" spans="1:12" ht="14.25" customHeight="1" x14ac:dyDescent="0.2">
      <c r="A948" s="33">
        <v>46622</v>
      </c>
      <c r="B948" s="33"/>
      <c r="C948" s="2" t="s">
        <v>11</v>
      </c>
      <c r="D948" s="2" t="s">
        <v>19</v>
      </c>
      <c r="E948" s="2" t="s">
        <v>13</v>
      </c>
      <c r="F948" s="2" t="s">
        <v>14</v>
      </c>
      <c r="G948" s="2" t="s">
        <v>41</v>
      </c>
      <c r="H948" s="2" t="s">
        <v>22</v>
      </c>
      <c r="I948" s="2">
        <v>220000</v>
      </c>
      <c r="J948" s="2">
        <v>1</v>
      </c>
      <c r="K948" s="2" t="s">
        <v>28</v>
      </c>
      <c r="L948" s="2">
        <f t="shared" si="3"/>
        <v>176000</v>
      </c>
    </row>
    <row r="949" spans="1:12" ht="14.25" customHeight="1" x14ac:dyDescent="0.2">
      <c r="A949" s="33">
        <v>46623</v>
      </c>
      <c r="B949" s="33"/>
      <c r="C949" s="2" t="s">
        <v>18</v>
      </c>
      <c r="D949" s="2" t="s">
        <v>12</v>
      </c>
      <c r="E949" s="2" t="s">
        <v>13</v>
      </c>
      <c r="F949" s="2" t="s">
        <v>14</v>
      </c>
      <c r="G949" s="2" t="s">
        <v>15</v>
      </c>
      <c r="H949" s="2" t="s">
        <v>16</v>
      </c>
      <c r="I949" s="2">
        <v>85000</v>
      </c>
      <c r="J949" s="2">
        <v>4</v>
      </c>
      <c r="K949" s="2" t="s">
        <v>35</v>
      </c>
      <c r="L949" s="2">
        <f t="shared" si="3"/>
        <v>68000</v>
      </c>
    </row>
    <row r="950" spans="1:12" ht="14.25" customHeight="1" x14ac:dyDescent="0.2">
      <c r="A950" s="33">
        <v>46624</v>
      </c>
      <c r="B950" s="33"/>
      <c r="C950" s="2" t="s">
        <v>11</v>
      </c>
      <c r="D950" s="2" t="s">
        <v>32</v>
      </c>
      <c r="E950" s="2" t="s">
        <v>23</v>
      </c>
      <c r="F950" s="2" t="s">
        <v>14</v>
      </c>
      <c r="G950" s="2" t="s">
        <v>40</v>
      </c>
      <c r="H950" s="2" t="s">
        <v>31</v>
      </c>
      <c r="I950" s="2">
        <v>250000</v>
      </c>
      <c r="J950" s="2">
        <v>10</v>
      </c>
      <c r="K950" s="2" t="s">
        <v>35</v>
      </c>
      <c r="L950" s="2">
        <f t="shared" si="3"/>
        <v>200000</v>
      </c>
    </row>
    <row r="951" spans="1:12" ht="14.25" customHeight="1" x14ac:dyDescent="0.2">
      <c r="A951" s="33">
        <v>46625</v>
      </c>
      <c r="B951" s="33"/>
      <c r="C951" s="2" t="s">
        <v>29</v>
      </c>
      <c r="D951" s="2" t="s">
        <v>32</v>
      </c>
      <c r="E951" s="2" t="s">
        <v>13</v>
      </c>
      <c r="F951" s="2" t="s">
        <v>20</v>
      </c>
      <c r="G951" s="2" t="s">
        <v>34</v>
      </c>
      <c r="H951" s="2" t="s">
        <v>16</v>
      </c>
      <c r="I951" s="2">
        <v>320000</v>
      </c>
      <c r="J951" s="2">
        <v>1</v>
      </c>
      <c r="K951" s="2" t="s">
        <v>37</v>
      </c>
      <c r="L951" s="2">
        <f t="shared" si="3"/>
        <v>256000</v>
      </c>
    </row>
    <row r="952" spans="1:12" ht="14.25" customHeight="1" x14ac:dyDescent="0.2">
      <c r="A952" s="33">
        <v>46626</v>
      </c>
      <c r="B952" s="33"/>
      <c r="C952" s="2" t="s">
        <v>11</v>
      </c>
      <c r="D952" s="2" t="s">
        <v>12</v>
      </c>
      <c r="E952" s="2" t="s">
        <v>23</v>
      </c>
      <c r="F952" s="2" t="s">
        <v>20</v>
      </c>
      <c r="G952" s="2" t="s">
        <v>27</v>
      </c>
      <c r="H952" s="2" t="s">
        <v>22</v>
      </c>
      <c r="I952" s="2">
        <v>60000</v>
      </c>
      <c r="J952" s="2">
        <v>8</v>
      </c>
      <c r="K952" s="2" t="s">
        <v>24</v>
      </c>
      <c r="L952" s="2">
        <f t="shared" si="3"/>
        <v>48000</v>
      </c>
    </row>
    <row r="953" spans="1:12" ht="14.25" customHeight="1" x14ac:dyDescent="0.2">
      <c r="A953" s="33">
        <v>46627</v>
      </c>
      <c r="B953" s="33"/>
      <c r="C953" s="2" t="s">
        <v>29</v>
      </c>
      <c r="D953" s="2" t="s">
        <v>32</v>
      </c>
      <c r="E953" s="2" t="s">
        <v>13</v>
      </c>
      <c r="F953" s="2" t="s">
        <v>20</v>
      </c>
      <c r="G953" s="2" t="s">
        <v>38</v>
      </c>
      <c r="H953" s="2" t="s">
        <v>31</v>
      </c>
      <c r="I953" s="2">
        <v>420000</v>
      </c>
      <c r="J953" s="2">
        <v>2</v>
      </c>
      <c r="K953" s="2" t="s">
        <v>37</v>
      </c>
      <c r="L953" s="2">
        <f t="shared" si="3"/>
        <v>336000</v>
      </c>
    </row>
    <row r="954" spans="1:12" ht="14.25" customHeight="1" x14ac:dyDescent="0.2">
      <c r="A954" s="33">
        <v>46628</v>
      </c>
      <c r="B954" s="33"/>
      <c r="C954" s="2" t="s">
        <v>29</v>
      </c>
      <c r="D954" s="2" t="s">
        <v>26</v>
      </c>
      <c r="E954" s="2" t="s">
        <v>23</v>
      </c>
      <c r="F954" s="2" t="s">
        <v>14</v>
      </c>
      <c r="G954" s="2" t="s">
        <v>40</v>
      </c>
      <c r="H954" s="2" t="s">
        <v>31</v>
      </c>
      <c r="I954" s="2">
        <v>250000</v>
      </c>
      <c r="J954" s="2">
        <v>2</v>
      </c>
      <c r="K954" s="2" t="s">
        <v>17</v>
      </c>
      <c r="L954" s="2">
        <f t="shared" si="3"/>
        <v>200000</v>
      </c>
    </row>
    <row r="955" spans="1:12" ht="14.25" customHeight="1" x14ac:dyDescent="0.2">
      <c r="A955" s="33">
        <v>46629</v>
      </c>
      <c r="B955" s="33"/>
      <c r="C955" s="2" t="s">
        <v>11</v>
      </c>
      <c r="D955" s="2" t="s">
        <v>19</v>
      </c>
      <c r="E955" s="2" t="s">
        <v>13</v>
      </c>
      <c r="F955" s="2" t="s">
        <v>20</v>
      </c>
      <c r="G955" s="2" t="s">
        <v>41</v>
      </c>
      <c r="H955" s="2" t="s">
        <v>22</v>
      </c>
      <c r="I955" s="2">
        <v>220000</v>
      </c>
      <c r="J955" s="2">
        <v>6</v>
      </c>
      <c r="K955" s="2" t="s">
        <v>39</v>
      </c>
      <c r="L955" s="2">
        <f t="shared" si="3"/>
        <v>176000</v>
      </c>
    </row>
    <row r="956" spans="1:12" ht="14.25" customHeight="1" x14ac:dyDescent="0.2">
      <c r="A956" s="33">
        <v>46630</v>
      </c>
      <c r="B956" s="33"/>
      <c r="C956" s="2" t="s">
        <v>29</v>
      </c>
      <c r="D956" s="2" t="s">
        <v>19</v>
      </c>
      <c r="E956" s="2" t="s">
        <v>23</v>
      </c>
      <c r="F956" s="2" t="s">
        <v>20</v>
      </c>
      <c r="G956" s="2" t="s">
        <v>27</v>
      </c>
      <c r="H956" s="2" t="s">
        <v>22</v>
      </c>
      <c r="I956" s="2">
        <v>60000</v>
      </c>
      <c r="J956" s="2">
        <v>1</v>
      </c>
      <c r="K956" s="2" t="s">
        <v>35</v>
      </c>
      <c r="L956" s="2">
        <f t="shared" si="3"/>
        <v>48000</v>
      </c>
    </row>
    <row r="957" spans="1:12" ht="14.25" customHeight="1" x14ac:dyDescent="0.2">
      <c r="A957" s="33">
        <v>46631</v>
      </c>
      <c r="B957" s="33"/>
      <c r="C957" s="2" t="s">
        <v>11</v>
      </c>
      <c r="D957" s="2" t="s">
        <v>12</v>
      </c>
      <c r="E957" s="2" t="s">
        <v>13</v>
      </c>
      <c r="F957" s="2" t="s">
        <v>20</v>
      </c>
      <c r="G957" s="2" t="s">
        <v>15</v>
      </c>
      <c r="H957" s="2" t="s">
        <v>16</v>
      </c>
      <c r="I957" s="2">
        <v>85000</v>
      </c>
      <c r="J957" s="2">
        <v>9</v>
      </c>
      <c r="K957" s="2" t="s">
        <v>39</v>
      </c>
      <c r="L957" s="2">
        <f t="shared" si="3"/>
        <v>68000</v>
      </c>
    </row>
    <row r="958" spans="1:12" ht="14.25" customHeight="1" x14ac:dyDescent="0.2">
      <c r="A958" s="33">
        <v>46632</v>
      </c>
      <c r="B958" s="33"/>
      <c r="C958" s="2" t="s">
        <v>25</v>
      </c>
      <c r="D958" s="2" t="s">
        <v>19</v>
      </c>
      <c r="E958" s="2" t="s">
        <v>13</v>
      </c>
      <c r="F958" s="2" t="s">
        <v>20</v>
      </c>
      <c r="G958" s="2" t="s">
        <v>27</v>
      </c>
      <c r="H958" s="2" t="s">
        <v>22</v>
      </c>
      <c r="I958" s="2">
        <v>60000</v>
      </c>
      <c r="J958" s="2">
        <v>9</v>
      </c>
      <c r="K958" s="2" t="s">
        <v>37</v>
      </c>
      <c r="L958" s="2">
        <f t="shared" si="3"/>
        <v>48000</v>
      </c>
    </row>
    <row r="959" spans="1:12" ht="14.25" customHeight="1" x14ac:dyDescent="0.2">
      <c r="A959" s="33">
        <v>46633</v>
      </c>
      <c r="B959" s="33"/>
      <c r="C959" s="2" t="s">
        <v>18</v>
      </c>
      <c r="D959" s="2" t="s">
        <v>26</v>
      </c>
      <c r="E959" s="2" t="s">
        <v>23</v>
      </c>
      <c r="F959" s="2" t="s">
        <v>20</v>
      </c>
      <c r="G959" s="2" t="s">
        <v>15</v>
      </c>
      <c r="H959" s="2" t="s">
        <v>16</v>
      </c>
      <c r="I959" s="2">
        <v>85000</v>
      </c>
      <c r="J959" s="2">
        <v>7</v>
      </c>
      <c r="K959" s="2" t="s">
        <v>24</v>
      </c>
      <c r="L959" s="2">
        <f t="shared" si="3"/>
        <v>68000</v>
      </c>
    </row>
    <row r="960" spans="1:12" ht="14.25" customHeight="1" x14ac:dyDescent="0.2">
      <c r="A960" s="33">
        <v>46634</v>
      </c>
      <c r="B960" s="33"/>
      <c r="C960" s="2" t="s">
        <v>25</v>
      </c>
      <c r="D960" s="2" t="s">
        <v>32</v>
      </c>
      <c r="E960" s="2" t="s">
        <v>13</v>
      </c>
      <c r="F960" s="2" t="s">
        <v>14</v>
      </c>
      <c r="G960" s="2" t="s">
        <v>34</v>
      </c>
      <c r="H960" s="2" t="s">
        <v>16</v>
      </c>
      <c r="I960" s="2">
        <v>320000</v>
      </c>
      <c r="J960" s="2">
        <v>4</v>
      </c>
      <c r="K960" s="2" t="s">
        <v>28</v>
      </c>
      <c r="L960" s="2">
        <f t="shared" si="3"/>
        <v>256000</v>
      </c>
    </row>
    <row r="961" spans="1:12" ht="14.25" customHeight="1" x14ac:dyDescent="0.2">
      <c r="A961" s="33">
        <v>46635</v>
      </c>
      <c r="B961" s="33"/>
      <c r="C961" s="2" t="s">
        <v>25</v>
      </c>
      <c r="D961" s="2" t="s">
        <v>32</v>
      </c>
      <c r="E961" s="2" t="s">
        <v>23</v>
      </c>
      <c r="F961" s="2" t="s">
        <v>14</v>
      </c>
      <c r="G961" s="2" t="s">
        <v>40</v>
      </c>
      <c r="H961" s="2" t="s">
        <v>31</v>
      </c>
      <c r="I961" s="2">
        <v>250000</v>
      </c>
      <c r="J961" s="2">
        <v>4</v>
      </c>
      <c r="K961" s="2" t="s">
        <v>35</v>
      </c>
      <c r="L961" s="2">
        <f t="shared" si="3"/>
        <v>200000</v>
      </c>
    </row>
    <row r="962" spans="1:12" ht="14.25" customHeight="1" x14ac:dyDescent="0.2">
      <c r="A962" s="33">
        <v>46636</v>
      </c>
      <c r="B962" s="33"/>
      <c r="C962" s="2" t="s">
        <v>18</v>
      </c>
      <c r="D962" s="2" t="s">
        <v>26</v>
      </c>
      <c r="E962" s="2" t="s">
        <v>23</v>
      </c>
      <c r="F962" s="2" t="s">
        <v>14</v>
      </c>
      <c r="G962" s="2" t="s">
        <v>27</v>
      </c>
      <c r="H962" s="2" t="s">
        <v>22</v>
      </c>
      <c r="I962" s="2">
        <v>60000</v>
      </c>
      <c r="J962" s="2">
        <v>8</v>
      </c>
      <c r="K962" s="2" t="s">
        <v>24</v>
      </c>
      <c r="L962" s="2">
        <f t="shared" si="3"/>
        <v>48000</v>
      </c>
    </row>
    <row r="963" spans="1:12" ht="14.25" customHeight="1" x14ac:dyDescent="0.2">
      <c r="A963" s="33">
        <v>46637</v>
      </c>
      <c r="B963" s="33"/>
      <c r="C963" s="2" t="s">
        <v>11</v>
      </c>
      <c r="D963" s="2" t="s">
        <v>26</v>
      </c>
      <c r="E963" s="2" t="s">
        <v>23</v>
      </c>
      <c r="F963" s="2" t="s">
        <v>14</v>
      </c>
      <c r="G963" s="2" t="s">
        <v>38</v>
      </c>
      <c r="H963" s="2" t="s">
        <v>31</v>
      </c>
      <c r="I963" s="2">
        <v>420000</v>
      </c>
      <c r="J963" s="2">
        <v>2</v>
      </c>
      <c r="K963" s="2" t="s">
        <v>39</v>
      </c>
      <c r="L963" s="2">
        <f t="shared" si="3"/>
        <v>336000</v>
      </c>
    </row>
    <row r="964" spans="1:12" ht="14.25" customHeight="1" x14ac:dyDescent="0.2">
      <c r="A964" s="33">
        <v>46638</v>
      </c>
      <c r="B964" s="33"/>
      <c r="C964" s="2" t="s">
        <v>18</v>
      </c>
      <c r="D964" s="2" t="s">
        <v>32</v>
      </c>
      <c r="E964" s="2" t="s">
        <v>23</v>
      </c>
      <c r="F964" s="2" t="s">
        <v>20</v>
      </c>
      <c r="G964" s="2" t="s">
        <v>36</v>
      </c>
      <c r="H964" s="2" t="s">
        <v>31</v>
      </c>
      <c r="I964" s="2">
        <v>150000</v>
      </c>
      <c r="J964" s="2">
        <v>1</v>
      </c>
      <c r="K964" s="2" t="s">
        <v>35</v>
      </c>
      <c r="L964" s="2">
        <f t="shared" si="3"/>
        <v>120000</v>
      </c>
    </row>
    <row r="965" spans="1:12" ht="14.25" customHeight="1" x14ac:dyDescent="0.2">
      <c r="A965" s="33">
        <v>46639</v>
      </c>
      <c r="B965" s="33"/>
      <c r="C965" s="2" t="s">
        <v>25</v>
      </c>
      <c r="D965" s="2" t="s">
        <v>19</v>
      </c>
      <c r="E965" s="2" t="s">
        <v>13</v>
      </c>
      <c r="F965" s="2" t="s">
        <v>14</v>
      </c>
      <c r="G965" s="2" t="s">
        <v>40</v>
      </c>
      <c r="H965" s="2" t="s">
        <v>31</v>
      </c>
      <c r="I965" s="2">
        <v>250000</v>
      </c>
      <c r="J965" s="2">
        <v>8</v>
      </c>
      <c r="K965" s="2" t="s">
        <v>37</v>
      </c>
      <c r="L965" s="2">
        <f t="shared" si="3"/>
        <v>200000</v>
      </c>
    </row>
    <row r="966" spans="1:12" ht="14.25" customHeight="1" x14ac:dyDescent="0.2">
      <c r="A966" s="33">
        <v>46640</v>
      </c>
      <c r="B966" s="33"/>
      <c r="C966" s="2" t="s">
        <v>11</v>
      </c>
      <c r="D966" s="2" t="s">
        <v>32</v>
      </c>
      <c r="E966" s="2" t="s">
        <v>13</v>
      </c>
      <c r="F966" s="2" t="s">
        <v>14</v>
      </c>
      <c r="G966" s="2" t="s">
        <v>30</v>
      </c>
      <c r="H966" s="2" t="s">
        <v>31</v>
      </c>
      <c r="I966" s="2">
        <v>300000</v>
      </c>
      <c r="J966" s="2">
        <v>10</v>
      </c>
      <c r="K966" s="2" t="s">
        <v>39</v>
      </c>
      <c r="L966" s="2">
        <f t="shared" si="3"/>
        <v>240000</v>
      </c>
    </row>
    <row r="967" spans="1:12" ht="14.25" customHeight="1" x14ac:dyDescent="0.2">
      <c r="A967" s="33">
        <v>46641</v>
      </c>
      <c r="B967" s="33"/>
      <c r="C967" s="2" t="s">
        <v>18</v>
      </c>
      <c r="D967" s="2" t="s">
        <v>19</v>
      </c>
      <c r="E967" s="2" t="s">
        <v>23</v>
      </c>
      <c r="F967" s="2" t="s">
        <v>20</v>
      </c>
      <c r="G967" s="2" t="s">
        <v>27</v>
      </c>
      <c r="H967" s="2" t="s">
        <v>22</v>
      </c>
      <c r="I967" s="2">
        <v>60000</v>
      </c>
      <c r="J967" s="2">
        <v>3</v>
      </c>
      <c r="K967" s="2" t="s">
        <v>24</v>
      </c>
      <c r="L967" s="2">
        <f t="shared" si="3"/>
        <v>48000</v>
      </c>
    </row>
    <row r="968" spans="1:12" ht="14.25" customHeight="1" x14ac:dyDescent="0.2">
      <c r="A968" s="33">
        <v>46642</v>
      </c>
      <c r="B968" s="33"/>
      <c r="C968" s="2" t="s">
        <v>11</v>
      </c>
      <c r="D968" s="2" t="s">
        <v>32</v>
      </c>
      <c r="E968" s="2" t="s">
        <v>23</v>
      </c>
      <c r="F968" s="2" t="s">
        <v>14</v>
      </c>
      <c r="G968" s="2" t="s">
        <v>15</v>
      </c>
      <c r="H968" s="2" t="s">
        <v>16</v>
      </c>
      <c r="I968" s="2">
        <v>85000</v>
      </c>
      <c r="J968" s="2">
        <v>1</v>
      </c>
      <c r="K968" s="2" t="s">
        <v>24</v>
      </c>
      <c r="L968" s="2">
        <f t="shared" si="3"/>
        <v>68000</v>
      </c>
    </row>
    <row r="969" spans="1:12" ht="14.25" customHeight="1" x14ac:dyDescent="0.2">
      <c r="A969" s="33">
        <v>46643</v>
      </c>
      <c r="B969" s="33"/>
      <c r="C969" s="2" t="s">
        <v>18</v>
      </c>
      <c r="D969" s="2" t="s">
        <v>19</v>
      </c>
      <c r="E969" s="2" t="s">
        <v>23</v>
      </c>
      <c r="F969" s="2" t="s">
        <v>14</v>
      </c>
      <c r="G969" s="2" t="s">
        <v>33</v>
      </c>
      <c r="H969" s="2" t="s">
        <v>22</v>
      </c>
      <c r="I969" s="2">
        <v>180000</v>
      </c>
      <c r="J969" s="2">
        <v>7</v>
      </c>
      <c r="K969" s="2" t="s">
        <v>17</v>
      </c>
      <c r="L969" s="2">
        <f t="shared" si="3"/>
        <v>144000</v>
      </c>
    </row>
    <row r="970" spans="1:12" ht="14.25" customHeight="1" x14ac:dyDescent="0.2">
      <c r="A970" s="33">
        <v>46644</v>
      </c>
      <c r="B970" s="33"/>
      <c r="C970" s="2" t="s">
        <v>18</v>
      </c>
      <c r="D970" s="2" t="s">
        <v>26</v>
      </c>
      <c r="E970" s="2" t="s">
        <v>23</v>
      </c>
      <c r="F970" s="2" t="s">
        <v>14</v>
      </c>
      <c r="G970" s="2" t="s">
        <v>40</v>
      </c>
      <c r="H970" s="2" t="s">
        <v>31</v>
      </c>
      <c r="I970" s="2">
        <v>250000</v>
      </c>
      <c r="J970" s="2">
        <v>6</v>
      </c>
      <c r="K970" s="2" t="s">
        <v>28</v>
      </c>
      <c r="L970" s="2">
        <f t="shared" si="3"/>
        <v>200000</v>
      </c>
    </row>
    <row r="971" spans="1:12" ht="14.25" customHeight="1" x14ac:dyDescent="0.2">
      <c r="A971" s="33">
        <v>46645</v>
      </c>
      <c r="B971" s="33"/>
      <c r="C971" s="2" t="s">
        <v>11</v>
      </c>
      <c r="D971" s="2" t="s">
        <v>12</v>
      </c>
      <c r="E971" s="2" t="s">
        <v>23</v>
      </c>
      <c r="F971" s="2" t="s">
        <v>14</v>
      </c>
      <c r="G971" s="2" t="s">
        <v>38</v>
      </c>
      <c r="H971" s="2" t="s">
        <v>31</v>
      </c>
      <c r="I971" s="2">
        <v>420000</v>
      </c>
      <c r="J971" s="2">
        <v>3</v>
      </c>
      <c r="K971" s="2" t="s">
        <v>17</v>
      </c>
      <c r="L971" s="2">
        <f t="shared" si="3"/>
        <v>336000</v>
      </c>
    </row>
    <row r="972" spans="1:12" ht="14.25" customHeight="1" x14ac:dyDescent="0.2">
      <c r="A972" s="33">
        <v>46646</v>
      </c>
      <c r="B972" s="33"/>
      <c r="C972" s="2" t="s">
        <v>11</v>
      </c>
      <c r="D972" s="2" t="s">
        <v>12</v>
      </c>
      <c r="E972" s="2" t="s">
        <v>13</v>
      </c>
      <c r="F972" s="2" t="s">
        <v>14</v>
      </c>
      <c r="G972" s="2" t="s">
        <v>21</v>
      </c>
      <c r="H972" s="2" t="s">
        <v>22</v>
      </c>
      <c r="I972" s="2">
        <v>30000</v>
      </c>
      <c r="J972" s="2">
        <v>1</v>
      </c>
      <c r="K972" s="2" t="s">
        <v>28</v>
      </c>
      <c r="L972" s="2">
        <f t="shared" si="3"/>
        <v>24000</v>
      </c>
    </row>
    <row r="973" spans="1:12" ht="14.25" customHeight="1" x14ac:dyDescent="0.2">
      <c r="A973" s="33">
        <v>46647</v>
      </c>
      <c r="B973" s="33"/>
      <c r="C973" s="2" t="s">
        <v>29</v>
      </c>
      <c r="D973" s="2" t="s">
        <v>12</v>
      </c>
      <c r="E973" s="2" t="s">
        <v>23</v>
      </c>
      <c r="F973" s="2" t="s">
        <v>20</v>
      </c>
      <c r="G973" s="2" t="s">
        <v>40</v>
      </c>
      <c r="H973" s="2" t="s">
        <v>31</v>
      </c>
      <c r="I973" s="2">
        <v>250000</v>
      </c>
      <c r="J973" s="2">
        <v>3</v>
      </c>
      <c r="K973" s="2" t="s">
        <v>17</v>
      </c>
      <c r="L973" s="2">
        <f t="shared" si="3"/>
        <v>200000</v>
      </c>
    </row>
    <row r="974" spans="1:12" ht="14.25" customHeight="1" x14ac:dyDescent="0.2">
      <c r="A974" s="33">
        <v>46648</v>
      </c>
      <c r="B974" s="33"/>
      <c r="C974" s="2" t="s">
        <v>18</v>
      </c>
      <c r="D974" s="2" t="s">
        <v>26</v>
      </c>
      <c r="E974" s="2" t="s">
        <v>13</v>
      </c>
      <c r="F974" s="2" t="s">
        <v>14</v>
      </c>
      <c r="G974" s="2" t="s">
        <v>34</v>
      </c>
      <c r="H974" s="2" t="s">
        <v>16</v>
      </c>
      <c r="I974" s="2">
        <v>320000</v>
      </c>
      <c r="J974" s="2">
        <v>10</v>
      </c>
      <c r="K974" s="2" t="s">
        <v>17</v>
      </c>
      <c r="L974" s="2">
        <f t="shared" si="3"/>
        <v>256000</v>
      </c>
    </row>
    <row r="975" spans="1:12" ht="14.25" customHeight="1" x14ac:dyDescent="0.2">
      <c r="A975" s="33">
        <v>46649</v>
      </c>
      <c r="B975" s="33"/>
      <c r="C975" s="2" t="s">
        <v>11</v>
      </c>
      <c r="D975" s="2" t="s">
        <v>12</v>
      </c>
      <c r="E975" s="2" t="s">
        <v>13</v>
      </c>
      <c r="F975" s="2" t="s">
        <v>20</v>
      </c>
      <c r="G975" s="2" t="s">
        <v>40</v>
      </c>
      <c r="H975" s="2" t="s">
        <v>31</v>
      </c>
      <c r="I975" s="2">
        <v>250000</v>
      </c>
      <c r="J975" s="2">
        <v>7</v>
      </c>
      <c r="K975" s="2" t="s">
        <v>24</v>
      </c>
      <c r="L975" s="2">
        <f t="shared" si="3"/>
        <v>200000</v>
      </c>
    </row>
    <row r="976" spans="1:12" ht="14.25" customHeight="1" x14ac:dyDescent="0.2">
      <c r="A976" s="33">
        <v>46650</v>
      </c>
      <c r="B976" s="33"/>
      <c r="C976" s="2" t="s">
        <v>29</v>
      </c>
      <c r="D976" s="2" t="s">
        <v>19</v>
      </c>
      <c r="E976" s="2" t="s">
        <v>23</v>
      </c>
      <c r="F976" s="2" t="s">
        <v>14</v>
      </c>
      <c r="G976" s="2" t="s">
        <v>34</v>
      </c>
      <c r="H976" s="2" t="s">
        <v>16</v>
      </c>
      <c r="I976" s="2">
        <v>320000</v>
      </c>
      <c r="J976" s="2">
        <v>2</v>
      </c>
      <c r="K976" s="2" t="s">
        <v>28</v>
      </c>
      <c r="L976" s="2">
        <f t="shared" si="3"/>
        <v>256000</v>
      </c>
    </row>
    <row r="977" spans="1:12" ht="14.25" customHeight="1" x14ac:dyDescent="0.2">
      <c r="A977" s="33">
        <v>46651</v>
      </c>
      <c r="B977" s="33"/>
      <c r="C977" s="2" t="s">
        <v>29</v>
      </c>
      <c r="D977" s="2" t="s">
        <v>12</v>
      </c>
      <c r="E977" s="2" t="s">
        <v>23</v>
      </c>
      <c r="F977" s="2" t="s">
        <v>20</v>
      </c>
      <c r="G977" s="2" t="s">
        <v>41</v>
      </c>
      <c r="H977" s="2" t="s">
        <v>22</v>
      </c>
      <c r="I977" s="2">
        <v>220000</v>
      </c>
      <c r="J977" s="2">
        <v>5</v>
      </c>
      <c r="K977" s="2" t="s">
        <v>35</v>
      </c>
      <c r="L977" s="2">
        <f t="shared" si="3"/>
        <v>176000</v>
      </c>
    </row>
    <row r="978" spans="1:12" ht="14.25" customHeight="1" x14ac:dyDescent="0.2">
      <c r="A978" s="33">
        <v>46652</v>
      </c>
      <c r="B978" s="33"/>
      <c r="C978" s="2" t="s">
        <v>29</v>
      </c>
      <c r="D978" s="2" t="s">
        <v>32</v>
      </c>
      <c r="E978" s="2" t="s">
        <v>23</v>
      </c>
      <c r="F978" s="2" t="s">
        <v>20</v>
      </c>
      <c r="G978" s="2" t="s">
        <v>38</v>
      </c>
      <c r="H978" s="2" t="s">
        <v>31</v>
      </c>
      <c r="I978" s="2">
        <v>420000</v>
      </c>
      <c r="J978" s="2">
        <v>3</v>
      </c>
      <c r="K978" s="2" t="s">
        <v>35</v>
      </c>
      <c r="L978" s="2">
        <f t="shared" si="3"/>
        <v>336000</v>
      </c>
    </row>
    <row r="979" spans="1:12" ht="14.25" customHeight="1" x14ac:dyDescent="0.2">
      <c r="A979" s="33">
        <v>46653</v>
      </c>
      <c r="B979" s="33"/>
      <c r="C979" s="2" t="s">
        <v>29</v>
      </c>
      <c r="D979" s="2" t="s">
        <v>19</v>
      </c>
      <c r="E979" s="2" t="s">
        <v>23</v>
      </c>
      <c r="F979" s="2" t="s">
        <v>14</v>
      </c>
      <c r="G979" s="2" t="s">
        <v>41</v>
      </c>
      <c r="H979" s="2" t="s">
        <v>22</v>
      </c>
      <c r="I979" s="2">
        <v>220000</v>
      </c>
      <c r="J979" s="2">
        <v>3</v>
      </c>
      <c r="K979" s="2" t="s">
        <v>28</v>
      </c>
      <c r="L979" s="2">
        <f t="shared" si="3"/>
        <v>176000</v>
      </c>
    </row>
    <row r="980" spans="1:12" ht="14.25" customHeight="1" x14ac:dyDescent="0.2">
      <c r="A980" s="33">
        <v>46654</v>
      </c>
      <c r="B980" s="33"/>
      <c r="C980" s="2" t="s">
        <v>25</v>
      </c>
      <c r="D980" s="2" t="s">
        <v>12</v>
      </c>
      <c r="E980" s="2" t="s">
        <v>23</v>
      </c>
      <c r="F980" s="2" t="s">
        <v>14</v>
      </c>
      <c r="G980" s="2" t="s">
        <v>34</v>
      </c>
      <c r="H980" s="2" t="s">
        <v>16</v>
      </c>
      <c r="I980" s="2">
        <v>320000</v>
      </c>
      <c r="J980" s="2">
        <v>5</v>
      </c>
      <c r="K980" s="2" t="s">
        <v>24</v>
      </c>
      <c r="L980" s="2">
        <f t="shared" si="3"/>
        <v>256000</v>
      </c>
    </row>
    <row r="981" spans="1:12" ht="14.25" customHeight="1" x14ac:dyDescent="0.2">
      <c r="A981" s="33">
        <v>46655</v>
      </c>
      <c r="B981" s="33"/>
      <c r="C981" s="2" t="s">
        <v>18</v>
      </c>
      <c r="D981" s="2" t="s">
        <v>26</v>
      </c>
      <c r="E981" s="2" t="s">
        <v>13</v>
      </c>
      <c r="F981" s="2" t="s">
        <v>20</v>
      </c>
      <c r="G981" s="2" t="s">
        <v>15</v>
      </c>
      <c r="H981" s="2" t="s">
        <v>16</v>
      </c>
      <c r="I981" s="2">
        <v>85000</v>
      </c>
      <c r="J981" s="2">
        <v>8</v>
      </c>
      <c r="K981" s="2" t="s">
        <v>17</v>
      </c>
      <c r="L981" s="2">
        <f t="shared" si="3"/>
        <v>68000</v>
      </c>
    </row>
    <row r="982" spans="1:12" ht="14.25" customHeight="1" x14ac:dyDescent="0.2">
      <c r="A982" s="33">
        <v>46656</v>
      </c>
      <c r="B982" s="33"/>
      <c r="C982" s="2" t="s">
        <v>18</v>
      </c>
      <c r="D982" s="2" t="s">
        <v>32</v>
      </c>
      <c r="E982" s="2" t="s">
        <v>23</v>
      </c>
      <c r="F982" s="2" t="s">
        <v>20</v>
      </c>
      <c r="G982" s="2" t="s">
        <v>36</v>
      </c>
      <c r="H982" s="2" t="s">
        <v>31</v>
      </c>
      <c r="I982" s="2">
        <v>150000</v>
      </c>
      <c r="J982" s="2">
        <v>9</v>
      </c>
      <c r="K982" s="2" t="s">
        <v>39</v>
      </c>
      <c r="L982" s="2">
        <f t="shared" si="3"/>
        <v>120000</v>
      </c>
    </row>
    <row r="983" spans="1:12" ht="14.25" customHeight="1" x14ac:dyDescent="0.2">
      <c r="A983" s="33">
        <v>46657</v>
      </c>
      <c r="B983" s="33"/>
      <c r="C983" s="2" t="s">
        <v>11</v>
      </c>
      <c r="D983" s="2" t="s">
        <v>12</v>
      </c>
      <c r="E983" s="2" t="s">
        <v>23</v>
      </c>
      <c r="F983" s="2" t="s">
        <v>14</v>
      </c>
      <c r="G983" s="2" t="s">
        <v>40</v>
      </c>
      <c r="H983" s="2" t="s">
        <v>31</v>
      </c>
      <c r="I983" s="2">
        <v>250000</v>
      </c>
      <c r="J983" s="2">
        <v>4</v>
      </c>
      <c r="K983" s="2" t="s">
        <v>35</v>
      </c>
      <c r="L983" s="2">
        <f t="shared" si="3"/>
        <v>200000</v>
      </c>
    </row>
    <row r="984" spans="1:12" ht="14.25" customHeight="1" x14ac:dyDescent="0.2">
      <c r="A984" s="33">
        <v>46658</v>
      </c>
      <c r="B984" s="33"/>
      <c r="C984" s="2" t="s">
        <v>29</v>
      </c>
      <c r="D984" s="2" t="s">
        <v>19</v>
      </c>
      <c r="E984" s="2" t="s">
        <v>13</v>
      </c>
      <c r="F984" s="2" t="s">
        <v>20</v>
      </c>
      <c r="G984" s="2" t="s">
        <v>41</v>
      </c>
      <c r="H984" s="2" t="s">
        <v>22</v>
      </c>
      <c r="I984" s="2">
        <v>220000</v>
      </c>
      <c r="J984" s="2">
        <v>4</v>
      </c>
      <c r="K984" s="2" t="s">
        <v>35</v>
      </c>
      <c r="L984" s="2">
        <f t="shared" si="3"/>
        <v>176000</v>
      </c>
    </row>
    <row r="985" spans="1:12" ht="14.25" customHeight="1" x14ac:dyDescent="0.2">
      <c r="A985" s="33">
        <v>46659</v>
      </c>
      <c r="B985" s="33"/>
      <c r="C985" s="2" t="s">
        <v>29</v>
      </c>
      <c r="D985" s="2" t="s">
        <v>12</v>
      </c>
      <c r="E985" s="2" t="s">
        <v>23</v>
      </c>
      <c r="F985" s="2" t="s">
        <v>20</v>
      </c>
      <c r="G985" s="2" t="s">
        <v>15</v>
      </c>
      <c r="H985" s="2" t="s">
        <v>16</v>
      </c>
      <c r="I985" s="2">
        <v>85000</v>
      </c>
      <c r="J985" s="2">
        <v>2</v>
      </c>
      <c r="K985" s="2" t="s">
        <v>17</v>
      </c>
      <c r="L985" s="2">
        <f t="shared" si="3"/>
        <v>68000</v>
      </c>
    </row>
    <row r="986" spans="1:12" ht="14.25" customHeight="1" x14ac:dyDescent="0.2">
      <c r="A986" s="33">
        <v>46660</v>
      </c>
      <c r="B986" s="33"/>
      <c r="C986" s="2" t="s">
        <v>18</v>
      </c>
      <c r="D986" s="2" t="s">
        <v>12</v>
      </c>
      <c r="E986" s="2" t="s">
        <v>13</v>
      </c>
      <c r="F986" s="2" t="s">
        <v>14</v>
      </c>
      <c r="G986" s="2" t="s">
        <v>40</v>
      </c>
      <c r="H986" s="2" t="s">
        <v>31</v>
      </c>
      <c r="I986" s="2">
        <v>250000</v>
      </c>
      <c r="J986" s="2">
        <v>3</v>
      </c>
      <c r="K986" s="2" t="s">
        <v>35</v>
      </c>
      <c r="L986" s="2">
        <f t="shared" si="3"/>
        <v>200000</v>
      </c>
    </row>
    <row r="987" spans="1:12" ht="14.25" customHeight="1" x14ac:dyDescent="0.2">
      <c r="A987" s="33">
        <v>46661</v>
      </c>
      <c r="B987" s="33"/>
      <c r="C987" s="2" t="s">
        <v>29</v>
      </c>
      <c r="D987" s="2" t="s">
        <v>26</v>
      </c>
      <c r="E987" s="2" t="s">
        <v>23</v>
      </c>
      <c r="F987" s="2" t="s">
        <v>14</v>
      </c>
      <c r="G987" s="2" t="s">
        <v>36</v>
      </c>
      <c r="H987" s="2" t="s">
        <v>31</v>
      </c>
      <c r="I987" s="2">
        <v>150000</v>
      </c>
      <c r="J987" s="2">
        <v>4</v>
      </c>
      <c r="K987" s="2" t="s">
        <v>35</v>
      </c>
      <c r="L987" s="2">
        <f t="shared" si="3"/>
        <v>120000</v>
      </c>
    </row>
    <row r="988" spans="1:12" ht="14.25" customHeight="1" x14ac:dyDescent="0.2">
      <c r="A988" s="33">
        <v>46662</v>
      </c>
      <c r="B988" s="33"/>
      <c r="C988" s="2" t="s">
        <v>29</v>
      </c>
      <c r="D988" s="2" t="s">
        <v>12</v>
      </c>
      <c r="E988" s="2" t="s">
        <v>13</v>
      </c>
      <c r="F988" s="2" t="s">
        <v>14</v>
      </c>
      <c r="G988" s="2" t="s">
        <v>15</v>
      </c>
      <c r="H988" s="2" t="s">
        <v>16</v>
      </c>
      <c r="I988" s="2">
        <v>85000</v>
      </c>
      <c r="J988" s="2">
        <v>2</v>
      </c>
      <c r="K988" s="2" t="s">
        <v>17</v>
      </c>
      <c r="L988" s="2">
        <f t="shared" si="3"/>
        <v>68000</v>
      </c>
    </row>
    <row r="989" spans="1:12" ht="14.25" customHeight="1" x14ac:dyDescent="0.2">
      <c r="A989" s="33">
        <v>46663</v>
      </c>
      <c r="B989" s="33"/>
      <c r="C989" s="2" t="s">
        <v>11</v>
      </c>
      <c r="D989" s="2" t="s">
        <v>26</v>
      </c>
      <c r="E989" s="2" t="s">
        <v>23</v>
      </c>
      <c r="F989" s="2" t="s">
        <v>20</v>
      </c>
      <c r="G989" s="2" t="s">
        <v>36</v>
      </c>
      <c r="H989" s="2" t="s">
        <v>31</v>
      </c>
      <c r="I989" s="2">
        <v>150000</v>
      </c>
      <c r="J989" s="2">
        <v>4</v>
      </c>
      <c r="K989" s="2" t="s">
        <v>28</v>
      </c>
      <c r="L989" s="2">
        <f t="shared" si="3"/>
        <v>120000</v>
      </c>
    </row>
    <row r="990" spans="1:12" ht="14.25" customHeight="1" x14ac:dyDescent="0.2">
      <c r="A990" s="33">
        <v>46664</v>
      </c>
      <c r="B990" s="33"/>
      <c r="C990" s="2" t="s">
        <v>29</v>
      </c>
      <c r="D990" s="2" t="s">
        <v>12</v>
      </c>
      <c r="E990" s="2" t="s">
        <v>13</v>
      </c>
      <c r="F990" s="2" t="s">
        <v>14</v>
      </c>
      <c r="G990" s="2" t="s">
        <v>36</v>
      </c>
      <c r="H990" s="2" t="s">
        <v>31</v>
      </c>
      <c r="I990" s="2">
        <v>150000</v>
      </c>
      <c r="J990" s="2">
        <v>3</v>
      </c>
      <c r="K990" s="2" t="s">
        <v>24</v>
      </c>
      <c r="L990" s="2">
        <f t="shared" si="3"/>
        <v>120000</v>
      </c>
    </row>
    <row r="991" spans="1:12" ht="14.25" customHeight="1" x14ac:dyDescent="0.2">
      <c r="A991" s="33">
        <v>46665</v>
      </c>
      <c r="B991" s="33"/>
      <c r="C991" s="2" t="s">
        <v>29</v>
      </c>
      <c r="D991" s="2" t="s">
        <v>12</v>
      </c>
      <c r="E991" s="2" t="s">
        <v>23</v>
      </c>
      <c r="F991" s="2" t="s">
        <v>14</v>
      </c>
      <c r="G991" s="2" t="s">
        <v>21</v>
      </c>
      <c r="H991" s="2" t="s">
        <v>22</v>
      </c>
      <c r="I991" s="2">
        <v>30000</v>
      </c>
      <c r="J991" s="2">
        <v>3</v>
      </c>
      <c r="K991" s="2" t="s">
        <v>24</v>
      </c>
      <c r="L991" s="2">
        <f t="shared" si="3"/>
        <v>24000</v>
      </c>
    </row>
    <row r="992" spans="1:12" ht="14.25" customHeight="1" x14ac:dyDescent="0.2">
      <c r="A992" s="33">
        <v>46666</v>
      </c>
      <c r="B992" s="33"/>
      <c r="C992" s="2" t="s">
        <v>29</v>
      </c>
      <c r="D992" s="2" t="s">
        <v>19</v>
      </c>
      <c r="E992" s="2" t="s">
        <v>23</v>
      </c>
      <c r="F992" s="2" t="s">
        <v>20</v>
      </c>
      <c r="G992" s="2" t="s">
        <v>34</v>
      </c>
      <c r="H992" s="2" t="s">
        <v>16</v>
      </c>
      <c r="I992" s="2">
        <v>320000</v>
      </c>
      <c r="J992" s="2">
        <v>5</v>
      </c>
      <c r="K992" s="2" t="s">
        <v>39</v>
      </c>
      <c r="L992" s="2">
        <f t="shared" si="3"/>
        <v>256000</v>
      </c>
    </row>
    <row r="993" spans="1:12" ht="14.25" customHeight="1" x14ac:dyDescent="0.2">
      <c r="A993" s="33">
        <v>46667</v>
      </c>
      <c r="B993" s="33"/>
      <c r="C993" s="2" t="s">
        <v>18</v>
      </c>
      <c r="D993" s="2" t="s">
        <v>32</v>
      </c>
      <c r="E993" s="2" t="s">
        <v>23</v>
      </c>
      <c r="F993" s="2" t="s">
        <v>14</v>
      </c>
      <c r="G993" s="2" t="s">
        <v>40</v>
      </c>
      <c r="H993" s="2" t="s">
        <v>31</v>
      </c>
      <c r="I993" s="2">
        <v>250000</v>
      </c>
      <c r="J993" s="2">
        <v>3</v>
      </c>
      <c r="K993" s="2" t="s">
        <v>17</v>
      </c>
      <c r="L993" s="2">
        <f t="shared" si="3"/>
        <v>200000</v>
      </c>
    </row>
    <row r="994" spans="1:12" ht="14.25" customHeight="1" x14ac:dyDescent="0.2">
      <c r="A994" s="33">
        <v>46668</v>
      </c>
      <c r="B994" s="33"/>
      <c r="C994" s="2" t="s">
        <v>18</v>
      </c>
      <c r="D994" s="2" t="s">
        <v>26</v>
      </c>
      <c r="E994" s="2" t="s">
        <v>23</v>
      </c>
      <c r="F994" s="2" t="s">
        <v>20</v>
      </c>
      <c r="G994" s="2" t="s">
        <v>27</v>
      </c>
      <c r="H994" s="2" t="s">
        <v>22</v>
      </c>
      <c r="I994" s="2">
        <v>60000</v>
      </c>
      <c r="J994" s="2">
        <v>10</v>
      </c>
      <c r="K994" s="2" t="s">
        <v>39</v>
      </c>
      <c r="L994" s="2">
        <f t="shared" si="3"/>
        <v>48000</v>
      </c>
    </row>
    <row r="995" spans="1:12" ht="14.25" customHeight="1" x14ac:dyDescent="0.2">
      <c r="A995" s="33">
        <v>46669</v>
      </c>
      <c r="B995" s="33"/>
      <c r="C995" s="2" t="s">
        <v>29</v>
      </c>
      <c r="D995" s="2" t="s">
        <v>12</v>
      </c>
      <c r="E995" s="2" t="s">
        <v>13</v>
      </c>
      <c r="F995" s="2" t="s">
        <v>20</v>
      </c>
      <c r="G995" s="2" t="s">
        <v>27</v>
      </c>
      <c r="H995" s="2" t="s">
        <v>22</v>
      </c>
      <c r="I995" s="2">
        <v>60000</v>
      </c>
      <c r="J995" s="2">
        <v>3</v>
      </c>
      <c r="K995" s="2" t="s">
        <v>37</v>
      </c>
      <c r="L995" s="2">
        <f t="shared" si="3"/>
        <v>48000</v>
      </c>
    </row>
    <row r="996" spans="1:12" ht="14.25" customHeight="1" x14ac:dyDescent="0.2">
      <c r="A996" s="33">
        <v>46670</v>
      </c>
      <c r="B996" s="33"/>
      <c r="C996" s="2" t="s">
        <v>18</v>
      </c>
      <c r="D996" s="2" t="s">
        <v>19</v>
      </c>
      <c r="E996" s="2" t="s">
        <v>23</v>
      </c>
      <c r="F996" s="2" t="s">
        <v>20</v>
      </c>
      <c r="G996" s="2" t="s">
        <v>15</v>
      </c>
      <c r="H996" s="2" t="s">
        <v>16</v>
      </c>
      <c r="I996" s="2">
        <v>85000</v>
      </c>
      <c r="J996" s="2">
        <v>9</v>
      </c>
      <c r="K996" s="2" t="s">
        <v>35</v>
      </c>
      <c r="L996" s="2">
        <f t="shared" si="3"/>
        <v>68000</v>
      </c>
    </row>
    <row r="997" spans="1:12" ht="14.25" customHeight="1" x14ac:dyDescent="0.2">
      <c r="A997" s="33">
        <v>46671</v>
      </c>
      <c r="B997" s="33"/>
      <c r="C997" s="2" t="s">
        <v>18</v>
      </c>
      <c r="D997" s="2" t="s">
        <v>32</v>
      </c>
      <c r="E997" s="2" t="s">
        <v>23</v>
      </c>
      <c r="F997" s="2" t="s">
        <v>20</v>
      </c>
      <c r="G997" s="2" t="s">
        <v>38</v>
      </c>
      <c r="H997" s="2" t="s">
        <v>31</v>
      </c>
      <c r="I997" s="2">
        <v>420000</v>
      </c>
      <c r="J997" s="2">
        <v>4</v>
      </c>
      <c r="K997" s="2" t="s">
        <v>35</v>
      </c>
      <c r="L997" s="2">
        <f t="shared" si="3"/>
        <v>336000</v>
      </c>
    </row>
    <row r="998" spans="1:12" ht="14.25" customHeight="1" x14ac:dyDescent="0.2">
      <c r="A998" s="33">
        <v>46672</v>
      </c>
      <c r="B998" s="33"/>
      <c r="C998" s="2" t="s">
        <v>29</v>
      </c>
      <c r="D998" s="2" t="s">
        <v>26</v>
      </c>
      <c r="E998" s="2" t="s">
        <v>23</v>
      </c>
      <c r="F998" s="2" t="s">
        <v>14</v>
      </c>
      <c r="G998" s="2" t="s">
        <v>36</v>
      </c>
      <c r="H998" s="2" t="s">
        <v>31</v>
      </c>
      <c r="I998" s="2">
        <v>150000</v>
      </c>
      <c r="J998" s="2">
        <v>6</v>
      </c>
      <c r="K998" s="2" t="s">
        <v>37</v>
      </c>
      <c r="L998" s="2">
        <f t="shared" si="3"/>
        <v>120000</v>
      </c>
    </row>
    <row r="999" spans="1:12" ht="14.25" customHeight="1" x14ac:dyDescent="0.2">
      <c r="A999" s="33">
        <v>46673</v>
      </c>
      <c r="B999" s="33"/>
      <c r="C999" s="2" t="s">
        <v>29</v>
      </c>
      <c r="D999" s="2" t="s">
        <v>26</v>
      </c>
      <c r="E999" s="2" t="s">
        <v>23</v>
      </c>
      <c r="F999" s="2" t="s">
        <v>14</v>
      </c>
      <c r="G999" s="2" t="s">
        <v>34</v>
      </c>
      <c r="H999" s="2" t="s">
        <v>16</v>
      </c>
      <c r="I999" s="2">
        <v>320000</v>
      </c>
      <c r="J999" s="2">
        <v>3</v>
      </c>
      <c r="K999" s="2" t="s">
        <v>35</v>
      </c>
      <c r="L999" s="2">
        <f t="shared" si="3"/>
        <v>256000</v>
      </c>
    </row>
    <row r="1000" spans="1:12" ht="14.25" customHeight="1" x14ac:dyDescent="0.2">
      <c r="A1000" s="33">
        <v>46674</v>
      </c>
      <c r="B1000" s="33"/>
      <c r="C1000" s="2" t="s">
        <v>25</v>
      </c>
      <c r="D1000" s="2" t="s">
        <v>32</v>
      </c>
      <c r="E1000" s="2" t="s">
        <v>13</v>
      </c>
      <c r="F1000" s="2" t="s">
        <v>20</v>
      </c>
      <c r="G1000" s="2" t="s">
        <v>30</v>
      </c>
      <c r="H1000" s="2" t="s">
        <v>31</v>
      </c>
      <c r="I1000" s="2">
        <v>300000</v>
      </c>
      <c r="J1000" s="2">
        <v>2</v>
      </c>
      <c r="K1000" s="2" t="s">
        <v>17</v>
      </c>
      <c r="L1000" s="2">
        <f t="shared" si="3"/>
        <v>240000</v>
      </c>
    </row>
    <row r="1001" spans="1:12" ht="14.25" customHeight="1" x14ac:dyDescent="0.2">
      <c r="A1001" s="33">
        <v>46675</v>
      </c>
      <c r="B1001" s="33"/>
      <c r="C1001" s="2" t="s">
        <v>18</v>
      </c>
      <c r="D1001" s="2" t="s">
        <v>26</v>
      </c>
      <c r="E1001" s="2" t="s">
        <v>23</v>
      </c>
      <c r="F1001" s="2" t="s">
        <v>14</v>
      </c>
      <c r="G1001" s="2" t="s">
        <v>36</v>
      </c>
      <c r="H1001" s="2" t="s">
        <v>31</v>
      </c>
      <c r="I1001" s="2">
        <v>150000</v>
      </c>
      <c r="J1001" s="2">
        <v>10</v>
      </c>
      <c r="K1001" s="2" t="s">
        <v>37</v>
      </c>
      <c r="L1001" s="2">
        <f t="shared" si="3"/>
        <v>120000</v>
      </c>
    </row>
    <row r="1002" spans="1:12" ht="14.25" customHeight="1" x14ac:dyDescent="0.2">
      <c r="A1002" s="33">
        <v>46676</v>
      </c>
      <c r="B1002" s="33"/>
      <c r="C1002" s="2" t="s">
        <v>18</v>
      </c>
      <c r="D1002" s="2" t="s">
        <v>32</v>
      </c>
      <c r="E1002" s="2" t="s">
        <v>13</v>
      </c>
      <c r="F1002" s="2" t="s">
        <v>20</v>
      </c>
      <c r="G1002" s="2" t="s">
        <v>38</v>
      </c>
      <c r="H1002" s="2" t="s">
        <v>31</v>
      </c>
      <c r="I1002" s="2">
        <v>420000</v>
      </c>
      <c r="J1002" s="2">
        <v>10</v>
      </c>
      <c r="K1002" s="2" t="s">
        <v>28</v>
      </c>
      <c r="L1002" s="2">
        <f t="shared" si="3"/>
        <v>336000</v>
      </c>
    </row>
    <row r="1003" spans="1:12" ht="14.25" customHeight="1" x14ac:dyDescent="0.2">
      <c r="A1003" s="33">
        <v>46677</v>
      </c>
      <c r="B1003" s="33"/>
      <c r="C1003" s="2" t="s">
        <v>29</v>
      </c>
      <c r="D1003" s="2" t="s">
        <v>32</v>
      </c>
      <c r="E1003" s="2" t="s">
        <v>23</v>
      </c>
      <c r="F1003" s="2" t="s">
        <v>20</v>
      </c>
      <c r="G1003" s="2" t="s">
        <v>33</v>
      </c>
      <c r="H1003" s="2" t="s">
        <v>22</v>
      </c>
      <c r="I1003" s="2">
        <v>180000</v>
      </c>
      <c r="J1003" s="2">
        <v>5</v>
      </c>
      <c r="K1003" s="2" t="s">
        <v>37</v>
      </c>
      <c r="L1003" s="2">
        <f t="shared" si="3"/>
        <v>144000</v>
      </c>
    </row>
    <row r="1004" spans="1:12" ht="14.25" customHeight="1" x14ac:dyDescent="0.2">
      <c r="A1004" s="33">
        <v>46678</v>
      </c>
      <c r="B1004" s="33"/>
      <c r="C1004" s="2" t="s">
        <v>18</v>
      </c>
      <c r="D1004" s="2" t="s">
        <v>32</v>
      </c>
      <c r="E1004" s="2" t="s">
        <v>23</v>
      </c>
      <c r="F1004" s="2" t="s">
        <v>20</v>
      </c>
      <c r="G1004" s="2" t="s">
        <v>40</v>
      </c>
      <c r="H1004" s="2" t="s">
        <v>31</v>
      </c>
      <c r="I1004" s="2">
        <v>250000</v>
      </c>
      <c r="J1004" s="2">
        <v>7</v>
      </c>
      <c r="K1004" s="2" t="s">
        <v>28</v>
      </c>
      <c r="L1004" s="2">
        <f t="shared" si="3"/>
        <v>200000</v>
      </c>
    </row>
    <row r="1005" spans="1:12" ht="14.25" customHeight="1" x14ac:dyDescent="0.2">
      <c r="A1005" s="33">
        <v>46679</v>
      </c>
      <c r="B1005" s="33"/>
      <c r="C1005" s="2" t="s">
        <v>11</v>
      </c>
      <c r="D1005" s="2" t="s">
        <v>19</v>
      </c>
      <c r="E1005" s="2" t="s">
        <v>13</v>
      </c>
      <c r="F1005" s="2" t="s">
        <v>20</v>
      </c>
      <c r="G1005" s="2" t="s">
        <v>34</v>
      </c>
      <c r="H1005" s="2" t="s">
        <v>16</v>
      </c>
      <c r="I1005" s="2">
        <v>320000</v>
      </c>
      <c r="J1005" s="2">
        <v>4</v>
      </c>
      <c r="K1005" s="2" t="s">
        <v>24</v>
      </c>
      <c r="L1005" s="2">
        <f t="shared" si="3"/>
        <v>256000</v>
      </c>
    </row>
    <row r="1006" spans="1:12" ht="14.25" customHeight="1" x14ac:dyDescent="0.2">
      <c r="A1006" s="33">
        <v>46680</v>
      </c>
      <c r="B1006" s="33"/>
      <c r="C1006" s="2" t="s">
        <v>18</v>
      </c>
      <c r="D1006" s="2" t="s">
        <v>19</v>
      </c>
      <c r="E1006" s="2" t="s">
        <v>13</v>
      </c>
      <c r="F1006" s="2" t="s">
        <v>14</v>
      </c>
      <c r="G1006" s="2" t="s">
        <v>21</v>
      </c>
      <c r="H1006" s="2" t="s">
        <v>22</v>
      </c>
      <c r="I1006" s="2">
        <v>30000</v>
      </c>
      <c r="J1006" s="2">
        <v>2</v>
      </c>
      <c r="K1006" s="2" t="s">
        <v>17</v>
      </c>
      <c r="L1006" s="2">
        <f t="shared" si="3"/>
        <v>24000</v>
      </c>
    </row>
    <row r="1007" spans="1:12" ht="14.25" customHeight="1" x14ac:dyDescent="0.2">
      <c r="A1007" s="33">
        <v>46681</v>
      </c>
      <c r="B1007" s="33"/>
      <c r="C1007" s="2" t="s">
        <v>29</v>
      </c>
      <c r="D1007" s="2" t="s">
        <v>32</v>
      </c>
      <c r="E1007" s="2" t="s">
        <v>13</v>
      </c>
      <c r="F1007" s="2" t="s">
        <v>14</v>
      </c>
      <c r="G1007" s="2" t="s">
        <v>36</v>
      </c>
      <c r="H1007" s="2" t="s">
        <v>31</v>
      </c>
      <c r="I1007" s="2">
        <v>150000</v>
      </c>
      <c r="J1007" s="2">
        <v>4</v>
      </c>
      <c r="K1007" s="2" t="s">
        <v>17</v>
      </c>
      <c r="L1007" s="2">
        <f t="shared" si="3"/>
        <v>120000</v>
      </c>
    </row>
    <row r="1008" spans="1:12" ht="14.25" customHeight="1" x14ac:dyDescent="0.2">
      <c r="A1008" s="33">
        <v>46682</v>
      </c>
      <c r="B1008" s="33"/>
      <c r="C1008" s="2" t="s">
        <v>29</v>
      </c>
      <c r="D1008" s="2" t="s">
        <v>26</v>
      </c>
      <c r="E1008" s="2" t="s">
        <v>23</v>
      </c>
      <c r="F1008" s="2" t="s">
        <v>20</v>
      </c>
      <c r="G1008" s="2" t="s">
        <v>27</v>
      </c>
      <c r="H1008" s="2" t="s">
        <v>22</v>
      </c>
      <c r="I1008" s="2">
        <v>60000</v>
      </c>
      <c r="J1008" s="2">
        <v>4</v>
      </c>
      <c r="K1008" s="2" t="s">
        <v>28</v>
      </c>
      <c r="L1008" s="2">
        <f t="shared" si="3"/>
        <v>48000</v>
      </c>
    </row>
    <row r="1009" spans="1:12" ht="14.25" customHeight="1" x14ac:dyDescent="0.2">
      <c r="A1009" s="33">
        <v>46683</v>
      </c>
      <c r="B1009" s="33"/>
      <c r="C1009" s="2" t="s">
        <v>18</v>
      </c>
      <c r="D1009" s="2" t="s">
        <v>32</v>
      </c>
      <c r="E1009" s="2" t="s">
        <v>13</v>
      </c>
      <c r="F1009" s="2" t="s">
        <v>20</v>
      </c>
      <c r="G1009" s="2" t="s">
        <v>34</v>
      </c>
      <c r="H1009" s="2" t="s">
        <v>16</v>
      </c>
      <c r="I1009" s="2">
        <v>320000</v>
      </c>
      <c r="J1009" s="2">
        <v>4</v>
      </c>
      <c r="K1009" s="2" t="s">
        <v>37</v>
      </c>
      <c r="L1009" s="2">
        <f t="shared" si="3"/>
        <v>256000</v>
      </c>
    </row>
    <row r="1010" spans="1:12" ht="14.25" customHeight="1" x14ac:dyDescent="0.2">
      <c r="A1010" s="33">
        <v>46684</v>
      </c>
      <c r="B1010" s="33"/>
      <c r="C1010" s="2" t="s">
        <v>29</v>
      </c>
      <c r="D1010" s="2" t="s">
        <v>19</v>
      </c>
      <c r="E1010" s="2" t="s">
        <v>13</v>
      </c>
      <c r="F1010" s="2" t="s">
        <v>14</v>
      </c>
      <c r="G1010" s="2" t="s">
        <v>27</v>
      </c>
      <c r="H1010" s="2" t="s">
        <v>22</v>
      </c>
      <c r="I1010" s="2">
        <v>60000</v>
      </c>
      <c r="J1010" s="2">
        <v>2</v>
      </c>
      <c r="K1010" s="2" t="s">
        <v>24</v>
      </c>
      <c r="L1010" s="2">
        <f t="shared" si="3"/>
        <v>48000</v>
      </c>
    </row>
    <row r="1011" spans="1:12" ht="14.25" customHeight="1" x14ac:dyDescent="0.2">
      <c r="A1011" s="33">
        <v>46685</v>
      </c>
      <c r="B1011" s="33"/>
      <c r="C1011" s="2" t="s">
        <v>11</v>
      </c>
      <c r="D1011" s="2" t="s">
        <v>12</v>
      </c>
      <c r="E1011" s="2" t="s">
        <v>23</v>
      </c>
      <c r="F1011" s="2" t="s">
        <v>14</v>
      </c>
      <c r="G1011" s="2" t="s">
        <v>21</v>
      </c>
      <c r="H1011" s="2" t="s">
        <v>22</v>
      </c>
      <c r="I1011" s="2">
        <v>30000</v>
      </c>
      <c r="J1011" s="2">
        <v>7</v>
      </c>
      <c r="K1011" s="2" t="s">
        <v>35</v>
      </c>
      <c r="L1011" s="2">
        <f t="shared" si="3"/>
        <v>24000</v>
      </c>
    </row>
    <row r="1012" spans="1:12" ht="14.25" customHeight="1" x14ac:dyDescent="0.2">
      <c r="A1012" s="33">
        <v>46686</v>
      </c>
      <c r="B1012" s="33"/>
      <c r="C1012" s="2" t="s">
        <v>18</v>
      </c>
      <c r="D1012" s="2" t="s">
        <v>12</v>
      </c>
      <c r="E1012" s="2" t="s">
        <v>13</v>
      </c>
      <c r="F1012" s="2" t="s">
        <v>20</v>
      </c>
      <c r="G1012" s="2" t="s">
        <v>40</v>
      </c>
      <c r="H1012" s="2" t="s">
        <v>31</v>
      </c>
      <c r="I1012" s="2">
        <v>250000</v>
      </c>
      <c r="J1012" s="2">
        <v>6</v>
      </c>
      <c r="K1012" s="2" t="s">
        <v>35</v>
      </c>
      <c r="L1012" s="2">
        <f t="shared" si="3"/>
        <v>200000</v>
      </c>
    </row>
    <row r="1013" spans="1:12" ht="14.25" customHeight="1" x14ac:dyDescent="0.2">
      <c r="A1013" s="33">
        <v>46687</v>
      </c>
      <c r="B1013" s="33"/>
      <c r="C1013" s="2" t="s">
        <v>29</v>
      </c>
      <c r="D1013" s="2" t="s">
        <v>26</v>
      </c>
      <c r="E1013" s="2" t="s">
        <v>13</v>
      </c>
      <c r="F1013" s="2" t="s">
        <v>14</v>
      </c>
      <c r="G1013" s="2" t="s">
        <v>41</v>
      </c>
      <c r="H1013" s="2" t="s">
        <v>22</v>
      </c>
      <c r="I1013" s="2">
        <v>220000</v>
      </c>
      <c r="J1013" s="2">
        <v>9</v>
      </c>
      <c r="K1013" s="2" t="s">
        <v>17</v>
      </c>
      <c r="L1013" s="2">
        <f t="shared" si="3"/>
        <v>176000</v>
      </c>
    </row>
    <row r="1014" spans="1:12" ht="14.25" customHeight="1" x14ac:dyDescent="0.2">
      <c r="A1014" s="33">
        <v>46688</v>
      </c>
      <c r="B1014" s="33"/>
      <c r="C1014" s="2" t="s">
        <v>18</v>
      </c>
      <c r="D1014" s="2" t="s">
        <v>26</v>
      </c>
      <c r="E1014" s="2" t="s">
        <v>23</v>
      </c>
      <c r="F1014" s="2" t="s">
        <v>14</v>
      </c>
      <c r="G1014" s="2" t="s">
        <v>30</v>
      </c>
      <c r="H1014" s="2" t="s">
        <v>31</v>
      </c>
      <c r="I1014" s="2">
        <v>300000</v>
      </c>
      <c r="J1014" s="2">
        <v>2</v>
      </c>
      <c r="K1014" s="2" t="s">
        <v>24</v>
      </c>
      <c r="L1014" s="2">
        <f t="shared" si="3"/>
        <v>240000</v>
      </c>
    </row>
    <row r="1015" spans="1:12" ht="14.25" customHeight="1" x14ac:dyDescent="0.2">
      <c r="A1015" s="33">
        <v>46689</v>
      </c>
      <c r="B1015" s="33"/>
      <c r="C1015" s="2" t="s">
        <v>11</v>
      </c>
      <c r="D1015" s="2" t="s">
        <v>26</v>
      </c>
      <c r="E1015" s="2" t="s">
        <v>13</v>
      </c>
      <c r="F1015" s="2" t="s">
        <v>20</v>
      </c>
      <c r="G1015" s="2" t="s">
        <v>38</v>
      </c>
      <c r="H1015" s="2" t="s">
        <v>31</v>
      </c>
      <c r="I1015" s="2">
        <v>420000</v>
      </c>
      <c r="J1015" s="2">
        <v>2</v>
      </c>
      <c r="K1015" s="2" t="s">
        <v>24</v>
      </c>
      <c r="L1015" s="2">
        <f t="shared" si="3"/>
        <v>336000</v>
      </c>
    </row>
    <row r="1016" spans="1:12" ht="14.25" customHeight="1" x14ac:dyDescent="0.2">
      <c r="A1016" s="33">
        <v>46690</v>
      </c>
      <c r="B1016" s="33"/>
      <c r="C1016" s="2" t="s">
        <v>25</v>
      </c>
      <c r="D1016" s="2" t="s">
        <v>19</v>
      </c>
      <c r="E1016" s="2" t="s">
        <v>13</v>
      </c>
      <c r="F1016" s="2" t="s">
        <v>20</v>
      </c>
      <c r="G1016" s="2" t="s">
        <v>41</v>
      </c>
      <c r="H1016" s="2" t="s">
        <v>22</v>
      </c>
      <c r="I1016" s="2">
        <v>220000</v>
      </c>
      <c r="J1016" s="2">
        <v>3</v>
      </c>
      <c r="K1016" s="2" t="s">
        <v>35</v>
      </c>
      <c r="L1016" s="2">
        <f t="shared" si="3"/>
        <v>176000</v>
      </c>
    </row>
    <row r="1017" spans="1:12" ht="14.25" customHeight="1" x14ac:dyDescent="0.2">
      <c r="A1017" s="33">
        <v>46691</v>
      </c>
      <c r="B1017" s="33"/>
      <c r="C1017" s="2" t="s">
        <v>25</v>
      </c>
      <c r="D1017" s="2" t="s">
        <v>12</v>
      </c>
      <c r="E1017" s="2" t="s">
        <v>23</v>
      </c>
      <c r="F1017" s="2" t="s">
        <v>14</v>
      </c>
      <c r="G1017" s="2" t="s">
        <v>41</v>
      </c>
      <c r="H1017" s="2" t="s">
        <v>22</v>
      </c>
      <c r="I1017" s="2">
        <v>220000</v>
      </c>
      <c r="J1017" s="2">
        <v>10</v>
      </c>
      <c r="K1017" s="2" t="s">
        <v>35</v>
      </c>
      <c r="L1017" s="2">
        <f t="shared" si="3"/>
        <v>176000</v>
      </c>
    </row>
    <row r="1018" spans="1:12" ht="14.25" customHeight="1" x14ac:dyDescent="0.2">
      <c r="A1018" s="33">
        <v>46692</v>
      </c>
      <c r="B1018" s="33"/>
      <c r="C1018" s="2" t="s">
        <v>25</v>
      </c>
      <c r="D1018" s="2" t="s">
        <v>32</v>
      </c>
      <c r="E1018" s="2" t="s">
        <v>23</v>
      </c>
      <c r="F1018" s="2" t="s">
        <v>20</v>
      </c>
      <c r="G1018" s="2" t="s">
        <v>40</v>
      </c>
      <c r="H1018" s="2" t="s">
        <v>31</v>
      </c>
      <c r="I1018" s="2">
        <v>250000</v>
      </c>
      <c r="J1018" s="2">
        <v>8</v>
      </c>
      <c r="K1018" s="2" t="s">
        <v>17</v>
      </c>
      <c r="L1018" s="2">
        <f t="shared" si="3"/>
        <v>200000</v>
      </c>
    </row>
    <row r="1019" spans="1:12" ht="14.25" customHeight="1" x14ac:dyDescent="0.2">
      <c r="A1019" s="33">
        <v>46693</v>
      </c>
      <c r="B1019" s="33"/>
      <c r="C1019" s="2" t="s">
        <v>18</v>
      </c>
      <c r="D1019" s="2" t="s">
        <v>32</v>
      </c>
      <c r="E1019" s="2" t="s">
        <v>13</v>
      </c>
      <c r="F1019" s="2" t="s">
        <v>14</v>
      </c>
      <c r="G1019" s="2" t="s">
        <v>27</v>
      </c>
      <c r="H1019" s="2" t="s">
        <v>22</v>
      </c>
      <c r="I1019" s="2">
        <v>60000</v>
      </c>
      <c r="J1019" s="2">
        <v>6</v>
      </c>
      <c r="K1019" s="2" t="s">
        <v>28</v>
      </c>
      <c r="L1019" s="2">
        <f t="shared" si="3"/>
        <v>48000</v>
      </c>
    </row>
    <row r="1020" spans="1:12" ht="14.25" customHeight="1" x14ac:dyDescent="0.2">
      <c r="A1020" s="33">
        <v>46694</v>
      </c>
      <c r="B1020" s="33"/>
      <c r="C1020" s="2" t="s">
        <v>18</v>
      </c>
      <c r="D1020" s="2" t="s">
        <v>19</v>
      </c>
      <c r="E1020" s="2" t="s">
        <v>13</v>
      </c>
      <c r="F1020" s="2" t="s">
        <v>14</v>
      </c>
      <c r="G1020" s="2" t="s">
        <v>34</v>
      </c>
      <c r="H1020" s="2" t="s">
        <v>16</v>
      </c>
      <c r="I1020" s="2">
        <v>320000</v>
      </c>
      <c r="J1020" s="2">
        <v>4</v>
      </c>
      <c r="K1020" s="2" t="s">
        <v>39</v>
      </c>
      <c r="L1020" s="2">
        <f t="shared" si="3"/>
        <v>256000</v>
      </c>
    </row>
    <row r="1021" spans="1:12" ht="14.25" customHeight="1" x14ac:dyDescent="0.2">
      <c r="A1021" s="33">
        <v>46695</v>
      </c>
      <c r="B1021" s="33"/>
      <c r="C1021" s="2" t="s">
        <v>18</v>
      </c>
      <c r="D1021" s="2" t="s">
        <v>12</v>
      </c>
      <c r="E1021" s="2" t="s">
        <v>13</v>
      </c>
      <c r="F1021" s="2" t="s">
        <v>20</v>
      </c>
      <c r="G1021" s="2" t="s">
        <v>33</v>
      </c>
      <c r="H1021" s="2" t="s">
        <v>22</v>
      </c>
      <c r="I1021" s="2">
        <v>180000</v>
      </c>
      <c r="J1021" s="2">
        <v>7</v>
      </c>
      <c r="K1021" s="2" t="s">
        <v>39</v>
      </c>
      <c r="L1021" s="2">
        <f t="shared" si="3"/>
        <v>144000</v>
      </c>
    </row>
    <row r="1022" spans="1:12" ht="14.25" customHeight="1" x14ac:dyDescent="0.2">
      <c r="A1022" s="33">
        <v>46696</v>
      </c>
      <c r="B1022" s="33"/>
      <c r="C1022" s="2" t="s">
        <v>18</v>
      </c>
      <c r="D1022" s="2" t="s">
        <v>12</v>
      </c>
      <c r="E1022" s="2" t="s">
        <v>13</v>
      </c>
      <c r="F1022" s="2" t="s">
        <v>14</v>
      </c>
      <c r="G1022" s="2" t="s">
        <v>27</v>
      </c>
      <c r="H1022" s="2" t="s">
        <v>22</v>
      </c>
      <c r="I1022" s="2">
        <v>60000</v>
      </c>
      <c r="J1022" s="2">
        <v>7</v>
      </c>
      <c r="K1022" s="2" t="s">
        <v>17</v>
      </c>
      <c r="L1022" s="2">
        <f t="shared" ref="L1022:L1276" si="4">I1022-I1022*0.2</f>
        <v>48000</v>
      </c>
    </row>
    <row r="1023" spans="1:12" ht="14.25" customHeight="1" x14ac:dyDescent="0.2">
      <c r="A1023" s="33">
        <v>46697</v>
      </c>
      <c r="B1023" s="33"/>
      <c r="C1023" s="2" t="s">
        <v>25</v>
      </c>
      <c r="D1023" s="2" t="s">
        <v>32</v>
      </c>
      <c r="E1023" s="2" t="s">
        <v>13</v>
      </c>
      <c r="F1023" s="2" t="s">
        <v>14</v>
      </c>
      <c r="G1023" s="2" t="s">
        <v>33</v>
      </c>
      <c r="H1023" s="2" t="s">
        <v>22</v>
      </c>
      <c r="I1023" s="2">
        <v>180000</v>
      </c>
      <c r="J1023" s="2">
        <v>9</v>
      </c>
      <c r="K1023" s="2" t="s">
        <v>24</v>
      </c>
      <c r="L1023" s="2">
        <f t="shared" si="4"/>
        <v>144000</v>
      </c>
    </row>
    <row r="1024" spans="1:12" ht="14.25" customHeight="1" x14ac:dyDescent="0.2">
      <c r="A1024" s="33">
        <v>46698</v>
      </c>
      <c r="B1024" s="33"/>
      <c r="C1024" s="2" t="s">
        <v>29</v>
      </c>
      <c r="D1024" s="2" t="s">
        <v>12</v>
      </c>
      <c r="E1024" s="2" t="s">
        <v>23</v>
      </c>
      <c r="F1024" s="2" t="s">
        <v>14</v>
      </c>
      <c r="G1024" s="2" t="s">
        <v>21</v>
      </c>
      <c r="H1024" s="2" t="s">
        <v>22</v>
      </c>
      <c r="I1024" s="2">
        <v>30000</v>
      </c>
      <c r="J1024" s="2">
        <v>6</v>
      </c>
      <c r="K1024" s="2" t="s">
        <v>24</v>
      </c>
      <c r="L1024" s="2">
        <f t="shared" si="4"/>
        <v>24000</v>
      </c>
    </row>
    <row r="1025" spans="1:12" ht="14.25" customHeight="1" x14ac:dyDescent="0.2">
      <c r="A1025" s="33">
        <v>46699</v>
      </c>
      <c r="B1025" s="33"/>
      <c r="C1025" s="2" t="s">
        <v>25</v>
      </c>
      <c r="D1025" s="2" t="s">
        <v>19</v>
      </c>
      <c r="E1025" s="2" t="s">
        <v>13</v>
      </c>
      <c r="F1025" s="2" t="s">
        <v>14</v>
      </c>
      <c r="G1025" s="2" t="s">
        <v>30</v>
      </c>
      <c r="H1025" s="2" t="s">
        <v>31</v>
      </c>
      <c r="I1025" s="2">
        <v>300000</v>
      </c>
      <c r="J1025" s="2">
        <v>10</v>
      </c>
      <c r="K1025" s="2" t="s">
        <v>37</v>
      </c>
      <c r="L1025" s="2">
        <f t="shared" si="4"/>
        <v>240000</v>
      </c>
    </row>
    <row r="1026" spans="1:12" ht="14.25" customHeight="1" x14ac:dyDescent="0.2">
      <c r="A1026" s="33">
        <v>46700</v>
      </c>
      <c r="B1026" s="33"/>
      <c r="C1026" s="2" t="s">
        <v>25</v>
      </c>
      <c r="D1026" s="2" t="s">
        <v>32</v>
      </c>
      <c r="E1026" s="2" t="s">
        <v>23</v>
      </c>
      <c r="F1026" s="2" t="s">
        <v>14</v>
      </c>
      <c r="G1026" s="2" t="s">
        <v>21</v>
      </c>
      <c r="H1026" s="2" t="s">
        <v>22</v>
      </c>
      <c r="I1026" s="2">
        <v>30000</v>
      </c>
      <c r="J1026" s="2">
        <v>2</v>
      </c>
      <c r="K1026" s="2" t="s">
        <v>28</v>
      </c>
      <c r="L1026" s="2">
        <f t="shared" si="4"/>
        <v>24000</v>
      </c>
    </row>
    <row r="1027" spans="1:12" ht="14.25" customHeight="1" x14ac:dyDescent="0.2">
      <c r="A1027" s="33">
        <v>46701</v>
      </c>
      <c r="B1027" s="33"/>
      <c r="C1027" s="2" t="s">
        <v>18</v>
      </c>
      <c r="D1027" s="2" t="s">
        <v>26</v>
      </c>
      <c r="E1027" s="2" t="s">
        <v>23</v>
      </c>
      <c r="F1027" s="2" t="s">
        <v>14</v>
      </c>
      <c r="G1027" s="2" t="s">
        <v>21</v>
      </c>
      <c r="H1027" s="2" t="s">
        <v>22</v>
      </c>
      <c r="I1027" s="2">
        <v>30000</v>
      </c>
      <c r="J1027" s="2">
        <v>8</v>
      </c>
      <c r="K1027" s="2" t="s">
        <v>39</v>
      </c>
      <c r="L1027" s="2">
        <f t="shared" si="4"/>
        <v>24000</v>
      </c>
    </row>
    <row r="1028" spans="1:12" ht="14.25" customHeight="1" x14ac:dyDescent="0.2">
      <c r="A1028" s="33">
        <v>46702</v>
      </c>
      <c r="B1028" s="33"/>
      <c r="C1028" s="2" t="s">
        <v>25</v>
      </c>
      <c r="D1028" s="2" t="s">
        <v>26</v>
      </c>
      <c r="E1028" s="2" t="s">
        <v>23</v>
      </c>
      <c r="F1028" s="2" t="s">
        <v>20</v>
      </c>
      <c r="G1028" s="2" t="s">
        <v>21</v>
      </c>
      <c r="H1028" s="2" t="s">
        <v>22</v>
      </c>
      <c r="I1028" s="2">
        <v>30000</v>
      </c>
      <c r="J1028" s="2">
        <v>9</v>
      </c>
      <c r="K1028" s="2" t="s">
        <v>28</v>
      </c>
      <c r="L1028" s="2">
        <f t="shared" si="4"/>
        <v>24000</v>
      </c>
    </row>
    <row r="1029" spans="1:12" ht="14.25" customHeight="1" x14ac:dyDescent="0.2">
      <c r="A1029" s="33">
        <v>46703</v>
      </c>
      <c r="B1029" s="33"/>
      <c r="C1029" s="2" t="s">
        <v>29</v>
      </c>
      <c r="D1029" s="2" t="s">
        <v>12</v>
      </c>
      <c r="E1029" s="2" t="s">
        <v>13</v>
      </c>
      <c r="F1029" s="2" t="s">
        <v>20</v>
      </c>
      <c r="G1029" s="2" t="s">
        <v>41</v>
      </c>
      <c r="H1029" s="2" t="s">
        <v>22</v>
      </c>
      <c r="I1029" s="2">
        <v>220000</v>
      </c>
      <c r="J1029" s="2">
        <v>2</v>
      </c>
      <c r="K1029" s="2" t="s">
        <v>39</v>
      </c>
      <c r="L1029" s="2">
        <f t="shared" si="4"/>
        <v>176000</v>
      </c>
    </row>
    <row r="1030" spans="1:12" ht="14.25" customHeight="1" x14ac:dyDescent="0.2">
      <c r="A1030" s="33">
        <v>46704</v>
      </c>
      <c r="B1030" s="33"/>
      <c r="C1030" s="2" t="s">
        <v>25</v>
      </c>
      <c r="D1030" s="2" t="s">
        <v>26</v>
      </c>
      <c r="E1030" s="2" t="s">
        <v>13</v>
      </c>
      <c r="F1030" s="2" t="s">
        <v>20</v>
      </c>
      <c r="G1030" s="2" t="s">
        <v>41</v>
      </c>
      <c r="H1030" s="2" t="s">
        <v>22</v>
      </c>
      <c r="I1030" s="2">
        <v>220000</v>
      </c>
      <c r="J1030" s="2">
        <v>3</v>
      </c>
      <c r="K1030" s="2" t="s">
        <v>39</v>
      </c>
      <c r="L1030" s="2">
        <f t="shared" si="4"/>
        <v>176000</v>
      </c>
    </row>
    <row r="1031" spans="1:12" ht="14.25" customHeight="1" x14ac:dyDescent="0.2">
      <c r="A1031" s="33">
        <v>46705</v>
      </c>
      <c r="B1031" s="33"/>
      <c r="C1031" s="2" t="s">
        <v>25</v>
      </c>
      <c r="D1031" s="2" t="s">
        <v>32</v>
      </c>
      <c r="E1031" s="2" t="s">
        <v>13</v>
      </c>
      <c r="F1031" s="2" t="s">
        <v>20</v>
      </c>
      <c r="G1031" s="2" t="s">
        <v>15</v>
      </c>
      <c r="H1031" s="2" t="s">
        <v>16</v>
      </c>
      <c r="I1031" s="2">
        <v>85000</v>
      </c>
      <c r="J1031" s="2">
        <v>3</v>
      </c>
      <c r="K1031" s="2" t="s">
        <v>24</v>
      </c>
      <c r="L1031" s="2">
        <f t="shared" si="4"/>
        <v>68000</v>
      </c>
    </row>
    <row r="1032" spans="1:12" ht="14.25" customHeight="1" x14ac:dyDescent="0.2">
      <c r="A1032" s="33">
        <v>46706</v>
      </c>
      <c r="B1032" s="33"/>
      <c r="C1032" s="2" t="s">
        <v>11</v>
      </c>
      <c r="D1032" s="2" t="s">
        <v>19</v>
      </c>
      <c r="E1032" s="2" t="s">
        <v>23</v>
      </c>
      <c r="F1032" s="2" t="s">
        <v>14</v>
      </c>
      <c r="G1032" s="2" t="s">
        <v>27</v>
      </c>
      <c r="H1032" s="2" t="s">
        <v>22</v>
      </c>
      <c r="I1032" s="2">
        <v>60000</v>
      </c>
      <c r="J1032" s="2">
        <v>3</v>
      </c>
      <c r="K1032" s="2" t="s">
        <v>35</v>
      </c>
      <c r="L1032" s="2">
        <f t="shared" si="4"/>
        <v>48000</v>
      </c>
    </row>
    <row r="1033" spans="1:12" ht="14.25" customHeight="1" x14ac:dyDescent="0.2">
      <c r="A1033" s="33">
        <v>46707</v>
      </c>
      <c r="B1033" s="33"/>
      <c r="C1033" s="2" t="s">
        <v>11</v>
      </c>
      <c r="D1033" s="2" t="s">
        <v>26</v>
      </c>
      <c r="E1033" s="2" t="s">
        <v>23</v>
      </c>
      <c r="F1033" s="2" t="s">
        <v>20</v>
      </c>
      <c r="G1033" s="2" t="s">
        <v>41</v>
      </c>
      <c r="H1033" s="2" t="s">
        <v>22</v>
      </c>
      <c r="I1033" s="2">
        <v>220000</v>
      </c>
      <c r="J1033" s="2">
        <v>3</v>
      </c>
      <c r="K1033" s="2" t="s">
        <v>39</v>
      </c>
      <c r="L1033" s="2">
        <f t="shared" si="4"/>
        <v>176000</v>
      </c>
    </row>
    <row r="1034" spans="1:12" ht="14.25" customHeight="1" x14ac:dyDescent="0.2">
      <c r="A1034" s="33">
        <v>46708</v>
      </c>
      <c r="B1034" s="33"/>
      <c r="C1034" s="2" t="s">
        <v>11</v>
      </c>
      <c r="D1034" s="2" t="s">
        <v>12</v>
      </c>
      <c r="E1034" s="2" t="s">
        <v>13</v>
      </c>
      <c r="F1034" s="2" t="s">
        <v>20</v>
      </c>
      <c r="G1034" s="2" t="s">
        <v>21</v>
      </c>
      <c r="H1034" s="2" t="s">
        <v>22</v>
      </c>
      <c r="I1034" s="2">
        <v>30000</v>
      </c>
      <c r="J1034" s="2">
        <v>1</v>
      </c>
      <c r="K1034" s="2" t="s">
        <v>17</v>
      </c>
      <c r="L1034" s="2">
        <f t="shared" si="4"/>
        <v>24000</v>
      </c>
    </row>
    <row r="1035" spans="1:12" ht="14.25" customHeight="1" x14ac:dyDescent="0.2">
      <c r="A1035" s="33">
        <v>46709</v>
      </c>
      <c r="B1035" s="33"/>
      <c r="C1035" s="2" t="s">
        <v>18</v>
      </c>
      <c r="D1035" s="2" t="s">
        <v>32</v>
      </c>
      <c r="E1035" s="2" t="s">
        <v>23</v>
      </c>
      <c r="F1035" s="2" t="s">
        <v>20</v>
      </c>
      <c r="G1035" s="2" t="s">
        <v>38</v>
      </c>
      <c r="H1035" s="2" t="s">
        <v>31</v>
      </c>
      <c r="I1035" s="2">
        <v>420000</v>
      </c>
      <c r="J1035" s="2">
        <v>1</v>
      </c>
      <c r="K1035" s="2" t="s">
        <v>39</v>
      </c>
      <c r="L1035" s="2">
        <f t="shared" si="4"/>
        <v>336000</v>
      </c>
    </row>
    <row r="1036" spans="1:12" ht="14.25" customHeight="1" x14ac:dyDescent="0.2">
      <c r="A1036" s="33">
        <v>46710</v>
      </c>
      <c r="B1036" s="33"/>
      <c r="C1036" s="2" t="s">
        <v>11</v>
      </c>
      <c r="D1036" s="2" t="s">
        <v>19</v>
      </c>
      <c r="E1036" s="2" t="s">
        <v>13</v>
      </c>
      <c r="F1036" s="2" t="s">
        <v>20</v>
      </c>
      <c r="G1036" s="2" t="s">
        <v>41</v>
      </c>
      <c r="H1036" s="2" t="s">
        <v>22</v>
      </c>
      <c r="I1036" s="2">
        <v>220000</v>
      </c>
      <c r="J1036" s="2">
        <v>10</v>
      </c>
      <c r="K1036" s="2" t="s">
        <v>24</v>
      </c>
      <c r="L1036" s="2">
        <f t="shared" si="4"/>
        <v>176000</v>
      </c>
    </row>
    <row r="1037" spans="1:12" ht="14.25" customHeight="1" x14ac:dyDescent="0.2">
      <c r="A1037" s="33">
        <v>46711</v>
      </c>
      <c r="B1037" s="33"/>
      <c r="C1037" s="2" t="s">
        <v>25</v>
      </c>
      <c r="D1037" s="2" t="s">
        <v>26</v>
      </c>
      <c r="E1037" s="2" t="s">
        <v>23</v>
      </c>
      <c r="F1037" s="2" t="s">
        <v>20</v>
      </c>
      <c r="G1037" s="2" t="s">
        <v>33</v>
      </c>
      <c r="H1037" s="2" t="s">
        <v>22</v>
      </c>
      <c r="I1037" s="2">
        <v>180000</v>
      </c>
      <c r="J1037" s="2">
        <v>10</v>
      </c>
      <c r="K1037" s="2" t="s">
        <v>39</v>
      </c>
      <c r="L1037" s="2">
        <f t="shared" si="4"/>
        <v>144000</v>
      </c>
    </row>
    <row r="1038" spans="1:12" ht="14.25" customHeight="1" x14ac:dyDescent="0.2">
      <c r="A1038" s="33">
        <v>46712</v>
      </c>
      <c r="B1038" s="33"/>
      <c r="C1038" s="2" t="s">
        <v>25</v>
      </c>
      <c r="D1038" s="2" t="s">
        <v>12</v>
      </c>
      <c r="E1038" s="2" t="s">
        <v>13</v>
      </c>
      <c r="F1038" s="2" t="s">
        <v>14</v>
      </c>
      <c r="G1038" s="2" t="s">
        <v>38</v>
      </c>
      <c r="H1038" s="2" t="s">
        <v>31</v>
      </c>
      <c r="I1038" s="2">
        <v>420000</v>
      </c>
      <c r="J1038" s="2">
        <v>3</v>
      </c>
      <c r="K1038" s="2" t="s">
        <v>37</v>
      </c>
      <c r="L1038" s="2">
        <f t="shared" si="4"/>
        <v>336000</v>
      </c>
    </row>
    <row r="1039" spans="1:12" ht="14.25" customHeight="1" x14ac:dyDescent="0.2">
      <c r="A1039" s="33">
        <v>46713</v>
      </c>
      <c r="B1039" s="33"/>
      <c r="C1039" s="2" t="s">
        <v>11</v>
      </c>
      <c r="D1039" s="2" t="s">
        <v>32</v>
      </c>
      <c r="E1039" s="2" t="s">
        <v>23</v>
      </c>
      <c r="F1039" s="2" t="s">
        <v>14</v>
      </c>
      <c r="G1039" s="2" t="s">
        <v>15</v>
      </c>
      <c r="H1039" s="2" t="s">
        <v>16</v>
      </c>
      <c r="I1039" s="2">
        <v>85000</v>
      </c>
      <c r="J1039" s="2">
        <v>4</v>
      </c>
      <c r="K1039" s="2" t="s">
        <v>28</v>
      </c>
      <c r="L1039" s="2">
        <f t="shared" si="4"/>
        <v>68000</v>
      </c>
    </row>
    <row r="1040" spans="1:12" ht="14.25" customHeight="1" x14ac:dyDescent="0.2">
      <c r="A1040" s="33">
        <v>46714</v>
      </c>
      <c r="B1040" s="33"/>
      <c r="C1040" s="2" t="s">
        <v>25</v>
      </c>
      <c r="D1040" s="2" t="s">
        <v>26</v>
      </c>
      <c r="E1040" s="2" t="s">
        <v>23</v>
      </c>
      <c r="F1040" s="2" t="s">
        <v>14</v>
      </c>
      <c r="G1040" s="2" t="s">
        <v>34</v>
      </c>
      <c r="H1040" s="2" t="s">
        <v>16</v>
      </c>
      <c r="I1040" s="2">
        <v>320000</v>
      </c>
      <c r="J1040" s="2">
        <v>4</v>
      </c>
      <c r="K1040" s="2" t="s">
        <v>35</v>
      </c>
      <c r="L1040" s="2">
        <f t="shared" si="4"/>
        <v>256000</v>
      </c>
    </row>
    <row r="1041" spans="1:12" ht="14.25" customHeight="1" x14ac:dyDescent="0.2">
      <c r="A1041" s="33">
        <v>46715</v>
      </c>
      <c r="B1041" s="33"/>
      <c r="C1041" s="2" t="s">
        <v>11</v>
      </c>
      <c r="D1041" s="2" t="s">
        <v>32</v>
      </c>
      <c r="E1041" s="2" t="s">
        <v>13</v>
      </c>
      <c r="F1041" s="2" t="s">
        <v>20</v>
      </c>
      <c r="G1041" s="2" t="s">
        <v>41</v>
      </c>
      <c r="H1041" s="2" t="s">
        <v>22</v>
      </c>
      <c r="I1041" s="2">
        <v>220000</v>
      </c>
      <c r="J1041" s="2">
        <v>1</v>
      </c>
      <c r="K1041" s="2" t="s">
        <v>37</v>
      </c>
      <c r="L1041" s="2">
        <f t="shared" si="4"/>
        <v>176000</v>
      </c>
    </row>
    <row r="1042" spans="1:12" ht="14.25" customHeight="1" x14ac:dyDescent="0.2">
      <c r="A1042" s="33">
        <v>46716</v>
      </c>
      <c r="B1042" s="33"/>
      <c r="C1042" s="2" t="s">
        <v>25</v>
      </c>
      <c r="D1042" s="2" t="s">
        <v>19</v>
      </c>
      <c r="E1042" s="2" t="s">
        <v>23</v>
      </c>
      <c r="F1042" s="2" t="s">
        <v>20</v>
      </c>
      <c r="G1042" s="2" t="s">
        <v>15</v>
      </c>
      <c r="H1042" s="2" t="s">
        <v>16</v>
      </c>
      <c r="I1042" s="2">
        <v>85000</v>
      </c>
      <c r="J1042" s="2">
        <v>1</v>
      </c>
      <c r="K1042" s="2" t="s">
        <v>24</v>
      </c>
      <c r="L1042" s="2">
        <f t="shared" si="4"/>
        <v>68000</v>
      </c>
    </row>
    <row r="1043" spans="1:12" ht="14.25" customHeight="1" x14ac:dyDescent="0.2">
      <c r="A1043" s="33">
        <v>46717</v>
      </c>
      <c r="B1043" s="33"/>
      <c r="C1043" s="2" t="s">
        <v>11</v>
      </c>
      <c r="D1043" s="2" t="s">
        <v>32</v>
      </c>
      <c r="E1043" s="2" t="s">
        <v>13</v>
      </c>
      <c r="F1043" s="2" t="s">
        <v>14</v>
      </c>
      <c r="G1043" s="2" t="s">
        <v>36</v>
      </c>
      <c r="H1043" s="2" t="s">
        <v>31</v>
      </c>
      <c r="I1043" s="2">
        <v>150000</v>
      </c>
      <c r="J1043" s="2">
        <v>8</v>
      </c>
      <c r="K1043" s="2" t="s">
        <v>39</v>
      </c>
      <c r="L1043" s="2">
        <f t="shared" si="4"/>
        <v>120000</v>
      </c>
    </row>
    <row r="1044" spans="1:12" ht="14.25" customHeight="1" x14ac:dyDescent="0.2">
      <c r="A1044" s="33">
        <v>46718</v>
      </c>
      <c r="B1044" s="33"/>
      <c r="C1044" s="2" t="s">
        <v>29</v>
      </c>
      <c r="D1044" s="2" t="s">
        <v>19</v>
      </c>
      <c r="E1044" s="2" t="s">
        <v>23</v>
      </c>
      <c r="F1044" s="2" t="s">
        <v>14</v>
      </c>
      <c r="G1044" s="2" t="s">
        <v>36</v>
      </c>
      <c r="H1044" s="2" t="s">
        <v>31</v>
      </c>
      <c r="I1044" s="2">
        <v>150000</v>
      </c>
      <c r="J1044" s="2">
        <v>9</v>
      </c>
      <c r="K1044" s="2" t="s">
        <v>17</v>
      </c>
      <c r="L1044" s="2">
        <f t="shared" si="4"/>
        <v>120000</v>
      </c>
    </row>
    <row r="1045" spans="1:12" ht="14.25" customHeight="1" x14ac:dyDescent="0.2">
      <c r="A1045" s="33">
        <v>46719</v>
      </c>
      <c r="B1045" s="33"/>
      <c r="C1045" s="2" t="s">
        <v>11</v>
      </c>
      <c r="D1045" s="2" t="s">
        <v>19</v>
      </c>
      <c r="E1045" s="2" t="s">
        <v>23</v>
      </c>
      <c r="F1045" s="2" t="s">
        <v>14</v>
      </c>
      <c r="G1045" s="2" t="s">
        <v>30</v>
      </c>
      <c r="H1045" s="2" t="s">
        <v>31</v>
      </c>
      <c r="I1045" s="2">
        <v>300000</v>
      </c>
      <c r="J1045" s="2">
        <v>3</v>
      </c>
      <c r="K1045" s="2" t="s">
        <v>17</v>
      </c>
      <c r="L1045" s="2">
        <f t="shared" si="4"/>
        <v>240000</v>
      </c>
    </row>
    <row r="1046" spans="1:12" ht="14.25" customHeight="1" x14ac:dyDescent="0.2">
      <c r="A1046" s="33">
        <v>46720</v>
      </c>
      <c r="B1046" s="33"/>
      <c r="C1046" s="2" t="s">
        <v>29</v>
      </c>
      <c r="D1046" s="2" t="s">
        <v>32</v>
      </c>
      <c r="E1046" s="2" t="s">
        <v>23</v>
      </c>
      <c r="F1046" s="2" t="s">
        <v>14</v>
      </c>
      <c r="G1046" s="2" t="s">
        <v>36</v>
      </c>
      <c r="H1046" s="2" t="s">
        <v>31</v>
      </c>
      <c r="I1046" s="2">
        <v>150000</v>
      </c>
      <c r="J1046" s="2">
        <v>10</v>
      </c>
      <c r="K1046" s="2" t="s">
        <v>35</v>
      </c>
      <c r="L1046" s="2">
        <f t="shared" si="4"/>
        <v>120000</v>
      </c>
    </row>
    <row r="1047" spans="1:12" ht="14.25" customHeight="1" x14ac:dyDescent="0.2">
      <c r="A1047" s="33">
        <v>46721</v>
      </c>
      <c r="B1047" s="33"/>
      <c r="C1047" s="2" t="s">
        <v>11</v>
      </c>
      <c r="D1047" s="2" t="s">
        <v>32</v>
      </c>
      <c r="E1047" s="2" t="s">
        <v>13</v>
      </c>
      <c r="F1047" s="2" t="s">
        <v>20</v>
      </c>
      <c r="G1047" s="2" t="s">
        <v>15</v>
      </c>
      <c r="H1047" s="2" t="s">
        <v>16</v>
      </c>
      <c r="I1047" s="2">
        <v>85000</v>
      </c>
      <c r="J1047" s="2">
        <v>2</v>
      </c>
      <c r="K1047" s="2" t="s">
        <v>35</v>
      </c>
      <c r="L1047" s="2">
        <f t="shared" si="4"/>
        <v>68000</v>
      </c>
    </row>
    <row r="1048" spans="1:12" ht="14.25" customHeight="1" x14ac:dyDescent="0.2">
      <c r="A1048" s="33">
        <v>46722</v>
      </c>
      <c r="B1048" s="33"/>
      <c r="C1048" s="2" t="s">
        <v>18</v>
      </c>
      <c r="D1048" s="2" t="s">
        <v>12</v>
      </c>
      <c r="E1048" s="2" t="s">
        <v>23</v>
      </c>
      <c r="F1048" s="2" t="s">
        <v>20</v>
      </c>
      <c r="G1048" s="2" t="s">
        <v>38</v>
      </c>
      <c r="H1048" s="2" t="s">
        <v>31</v>
      </c>
      <c r="I1048" s="2">
        <v>420000</v>
      </c>
      <c r="J1048" s="2">
        <v>9</v>
      </c>
      <c r="K1048" s="2" t="s">
        <v>24</v>
      </c>
      <c r="L1048" s="2">
        <f t="shared" si="4"/>
        <v>336000</v>
      </c>
    </row>
    <row r="1049" spans="1:12" ht="14.25" customHeight="1" x14ac:dyDescent="0.2">
      <c r="A1049" s="33">
        <v>46723</v>
      </c>
      <c r="B1049" s="33"/>
      <c r="C1049" s="2" t="s">
        <v>11</v>
      </c>
      <c r="D1049" s="2" t="s">
        <v>19</v>
      </c>
      <c r="E1049" s="2" t="s">
        <v>23</v>
      </c>
      <c r="F1049" s="2" t="s">
        <v>14</v>
      </c>
      <c r="G1049" s="2" t="s">
        <v>30</v>
      </c>
      <c r="H1049" s="2" t="s">
        <v>31</v>
      </c>
      <c r="I1049" s="2">
        <v>300000</v>
      </c>
      <c r="J1049" s="2">
        <v>2</v>
      </c>
      <c r="K1049" s="2" t="s">
        <v>39</v>
      </c>
      <c r="L1049" s="2">
        <f t="shared" si="4"/>
        <v>240000</v>
      </c>
    </row>
    <row r="1050" spans="1:12" ht="14.25" customHeight="1" x14ac:dyDescent="0.2">
      <c r="A1050" s="33">
        <v>46724</v>
      </c>
      <c r="B1050" s="33"/>
      <c r="C1050" s="2" t="s">
        <v>18</v>
      </c>
      <c r="D1050" s="2" t="s">
        <v>26</v>
      </c>
      <c r="E1050" s="2" t="s">
        <v>23</v>
      </c>
      <c r="F1050" s="2" t="s">
        <v>14</v>
      </c>
      <c r="G1050" s="2" t="s">
        <v>36</v>
      </c>
      <c r="H1050" s="2" t="s">
        <v>31</v>
      </c>
      <c r="I1050" s="2">
        <v>150000</v>
      </c>
      <c r="J1050" s="2">
        <v>4</v>
      </c>
      <c r="K1050" s="2" t="s">
        <v>37</v>
      </c>
      <c r="L1050" s="2">
        <f t="shared" si="4"/>
        <v>120000</v>
      </c>
    </row>
    <row r="1051" spans="1:12" ht="14.25" customHeight="1" x14ac:dyDescent="0.2">
      <c r="A1051" s="33">
        <v>46725</v>
      </c>
      <c r="B1051" s="33"/>
      <c r="C1051" s="2" t="s">
        <v>18</v>
      </c>
      <c r="D1051" s="2" t="s">
        <v>19</v>
      </c>
      <c r="E1051" s="2" t="s">
        <v>13</v>
      </c>
      <c r="F1051" s="2" t="s">
        <v>14</v>
      </c>
      <c r="G1051" s="2" t="s">
        <v>38</v>
      </c>
      <c r="H1051" s="2" t="s">
        <v>31</v>
      </c>
      <c r="I1051" s="2">
        <v>420000</v>
      </c>
      <c r="J1051" s="2">
        <v>9</v>
      </c>
      <c r="K1051" s="2" t="s">
        <v>24</v>
      </c>
      <c r="L1051" s="2">
        <f t="shared" si="4"/>
        <v>336000</v>
      </c>
    </row>
    <row r="1052" spans="1:12" ht="14.25" customHeight="1" x14ac:dyDescent="0.2">
      <c r="A1052" s="33">
        <v>46726</v>
      </c>
      <c r="B1052" s="33"/>
      <c r="C1052" s="2" t="s">
        <v>29</v>
      </c>
      <c r="D1052" s="2" t="s">
        <v>26</v>
      </c>
      <c r="E1052" s="2" t="s">
        <v>13</v>
      </c>
      <c r="F1052" s="2" t="s">
        <v>20</v>
      </c>
      <c r="G1052" s="2" t="s">
        <v>40</v>
      </c>
      <c r="H1052" s="2" t="s">
        <v>31</v>
      </c>
      <c r="I1052" s="2">
        <v>250000</v>
      </c>
      <c r="J1052" s="2">
        <v>5</v>
      </c>
      <c r="K1052" s="2" t="s">
        <v>24</v>
      </c>
      <c r="L1052" s="2">
        <f t="shared" si="4"/>
        <v>200000</v>
      </c>
    </row>
    <row r="1053" spans="1:12" ht="14.25" customHeight="1" x14ac:dyDescent="0.2">
      <c r="A1053" s="33">
        <v>46727</v>
      </c>
      <c r="B1053" s="33"/>
      <c r="C1053" s="2" t="s">
        <v>29</v>
      </c>
      <c r="D1053" s="2" t="s">
        <v>32</v>
      </c>
      <c r="E1053" s="2" t="s">
        <v>23</v>
      </c>
      <c r="F1053" s="2" t="s">
        <v>14</v>
      </c>
      <c r="G1053" s="2" t="s">
        <v>21</v>
      </c>
      <c r="H1053" s="2" t="s">
        <v>22</v>
      </c>
      <c r="I1053" s="2">
        <v>30000</v>
      </c>
      <c r="J1053" s="2">
        <v>10</v>
      </c>
      <c r="K1053" s="2" t="s">
        <v>37</v>
      </c>
      <c r="L1053" s="2">
        <f t="shared" si="4"/>
        <v>24000</v>
      </c>
    </row>
    <row r="1054" spans="1:12" ht="14.25" customHeight="1" x14ac:dyDescent="0.2">
      <c r="A1054" s="33">
        <v>46728</v>
      </c>
      <c r="B1054" s="33"/>
      <c r="C1054" s="2" t="s">
        <v>25</v>
      </c>
      <c r="D1054" s="2" t="s">
        <v>26</v>
      </c>
      <c r="E1054" s="2" t="s">
        <v>13</v>
      </c>
      <c r="F1054" s="2" t="s">
        <v>20</v>
      </c>
      <c r="G1054" s="2" t="s">
        <v>38</v>
      </c>
      <c r="H1054" s="2" t="s">
        <v>31</v>
      </c>
      <c r="I1054" s="2">
        <v>420000</v>
      </c>
      <c r="J1054" s="2">
        <v>3</v>
      </c>
      <c r="K1054" s="2" t="s">
        <v>17</v>
      </c>
      <c r="L1054" s="2">
        <f t="shared" si="4"/>
        <v>336000</v>
      </c>
    </row>
    <row r="1055" spans="1:12" ht="14.25" customHeight="1" x14ac:dyDescent="0.2">
      <c r="A1055" s="33">
        <v>46729</v>
      </c>
      <c r="B1055" s="33"/>
      <c r="C1055" s="2" t="s">
        <v>25</v>
      </c>
      <c r="D1055" s="2" t="s">
        <v>32</v>
      </c>
      <c r="E1055" s="2" t="s">
        <v>13</v>
      </c>
      <c r="F1055" s="2" t="s">
        <v>14</v>
      </c>
      <c r="G1055" s="2" t="s">
        <v>34</v>
      </c>
      <c r="H1055" s="2" t="s">
        <v>16</v>
      </c>
      <c r="I1055" s="2">
        <v>320000</v>
      </c>
      <c r="J1055" s="2">
        <v>8</v>
      </c>
      <c r="K1055" s="2" t="s">
        <v>37</v>
      </c>
      <c r="L1055" s="2">
        <f t="shared" si="4"/>
        <v>256000</v>
      </c>
    </row>
    <row r="1056" spans="1:12" ht="14.25" customHeight="1" x14ac:dyDescent="0.2">
      <c r="A1056" s="33">
        <v>46730</v>
      </c>
      <c r="B1056" s="33"/>
      <c r="C1056" s="2" t="s">
        <v>29</v>
      </c>
      <c r="D1056" s="2" t="s">
        <v>19</v>
      </c>
      <c r="E1056" s="2" t="s">
        <v>23</v>
      </c>
      <c r="F1056" s="2" t="s">
        <v>14</v>
      </c>
      <c r="G1056" s="2" t="s">
        <v>38</v>
      </c>
      <c r="H1056" s="2" t="s">
        <v>31</v>
      </c>
      <c r="I1056" s="2">
        <v>420000</v>
      </c>
      <c r="J1056" s="2">
        <v>8</v>
      </c>
      <c r="K1056" s="2" t="s">
        <v>37</v>
      </c>
      <c r="L1056" s="2">
        <f t="shared" si="4"/>
        <v>336000</v>
      </c>
    </row>
    <row r="1057" spans="1:12" ht="14.25" customHeight="1" x14ac:dyDescent="0.2">
      <c r="A1057" s="33">
        <v>46731</v>
      </c>
      <c r="B1057" s="33"/>
      <c r="C1057" s="2" t="s">
        <v>25</v>
      </c>
      <c r="D1057" s="2" t="s">
        <v>26</v>
      </c>
      <c r="E1057" s="2" t="s">
        <v>23</v>
      </c>
      <c r="F1057" s="2" t="s">
        <v>14</v>
      </c>
      <c r="G1057" s="2" t="s">
        <v>36</v>
      </c>
      <c r="H1057" s="2" t="s">
        <v>31</v>
      </c>
      <c r="I1057" s="2">
        <v>150000</v>
      </c>
      <c r="J1057" s="2">
        <v>1</v>
      </c>
      <c r="K1057" s="2" t="s">
        <v>37</v>
      </c>
      <c r="L1057" s="2">
        <f t="shared" si="4"/>
        <v>120000</v>
      </c>
    </row>
    <row r="1058" spans="1:12" ht="14.25" customHeight="1" x14ac:dyDescent="0.2">
      <c r="A1058" s="33">
        <v>46732</v>
      </c>
      <c r="B1058" s="33"/>
      <c r="C1058" s="2" t="s">
        <v>25</v>
      </c>
      <c r="D1058" s="2" t="s">
        <v>19</v>
      </c>
      <c r="E1058" s="2" t="s">
        <v>13</v>
      </c>
      <c r="F1058" s="2" t="s">
        <v>14</v>
      </c>
      <c r="G1058" s="2" t="s">
        <v>27</v>
      </c>
      <c r="H1058" s="2" t="s">
        <v>22</v>
      </c>
      <c r="I1058" s="2">
        <v>60000</v>
      </c>
      <c r="J1058" s="2">
        <v>7</v>
      </c>
      <c r="K1058" s="2" t="s">
        <v>35</v>
      </c>
      <c r="L1058" s="2">
        <f t="shared" si="4"/>
        <v>48000</v>
      </c>
    </row>
    <row r="1059" spans="1:12" ht="14.25" customHeight="1" x14ac:dyDescent="0.2">
      <c r="A1059" s="33">
        <v>46733</v>
      </c>
      <c r="B1059" s="33"/>
      <c r="C1059" s="2" t="s">
        <v>25</v>
      </c>
      <c r="D1059" s="2" t="s">
        <v>19</v>
      </c>
      <c r="E1059" s="2" t="s">
        <v>13</v>
      </c>
      <c r="F1059" s="2" t="s">
        <v>20</v>
      </c>
      <c r="G1059" s="2" t="s">
        <v>38</v>
      </c>
      <c r="H1059" s="2" t="s">
        <v>31</v>
      </c>
      <c r="I1059" s="2">
        <v>420000</v>
      </c>
      <c r="J1059" s="2">
        <v>9</v>
      </c>
      <c r="K1059" s="2" t="s">
        <v>37</v>
      </c>
      <c r="L1059" s="2">
        <f t="shared" si="4"/>
        <v>336000</v>
      </c>
    </row>
    <row r="1060" spans="1:12" ht="14.25" customHeight="1" x14ac:dyDescent="0.2">
      <c r="A1060" s="33">
        <v>46734</v>
      </c>
      <c r="B1060" s="33"/>
      <c r="C1060" s="2" t="s">
        <v>18</v>
      </c>
      <c r="D1060" s="2" t="s">
        <v>26</v>
      </c>
      <c r="E1060" s="2" t="s">
        <v>23</v>
      </c>
      <c r="F1060" s="2" t="s">
        <v>20</v>
      </c>
      <c r="G1060" s="2" t="s">
        <v>38</v>
      </c>
      <c r="H1060" s="2" t="s">
        <v>31</v>
      </c>
      <c r="I1060" s="2">
        <v>420000</v>
      </c>
      <c r="J1060" s="2">
        <v>6</v>
      </c>
      <c r="K1060" s="2" t="s">
        <v>24</v>
      </c>
      <c r="L1060" s="2">
        <f t="shared" si="4"/>
        <v>336000</v>
      </c>
    </row>
    <row r="1061" spans="1:12" ht="14.25" customHeight="1" x14ac:dyDescent="0.2">
      <c r="A1061" s="33">
        <v>46735</v>
      </c>
      <c r="B1061" s="33"/>
      <c r="C1061" s="2" t="s">
        <v>18</v>
      </c>
      <c r="D1061" s="2" t="s">
        <v>12</v>
      </c>
      <c r="E1061" s="2" t="s">
        <v>13</v>
      </c>
      <c r="F1061" s="2" t="s">
        <v>14</v>
      </c>
      <c r="G1061" s="2" t="s">
        <v>30</v>
      </c>
      <c r="H1061" s="2" t="s">
        <v>31</v>
      </c>
      <c r="I1061" s="2">
        <v>300000</v>
      </c>
      <c r="J1061" s="2">
        <v>9</v>
      </c>
      <c r="K1061" s="2" t="s">
        <v>37</v>
      </c>
      <c r="L1061" s="2">
        <f t="shared" si="4"/>
        <v>240000</v>
      </c>
    </row>
    <row r="1062" spans="1:12" ht="14.25" customHeight="1" x14ac:dyDescent="0.2">
      <c r="A1062" s="33">
        <v>46736</v>
      </c>
      <c r="B1062" s="33"/>
      <c r="C1062" s="2" t="s">
        <v>29</v>
      </c>
      <c r="D1062" s="2" t="s">
        <v>12</v>
      </c>
      <c r="E1062" s="2" t="s">
        <v>23</v>
      </c>
      <c r="F1062" s="2" t="s">
        <v>14</v>
      </c>
      <c r="G1062" s="2" t="s">
        <v>33</v>
      </c>
      <c r="H1062" s="2" t="s">
        <v>22</v>
      </c>
      <c r="I1062" s="2">
        <v>180000</v>
      </c>
      <c r="J1062" s="2">
        <v>5</v>
      </c>
      <c r="K1062" s="2" t="s">
        <v>39</v>
      </c>
      <c r="L1062" s="2">
        <f t="shared" si="4"/>
        <v>144000</v>
      </c>
    </row>
    <row r="1063" spans="1:12" ht="14.25" customHeight="1" x14ac:dyDescent="0.2">
      <c r="A1063" s="33">
        <v>46737</v>
      </c>
      <c r="B1063" s="33"/>
      <c r="C1063" s="2" t="s">
        <v>25</v>
      </c>
      <c r="D1063" s="2" t="s">
        <v>26</v>
      </c>
      <c r="E1063" s="2" t="s">
        <v>13</v>
      </c>
      <c r="F1063" s="2" t="s">
        <v>20</v>
      </c>
      <c r="G1063" s="2" t="s">
        <v>36</v>
      </c>
      <c r="H1063" s="2" t="s">
        <v>31</v>
      </c>
      <c r="I1063" s="2">
        <v>150000</v>
      </c>
      <c r="J1063" s="2">
        <v>5</v>
      </c>
      <c r="K1063" s="2" t="s">
        <v>28</v>
      </c>
      <c r="L1063" s="2">
        <f t="shared" si="4"/>
        <v>120000</v>
      </c>
    </row>
    <row r="1064" spans="1:12" ht="14.25" customHeight="1" x14ac:dyDescent="0.2">
      <c r="A1064" s="33">
        <v>46738</v>
      </c>
      <c r="B1064" s="33"/>
      <c r="C1064" s="2" t="s">
        <v>18</v>
      </c>
      <c r="D1064" s="2" t="s">
        <v>12</v>
      </c>
      <c r="E1064" s="2" t="s">
        <v>13</v>
      </c>
      <c r="F1064" s="2" t="s">
        <v>14</v>
      </c>
      <c r="G1064" s="2" t="s">
        <v>15</v>
      </c>
      <c r="H1064" s="2" t="s">
        <v>16</v>
      </c>
      <c r="I1064" s="2">
        <v>85000</v>
      </c>
      <c r="J1064" s="2">
        <v>9</v>
      </c>
      <c r="K1064" s="2" t="s">
        <v>28</v>
      </c>
      <c r="L1064" s="2">
        <f t="shared" si="4"/>
        <v>68000</v>
      </c>
    </row>
    <row r="1065" spans="1:12" ht="14.25" customHeight="1" x14ac:dyDescent="0.2">
      <c r="A1065" s="33">
        <v>46739</v>
      </c>
      <c r="B1065" s="33"/>
      <c r="C1065" s="2" t="s">
        <v>11</v>
      </c>
      <c r="D1065" s="2" t="s">
        <v>32</v>
      </c>
      <c r="E1065" s="2" t="s">
        <v>23</v>
      </c>
      <c r="F1065" s="2" t="s">
        <v>14</v>
      </c>
      <c r="G1065" s="2" t="s">
        <v>38</v>
      </c>
      <c r="H1065" s="2" t="s">
        <v>31</v>
      </c>
      <c r="I1065" s="2">
        <v>420000</v>
      </c>
      <c r="J1065" s="2">
        <v>5</v>
      </c>
      <c r="K1065" s="2" t="s">
        <v>39</v>
      </c>
      <c r="L1065" s="2">
        <f t="shared" si="4"/>
        <v>336000</v>
      </c>
    </row>
    <row r="1066" spans="1:12" ht="14.25" customHeight="1" x14ac:dyDescent="0.2">
      <c r="A1066" s="33">
        <v>46740</v>
      </c>
      <c r="B1066" s="33"/>
      <c r="C1066" s="2" t="s">
        <v>18</v>
      </c>
      <c r="D1066" s="2" t="s">
        <v>19</v>
      </c>
      <c r="E1066" s="2" t="s">
        <v>13</v>
      </c>
      <c r="F1066" s="2" t="s">
        <v>20</v>
      </c>
      <c r="G1066" s="2" t="s">
        <v>34</v>
      </c>
      <c r="H1066" s="2" t="s">
        <v>16</v>
      </c>
      <c r="I1066" s="2">
        <v>320000</v>
      </c>
      <c r="J1066" s="2">
        <v>4</v>
      </c>
      <c r="K1066" s="2" t="s">
        <v>28</v>
      </c>
      <c r="L1066" s="2">
        <f t="shared" si="4"/>
        <v>256000</v>
      </c>
    </row>
    <row r="1067" spans="1:12" ht="14.25" customHeight="1" x14ac:dyDescent="0.2">
      <c r="A1067" s="33">
        <v>46741</v>
      </c>
      <c r="B1067" s="33"/>
      <c r="C1067" s="2" t="s">
        <v>18</v>
      </c>
      <c r="D1067" s="2" t="s">
        <v>19</v>
      </c>
      <c r="E1067" s="2" t="s">
        <v>23</v>
      </c>
      <c r="F1067" s="2" t="s">
        <v>14</v>
      </c>
      <c r="G1067" s="2" t="s">
        <v>21</v>
      </c>
      <c r="H1067" s="2" t="s">
        <v>22</v>
      </c>
      <c r="I1067" s="2">
        <v>30000</v>
      </c>
      <c r="J1067" s="2">
        <v>4</v>
      </c>
      <c r="K1067" s="2" t="s">
        <v>28</v>
      </c>
      <c r="L1067" s="2">
        <f t="shared" si="4"/>
        <v>24000</v>
      </c>
    </row>
    <row r="1068" spans="1:12" ht="14.25" customHeight="1" x14ac:dyDescent="0.2">
      <c r="A1068" s="33">
        <v>46742</v>
      </c>
      <c r="B1068" s="33"/>
      <c r="C1068" s="2" t="s">
        <v>25</v>
      </c>
      <c r="D1068" s="2" t="s">
        <v>32</v>
      </c>
      <c r="E1068" s="2" t="s">
        <v>23</v>
      </c>
      <c r="F1068" s="2" t="s">
        <v>20</v>
      </c>
      <c r="G1068" s="2" t="s">
        <v>36</v>
      </c>
      <c r="H1068" s="2" t="s">
        <v>31</v>
      </c>
      <c r="I1068" s="2">
        <v>150000</v>
      </c>
      <c r="J1068" s="2">
        <v>3</v>
      </c>
      <c r="K1068" s="2" t="s">
        <v>37</v>
      </c>
      <c r="L1068" s="2">
        <f t="shared" si="4"/>
        <v>120000</v>
      </c>
    </row>
    <row r="1069" spans="1:12" ht="14.25" customHeight="1" x14ac:dyDescent="0.2">
      <c r="A1069" s="33">
        <v>46743</v>
      </c>
      <c r="B1069" s="33"/>
      <c r="C1069" s="2" t="s">
        <v>11</v>
      </c>
      <c r="D1069" s="2" t="s">
        <v>19</v>
      </c>
      <c r="E1069" s="2" t="s">
        <v>13</v>
      </c>
      <c r="F1069" s="2" t="s">
        <v>14</v>
      </c>
      <c r="G1069" s="2" t="s">
        <v>41</v>
      </c>
      <c r="H1069" s="2" t="s">
        <v>22</v>
      </c>
      <c r="I1069" s="2">
        <v>220000</v>
      </c>
      <c r="J1069" s="2">
        <v>7</v>
      </c>
      <c r="K1069" s="2" t="s">
        <v>17</v>
      </c>
      <c r="L1069" s="2">
        <f t="shared" si="4"/>
        <v>176000</v>
      </c>
    </row>
    <row r="1070" spans="1:12" ht="14.25" customHeight="1" x14ac:dyDescent="0.2">
      <c r="A1070" s="33">
        <v>46744</v>
      </c>
      <c r="B1070" s="33"/>
      <c r="C1070" s="2" t="s">
        <v>18</v>
      </c>
      <c r="D1070" s="2" t="s">
        <v>12</v>
      </c>
      <c r="E1070" s="2" t="s">
        <v>13</v>
      </c>
      <c r="F1070" s="2" t="s">
        <v>20</v>
      </c>
      <c r="G1070" s="2" t="s">
        <v>33</v>
      </c>
      <c r="H1070" s="2" t="s">
        <v>22</v>
      </c>
      <c r="I1070" s="2">
        <v>180000</v>
      </c>
      <c r="J1070" s="2">
        <v>10</v>
      </c>
      <c r="K1070" s="2" t="s">
        <v>35</v>
      </c>
      <c r="L1070" s="2">
        <f t="shared" si="4"/>
        <v>144000</v>
      </c>
    </row>
    <row r="1071" spans="1:12" ht="14.25" customHeight="1" x14ac:dyDescent="0.2">
      <c r="A1071" s="33">
        <v>46745</v>
      </c>
      <c r="B1071" s="33"/>
      <c r="C1071" s="2" t="s">
        <v>11</v>
      </c>
      <c r="D1071" s="2" t="s">
        <v>32</v>
      </c>
      <c r="E1071" s="2" t="s">
        <v>23</v>
      </c>
      <c r="F1071" s="2" t="s">
        <v>14</v>
      </c>
      <c r="G1071" s="2" t="s">
        <v>15</v>
      </c>
      <c r="H1071" s="2" t="s">
        <v>16</v>
      </c>
      <c r="I1071" s="2">
        <v>85000</v>
      </c>
      <c r="J1071" s="2">
        <v>7</v>
      </c>
      <c r="K1071" s="2" t="s">
        <v>24</v>
      </c>
      <c r="L1071" s="2">
        <f t="shared" si="4"/>
        <v>68000</v>
      </c>
    </row>
    <row r="1072" spans="1:12" ht="14.25" customHeight="1" x14ac:dyDescent="0.2">
      <c r="A1072" s="33">
        <v>46746</v>
      </c>
      <c r="B1072" s="33"/>
      <c r="C1072" s="2" t="s">
        <v>18</v>
      </c>
      <c r="D1072" s="2" t="s">
        <v>19</v>
      </c>
      <c r="E1072" s="2" t="s">
        <v>13</v>
      </c>
      <c r="F1072" s="2" t="s">
        <v>14</v>
      </c>
      <c r="G1072" s="2" t="s">
        <v>21</v>
      </c>
      <c r="H1072" s="2" t="s">
        <v>22</v>
      </c>
      <c r="I1072" s="2">
        <v>30000</v>
      </c>
      <c r="J1072" s="2">
        <v>3</v>
      </c>
      <c r="K1072" s="2" t="s">
        <v>24</v>
      </c>
      <c r="L1072" s="2">
        <f t="shared" si="4"/>
        <v>24000</v>
      </c>
    </row>
    <row r="1073" spans="1:12" ht="14.25" customHeight="1" x14ac:dyDescent="0.2">
      <c r="A1073" s="33">
        <v>46747</v>
      </c>
      <c r="B1073" s="33"/>
      <c r="C1073" s="2" t="s">
        <v>29</v>
      </c>
      <c r="D1073" s="2" t="s">
        <v>12</v>
      </c>
      <c r="E1073" s="2" t="s">
        <v>23</v>
      </c>
      <c r="F1073" s="2" t="s">
        <v>14</v>
      </c>
      <c r="G1073" s="2" t="s">
        <v>34</v>
      </c>
      <c r="H1073" s="2" t="s">
        <v>16</v>
      </c>
      <c r="I1073" s="2">
        <v>320000</v>
      </c>
      <c r="J1073" s="2">
        <v>9</v>
      </c>
      <c r="K1073" s="2" t="s">
        <v>37</v>
      </c>
      <c r="L1073" s="2">
        <f t="shared" si="4"/>
        <v>256000</v>
      </c>
    </row>
    <row r="1074" spans="1:12" ht="14.25" customHeight="1" x14ac:dyDescent="0.2">
      <c r="A1074" s="33">
        <v>46748</v>
      </c>
      <c r="B1074" s="33"/>
      <c r="C1074" s="2" t="s">
        <v>11</v>
      </c>
      <c r="D1074" s="2" t="s">
        <v>19</v>
      </c>
      <c r="E1074" s="2" t="s">
        <v>13</v>
      </c>
      <c r="F1074" s="2" t="s">
        <v>20</v>
      </c>
      <c r="G1074" s="2" t="s">
        <v>36</v>
      </c>
      <c r="H1074" s="2" t="s">
        <v>31</v>
      </c>
      <c r="I1074" s="2">
        <v>150000</v>
      </c>
      <c r="J1074" s="2">
        <v>2</v>
      </c>
      <c r="K1074" s="2" t="s">
        <v>24</v>
      </c>
      <c r="L1074" s="2">
        <f t="shared" si="4"/>
        <v>120000</v>
      </c>
    </row>
    <row r="1075" spans="1:12" ht="14.25" customHeight="1" x14ac:dyDescent="0.2">
      <c r="A1075" s="33">
        <v>46749</v>
      </c>
      <c r="B1075" s="33"/>
      <c r="C1075" s="2" t="s">
        <v>18</v>
      </c>
      <c r="D1075" s="2" t="s">
        <v>19</v>
      </c>
      <c r="E1075" s="2" t="s">
        <v>23</v>
      </c>
      <c r="F1075" s="2" t="s">
        <v>20</v>
      </c>
      <c r="G1075" s="2" t="s">
        <v>33</v>
      </c>
      <c r="H1075" s="2" t="s">
        <v>22</v>
      </c>
      <c r="I1075" s="2">
        <v>180000</v>
      </c>
      <c r="J1075" s="2">
        <v>8</v>
      </c>
      <c r="K1075" s="2" t="s">
        <v>37</v>
      </c>
      <c r="L1075" s="2">
        <f t="shared" si="4"/>
        <v>144000</v>
      </c>
    </row>
    <row r="1076" spans="1:12" ht="14.25" customHeight="1" x14ac:dyDescent="0.2">
      <c r="A1076" s="33">
        <v>46750</v>
      </c>
      <c r="B1076" s="33"/>
      <c r="C1076" s="2" t="s">
        <v>18</v>
      </c>
      <c r="D1076" s="2" t="s">
        <v>19</v>
      </c>
      <c r="E1076" s="2" t="s">
        <v>23</v>
      </c>
      <c r="F1076" s="2" t="s">
        <v>20</v>
      </c>
      <c r="G1076" s="2" t="s">
        <v>15</v>
      </c>
      <c r="H1076" s="2" t="s">
        <v>16</v>
      </c>
      <c r="I1076" s="2">
        <v>85000</v>
      </c>
      <c r="J1076" s="2">
        <v>7</v>
      </c>
      <c r="K1076" s="2" t="s">
        <v>17</v>
      </c>
      <c r="L1076" s="2">
        <f t="shared" si="4"/>
        <v>68000</v>
      </c>
    </row>
    <row r="1077" spans="1:12" ht="14.25" customHeight="1" x14ac:dyDescent="0.2">
      <c r="A1077" s="33">
        <v>46751</v>
      </c>
      <c r="B1077" s="33"/>
      <c r="C1077" s="2" t="s">
        <v>11</v>
      </c>
      <c r="D1077" s="2" t="s">
        <v>32</v>
      </c>
      <c r="E1077" s="2" t="s">
        <v>23</v>
      </c>
      <c r="F1077" s="2" t="s">
        <v>14</v>
      </c>
      <c r="G1077" s="2" t="s">
        <v>33</v>
      </c>
      <c r="H1077" s="2" t="s">
        <v>22</v>
      </c>
      <c r="I1077" s="2">
        <v>180000</v>
      </c>
      <c r="J1077" s="2">
        <v>8</v>
      </c>
      <c r="K1077" s="2" t="s">
        <v>39</v>
      </c>
      <c r="L1077" s="2">
        <f t="shared" si="4"/>
        <v>144000</v>
      </c>
    </row>
    <row r="1078" spans="1:12" ht="14.25" customHeight="1" x14ac:dyDescent="0.2">
      <c r="A1078" s="33">
        <v>46752</v>
      </c>
      <c r="B1078" s="33"/>
      <c r="C1078" s="2" t="s">
        <v>29</v>
      </c>
      <c r="D1078" s="2" t="s">
        <v>12</v>
      </c>
      <c r="E1078" s="2" t="s">
        <v>23</v>
      </c>
      <c r="F1078" s="2" t="s">
        <v>14</v>
      </c>
      <c r="G1078" s="2" t="s">
        <v>41</v>
      </c>
      <c r="H1078" s="2" t="s">
        <v>22</v>
      </c>
      <c r="I1078" s="2">
        <v>220000</v>
      </c>
      <c r="J1078" s="2">
        <v>5</v>
      </c>
      <c r="K1078" s="2" t="s">
        <v>39</v>
      </c>
      <c r="L1078" s="2">
        <f t="shared" si="4"/>
        <v>176000</v>
      </c>
    </row>
    <row r="1079" spans="1:12" ht="14.25" customHeight="1" x14ac:dyDescent="0.2">
      <c r="A1079" s="33">
        <v>46753</v>
      </c>
      <c r="B1079" s="33"/>
      <c r="C1079" s="2" t="s">
        <v>29</v>
      </c>
      <c r="D1079" s="2" t="s">
        <v>26</v>
      </c>
      <c r="E1079" s="2" t="s">
        <v>13</v>
      </c>
      <c r="F1079" s="2" t="s">
        <v>14</v>
      </c>
      <c r="G1079" s="2" t="s">
        <v>30</v>
      </c>
      <c r="H1079" s="2" t="s">
        <v>31</v>
      </c>
      <c r="I1079" s="2">
        <v>300000</v>
      </c>
      <c r="J1079" s="2">
        <v>5</v>
      </c>
      <c r="K1079" s="2" t="s">
        <v>37</v>
      </c>
      <c r="L1079" s="2">
        <f t="shared" si="4"/>
        <v>240000</v>
      </c>
    </row>
    <row r="1080" spans="1:12" ht="14.25" customHeight="1" x14ac:dyDescent="0.2">
      <c r="A1080" s="33">
        <v>46754</v>
      </c>
      <c r="B1080" s="33"/>
      <c r="C1080" s="2" t="s">
        <v>29</v>
      </c>
      <c r="D1080" s="2" t="s">
        <v>32</v>
      </c>
      <c r="E1080" s="2" t="s">
        <v>13</v>
      </c>
      <c r="F1080" s="2" t="s">
        <v>20</v>
      </c>
      <c r="G1080" s="2" t="s">
        <v>40</v>
      </c>
      <c r="H1080" s="2" t="s">
        <v>31</v>
      </c>
      <c r="I1080" s="2">
        <v>250000</v>
      </c>
      <c r="J1080" s="2">
        <v>7</v>
      </c>
      <c r="K1080" s="2" t="s">
        <v>17</v>
      </c>
      <c r="L1080" s="2">
        <f t="shared" si="4"/>
        <v>200000</v>
      </c>
    </row>
    <row r="1081" spans="1:12" ht="14.25" customHeight="1" x14ac:dyDescent="0.2">
      <c r="A1081" s="33">
        <v>46755</v>
      </c>
      <c r="B1081" s="33"/>
      <c r="C1081" s="2" t="s">
        <v>11</v>
      </c>
      <c r="D1081" s="2" t="s">
        <v>32</v>
      </c>
      <c r="E1081" s="2" t="s">
        <v>23</v>
      </c>
      <c r="F1081" s="2" t="s">
        <v>20</v>
      </c>
      <c r="G1081" s="2" t="s">
        <v>27</v>
      </c>
      <c r="H1081" s="2" t="s">
        <v>22</v>
      </c>
      <c r="I1081" s="2">
        <v>60000</v>
      </c>
      <c r="J1081" s="2">
        <v>7</v>
      </c>
      <c r="K1081" s="2" t="s">
        <v>37</v>
      </c>
      <c r="L1081" s="2">
        <f t="shared" si="4"/>
        <v>48000</v>
      </c>
    </row>
    <row r="1082" spans="1:12" ht="14.25" customHeight="1" x14ac:dyDescent="0.2">
      <c r="A1082" s="33">
        <v>46756</v>
      </c>
      <c r="B1082" s="33"/>
      <c r="C1082" s="2" t="s">
        <v>18</v>
      </c>
      <c r="D1082" s="2" t="s">
        <v>12</v>
      </c>
      <c r="E1082" s="2" t="s">
        <v>23</v>
      </c>
      <c r="F1082" s="2" t="s">
        <v>14</v>
      </c>
      <c r="G1082" s="2" t="s">
        <v>15</v>
      </c>
      <c r="H1082" s="2" t="s">
        <v>16</v>
      </c>
      <c r="I1082" s="2">
        <v>85000</v>
      </c>
      <c r="J1082" s="2">
        <v>2</v>
      </c>
      <c r="K1082" s="2" t="s">
        <v>35</v>
      </c>
      <c r="L1082" s="2">
        <f t="shared" si="4"/>
        <v>68000</v>
      </c>
    </row>
    <row r="1083" spans="1:12" ht="14.25" customHeight="1" x14ac:dyDescent="0.2">
      <c r="A1083" s="33">
        <v>46757</v>
      </c>
      <c r="B1083" s="33"/>
      <c r="C1083" s="2" t="s">
        <v>11</v>
      </c>
      <c r="D1083" s="2" t="s">
        <v>12</v>
      </c>
      <c r="E1083" s="2" t="s">
        <v>13</v>
      </c>
      <c r="F1083" s="2" t="s">
        <v>20</v>
      </c>
      <c r="G1083" s="2" t="s">
        <v>27</v>
      </c>
      <c r="H1083" s="2" t="s">
        <v>22</v>
      </c>
      <c r="I1083" s="2">
        <v>60000</v>
      </c>
      <c r="J1083" s="2">
        <v>2</v>
      </c>
      <c r="K1083" s="2" t="s">
        <v>39</v>
      </c>
      <c r="L1083" s="2">
        <f t="shared" si="4"/>
        <v>48000</v>
      </c>
    </row>
    <row r="1084" spans="1:12" ht="14.25" customHeight="1" x14ac:dyDescent="0.2">
      <c r="A1084" s="33">
        <v>46758</v>
      </c>
      <c r="B1084" s="33"/>
      <c r="C1084" s="2" t="s">
        <v>18</v>
      </c>
      <c r="D1084" s="2" t="s">
        <v>32</v>
      </c>
      <c r="E1084" s="2" t="s">
        <v>23</v>
      </c>
      <c r="F1084" s="2" t="s">
        <v>14</v>
      </c>
      <c r="G1084" s="2" t="s">
        <v>21</v>
      </c>
      <c r="H1084" s="2" t="s">
        <v>22</v>
      </c>
      <c r="I1084" s="2">
        <v>30000</v>
      </c>
      <c r="J1084" s="2">
        <v>10</v>
      </c>
      <c r="K1084" s="2" t="s">
        <v>39</v>
      </c>
      <c r="L1084" s="2">
        <f t="shared" si="4"/>
        <v>24000</v>
      </c>
    </row>
    <row r="1085" spans="1:12" ht="14.25" customHeight="1" x14ac:dyDescent="0.2">
      <c r="A1085" s="33">
        <v>46759</v>
      </c>
      <c r="B1085" s="33"/>
      <c r="C1085" s="2" t="s">
        <v>29</v>
      </c>
      <c r="D1085" s="2" t="s">
        <v>19</v>
      </c>
      <c r="E1085" s="2" t="s">
        <v>23</v>
      </c>
      <c r="F1085" s="2" t="s">
        <v>20</v>
      </c>
      <c r="G1085" s="2" t="s">
        <v>38</v>
      </c>
      <c r="H1085" s="2" t="s">
        <v>31</v>
      </c>
      <c r="I1085" s="2">
        <v>420000</v>
      </c>
      <c r="J1085" s="2">
        <v>8</v>
      </c>
      <c r="K1085" s="2" t="s">
        <v>24</v>
      </c>
      <c r="L1085" s="2">
        <f t="shared" si="4"/>
        <v>336000</v>
      </c>
    </row>
    <row r="1086" spans="1:12" ht="14.25" customHeight="1" x14ac:dyDescent="0.2">
      <c r="A1086" s="33">
        <v>46760</v>
      </c>
      <c r="B1086" s="33"/>
      <c r="C1086" s="2" t="s">
        <v>11</v>
      </c>
      <c r="D1086" s="2" t="s">
        <v>19</v>
      </c>
      <c r="E1086" s="2" t="s">
        <v>23</v>
      </c>
      <c r="F1086" s="2" t="s">
        <v>14</v>
      </c>
      <c r="G1086" s="2" t="s">
        <v>27</v>
      </c>
      <c r="H1086" s="2" t="s">
        <v>22</v>
      </c>
      <c r="I1086" s="2">
        <v>60000</v>
      </c>
      <c r="J1086" s="2">
        <v>2</v>
      </c>
      <c r="K1086" s="2" t="s">
        <v>37</v>
      </c>
      <c r="L1086" s="2">
        <f t="shared" si="4"/>
        <v>48000</v>
      </c>
    </row>
    <row r="1087" spans="1:12" ht="14.25" customHeight="1" x14ac:dyDescent="0.2">
      <c r="A1087" s="33">
        <v>46761</v>
      </c>
      <c r="B1087" s="33"/>
      <c r="C1087" s="2" t="s">
        <v>25</v>
      </c>
      <c r="D1087" s="2" t="s">
        <v>26</v>
      </c>
      <c r="E1087" s="2" t="s">
        <v>23</v>
      </c>
      <c r="F1087" s="2" t="s">
        <v>20</v>
      </c>
      <c r="G1087" s="2" t="s">
        <v>15</v>
      </c>
      <c r="H1087" s="2" t="s">
        <v>16</v>
      </c>
      <c r="I1087" s="2">
        <v>85000</v>
      </c>
      <c r="J1087" s="2">
        <v>8</v>
      </c>
      <c r="K1087" s="2" t="s">
        <v>39</v>
      </c>
      <c r="L1087" s="2">
        <f t="shared" si="4"/>
        <v>68000</v>
      </c>
    </row>
    <row r="1088" spans="1:12" ht="14.25" customHeight="1" x14ac:dyDescent="0.2">
      <c r="A1088" s="33">
        <v>46762</v>
      </c>
      <c r="B1088" s="33"/>
      <c r="C1088" s="2" t="s">
        <v>11</v>
      </c>
      <c r="D1088" s="2" t="s">
        <v>12</v>
      </c>
      <c r="E1088" s="2" t="s">
        <v>13</v>
      </c>
      <c r="F1088" s="2" t="s">
        <v>20</v>
      </c>
      <c r="G1088" s="2" t="s">
        <v>38</v>
      </c>
      <c r="H1088" s="2" t="s">
        <v>31</v>
      </c>
      <c r="I1088" s="2">
        <v>420000</v>
      </c>
      <c r="J1088" s="2">
        <v>7</v>
      </c>
      <c r="K1088" s="2" t="s">
        <v>35</v>
      </c>
      <c r="L1088" s="2">
        <f t="shared" si="4"/>
        <v>336000</v>
      </c>
    </row>
    <row r="1089" spans="1:12" ht="14.25" customHeight="1" x14ac:dyDescent="0.2">
      <c r="A1089" s="33">
        <v>46763</v>
      </c>
      <c r="B1089" s="33"/>
      <c r="C1089" s="2" t="s">
        <v>18</v>
      </c>
      <c r="D1089" s="2" t="s">
        <v>32</v>
      </c>
      <c r="E1089" s="2" t="s">
        <v>13</v>
      </c>
      <c r="F1089" s="2" t="s">
        <v>20</v>
      </c>
      <c r="G1089" s="2" t="s">
        <v>30</v>
      </c>
      <c r="H1089" s="2" t="s">
        <v>31</v>
      </c>
      <c r="I1089" s="2">
        <v>300000</v>
      </c>
      <c r="J1089" s="2">
        <v>6</v>
      </c>
      <c r="K1089" s="2" t="s">
        <v>39</v>
      </c>
      <c r="L1089" s="2">
        <f t="shared" si="4"/>
        <v>240000</v>
      </c>
    </row>
    <row r="1090" spans="1:12" ht="14.25" customHeight="1" x14ac:dyDescent="0.2">
      <c r="A1090" s="33">
        <v>46764</v>
      </c>
      <c r="B1090" s="33"/>
      <c r="C1090" s="2" t="s">
        <v>29</v>
      </c>
      <c r="D1090" s="2" t="s">
        <v>12</v>
      </c>
      <c r="E1090" s="2" t="s">
        <v>13</v>
      </c>
      <c r="F1090" s="2" t="s">
        <v>14</v>
      </c>
      <c r="G1090" s="2" t="s">
        <v>38</v>
      </c>
      <c r="H1090" s="2" t="s">
        <v>31</v>
      </c>
      <c r="I1090" s="2">
        <v>420000</v>
      </c>
      <c r="J1090" s="2">
        <v>2</v>
      </c>
      <c r="K1090" s="2" t="s">
        <v>37</v>
      </c>
      <c r="L1090" s="2">
        <f t="shared" si="4"/>
        <v>336000</v>
      </c>
    </row>
    <row r="1091" spans="1:12" ht="14.25" customHeight="1" x14ac:dyDescent="0.2">
      <c r="A1091" s="33">
        <v>46765</v>
      </c>
      <c r="B1091" s="33"/>
      <c r="C1091" s="2" t="s">
        <v>29</v>
      </c>
      <c r="D1091" s="2" t="s">
        <v>12</v>
      </c>
      <c r="E1091" s="2" t="s">
        <v>23</v>
      </c>
      <c r="F1091" s="2" t="s">
        <v>14</v>
      </c>
      <c r="G1091" s="2" t="s">
        <v>30</v>
      </c>
      <c r="H1091" s="2" t="s">
        <v>31</v>
      </c>
      <c r="I1091" s="2">
        <v>300000</v>
      </c>
      <c r="J1091" s="2">
        <v>8</v>
      </c>
      <c r="K1091" s="2" t="s">
        <v>35</v>
      </c>
      <c r="L1091" s="2">
        <f t="shared" si="4"/>
        <v>240000</v>
      </c>
    </row>
    <row r="1092" spans="1:12" ht="14.25" customHeight="1" x14ac:dyDescent="0.2">
      <c r="A1092" s="33">
        <v>46766</v>
      </c>
      <c r="B1092" s="33"/>
      <c r="C1092" s="2" t="s">
        <v>29</v>
      </c>
      <c r="D1092" s="2" t="s">
        <v>26</v>
      </c>
      <c r="E1092" s="2" t="s">
        <v>13</v>
      </c>
      <c r="F1092" s="2" t="s">
        <v>14</v>
      </c>
      <c r="G1092" s="2" t="s">
        <v>40</v>
      </c>
      <c r="H1092" s="2" t="s">
        <v>31</v>
      </c>
      <c r="I1092" s="2">
        <v>250000</v>
      </c>
      <c r="J1092" s="2">
        <v>5</v>
      </c>
      <c r="K1092" s="2" t="s">
        <v>35</v>
      </c>
      <c r="L1092" s="2">
        <f t="shared" si="4"/>
        <v>200000</v>
      </c>
    </row>
    <row r="1093" spans="1:12" ht="14.25" customHeight="1" x14ac:dyDescent="0.2">
      <c r="A1093" s="33">
        <v>46767</v>
      </c>
      <c r="B1093" s="33"/>
      <c r="C1093" s="2" t="s">
        <v>18</v>
      </c>
      <c r="D1093" s="2" t="s">
        <v>32</v>
      </c>
      <c r="E1093" s="2" t="s">
        <v>23</v>
      </c>
      <c r="F1093" s="2" t="s">
        <v>20</v>
      </c>
      <c r="G1093" s="2" t="s">
        <v>38</v>
      </c>
      <c r="H1093" s="2" t="s">
        <v>31</v>
      </c>
      <c r="I1093" s="2">
        <v>420000</v>
      </c>
      <c r="J1093" s="2">
        <v>5</v>
      </c>
      <c r="K1093" s="2" t="s">
        <v>35</v>
      </c>
      <c r="L1093" s="2">
        <f t="shared" si="4"/>
        <v>336000</v>
      </c>
    </row>
    <row r="1094" spans="1:12" ht="14.25" customHeight="1" x14ac:dyDescent="0.2">
      <c r="A1094" s="33">
        <v>46768</v>
      </c>
      <c r="B1094" s="33"/>
      <c r="C1094" s="2" t="s">
        <v>18</v>
      </c>
      <c r="D1094" s="2" t="s">
        <v>26</v>
      </c>
      <c r="E1094" s="2" t="s">
        <v>23</v>
      </c>
      <c r="F1094" s="2" t="s">
        <v>14</v>
      </c>
      <c r="G1094" s="2" t="s">
        <v>38</v>
      </c>
      <c r="H1094" s="2" t="s">
        <v>31</v>
      </c>
      <c r="I1094" s="2">
        <v>420000</v>
      </c>
      <c r="J1094" s="2">
        <v>10</v>
      </c>
      <c r="K1094" s="2" t="s">
        <v>24</v>
      </c>
      <c r="L1094" s="2">
        <f t="shared" si="4"/>
        <v>336000</v>
      </c>
    </row>
    <row r="1095" spans="1:12" ht="14.25" customHeight="1" x14ac:dyDescent="0.2">
      <c r="A1095" s="33">
        <v>46769</v>
      </c>
      <c r="B1095" s="33"/>
      <c r="C1095" s="2" t="s">
        <v>29</v>
      </c>
      <c r="D1095" s="2" t="s">
        <v>26</v>
      </c>
      <c r="E1095" s="2" t="s">
        <v>13</v>
      </c>
      <c r="F1095" s="2" t="s">
        <v>14</v>
      </c>
      <c r="G1095" s="2" t="s">
        <v>34</v>
      </c>
      <c r="H1095" s="2" t="s">
        <v>16</v>
      </c>
      <c r="I1095" s="2">
        <v>320000</v>
      </c>
      <c r="J1095" s="2">
        <v>1</v>
      </c>
      <c r="K1095" s="2" t="s">
        <v>28</v>
      </c>
      <c r="L1095" s="2">
        <f t="shared" si="4"/>
        <v>256000</v>
      </c>
    </row>
    <row r="1096" spans="1:12" ht="14.25" customHeight="1" x14ac:dyDescent="0.2">
      <c r="A1096" s="33">
        <v>46770</v>
      </c>
      <c r="B1096" s="33"/>
      <c r="C1096" s="2" t="s">
        <v>25</v>
      </c>
      <c r="D1096" s="2" t="s">
        <v>32</v>
      </c>
      <c r="E1096" s="2" t="s">
        <v>13</v>
      </c>
      <c r="F1096" s="2" t="s">
        <v>14</v>
      </c>
      <c r="G1096" s="2" t="s">
        <v>34</v>
      </c>
      <c r="H1096" s="2" t="s">
        <v>16</v>
      </c>
      <c r="I1096" s="2">
        <v>320000</v>
      </c>
      <c r="J1096" s="2">
        <v>1</v>
      </c>
      <c r="K1096" s="2" t="s">
        <v>35</v>
      </c>
      <c r="L1096" s="2">
        <f t="shared" si="4"/>
        <v>256000</v>
      </c>
    </row>
    <row r="1097" spans="1:12" ht="14.25" customHeight="1" x14ac:dyDescent="0.2">
      <c r="A1097" s="33">
        <v>46771</v>
      </c>
      <c r="B1097" s="33"/>
      <c r="C1097" s="2" t="s">
        <v>29</v>
      </c>
      <c r="D1097" s="2" t="s">
        <v>26</v>
      </c>
      <c r="E1097" s="2" t="s">
        <v>23</v>
      </c>
      <c r="F1097" s="2" t="s">
        <v>20</v>
      </c>
      <c r="G1097" s="2" t="s">
        <v>36</v>
      </c>
      <c r="H1097" s="2" t="s">
        <v>31</v>
      </c>
      <c r="I1097" s="2">
        <v>150000</v>
      </c>
      <c r="J1097" s="2">
        <v>1</v>
      </c>
      <c r="K1097" s="2" t="s">
        <v>39</v>
      </c>
      <c r="L1097" s="2">
        <f t="shared" si="4"/>
        <v>120000</v>
      </c>
    </row>
    <row r="1098" spans="1:12" ht="14.25" customHeight="1" x14ac:dyDescent="0.2">
      <c r="A1098" s="33">
        <v>46772</v>
      </c>
      <c r="B1098" s="33"/>
      <c r="C1098" s="2" t="s">
        <v>18</v>
      </c>
      <c r="D1098" s="2" t="s">
        <v>12</v>
      </c>
      <c r="E1098" s="2" t="s">
        <v>23</v>
      </c>
      <c r="F1098" s="2" t="s">
        <v>14</v>
      </c>
      <c r="G1098" s="2" t="s">
        <v>33</v>
      </c>
      <c r="H1098" s="2" t="s">
        <v>22</v>
      </c>
      <c r="I1098" s="2">
        <v>180000</v>
      </c>
      <c r="J1098" s="2">
        <v>10</v>
      </c>
      <c r="K1098" s="2" t="s">
        <v>28</v>
      </c>
      <c r="L1098" s="2">
        <f t="shared" si="4"/>
        <v>144000</v>
      </c>
    </row>
    <row r="1099" spans="1:12" ht="14.25" customHeight="1" x14ac:dyDescent="0.2">
      <c r="A1099" s="33">
        <v>46773</v>
      </c>
      <c r="B1099" s="33"/>
      <c r="C1099" s="2" t="s">
        <v>29</v>
      </c>
      <c r="D1099" s="2" t="s">
        <v>26</v>
      </c>
      <c r="E1099" s="2" t="s">
        <v>13</v>
      </c>
      <c r="F1099" s="2" t="s">
        <v>20</v>
      </c>
      <c r="G1099" s="2" t="s">
        <v>38</v>
      </c>
      <c r="H1099" s="2" t="s">
        <v>31</v>
      </c>
      <c r="I1099" s="2">
        <v>420000</v>
      </c>
      <c r="J1099" s="2">
        <v>3</v>
      </c>
      <c r="K1099" s="2" t="s">
        <v>24</v>
      </c>
      <c r="L1099" s="2">
        <f t="shared" si="4"/>
        <v>336000</v>
      </c>
    </row>
    <row r="1100" spans="1:12" ht="14.25" customHeight="1" x14ac:dyDescent="0.2">
      <c r="A1100" s="33">
        <v>46774</v>
      </c>
      <c r="B1100" s="33"/>
      <c r="C1100" s="2" t="s">
        <v>29</v>
      </c>
      <c r="D1100" s="2" t="s">
        <v>32</v>
      </c>
      <c r="E1100" s="2" t="s">
        <v>13</v>
      </c>
      <c r="F1100" s="2" t="s">
        <v>14</v>
      </c>
      <c r="G1100" s="2" t="s">
        <v>41</v>
      </c>
      <c r="H1100" s="2" t="s">
        <v>22</v>
      </c>
      <c r="I1100" s="2">
        <v>220000</v>
      </c>
      <c r="J1100" s="2">
        <v>10</v>
      </c>
      <c r="K1100" s="2" t="s">
        <v>39</v>
      </c>
      <c r="L1100" s="2">
        <f t="shared" si="4"/>
        <v>176000</v>
      </c>
    </row>
    <row r="1101" spans="1:12" ht="14.25" customHeight="1" x14ac:dyDescent="0.2">
      <c r="A1101" s="33">
        <v>46775</v>
      </c>
      <c r="B1101" s="33"/>
      <c r="C1101" s="2" t="s">
        <v>18</v>
      </c>
      <c r="D1101" s="2" t="s">
        <v>32</v>
      </c>
      <c r="E1101" s="2" t="s">
        <v>23</v>
      </c>
      <c r="F1101" s="2" t="s">
        <v>20</v>
      </c>
      <c r="G1101" s="2" t="s">
        <v>38</v>
      </c>
      <c r="H1101" s="2" t="s">
        <v>31</v>
      </c>
      <c r="I1101" s="2">
        <v>420000</v>
      </c>
      <c r="J1101" s="2">
        <v>9</v>
      </c>
      <c r="K1101" s="2" t="s">
        <v>35</v>
      </c>
      <c r="L1101" s="2">
        <f t="shared" si="4"/>
        <v>336000</v>
      </c>
    </row>
    <row r="1102" spans="1:12" ht="14.25" customHeight="1" x14ac:dyDescent="0.2">
      <c r="A1102" s="33">
        <v>46776</v>
      </c>
      <c r="B1102" s="33"/>
      <c r="C1102" s="2" t="s">
        <v>11</v>
      </c>
      <c r="D1102" s="2" t="s">
        <v>32</v>
      </c>
      <c r="E1102" s="2" t="s">
        <v>13</v>
      </c>
      <c r="F1102" s="2" t="s">
        <v>20</v>
      </c>
      <c r="G1102" s="2" t="s">
        <v>21</v>
      </c>
      <c r="H1102" s="2" t="s">
        <v>22</v>
      </c>
      <c r="I1102" s="2">
        <v>30000</v>
      </c>
      <c r="J1102" s="2">
        <v>6</v>
      </c>
      <c r="K1102" s="2" t="s">
        <v>39</v>
      </c>
      <c r="L1102" s="2">
        <f t="shared" si="4"/>
        <v>24000</v>
      </c>
    </row>
    <row r="1103" spans="1:12" ht="14.25" customHeight="1" x14ac:dyDescent="0.2">
      <c r="A1103" s="33">
        <v>46777</v>
      </c>
      <c r="B1103" s="33"/>
      <c r="C1103" s="2" t="s">
        <v>29</v>
      </c>
      <c r="D1103" s="2" t="s">
        <v>12</v>
      </c>
      <c r="E1103" s="2" t="s">
        <v>13</v>
      </c>
      <c r="F1103" s="2" t="s">
        <v>20</v>
      </c>
      <c r="G1103" s="2" t="s">
        <v>40</v>
      </c>
      <c r="H1103" s="2" t="s">
        <v>31</v>
      </c>
      <c r="I1103" s="2">
        <v>250000</v>
      </c>
      <c r="J1103" s="2">
        <v>10</v>
      </c>
      <c r="K1103" s="2" t="s">
        <v>24</v>
      </c>
      <c r="L1103" s="2">
        <f t="shared" si="4"/>
        <v>200000</v>
      </c>
    </row>
    <row r="1104" spans="1:12" ht="14.25" customHeight="1" x14ac:dyDescent="0.2">
      <c r="A1104" s="33">
        <v>46778</v>
      </c>
      <c r="B1104" s="33"/>
      <c r="C1104" s="2" t="s">
        <v>18</v>
      </c>
      <c r="D1104" s="2" t="s">
        <v>26</v>
      </c>
      <c r="E1104" s="2" t="s">
        <v>13</v>
      </c>
      <c r="F1104" s="2" t="s">
        <v>20</v>
      </c>
      <c r="G1104" s="2" t="s">
        <v>15</v>
      </c>
      <c r="H1104" s="2" t="s">
        <v>16</v>
      </c>
      <c r="I1104" s="2">
        <v>85000</v>
      </c>
      <c r="J1104" s="2">
        <v>6</v>
      </c>
      <c r="K1104" s="2" t="s">
        <v>39</v>
      </c>
      <c r="L1104" s="2">
        <f t="shared" si="4"/>
        <v>68000</v>
      </c>
    </row>
    <row r="1105" spans="1:12" ht="14.25" customHeight="1" x14ac:dyDescent="0.2">
      <c r="A1105" s="33">
        <v>46779</v>
      </c>
      <c r="B1105" s="33"/>
      <c r="C1105" s="2" t="s">
        <v>29</v>
      </c>
      <c r="D1105" s="2" t="s">
        <v>19</v>
      </c>
      <c r="E1105" s="2" t="s">
        <v>23</v>
      </c>
      <c r="F1105" s="2" t="s">
        <v>20</v>
      </c>
      <c r="G1105" s="2" t="s">
        <v>38</v>
      </c>
      <c r="H1105" s="2" t="s">
        <v>31</v>
      </c>
      <c r="I1105" s="2">
        <v>420000</v>
      </c>
      <c r="J1105" s="2">
        <v>3</v>
      </c>
      <c r="K1105" s="2" t="s">
        <v>37</v>
      </c>
      <c r="L1105" s="2">
        <f t="shared" si="4"/>
        <v>336000</v>
      </c>
    </row>
    <row r="1106" spans="1:12" ht="14.25" customHeight="1" x14ac:dyDescent="0.2">
      <c r="A1106" s="33">
        <v>46780</v>
      </c>
      <c r="B1106" s="33"/>
      <c r="C1106" s="2" t="s">
        <v>18</v>
      </c>
      <c r="D1106" s="2" t="s">
        <v>32</v>
      </c>
      <c r="E1106" s="2" t="s">
        <v>13</v>
      </c>
      <c r="F1106" s="2" t="s">
        <v>14</v>
      </c>
      <c r="G1106" s="2" t="s">
        <v>36</v>
      </c>
      <c r="H1106" s="2" t="s">
        <v>31</v>
      </c>
      <c r="I1106" s="2">
        <v>150000</v>
      </c>
      <c r="J1106" s="2">
        <v>8</v>
      </c>
      <c r="K1106" s="2" t="s">
        <v>17</v>
      </c>
      <c r="L1106" s="2">
        <f t="shared" si="4"/>
        <v>120000</v>
      </c>
    </row>
    <row r="1107" spans="1:12" ht="14.25" customHeight="1" x14ac:dyDescent="0.2">
      <c r="A1107" s="33">
        <v>46781</v>
      </c>
      <c r="B1107" s="33"/>
      <c r="C1107" s="2" t="s">
        <v>11</v>
      </c>
      <c r="D1107" s="2" t="s">
        <v>19</v>
      </c>
      <c r="E1107" s="2" t="s">
        <v>23</v>
      </c>
      <c r="F1107" s="2" t="s">
        <v>14</v>
      </c>
      <c r="G1107" s="2" t="s">
        <v>27</v>
      </c>
      <c r="H1107" s="2" t="s">
        <v>22</v>
      </c>
      <c r="I1107" s="2">
        <v>60000</v>
      </c>
      <c r="J1107" s="2">
        <v>5</v>
      </c>
      <c r="K1107" s="2" t="s">
        <v>35</v>
      </c>
      <c r="L1107" s="2">
        <f t="shared" si="4"/>
        <v>48000</v>
      </c>
    </row>
    <row r="1108" spans="1:12" ht="14.25" customHeight="1" x14ac:dyDescent="0.2">
      <c r="A1108" s="33">
        <v>46782</v>
      </c>
      <c r="B1108" s="33"/>
      <c r="C1108" s="2" t="s">
        <v>11</v>
      </c>
      <c r="D1108" s="2" t="s">
        <v>26</v>
      </c>
      <c r="E1108" s="2" t="s">
        <v>23</v>
      </c>
      <c r="F1108" s="2" t="s">
        <v>20</v>
      </c>
      <c r="G1108" s="2" t="s">
        <v>34</v>
      </c>
      <c r="H1108" s="2" t="s">
        <v>16</v>
      </c>
      <c r="I1108" s="2">
        <v>320000</v>
      </c>
      <c r="J1108" s="2">
        <v>9</v>
      </c>
      <c r="K1108" s="2" t="s">
        <v>37</v>
      </c>
      <c r="L1108" s="2">
        <f t="shared" si="4"/>
        <v>256000</v>
      </c>
    </row>
    <row r="1109" spans="1:12" ht="14.25" customHeight="1" x14ac:dyDescent="0.2">
      <c r="A1109" s="33">
        <v>46783</v>
      </c>
      <c r="B1109" s="33"/>
      <c r="C1109" s="2" t="s">
        <v>11</v>
      </c>
      <c r="D1109" s="2" t="s">
        <v>19</v>
      </c>
      <c r="E1109" s="2" t="s">
        <v>23</v>
      </c>
      <c r="F1109" s="2" t="s">
        <v>14</v>
      </c>
      <c r="G1109" s="2" t="s">
        <v>38</v>
      </c>
      <c r="H1109" s="2" t="s">
        <v>31</v>
      </c>
      <c r="I1109" s="2">
        <v>420000</v>
      </c>
      <c r="J1109" s="2">
        <v>5</v>
      </c>
      <c r="K1109" s="2" t="s">
        <v>17</v>
      </c>
      <c r="L1109" s="2">
        <f t="shared" si="4"/>
        <v>336000</v>
      </c>
    </row>
    <row r="1110" spans="1:12" ht="14.25" customHeight="1" x14ac:dyDescent="0.2">
      <c r="A1110" s="33">
        <v>46784</v>
      </c>
      <c r="B1110" s="33"/>
      <c r="C1110" s="2" t="s">
        <v>29</v>
      </c>
      <c r="D1110" s="2" t="s">
        <v>19</v>
      </c>
      <c r="E1110" s="2" t="s">
        <v>23</v>
      </c>
      <c r="F1110" s="2" t="s">
        <v>14</v>
      </c>
      <c r="G1110" s="2" t="s">
        <v>27</v>
      </c>
      <c r="H1110" s="2" t="s">
        <v>22</v>
      </c>
      <c r="I1110" s="2">
        <v>60000</v>
      </c>
      <c r="J1110" s="2">
        <v>9</v>
      </c>
      <c r="K1110" s="2" t="s">
        <v>28</v>
      </c>
      <c r="L1110" s="2">
        <f t="shared" si="4"/>
        <v>48000</v>
      </c>
    </row>
    <row r="1111" spans="1:12" ht="14.25" customHeight="1" x14ac:dyDescent="0.2">
      <c r="A1111" s="33">
        <v>46785</v>
      </c>
      <c r="B1111" s="33"/>
      <c r="C1111" s="2" t="s">
        <v>25</v>
      </c>
      <c r="D1111" s="2" t="s">
        <v>19</v>
      </c>
      <c r="E1111" s="2" t="s">
        <v>13</v>
      </c>
      <c r="F1111" s="2" t="s">
        <v>14</v>
      </c>
      <c r="G1111" s="2" t="s">
        <v>38</v>
      </c>
      <c r="H1111" s="2" t="s">
        <v>31</v>
      </c>
      <c r="I1111" s="2">
        <v>420000</v>
      </c>
      <c r="J1111" s="2">
        <v>1</v>
      </c>
      <c r="K1111" s="2" t="s">
        <v>39</v>
      </c>
      <c r="L1111" s="2">
        <f t="shared" si="4"/>
        <v>336000</v>
      </c>
    </row>
    <row r="1112" spans="1:12" ht="14.25" customHeight="1" x14ac:dyDescent="0.2">
      <c r="A1112" s="33">
        <v>46786</v>
      </c>
      <c r="B1112" s="33"/>
      <c r="C1112" s="2" t="s">
        <v>18</v>
      </c>
      <c r="D1112" s="2" t="s">
        <v>32</v>
      </c>
      <c r="E1112" s="2" t="s">
        <v>13</v>
      </c>
      <c r="F1112" s="2" t="s">
        <v>14</v>
      </c>
      <c r="G1112" s="2" t="s">
        <v>36</v>
      </c>
      <c r="H1112" s="2" t="s">
        <v>31</v>
      </c>
      <c r="I1112" s="2">
        <v>150000</v>
      </c>
      <c r="J1112" s="2">
        <v>9</v>
      </c>
      <c r="K1112" s="2" t="s">
        <v>37</v>
      </c>
      <c r="L1112" s="2">
        <f t="shared" si="4"/>
        <v>120000</v>
      </c>
    </row>
    <row r="1113" spans="1:12" ht="14.25" customHeight="1" x14ac:dyDescent="0.2">
      <c r="A1113" s="33">
        <v>46787</v>
      </c>
      <c r="B1113" s="33"/>
      <c r="C1113" s="2" t="s">
        <v>25</v>
      </c>
      <c r="D1113" s="2" t="s">
        <v>32</v>
      </c>
      <c r="E1113" s="2" t="s">
        <v>23</v>
      </c>
      <c r="F1113" s="2" t="s">
        <v>20</v>
      </c>
      <c r="G1113" s="2" t="s">
        <v>41</v>
      </c>
      <c r="H1113" s="2" t="s">
        <v>22</v>
      </c>
      <c r="I1113" s="2">
        <v>220000</v>
      </c>
      <c r="J1113" s="2">
        <v>7</v>
      </c>
      <c r="K1113" s="2" t="s">
        <v>17</v>
      </c>
      <c r="L1113" s="2">
        <f t="shared" si="4"/>
        <v>176000</v>
      </c>
    </row>
    <row r="1114" spans="1:12" ht="14.25" customHeight="1" x14ac:dyDescent="0.2">
      <c r="A1114" s="33">
        <v>46788</v>
      </c>
      <c r="B1114" s="33"/>
      <c r="C1114" s="2" t="s">
        <v>29</v>
      </c>
      <c r="D1114" s="2" t="s">
        <v>12</v>
      </c>
      <c r="E1114" s="2" t="s">
        <v>13</v>
      </c>
      <c r="F1114" s="2" t="s">
        <v>20</v>
      </c>
      <c r="G1114" s="2" t="s">
        <v>34</v>
      </c>
      <c r="H1114" s="2" t="s">
        <v>16</v>
      </c>
      <c r="I1114" s="2">
        <v>320000</v>
      </c>
      <c r="J1114" s="2">
        <v>3</v>
      </c>
      <c r="K1114" s="2" t="s">
        <v>35</v>
      </c>
      <c r="L1114" s="2">
        <f t="shared" si="4"/>
        <v>256000</v>
      </c>
    </row>
    <row r="1115" spans="1:12" ht="14.25" customHeight="1" x14ac:dyDescent="0.2">
      <c r="A1115" s="33">
        <v>46789</v>
      </c>
      <c r="B1115" s="33"/>
      <c r="C1115" s="2" t="s">
        <v>25</v>
      </c>
      <c r="D1115" s="2" t="s">
        <v>19</v>
      </c>
      <c r="E1115" s="2" t="s">
        <v>23</v>
      </c>
      <c r="F1115" s="2" t="s">
        <v>14</v>
      </c>
      <c r="G1115" s="2" t="s">
        <v>34</v>
      </c>
      <c r="H1115" s="2" t="s">
        <v>16</v>
      </c>
      <c r="I1115" s="2">
        <v>320000</v>
      </c>
      <c r="J1115" s="2">
        <v>8</v>
      </c>
      <c r="K1115" s="2" t="s">
        <v>37</v>
      </c>
      <c r="L1115" s="2">
        <f t="shared" si="4"/>
        <v>256000</v>
      </c>
    </row>
    <row r="1116" spans="1:12" ht="14.25" customHeight="1" x14ac:dyDescent="0.2">
      <c r="A1116" s="33">
        <v>46790</v>
      </c>
      <c r="B1116" s="33"/>
      <c r="C1116" s="2" t="s">
        <v>25</v>
      </c>
      <c r="D1116" s="2" t="s">
        <v>26</v>
      </c>
      <c r="E1116" s="2" t="s">
        <v>23</v>
      </c>
      <c r="F1116" s="2" t="s">
        <v>14</v>
      </c>
      <c r="G1116" s="2" t="s">
        <v>36</v>
      </c>
      <c r="H1116" s="2" t="s">
        <v>31</v>
      </c>
      <c r="I1116" s="2">
        <v>150000</v>
      </c>
      <c r="J1116" s="2">
        <v>3</v>
      </c>
      <c r="K1116" s="2" t="s">
        <v>37</v>
      </c>
      <c r="L1116" s="2">
        <f t="shared" si="4"/>
        <v>120000</v>
      </c>
    </row>
    <row r="1117" spans="1:12" ht="14.25" customHeight="1" x14ac:dyDescent="0.2">
      <c r="A1117" s="33">
        <v>46791</v>
      </c>
      <c r="B1117" s="33"/>
      <c r="C1117" s="2" t="s">
        <v>11</v>
      </c>
      <c r="D1117" s="2" t="s">
        <v>32</v>
      </c>
      <c r="E1117" s="2" t="s">
        <v>13</v>
      </c>
      <c r="F1117" s="2" t="s">
        <v>14</v>
      </c>
      <c r="G1117" s="2" t="s">
        <v>40</v>
      </c>
      <c r="H1117" s="2" t="s">
        <v>31</v>
      </c>
      <c r="I1117" s="2">
        <v>250000</v>
      </c>
      <c r="J1117" s="2">
        <v>9</v>
      </c>
      <c r="K1117" s="2" t="s">
        <v>17</v>
      </c>
      <c r="L1117" s="2">
        <f t="shared" si="4"/>
        <v>200000</v>
      </c>
    </row>
    <row r="1118" spans="1:12" ht="14.25" customHeight="1" x14ac:dyDescent="0.2">
      <c r="A1118" s="33">
        <v>46792</v>
      </c>
      <c r="B1118" s="33"/>
      <c r="C1118" s="2" t="s">
        <v>11</v>
      </c>
      <c r="D1118" s="2" t="s">
        <v>19</v>
      </c>
      <c r="E1118" s="2" t="s">
        <v>13</v>
      </c>
      <c r="F1118" s="2" t="s">
        <v>20</v>
      </c>
      <c r="G1118" s="2" t="s">
        <v>38</v>
      </c>
      <c r="H1118" s="2" t="s">
        <v>31</v>
      </c>
      <c r="I1118" s="2">
        <v>420000</v>
      </c>
      <c r="J1118" s="2">
        <v>7</v>
      </c>
      <c r="K1118" s="2" t="s">
        <v>28</v>
      </c>
      <c r="L1118" s="2">
        <f t="shared" si="4"/>
        <v>336000</v>
      </c>
    </row>
    <row r="1119" spans="1:12" ht="14.25" customHeight="1" x14ac:dyDescent="0.2">
      <c r="A1119" s="33">
        <v>46793</v>
      </c>
      <c r="B1119" s="33"/>
      <c r="C1119" s="2" t="s">
        <v>11</v>
      </c>
      <c r="D1119" s="2" t="s">
        <v>12</v>
      </c>
      <c r="E1119" s="2" t="s">
        <v>23</v>
      </c>
      <c r="F1119" s="2" t="s">
        <v>20</v>
      </c>
      <c r="G1119" s="2" t="s">
        <v>40</v>
      </c>
      <c r="H1119" s="2" t="s">
        <v>31</v>
      </c>
      <c r="I1119" s="2">
        <v>250000</v>
      </c>
      <c r="J1119" s="2">
        <v>10</v>
      </c>
      <c r="K1119" s="2" t="s">
        <v>24</v>
      </c>
      <c r="L1119" s="2">
        <f t="shared" si="4"/>
        <v>200000</v>
      </c>
    </row>
    <row r="1120" spans="1:12" ht="14.25" customHeight="1" x14ac:dyDescent="0.2">
      <c r="A1120" s="33">
        <v>46794</v>
      </c>
      <c r="B1120" s="33"/>
      <c r="C1120" s="2" t="s">
        <v>18</v>
      </c>
      <c r="D1120" s="2" t="s">
        <v>26</v>
      </c>
      <c r="E1120" s="2" t="s">
        <v>13</v>
      </c>
      <c r="F1120" s="2" t="s">
        <v>14</v>
      </c>
      <c r="G1120" s="2" t="s">
        <v>27</v>
      </c>
      <c r="H1120" s="2" t="s">
        <v>22</v>
      </c>
      <c r="I1120" s="2">
        <v>60000</v>
      </c>
      <c r="J1120" s="2">
        <v>4</v>
      </c>
      <c r="K1120" s="2" t="s">
        <v>24</v>
      </c>
      <c r="L1120" s="2">
        <f t="shared" si="4"/>
        <v>48000</v>
      </c>
    </row>
    <row r="1121" spans="1:12" ht="14.25" customHeight="1" x14ac:dyDescent="0.2">
      <c r="A1121" s="33">
        <v>46795</v>
      </c>
      <c r="B1121" s="33"/>
      <c r="C1121" s="2" t="s">
        <v>29</v>
      </c>
      <c r="D1121" s="2" t="s">
        <v>19</v>
      </c>
      <c r="E1121" s="2" t="s">
        <v>13</v>
      </c>
      <c r="F1121" s="2" t="s">
        <v>14</v>
      </c>
      <c r="G1121" s="2" t="s">
        <v>40</v>
      </c>
      <c r="H1121" s="2" t="s">
        <v>31</v>
      </c>
      <c r="I1121" s="2">
        <v>250000</v>
      </c>
      <c r="J1121" s="2">
        <v>4</v>
      </c>
      <c r="K1121" s="2" t="s">
        <v>17</v>
      </c>
      <c r="L1121" s="2">
        <f t="shared" si="4"/>
        <v>200000</v>
      </c>
    </row>
    <row r="1122" spans="1:12" ht="14.25" customHeight="1" x14ac:dyDescent="0.2">
      <c r="A1122" s="33">
        <v>46796</v>
      </c>
      <c r="B1122" s="33"/>
      <c r="C1122" s="2" t="s">
        <v>29</v>
      </c>
      <c r="D1122" s="2" t="s">
        <v>12</v>
      </c>
      <c r="E1122" s="2" t="s">
        <v>13</v>
      </c>
      <c r="F1122" s="2" t="s">
        <v>14</v>
      </c>
      <c r="G1122" s="2" t="s">
        <v>30</v>
      </c>
      <c r="H1122" s="2" t="s">
        <v>31</v>
      </c>
      <c r="I1122" s="2">
        <v>300000</v>
      </c>
      <c r="J1122" s="2">
        <v>3</v>
      </c>
      <c r="K1122" s="2" t="s">
        <v>39</v>
      </c>
      <c r="L1122" s="2">
        <f t="shared" si="4"/>
        <v>240000</v>
      </c>
    </row>
    <row r="1123" spans="1:12" ht="14.25" customHeight="1" x14ac:dyDescent="0.2">
      <c r="A1123" s="33">
        <v>46797</v>
      </c>
      <c r="B1123" s="33"/>
      <c r="C1123" s="2" t="s">
        <v>25</v>
      </c>
      <c r="D1123" s="2" t="s">
        <v>19</v>
      </c>
      <c r="E1123" s="2" t="s">
        <v>23</v>
      </c>
      <c r="F1123" s="2" t="s">
        <v>14</v>
      </c>
      <c r="G1123" s="2" t="s">
        <v>38</v>
      </c>
      <c r="H1123" s="2" t="s">
        <v>31</v>
      </c>
      <c r="I1123" s="2">
        <v>420000</v>
      </c>
      <c r="J1123" s="2">
        <v>9</v>
      </c>
      <c r="K1123" s="2" t="s">
        <v>37</v>
      </c>
      <c r="L1123" s="2">
        <f t="shared" si="4"/>
        <v>336000</v>
      </c>
    </row>
    <row r="1124" spans="1:12" ht="14.25" customHeight="1" x14ac:dyDescent="0.2">
      <c r="A1124" s="33">
        <v>46798</v>
      </c>
      <c r="B1124" s="33"/>
      <c r="C1124" s="2" t="s">
        <v>25</v>
      </c>
      <c r="D1124" s="2" t="s">
        <v>19</v>
      </c>
      <c r="E1124" s="2" t="s">
        <v>23</v>
      </c>
      <c r="F1124" s="2" t="s">
        <v>14</v>
      </c>
      <c r="G1124" s="2" t="s">
        <v>38</v>
      </c>
      <c r="H1124" s="2" t="s">
        <v>31</v>
      </c>
      <c r="I1124" s="2">
        <v>420000</v>
      </c>
      <c r="J1124" s="2">
        <v>7</v>
      </c>
      <c r="K1124" s="2" t="s">
        <v>28</v>
      </c>
      <c r="L1124" s="2">
        <f t="shared" si="4"/>
        <v>336000</v>
      </c>
    </row>
    <row r="1125" spans="1:12" ht="14.25" customHeight="1" x14ac:dyDescent="0.2">
      <c r="A1125" s="33">
        <v>46799</v>
      </c>
      <c r="B1125" s="33"/>
      <c r="C1125" s="2" t="s">
        <v>18</v>
      </c>
      <c r="D1125" s="2" t="s">
        <v>26</v>
      </c>
      <c r="E1125" s="2" t="s">
        <v>13</v>
      </c>
      <c r="F1125" s="2" t="s">
        <v>14</v>
      </c>
      <c r="G1125" s="2" t="s">
        <v>41</v>
      </c>
      <c r="H1125" s="2" t="s">
        <v>22</v>
      </c>
      <c r="I1125" s="2">
        <v>220000</v>
      </c>
      <c r="J1125" s="2">
        <v>9</v>
      </c>
      <c r="K1125" s="2" t="s">
        <v>39</v>
      </c>
      <c r="L1125" s="2">
        <f t="shared" si="4"/>
        <v>176000</v>
      </c>
    </row>
    <row r="1126" spans="1:12" ht="14.25" customHeight="1" x14ac:dyDescent="0.2">
      <c r="A1126" s="33">
        <v>46800</v>
      </c>
      <c r="B1126" s="33"/>
      <c r="C1126" s="2" t="s">
        <v>18</v>
      </c>
      <c r="D1126" s="2" t="s">
        <v>32</v>
      </c>
      <c r="E1126" s="2" t="s">
        <v>23</v>
      </c>
      <c r="F1126" s="2" t="s">
        <v>14</v>
      </c>
      <c r="G1126" s="2" t="s">
        <v>15</v>
      </c>
      <c r="H1126" s="2" t="s">
        <v>16</v>
      </c>
      <c r="I1126" s="2">
        <v>85000</v>
      </c>
      <c r="J1126" s="2">
        <v>8</v>
      </c>
      <c r="K1126" s="2" t="s">
        <v>28</v>
      </c>
      <c r="L1126" s="2">
        <f t="shared" si="4"/>
        <v>68000</v>
      </c>
    </row>
    <row r="1127" spans="1:12" ht="14.25" customHeight="1" x14ac:dyDescent="0.2">
      <c r="A1127" s="33">
        <v>46801</v>
      </c>
      <c r="B1127" s="33"/>
      <c r="C1127" s="2" t="s">
        <v>25</v>
      </c>
      <c r="D1127" s="2" t="s">
        <v>12</v>
      </c>
      <c r="E1127" s="2" t="s">
        <v>23</v>
      </c>
      <c r="F1127" s="2" t="s">
        <v>20</v>
      </c>
      <c r="G1127" s="2" t="s">
        <v>15</v>
      </c>
      <c r="H1127" s="2" t="s">
        <v>16</v>
      </c>
      <c r="I1127" s="2">
        <v>85000</v>
      </c>
      <c r="J1127" s="2">
        <v>5</v>
      </c>
      <c r="K1127" s="2" t="s">
        <v>35</v>
      </c>
      <c r="L1127" s="2">
        <f t="shared" si="4"/>
        <v>68000</v>
      </c>
    </row>
    <row r="1128" spans="1:12" ht="14.25" customHeight="1" x14ac:dyDescent="0.2">
      <c r="A1128" s="33">
        <v>46802</v>
      </c>
      <c r="B1128" s="33"/>
      <c r="C1128" s="2" t="s">
        <v>25</v>
      </c>
      <c r="D1128" s="2" t="s">
        <v>32</v>
      </c>
      <c r="E1128" s="2" t="s">
        <v>13</v>
      </c>
      <c r="F1128" s="2" t="s">
        <v>20</v>
      </c>
      <c r="G1128" s="2" t="s">
        <v>40</v>
      </c>
      <c r="H1128" s="2" t="s">
        <v>31</v>
      </c>
      <c r="I1128" s="2">
        <v>250000</v>
      </c>
      <c r="J1128" s="2">
        <v>6</v>
      </c>
      <c r="K1128" s="2" t="s">
        <v>39</v>
      </c>
      <c r="L1128" s="2">
        <f t="shared" si="4"/>
        <v>200000</v>
      </c>
    </row>
    <row r="1129" spans="1:12" ht="14.25" customHeight="1" x14ac:dyDescent="0.2">
      <c r="A1129" s="33">
        <v>46803</v>
      </c>
      <c r="B1129" s="33"/>
      <c r="C1129" s="2" t="s">
        <v>18</v>
      </c>
      <c r="D1129" s="2" t="s">
        <v>26</v>
      </c>
      <c r="E1129" s="2" t="s">
        <v>23</v>
      </c>
      <c r="F1129" s="2" t="s">
        <v>20</v>
      </c>
      <c r="G1129" s="2" t="s">
        <v>21</v>
      </c>
      <c r="H1129" s="2" t="s">
        <v>22</v>
      </c>
      <c r="I1129" s="2">
        <v>30000</v>
      </c>
      <c r="J1129" s="2">
        <v>8</v>
      </c>
      <c r="K1129" s="2" t="s">
        <v>39</v>
      </c>
      <c r="L1129" s="2">
        <f t="shared" si="4"/>
        <v>24000</v>
      </c>
    </row>
    <row r="1130" spans="1:12" ht="14.25" customHeight="1" x14ac:dyDescent="0.2">
      <c r="A1130" s="33">
        <v>46804</v>
      </c>
      <c r="B1130" s="33"/>
      <c r="C1130" s="2" t="s">
        <v>29</v>
      </c>
      <c r="D1130" s="2" t="s">
        <v>12</v>
      </c>
      <c r="E1130" s="2" t="s">
        <v>23</v>
      </c>
      <c r="F1130" s="2" t="s">
        <v>14</v>
      </c>
      <c r="G1130" s="2" t="s">
        <v>40</v>
      </c>
      <c r="H1130" s="2" t="s">
        <v>31</v>
      </c>
      <c r="I1130" s="2">
        <v>250000</v>
      </c>
      <c r="J1130" s="2">
        <v>6</v>
      </c>
      <c r="K1130" s="2" t="s">
        <v>37</v>
      </c>
      <c r="L1130" s="2">
        <f t="shared" si="4"/>
        <v>200000</v>
      </c>
    </row>
    <row r="1131" spans="1:12" ht="14.25" customHeight="1" x14ac:dyDescent="0.2">
      <c r="A1131" s="33">
        <v>46805</v>
      </c>
      <c r="B1131" s="33"/>
      <c r="C1131" s="2" t="s">
        <v>25</v>
      </c>
      <c r="D1131" s="2" t="s">
        <v>19</v>
      </c>
      <c r="E1131" s="2" t="s">
        <v>23</v>
      </c>
      <c r="F1131" s="2" t="s">
        <v>20</v>
      </c>
      <c r="G1131" s="2" t="s">
        <v>34</v>
      </c>
      <c r="H1131" s="2" t="s">
        <v>16</v>
      </c>
      <c r="I1131" s="2">
        <v>320000</v>
      </c>
      <c r="J1131" s="2">
        <v>10</v>
      </c>
      <c r="K1131" s="2" t="s">
        <v>35</v>
      </c>
      <c r="L1131" s="2">
        <f t="shared" si="4"/>
        <v>256000</v>
      </c>
    </row>
    <row r="1132" spans="1:12" ht="14.25" customHeight="1" x14ac:dyDescent="0.2">
      <c r="A1132" s="33">
        <v>46806</v>
      </c>
      <c r="B1132" s="33"/>
      <c r="C1132" s="2" t="s">
        <v>18</v>
      </c>
      <c r="D1132" s="2" t="s">
        <v>32</v>
      </c>
      <c r="E1132" s="2" t="s">
        <v>13</v>
      </c>
      <c r="F1132" s="2" t="s">
        <v>20</v>
      </c>
      <c r="G1132" s="2" t="s">
        <v>21</v>
      </c>
      <c r="H1132" s="2" t="s">
        <v>22</v>
      </c>
      <c r="I1132" s="2">
        <v>30000</v>
      </c>
      <c r="J1132" s="2">
        <v>4</v>
      </c>
      <c r="K1132" s="2" t="s">
        <v>35</v>
      </c>
      <c r="L1132" s="2">
        <f t="shared" si="4"/>
        <v>24000</v>
      </c>
    </row>
    <row r="1133" spans="1:12" ht="14.25" customHeight="1" x14ac:dyDescent="0.2">
      <c r="A1133" s="33">
        <v>46807</v>
      </c>
      <c r="B1133" s="33"/>
      <c r="C1133" s="2" t="s">
        <v>25</v>
      </c>
      <c r="D1133" s="2" t="s">
        <v>32</v>
      </c>
      <c r="E1133" s="2" t="s">
        <v>13</v>
      </c>
      <c r="F1133" s="2" t="s">
        <v>20</v>
      </c>
      <c r="G1133" s="2" t="s">
        <v>15</v>
      </c>
      <c r="H1133" s="2" t="s">
        <v>16</v>
      </c>
      <c r="I1133" s="2">
        <v>85000</v>
      </c>
      <c r="J1133" s="2">
        <v>10</v>
      </c>
      <c r="K1133" s="2" t="s">
        <v>17</v>
      </c>
      <c r="L1133" s="2">
        <f t="shared" si="4"/>
        <v>68000</v>
      </c>
    </row>
    <row r="1134" spans="1:12" ht="14.25" customHeight="1" x14ac:dyDescent="0.2">
      <c r="A1134" s="33">
        <v>46808</v>
      </c>
      <c r="B1134" s="33"/>
      <c r="C1134" s="2" t="s">
        <v>29</v>
      </c>
      <c r="D1134" s="2" t="s">
        <v>32</v>
      </c>
      <c r="E1134" s="2" t="s">
        <v>23</v>
      </c>
      <c r="F1134" s="2" t="s">
        <v>20</v>
      </c>
      <c r="G1134" s="2" t="s">
        <v>40</v>
      </c>
      <c r="H1134" s="2" t="s">
        <v>31</v>
      </c>
      <c r="I1134" s="2">
        <v>250000</v>
      </c>
      <c r="J1134" s="2">
        <v>6</v>
      </c>
      <c r="K1134" s="2" t="s">
        <v>28</v>
      </c>
      <c r="L1134" s="2">
        <f t="shared" si="4"/>
        <v>200000</v>
      </c>
    </row>
    <row r="1135" spans="1:12" ht="14.25" customHeight="1" x14ac:dyDescent="0.2">
      <c r="A1135" s="33">
        <v>46809</v>
      </c>
      <c r="B1135" s="33"/>
      <c r="C1135" s="2" t="s">
        <v>25</v>
      </c>
      <c r="D1135" s="2" t="s">
        <v>19</v>
      </c>
      <c r="E1135" s="2" t="s">
        <v>13</v>
      </c>
      <c r="F1135" s="2" t="s">
        <v>20</v>
      </c>
      <c r="G1135" s="2" t="s">
        <v>27</v>
      </c>
      <c r="H1135" s="2" t="s">
        <v>22</v>
      </c>
      <c r="I1135" s="2">
        <v>60000</v>
      </c>
      <c r="J1135" s="2">
        <v>10</v>
      </c>
      <c r="K1135" s="2" t="s">
        <v>24</v>
      </c>
      <c r="L1135" s="2">
        <f t="shared" si="4"/>
        <v>48000</v>
      </c>
    </row>
    <row r="1136" spans="1:12" ht="14.25" customHeight="1" x14ac:dyDescent="0.2">
      <c r="A1136" s="33">
        <v>46810</v>
      </c>
      <c r="B1136" s="33"/>
      <c r="C1136" s="2" t="s">
        <v>18</v>
      </c>
      <c r="D1136" s="2" t="s">
        <v>19</v>
      </c>
      <c r="E1136" s="2" t="s">
        <v>13</v>
      </c>
      <c r="F1136" s="2" t="s">
        <v>20</v>
      </c>
      <c r="G1136" s="2" t="s">
        <v>30</v>
      </c>
      <c r="H1136" s="2" t="s">
        <v>31</v>
      </c>
      <c r="I1136" s="2">
        <v>300000</v>
      </c>
      <c r="J1136" s="2">
        <v>3</v>
      </c>
      <c r="K1136" s="2" t="s">
        <v>24</v>
      </c>
      <c r="L1136" s="2">
        <f t="shared" si="4"/>
        <v>240000</v>
      </c>
    </row>
    <row r="1137" spans="1:12" ht="14.25" customHeight="1" x14ac:dyDescent="0.2">
      <c r="A1137" s="33">
        <v>46811</v>
      </c>
      <c r="B1137" s="33"/>
      <c r="C1137" s="2" t="s">
        <v>11</v>
      </c>
      <c r="D1137" s="2" t="s">
        <v>32</v>
      </c>
      <c r="E1137" s="2" t="s">
        <v>13</v>
      </c>
      <c r="F1137" s="2" t="s">
        <v>20</v>
      </c>
      <c r="G1137" s="2" t="s">
        <v>36</v>
      </c>
      <c r="H1137" s="2" t="s">
        <v>31</v>
      </c>
      <c r="I1137" s="2">
        <v>150000</v>
      </c>
      <c r="J1137" s="2">
        <v>10</v>
      </c>
      <c r="K1137" s="2" t="s">
        <v>39</v>
      </c>
      <c r="L1137" s="2">
        <f t="shared" si="4"/>
        <v>120000</v>
      </c>
    </row>
    <row r="1138" spans="1:12" ht="14.25" customHeight="1" x14ac:dyDescent="0.2">
      <c r="A1138" s="33">
        <v>46812</v>
      </c>
      <c r="B1138" s="33"/>
      <c r="C1138" s="2" t="s">
        <v>25</v>
      </c>
      <c r="D1138" s="2" t="s">
        <v>19</v>
      </c>
      <c r="E1138" s="2" t="s">
        <v>23</v>
      </c>
      <c r="F1138" s="2" t="s">
        <v>20</v>
      </c>
      <c r="G1138" s="2" t="s">
        <v>21</v>
      </c>
      <c r="H1138" s="2" t="s">
        <v>22</v>
      </c>
      <c r="I1138" s="2">
        <v>30000</v>
      </c>
      <c r="J1138" s="2">
        <v>7</v>
      </c>
      <c r="K1138" s="2" t="s">
        <v>35</v>
      </c>
      <c r="L1138" s="2">
        <f t="shared" si="4"/>
        <v>24000</v>
      </c>
    </row>
    <row r="1139" spans="1:12" ht="14.25" customHeight="1" x14ac:dyDescent="0.2">
      <c r="A1139" s="33">
        <v>46813</v>
      </c>
      <c r="B1139" s="33"/>
      <c r="C1139" s="2" t="s">
        <v>18</v>
      </c>
      <c r="D1139" s="2" t="s">
        <v>19</v>
      </c>
      <c r="E1139" s="2" t="s">
        <v>23</v>
      </c>
      <c r="F1139" s="2" t="s">
        <v>20</v>
      </c>
      <c r="G1139" s="2" t="s">
        <v>30</v>
      </c>
      <c r="H1139" s="2" t="s">
        <v>31</v>
      </c>
      <c r="I1139" s="2">
        <v>300000</v>
      </c>
      <c r="J1139" s="2">
        <v>9</v>
      </c>
      <c r="K1139" s="2" t="s">
        <v>37</v>
      </c>
      <c r="L1139" s="2">
        <f t="shared" si="4"/>
        <v>240000</v>
      </c>
    </row>
    <row r="1140" spans="1:12" ht="14.25" customHeight="1" x14ac:dyDescent="0.2">
      <c r="A1140" s="33">
        <v>46814</v>
      </c>
      <c r="B1140" s="33"/>
      <c r="C1140" s="2" t="s">
        <v>29</v>
      </c>
      <c r="D1140" s="2" t="s">
        <v>32</v>
      </c>
      <c r="E1140" s="2" t="s">
        <v>23</v>
      </c>
      <c r="F1140" s="2" t="s">
        <v>20</v>
      </c>
      <c r="G1140" s="2" t="s">
        <v>41</v>
      </c>
      <c r="H1140" s="2" t="s">
        <v>22</v>
      </c>
      <c r="I1140" s="2">
        <v>220000</v>
      </c>
      <c r="J1140" s="2">
        <v>4</v>
      </c>
      <c r="K1140" s="2" t="s">
        <v>28</v>
      </c>
      <c r="L1140" s="2">
        <f t="shared" si="4"/>
        <v>176000</v>
      </c>
    </row>
    <row r="1141" spans="1:12" ht="14.25" customHeight="1" x14ac:dyDescent="0.2">
      <c r="A1141" s="33">
        <v>46815</v>
      </c>
      <c r="B1141" s="33"/>
      <c r="C1141" s="2" t="s">
        <v>18</v>
      </c>
      <c r="D1141" s="2" t="s">
        <v>26</v>
      </c>
      <c r="E1141" s="2" t="s">
        <v>23</v>
      </c>
      <c r="F1141" s="2" t="s">
        <v>14</v>
      </c>
      <c r="G1141" s="2" t="s">
        <v>40</v>
      </c>
      <c r="H1141" s="2" t="s">
        <v>31</v>
      </c>
      <c r="I1141" s="2">
        <v>250000</v>
      </c>
      <c r="J1141" s="2">
        <v>9</v>
      </c>
      <c r="K1141" s="2" t="s">
        <v>17</v>
      </c>
      <c r="L1141" s="2">
        <f t="shared" si="4"/>
        <v>200000</v>
      </c>
    </row>
    <row r="1142" spans="1:12" ht="14.25" customHeight="1" x14ac:dyDescent="0.2">
      <c r="A1142" s="33">
        <v>46816</v>
      </c>
      <c r="B1142" s="33"/>
      <c r="C1142" s="2" t="s">
        <v>11</v>
      </c>
      <c r="D1142" s="2" t="s">
        <v>12</v>
      </c>
      <c r="E1142" s="2" t="s">
        <v>23</v>
      </c>
      <c r="F1142" s="2" t="s">
        <v>20</v>
      </c>
      <c r="G1142" s="2" t="s">
        <v>30</v>
      </c>
      <c r="H1142" s="2" t="s">
        <v>31</v>
      </c>
      <c r="I1142" s="2">
        <v>300000</v>
      </c>
      <c r="J1142" s="2">
        <v>4</v>
      </c>
      <c r="K1142" s="2" t="s">
        <v>39</v>
      </c>
      <c r="L1142" s="2">
        <f t="shared" si="4"/>
        <v>240000</v>
      </c>
    </row>
    <row r="1143" spans="1:12" ht="14.25" customHeight="1" x14ac:dyDescent="0.2">
      <c r="A1143" s="33">
        <v>46817</v>
      </c>
      <c r="B1143" s="33"/>
      <c r="C1143" s="2" t="s">
        <v>11</v>
      </c>
      <c r="D1143" s="2" t="s">
        <v>12</v>
      </c>
      <c r="E1143" s="2" t="s">
        <v>13</v>
      </c>
      <c r="F1143" s="2" t="s">
        <v>20</v>
      </c>
      <c r="G1143" s="2" t="s">
        <v>27</v>
      </c>
      <c r="H1143" s="2" t="s">
        <v>22</v>
      </c>
      <c r="I1143" s="2">
        <v>60000</v>
      </c>
      <c r="J1143" s="2">
        <v>10</v>
      </c>
      <c r="K1143" s="2" t="s">
        <v>37</v>
      </c>
      <c r="L1143" s="2">
        <f t="shared" si="4"/>
        <v>48000</v>
      </c>
    </row>
    <row r="1144" spans="1:12" ht="14.25" customHeight="1" x14ac:dyDescent="0.2">
      <c r="A1144" s="33">
        <v>46818</v>
      </c>
      <c r="B1144" s="33"/>
      <c r="C1144" s="2" t="s">
        <v>29</v>
      </c>
      <c r="D1144" s="2" t="s">
        <v>26</v>
      </c>
      <c r="E1144" s="2" t="s">
        <v>23</v>
      </c>
      <c r="F1144" s="2" t="s">
        <v>14</v>
      </c>
      <c r="G1144" s="2" t="s">
        <v>38</v>
      </c>
      <c r="H1144" s="2" t="s">
        <v>31</v>
      </c>
      <c r="I1144" s="2">
        <v>420000</v>
      </c>
      <c r="J1144" s="2">
        <v>10</v>
      </c>
      <c r="K1144" s="2" t="s">
        <v>28</v>
      </c>
      <c r="L1144" s="2">
        <f t="shared" si="4"/>
        <v>336000</v>
      </c>
    </row>
    <row r="1145" spans="1:12" ht="14.25" customHeight="1" x14ac:dyDescent="0.2">
      <c r="A1145" s="33">
        <v>46819</v>
      </c>
      <c r="B1145" s="33"/>
      <c r="C1145" s="2" t="s">
        <v>11</v>
      </c>
      <c r="D1145" s="2" t="s">
        <v>26</v>
      </c>
      <c r="E1145" s="2" t="s">
        <v>13</v>
      </c>
      <c r="F1145" s="2" t="s">
        <v>20</v>
      </c>
      <c r="G1145" s="2" t="s">
        <v>36</v>
      </c>
      <c r="H1145" s="2" t="s">
        <v>31</v>
      </c>
      <c r="I1145" s="2">
        <v>150000</v>
      </c>
      <c r="J1145" s="2">
        <v>1</v>
      </c>
      <c r="K1145" s="2" t="s">
        <v>39</v>
      </c>
      <c r="L1145" s="2">
        <f t="shared" si="4"/>
        <v>120000</v>
      </c>
    </row>
    <row r="1146" spans="1:12" ht="14.25" customHeight="1" x14ac:dyDescent="0.2">
      <c r="A1146" s="33">
        <v>46820</v>
      </c>
      <c r="B1146" s="33"/>
      <c r="C1146" s="2" t="s">
        <v>25</v>
      </c>
      <c r="D1146" s="2" t="s">
        <v>26</v>
      </c>
      <c r="E1146" s="2" t="s">
        <v>13</v>
      </c>
      <c r="F1146" s="2" t="s">
        <v>20</v>
      </c>
      <c r="G1146" s="2" t="s">
        <v>40</v>
      </c>
      <c r="H1146" s="2" t="s">
        <v>31</v>
      </c>
      <c r="I1146" s="2">
        <v>250000</v>
      </c>
      <c r="J1146" s="2">
        <v>7</v>
      </c>
      <c r="K1146" s="2" t="s">
        <v>24</v>
      </c>
      <c r="L1146" s="2">
        <f t="shared" si="4"/>
        <v>200000</v>
      </c>
    </row>
    <row r="1147" spans="1:12" ht="14.25" customHeight="1" x14ac:dyDescent="0.2">
      <c r="A1147" s="33">
        <v>46821</v>
      </c>
      <c r="B1147" s="33"/>
      <c r="C1147" s="2" t="s">
        <v>25</v>
      </c>
      <c r="D1147" s="2" t="s">
        <v>32</v>
      </c>
      <c r="E1147" s="2" t="s">
        <v>13</v>
      </c>
      <c r="F1147" s="2" t="s">
        <v>20</v>
      </c>
      <c r="G1147" s="2" t="s">
        <v>30</v>
      </c>
      <c r="H1147" s="2" t="s">
        <v>31</v>
      </c>
      <c r="I1147" s="2">
        <v>300000</v>
      </c>
      <c r="J1147" s="2">
        <v>9</v>
      </c>
      <c r="K1147" s="2" t="s">
        <v>28</v>
      </c>
      <c r="L1147" s="2">
        <f t="shared" si="4"/>
        <v>240000</v>
      </c>
    </row>
    <row r="1148" spans="1:12" ht="14.25" customHeight="1" x14ac:dyDescent="0.2">
      <c r="A1148" s="33">
        <v>46822</v>
      </c>
      <c r="B1148" s="33"/>
      <c r="C1148" s="2" t="s">
        <v>29</v>
      </c>
      <c r="D1148" s="2" t="s">
        <v>12</v>
      </c>
      <c r="E1148" s="2" t="s">
        <v>13</v>
      </c>
      <c r="F1148" s="2" t="s">
        <v>20</v>
      </c>
      <c r="G1148" s="2" t="s">
        <v>36</v>
      </c>
      <c r="H1148" s="2" t="s">
        <v>31</v>
      </c>
      <c r="I1148" s="2">
        <v>150000</v>
      </c>
      <c r="J1148" s="2">
        <v>2</v>
      </c>
      <c r="K1148" s="2" t="s">
        <v>37</v>
      </c>
      <c r="L1148" s="2">
        <f t="shared" si="4"/>
        <v>120000</v>
      </c>
    </row>
    <row r="1149" spans="1:12" ht="14.25" customHeight="1" x14ac:dyDescent="0.2">
      <c r="A1149" s="33">
        <v>46823</v>
      </c>
      <c r="B1149" s="33"/>
      <c r="C1149" s="2" t="s">
        <v>11</v>
      </c>
      <c r="D1149" s="2" t="s">
        <v>19</v>
      </c>
      <c r="E1149" s="2" t="s">
        <v>13</v>
      </c>
      <c r="F1149" s="2" t="s">
        <v>20</v>
      </c>
      <c r="G1149" s="2" t="s">
        <v>41</v>
      </c>
      <c r="H1149" s="2" t="s">
        <v>22</v>
      </c>
      <c r="I1149" s="2">
        <v>220000</v>
      </c>
      <c r="J1149" s="2">
        <v>9</v>
      </c>
      <c r="K1149" s="2" t="s">
        <v>24</v>
      </c>
      <c r="L1149" s="2">
        <f t="shared" si="4"/>
        <v>176000</v>
      </c>
    </row>
    <row r="1150" spans="1:12" ht="14.25" customHeight="1" x14ac:dyDescent="0.2">
      <c r="A1150" s="33">
        <v>46824</v>
      </c>
      <c r="B1150" s="33"/>
      <c r="C1150" s="2" t="s">
        <v>29</v>
      </c>
      <c r="D1150" s="2" t="s">
        <v>32</v>
      </c>
      <c r="E1150" s="2" t="s">
        <v>13</v>
      </c>
      <c r="F1150" s="2" t="s">
        <v>20</v>
      </c>
      <c r="G1150" s="2" t="s">
        <v>27</v>
      </c>
      <c r="H1150" s="2" t="s">
        <v>22</v>
      </c>
      <c r="I1150" s="2">
        <v>60000</v>
      </c>
      <c r="J1150" s="2">
        <v>5</v>
      </c>
      <c r="K1150" s="2" t="s">
        <v>17</v>
      </c>
      <c r="L1150" s="2">
        <f t="shared" si="4"/>
        <v>48000</v>
      </c>
    </row>
    <row r="1151" spans="1:12" ht="14.25" customHeight="1" x14ac:dyDescent="0.2">
      <c r="A1151" s="33">
        <v>46825</v>
      </c>
      <c r="B1151" s="33"/>
      <c r="C1151" s="2" t="s">
        <v>11</v>
      </c>
      <c r="D1151" s="2" t="s">
        <v>12</v>
      </c>
      <c r="E1151" s="2" t="s">
        <v>23</v>
      </c>
      <c r="F1151" s="2" t="s">
        <v>20</v>
      </c>
      <c r="G1151" s="2" t="s">
        <v>33</v>
      </c>
      <c r="H1151" s="2" t="s">
        <v>22</v>
      </c>
      <c r="I1151" s="2">
        <v>180000</v>
      </c>
      <c r="J1151" s="2">
        <v>6</v>
      </c>
      <c r="K1151" s="2" t="s">
        <v>35</v>
      </c>
      <c r="L1151" s="2">
        <f t="shared" si="4"/>
        <v>144000</v>
      </c>
    </row>
    <row r="1152" spans="1:12" ht="14.25" customHeight="1" x14ac:dyDescent="0.2">
      <c r="A1152" s="33">
        <v>46826</v>
      </c>
      <c r="B1152" s="33"/>
      <c r="C1152" s="2" t="s">
        <v>18</v>
      </c>
      <c r="D1152" s="2" t="s">
        <v>12</v>
      </c>
      <c r="E1152" s="2" t="s">
        <v>23</v>
      </c>
      <c r="F1152" s="2" t="s">
        <v>20</v>
      </c>
      <c r="G1152" s="2" t="s">
        <v>40</v>
      </c>
      <c r="H1152" s="2" t="s">
        <v>31</v>
      </c>
      <c r="I1152" s="2">
        <v>250000</v>
      </c>
      <c r="J1152" s="2">
        <v>10</v>
      </c>
      <c r="K1152" s="2" t="s">
        <v>17</v>
      </c>
      <c r="L1152" s="2">
        <f t="shared" si="4"/>
        <v>200000</v>
      </c>
    </row>
    <row r="1153" spans="1:12" ht="14.25" customHeight="1" x14ac:dyDescent="0.2">
      <c r="A1153" s="33">
        <v>46827</v>
      </c>
      <c r="B1153" s="33"/>
      <c r="C1153" s="2" t="s">
        <v>18</v>
      </c>
      <c r="D1153" s="2" t="s">
        <v>32</v>
      </c>
      <c r="E1153" s="2" t="s">
        <v>13</v>
      </c>
      <c r="F1153" s="2" t="s">
        <v>20</v>
      </c>
      <c r="G1153" s="2" t="s">
        <v>15</v>
      </c>
      <c r="H1153" s="2" t="s">
        <v>16</v>
      </c>
      <c r="I1153" s="2">
        <v>85000</v>
      </c>
      <c r="J1153" s="2">
        <v>1</v>
      </c>
      <c r="K1153" s="2" t="s">
        <v>37</v>
      </c>
      <c r="L1153" s="2">
        <f t="shared" si="4"/>
        <v>68000</v>
      </c>
    </row>
    <row r="1154" spans="1:12" ht="14.25" customHeight="1" x14ac:dyDescent="0.2">
      <c r="A1154" s="33">
        <v>46828</v>
      </c>
      <c r="B1154" s="33"/>
      <c r="C1154" s="2" t="s">
        <v>29</v>
      </c>
      <c r="D1154" s="2" t="s">
        <v>12</v>
      </c>
      <c r="E1154" s="2" t="s">
        <v>13</v>
      </c>
      <c r="F1154" s="2" t="s">
        <v>14</v>
      </c>
      <c r="G1154" s="2" t="s">
        <v>40</v>
      </c>
      <c r="H1154" s="2" t="s">
        <v>31</v>
      </c>
      <c r="I1154" s="2">
        <v>250000</v>
      </c>
      <c r="J1154" s="2">
        <v>9</v>
      </c>
      <c r="K1154" s="2" t="s">
        <v>24</v>
      </c>
      <c r="L1154" s="2">
        <f t="shared" si="4"/>
        <v>200000</v>
      </c>
    </row>
    <row r="1155" spans="1:12" ht="14.25" customHeight="1" x14ac:dyDescent="0.2">
      <c r="A1155" s="33">
        <v>46829</v>
      </c>
      <c r="B1155" s="33"/>
      <c r="C1155" s="2" t="s">
        <v>18</v>
      </c>
      <c r="D1155" s="2" t="s">
        <v>19</v>
      </c>
      <c r="E1155" s="2" t="s">
        <v>13</v>
      </c>
      <c r="F1155" s="2" t="s">
        <v>14</v>
      </c>
      <c r="G1155" s="2" t="s">
        <v>40</v>
      </c>
      <c r="H1155" s="2" t="s">
        <v>31</v>
      </c>
      <c r="I1155" s="2">
        <v>250000</v>
      </c>
      <c r="J1155" s="2">
        <v>2</v>
      </c>
      <c r="K1155" s="2" t="s">
        <v>24</v>
      </c>
      <c r="L1155" s="2">
        <f t="shared" si="4"/>
        <v>200000</v>
      </c>
    </row>
    <row r="1156" spans="1:12" ht="14.25" customHeight="1" x14ac:dyDescent="0.2">
      <c r="A1156" s="33">
        <v>46830</v>
      </c>
      <c r="B1156" s="33"/>
      <c r="C1156" s="2" t="s">
        <v>25</v>
      </c>
      <c r="D1156" s="2" t="s">
        <v>19</v>
      </c>
      <c r="E1156" s="2" t="s">
        <v>13</v>
      </c>
      <c r="F1156" s="2" t="s">
        <v>14</v>
      </c>
      <c r="G1156" s="2" t="s">
        <v>40</v>
      </c>
      <c r="H1156" s="2" t="s">
        <v>31</v>
      </c>
      <c r="I1156" s="2">
        <v>250000</v>
      </c>
      <c r="J1156" s="2">
        <v>1</v>
      </c>
      <c r="K1156" s="2" t="s">
        <v>39</v>
      </c>
      <c r="L1156" s="2">
        <f t="shared" si="4"/>
        <v>200000</v>
      </c>
    </row>
    <row r="1157" spans="1:12" ht="14.25" customHeight="1" x14ac:dyDescent="0.2">
      <c r="A1157" s="33">
        <v>46831</v>
      </c>
      <c r="B1157" s="33"/>
      <c r="C1157" s="2" t="s">
        <v>11</v>
      </c>
      <c r="D1157" s="2" t="s">
        <v>12</v>
      </c>
      <c r="E1157" s="2" t="s">
        <v>23</v>
      </c>
      <c r="F1157" s="2" t="s">
        <v>20</v>
      </c>
      <c r="G1157" s="2" t="s">
        <v>30</v>
      </c>
      <c r="H1157" s="2" t="s">
        <v>31</v>
      </c>
      <c r="I1157" s="2">
        <v>300000</v>
      </c>
      <c r="J1157" s="2">
        <v>9</v>
      </c>
      <c r="K1157" s="2" t="s">
        <v>28</v>
      </c>
      <c r="L1157" s="2">
        <f t="shared" si="4"/>
        <v>240000</v>
      </c>
    </row>
    <row r="1158" spans="1:12" ht="14.25" customHeight="1" x14ac:dyDescent="0.2">
      <c r="A1158" s="33">
        <v>46832</v>
      </c>
      <c r="B1158" s="33"/>
      <c r="C1158" s="2" t="s">
        <v>11</v>
      </c>
      <c r="D1158" s="2" t="s">
        <v>19</v>
      </c>
      <c r="E1158" s="2" t="s">
        <v>23</v>
      </c>
      <c r="F1158" s="2" t="s">
        <v>14</v>
      </c>
      <c r="G1158" s="2" t="s">
        <v>34</v>
      </c>
      <c r="H1158" s="2" t="s">
        <v>16</v>
      </c>
      <c r="I1158" s="2">
        <v>320000</v>
      </c>
      <c r="J1158" s="2">
        <v>10</v>
      </c>
      <c r="K1158" s="2" t="s">
        <v>24</v>
      </c>
      <c r="L1158" s="2">
        <f t="shared" si="4"/>
        <v>256000</v>
      </c>
    </row>
    <row r="1159" spans="1:12" ht="14.25" customHeight="1" x14ac:dyDescent="0.2">
      <c r="A1159" s="33">
        <v>46833</v>
      </c>
      <c r="B1159" s="33"/>
      <c r="C1159" s="2" t="s">
        <v>25</v>
      </c>
      <c r="D1159" s="2" t="s">
        <v>19</v>
      </c>
      <c r="E1159" s="2" t="s">
        <v>23</v>
      </c>
      <c r="F1159" s="2" t="s">
        <v>14</v>
      </c>
      <c r="G1159" s="2" t="s">
        <v>33</v>
      </c>
      <c r="H1159" s="2" t="s">
        <v>22</v>
      </c>
      <c r="I1159" s="2">
        <v>180000</v>
      </c>
      <c r="J1159" s="2">
        <v>9</v>
      </c>
      <c r="K1159" s="2" t="s">
        <v>37</v>
      </c>
      <c r="L1159" s="2">
        <f t="shared" si="4"/>
        <v>144000</v>
      </c>
    </row>
    <row r="1160" spans="1:12" ht="14.25" customHeight="1" x14ac:dyDescent="0.2">
      <c r="A1160" s="33">
        <v>46834</v>
      </c>
      <c r="B1160" s="33"/>
      <c r="C1160" s="2" t="s">
        <v>25</v>
      </c>
      <c r="D1160" s="2" t="s">
        <v>26</v>
      </c>
      <c r="E1160" s="2" t="s">
        <v>23</v>
      </c>
      <c r="F1160" s="2" t="s">
        <v>14</v>
      </c>
      <c r="G1160" s="2" t="s">
        <v>40</v>
      </c>
      <c r="H1160" s="2" t="s">
        <v>31</v>
      </c>
      <c r="I1160" s="2">
        <v>250000</v>
      </c>
      <c r="J1160" s="2">
        <v>1</v>
      </c>
      <c r="K1160" s="2" t="s">
        <v>39</v>
      </c>
      <c r="L1160" s="2">
        <f t="shared" si="4"/>
        <v>200000</v>
      </c>
    </row>
    <row r="1161" spans="1:12" ht="14.25" customHeight="1" x14ac:dyDescent="0.2">
      <c r="A1161" s="33">
        <v>46835</v>
      </c>
      <c r="B1161" s="33"/>
      <c r="C1161" s="2" t="s">
        <v>25</v>
      </c>
      <c r="D1161" s="2" t="s">
        <v>32</v>
      </c>
      <c r="E1161" s="2" t="s">
        <v>23</v>
      </c>
      <c r="F1161" s="2" t="s">
        <v>14</v>
      </c>
      <c r="G1161" s="2" t="s">
        <v>15</v>
      </c>
      <c r="H1161" s="2" t="s">
        <v>16</v>
      </c>
      <c r="I1161" s="2">
        <v>85000</v>
      </c>
      <c r="J1161" s="2">
        <v>7</v>
      </c>
      <c r="K1161" s="2" t="s">
        <v>39</v>
      </c>
      <c r="L1161" s="2">
        <f t="shared" si="4"/>
        <v>68000</v>
      </c>
    </row>
    <row r="1162" spans="1:12" ht="14.25" customHeight="1" x14ac:dyDescent="0.2">
      <c r="A1162" s="33">
        <v>46836</v>
      </c>
      <c r="B1162" s="33"/>
      <c r="C1162" s="2" t="s">
        <v>11</v>
      </c>
      <c r="D1162" s="2" t="s">
        <v>12</v>
      </c>
      <c r="E1162" s="2" t="s">
        <v>13</v>
      </c>
      <c r="F1162" s="2" t="s">
        <v>20</v>
      </c>
      <c r="G1162" s="2" t="s">
        <v>21</v>
      </c>
      <c r="H1162" s="2" t="s">
        <v>22</v>
      </c>
      <c r="I1162" s="2">
        <v>30000</v>
      </c>
      <c r="J1162" s="2">
        <v>6</v>
      </c>
      <c r="K1162" s="2" t="s">
        <v>28</v>
      </c>
      <c r="L1162" s="2">
        <f t="shared" si="4"/>
        <v>24000</v>
      </c>
    </row>
    <row r="1163" spans="1:12" ht="14.25" customHeight="1" x14ac:dyDescent="0.2">
      <c r="A1163" s="33">
        <v>46837</v>
      </c>
      <c r="B1163" s="33"/>
      <c r="C1163" s="2" t="s">
        <v>11</v>
      </c>
      <c r="D1163" s="2" t="s">
        <v>19</v>
      </c>
      <c r="E1163" s="2" t="s">
        <v>13</v>
      </c>
      <c r="F1163" s="2" t="s">
        <v>20</v>
      </c>
      <c r="G1163" s="2" t="s">
        <v>21</v>
      </c>
      <c r="H1163" s="2" t="s">
        <v>22</v>
      </c>
      <c r="I1163" s="2">
        <v>30000</v>
      </c>
      <c r="J1163" s="2">
        <v>6</v>
      </c>
      <c r="K1163" s="2" t="s">
        <v>24</v>
      </c>
      <c r="L1163" s="2">
        <f t="shared" si="4"/>
        <v>24000</v>
      </c>
    </row>
    <row r="1164" spans="1:12" ht="14.25" customHeight="1" x14ac:dyDescent="0.2">
      <c r="A1164" s="33">
        <v>46838</v>
      </c>
      <c r="B1164" s="33"/>
      <c r="C1164" s="2" t="s">
        <v>11</v>
      </c>
      <c r="D1164" s="2" t="s">
        <v>12</v>
      </c>
      <c r="E1164" s="2" t="s">
        <v>23</v>
      </c>
      <c r="F1164" s="2" t="s">
        <v>20</v>
      </c>
      <c r="G1164" s="2" t="s">
        <v>34</v>
      </c>
      <c r="H1164" s="2" t="s">
        <v>16</v>
      </c>
      <c r="I1164" s="2">
        <v>320000</v>
      </c>
      <c r="J1164" s="2">
        <v>2</v>
      </c>
      <c r="K1164" s="2" t="s">
        <v>37</v>
      </c>
      <c r="L1164" s="2">
        <f t="shared" si="4"/>
        <v>256000</v>
      </c>
    </row>
    <row r="1165" spans="1:12" ht="14.25" customHeight="1" x14ac:dyDescent="0.2">
      <c r="A1165" s="33">
        <v>46839</v>
      </c>
      <c r="B1165" s="33"/>
      <c r="C1165" s="2" t="s">
        <v>11</v>
      </c>
      <c r="D1165" s="2" t="s">
        <v>32</v>
      </c>
      <c r="E1165" s="2" t="s">
        <v>13</v>
      </c>
      <c r="F1165" s="2" t="s">
        <v>20</v>
      </c>
      <c r="G1165" s="2" t="s">
        <v>27</v>
      </c>
      <c r="H1165" s="2" t="s">
        <v>22</v>
      </c>
      <c r="I1165" s="2">
        <v>60000</v>
      </c>
      <c r="J1165" s="2">
        <v>6</v>
      </c>
      <c r="K1165" s="2" t="s">
        <v>24</v>
      </c>
      <c r="L1165" s="2">
        <f t="shared" si="4"/>
        <v>48000</v>
      </c>
    </row>
    <row r="1166" spans="1:12" ht="14.25" customHeight="1" x14ac:dyDescent="0.2">
      <c r="A1166" s="33">
        <v>46840</v>
      </c>
      <c r="B1166" s="33"/>
      <c r="C1166" s="2" t="s">
        <v>11</v>
      </c>
      <c r="D1166" s="2" t="s">
        <v>19</v>
      </c>
      <c r="E1166" s="2" t="s">
        <v>13</v>
      </c>
      <c r="F1166" s="2" t="s">
        <v>20</v>
      </c>
      <c r="G1166" s="2" t="s">
        <v>41</v>
      </c>
      <c r="H1166" s="2" t="s">
        <v>22</v>
      </c>
      <c r="I1166" s="2">
        <v>220000</v>
      </c>
      <c r="J1166" s="2">
        <v>10</v>
      </c>
      <c r="K1166" s="2" t="s">
        <v>39</v>
      </c>
      <c r="L1166" s="2">
        <f t="shared" si="4"/>
        <v>176000</v>
      </c>
    </row>
    <row r="1167" spans="1:12" ht="14.25" customHeight="1" x14ac:dyDescent="0.2">
      <c r="A1167" s="33">
        <v>46841</v>
      </c>
      <c r="B1167" s="33"/>
      <c r="C1167" s="2" t="s">
        <v>11</v>
      </c>
      <c r="D1167" s="2" t="s">
        <v>32</v>
      </c>
      <c r="E1167" s="2" t="s">
        <v>13</v>
      </c>
      <c r="F1167" s="2" t="s">
        <v>14</v>
      </c>
      <c r="G1167" s="2" t="s">
        <v>27</v>
      </c>
      <c r="H1167" s="2" t="s">
        <v>22</v>
      </c>
      <c r="I1167" s="2">
        <v>60000</v>
      </c>
      <c r="J1167" s="2">
        <v>6</v>
      </c>
      <c r="K1167" s="2" t="s">
        <v>39</v>
      </c>
      <c r="L1167" s="2">
        <f t="shared" si="4"/>
        <v>48000</v>
      </c>
    </row>
    <row r="1168" spans="1:12" ht="14.25" customHeight="1" x14ac:dyDescent="0.2">
      <c r="A1168" s="33">
        <v>46842</v>
      </c>
      <c r="B1168" s="33"/>
      <c r="C1168" s="2" t="s">
        <v>11</v>
      </c>
      <c r="D1168" s="2" t="s">
        <v>26</v>
      </c>
      <c r="E1168" s="2" t="s">
        <v>13</v>
      </c>
      <c r="F1168" s="2" t="s">
        <v>14</v>
      </c>
      <c r="G1168" s="2" t="s">
        <v>41</v>
      </c>
      <c r="H1168" s="2" t="s">
        <v>22</v>
      </c>
      <c r="I1168" s="2">
        <v>220000</v>
      </c>
      <c r="J1168" s="2">
        <v>7</v>
      </c>
      <c r="K1168" s="2" t="s">
        <v>37</v>
      </c>
      <c r="L1168" s="2">
        <f t="shared" si="4"/>
        <v>176000</v>
      </c>
    </row>
    <row r="1169" spans="1:12" ht="14.25" customHeight="1" x14ac:dyDescent="0.2">
      <c r="A1169" s="33">
        <v>46843</v>
      </c>
      <c r="B1169" s="33"/>
      <c r="C1169" s="2" t="s">
        <v>18</v>
      </c>
      <c r="D1169" s="2" t="s">
        <v>19</v>
      </c>
      <c r="E1169" s="2" t="s">
        <v>23</v>
      </c>
      <c r="F1169" s="2" t="s">
        <v>20</v>
      </c>
      <c r="G1169" s="2" t="s">
        <v>38</v>
      </c>
      <c r="H1169" s="2" t="s">
        <v>31</v>
      </c>
      <c r="I1169" s="2">
        <v>420000</v>
      </c>
      <c r="J1169" s="2">
        <v>8</v>
      </c>
      <c r="K1169" s="2" t="s">
        <v>37</v>
      </c>
      <c r="L1169" s="2">
        <f t="shared" si="4"/>
        <v>336000</v>
      </c>
    </row>
    <row r="1170" spans="1:12" ht="14.25" customHeight="1" x14ac:dyDescent="0.2">
      <c r="A1170" s="33">
        <v>46844</v>
      </c>
      <c r="B1170" s="33"/>
      <c r="C1170" s="2" t="s">
        <v>18</v>
      </c>
      <c r="D1170" s="2" t="s">
        <v>19</v>
      </c>
      <c r="E1170" s="2" t="s">
        <v>13</v>
      </c>
      <c r="F1170" s="2" t="s">
        <v>20</v>
      </c>
      <c r="G1170" s="2" t="s">
        <v>38</v>
      </c>
      <c r="H1170" s="2" t="s">
        <v>31</v>
      </c>
      <c r="I1170" s="2">
        <v>420000</v>
      </c>
      <c r="J1170" s="2">
        <v>1</v>
      </c>
      <c r="K1170" s="2" t="s">
        <v>39</v>
      </c>
      <c r="L1170" s="2">
        <f t="shared" si="4"/>
        <v>336000</v>
      </c>
    </row>
    <row r="1171" spans="1:12" ht="14.25" customHeight="1" x14ac:dyDescent="0.2">
      <c r="A1171" s="33">
        <v>46845</v>
      </c>
      <c r="B1171" s="33"/>
      <c r="C1171" s="2" t="s">
        <v>18</v>
      </c>
      <c r="D1171" s="2" t="s">
        <v>12</v>
      </c>
      <c r="E1171" s="2" t="s">
        <v>23</v>
      </c>
      <c r="F1171" s="2" t="s">
        <v>20</v>
      </c>
      <c r="G1171" s="2" t="s">
        <v>40</v>
      </c>
      <c r="H1171" s="2" t="s">
        <v>31</v>
      </c>
      <c r="I1171" s="2">
        <v>250000</v>
      </c>
      <c r="J1171" s="2">
        <v>9</v>
      </c>
      <c r="K1171" s="2" t="s">
        <v>37</v>
      </c>
      <c r="L1171" s="2">
        <f t="shared" si="4"/>
        <v>200000</v>
      </c>
    </row>
    <row r="1172" spans="1:12" ht="14.25" customHeight="1" x14ac:dyDescent="0.2">
      <c r="A1172" s="33">
        <v>46846</v>
      </c>
      <c r="B1172" s="33"/>
      <c r="C1172" s="2" t="s">
        <v>29</v>
      </c>
      <c r="D1172" s="2" t="s">
        <v>32</v>
      </c>
      <c r="E1172" s="2" t="s">
        <v>13</v>
      </c>
      <c r="F1172" s="2" t="s">
        <v>14</v>
      </c>
      <c r="G1172" s="2" t="s">
        <v>21</v>
      </c>
      <c r="H1172" s="2" t="s">
        <v>22</v>
      </c>
      <c r="I1172" s="2">
        <v>30000</v>
      </c>
      <c r="J1172" s="2">
        <v>3</v>
      </c>
      <c r="K1172" s="2" t="s">
        <v>24</v>
      </c>
      <c r="L1172" s="2">
        <f t="shared" si="4"/>
        <v>24000</v>
      </c>
    </row>
    <row r="1173" spans="1:12" ht="14.25" customHeight="1" x14ac:dyDescent="0.2">
      <c r="A1173" s="33">
        <v>46847</v>
      </c>
      <c r="B1173" s="33"/>
      <c r="C1173" s="2" t="s">
        <v>29</v>
      </c>
      <c r="D1173" s="2" t="s">
        <v>26</v>
      </c>
      <c r="E1173" s="2" t="s">
        <v>13</v>
      </c>
      <c r="F1173" s="2" t="s">
        <v>14</v>
      </c>
      <c r="G1173" s="2" t="s">
        <v>34</v>
      </c>
      <c r="H1173" s="2" t="s">
        <v>16</v>
      </c>
      <c r="I1173" s="2">
        <v>320000</v>
      </c>
      <c r="J1173" s="2">
        <v>1</v>
      </c>
      <c r="K1173" s="2" t="s">
        <v>39</v>
      </c>
      <c r="L1173" s="2">
        <f t="shared" si="4"/>
        <v>256000</v>
      </c>
    </row>
    <row r="1174" spans="1:12" ht="14.25" customHeight="1" x14ac:dyDescent="0.2">
      <c r="A1174" s="33">
        <v>46848</v>
      </c>
      <c r="B1174" s="33"/>
      <c r="C1174" s="2" t="s">
        <v>11</v>
      </c>
      <c r="D1174" s="2" t="s">
        <v>32</v>
      </c>
      <c r="E1174" s="2" t="s">
        <v>23</v>
      </c>
      <c r="F1174" s="2" t="s">
        <v>14</v>
      </c>
      <c r="G1174" s="2" t="s">
        <v>34</v>
      </c>
      <c r="H1174" s="2" t="s">
        <v>16</v>
      </c>
      <c r="I1174" s="2">
        <v>320000</v>
      </c>
      <c r="J1174" s="2">
        <v>10</v>
      </c>
      <c r="K1174" s="2" t="s">
        <v>28</v>
      </c>
      <c r="L1174" s="2">
        <f t="shared" si="4"/>
        <v>256000</v>
      </c>
    </row>
    <row r="1175" spans="1:12" ht="14.25" customHeight="1" x14ac:dyDescent="0.2">
      <c r="A1175" s="33">
        <v>46849</v>
      </c>
      <c r="B1175" s="33"/>
      <c r="C1175" s="2" t="s">
        <v>29</v>
      </c>
      <c r="D1175" s="2" t="s">
        <v>19</v>
      </c>
      <c r="E1175" s="2" t="s">
        <v>23</v>
      </c>
      <c r="F1175" s="2" t="s">
        <v>14</v>
      </c>
      <c r="G1175" s="2" t="s">
        <v>33</v>
      </c>
      <c r="H1175" s="2" t="s">
        <v>22</v>
      </c>
      <c r="I1175" s="2">
        <v>180000</v>
      </c>
      <c r="J1175" s="2">
        <v>4</v>
      </c>
      <c r="K1175" s="2" t="s">
        <v>28</v>
      </c>
      <c r="L1175" s="2">
        <f t="shared" si="4"/>
        <v>144000</v>
      </c>
    </row>
    <row r="1176" spans="1:12" ht="14.25" customHeight="1" x14ac:dyDescent="0.2">
      <c r="A1176" s="33">
        <v>46850</v>
      </c>
      <c r="B1176" s="33"/>
      <c r="C1176" s="2" t="s">
        <v>11</v>
      </c>
      <c r="D1176" s="2" t="s">
        <v>19</v>
      </c>
      <c r="E1176" s="2" t="s">
        <v>13</v>
      </c>
      <c r="F1176" s="2" t="s">
        <v>20</v>
      </c>
      <c r="G1176" s="2" t="s">
        <v>38</v>
      </c>
      <c r="H1176" s="2" t="s">
        <v>31</v>
      </c>
      <c r="I1176" s="2">
        <v>420000</v>
      </c>
      <c r="J1176" s="2">
        <v>5</v>
      </c>
      <c r="K1176" s="2" t="s">
        <v>37</v>
      </c>
      <c r="L1176" s="2">
        <f t="shared" si="4"/>
        <v>336000</v>
      </c>
    </row>
    <row r="1177" spans="1:12" ht="14.25" customHeight="1" x14ac:dyDescent="0.2">
      <c r="A1177" s="33">
        <v>46851</v>
      </c>
      <c r="B1177" s="33"/>
      <c r="C1177" s="2" t="s">
        <v>29</v>
      </c>
      <c r="D1177" s="2" t="s">
        <v>32</v>
      </c>
      <c r="E1177" s="2" t="s">
        <v>13</v>
      </c>
      <c r="F1177" s="2" t="s">
        <v>14</v>
      </c>
      <c r="G1177" s="2" t="s">
        <v>27</v>
      </c>
      <c r="H1177" s="2" t="s">
        <v>22</v>
      </c>
      <c r="I1177" s="2">
        <v>60000</v>
      </c>
      <c r="J1177" s="2">
        <v>5</v>
      </c>
      <c r="K1177" s="2" t="s">
        <v>24</v>
      </c>
      <c r="L1177" s="2">
        <f t="shared" si="4"/>
        <v>48000</v>
      </c>
    </row>
    <row r="1178" spans="1:12" ht="14.25" customHeight="1" x14ac:dyDescent="0.2">
      <c r="A1178" s="33">
        <v>46852</v>
      </c>
      <c r="B1178" s="33"/>
      <c r="C1178" s="2" t="s">
        <v>29</v>
      </c>
      <c r="D1178" s="2" t="s">
        <v>32</v>
      </c>
      <c r="E1178" s="2" t="s">
        <v>13</v>
      </c>
      <c r="F1178" s="2" t="s">
        <v>20</v>
      </c>
      <c r="G1178" s="2" t="s">
        <v>27</v>
      </c>
      <c r="H1178" s="2" t="s">
        <v>22</v>
      </c>
      <c r="I1178" s="2">
        <v>60000</v>
      </c>
      <c r="J1178" s="2">
        <v>9</v>
      </c>
      <c r="K1178" s="2" t="s">
        <v>37</v>
      </c>
      <c r="L1178" s="2">
        <f t="shared" si="4"/>
        <v>48000</v>
      </c>
    </row>
    <row r="1179" spans="1:12" ht="14.25" customHeight="1" x14ac:dyDescent="0.2">
      <c r="A1179" s="33">
        <v>46853</v>
      </c>
      <c r="B1179" s="33"/>
      <c r="C1179" s="2" t="s">
        <v>18</v>
      </c>
      <c r="D1179" s="2" t="s">
        <v>26</v>
      </c>
      <c r="E1179" s="2" t="s">
        <v>23</v>
      </c>
      <c r="F1179" s="2" t="s">
        <v>20</v>
      </c>
      <c r="G1179" s="2" t="s">
        <v>30</v>
      </c>
      <c r="H1179" s="2" t="s">
        <v>31</v>
      </c>
      <c r="I1179" s="2">
        <v>300000</v>
      </c>
      <c r="J1179" s="2">
        <v>10</v>
      </c>
      <c r="K1179" s="2" t="s">
        <v>24</v>
      </c>
      <c r="L1179" s="2">
        <f t="shared" si="4"/>
        <v>240000</v>
      </c>
    </row>
    <row r="1180" spans="1:12" ht="14.25" customHeight="1" x14ac:dyDescent="0.2">
      <c r="A1180" s="33">
        <v>46854</v>
      </c>
      <c r="B1180" s="33"/>
      <c r="C1180" s="2" t="s">
        <v>25</v>
      </c>
      <c r="D1180" s="2" t="s">
        <v>32</v>
      </c>
      <c r="E1180" s="2" t="s">
        <v>13</v>
      </c>
      <c r="F1180" s="2" t="s">
        <v>20</v>
      </c>
      <c r="G1180" s="2" t="s">
        <v>38</v>
      </c>
      <c r="H1180" s="2" t="s">
        <v>31</v>
      </c>
      <c r="I1180" s="2">
        <v>420000</v>
      </c>
      <c r="J1180" s="2">
        <v>8</v>
      </c>
      <c r="K1180" s="2" t="s">
        <v>39</v>
      </c>
      <c r="L1180" s="2">
        <f t="shared" si="4"/>
        <v>336000</v>
      </c>
    </row>
    <row r="1181" spans="1:12" ht="14.25" customHeight="1" x14ac:dyDescent="0.2">
      <c r="A1181" s="33">
        <v>46855</v>
      </c>
      <c r="B1181" s="33"/>
      <c r="C1181" s="2" t="s">
        <v>25</v>
      </c>
      <c r="D1181" s="2" t="s">
        <v>26</v>
      </c>
      <c r="E1181" s="2" t="s">
        <v>23</v>
      </c>
      <c r="F1181" s="2" t="s">
        <v>20</v>
      </c>
      <c r="G1181" s="2" t="s">
        <v>33</v>
      </c>
      <c r="H1181" s="2" t="s">
        <v>22</v>
      </c>
      <c r="I1181" s="2">
        <v>180000</v>
      </c>
      <c r="J1181" s="2">
        <v>4</v>
      </c>
      <c r="K1181" s="2" t="s">
        <v>24</v>
      </c>
      <c r="L1181" s="2">
        <f t="shared" si="4"/>
        <v>144000</v>
      </c>
    </row>
    <row r="1182" spans="1:12" ht="14.25" customHeight="1" x14ac:dyDescent="0.2">
      <c r="A1182" s="33">
        <v>46856</v>
      </c>
      <c r="B1182" s="33"/>
      <c r="C1182" s="2" t="s">
        <v>18</v>
      </c>
      <c r="D1182" s="2" t="s">
        <v>26</v>
      </c>
      <c r="E1182" s="2" t="s">
        <v>13</v>
      </c>
      <c r="F1182" s="2" t="s">
        <v>20</v>
      </c>
      <c r="G1182" s="2" t="s">
        <v>21</v>
      </c>
      <c r="H1182" s="2" t="s">
        <v>22</v>
      </c>
      <c r="I1182" s="2">
        <v>30000</v>
      </c>
      <c r="J1182" s="2">
        <v>5</v>
      </c>
      <c r="K1182" s="2" t="s">
        <v>37</v>
      </c>
      <c r="L1182" s="2">
        <f t="shared" si="4"/>
        <v>24000</v>
      </c>
    </row>
    <row r="1183" spans="1:12" ht="14.25" customHeight="1" x14ac:dyDescent="0.2">
      <c r="A1183" s="33">
        <v>46857</v>
      </c>
      <c r="B1183" s="33"/>
      <c r="C1183" s="2" t="s">
        <v>29</v>
      </c>
      <c r="D1183" s="2" t="s">
        <v>19</v>
      </c>
      <c r="E1183" s="2" t="s">
        <v>13</v>
      </c>
      <c r="F1183" s="2" t="s">
        <v>14</v>
      </c>
      <c r="G1183" s="2" t="s">
        <v>40</v>
      </c>
      <c r="H1183" s="2" t="s">
        <v>31</v>
      </c>
      <c r="I1183" s="2">
        <v>250000</v>
      </c>
      <c r="J1183" s="2">
        <v>3</v>
      </c>
      <c r="K1183" s="2" t="s">
        <v>24</v>
      </c>
      <c r="L1183" s="2">
        <f t="shared" si="4"/>
        <v>200000</v>
      </c>
    </row>
    <row r="1184" spans="1:12" ht="14.25" customHeight="1" x14ac:dyDescent="0.2">
      <c r="A1184" s="33">
        <v>46858</v>
      </c>
      <c r="B1184" s="33"/>
      <c r="C1184" s="2" t="s">
        <v>18</v>
      </c>
      <c r="D1184" s="2" t="s">
        <v>26</v>
      </c>
      <c r="E1184" s="2" t="s">
        <v>23</v>
      </c>
      <c r="F1184" s="2" t="s">
        <v>20</v>
      </c>
      <c r="G1184" s="2" t="s">
        <v>15</v>
      </c>
      <c r="H1184" s="2" t="s">
        <v>16</v>
      </c>
      <c r="I1184" s="2">
        <v>85000</v>
      </c>
      <c r="J1184" s="2">
        <v>8</v>
      </c>
      <c r="K1184" s="2" t="s">
        <v>28</v>
      </c>
      <c r="L1184" s="2">
        <f t="shared" si="4"/>
        <v>68000</v>
      </c>
    </row>
    <row r="1185" spans="1:12" ht="14.25" customHeight="1" x14ac:dyDescent="0.2">
      <c r="A1185" s="33">
        <v>46859</v>
      </c>
      <c r="B1185" s="33"/>
      <c r="C1185" s="2" t="s">
        <v>25</v>
      </c>
      <c r="D1185" s="2" t="s">
        <v>12</v>
      </c>
      <c r="E1185" s="2" t="s">
        <v>23</v>
      </c>
      <c r="F1185" s="2" t="s">
        <v>14</v>
      </c>
      <c r="G1185" s="2" t="s">
        <v>27</v>
      </c>
      <c r="H1185" s="2" t="s">
        <v>22</v>
      </c>
      <c r="I1185" s="2">
        <v>60000</v>
      </c>
      <c r="J1185" s="2">
        <v>8</v>
      </c>
      <c r="K1185" s="2" t="s">
        <v>37</v>
      </c>
      <c r="L1185" s="2">
        <f t="shared" si="4"/>
        <v>48000</v>
      </c>
    </row>
    <row r="1186" spans="1:12" ht="14.25" customHeight="1" x14ac:dyDescent="0.2">
      <c r="A1186" s="33">
        <v>46860</v>
      </c>
      <c r="B1186" s="33"/>
      <c r="C1186" s="2" t="s">
        <v>25</v>
      </c>
      <c r="D1186" s="2" t="s">
        <v>12</v>
      </c>
      <c r="E1186" s="2" t="s">
        <v>23</v>
      </c>
      <c r="F1186" s="2" t="s">
        <v>20</v>
      </c>
      <c r="G1186" s="2" t="s">
        <v>36</v>
      </c>
      <c r="H1186" s="2" t="s">
        <v>31</v>
      </c>
      <c r="I1186" s="2">
        <v>150000</v>
      </c>
      <c r="J1186" s="2">
        <v>5</v>
      </c>
      <c r="K1186" s="2" t="s">
        <v>17</v>
      </c>
      <c r="L1186" s="2">
        <f t="shared" si="4"/>
        <v>120000</v>
      </c>
    </row>
    <row r="1187" spans="1:12" ht="14.25" customHeight="1" x14ac:dyDescent="0.2">
      <c r="A1187" s="33">
        <v>46861</v>
      </c>
      <c r="B1187" s="33"/>
      <c r="C1187" s="2" t="s">
        <v>29</v>
      </c>
      <c r="D1187" s="2" t="s">
        <v>12</v>
      </c>
      <c r="E1187" s="2" t="s">
        <v>23</v>
      </c>
      <c r="F1187" s="2" t="s">
        <v>14</v>
      </c>
      <c r="G1187" s="2" t="s">
        <v>34</v>
      </c>
      <c r="H1187" s="2" t="s">
        <v>16</v>
      </c>
      <c r="I1187" s="2">
        <v>320000</v>
      </c>
      <c r="J1187" s="2">
        <v>9</v>
      </c>
      <c r="K1187" s="2" t="s">
        <v>35</v>
      </c>
      <c r="L1187" s="2">
        <f t="shared" si="4"/>
        <v>256000</v>
      </c>
    </row>
    <row r="1188" spans="1:12" ht="14.25" customHeight="1" x14ac:dyDescent="0.2">
      <c r="A1188" s="33">
        <v>46862</v>
      </c>
      <c r="B1188" s="33"/>
      <c r="C1188" s="2" t="s">
        <v>29</v>
      </c>
      <c r="D1188" s="2" t="s">
        <v>32</v>
      </c>
      <c r="E1188" s="2" t="s">
        <v>23</v>
      </c>
      <c r="F1188" s="2" t="s">
        <v>14</v>
      </c>
      <c r="G1188" s="2" t="s">
        <v>38</v>
      </c>
      <c r="H1188" s="2" t="s">
        <v>31</v>
      </c>
      <c r="I1188" s="2">
        <v>420000</v>
      </c>
      <c r="J1188" s="2">
        <v>7</v>
      </c>
      <c r="K1188" s="2" t="s">
        <v>17</v>
      </c>
      <c r="L1188" s="2">
        <f t="shared" si="4"/>
        <v>336000</v>
      </c>
    </row>
    <row r="1189" spans="1:12" ht="14.25" customHeight="1" x14ac:dyDescent="0.2">
      <c r="A1189" s="33">
        <v>46863</v>
      </c>
      <c r="B1189" s="33"/>
      <c r="C1189" s="2" t="s">
        <v>25</v>
      </c>
      <c r="D1189" s="2" t="s">
        <v>26</v>
      </c>
      <c r="E1189" s="2" t="s">
        <v>23</v>
      </c>
      <c r="F1189" s="2" t="s">
        <v>20</v>
      </c>
      <c r="G1189" s="2" t="s">
        <v>27</v>
      </c>
      <c r="H1189" s="2" t="s">
        <v>22</v>
      </c>
      <c r="I1189" s="2">
        <v>60000</v>
      </c>
      <c r="J1189" s="2">
        <v>6</v>
      </c>
      <c r="K1189" s="2" t="s">
        <v>37</v>
      </c>
      <c r="L1189" s="2">
        <f t="shared" si="4"/>
        <v>48000</v>
      </c>
    </row>
    <row r="1190" spans="1:12" ht="14.25" customHeight="1" x14ac:dyDescent="0.2">
      <c r="A1190" s="33">
        <v>46864</v>
      </c>
      <c r="B1190" s="33"/>
      <c r="C1190" s="2" t="s">
        <v>29</v>
      </c>
      <c r="D1190" s="2" t="s">
        <v>12</v>
      </c>
      <c r="E1190" s="2" t="s">
        <v>13</v>
      </c>
      <c r="F1190" s="2" t="s">
        <v>20</v>
      </c>
      <c r="G1190" s="2" t="s">
        <v>36</v>
      </c>
      <c r="H1190" s="2" t="s">
        <v>31</v>
      </c>
      <c r="I1190" s="2">
        <v>150000</v>
      </c>
      <c r="J1190" s="2">
        <v>7</v>
      </c>
      <c r="K1190" s="2" t="s">
        <v>39</v>
      </c>
      <c r="L1190" s="2">
        <f t="shared" si="4"/>
        <v>120000</v>
      </c>
    </row>
    <row r="1191" spans="1:12" ht="14.25" customHeight="1" x14ac:dyDescent="0.2">
      <c r="A1191" s="33">
        <v>46865</v>
      </c>
      <c r="B1191" s="33"/>
      <c r="C1191" s="2" t="s">
        <v>18</v>
      </c>
      <c r="D1191" s="2" t="s">
        <v>26</v>
      </c>
      <c r="E1191" s="2" t="s">
        <v>13</v>
      </c>
      <c r="F1191" s="2" t="s">
        <v>20</v>
      </c>
      <c r="G1191" s="2" t="s">
        <v>34</v>
      </c>
      <c r="H1191" s="2" t="s">
        <v>16</v>
      </c>
      <c r="I1191" s="2">
        <v>320000</v>
      </c>
      <c r="J1191" s="2">
        <v>10</v>
      </c>
      <c r="K1191" s="2" t="s">
        <v>28</v>
      </c>
      <c r="L1191" s="2">
        <f t="shared" si="4"/>
        <v>256000</v>
      </c>
    </row>
    <row r="1192" spans="1:12" ht="14.25" customHeight="1" x14ac:dyDescent="0.2">
      <c r="A1192" s="33">
        <v>46866</v>
      </c>
      <c r="B1192" s="33"/>
      <c r="C1192" s="2" t="s">
        <v>18</v>
      </c>
      <c r="D1192" s="2" t="s">
        <v>12</v>
      </c>
      <c r="E1192" s="2" t="s">
        <v>23</v>
      </c>
      <c r="F1192" s="2" t="s">
        <v>14</v>
      </c>
      <c r="G1192" s="2" t="s">
        <v>30</v>
      </c>
      <c r="H1192" s="2" t="s">
        <v>31</v>
      </c>
      <c r="I1192" s="2">
        <v>300000</v>
      </c>
      <c r="J1192" s="2">
        <v>8</v>
      </c>
      <c r="K1192" s="2" t="s">
        <v>24</v>
      </c>
      <c r="L1192" s="2">
        <f t="shared" si="4"/>
        <v>240000</v>
      </c>
    </row>
    <row r="1193" spans="1:12" ht="14.25" customHeight="1" x14ac:dyDescent="0.2">
      <c r="A1193" s="33">
        <v>46867</v>
      </c>
      <c r="B1193" s="33"/>
      <c r="C1193" s="2" t="s">
        <v>11</v>
      </c>
      <c r="D1193" s="2" t="s">
        <v>12</v>
      </c>
      <c r="E1193" s="2" t="s">
        <v>13</v>
      </c>
      <c r="F1193" s="2" t="s">
        <v>14</v>
      </c>
      <c r="G1193" s="2" t="s">
        <v>38</v>
      </c>
      <c r="H1193" s="2" t="s">
        <v>31</v>
      </c>
      <c r="I1193" s="2">
        <v>420000</v>
      </c>
      <c r="J1193" s="2">
        <v>5</v>
      </c>
      <c r="K1193" s="2" t="s">
        <v>35</v>
      </c>
      <c r="L1193" s="2">
        <f t="shared" si="4"/>
        <v>336000</v>
      </c>
    </row>
    <row r="1194" spans="1:12" ht="14.25" customHeight="1" x14ac:dyDescent="0.2">
      <c r="A1194" s="33">
        <v>46868</v>
      </c>
      <c r="B1194" s="33"/>
      <c r="C1194" s="2" t="s">
        <v>18</v>
      </c>
      <c r="D1194" s="2" t="s">
        <v>26</v>
      </c>
      <c r="E1194" s="2" t="s">
        <v>13</v>
      </c>
      <c r="F1194" s="2" t="s">
        <v>20</v>
      </c>
      <c r="G1194" s="2" t="s">
        <v>41</v>
      </c>
      <c r="H1194" s="2" t="s">
        <v>22</v>
      </c>
      <c r="I1194" s="2">
        <v>220000</v>
      </c>
      <c r="J1194" s="2">
        <v>5</v>
      </c>
      <c r="K1194" s="2" t="s">
        <v>17</v>
      </c>
      <c r="L1194" s="2">
        <f t="shared" si="4"/>
        <v>176000</v>
      </c>
    </row>
    <row r="1195" spans="1:12" ht="14.25" customHeight="1" x14ac:dyDescent="0.2">
      <c r="A1195" s="33">
        <v>46869</v>
      </c>
      <c r="B1195" s="33"/>
      <c r="C1195" s="2" t="s">
        <v>11</v>
      </c>
      <c r="D1195" s="2" t="s">
        <v>12</v>
      </c>
      <c r="E1195" s="2" t="s">
        <v>23</v>
      </c>
      <c r="F1195" s="2" t="s">
        <v>20</v>
      </c>
      <c r="G1195" s="2" t="s">
        <v>34</v>
      </c>
      <c r="H1195" s="2" t="s">
        <v>16</v>
      </c>
      <c r="I1195" s="2">
        <v>320000</v>
      </c>
      <c r="J1195" s="2">
        <v>3</v>
      </c>
      <c r="K1195" s="2" t="s">
        <v>24</v>
      </c>
      <c r="L1195" s="2">
        <f t="shared" si="4"/>
        <v>256000</v>
      </c>
    </row>
    <row r="1196" spans="1:12" ht="14.25" customHeight="1" x14ac:dyDescent="0.2">
      <c r="A1196" s="33">
        <v>46870</v>
      </c>
      <c r="B1196" s="33"/>
      <c r="C1196" s="2" t="s">
        <v>18</v>
      </c>
      <c r="D1196" s="2" t="s">
        <v>12</v>
      </c>
      <c r="E1196" s="2" t="s">
        <v>13</v>
      </c>
      <c r="F1196" s="2" t="s">
        <v>14</v>
      </c>
      <c r="G1196" s="2" t="s">
        <v>33</v>
      </c>
      <c r="H1196" s="2" t="s">
        <v>22</v>
      </c>
      <c r="I1196" s="2">
        <v>180000</v>
      </c>
      <c r="J1196" s="2">
        <v>9</v>
      </c>
      <c r="K1196" s="2" t="s">
        <v>39</v>
      </c>
      <c r="L1196" s="2">
        <f t="shared" si="4"/>
        <v>144000</v>
      </c>
    </row>
    <row r="1197" spans="1:12" ht="14.25" customHeight="1" x14ac:dyDescent="0.2">
      <c r="A1197" s="33">
        <v>46871</v>
      </c>
      <c r="B1197" s="33"/>
      <c r="C1197" s="2" t="s">
        <v>29</v>
      </c>
      <c r="D1197" s="2" t="s">
        <v>12</v>
      </c>
      <c r="E1197" s="2" t="s">
        <v>13</v>
      </c>
      <c r="F1197" s="2" t="s">
        <v>14</v>
      </c>
      <c r="G1197" s="2" t="s">
        <v>30</v>
      </c>
      <c r="H1197" s="2" t="s">
        <v>31</v>
      </c>
      <c r="I1197" s="2">
        <v>300000</v>
      </c>
      <c r="J1197" s="2">
        <v>1</v>
      </c>
      <c r="K1197" s="2" t="s">
        <v>39</v>
      </c>
      <c r="L1197" s="2">
        <f t="shared" si="4"/>
        <v>240000</v>
      </c>
    </row>
    <row r="1198" spans="1:12" ht="14.25" customHeight="1" x14ac:dyDescent="0.2">
      <c r="A1198" s="33">
        <v>46872</v>
      </c>
      <c r="B1198" s="33"/>
      <c r="C1198" s="2" t="s">
        <v>29</v>
      </c>
      <c r="D1198" s="2" t="s">
        <v>26</v>
      </c>
      <c r="E1198" s="2" t="s">
        <v>13</v>
      </c>
      <c r="F1198" s="2" t="s">
        <v>20</v>
      </c>
      <c r="G1198" s="2" t="s">
        <v>41</v>
      </c>
      <c r="H1198" s="2" t="s">
        <v>22</v>
      </c>
      <c r="I1198" s="2">
        <v>220000</v>
      </c>
      <c r="J1198" s="2">
        <v>7</v>
      </c>
      <c r="K1198" s="2" t="s">
        <v>39</v>
      </c>
      <c r="L1198" s="2">
        <f t="shared" si="4"/>
        <v>176000</v>
      </c>
    </row>
    <row r="1199" spans="1:12" ht="14.25" customHeight="1" x14ac:dyDescent="0.2">
      <c r="A1199" s="33">
        <v>46873</v>
      </c>
      <c r="B1199" s="33"/>
      <c r="C1199" s="2" t="s">
        <v>18</v>
      </c>
      <c r="D1199" s="2" t="s">
        <v>19</v>
      </c>
      <c r="E1199" s="2" t="s">
        <v>23</v>
      </c>
      <c r="F1199" s="2" t="s">
        <v>20</v>
      </c>
      <c r="G1199" s="2" t="s">
        <v>15</v>
      </c>
      <c r="H1199" s="2" t="s">
        <v>16</v>
      </c>
      <c r="I1199" s="2">
        <v>85000</v>
      </c>
      <c r="J1199" s="2">
        <v>9</v>
      </c>
      <c r="K1199" s="2" t="s">
        <v>24</v>
      </c>
      <c r="L1199" s="2">
        <f t="shared" si="4"/>
        <v>68000</v>
      </c>
    </row>
    <row r="1200" spans="1:12" ht="14.25" customHeight="1" x14ac:dyDescent="0.2">
      <c r="A1200" s="33">
        <v>46874</v>
      </c>
      <c r="B1200" s="33"/>
      <c r="C1200" s="2" t="s">
        <v>18</v>
      </c>
      <c r="D1200" s="2" t="s">
        <v>19</v>
      </c>
      <c r="E1200" s="2" t="s">
        <v>13</v>
      </c>
      <c r="F1200" s="2" t="s">
        <v>14</v>
      </c>
      <c r="G1200" s="2" t="s">
        <v>15</v>
      </c>
      <c r="H1200" s="2" t="s">
        <v>16</v>
      </c>
      <c r="I1200" s="2">
        <v>85000</v>
      </c>
      <c r="J1200" s="2">
        <v>4</v>
      </c>
      <c r="K1200" s="2" t="s">
        <v>28</v>
      </c>
      <c r="L1200" s="2">
        <f t="shared" si="4"/>
        <v>68000</v>
      </c>
    </row>
    <row r="1201" spans="1:12" ht="14.25" customHeight="1" x14ac:dyDescent="0.2">
      <c r="A1201" s="33">
        <v>46875</v>
      </c>
      <c r="B1201" s="33"/>
      <c r="C1201" s="2" t="s">
        <v>18</v>
      </c>
      <c r="D1201" s="2" t="s">
        <v>32</v>
      </c>
      <c r="E1201" s="2" t="s">
        <v>13</v>
      </c>
      <c r="F1201" s="2" t="s">
        <v>20</v>
      </c>
      <c r="G1201" s="2" t="s">
        <v>27</v>
      </c>
      <c r="H1201" s="2" t="s">
        <v>22</v>
      </c>
      <c r="I1201" s="2">
        <v>60000</v>
      </c>
      <c r="J1201" s="2">
        <v>8</v>
      </c>
      <c r="K1201" s="2" t="s">
        <v>28</v>
      </c>
      <c r="L1201" s="2">
        <f t="shared" si="4"/>
        <v>48000</v>
      </c>
    </row>
    <row r="1202" spans="1:12" ht="14.25" customHeight="1" x14ac:dyDescent="0.2">
      <c r="A1202" s="33">
        <v>46876</v>
      </c>
      <c r="B1202" s="33"/>
      <c r="C1202" s="2" t="s">
        <v>25</v>
      </c>
      <c r="D1202" s="2" t="s">
        <v>19</v>
      </c>
      <c r="E1202" s="2" t="s">
        <v>23</v>
      </c>
      <c r="F1202" s="2" t="s">
        <v>20</v>
      </c>
      <c r="G1202" s="2" t="s">
        <v>36</v>
      </c>
      <c r="H1202" s="2" t="s">
        <v>31</v>
      </c>
      <c r="I1202" s="2">
        <v>150000</v>
      </c>
      <c r="J1202" s="2">
        <v>6</v>
      </c>
      <c r="K1202" s="2" t="s">
        <v>35</v>
      </c>
      <c r="L1202" s="2">
        <f t="shared" si="4"/>
        <v>120000</v>
      </c>
    </row>
    <row r="1203" spans="1:12" ht="14.25" customHeight="1" x14ac:dyDescent="0.2">
      <c r="A1203" s="33">
        <v>46877</v>
      </c>
      <c r="B1203" s="33"/>
      <c r="C1203" s="2" t="s">
        <v>18</v>
      </c>
      <c r="D1203" s="2" t="s">
        <v>26</v>
      </c>
      <c r="E1203" s="2" t="s">
        <v>23</v>
      </c>
      <c r="F1203" s="2" t="s">
        <v>14</v>
      </c>
      <c r="G1203" s="2" t="s">
        <v>15</v>
      </c>
      <c r="H1203" s="2" t="s">
        <v>16</v>
      </c>
      <c r="I1203" s="2">
        <v>85000</v>
      </c>
      <c r="J1203" s="2">
        <v>10</v>
      </c>
      <c r="K1203" s="2" t="s">
        <v>28</v>
      </c>
      <c r="L1203" s="2">
        <f t="shared" si="4"/>
        <v>68000</v>
      </c>
    </row>
    <row r="1204" spans="1:12" ht="14.25" customHeight="1" x14ac:dyDescent="0.2">
      <c r="A1204" s="33">
        <v>46878</v>
      </c>
      <c r="B1204" s="33"/>
      <c r="C1204" s="2" t="s">
        <v>11</v>
      </c>
      <c r="D1204" s="2" t="s">
        <v>19</v>
      </c>
      <c r="E1204" s="2" t="s">
        <v>23</v>
      </c>
      <c r="F1204" s="2" t="s">
        <v>20</v>
      </c>
      <c r="G1204" s="2" t="s">
        <v>15</v>
      </c>
      <c r="H1204" s="2" t="s">
        <v>16</v>
      </c>
      <c r="I1204" s="2">
        <v>85000</v>
      </c>
      <c r="J1204" s="2">
        <v>3</v>
      </c>
      <c r="K1204" s="2" t="s">
        <v>39</v>
      </c>
      <c r="L1204" s="2">
        <f t="shared" si="4"/>
        <v>68000</v>
      </c>
    </row>
    <row r="1205" spans="1:12" ht="14.25" customHeight="1" x14ac:dyDescent="0.2">
      <c r="A1205" s="33">
        <v>46879</v>
      </c>
      <c r="B1205" s="33"/>
      <c r="C1205" s="2" t="s">
        <v>11</v>
      </c>
      <c r="D1205" s="2" t="s">
        <v>26</v>
      </c>
      <c r="E1205" s="2" t="s">
        <v>23</v>
      </c>
      <c r="F1205" s="2" t="s">
        <v>14</v>
      </c>
      <c r="G1205" s="2" t="s">
        <v>30</v>
      </c>
      <c r="H1205" s="2" t="s">
        <v>31</v>
      </c>
      <c r="I1205" s="2">
        <v>300000</v>
      </c>
      <c r="J1205" s="2">
        <v>8</v>
      </c>
      <c r="K1205" s="2" t="s">
        <v>35</v>
      </c>
      <c r="L1205" s="2">
        <f t="shared" si="4"/>
        <v>240000</v>
      </c>
    </row>
    <row r="1206" spans="1:12" ht="14.25" customHeight="1" x14ac:dyDescent="0.2">
      <c r="A1206" s="33">
        <v>46880</v>
      </c>
      <c r="B1206" s="33"/>
      <c r="C1206" s="2" t="s">
        <v>11</v>
      </c>
      <c r="D1206" s="2" t="s">
        <v>12</v>
      </c>
      <c r="E1206" s="2" t="s">
        <v>23</v>
      </c>
      <c r="F1206" s="2" t="s">
        <v>14</v>
      </c>
      <c r="G1206" s="2" t="s">
        <v>38</v>
      </c>
      <c r="H1206" s="2" t="s">
        <v>31</v>
      </c>
      <c r="I1206" s="2">
        <v>420000</v>
      </c>
      <c r="J1206" s="2">
        <v>6</v>
      </c>
      <c r="K1206" s="2" t="s">
        <v>37</v>
      </c>
      <c r="L1206" s="2">
        <f t="shared" si="4"/>
        <v>336000</v>
      </c>
    </row>
    <row r="1207" spans="1:12" ht="14.25" customHeight="1" x14ac:dyDescent="0.2">
      <c r="A1207" s="33">
        <v>46881</v>
      </c>
      <c r="B1207" s="33"/>
      <c r="C1207" s="2" t="s">
        <v>25</v>
      </c>
      <c r="D1207" s="2" t="s">
        <v>26</v>
      </c>
      <c r="E1207" s="2" t="s">
        <v>23</v>
      </c>
      <c r="F1207" s="2" t="s">
        <v>14</v>
      </c>
      <c r="G1207" s="2" t="s">
        <v>40</v>
      </c>
      <c r="H1207" s="2" t="s">
        <v>31</v>
      </c>
      <c r="I1207" s="2">
        <v>250000</v>
      </c>
      <c r="J1207" s="2">
        <v>3</v>
      </c>
      <c r="K1207" s="2" t="s">
        <v>24</v>
      </c>
      <c r="L1207" s="2">
        <f t="shared" si="4"/>
        <v>200000</v>
      </c>
    </row>
    <row r="1208" spans="1:12" ht="14.25" customHeight="1" x14ac:dyDescent="0.2">
      <c r="A1208" s="33">
        <v>46882</v>
      </c>
      <c r="B1208" s="33"/>
      <c r="C1208" s="2" t="s">
        <v>11</v>
      </c>
      <c r="D1208" s="2" t="s">
        <v>32</v>
      </c>
      <c r="E1208" s="2" t="s">
        <v>13</v>
      </c>
      <c r="F1208" s="2" t="s">
        <v>20</v>
      </c>
      <c r="G1208" s="2" t="s">
        <v>40</v>
      </c>
      <c r="H1208" s="2" t="s">
        <v>31</v>
      </c>
      <c r="I1208" s="2">
        <v>250000</v>
      </c>
      <c r="J1208" s="2">
        <v>8</v>
      </c>
      <c r="K1208" s="2" t="s">
        <v>28</v>
      </c>
      <c r="L1208" s="2">
        <f t="shared" si="4"/>
        <v>200000</v>
      </c>
    </row>
    <row r="1209" spans="1:12" ht="14.25" customHeight="1" x14ac:dyDescent="0.2">
      <c r="A1209" s="33">
        <v>46883</v>
      </c>
      <c r="B1209" s="33"/>
      <c r="C1209" s="2" t="s">
        <v>29</v>
      </c>
      <c r="D1209" s="2" t="s">
        <v>19</v>
      </c>
      <c r="E1209" s="2" t="s">
        <v>23</v>
      </c>
      <c r="F1209" s="2" t="s">
        <v>14</v>
      </c>
      <c r="G1209" s="2" t="s">
        <v>15</v>
      </c>
      <c r="H1209" s="2" t="s">
        <v>16</v>
      </c>
      <c r="I1209" s="2">
        <v>85000</v>
      </c>
      <c r="J1209" s="2">
        <v>3</v>
      </c>
      <c r="K1209" s="2" t="s">
        <v>28</v>
      </c>
      <c r="L1209" s="2">
        <f t="shared" si="4"/>
        <v>68000</v>
      </c>
    </row>
    <row r="1210" spans="1:12" ht="14.25" customHeight="1" x14ac:dyDescent="0.2">
      <c r="A1210" s="33">
        <v>46884</v>
      </c>
      <c r="B1210" s="33"/>
      <c r="C1210" s="2" t="s">
        <v>29</v>
      </c>
      <c r="D1210" s="2" t="s">
        <v>32</v>
      </c>
      <c r="E1210" s="2" t="s">
        <v>23</v>
      </c>
      <c r="F1210" s="2" t="s">
        <v>14</v>
      </c>
      <c r="G1210" s="2" t="s">
        <v>21</v>
      </c>
      <c r="H1210" s="2" t="s">
        <v>22</v>
      </c>
      <c r="I1210" s="2">
        <v>30000</v>
      </c>
      <c r="J1210" s="2">
        <v>7</v>
      </c>
      <c r="K1210" s="2" t="s">
        <v>28</v>
      </c>
      <c r="L1210" s="2">
        <f t="shared" si="4"/>
        <v>24000</v>
      </c>
    </row>
    <row r="1211" spans="1:12" ht="14.25" customHeight="1" x14ac:dyDescent="0.2">
      <c r="A1211" s="33">
        <v>46885</v>
      </c>
      <c r="B1211" s="33"/>
      <c r="C1211" s="2" t="s">
        <v>18</v>
      </c>
      <c r="D1211" s="2" t="s">
        <v>26</v>
      </c>
      <c r="E1211" s="2" t="s">
        <v>13</v>
      </c>
      <c r="F1211" s="2" t="s">
        <v>20</v>
      </c>
      <c r="G1211" s="2" t="s">
        <v>27</v>
      </c>
      <c r="H1211" s="2" t="s">
        <v>22</v>
      </c>
      <c r="I1211" s="2">
        <v>60000</v>
      </c>
      <c r="J1211" s="2">
        <v>7</v>
      </c>
      <c r="K1211" s="2" t="s">
        <v>35</v>
      </c>
      <c r="L1211" s="2">
        <f t="shared" si="4"/>
        <v>48000</v>
      </c>
    </row>
    <row r="1212" spans="1:12" ht="14.25" customHeight="1" x14ac:dyDescent="0.2">
      <c r="A1212" s="33">
        <v>46886</v>
      </c>
      <c r="B1212" s="33"/>
      <c r="C1212" s="2" t="s">
        <v>25</v>
      </c>
      <c r="D1212" s="2" t="s">
        <v>12</v>
      </c>
      <c r="E1212" s="2" t="s">
        <v>13</v>
      </c>
      <c r="F1212" s="2" t="s">
        <v>20</v>
      </c>
      <c r="G1212" s="2" t="s">
        <v>41</v>
      </c>
      <c r="H1212" s="2" t="s">
        <v>22</v>
      </c>
      <c r="I1212" s="2">
        <v>220000</v>
      </c>
      <c r="J1212" s="2">
        <v>10</v>
      </c>
      <c r="K1212" s="2" t="s">
        <v>24</v>
      </c>
      <c r="L1212" s="2">
        <f t="shared" si="4"/>
        <v>176000</v>
      </c>
    </row>
    <row r="1213" spans="1:12" ht="14.25" customHeight="1" x14ac:dyDescent="0.2">
      <c r="A1213" s="33">
        <v>46887</v>
      </c>
      <c r="B1213" s="33"/>
      <c r="C1213" s="2" t="s">
        <v>25</v>
      </c>
      <c r="D1213" s="2" t="s">
        <v>19</v>
      </c>
      <c r="E1213" s="2" t="s">
        <v>13</v>
      </c>
      <c r="F1213" s="2" t="s">
        <v>20</v>
      </c>
      <c r="G1213" s="2" t="s">
        <v>40</v>
      </c>
      <c r="H1213" s="2" t="s">
        <v>31</v>
      </c>
      <c r="I1213" s="2">
        <v>250000</v>
      </c>
      <c r="J1213" s="2">
        <v>5</v>
      </c>
      <c r="K1213" s="2" t="s">
        <v>39</v>
      </c>
      <c r="L1213" s="2">
        <f t="shared" si="4"/>
        <v>200000</v>
      </c>
    </row>
    <row r="1214" spans="1:12" ht="14.25" customHeight="1" x14ac:dyDescent="0.2">
      <c r="A1214" s="33">
        <v>46888</v>
      </c>
      <c r="B1214" s="33"/>
      <c r="C1214" s="2" t="s">
        <v>25</v>
      </c>
      <c r="D1214" s="2" t="s">
        <v>32</v>
      </c>
      <c r="E1214" s="2" t="s">
        <v>13</v>
      </c>
      <c r="F1214" s="2" t="s">
        <v>14</v>
      </c>
      <c r="G1214" s="2" t="s">
        <v>15</v>
      </c>
      <c r="H1214" s="2" t="s">
        <v>16</v>
      </c>
      <c r="I1214" s="2">
        <v>85000</v>
      </c>
      <c r="J1214" s="2">
        <v>7</v>
      </c>
      <c r="K1214" s="2" t="s">
        <v>39</v>
      </c>
      <c r="L1214" s="2">
        <f t="shared" si="4"/>
        <v>68000</v>
      </c>
    </row>
    <row r="1215" spans="1:12" ht="14.25" customHeight="1" x14ac:dyDescent="0.2">
      <c r="A1215" s="33">
        <v>46889</v>
      </c>
      <c r="B1215" s="33"/>
      <c r="C1215" s="2" t="s">
        <v>11</v>
      </c>
      <c r="D1215" s="2" t="s">
        <v>19</v>
      </c>
      <c r="E1215" s="2" t="s">
        <v>23</v>
      </c>
      <c r="F1215" s="2" t="s">
        <v>14</v>
      </c>
      <c r="G1215" s="2" t="s">
        <v>36</v>
      </c>
      <c r="H1215" s="2" t="s">
        <v>31</v>
      </c>
      <c r="I1215" s="2">
        <v>150000</v>
      </c>
      <c r="J1215" s="2">
        <v>4</v>
      </c>
      <c r="K1215" s="2" t="s">
        <v>28</v>
      </c>
      <c r="L1215" s="2">
        <f t="shared" si="4"/>
        <v>120000</v>
      </c>
    </row>
    <row r="1216" spans="1:12" ht="14.25" customHeight="1" x14ac:dyDescent="0.2">
      <c r="A1216" s="33">
        <v>46890</v>
      </c>
      <c r="B1216" s="33"/>
      <c r="C1216" s="2" t="s">
        <v>25</v>
      </c>
      <c r="D1216" s="2" t="s">
        <v>32</v>
      </c>
      <c r="E1216" s="2" t="s">
        <v>13</v>
      </c>
      <c r="F1216" s="2" t="s">
        <v>14</v>
      </c>
      <c r="G1216" s="2" t="s">
        <v>38</v>
      </c>
      <c r="H1216" s="2" t="s">
        <v>31</v>
      </c>
      <c r="I1216" s="2">
        <v>420000</v>
      </c>
      <c r="J1216" s="2">
        <v>5</v>
      </c>
      <c r="K1216" s="2" t="s">
        <v>24</v>
      </c>
      <c r="L1216" s="2">
        <f t="shared" si="4"/>
        <v>336000</v>
      </c>
    </row>
    <row r="1217" spans="1:12" ht="14.25" customHeight="1" x14ac:dyDescent="0.2">
      <c r="A1217" s="33">
        <v>46891</v>
      </c>
      <c r="B1217" s="33"/>
      <c r="C1217" s="2" t="s">
        <v>18</v>
      </c>
      <c r="D1217" s="2" t="s">
        <v>26</v>
      </c>
      <c r="E1217" s="2" t="s">
        <v>13</v>
      </c>
      <c r="F1217" s="2" t="s">
        <v>14</v>
      </c>
      <c r="G1217" s="2" t="s">
        <v>27</v>
      </c>
      <c r="H1217" s="2" t="s">
        <v>22</v>
      </c>
      <c r="I1217" s="2">
        <v>60000</v>
      </c>
      <c r="J1217" s="2">
        <v>5</v>
      </c>
      <c r="K1217" s="2" t="s">
        <v>17</v>
      </c>
      <c r="L1217" s="2">
        <f t="shared" si="4"/>
        <v>48000</v>
      </c>
    </row>
    <row r="1218" spans="1:12" ht="14.25" customHeight="1" x14ac:dyDescent="0.2">
      <c r="A1218" s="33">
        <v>46892</v>
      </c>
      <c r="B1218" s="33"/>
      <c r="C1218" s="2" t="s">
        <v>25</v>
      </c>
      <c r="D1218" s="2" t="s">
        <v>12</v>
      </c>
      <c r="E1218" s="2" t="s">
        <v>23</v>
      </c>
      <c r="F1218" s="2" t="s">
        <v>14</v>
      </c>
      <c r="G1218" s="2" t="s">
        <v>40</v>
      </c>
      <c r="H1218" s="2" t="s">
        <v>31</v>
      </c>
      <c r="I1218" s="2">
        <v>250000</v>
      </c>
      <c r="J1218" s="2">
        <v>10</v>
      </c>
      <c r="K1218" s="2" t="s">
        <v>24</v>
      </c>
      <c r="L1218" s="2">
        <f t="shared" si="4"/>
        <v>200000</v>
      </c>
    </row>
    <row r="1219" spans="1:12" ht="14.25" customHeight="1" x14ac:dyDescent="0.2">
      <c r="A1219" s="33">
        <v>46893</v>
      </c>
      <c r="B1219" s="33"/>
      <c r="C1219" s="2" t="s">
        <v>11</v>
      </c>
      <c r="D1219" s="2" t="s">
        <v>19</v>
      </c>
      <c r="E1219" s="2" t="s">
        <v>13</v>
      </c>
      <c r="F1219" s="2" t="s">
        <v>14</v>
      </c>
      <c r="G1219" s="2" t="s">
        <v>27</v>
      </c>
      <c r="H1219" s="2" t="s">
        <v>22</v>
      </c>
      <c r="I1219" s="2">
        <v>60000</v>
      </c>
      <c r="J1219" s="2">
        <v>3</v>
      </c>
      <c r="K1219" s="2" t="s">
        <v>24</v>
      </c>
      <c r="L1219" s="2">
        <f t="shared" si="4"/>
        <v>48000</v>
      </c>
    </row>
    <row r="1220" spans="1:12" ht="14.25" customHeight="1" x14ac:dyDescent="0.2">
      <c r="A1220" s="33">
        <v>46894</v>
      </c>
      <c r="B1220" s="33"/>
      <c r="C1220" s="2" t="s">
        <v>11</v>
      </c>
      <c r="D1220" s="2" t="s">
        <v>32</v>
      </c>
      <c r="E1220" s="2" t="s">
        <v>23</v>
      </c>
      <c r="F1220" s="2" t="s">
        <v>14</v>
      </c>
      <c r="G1220" s="2" t="s">
        <v>41</v>
      </c>
      <c r="H1220" s="2" t="s">
        <v>22</v>
      </c>
      <c r="I1220" s="2">
        <v>220000</v>
      </c>
      <c r="J1220" s="2">
        <v>5</v>
      </c>
      <c r="K1220" s="2" t="s">
        <v>37</v>
      </c>
      <c r="L1220" s="2">
        <f t="shared" si="4"/>
        <v>176000</v>
      </c>
    </row>
    <row r="1221" spans="1:12" ht="14.25" customHeight="1" x14ac:dyDescent="0.2">
      <c r="A1221" s="33">
        <v>46895</v>
      </c>
      <c r="B1221" s="33"/>
      <c r="C1221" s="2" t="s">
        <v>25</v>
      </c>
      <c r="D1221" s="2" t="s">
        <v>12</v>
      </c>
      <c r="E1221" s="2" t="s">
        <v>23</v>
      </c>
      <c r="F1221" s="2" t="s">
        <v>20</v>
      </c>
      <c r="G1221" s="2" t="s">
        <v>38</v>
      </c>
      <c r="H1221" s="2" t="s">
        <v>31</v>
      </c>
      <c r="I1221" s="2">
        <v>420000</v>
      </c>
      <c r="J1221" s="2">
        <v>3</v>
      </c>
      <c r="K1221" s="2" t="s">
        <v>28</v>
      </c>
      <c r="L1221" s="2">
        <f t="shared" si="4"/>
        <v>336000</v>
      </c>
    </row>
    <row r="1222" spans="1:12" ht="14.25" customHeight="1" x14ac:dyDescent="0.2">
      <c r="A1222" s="33">
        <v>46896</v>
      </c>
      <c r="B1222" s="33"/>
      <c r="C1222" s="2" t="s">
        <v>11</v>
      </c>
      <c r="D1222" s="2" t="s">
        <v>19</v>
      </c>
      <c r="E1222" s="2" t="s">
        <v>23</v>
      </c>
      <c r="F1222" s="2" t="s">
        <v>20</v>
      </c>
      <c r="G1222" s="2" t="s">
        <v>27</v>
      </c>
      <c r="H1222" s="2" t="s">
        <v>22</v>
      </c>
      <c r="I1222" s="2">
        <v>60000</v>
      </c>
      <c r="J1222" s="2">
        <v>7</v>
      </c>
      <c r="K1222" s="2" t="s">
        <v>35</v>
      </c>
      <c r="L1222" s="2">
        <f t="shared" si="4"/>
        <v>48000</v>
      </c>
    </row>
    <row r="1223" spans="1:12" ht="14.25" customHeight="1" x14ac:dyDescent="0.2">
      <c r="A1223" s="33">
        <v>46897</v>
      </c>
      <c r="B1223" s="33"/>
      <c r="C1223" s="2" t="s">
        <v>11</v>
      </c>
      <c r="D1223" s="2" t="s">
        <v>12</v>
      </c>
      <c r="E1223" s="2" t="s">
        <v>13</v>
      </c>
      <c r="F1223" s="2" t="s">
        <v>14</v>
      </c>
      <c r="G1223" s="2" t="s">
        <v>41</v>
      </c>
      <c r="H1223" s="2" t="s">
        <v>22</v>
      </c>
      <c r="I1223" s="2">
        <v>220000</v>
      </c>
      <c r="J1223" s="2">
        <v>8</v>
      </c>
      <c r="K1223" s="2" t="s">
        <v>28</v>
      </c>
      <c r="L1223" s="2">
        <f t="shared" si="4"/>
        <v>176000</v>
      </c>
    </row>
    <row r="1224" spans="1:12" ht="14.25" customHeight="1" x14ac:dyDescent="0.2">
      <c r="A1224" s="33">
        <v>46898</v>
      </c>
      <c r="B1224" s="33"/>
      <c r="C1224" s="2" t="s">
        <v>11</v>
      </c>
      <c r="D1224" s="2" t="s">
        <v>32</v>
      </c>
      <c r="E1224" s="2" t="s">
        <v>23</v>
      </c>
      <c r="F1224" s="2" t="s">
        <v>20</v>
      </c>
      <c r="G1224" s="2" t="s">
        <v>40</v>
      </c>
      <c r="H1224" s="2" t="s">
        <v>31</v>
      </c>
      <c r="I1224" s="2">
        <v>250000</v>
      </c>
      <c r="J1224" s="2">
        <v>6</v>
      </c>
      <c r="K1224" s="2" t="s">
        <v>37</v>
      </c>
      <c r="L1224" s="2">
        <f t="shared" si="4"/>
        <v>200000</v>
      </c>
    </row>
    <row r="1225" spans="1:12" ht="14.25" customHeight="1" x14ac:dyDescent="0.2">
      <c r="A1225" s="33">
        <v>46899</v>
      </c>
      <c r="B1225" s="33"/>
      <c r="C1225" s="2" t="s">
        <v>11</v>
      </c>
      <c r="D1225" s="2" t="s">
        <v>19</v>
      </c>
      <c r="E1225" s="2" t="s">
        <v>23</v>
      </c>
      <c r="F1225" s="2" t="s">
        <v>14</v>
      </c>
      <c r="G1225" s="2" t="s">
        <v>36</v>
      </c>
      <c r="H1225" s="2" t="s">
        <v>31</v>
      </c>
      <c r="I1225" s="2">
        <v>150000</v>
      </c>
      <c r="J1225" s="2">
        <v>5</v>
      </c>
      <c r="K1225" s="2" t="s">
        <v>28</v>
      </c>
      <c r="L1225" s="2">
        <f t="shared" si="4"/>
        <v>120000</v>
      </c>
    </row>
    <row r="1226" spans="1:12" ht="14.25" customHeight="1" x14ac:dyDescent="0.2">
      <c r="A1226" s="33">
        <v>46900</v>
      </c>
      <c r="B1226" s="33"/>
      <c r="C1226" s="2" t="s">
        <v>29</v>
      </c>
      <c r="D1226" s="2" t="s">
        <v>19</v>
      </c>
      <c r="E1226" s="2" t="s">
        <v>23</v>
      </c>
      <c r="F1226" s="2" t="s">
        <v>14</v>
      </c>
      <c r="G1226" s="2" t="s">
        <v>15</v>
      </c>
      <c r="H1226" s="2" t="s">
        <v>16</v>
      </c>
      <c r="I1226" s="2">
        <v>85000</v>
      </c>
      <c r="J1226" s="2">
        <v>2</v>
      </c>
      <c r="K1226" s="2" t="s">
        <v>35</v>
      </c>
      <c r="L1226" s="2">
        <f t="shared" si="4"/>
        <v>68000</v>
      </c>
    </row>
    <row r="1227" spans="1:12" ht="14.25" customHeight="1" x14ac:dyDescent="0.2">
      <c r="A1227" s="33">
        <v>46901</v>
      </c>
      <c r="B1227" s="33"/>
      <c r="C1227" s="2" t="s">
        <v>25</v>
      </c>
      <c r="D1227" s="2" t="s">
        <v>12</v>
      </c>
      <c r="E1227" s="2" t="s">
        <v>23</v>
      </c>
      <c r="F1227" s="2" t="s">
        <v>20</v>
      </c>
      <c r="G1227" s="2" t="s">
        <v>15</v>
      </c>
      <c r="H1227" s="2" t="s">
        <v>16</v>
      </c>
      <c r="I1227" s="2">
        <v>85000</v>
      </c>
      <c r="J1227" s="2">
        <v>6</v>
      </c>
      <c r="K1227" s="2" t="s">
        <v>24</v>
      </c>
      <c r="L1227" s="2">
        <f t="shared" si="4"/>
        <v>68000</v>
      </c>
    </row>
    <row r="1228" spans="1:12" ht="14.25" customHeight="1" x14ac:dyDescent="0.2">
      <c r="A1228" s="33">
        <v>46902</v>
      </c>
      <c r="B1228" s="33"/>
      <c r="C1228" s="2" t="s">
        <v>11</v>
      </c>
      <c r="D1228" s="2" t="s">
        <v>32</v>
      </c>
      <c r="E1228" s="2" t="s">
        <v>23</v>
      </c>
      <c r="F1228" s="2" t="s">
        <v>14</v>
      </c>
      <c r="G1228" s="2" t="s">
        <v>36</v>
      </c>
      <c r="H1228" s="2" t="s">
        <v>31</v>
      </c>
      <c r="I1228" s="2">
        <v>150000</v>
      </c>
      <c r="J1228" s="2">
        <v>5</v>
      </c>
      <c r="K1228" s="2" t="s">
        <v>35</v>
      </c>
      <c r="L1228" s="2">
        <f t="shared" si="4"/>
        <v>120000</v>
      </c>
    </row>
    <row r="1229" spans="1:12" ht="14.25" customHeight="1" x14ac:dyDescent="0.2">
      <c r="A1229" s="33">
        <v>46903</v>
      </c>
      <c r="B1229" s="33"/>
      <c r="C1229" s="2" t="s">
        <v>11</v>
      </c>
      <c r="D1229" s="2" t="s">
        <v>26</v>
      </c>
      <c r="E1229" s="2" t="s">
        <v>23</v>
      </c>
      <c r="F1229" s="2" t="s">
        <v>20</v>
      </c>
      <c r="G1229" s="2" t="s">
        <v>38</v>
      </c>
      <c r="H1229" s="2" t="s">
        <v>31</v>
      </c>
      <c r="I1229" s="2">
        <v>420000</v>
      </c>
      <c r="J1229" s="2">
        <v>4</v>
      </c>
      <c r="K1229" s="2" t="s">
        <v>37</v>
      </c>
      <c r="L1229" s="2">
        <f t="shared" si="4"/>
        <v>336000</v>
      </c>
    </row>
    <row r="1230" spans="1:12" ht="14.25" customHeight="1" x14ac:dyDescent="0.2">
      <c r="A1230" s="33">
        <v>46904</v>
      </c>
      <c r="B1230" s="33"/>
      <c r="C1230" s="2" t="s">
        <v>18</v>
      </c>
      <c r="D1230" s="2" t="s">
        <v>26</v>
      </c>
      <c r="E1230" s="2" t="s">
        <v>23</v>
      </c>
      <c r="F1230" s="2" t="s">
        <v>20</v>
      </c>
      <c r="G1230" s="2" t="s">
        <v>30</v>
      </c>
      <c r="H1230" s="2" t="s">
        <v>31</v>
      </c>
      <c r="I1230" s="2">
        <v>300000</v>
      </c>
      <c r="J1230" s="2">
        <v>6</v>
      </c>
      <c r="K1230" s="2" t="s">
        <v>39</v>
      </c>
      <c r="L1230" s="2">
        <f t="shared" si="4"/>
        <v>240000</v>
      </c>
    </row>
    <row r="1231" spans="1:12" ht="14.25" customHeight="1" x14ac:dyDescent="0.2">
      <c r="A1231" s="33">
        <v>46905</v>
      </c>
      <c r="B1231" s="33"/>
      <c r="C1231" s="2" t="s">
        <v>29</v>
      </c>
      <c r="D1231" s="2" t="s">
        <v>12</v>
      </c>
      <c r="E1231" s="2" t="s">
        <v>23</v>
      </c>
      <c r="F1231" s="2" t="s">
        <v>14</v>
      </c>
      <c r="G1231" s="2" t="s">
        <v>27</v>
      </c>
      <c r="H1231" s="2" t="s">
        <v>22</v>
      </c>
      <c r="I1231" s="2">
        <v>60000</v>
      </c>
      <c r="J1231" s="2">
        <v>2</v>
      </c>
      <c r="K1231" s="2" t="s">
        <v>37</v>
      </c>
      <c r="L1231" s="2">
        <f t="shared" si="4"/>
        <v>48000</v>
      </c>
    </row>
    <row r="1232" spans="1:12" ht="14.25" customHeight="1" x14ac:dyDescent="0.2">
      <c r="A1232" s="33">
        <v>46906</v>
      </c>
      <c r="B1232" s="33"/>
      <c r="C1232" s="2" t="s">
        <v>29</v>
      </c>
      <c r="D1232" s="2" t="s">
        <v>32</v>
      </c>
      <c r="E1232" s="2" t="s">
        <v>23</v>
      </c>
      <c r="F1232" s="2" t="s">
        <v>14</v>
      </c>
      <c r="G1232" s="2" t="s">
        <v>15</v>
      </c>
      <c r="H1232" s="2" t="s">
        <v>16</v>
      </c>
      <c r="I1232" s="2">
        <v>85000</v>
      </c>
      <c r="J1232" s="2">
        <v>5</v>
      </c>
      <c r="K1232" s="2" t="s">
        <v>35</v>
      </c>
      <c r="L1232" s="2">
        <f t="shared" si="4"/>
        <v>68000</v>
      </c>
    </row>
    <row r="1233" spans="1:12" ht="14.25" customHeight="1" x14ac:dyDescent="0.2">
      <c r="A1233" s="33">
        <v>46907</v>
      </c>
      <c r="B1233" s="33"/>
      <c r="C1233" s="2" t="s">
        <v>11</v>
      </c>
      <c r="D1233" s="2" t="s">
        <v>32</v>
      </c>
      <c r="E1233" s="2" t="s">
        <v>13</v>
      </c>
      <c r="F1233" s="2" t="s">
        <v>20</v>
      </c>
      <c r="G1233" s="2" t="s">
        <v>27</v>
      </c>
      <c r="H1233" s="2" t="s">
        <v>22</v>
      </c>
      <c r="I1233" s="2">
        <v>60000</v>
      </c>
      <c r="J1233" s="2">
        <v>3</v>
      </c>
      <c r="K1233" s="2" t="s">
        <v>24</v>
      </c>
      <c r="L1233" s="2">
        <f t="shared" si="4"/>
        <v>48000</v>
      </c>
    </row>
    <row r="1234" spans="1:12" ht="14.25" customHeight="1" x14ac:dyDescent="0.2">
      <c r="A1234" s="33">
        <v>46908</v>
      </c>
      <c r="B1234" s="33"/>
      <c r="C1234" s="2" t="s">
        <v>29</v>
      </c>
      <c r="D1234" s="2" t="s">
        <v>32</v>
      </c>
      <c r="E1234" s="2" t="s">
        <v>23</v>
      </c>
      <c r="F1234" s="2" t="s">
        <v>14</v>
      </c>
      <c r="G1234" s="2" t="s">
        <v>15</v>
      </c>
      <c r="H1234" s="2" t="s">
        <v>16</v>
      </c>
      <c r="I1234" s="2">
        <v>85000</v>
      </c>
      <c r="J1234" s="2">
        <v>7</v>
      </c>
      <c r="K1234" s="2" t="s">
        <v>35</v>
      </c>
      <c r="L1234" s="2">
        <f t="shared" si="4"/>
        <v>68000</v>
      </c>
    </row>
    <row r="1235" spans="1:12" ht="14.25" customHeight="1" x14ac:dyDescent="0.2">
      <c r="A1235" s="33">
        <v>46909</v>
      </c>
      <c r="B1235" s="33"/>
      <c r="C1235" s="2" t="s">
        <v>29</v>
      </c>
      <c r="D1235" s="2" t="s">
        <v>19</v>
      </c>
      <c r="E1235" s="2" t="s">
        <v>23</v>
      </c>
      <c r="F1235" s="2" t="s">
        <v>14</v>
      </c>
      <c r="G1235" s="2" t="s">
        <v>33</v>
      </c>
      <c r="H1235" s="2" t="s">
        <v>22</v>
      </c>
      <c r="I1235" s="2">
        <v>180000</v>
      </c>
      <c r="J1235" s="2">
        <v>5</v>
      </c>
      <c r="K1235" s="2" t="s">
        <v>39</v>
      </c>
      <c r="L1235" s="2">
        <f t="shared" si="4"/>
        <v>144000</v>
      </c>
    </row>
    <row r="1236" spans="1:12" ht="14.25" customHeight="1" x14ac:dyDescent="0.2">
      <c r="A1236" s="33">
        <v>46910</v>
      </c>
      <c r="B1236" s="33"/>
      <c r="C1236" s="2" t="s">
        <v>18</v>
      </c>
      <c r="D1236" s="2" t="s">
        <v>19</v>
      </c>
      <c r="E1236" s="2" t="s">
        <v>13</v>
      </c>
      <c r="F1236" s="2" t="s">
        <v>14</v>
      </c>
      <c r="G1236" s="2" t="s">
        <v>38</v>
      </c>
      <c r="H1236" s="2" t="s">
        <v>31</v>
      </c>
      <c r="I1236" s="2">
        <v>420000</v>
      </c>
      <c r="J1236" s="2">
        <v>5</v>
      </c>
      <c r="K1236" s="2" t="s">
        <v>28</v>
      </c>
      <c r="L1236" s="2">
        <f t="shared" si="4"/>
        <v>336000</v>
      </c>
    </row>
    <row r="1237" spans="1:12" ht="14.25" customHeight="1" x14ac:dyDescent="0.2">
      <c r="A1237" s="33">
        <v>46911</v>
      </c>
      <c r="B1237" s="33"/>
      <c r="C1237" s="2" t="s">
        <v>18</v>
      </c>
      <c r="D1237" s="2" t="s">
        <v>32</v>
      </c>
      <c r="E1237" s="2" t="s">
        <v>23</v>
      </c>
      <c r="F1237" s="2" t="s">
        <v>20</v>
      </c>
      <c r="G1237" s="2" t="s">
        <v>15</v>
      </c>
      <c r="H1237" s="2" t="s">
        <v>16</v>
      </c>
      <c r="I1237" s="2">
        <v>85000</v>
      </c>
      <c r="J1237" s="2">
        <v>6</v>
      </c>
      <c r="K1237" s="2" t="s">
        <v>28</v>
      </c>
      <c r="L1237" s="2">
        <f t="shared" si="4"/>
        <v>68000</v>
      </c>
    </row>
    <row r="1238" spans="1:12" ht="14.25" customHeight="1" x14ac:dyDescent="0.2">
      <c r="A1238" s="33">
        <v>46912</v>
      </c>
      <c r="B1238" s="33"/>
      <c r="C1238" s="2" t="s">
        <v>29</v>
      </c>
      <c r="D1238" s="2" t="s">
        <v>12</v>
      </c>
      <c r="E1238" s="2" t="s">
        <v>13</v>
      </c>
      <c r="F1238" s="2" t="s">
        <v>20</v>
      </c>
      <c r="G1238" s="2" t="s">
        <v>38</v>
      </c>
      <c r="H1238" s="2" t="s">
        <v>31</v>
      </c>
      <c r="I1238" s="2">
        <v>420000</v>
      </c>
      <c r="J1238" s="2">
        <v>7</v>
      </c>
      <c r="K1238" s="2" t="s">
        <v>17</v>
      </c>
      <c r="L1238" s="2">
        <f t="shared" si="4"/>
        <v>336000</v>
      </c>
    </row>
    <row r="1239" spans="1:12" ht="14.25" customHeight="1" x14ac:dyDescent="0.2">
      <c r="A1239" s="33">
        <v>46913</v>
      </c>
      <c r="B1239" s="33"/>
      <c r="C1239" s="2" t="s">
        <v>25</v>
      </c>
      <c r="D1239" s="2" t="s">
        <v>32</v>
      </c>
      <c r="E1239" s="2" t="s">
        <v>23</v>
      </c>
      <c r="F1239" s="2" t="s">
        <v>14</v>
      </c>
      <c r="G1239" s="2" t="s">
        <v>38</v>
      </c>
      <c r="H1239" s="2" t="s">
        <v>31</v>
      </c>
      <c r="I1239" s="2">
        <v>420000</v>
      </c>
      <c r="J1239" s="2">
        <v>9</v>
      </c>
      <c r="K1239" s="2" t="s">
        <v>39</v>
      </c>
      <c r="L1239" s="2">
        <f t="shared" si="4"/>
        <v>336000</v>
      </c>
    </row>
    <row r="1240" spans="1:12" ht="14.25" customHeight="1" x14ac:dyDescent="0.2">
      <c r="A1240" s="33">
        <v>46914</v>
      </c>
      <c r="B1240" s="33"/>
      <c r="C1240" s="2" t="s">
        <v>11</v>
      </c>
      <c r="D1240" s="2" t="s">
        <v>19</v>
      </c>
      <c r="E1240" s="2" t="s">
        <v>23</v>
      </c>
      <c r="F1240" s="2" t="s">
        <v>14</v>
      </c>
      <c r="G1240" s="2" t="s">
        <v>30</v>
      </c>
      <c r="H1240" s="2" t="s">
        <v>31</v>
      </c>
      <c r="I1240" s="2">
        <v>300000</v>
      </c>
      <c r="J1240" s="2">
        <v>3</v>
      </c>
      <c r="K1240" s="2" t="s">
        <v>37</v>
      </c>
      <c r="L1240" s="2">
        <f t="shared" si="4"/>
        <v>240000</v>
      </c>
    </row>
    <row r="1241" spans="1:12" ht="14.25" customHeight="1" x14ac:dyDescent="0.2">
      <c r="A1241" s="33">
        <v>46915</v>
      </c>
      <c r="B1241" s="33"/>
      <c r="C1241" s="2" t="s">
        <v>18</v>
      </c>
      <c r="D1241" s="2" t="s">
        <v>26</v>
      </c>
      <c r="E1241" s="2" t="s">
        <v>13</v>
      </c>
      <c r="F1241" s="2" t="s">
        <v>14</v>
      </c>
      <c r="G1241" s="2" t="s">
        <v>15</v>
      </c>
      <c r="H1241" s="2" t="s">
        <v>16</v>
      </c>
      <c r="I1241" s="2">
        <v>85000</v>
      </c>
      <c r="J1241" s="2">
        <v>9</v>
      </c>
      <c r="K1241" s="2" t="s">
        <v>37</v>
      </c>
      <c r="L1241" s="2">
        <f t="shared" si="4"/>
        <v>68000</v>
      </c>
    </row>
    <row r="1242" spans="1:12" ht="14.25" customHeight="1" x14ac:dyDescent="0.2">
      <c r="A1242" s="33">
        <v>46916</v>
      </c>
      <c r="B1242" s="33"/>
      <c r="C1242" s="2" t="s">
        <v>25</v>
      </c>
      <c r="D1242" s="2" t="s">
        <v>12</v>
      </c>
      <c r="E1242" s="2" t="s">
        <v>23</v>
      </c>
      <c r="F1242" s="2" t="s">
        <v>20</v>
      </c>
      <c r="G1242" s="2" t="s">
        <v>41</v>
      </c>
      <c r="H1242" s="2" t="s">
        <v>22</v>
      </c>
      <c r="I1242" s="2">
        <v>220000</v>
      </c>
      <c r="J1242" s="2">
        <v>7</v>
      </c>
      <c r="K1242" s="2" t="s">
        <v>35</v>
      </c>
      <c r="L1242" s="2">
        <f t="shared" si="4"/>
        <v>176000</v>
      </c>
    </row>
    <row r="1243" spans="1:12" ht="14.25" customHeight="1" x14ac:dyDescent="0.2">
      <c r="A1243" s="33">
        <v>46917</v>
      </c>
      <c r="B1243" s="33"/>
      <c r="C1243" s="2" t="s">
        <v>11</v>
      </c>
      <c r="D1243" s="2" t="s">
        <v>19</v>
      </c>
      <c r="E1243" s="2" t="s">
        <v>23</v>
      </c>
      <c r="F1243" s="2" t="s">
        <v>20</v>
      </c>
      <c r="G1243" s="2" t="s">
        <v>30</v>
      </c>
      <c r="H1243" s="2" t="s">
        <v>31</v>
      </c>
      <c r="I1243" s="2">
        <v>300000</v>
      </c>
      <c r="J1243" s="2">
        <v>10</v>
      </c>
      <c r="K1243" s="2" t="s">
        <v>17</v>
      </c>
      <c r="L1243" s="2">
        <f t="shared" si="4"/>
        <v>240000</v>
      </c>
    </row>
    <row r="1244" spans="1:12" ht="14.25" customHeight="1" x14ac:dyDescent="0.2">
      <c r="A1244" s="33">
        <v>46918</v>
      </c>
      <c r="B1244" s="33"/>
      <c r="C1244" s="2" t="s">
        <v>11</v>
      </c>
      <c r="D1244" s="2" t="s">
        <v>12</v>
      </c>
      <c r="E1244" s="2" t="s">
        <v>13</v>
      </c>
      <c r="F1244" s="2" t="s">
        <v>20</v>
      </c>
      <c r="G1244" s="2" t="s">
        <v>15</v>
      </c>
      <c r="H1244" s="2" t="s">
        <v>16</v>
      </c>
      <c r="I1244" s="2">
        <v>85000</v>
      </c>
      <c r="J1244" s="2">
        <v>8</v>
      </c>
      <c r="K1244" s="2" t="s">
        <v>37</v>
      </c>
      <c r="L1244" s="2">
        <f t="shared" si="4"/>
        <v>68000</v>
      </c>
    </row>
    <row r="1245" spans="1:12" ht="14.25" customHeight="1" x14ac:dyDescent="0.2">
      <c r="A1245" s="33">
        <v>46919</v>
      </c>
      <c r="B1245" s="33"/>
      <c r="C1245" s="2" t="s">
        <v>18</v>
      </c>
      <c r="D1245" s="2" t="s">
        <v>19</v>
      </c>
      <c r="E1245" s="2" t="s">
        <v>23</v>
      </c>
      <c r="F1245" s="2" t="s">
        <v>14</v>
      </c>
      <c r="G1245" s="2" t="s">
        <v>21</v>
      </c>
      <c r="H1245" s="2" t="s">
        <v>22</v>
      </c>
      <c r="I1245" s="2">
        <v>30000</v>
      </c>
      <c r="J1245" s="2">
        <v>3</v>
      </c>
      <c r="K1245" s="2" t="s">
        <v>37</v>
      </c>
      <c r="L1245" s="2">
        <f t="shared" si="4"/>
        <v>24000</v>
      </c>
    </row>
    <row r="1246" spans="1:12" ht="14.25" customHeight="1" x14ac:dyDescent="0.2">
      <c r="A1246" s="33">
        <v>46920</v>
      </c>
      <c r="B1246" s="33"/>
      <c r="C1246" s="2" t="s">
        <v>25</v>
      </c>
      <c r="D1246" s="2" t="s">
        <v>26</v>
      </c>
      <c r="E1246" s="2" t="s">
        <v>23</v>
      </c>
      <c r="F1246" s="2" t="s">
        <v>20</v>
      </c>
      <c r="G1246" s="2" t="s">
        <v>15</v>
      </c>
      <c r="H1246" s="2" t="s">
        <v>16</v>
      </c>
      <c r="I1246" s="2">
        <v>85000</v>
      </c>
      <c r="J1246" s="2">
        <v>8</v>
      </c>
      <c r="K1246" s="2" t="s">
        <v>35</v>
      </c>
      <c r="L1246" s="2">
        <f t="shared" si="4"/>
        <v>68000</v>
      </c>
    </row>
    <row r="1247" spans="1:12" ht="14.25" customHeight="1" x14ac:dyDescent="0.2">
      <c r="A1247" s="33">
        <v>46921</v>
      </c>
      <c r="B1247" s="33"/>
      <c r="C1247" s="2" t="s">
        <v>11</v>
      </c>
      <c r="D1247" s="2" t="s">
        <v>26</v>
      </c>
      <c r="E1247" s="2" t="s">
        <v>13</v>
      </c>
      <c r="F1247" s="2" t="s">
        <v>20</v>
      </c>
      <c r="G1247" s="2" t="s">
        <v>33</v>
      </c>
      <c r="H1247" s="2" t="s">
        <v>22</v>
      </c>
      <c r="I1247" s="2">
        <v>180000</v>
      </c>
      <c r="J1247" s="2">
        <v>3</v>
      </c>
      <c r="K1247" s="2" t="s">
        <v>35</v>
      </c>
      <c r="L1247" s="2">
        <f t="shared" si="4"/>
        <v>144000</v>
      </c>
    </row>
    <row r="1248" spans="1:12" ht="14.25" customHeight="1" x14ac:dyDescent="0.2">
      <c r="A1248" s="33">
        <v>46922</v>
      </c>
      <c r="B1248" s="33"/>
      <c r="C1248" s="2" t="s">
        <v>29</v>
      </c>
      <c r="D1248" s="2" t="s">
        <v>12</v>
      </c>
      <c r="E1248" s="2" t="s">
        <v>13</v>
      </c>
      <c r="F1248" s="2" t="s">
        <v>14</v>
      </c>
      <c r="G1248" s="2" t="s">
        <v>41</v>
      </c>
      <c r="H1248" s="2" t="s">
        <v>22</v>
      </c>
      <c r="I1248" s="2">
        <v>220000</v>
      </c>
      <c r="J1248" s="2">
        <v>7</v>
      </c>
      <c r="K1248" s="2" t="s">
        <v>37</v>
      </c>
      <c r="L1248" s="2">
        <f t="shared" si="4"/>
        <v>176000</v>
      </c>
    </row>
    <row r="1249" spans="1:12" ht="14.25" customHeight="1" x14ac:dyDescent="0.2">
      <c r="A1249" s="33">
        <v>46923</v>
      </c>
      <c r="B1249" s="33"/>
      <c r="C1249" s="2" t="s">
        <v>29</v>
      </c>
      <c r="D1249" s="2" t="s">
        <v>26</v>
      </c>
      <c r="E1249" s="2" t="s">
        <v>13</v>
      </c>
      <c r="F1249" s="2" t="s">
        <v>14</v>
      </c>
      <c r="G1249" s="2" t="s">
        <v>33</v>
      </c>
      <c r="H1249" s="2" t="s">
        <v>22</v>
      </c>
      <c r="I1249" s="2">
        <v>180000</v>
      </c>
      <c r="J1249" s="2">
        <v>8</v>
      </c>
      <c r="K1249" s="2" t="s">
        <v>39</v>
      </c>
      <c r="L1249" s="2">
        <f t="shared" si="4"/>
        <v>144000</v>
      </c>
    </row>
    <row r="1250" spans="1:12" ht="14.25" customHeight="1" x14ac:dyDescent="0.2">
      <c r="A1250" s="33">
        <v>46924</v>
      </c>
      <c r="B1250" s="33"/>
      <c r="C1250" s="2" t="s">
        <v>25</v>
      </c>
      <c r="D1250" s="2" t="s">
        <v>32</v>
      </c>
      <c r="E1250" s="2" t="s">
        <v>13</v>
      </c>
      <c r="F1250" s="2" t="s">
        <v>14</v>
      </c>
      <c r="G1250" s="2" t="s">
        <v>21</v>
      </c>
      <c r="H1250" s="2" t="s">
        <v>22</v>
      </c>
      <c r="I1250" s="2">
        <v>30000</v>
      </c>
      <c r="J1250" s="2">
        <v>1</v>
      </c>
      <c r="K1250" s="2" t="s">
        <v>28</v>
      </c>
      <c r="L1250" s="2">
        <f t="shared" si="4"/>
        <v>24000</v>
      </c>
    </row>
    <row r="1251" spans="1:12" ht="14.25" customHeight="1" x14ac:dyDescent="0.2">
      <c r="A1251" s="33">
        <v>46925</v>
      </c>
      <c r="B1251" s="33"/>
      <c r="C1251" s="2" t="s">
        <v>18</v>
      </c>
      <c r="D1251" s="2" t="s">
        <v>19</v>
      </c>
      <c r="E1251" s="2" t="s">
        <v>13</v>
      </c>
      <c r="F1251" s="2" t="s">
        <v>14</v>
      </c>
      <c r="G1251" s="2" t="s">
        <v>21</v>
      </c>
      <c r="H1251" s="2" t="s">
        <v>22</v>
      </c>
      <c r="I1251" s="2">
        <v>30000</v>
      </c>
      <c r="J1251" s="2">
        <v>8</v>
      </c>
      <c r="K1251" s="2" t="s">
        <v>35</v>
      </c>
      <c r="L1251" s="2">
        <f t="shared" si="4"/>
        <v>24000</v>
      </c>
    </row>
    <row r="1252" spans="1:12" ht="14.25" customHeight="1" x14ac:dyDescent="0.2">
      <c r="A1252" s="33">
        <v>46926</v>
      </c>
      <c r="B1252" s="33"/>
      <c r="C1252" s="2" t="s">
        <v>25</v>
      </c>
      <c r="D1252" s="2" t="s">
        <v>12</v>
      </c>
      <c r="E1252" s="2" t="s">
        <v>13</v>
      </c>
      <c r="F1252" s="2" t="s">
        <v>14</v>
      </c>
      <c r="G1252" s="2" t="s">
        <v>33</v>
      </c>
      <c r="H1252" s="2" t="s">
        <v>22</v>
      </c>
      <c r="I1252" s="2">
        <v>180000</v>
      </c>
      <c r="J1252" s="2">
        <v>3</v>
      </c>
      <c r="K1252" s="2" t="s">
        <v>39</v>
      </c>
      <c r="L1252" s="2">
        <f t="shared" si="4"/>
        <v>144000</v>
      </c>
    </row>
    <row r="1253" spans="1:12" ht="14.25" customHeight="1" x14ac:dyDescent="0.2">
      <c r="A1253" s="33">
        <v>46927</v>
      </c>
      <c r="B1253" s="33"/>
      <c r="C1253" s="2" t="s">
        <v>25</v>
      </c>
      <c r="D1253" s="2" t="s">
        <v>19</v>
      </c>
      <c r="E1253" s="2" t="s">
        <v>13</v>
      </c>
      <c r="F1253" s="2" t="s">
        <v>20</v>
      </c>
      <c r="G1253" s="2" t="s">
        <v>15</v>
      </c>
      <c r="H1253" s="2" t="s">
        <v>16</v>
      </c>
      <c r="I1253" s="2">
        <v>85000</v>
      </c>
      <c r="J1253" s="2">
        <v>7</v>
      </c>
      <c r="K1253" s="2" t="s">
        <v>24</v>
      </c>
      <c r="L1253" s="2">
        <f t="shared" si="4"/>
        <v>68000</v>
      </c>
    </row>
    <row r="1254" spans="1:12" ht="14.25" customHeight="1" x14ac:dyDescent="0.2">
      <c r="A1254" s="33">
        <v>46928</v>
      </c>
      <c r="B1254" s="33"/>
      <c r="C1254" s="2" t="s">
        <v>11</v>
      </c>
      <c r="D1254" s="2" t="s">
        <v>19</v>
      </c>
      <c r="E1254" s="2" t="s">
        <v>13</v>
      </c>
      <c r="F1254" s="2" t="s">
        <v>20</v>
      </c>
      <c r="G1254" s="2" t="s">
        <v>21</v>
      </c>
      <c r="H1254" s="2" t="s">
        <v>22</v>
      </c>
      <c r="I1254" s="2">
        <v>30000</v>
      </c>
      <c r="J1254" s="2">
        <v>7</v>
      </c>
      <c r="K1254" s="2" t="s">
        <v>28</v>
      </c>
      <c r="L1254" s="2">
        <f t="shared" si="4"/>
        <v>24000</v>
      </c>
    </row>
    <row r="1255" spans="1:12" ht="14.25" customHeight="1" x14ac:dyDescent="0.2">
      <c r="A1255" s="33">
        <v>46929</v>
      </c>
      <c r="B1255" s="33"/>
      <c r="C1255" s="2" t="s">
        <v>29</v>
      </c>
      <c r="D1255" s="2" t="s">
        <v>32</v>
      </c>
      <c r="E1255" s="2" t="s">
        <v>13</v>
      </c>
      <c r="F1255" s="2" t="s">
        <v>20</v>
      </c>
      <c r="G1255" s="2" t="s">
        <v>27</v>
      </c>
      <c r="H1255" s="2" t="s">
        <v>22</v>
      </c>
      <c r="I1255" s="2">
        <v>60000</v>
      </c>
      <c r="J1255" s="2">
        <v>3</v>
      </c>
      <c r="K1255" s="2" t="s">
        <v>28</v>
      </c>
      <c r="L1255" s="2">
        <f t="shared" si="4"/>
        <v>48000</v>
      </c>
    </row>
    <row r="1256" spans="1:12" ht="14.25" customHeight="1" x14ac:dyDescent="0.2">
      <c r="A1256" s="33">
        <v>46930</v>
      </c>
      <c r="B1256" s="33"/>
      <c r="C1256" s="2" t="s">
        <v>29</v>
      </c>
      <c r="D1256" s="2" t="s">
        <v>32</v>
      </c>
      <c r="E1256" s="2" t="s">
        <v>13</v>
      </c>
      <c r="F1256" s="2" t="s">
        <v>20</v>
      </c>
      <c r="G1256" s="2" t="s">
        <v>15</v>
      </c>
      <c r="H1256" s="2" t="s">
        <v>16</v>
      </c>
      <c r="I1256" s="2">
        <v>85000</v>
      </c>
      <c r="J1256" s="2">
        <v>5</v>
      </c>
      <c r="K1256" s="2" t="s">
        <v>17</v>
      </c>
      <c r="L1256" s="2">
        <f t="shared" si="4"/>
        <v>68000</v>
      </c>
    </row>
    <row r="1257" spans="1:12" ht="14.25" customHeight="1" x14ac:dyDescent="0.2">
      <c r="A1257" s="33">
        <v>46931</v>
      </c>
      <c r="B1257" s="33"/>
      <c r="C1257" s="2" t="s">
        <v>18</v>
      </c>
      <c r="D1257" s="2" t="s">
        <v>32</v>
      </c>
      <c r="E1257" s="2" t="s">
        <v>23</v>
      </c>
      <c r="F1257" s="2" t="s">
        <v>14</v>
      </c>
      <c r="G1257" s="2" t="s">
        <v>38</v>
      </c>
      <c r="H1257" s="2" t="s">
        <v>31</v>
      </c>
      <c r="I1257" s="2">
        <v>420000</v>
      </c>
      <c r="J1257" s="2">
        <v>1</v>
      </c>
      <c r="K1257" s="2" t="s">
        <v>17</v>
      </c>
      <c r="L1257" s="2">
        <f t="shared" si="4"/>
        <v>336000</v>
      </c>
    </row>
    <row r="1258" spans="1:12" ht="14.25" customHeight="1" x14ac:dyDescent="0.2">
      <c r="A1258" s="33">
        <v>46932</v>
      </c>
      <c r="B1258" s="33"/>
      <c r="C1258" s="2" t="s">
        <v>25</v>
      </c>
      <c r="D1258" s="2" t="s">
        <v>26</v>
      </c>
      <c r="E1258" s="2" t="s">
        <v>23</v>
      </c>
      <c r="F1258" s="2" t="s">
        <v>20</v>
      </c>
      <c r="G1258" s="2" t="s">
        <v>21</v>
      </c>
      <c r="H1258" s="2" t="s">
        <v>22</v>
      </c>
      <c r="I1258" s="2">
        <v>30000</v>
      </c>
      <c r="J1258" s="2">
        <v>5</v>
      </c>
      <c r="K1258" s="2" t="s">
        <v>17</v>
      </c>
      <c r="L1258" s="2">
        <f t="shared" si="4"/>
        <v>24000</v>
      </c>
    </row>
    <row r="1259" spans="1:12" ht="14.25" customHeight="1" x14ac:dyDescent="0.2">
      <c r="A1259" s="33">
        <v>46933</v>
      </c>
      <c r="B1259" s="33"/>
      <c r="C1259" s="2" t="s">
        <v>11</v>
      </c>
      <c r="D1259" s="2" t="s">
        <v>26</v>
      </c>
      <c r="E1259" s="2" t="s">
        <v>13</v>
      </c>
      <c r="F1259" s="2" t="s">
        <v>14</v>
      </c>
      <c r="G1259" s="2" t="s">
        <v>40</v>
      </c>
      <c r="H1259" s="2" t="s">
        <v>31</v>
      </c>
      <c r="I1259" s="2">
        <v>250000</v>
      </c>
      <c r="J1259" s="2">
        <v>9</v>
      </c>
      <c r="K1259" s="2" t="s">
        <v>35</v>
      </c>
      <c r="L1259" s="2">
        <f t="shared" si="4"/>
        <v>200000</v>
      </c>
    </row>
    <row r="1260" spans="1:12" ht="14.25" customHeight="1" x14ac:dyDescent="0.2">
      <c r="A1260" s="33">
        <v>46934</v>
      </c>
      <c r="B1260" s="33"/>
      <c r="C1260" s="2" t="s">
        <v>29</v>
      </c>
      <c r="D1260" s="2" t="s">
        <v>19</v>
      </c>
      <c r="E1260" s="2" t="s">
        <v>23</v>
      </c>
      <c r="F1260" s="2" t="s">
        <v>14</v>
      </c>
      <c r="G1260" s="2" t="s">
        <v>36</v>
      </c>
      <c r="H1260" s="2" t="s">
        <v>31</v>
      </c>
      <c r="I1260" s="2">
        <v>150000</v>
      </c>
      <c r="J1260" s="2">
        <v>3</v>
      </c>
      <c r="K1260" s="2" t="s">
        <v>39</v>
      </c>
      <c r="L1260" s="2">
        <f t="shared" si="4"/>
        <v>120000</v>
      </c>
    </row>
    <row r="1261" spans="1:12" ht="14.25" customHeight="1" x14ac:dyDescent="0.2">
      <c r="A1261" s="33">
        <v>46935</v>
      </c>
      <c r="B1261" s="33"/>
      <c r="C1261" s="2" t="s">
        <v>18</v>
      </c>
      <c r="D1261" s="2" t="s">
        <v>19</v>
      </c>
      <c r="E1261" s="2" t="s">
        <v>23</v>
      </c>
      <c r="F1261" s="2" t="s">
        <v>14</v>
      </c>
      <c r="G1261" s="2" t="s">
        <v>30</v>
      </c>
      <c r="H1261" s="2" t="s">
        <v>31</v>
      </c>
      <c r="I1261" s="2">
        <v>300000</v>
      </c>
      <c r="J1261" s="2">
        <v>5</v>
      </c>
      <c r="K1261" s="2" t="s">
        <v>39</v>
      </c>
      <c r="L1261" s="2">
        <f t="shared" si="4"/>
        <v>240000</v>
      </c>
    </row>
    <row r="1262" spans="1:12" ht="14.25" customHeight="1" x14ac:dyDescent="0.2">
      <c r="A1262" s="33">
        <v>46936</v>
      </c>
      <c r="B1262" s="33"/>
      <c r="C1262" s="2" t="s">
        <v>11</v>
      </c>
      <c r="D1262" s="2" t="s">
        <v>12</v>
      </c>
      <c r="E1262" s="2" t="s">
        <v>13</v>
      </c>
      <c r="F1262" s="2" t="s">
        <v>20</v>
      </c>
      <c r="G1262" s="2" t="s">
        <v>34</v>
      </c>
      <c r="H1262" s="2" t="s">
        <v>16</v>
      </c>
      <c r="I1262" s="2">
        <v>320000</v>
      </c>
      <c r="J1262" s="2">
        <v>5</v>
      </c>
      <c r="K1262" s="2" t="s">
        <v>17</v>
      </c>
      <c r="L1262" s="2">
        <f t="shared" si="4"/>
        <v>256000</v>
      </c>
    </row>
    <row r="1263" spans="1:12" ht="14.25" customHeight="1" x14ac:dyDescent="0.2">
      <c r="A1263" s="33">
        <v>46937</v>
      </c>
      <c r="B1263" s="33"/>
      <c r="C1263" s="2" t="s">
        <v>11</v>
      </c>
      <c r="D1263" s="2" t="s">
        <v>32</v>
      </c>
      <c r="E1263" s="2" t="s">
        <v>23</v>
      </c>
      <c r="F1263" s="2" t="s">
        <v>20</v>
      </c>
      <c r="G1263" s="2" t="s">
        <v>15</v>
      </c>
      <c r="H1263" s="2" t="s">
        <v>16</v>
      </c>
      <c r="I1263" s="2">
        <v>85000</v>
      </c>
      <c r="J1263" s="2">
        <v>10</v>
      </c>
      <c r="K1263" s="2" t="s">
        <v>37</v>
      </c>
      <c r="L1263" s="2">
        <f t="shared" si="4"/>
        <v>68000</v>
      </c>
    </row>
    <row r="1264" spans="1:12" ht="14.25" customHeight="1" x14ac:dyDescent="0.2">
      <c r="A1264" s="33">
        <v>46938</v>
      </c>
      <c r="B1264" s="33"/>
      <c r="C1264" s="2" t="s">
        <v>11</v>
      </c>
      <c r="D1264" s="2" t="s">
        <v>19</v>
      </c>
      <c r="E1264" s="2" t="s">
        <v>13</v>
      </c>
      <c r="F1264" s="2" t="s">
        <v>20</v>
      </c>
      <c r="G1264" s="2" t="s">
        <v>33</v>
      </c>
      <c r="H1264" s="2" t="s">
        <v>22</v>
      </c>
      <c r="I1264" s="2">
        <v>180000</v>
      </c>
      <c r="J1264" s="2">
        <v>3</v>
      </c>
      <c r="K1264" s="2" t="s">
        <v>37</v>
      </c>
      <c r="L1264" s="2">
        <f t="shared" si="4"/>
        <v>144000</v>
      </c>
    </row>
    <row r="1265" spans="1:12" ht="14.25" customHeight="1" x14ac:dyDescent="0.2">
      <c r="A1265" s="33">
        <v>46939</v>
      </c>
      <c r="B1265" s="33"/>
      <c r="C1265" s="2" t="s">
        <v>18</v>
      </c>
      <c r="D1265" s="2" t="s">
        <v>32</v>
      </c>
      <c r="E1265" s="2" t="s">
        <v>23</v>
      </c>
      <c r="F1265" s="2" t="s">
        <v>20</v>
      </c>
      <c r="G1265" s="2" t="s">
        <v>21</v>
      </c>
      <c r="H1265" s="2" t="s">
        <v>22</v>
      </c>
      <c r="I1265" s="2">
        <v>30000</v>
      </c>
      <c r="J1265" s="2">
        <v>3</v>
      </c>
      <c r="K1265" s="2" t="s">
        <v>39</v>
      </c>
      <c r="L1265" s="2">
        <f t="shared" si="4"/>
        <v>24000</v>
      </c>
    </row>
    <row r="1266" spans="1:12" ht="14.25" customHeight="1" x14ac:dyDescent="0.2">
      <c r="A1266" s="33">
        <v>46940</v>
      </c>
      <c r="B1266" s="33"/>
      <c r="C1266" s="2" t="s">
        <v>29</v>
      </c>
      <c r="D1266" s="2" t="s">
        <v>19</v>
      </c>
      <c r="E1266" s="2" t="s">
        <v>13</v>
      </c>
      <c r="F1266" s="2" t="s">
        <v>20</v>
      </c>
      <c r="G1266" s="2" t="s">
        <v>36</v>
      </c>
      <c r="H1266" s="2" t="s">
        <v>31</v>
      </c>
      <c r="I1266" s="2">
        <v>150000</v>
      </c>
      <c r="J1266" s="2">
        <v>5</v>
      </c>
      <c r="K1266" s="2" t="s">
        <v>37</v>
      </c>
      <c r="L1266" s="2">
        <f t="shared" si="4"/>
        <v>120000</v>
      </c>
    </row>
    <row r="1267" spans="1:12" ht="14.25" customHeight="1" x14ac:dyDescent="0.2">
      <c r="A1267" s="33">
        <v>46941</v>
      </c>
      <c r="B1267" s="33"/>
      <c r="C1267" s="2" t="s">
        <v>29</v>
      </c>
      <c r="D1267" s="2" t="s">
        <v>26</v>
      </c>
      <c r="E1267" s="2" t="s">
        <v>13</v>
      </c>
      <c r="F1267" s="2" t="s">
        <v>14</v>
      </c>
      <c r="G1267" s="2" t="s">
        <v>30</v>
      </c>
      <c r="H1267" s="2" t="s">
        <v>31</v>
      </c>
      <c r="I1267" s="2">
        <v>300000</v>
      </c>
      <c r="J1267" s="2">
        <v>4</v>
      </c>
      <c r="K1267" s="2" t="s">
        <v>35</v>
      </c>
      <c r="L1267" s="2">
        <f t="shared" si="4"/>
        <v>240000</v>
      </c>
    </row>
    <row r="1268" spans="1:12" ht="14.25" customHeight="1" x14ac:dyDescent="0.2">
      <c r="A1268" s="33">
        <v>46942</v>
      </c>
      <c r="B1268" s="33"/>
      <c r="C1268" s="2" t="s">
        <v>18</v>
      </c>
      <c r="D1268" s="2" t="s">
        <v>26</v>
      </c>
      <c r="E1268" s="2" t="s">
        <v>23</v>
      </c>
      <c r="F1268" s="2" t="s">
        <v>20</v>
      </c>
      <c r="G1268" s="2" t="s">
        <v>21</v>
      </c>
      <c r="H1268" s="2" t="s">
        <v>22</v>
      </c>
      <c r="I1268" s="2">
        <v>30000</v>
      </c>
      <c r="J1268" s="2">
        <v>8</v>
      </c>
      <c r="K1268" s="2" t="s">
        <v>37</v>
      </c>
      <c r="L1268" s="2">
        <f t="shared" si="4"/>
        <v>24000</v>
      </c>
    </row>
    <row r="1269" spans="1:12" ht="14.25" customHeight="1" x14ac:dyDescent="0.2">
      <c r="A1269" s="33">
        <v>46943</v>
      </c>
      <c r="B1269" s="33"/>
      <c r="C1269" s="2" t="s">
        <v>11</v>
      </c>
      <c r="D1269" s="2" t="s">
        <v>12</v>
      </c>
      <c r="E1269" s="2" t="s">
        <v>13</v>
      </c>
      <c r="F1269" s="2" t="s">
        <v>20</v>
      </c>
      <c r="G1269" s="2" t="s">
        <v>41</v>
      </c>
      <c r="H1269" s="2" t="s">
        <v>22</v>
      </c>
      <c r="I1269" s="2">
        <v>220000</v>
      </c>
      <c r="J1269" s="2">
        <v>10</v>
      </c>
      <c r="K1269" s="2" t="s">
        <v>24</v>
      </c>
      <c r="L1269" s="2">
        <f t="shared" si="4"/>
        <v>176000</v>
      </c>
    </row>
    <row r="1270" spans="1:12" ht="14.25" customHeight="1" x14ac:dyDescent="0.2">
      <c r="A1270" s="33">
        <v>46944</v>
      </c>
      <c r="B1270" s="33"/>
      <c r="C1270" s="2" t="s">
        <v>25</v>
      </c>
      <c r="D1270" s="2" t="s">
        <v>26</v>
      </c>
      <c r="E1270" s="2" t="s">
        <v>13</v>
      </c>
      <c r="F1270" s="2" t="s">
        <v>14</v>
      </c>
      <c r="G1270" s="2" t="s">
        <v>21</v>
      </c>
      <c r="H1270" s="2" t="s">
        <v>22</v>
      </c>
      <c r="I1270" s="2">
        <v>30000</v>
      </c>
      <c r="J1270" s="2">
        <v>10</v>
      </c>
      <c r="K1270" s="2" t="s">
        <v>28</v>
      </c>
      <c r="L1270" s="2">
        <f t="shared" si="4"/>
        <v>24000</v>
      </c>
    </row>
    <row r="1271" spans="1:12" ht="14.25" customHeight="1" x14ac:dyDescent="0.2">
      <c r="A1271" s="33">
        <v>46945</v>
      </c>
      <c r="B1271" s="33"/>
      <c r="C1271" s="2" t="s">
        <v>18</v>
      </c>
      <c r="D1271" s="2" t="s">
        <v>19</v>
      </c>
      <c r="E1271" s="2" t="s">
        <v>23</v>
      </c>
      <c r="F1271" s="2" t="s">
        <v>20</v>
      </c>
      <c r="G1271" s="2" t="s">
        <v>40</v>
      </c>
      <c r="H1271" s="2" t="s">
        <v>31</v>
      </c>
      <c r="I1271" s="2">
        <v>250000</v>
      </c>
      <c r="J1271" s="2">
        <v>5</v>
      </c>
      <c r="K1271" s="2" t="s">
        <v>17</v>
      </c>
      <c r="L1271" s="2">
        <f t="shared" si="4"/>
        <v>200000</v>
      </c>
    </row>
    <row r="1272" spans="1:12" ht="14.25" customHeight="1" x14ac:dyDescent="0.2">
      <c r="A1272" s="33">
        <v>46946</v>
      </c>
      <c r="B1272" s="33"/>
      <c r="C1272" s="2" t="s">
        <v>25</v>
      </c>
      <c r="D1272" s="2" t="s">
        <v>19</v>
      </c>
      <c r="E1272" s="2" t="s">
        <v>23</v>
      </c>
      <c r="F1272" s="2" t="s">
        <v>20</v>
      </c>
      <c r="G1272" s="2" t="s">
        <v>36</v>
      </c>
      <c r="H1272" s="2" t="s">
        <v>31</v>
      </c>
      <c r="I1272" s="2">
        <v>150000</v>
      </c>
      <c r="J1272" s="2">
        <v>8</v>
      </c>
      <c r="K1272" s="2" t="s">
        <v>17</v>
      </c>
      <c r="L1272" s="2">
        <f t="shared" si="4"/>
        <v>120000</v>
      </c>
    </row>
    <row r="1273" spans="1:12" ht="14.25" customHeight="1" x14ac:dyDescent="0.2">
      <c r="A1273" s="33">
        <v>46947</v>
      </c>
      <c r="B1273" s="33"/>
      <c r="C1273" s="2" t="s">
        <v>25</v>
      </c>
      <c r="D1273" s="2" t="s">
        <v>12</v>
      </c>
      <c r="E1273" s="2" t="s">
        <v>13</v>
      </c>
      <c r="F1273" s="2" t="s">
        <v>20</v>
      </c>
      <c r="G1273" s="2" t="s">
        <v>15</v>
      </c>
      <c r="H1273" s="2" t="s">
        <v>16</v>
      </c>
      <c r="I1273" s="2">
        <v>85000</v>
      </c>
      <c r="J1273" s="2">
        <v>1</v>
      </c>
      <c r="K1273" s="2" t="s">
        <v>17</v>
      </c>
      <c r="L1273" s="2">
        <f t="shared" si="4"/>
        <v>68000</v>
      </c>
    </row>
    <row r="1274" spans="1:12" ht="14.25" customHeight="1" x14ac:dyDescent="0.2">
      <c r="A1274" s="33">
        <v>46948</v>
      </c>
      <c r="B1274" s="33"/>
      <c r="C1274" s="2" t="s">
        <v>18</v>
      </c>
      <c r="D1274" s="2" t="s">
        <v>26</v>
      </c>
      <c r="E1274" s="2" t="s">
        <v>13</v>
      </c>
      <c r="F1274" s="2" t="s">
        <v>14</v>
      </c>
      <c r="G1274" s="2" t="s">
        <v>41</v>
      </c>
      <c r="H1274" s="2" t="s">
        <v>22</v>
      </c>
      <c r="I1274" s="2">
        <v>220000</v>
      </c>
      <c r="J1274" s="2">
        <v>2</v>
      </c>
      <c r="K1274" s="2" t="s">
        <v>37</v>
      </c>
      <c r="L1274" s="2">
        <f t="shared" si="4"/>
        <v>176000</v>
      </c>
    </row>
    <row r="1275" spans="1:12" ht="14.25" customHeight="1" x14ac:dyDescent="0.2">
      <c r="A1275" s="33">
        <v>46949</v>
      </c>
      <c r="B1275" s="33"/>
      <c r="C1275" s="2" t="s">
        <v>25</v>
      </c>
      <c r="D1275" s="2" t="s">
        <v>19</v>
      </c>
      <c r="E1275" s="2" t="s">
        <v>23</v>
      </c>
      <c r="F1275" s="2" t="s">
        <v>14</v>
      </c>
      <c r="G1275" s="2" t="s">
        <v>27</v>
      </c>
      <c r="H1275" s="2" t="s">
        <v>22</v>
      </c>
      <c r="I1275" s="2">
        <v>60000</v>
      </c>
      <c r="J1275" s="2">
        <v>9</v>
      </c>
      <c r="K1275" s="2" t="s">
        <v>28</v>
      </c>
      <c r="L1275" s="2">
        <f t="shared" si="4"/>
        <v>48000</v>
      </c>
    </row>
    <row r="1276" spans="1:12" ht="14.25" customHeight="1" x14ac:dyDescent="0.2">
      <c r="A1276" s="33">
        <v>46950</v>
      </c>
      <c r="B1276" s="33"/>
      <c r="C1276" s="2" t="s">
        <v>29</v>
      </c>
      <c r="D1276" s="2" t="s">
        <v>26</v>
      </c>
      <c r="E1276" s="2" t="s">
        <v>13</v>
      </c>
      <c r="F1276" s="2" t="s">
        <v>14</v>
      </c>
      <c r="G1276" s="2" t="s">
        <v>40</v>
      </c>
      <c r="H1276" s="2" t="s">
        <v>31</v>
      </c>
      <c r="I1276" s="2">
        <v>250000</v>
      </c>
      <c r="J1276" s="2">
        <v>9</v>
      </c>
      <c r="K1276" s="2" t="s">
        <v>35</v>
      </c>
      <c r="L1276" s="2">
        <f t="shared" si="4"/>
        <v>200000</v>
      </c>
    </row>
    <row r="1277" spans="1:12" ht="14.25" customHeight="1" x14ac:dyDescent="0.2">
      <c r="A1277" s="33">
        <v>46951</v>
      </c>
      <c r="B1277" s="33"/>
      <c r="C1277" s="2" t="s">
        <v>18</v>
      </c>
      <c r="D1277" s="2" t="s">
        <v>12</v>
      </c>
      <c r="E1277" s="2" t="s">
        <v>13</v>
      </c>
      <c r="F1277" s="2" t="s">
        <v>20</v>
      </c>
      <c r="G1277" s="2" t="s">
        <v>15</v>
      </c>
      <c r="H1277" s="2" t="s">
        <v>16</v>
      </c>
      <c r="I1277" s="2">
        <v>85000</v>
      </c>
      <c r="J1277" s="2">
        <v>7</v>
      </c>
      <c r="K1277" s="2" t="s">
        <v>37</v>
      </c>
      <c r="L1277" s="2">
        <f t="shared" ref="L1277:L1531" si="5">I1277-I1277*0.2</f>
        <v>68000</v>
      </c>
    </row>
    <row r="1278" spans="1:12" ht="14.25" customHeight="1" x14ac:dyDescent="0.2">
      <c r="A1278" s="33">
        <v>46952</v>
      </c>
      <c r="B1278" s="33"/>
      <c r="C1278" s="2" t="s">
        <v>25</v>
      </c>
      <c r="D1278" s="2" t="s">
        <v>26</v>
      </c>
      <c r="E1278" s="2" t="s">
        <v>13</v>
      </c>
      <c r="F1278" s="2" t="s">
        <v>20</v>
      </c>
      <c r="G1278" s="2" t="s">
        <v>36</v>
      </c>
      <c r="H1278" s="2" t="s">
        <v>31</v>
      </c>
      <c r="I1278" s="2">
        <v>150000</v>
      </c>
      <c r="J1278" s="2">
        <v>7</v>
      </c>
      <c r="K1278" s="2" t="s">
        <v>35</v>
      </c>
      <c r="L1278" s="2">
        <f t="shared" si="5"/>
        <v>120000</v>
      </c>
    </row>
    <row r="1279" spans="1:12" ht="14.25" customHeight="1" x14ac:dyDescent="0.2">
      <c r="A1279" s="33">
        <v>46953</v>
      </c>
      <c r="B1279" s="33"/>
      <c r="C1279" s="2" t="s">
        <v>18</v>
      </c>
      <c r="D1279" s="2" t="s">
        <v>26</v>
      </c>
      <c r="E1279" s="2" t="s">
        <v>23</v>
      </c>
      <c r="F1279" s="2" t="s">
        <v>14</v>
      </c>
      <c r="G1279" s="2" t="s">
        <v>21</v>
      </c>
      <c r="H1279" s="2" t="s">
        <v>22</v>
      </c>
      <c r="I1279" s="2">
        <v>30000</v>
      </c>
      <c r="J1279" s="2">
        <v>3</v>
      </c>
      <c r="K1279" s="2" t="s">
        <v>24</v>
      </c>
      <c r="L1279" s="2">
        <f t="shared" si="5"/>
        <v>24000</v>
      </c>
    </row>
    <row r="1280" spans="1:12" ht="14.25" customHeight="1" x14ac:dyDescent="0.2">
      <c r="A1280" s="33">
        <v>46954</v>
      </c>
      <c r="B1280" s="33"/>
      <c r="C1280" s="2" t="s">
        <v>18</v>
      </c>
      <c r="D1280" s="2" t="s">
        <v>26</v>
      </c>
      <c r="E1280" s="2" t="s">
        <v>23</v>
      </c>
      <c r="F1280" s="2" t="s">
        <v>20</v>
      </c>
      <c r="G1280" s="2" t="s">
        <v>21</v>
      </c>
      <c r="H1280" s="2" t="s">
        <v>22</v>
      </c>
      <c r="I1280" s="2">
        <v>30000</v>
      </c>
      <c r="J1280" s="2">
        <v>3</v>
      </c>
      <c r="K1280" s="2" t="s">
        <v>39</v>
      </c>
      <c r="L1280" s="2">
        <f t="shared" si="5"/>
        <v>24000</v>
      </c>
    </row>
    <row r="1281" spans="1:12" ht="14.25" customHeight="1" x14ac:dyDescent="0.2">
      <c r="A1281" s="33">
        <v>46955</v>
      </c>
      <c r="B1281" s="33"/>
      <c r="C1281" s="2" t="s">
        <v>29</v>
      </c>
      <c r="D1281" s="2" t="s">
        <v>32</v>
      </c>
      <c r="E1281" s="2" t="s">
        <v>13</v>
      </c>
      <c r="F1281" s="2" t="s">
        <v>14</v>
      </c>
      <c r="G1281" s="2" t="s">
        <v>21</v>
      </c>
      <c r="H1281" s="2" t="s">
        <v>22</v>
      </c>
      <c r="I1281" s="2">
        <v>30000</v>
      </c>
      <c r="J1281" s="2">
        <v>4</v>
      </c>
      <c r="K1281" s="2" t="s">
        <v>37</v>
      </c>
      <c r="L1281" s="2">
        <f t="shared" si="5"/>
        <v>24000</v>
      </c>
    </row>
    <row r="1282" spans="1:12" ht="14.25" customHeight="1" x14ac:dyDescent="0.2">
      <c r="A1282" s="33">
        <v>46956</v>
      </c>
      <c r="B1282" s="33"/>
      <c r="C1282" s="2" t="s">
        <v>25</v>
      </c>
      <c r="D1282" s="2" t="s">
        <v>19</v>
      </c>
      <c r="E1282" s="2" t="s">
        <v>13</v>
      </c>
      <c r="F1282" s="2" t="s">
        <v>20</v>
      </c>
      <c r="G1282" s="2" t="s">
        <v>27</v>
      </c>
      <c r="H1282" s="2" t="s">
        <v>22</v>
      </c>
      <c r="I1282" s="2">
        <v>60000</v>
      </c>
      <c r="J1282" s="2">
        <v>9</v>
      </c>
      <c r="K1282" s="2" t="s">
        <v>24</v>
      </c>
      <c r="L1282" s="2">
        <f t="shared" si="5"/>
        <v>48000</v>
      </c>
    </row>
    <row r="1283" spans="1:12" ht="14.25" customHeight="1" x14ac:dyDescent="0.2">
      <c r="A1283" s="33">
        <v>46957</v>
      </c>
      <c r="B1283" s="33"/>
      <c r="C1283" s="2" t="s">
        <v>25</v>
      </c>
      <c r="D1283" s="2" t="s">
        <v>32</v>
      </c>
      <c r="E1283" s="2" t="s">
        <v>23</v>
      </c>
      <c r="F1283" s="2" t="s">
        <v>14</v>
      </c>
      <c r="G1283" s="2" t="s">
        <v>27</v>
      </c>
      <c r="H1283" s="2" t="s">
        <v>22</v>
      </c>
      <c r="I1283" s="2">
        <v>60000</v>
      </c>
      <c r="J1283" s="2">
        <v>9</v>
      </c>
      <c r="K1283" s="2" t="s">
        <v>35</v>
      </c>
      <c r="L1283" s="2">
        <f t="shared" si="5"/>
        <v>48000</v>
      </c>
    </row>
    <row r="1284" spans="1:12" ht="14.25" customHeight="1" x14ac:dyDescent="0.2">
      <c r="A1284" s="33">
        <v>46958</v>
      </c>
      <c r="B1284" s="33"/>
      <c r="C1284" s="2" t="s">
        <v>25</v>
      </c>
      <c r="D1284" s="2" t="s">
        <v>12</v>
      </c>
      <c r="E1284" s="2" t="s">
        <v>23</v>
      </c>
      <c r="F1284" s="2" t="s">
        <v>14</v>
      </c>
      <c r="G1284" s="2" t="s">
        <v>38</v>
      </c>
      <c r="H1284" s="2" t="s">
        <v>31</v>
      </c>
      <c r="I1284" s="2">
        <v>420000</v>
      </c>
      <c r="J1284" s="2">
        <v>2</v>
      </c>
      <c r="K1284" s="2" t="s">
        <v>28</v>
      </c>
      <c r="L1284" s="2">
        <f t="shared" si="5"/>
        <v>336000</v>
      </c>
    </row>
    <row r="1285" spans="1:12" ht="14.25" customHeight="1" x14ac:dyDescent="0.2">
      <c r="A1285" s="33">
        <v>46959</v>
      </c>
      <c r="B1285" s="33"/>
      <c r="C1285" s="2" t="s">
        <v>29</v>
      </c>
      <c r="D1285" s="2" t="s">
        <v>26</v>
      </c>
      <c r="E1285" s="2" t="s">
        <v>13</v>
      </c>
      <c r="F1285" s="2" t="s">
        <v>20</v>
      </c>
      <c r="G1285" s="2" t="s">
        <v>34</v>
      </c>
      <c r="H1285" s="2" t="s">
        <v>16</v>
      </c>
      <c r="I1285" s="2">
        <v>320000</v>
      </c>
      <c r="J1285" s="2">
        <v>1</v>
      </c>
      <c r="K1285" s="2" t="s">
        <v>39</v>
      </c>
      <c r="L1285" s="2">
        <f t="shared" si="5"/>
        <v>256000</v>
      </c>
    </row>
    <row r="1286" spans="1:12" ht="14.25" customHeight="1" x14ac:dyDescent="0.2">
      <c r="A1286" s="33">
        <v>46960</v>
      </c>
      <c r="B1286" s="33"/>
      <c r="C1286" s="2" t="s">
        <v>11</v>
      </c>
      <c r="D1286" s="2" t="s">
        <v>12</v>
      </c>
      <c r="E1286" s="2" t="s">
        <v>13</v>
      </c>
      <c r="F1286" s="2" t="s">
        <v>20</v>
      </c>
      <c r="G1286" s="2" t="s">
        <v>21</v>
      </c>
      <c r="H1286" s="2" t="s">
        <v>22</v>
      </c>
      <c r="I1286" s="2">
        <v>30000</v>
      </c>
      <c r="J1286" s="2">
        <v>5</v>
      </c>
      <c r="K1286" s="2" t="s">
        <v>24</v>
      </c>
      <c r="L1286" s="2">
        <f t="shared" si="5"/>
        <v>24000</v>
      </c>
    </row>
    <row r="1287" spans="1:12" ht="14.25" customHeight="1" x14ac:dyDescent="0.2">
      <c r="A1287" s="33">
        <v>46961</v>
      </c>
      <c r="B1287" s="33"/>
      <c r="C1287" s="2" t="s">
        <v>11</v>
      </c>
      <c r="D1287" s="2" t="s">
        <v>26</v>
      </c>
      <c r="E1287" s="2" t="s">
        <v>23</v>
      </c>
      <c r="F1287" s="2" t="s">
        <v>20</v>
      </c>
      <c r="G1287" s="2" t="s">
        <v>15</v>
      </c>
      <c r="H1287" s="2" t="s">
        <v>16</v>
      </c>
      <c r="I1287" s="2">
        <v>85000</v>
      </c>
      <c r="J1287" s="2">
        <v>5</v>
      </c>
      <c r="K1287" s="2" t="s">
        <v>39</v>
      </c>
      <c r="L1287" s="2">
        <f t="shared" si="5"/>
        <v>68000</v>
      </c>
    </row>
    <row r="1288" spans="1:12" ht="14.25" customHeight="1" x14ac:dyDescent="0.2">
      <c r="A1288" s="33">
        <v>46962</v>
      </c>
      <c r="B1288" s="33"/>
      <c r="C1288" s="2" t="s">
        <v>11</v>
      </c>
      <c r="D1288" s="2" t="s">
        <v>26</v>
      </c>
      <c r="E1288" s="2" t="s">
        <v>23</v>
      </c>
      <c r="F1288" s="2" t="s">
        <v>14</v>
      </c>
      <c r="G1288" s="2" t="s">
        <v>38</v>
      </c>
      <c r="H1288" s="2" t="s">
        <v>31</v>
      </c>
      <c r="I1288" s="2">
        <v>420000</v>
      </c>
      <c r="J1288" s="2">
        <v>10</v>
      </c>
      <c r="K1288" s="2" t="s">
        <v>35</v>
      </c>
      <c r="L1288" s="2">
        <f t="shared" si="5"/>
        <v>336000</v>
      </c>
    </row>
    <row r="1289" spans="1:12" ht="14.25" customHeight="1" x14ac:dyDescent="0.2">
      <c r="A1289" s="33">
        <v>46963</v>
      </c>
      <c r="B1289" s="33"/>
      <c r="C1289" s="2" t="s">
        <v>18</v>
      </c>
      <c r="D1289" s="2" t="s">
        <v>12</v>
      </c>
      <c r="E1289" s="2" t="s">
        <v>23</v>
      </c>
      <c r="F1289" s="2" t="s">
        <v>14</v>
      </c>
      <c r="G1289" s="2" t="s">
        <v>40</v>
      </c>
      <c r="H1289" s="2" t="s">
        <v>31</v>
      </c>
      <c r="I1289" s="2">
        <v>250000</v>
      </c>
      <c r="J1289" s="2">
        <v>8</v>
      </c>
      <c r="K1289" s="2" t="s">
        <v>37</v>
      </c>
      <c r="L1289" s="2">
        <f t="shared" si="5"/>
        <v>200000</v>
      </c>
    </row>
    <row r="1290" spans="1:12" ht="14.25" customHeight="1" x14ac:dyDescent="0.2">
      <c r="A1290" s="33">
        <v>46964</v>
      </c>
      <c r="B1290" s="33"/>
      <c r="C1290" s="2" t="s">
        <v>11</v>
      </c>
      <c r="D1290" s="2" t="s">
        <v>19</v>
      </c>
      <c r="E1290" s="2" t="s">
        <v>23</v>
      </c>
      <c r="F1290" s="2" t="s">
        <v>20</v>
      </c>
      <c r="G1290" s="2" t="s">
        <v>40</v>
      </c>
      <c r="H1290" s="2" t="s">
        <v>31</v>
      </c>
      <c r="I1290" s="2">
        <v>250000</v>
      </c>
      <c r="J1290" s="2">
        <v>10</v>
      </c>
      <c r="K1290" s="2" t="s">
        <v>35</v>
      </c>
      <c r="L1290" s="2">
        <f t="shared" si="5"/>
        <v>200000</v>
      </c>
    </row>
    <row r="1291" spans="1:12" ht="14.25" customHeight="1" x14ac:dyDescent="0.2">
      <c r="A1291" s="33">
        <v>46965</v>
      </c>
      <c r="B1291" s="33"/>
      <c r="C1291" s="2" t="s">
        <v>18</v>
      </c>
      <c r="D1291" s="2" t="s">
        <v>19</v>
      </c>
      <c r="E1291" s="2" t="s">
        <v>23</v>
      </c>
      <c r="F1291" s="2" t="s">
        <v>20</v>
      </c>
      <c r="G1291" s="2" t="s">
        <v>36</v>
      </c>
      <c r="H1291" s="2" t="s">
        <v>31</v>
      </c>
      <c r="I1291" s="2">
        <v>150000</v>
      </c>
      <c r="J1291" s="2">
        <v>4</v>
      </c>
      <c r="K1291" s="2" t="s">
        <v>28</v>
      </c>
      <c r="L1291" s="2">
        <f t="shared" si="5"/>
        <v>120000</v>
      </c>
    </row>
    <row r="1292" spans="1:12" ht="14.25" customHeight="1" x14ac:dyDescent="0.2">
      <c r="A1292" s="33">
        <v>46966</v>
      </c>
      <c r="B1292" s="33"/>
      <c r="C1292" s="2" t="s">
        <v>18</v>
      </c>
      <c r="D1292" s="2" t="s">
        <v>19</v>
      </c>
      <c r="E1292" s="2" t="s">
        <v>23</v>
      </c>
      <c r="F1292" s="2" t="s">
        <v>14</v>
      </c>
      <c r="G1292" s="2" t="s">
        <v>33</v>
      </c>
      <c r="H1292" s="2" t="s">
        <v>22</v>
      </c>
      <c r="I1292" s="2">
        <v>180000</v>
      </c>
      <c r="J1292" s="2">
        <v>6</v>
      </c>
      <c r="K1292" s="2" t="s">
        <v>28</v>
      </c>
      <c r="L1292" s="2">
        <f t="shared" si="5"/>
        <v>144000</v>
      </c>
    </row>
    <row r="1293" spans="1:12" ht="14.25" customHeight="1" x14ac:dyDescent="0.2">
      <c r="A1293" s="33">
        <v>46967</v>
      </c>
      <c r="B1293" s="33"/>
      <c r="C1293" s="2" t="s">
        <v>18</v>
      </c>
      <c r="D1293" s="2" t="s">
        <v>26</v>
      </c>
      <c r="E1293" s="2" t="s">
        <v>23</v>
      </c>
      <c r="F1293" s="2" t="s">
        <v>20</v>
      </c>
      <c r="G1293" s="2" t="s">
        <v>21</v>
      </c>
      <c r="H1293" s="2" t="s">
        <v>22</v>
      </c>
      <c r="I1293" s="2">
        <v>30000</v>
      </c>
      <c r="J1293" s="2">
        <v>6</v>
      </c>
      <c r="K1293" s="2" t="s">
        <v>28</v>
      </c>
      <c r="L1293" s="2">
        <f t="shared" si="5"/>
        <v>24000</v>
      </c>
    </row>
    <row r="1294" spans="1:12" ht="14.25" customHeight="1" x14ac:dyDescent="0.2">
      <c r="A1294" s="33">
        <v>46968</v>
      </c>
      <c r="B1294" s="33"/>
      <c r="C1294" s="2" t="s">
        <v>11</v>
      </c>
      <c r="D1294" s="2" t="s">
        <v>19</v>
      </c>
      <c r="E1294" s="2" t="s">
        <v>23</v>
      </c>
      <c r="F1294" s="2" t="s">
        <v>14</v>
      </c>
      <c r="G1294" s="2" t="s">
        <v>40</v>
      </c>
      <c r="H1294" s="2" t="s">
        <v>31</v>
      </c>
      <c r="I1294" s="2">
        <v>250000</v>
      </c>
      <c r="J1294" s="2">
        <v>5</v>
      </c>
      <c r="K1294" s="2" t="s">
        <v>35</v>
      </c>
      <c r="L1294" s="2">
        <f t="shared" si="5"/>
        <v>200000</v>
      </c>
    </row>
    <row r="1295" spans="1:12" ht="14.25" customHeight="1" x14ac:dyDescent="0.2">
      <c r="A1295" s="33">
        <v>46969</v>
      </c>
      <c r="B1295" s="33"/>
      <c r="C1295" s="2" t="s">
        <v>25</v>
      </c>
      <c r="D1295" s="2" t="s">
        <v>19</v>
      </c>
      <c r="E1295" s="2" t="s">
        <v>23</v>
      </c>
      <c r="F1295" s="2" t="s">
        <v>14</v>
      </c>
      <c r="G1295" s="2" t="s">
        <v>34</v>
      </c>
      <c r="H1295" s="2" t="s">
        <v>16</v>
      </c>
      <c r="I1295" s="2">
        <v>320000</v>
      </c>
      <c r="J1295" s="2">
        <v>2</v>
      </c>
      <c r="K1295" s="2" t="s">
        <v>39</v>
      </c>
      <c r="L1295" s="2">
        <f t="shared" si="5"/>
        <v>256000</v>
      </c>
    </row>
    <row r="1296" spans="1:12" ht="14.25" customHeight="1" x14ac:dyDescent="0.2">
      <c r="A1296" s="33">
        <v>46970</v>
      </c>
      <c r="B1296" s="33"/>
      <c r="C1296" s="2" t="s">
        <v>18</v>
      </c>
      <c r="D1296" s="2" t="s">
        <v>19</v>
      </c>
      <c r="E1296" s="2" t="s">
        <v>23</v>
      </c>
      <c r="F1296" s="2" t="s">
        <v>20</v>
      </c>
      <c r="G1296" s="2" t="s">
        <v>30</v>
      </c>
      <c r="H1296" s="2" t="s">
        <v>31</v>
      </c>
      <c r="I1296" s="2">
        <v>300000</v>
      </c>
      <c r="J1296" s="2">
        <v>10</v>
      </c>
      <c r="K1296" s="2" t="s">
        <v>35</v>
      </c>
      <c r="L1296" s="2">
        <f t="shared" si="5"/>
        <v>240000</v>
      </c>
    </row>
    <row r="1297" spans="1:12" ht="14.25" customHeight="1" x14ac:dyDescent="0.2">
      <c r="A1297" s="33">
        <v>46971</v>
      </c>
      <c r="B1297" s="33"/>
      <c r="C1297" s="2" t="s">
        <v>11</v>
      </c>
      <c r="D1297" s="2" t="s">
        <v>19</v>
      </c>
      <c r="E1297" s="2" t="s">
        <v>23</v>
      </c>
      <c r="F1297" s="2" t="s">
        <v>20</v>
      </c>
      <c r="G1297" s="2" t="s">
        <v>30</v>
      </c>
      <c r="H1297" s="2" t="s">
        <v>31</v>
      </c>
      <c r="I1297" s="2">
        <v>300000</v>
      </c>
      <c r="J1297" s="2">
        <v>7</v>
      </c>
      <c r="K1297" s="2" t="s">
        <v>37</v>
      </c>
      <c r="L1297" s="2">
        <f t="shared" si="5"/>
        <v>240000</v>
      </c>
    </row>
    <row r="1298" spans="1:12" ht="14.25" customHeight="1" x14ac:dyDescent="0.2">
      <c r="A1298" s="33">
        <v>46972</v>
      </c>
      <c r="B1298" s="33"/>
      <c r="C1298" s="2" t="s">
        <v>29</v>
      </c>
      <c r="D1298" s="2" t="s">
        <v>12</v>
      </c>
      <c r="E1298" s="2" t="s">
        <v>23</v>
      </c>
      <c r="F1298" s="2" t="s">
        <v>14</v>
      </c>
      <c r="G1298" s="2" t="s">
        <v>33</v>
      </c>
      <c r="H1298" s="2" t="s">
        <v>22</v>
      </c>
      <c r="I1298" s="2">
        <v>180000</v>
      </c>
      <c r="J1298" s="2">
        <v>1</v>
      </c>
      <c r="K1298" s="2" t="s">
        <v>39</v>
      </c>
      <c r="L1298" s="2">
        <f t="shared" si="5"/>
        <v>144000</v>
      </c>
    </row>
    <row r="1299" spans="1:12" ht="14.25" customHeight="1" x14ac:dyDescent="0.2">
      <c r="A1299" s="33">
        <v>46973</v>
      </c>
      <c r="B1299" s="33"/>
      <c r="C1299" s="2" t="s">
        <v>18</v>
      </c>
      <c r="D1299" s="2" t="s">
        <v>26</v>
      </c>
      <c r="E1299" s="2" t="s">
        <v>23</v>
      </c>
      <c r="F1299" s="2" t="s">
        <v>20</v>
      </c>
      <c r="G1299" s="2" t="s">
        <v>30</v>
      </c>
      <c r="H1299" s="2" t="s">
        <v>31</v>
      </c>
      <c r="I1299" s="2">
        <v>300000</v>
      </c>
      <c r="J1299" s="2">
        <v>10</v>
      </c>
      <c r="K1299" s="2" t="s">
        <v>17</v>
      </c>
      <c r="L1299" s="2">
        <f t="shared" si="5"/>
        <v>240000</v>
      </c>
    </row>
    <row r="1300" spans="1:12" ht="14.25" customHeight="1" x14ac:dyDescent="0.2">
      <c r="A1300" s="33">
        <v>46974</v>
      </c>
      <c r="B1300" s="33"/>
      <c r="C1300" s="2" t="s">
        <v>11</v>
      </c>
      <c r="D1300" s="2" t="s">
        <v>32</v>
      </c>
      <c r="E1300" s="2" t="s">
        <v>23</v>
      </c>
      <c r="F1300" s="2" t="s">
        <v>14</v>
      </c>
      <c r="G1300" s="2" t="s">
        <v>33</v>
      </c>
      <c r="H1300" s="2" t="s">
        <v>22</v>
      </c>
      <c r="I1300" s="2">
        <v>180000</v>
      </c>
      <c r="J1300" s="2">
        <v>7</v>
      </c>
      <c r="K1300" s="2" t="s">
        <v>37</v>
      </c>
      <c r="L1300" s="2">
        <f t="shared" si="5"/>
        <v>144000</v>
      </c>
    </row>
    <row r="1301" spans="1:12" ht="14.25" customHeight="1" x14ac:dyDescent="0.2">
      <c r="A1301" s="33">
        <v>46975</v>
      </c>
      <c r="B1301" s="33"/>
      <c r="C1301" s="2" t="s">
        <v>11</v>
      </c>
      <c r="D1301" s="2" t="s">
        <v>19</v>
      </c>
      <c r="E1301" s="2" t="s">
        <v>23</v>
      </c>
      <c r="F1301" s="2" t="s">
        <v>14</v>
      </c>
      <c r="G1301" s="2" t="s">
        <v>21</v>
      </c>
      <c r="H1301" s="2" t="s">
        <v>22</v>
      </c>
      <c r="I1301" s="2">
        <v>30000</v>
      </c>
      <c r="J1301" s="2">
        <v>7</v>
      </c>
      <c r="K1301" s="2" t="s">
        <v>28</v>
      </c>
      <c r="L1301" s="2">
        <f t="shared" si="5"/>
        <v>24000</v>
      </c>
    </row>
    <row r="1302" spans="1:12" ht="14.25" customHeight="1" x14ac:dyDescent="0.2">
      <c r="A1302" s="33">
        <v>46976</v>
      </c>
      <c r="B1302" s="33"/>
      <c r="C1302" s="2" t="s">
        <v>18</v>
      </c>
      <c r="D1302" s="2" t="s">
        <v>12</v>
      </c>
      <c r="E1302" s="2" t="s">
        <v>23</v>
      </c>
      <c r="F1302" s="2" t="s">
        <v>14</v>
      </c>
      <c r="G1302" s="2" t="s">
        <v>21</v>
      </c>
      <c r="H1302" s="2" t="s">
        <v>22</v>
      </c>
      <c r="I1302" s="2">
        <v>30000</v>
      </c>
      <c r="J1302" s="2">
        <v>6</v>
      </c>
      <c r="K1302" s="2" t="s">
        <v>24</v>
      </c>
      <c r="L1302" s="2">
        <f t="shared" si="5"/>
        <v>24000</v>
      </c>
    </row>
    <row r="1303" spans="1:12" ht="14.25" customHeight="1" x14ac:dyDescent="0.2">
      <c r="A1303" s="33">
        <v>46977</v>
      </c>
      <c r="B1303" s="33"/>
      <c r="C1303" s="2" t="s">
        <v>18</v>
      </c>
      <c r="D1303" s="2" t="s">
        <v>19</v>
      </c>
      <c r="E1303" s="2" t="s">
        <v>23</v>
      </c>
      <c r="F1303" s="2" t="s">
        <v>14</v>
      </c>
      <c r="G1303" s="2" t="s">
        <v>15</v>
      </c>
      <c r="H1303" s="2" t="s">
        <v>16</v>
      </c>
      <c r="I1303" s="2">
        <v>85000</v>
      </c>
      <c r="J1303" s="2">
        <v>7</v>
      </c>
      <c r="K1303" s="2" t="s">
        <v>35</v>
      </c>
      <c r="L1303" s="2">
        <f t="shared" si="5"/>
        <v>68000</v>
      </c>
    </row>
    <row r="1304" spans="1:12" ht="14.25" customHeight="1" x14ac:dyDescent="0.2">
      <c r="A1304" s="33">
        <v>46978</v>
      </c>
      <c r="B1304" s="33"/>
      <c r="C1304" s="2" t="s">
        <v>18</v>
      </c>
      <c r="D1304" s="2" t="s">
        <v>12</v>
      </c>
      <c r="E1304" s="2" t="s">
        <v>23</v>
      </c>
      <c r="F1304" s="2" t="s">
        <v>20</v>
      </c>
      <c r="G1304" s="2" t="s">
        <v>40</v>
      </c>
      <c r="H1304" s="2" t="s">
        <v>31</v>
      </c>
      <c r="I1304" s="2">
        <v>250000</v>
      </c>
      <c r="J1304" s="2">
        <v>3</v>
      </c>
      <c r="K1304" s="2" t="s">
        <v>35</v>
      </c>
      <c r="L1304" s="2">
        <f t="shared" si="5"/>
        <v>200000</v>
      </c>
    </row>
    <row r="1305" spans="1:12" ht="14.25" customHeight="1" x14ac:dyDescent="0.2">
      <c r="A1305" s="33">
        <v>46979</v>
      </c>
      <c r="B1305" s="33"/>
      <c r="C1305" s="2" t="s">
        <v>11</v>
      </c>
      <c r="D1305" s="2" t="s">
        <v>19</v>
      </c>
      <c r="E1305" s="2" t="s">
        <v>23</v>
      </c>
      <c r="F1305" s="2" t="s">
        <v>14</v>
      </c>
      <c r="G1305" s="2" t="s">
        <v>34</v>
      </c>
      <c r="H1305" s="2" t="s">
        <v>16</v>
      </c>
      <c r="I1305" s="2">
        <v>320000</v>
      </c>
      <c r="J1305" s="2">
        <v>7</v>
      </c>
      <c r="K1305" s="2" t="s">
        <v>28</v>
      </c>
      <c r="L1305" s="2">
        <f t="shared" si="5"/>
        <v>256000</v>
      </c>
    </row>
    <row r="1306" spans="1:12" ht="14.25" customHeight="1" x14ac:dyDescent="0.2">
      <c r="A1306" s="33">
        <v>46980</v>
      </c>
      <c r="B1306" s="33"/>
      <c r="C1306" s="2" t="s">
        <v>25</v>
      </c>
      <c r="D1306" s="2" t="s">
        <v>26</v>
      </c>
      <c r="E1306" s="2" t="s">
        <v>23</v>
      </c>
      <c r="F1306" s="2" t="s">
        <v>20</v>
      </c>
      <c r="G1306" s="2" t="s">
        <v>21</v>
      </c>
      <c r="H1306" s="2" t="s">
        <v>22</v>
      </c>
      <c r="I1306" s="2">
        <v>30000</v>
      </c>
      <c r="J1306" s="2">
        <v>7</v>
      </c>
      <c r="K1306" s="2" t="s">
        <v>35</v>
      </c>
      <c r="L1306" s="2">
        <f t="shared" si="5"/>
        <v>24000</v>
      </c>
    </row>
    <row r="1307" spans="1:12" ht="14.25" customHeight="1" x14ac:dyDescent="0.2">
      <c r="A1307" s="33">
        <v>46981</v>
      </c>
      <c r="B1307" s="33"/>
      <c r="C1307" s="2" t="s">
        <v>11</v>
      </c>
      <c r="D1307" s="2" t="s">
        <v>26</v>
      </c>
      <c r="E1307" s="2" t="s">
        <v>23</v>
      </c>
      <c r="F1307" s="2" t="s">
        <v>14</v>
      </c>
      <c r="G1307" s="2" t="s">
        <v>34</v>
      </c>
      <c r="H1307" s="2" t="s">
        <v>16</v>
      </c>
      <c r="I1307" s="2">
        <v>320000</v>
      </c>
      <c r="J1307" s="2">
        <v>8</v>
      </c>
      <c r="K1307" s="2" t="s">
        <v>17</v>
      </c>
      <c r="L1307" s="2">
        <f t="shared" si="5"/>
        <v>256000</v>
      </c>
    </row>
    <row r="1308" spans="1:12" ht="14.25" customHeight="1" x14ac:dyDescent="0.2">
      <c r="A1308" s="33">
        <v>46982</v>
      </c>
      <c r="B1308" s="33"/>
      <c r="C1308" s="2" t="s">
        <v>29</v>
      </c>
      <c r="D1308" s="2" t="s">
        <v>32</v>
      </c>
      <c r="E1308" s="2" t="s">
        <v>23</v>
      </c>
      <c r="F1308" s="2" t="s">
        <v>14</v>
      </c>
      <c r="G1308" s="2" t="s">
        <v>34</v>
      </c>
      <c r="H1308" s="2" t="s">
        <v>16</v>
      </c>
      <c r="I1308" s="2">
        <v>320000</v>
      </c>
      <c r="J1308" s="2">
        <v>7</v>
      </c>
      <c r="K1308" s="2" t="s">
        <v>37</v>
      </c>
      <c r="L1308" s="2">
        <f t="shared" si="5"/>
        <v>256000</v>
      </c>
    </row>
    <row r="1309" spans="1:12" ht="14.25" customHeight="1" x14ac:dyDescent="0.2">
      <c r="A1309" s="33">
        <v>46983</v>
      </c>
      <c r="B1309" s="33"/>
      <c r="C1309" s="2" t="s">
        <v>18</v>
      </c>
      <c r="D1309" s="2" t="s">
        <v>19</v>
      </c>
      <c r="E1309" s="2" t="s">
        <v>23</v>
      </c>
      <c r="F1309" s="2" t="s">
        <v>20</v>
      </c>
      <c r="G1309" s="2" t="s">
        <v>27</v>
      </c>
      <c r="H1309" s="2" t="s">
        <v>22</v>
      </c>
      <c r="I1309" s="2">
        <v>60000</v>
      </c>
      <c r="J1309" s="2">
        <v>2</v>
      </c>
      <c r="K1309" s="2" t="s">
        <v>28</v>
      </c>
      <c r="L1309" s="2">
        <f t="shared" si="5"/>
        <v>48000</v>
      </c>
    </row>
    <row r="1310" spans="1:12" ht="14.25" customHeight="1" x14ac:dyDescent="0.2">
      <c r="A1310" s="33">
        <v>46984</v>
      </c>
      <c r="B1310" s="33"/>
      <c r="C1310" s="2" t="s">
        <v>11</v>
      </c>
      <c r="D1310" s="2" t="s">
        <v>12</v>
      </c>
      <c r="E1310" s="2" t="s">
        <v>23</v>
      </c>
      <c r="F1310" s="2" t="s">
        <v>20</v>
      </c>
      <c r="G1310" s="2" t="s">
        <v>41</v>
      </c>
      <c r="H1310" s="2" t="s">
        <v>22</v>
      </c>
      <c r="I1310" s="2">
        <v>220000</v>
      </c>
      <c r="J1310" s="2">
        <v>8</v>
      </c>
      <c r="K1310" s="2" t="s">
        <v>37</v>
      </c>
      <c r="L1310" s="2">
        <f t="shared" si="5"/>
        <v>176000</v>
      </c>
    </row>
    <row r="1311" spans="1:12" ht="14.25" customHeight="1" x14ac:dyDescent="0.2">
      <c r="A1311" s="33">
        <v>46985</v>
      </c>
      <c r="B1311" s="33"/>
      <c r="C1311" s="2" t="s">
        <v>25</v>
      </c>
      <c r="D1311" s="2" t="s">
        <v>26</v>
      </c>
      <c r="E1311" s="2" t="s">
        <v>23</v>
      </c>
      <c r="F1311" s="2" t="s">
        <v>14</v>
      </c>
      <c r="G1311" s="2" t="s">
        <v>27</v>
      </c>
      <c r="H1311" s="2" t="s">
        <v>22</v>
      </c>
      <c r="I1311" s="2">
        <v>60000</v>
      </c>
      <c r="J1311" s="2">
        <v>2</v>
      </c>
      <c r="K1311" s="2" t="s">
        <v>28</v>
      </c>
      <c r="L1311" s="2">
        <f t="shared" si="5"/>
        <v>48000</v>
      </c>
    </row>
    <row r="1312" spans="1:12" ht="14.25" customHeight="1" x14ac:dyDescent="0.2">
      <c r="A1312" s="33">
        <v>46986</v>
      </c>
      <c r="B1312" s="33"/>
      <c r="C1312" s="2" t="s">
        <v>11</v>
      </c>
      <c r="D1312" s="2" t="s">
        <v>26</v>
      </c>
      <c r="E1312" s="2" t="s">
        <v>23</v>
      </c>
      <c r="F1312" s="2" t="s">
        <v>14</v>
      </c>
      <c r="G1312" s="2" t="s">
        <v>34</v>
      </c>
      <c r="H1312" s="2" t="s">
        <v>16</v>
      </c>
      <c r="I1312" s="2">
        <v>320000</v>
      </c>
      <c r="J1312" s="2">
        <v>2</v>
      </c>
      <c r="K1312" s="2" t="s">
        <v>39</v>
      </c>
      <c r="L1312" s="2">
        <f t="shared" si="5"/>
        <v>256000</v>
      </c>
    </row>
    <row r="1313" spans="1:12" ht="14.25" customHeight="1" x14ac:dyDescent="0.2">
      <c r="A1313" s="33">
        <v>46987</v>
      </c>
      <c r="B1313" s="33"/>
      <c r="C1313" s="2" t="s">
        <v>18</v>
      </c>
      <c r="D1313" s="2" t="s">
        <v>12</v>
      </c>
      <c r="E1313" s="2" t="s">
        <v>23</v>
      </c>
      <c r="F1313" s="2" t="s">
        <v>20</v>
      </c>
      <c r="G1313" s="2" t="s">
        <v>21</v>
      </c>
      <c r="H1313" s="2" t="s">
        <v>22</v>
      </c>
      <c r="I1313" s="2">
        <v>30000</v>
      </c>
      <c r="J1313" s="2">
        <v>2</v>
      </c>
      <c r="K1313" s="2" t="s">
        <v>35</v>
      </c>
      <c r="L1313" s="2">
        <f t="shared" si="5"/>
        <v>24000</v>
      </c>
    </row>
    <row r="1314" spans="1:12" ht="14.25" customHeight="1" x14ac:dyDescent="0.2">
      <c r="A1314" s="33">
        <v>46988</v>
      </c>
      <c r="B1314" s="33"/>
      <c r="C1314" s="2" t="s">
        <v>29</v>
      </c>
      <c r="D1314" s="2" t="s">
        <v>19</v>
      </c>
      <c r="E1314" s="2" t="s">
        <v>23</v>
      </c>
      <c r="F1314" s="2" t="s">
        <v>20</v>
      </c>
      <c r="G1314" s="2" t="s">
        <v>21</v>
      </c>
      <c r="H1314" s="2" t="s">
        <v>22</v>
      </c>
      <c r="I1314" s="2">
        <v>30000</v>
      </c>
      <c r="J1314" s="2">
        <v>7</v>
      </c>
      <c r="K1314" s="2" t="s">
        <v>35</v>
      </c>
      <c r="L1314" s="2">
        <f t="shared" si="5"/>
        <v>24000</v>
      </c>
    </row>
    <row r="1315" spans="1:12" ht="14.25" customHeight="1" x14ac:dyDescent="0.2">
      <c r="A1315" s="33">
        <v>46989</v>
      </c>
      <c r="B1315" s="33"/>
      <c r="C1315" s="2" t="s">
        <v>29</v>
      </c>
      <c r="D1315" s="2" t="s">
        <v>12</v>
      </c>
      <c r="E1315" s="2" t="s">
        <v>23</v>
      </c>
      <c r="F1315" s="2" t="s">
        <v>20</v>
      </c>
      <c r="G1315" s="2" t="s">
        <v>40</v>
      </c>
      <c r="H1315" s="2" t="s">
        <v>31</v>
      </c>
      <c r="I1315" s="2">
        <v>250000</v>
      </c>
      <c r="J1315" s="2">
        <v>10</v>
      </c>
      <c r="K1315" s="2" t="s">
        <v>35</v>
      </c>
      <c r="L1315" s="2">
        <f t="shared" si="5"/>
        <v>200000</v>
      </c>
    </row>
    <row r="1316" spans="1:12" ht="14.25" customHeight="1" x14ac:dyDescent="0.2">
      <c r="A1316" s="33">
        <v>46990</v>
      </c>
      <c r="B1316" s="33"/>
      <c r="C1316" s="2" t="s">
        <v>18</v>
      </c>
      <c r="D1316" s="2" t="s">
        <v>32</v>
      </c>
      <c r="E1316" s="2" t="s">
        <v>23</v>
      </c>
      <c r="F1316" s="2" t="s">
        <v>20</v>
      </c>
      <c r="G1316" s="2" t="s">
        <v>30</v>
      </c>
      <c r="H1316" s="2" t="s">
        <v>31</v>
      </c>
      <c r="I1316" s="2">
        <v>300000</v>
      </c>
      <c r="J1316" s="2">
        <v>9</v>
      </c>
      <c r="K1316" s="2" t="s">
        <v>28</v>
      </c>
      <c r="L1316" s="2">
        <f t="shared" si="5"/>
        <v>240000</v>
      </c>
    </row>
    <row r="1317" spans="1:12" ht="14.25" customHeight="1" x14ac:dyDescent="0.2">
      <c r="A1317" s="33">
        <v>46991</v>
      </c>
      <c r="B1317" s="33"/>
      <c r="C1317" s="2" t="s">
        <v>25</v>
      </c>
      <c r="D1317" s="2" t="s">
        <v>26</v>
      </c>
      <c r="E1317" s="2" t="s">
        <v>23</v>
      </c>
      <c r="F1317" s="2" t="s">
        <v>20</v>
      </c>
      <c r="G1317" s="2" t="s">
        <v>15</v>
      </c>
      <c r="H1317" s="2" t="s">
        <v>16</v>
      </c>
      <c r="I1317" s="2">
        <v>85000</v>
      </c>
      <c r="J1317" s="2">
        <v>6</v>
      </c>
      <c r="K1317" s="2" t="s">
        <v>37</v>
      </c>
      <c r="L1317" s="2">
        <f t="shared" si="5"/>
        <v>68000</v>
      </c>
    </row>
    <row r="1318" spans="1:12" ht="14.25" customHeight="1" x14ac:dyDescent="0.2">
      <c r="A1318" s="33">
        <v>46992</v>
      </c>
      <c r="B1318" s="33"/>
      <c r="C1318" s="2" t="s">
        <v>11</v>
      </c>
      <c r="D1318" s="2" t="s">
        <v>12</v>
      </c>
      <c r="E1318" s="2" t="s">
        <v>23</v>
      </c>
      <c r="F1318" s="2" t="s">
        <v>20</v>
      </c>
      <c r="G1318" s="2" t="s">
        <v>21</v>
      </c>
      <c r="H1318" s="2" t="s">
        <v>22</v>
      </c>
      <c r="I1318" s="2">
        <v>30000</v>
      </c>
      <c r="J1318" s="2">
        <v>4</v>
      </c>
      <c r="K1318" s="2" t="s">
        <v>17</v>
      </c>
      <c r="L1318" s="2">
        <f t="shared" si="5"/>
        <v>24000</v>
      </c>
    </row>
    <row r="1319" spans="1:12" ht="14.25" customHeight="1" x14ac:dyDescent="0.2">
      <c r="A1319" s="33">
        <v>46993</v>
      </c>
      <c r="B1319" s="33"/>
      <c r="C1319" s="2" t="s">
        <v>25</v>
      </c>
      <c r="D1319" s="2" t="s">
        <v>32</v>
      </c>
      <c r="E1319" s="2" t="s">
        <v>23</v>
      </c>
      <c r="F1319" s="2" t="s">
        <v>14</v>
      </c>
      <c r="G1319" s="2" t="s">
        <v>30</v>
      </c>
      <c r="H1319" s="2" t="s">
        <v>31</v>
      </c>
      <c r="I1319" s="2">
        <v>300000</v>
      </c>
      <c r="J1319" s="2">
        <v>4</v>
      </c>
      <c r="K1319" s="2" t="s">
        <v>17</v>
      </c>
      <c r="L1319" s="2">
        <f t="shared" si="5"/>
        <v>240000</v>
      </c>
    </row>
    <row r="1320" spans="1:12" ht="14.25" customHeight="1" x14ac:dyDescent="0.2">
      <c r="A1320" s="33">
        <v>46994</v>
      </c>
      <c r="B1320" s="33"/>
      <c r="C1320" s="2" t="s">
        <v>25</v>
      </c>
      <c r="D1320" s="2" t="s">
        <v>32</v>
      </c>
      <c r="E1320" s="2" t="s">
        <v>23</v>
      </c>
      <c r="F1320" s="2" t="s">
        <v>20</v>
      </c>
      <c r="G1320" s="2" t="s">
        <v>41</v>
      </c>
      <c r="H1320" s="2" t="s">
        <v>22</v>
      </c>
      <c r="I1320" s="2">
        <v>220000</v>
      </c>
      <c r="J1320" s="2">
        <v>5</v>
      </c>
      <c r="K1320" s="2" t="s">
        <v>35</v>
      </c>
      <c r="L1320" s="2">
        <f t="shared" si="5"/>
        <v>176000</v>
      </c>
    </row>
    <row r="1321" spans="1:12" ht="14.25" customHeight="1" x14ac:dyDescent="0.2">
      <c r="A1321" s="33">
        <v>46995</v>
      </c>
      <c r="B1321" s="33"/>
      <c r="C1321" s="2" t="s">
        <v>18</v>
      </c>
      <c r="D1321" s="2" t="s">
        <v>32</v>
      </c>
      <c r="E1321" s="2" t="s">
        <v>23</v>
      </c>
      <c r="F1321" s="2" t="s">
        <v>20</v>
      </c>
      <c r="G1321" s="2" t="s">
        <v>41</v>
      </c>
      <c r="H1321" s="2" t="s">
        <v>22</v>
      </c>
      <c r="I1321" s="2">
        <v>220000</v>
      </c>
      <c r="J1321" s="2">
        <v>4</v>
      </c>
      <c r="K1321" s="2" t="s">
        <v>35</v>
      </c>
      <c r="L1321" s="2">
        <f t="shared" si="5"/>
        <v>176000</v>
      </c>
    </row>
    <row r="1322" spans="1:12" ht="14.25" customHeight="1" x14ac:dyDescent="0.2">
      <c r="A1322" s="33">
        <v>46996</v>
      </c>
      <c r="B1322" s="33"/>
      <c r="C1322" s="2" t="s">
        <v>18</v>
      </c>
      <c r="D1322" s="2" t="s">
        <v>32</v>
      </c>
      <c r="E1322" s="2" t="s">
        <v>23</v>
      </c>
      <c r="F1322" s="2" t="s">
        <v>14</v>
      </c>
      <c r="G1322" s="2" t="s">
        <v>21</v>
      </c>
      <c r="H1322" s="2" t="s">
        <v>22</v>
      </c>
      <c r="I1322" s="2">
        <v>30000</v>
      </c>
      <c r="J1322" s="2">
        <v>1</v>
      </c>
      <c r="K1322" s="2" t="s">
        <v>39</v>
      </c>
      <c r="L1322" s="2">
        <f t="shared" si="5"/>
        <v>24000</v>
      </c>
    </row>
    <row r="1323" spans="1:12" ht="14.25" customHeight="1" x14ac:dyDescent="0.2">
      <c r="A1323" s="33">
        <v>46997</v>
      </c>
      <c r="B1323" s="33"/>
      <c r="C1323" s="2" t="s">
        <v>25</v>
      </c>
      <c r="D1323" s="2" t="s">
        <v>19</v>
      </c>
      <c r="E1323" s="2" t="s">
        <v>13</v>
      </c>
      <c r="F1323" s="2" t="s">
        <v>14</v>
      </c>
      <c r="G1323" s="2" t="s">
        <v>38</v>
      </c>
      <c r="H1323" s="2" t="s">
        <v>31</v>
      </c>
      <c r="I1323" s="2">
        <v>420000</v>
      </c>
      <c r="J1323" s="2">
        <v>9</v>
      </c>
      <c r="K1323" s="2" t="s">
        <v>24</v>
      </c>
      <c r="L1323" s="2">
        <f t="shared" si="5"/>
        <v>336000</v>
      </c>
    </row>
    <row r="1324" spans="1:12" ht="14.25" customHeight="1" x14ac:dyDescent="0.2">
      <c r="A1324" s="33">
        <v>46998</v>
      </c>
      <c r="B1324" s="33"/>
      <c r="C1324" s="2" t="s">
        <v>11</v>
      </c>
      <c r="D1324" s="2" t="s">
        <v>19</v>
      </c>
      <c r="E1324" s="2" t="s">
        <v>23</v>
      </c>
      <c r="F1324" s="2" t="s">
        <v>14</v>
      </c>
      <c r="G1324" s="2" t="s">
        <v>27</v>
      </c>
      <c r="H1324" s="2" t="s">
        <v>22</v>
      </c>
      <c r="I1324" s="2">
        <v>60000</v>
      </c>
      <c r="J1324" s="2">
        <v>6</v>
      </c>
      <c r="K1324" s="2" t="s">
        <v>24</v>
      </c>
      <c r="L1324" s="2">
        <f t="shared" si="5"/>
        <v>48000</v>
      </c>
    </row>
    <row r="1325" spans="1:12" ht="14.25" customHeight="1" x14ac:dyDescent="0.2">
      <c r="A1325" s="33">
        <v>46999</v>
      </c>
      <c r="B1325" s="33"/>
      <c r="C1325" s="2" t="s">
        <v>11</v>
      </c>
      <c r="D1325" s="2" t="s">
        <v>32</v>
      </c>
      <c r="E1325" s="2" t="s">
        <v>13</v>
      </c>
      <c r="F1325" s="2" t="s">
        <v>14</v>
      </c>
      <c r="G1325" s="2" t="s">
        <v>33</v>
      </c>
      <c r="H1325" s="2" t="s">
        <v>22</v>
      </c>
      <c r="I1325" s="2">
        <v>180000</v>
      </c>
      <c r="J1325" s="2">
        <v>2</v>
      </c>
      <c r="K1325" s="2" t="s">
        <v>28</v>
      </c>
      <c r="L1325" s="2">
        <f t="shared" si="5"/>
        <v>144000</v>
      </c>
    </row>
    <row r="1326" spans="1:12" ht="14.25" customHeight="1" x14ac:dyDescent="0.2">
      <c r="A1326" s="33">
        <v>47000</v>
      </c>
      <c r="B1326" s="33"/>
      <c r="C1326" s="2" t="s">
        <v>18</v>
      </c>
      <c r="D1326" s="2" t="s">
        <v>19</v>
      </c>
      <c r="E1326" s="2" t="s">
        <v>13</v>
      </c>
      <c r="F1326" s="2" t="s">
        <v>14</v>
      </c>
      <c r="G1326" s="2" t="s">
        <v>15</v>
      </c>
      <c r="H1326" s="2" t="s">
        <v>16</v>
      </c>
      <c r="I1326" s="2">
        <v>85000</v>
      </c>
      <c r="J1326" s="2">
        <v>1</v>
      </c>
      <c r="K1326" s="2" t="s">
        <v>24</v>
      </c>
      <c r="L1326" s="2">
        <f t="shared" si="5"/>
        <v>68000</v>
      </c>
    </row>
    <row r="1327" spans="1:12" ht="14.25" customHeight="1" x14ac:dyDescent="0.2">
      <c r="A1327" s="33">
        <v>47001</v>
      </c>
      <c r="B1327" s="33"/>
      <c r="C1327" s="2" t="s">
        <v>11</v>
      </c>
      <c r="D1327" s="2" t="s">
        <v>26</v>
      </c>
      <c r="E1327" s="2" t="s">
        <v>13</v>
      </c>
      <c r="F1327" s="2" t="s">
        <v>20</v>
      </c>
      <c r="G1327" s="2" t="s">
        <v>40</v>
      </c>
      <c r="H1327" s="2" t="s">
        <v>31</v>
      </c>
      <c r="I1327" s="2">
        <v>250000</v>
      </c>
      <c r="J1327" s="2">
        <v>2</v>
      </c>
      <c r="K1327" s="2" t="s">
        <v>17</v>
      </c>
      <c r="L1327" s="2">
        <f t="shared" si="5"/>
        <v>200000</v>
      </c>
    </row>
    <row r="1328" spans="1:12" ht="14.25" customHeight="1" x14ac:dyDescent="0.2">
      <c r="A1328" s="33">
        <v>47002</v>
      </c>
      <c r="B1328" s="33"/>
      <c r="C1328" s="2" t="s">
        <v>29</v>
      </c>
      <c r="D1328" s="2" t="s">
        <v>32</v>
      </c>
      <c r="E1328" s="2" t="s">
        <v>13</v>
      </c>
      <c r="F1328" s="2" t="s">
        <v>20</v>
      </c>
      <c r="G1328" s="2" t="s">
        <v>21</v>
      </c>
      <c r="H1328" s="2" t="s">
        <v>22</v>
      </c>
      <c r="I1328" s="2">
        <v>30000</v>
      </c>
      <c r="J1328" s="2">
        <v>7</v>
      </c>
      <c r="K1328" s="2" t="s">
        <v>35</v>
      </c>
      <c r="L1328" s="2">
        <f t="shared" si="5"/>
        <v>24000</v>
      </c>
    </row>
    <row r="1329" spans="1:12" ht="14.25" customHeight="1" x14ac:dyDescent="0.2">
      <c r="A1329" s="33">
        <v>47003</v>
      </c>
      <c r="B1329" s="33"/>
      <c r="C1329" s="2" t="s">
        <v>11</v>
      </c>
      <c r="D1329" s="2" t="s">
        <v>19</v>
      </c>
      <c r="E1329" s="2" t="s">
        <v>13</v>
      </c>
      <c r="F1329" s="2" t="s">
        <v>20</v>
      </c>
      <c r="G1329" s="2" t="s">
        <v>38</v>
      </c>
      <c r="H1329" s="2" t="s">
        <v>31</v>
      </c>
      <c r="I1329" s="2">
        <v>420000</v>
      </c>
      <c r="J1329" s="2">
        <v>9</v>
      </c>
      <c r="K1329" s="2" t="s">
        <v>35</v>
      </c>
      <c r="L1329" s="2">
        <f t="shared" si="5"/>
        <v>336000</v>
      </c>
    </row>
    <row r="1330" spans="1:12" ht="14.25" customHeight="1" x14ac:dyDescent="0.2">
      <c r="A1330" s="33">
        <v>47004</v>
      </c>
      <c r="B1330" s="33"/>
      <c r="C1330" s="2" t="s">
        <v>25</v>
      </c>
      <c r="D1330" s="2" t="s">
        <v>32</v>
      </c>
      <c r="E1330" s="2" t="s">
        <v>13</v>
      </c>
      <c r="F1330" s="2" t="s">
        <v>14</v>
      </c>
      <c r="G1330" s="2" t="s">
        <v>27</v>
      </c>
      <c r="H1330" s="2" t="s">
        <v>22</v>
      </c>
      <c r="I1330" s="2">
        <v>60000</v>
      </c>
      <c r="J1330" s="2">
        <v>7</v>
      </c>
      <c r="K1330" s="2" t="s">
        <v>24</v>
      </c>
      <c r="L1330" s="2">
        <f t="shared" si="5"/>
        <v>48000</v>
      </c>
    </row>
    <row r="1331" spans="1:12" ht="14.25" customHeight="1" x14ac:dyDescent="0.2">
      <c r="A1331" s="33">
        <v>47005</v>
      </c>
      <c r="B1331" s="33"/>
      <c r="C1331" s="2" t="s">
        <v>29</v>
      </c>
      <c r="D1331" s="2" t="s">
        <v>26</v>
      </c>
      <c r="E1331" s="2" t="s">
        <v>13</v>
      </c>
      <c r="F1331" s="2" t="s">
        <v>20</v>
      </c>
      <c r="G1331" s="2" t="s">
        <v>30</v>
      </c>
      <c r="H1331" s="2" t="s">
        <v>31</v>
      </c>
      <c r="I1331" s="2">
        <v>300000</v>
      </c>
      <c r="J1331" s="2">
        <v>7</v>
      </c>
      <c r="K1331" s="2" t="s">
        <v>35</v>
      </c>
      <c r="L1331" s="2">
        <f t="shared" si="5"/>
        <v>240000</v>
      </c>
    </row>
    <row r="1332" spans="1:12" ht="14.25" customHeight="1" x14ac:dyDescent="0.2">
      <c r="A1332" s="33">
        <v>47006</v>
      </c>
      <c r="B1332" s="33"/>
      <c r="C1332" s="2" t="s">
        <v>18</v>
      </c>
      <c r="D1332" s="2" t="s">
        <v>12</v>
      </c>
      <c r="E1332" s="2" t="s">
        <v>23</v>
      </c>
      <c r="F1332" s="2" t="s">
        <v>14</v>
      </c>
      <c r="G1332" s="2" t="s">
        <v>36</v>
      </c>
      <c r="H1332" s="2" t="s">
        <v>31</v>
      </c>
      <c r="I1332" s="2">
        <v>150000</v>
      </c>
      <c r="J1332" s="2">
        <v>9</v>
      </c>
      <c r="K1332" s="2" t="s">
        <v>39</v>
      </c>
      <c r="L1332" s="2">
        <f t="shared" si="5"/>
        <v>120000</v>
      </c>
    </row>
    <row r="1333" spans="1:12" ht="14.25" customHeight="1" x14ac:dyDescent="0.2">
      <c r="A1333" s="33">
        <v>47007</v>
      </c>
      <c r="B1333" s="33"/>
      <c r="C1333" s="2" t="s">
        <v>25</v>
      </c>
      <c r="D1333" s="2" t="s">
        <v>26</v>
      </c>
      <c r="E1333" s="2" t="s">
        <v>23</v>
      </c>
      <c r="F1333" s="2" t="s">
        <v>14</v>
      </c>
      <c r="G1333" s="2" t="s">
        <v>30</v>
      </c>
      <c r="H1333" s="2" t="s">
        <v>31</v>
      </c>
      <c r="I1333" s="2">
        <v>300000</v>
      </c>
      <c r="J1333" s="2">
        <v>7</v>
      </c>
      <c r="K1333" s="2" t="s">
        <v>28</v>
      </c>
      <c r="L1333" s="2">
        <f t="shared" si="5"/>
        <v>240000</v>
      </c>
    </row>
    <row r="1334" spans="1:12" ht="14.25" customHeight="1" x14ac:dyDescent="0.2">
      <c r="A1334" s="33">
        <v>47008</v>
      </c>
      <c r="B1334" s="33"/>
      <c r="C1334" s="2" t="s">
        <v>11</v>
      </c>
      <c r="D1334" s="2" t="s">
        <v>19</v>
      </c>
      <c r="E1334" s="2" t="s">
        <v>13</v>
      </c>
      <c r="F1334" s="2" t="s">
        <v>14</v>
      </c>
      <c r="G1334" s="2" t="s">
        <v>40</v>
      </c>
      <c r="H1334" s="2" t="s">
        <v>31</v>
      </c>
      <c r="I1334" s="2">
        <v>250000</v>
      </c>
      <c r="J1334" s="2">
        <v>1</v>
      </c>
      <c r="K1334" s="2" t="s">
        <v>37</v>
      </c>
      <c r="L1334" s="2">
        <f t="shared" si="5"/>
        <v>200000</v>
      </c>
    </row>
    <row r="1335" spans="1:12" ht="14.25" customHeight="1" x14ac:dyDescent="0.2">
      <c r="A1335" s="33">
        <v>47009</v>
      </c>
      <c r="B1335" s="33"/>
      <c r="C1335" s="2" t="s">
        <v>11</v>
      </c>
      <c r="D1335" s="2" t="s">
        <v>19</v>
      </c>
      <c r="E1335" s="2" t="s">
        <v>23</v>
      </c>
      <c r="F1335" s="2" t="s">
        <v>14</v>
      </c>
      <c r="G1335" s="2" t="s">
        <v>40</v>
      </c>
      <c r="H1335" s="2" t="s">
        <v>31</v>
      </c>
      <c r="I1335" s="2">
        <v>250000</v>
      </c>
      <c r="J1335" s="2">
        <v>6</v>
      </c>
      <c r="K1335" s="2" t="s">
        <v>28</v>
      </c>
      <c r="L1335" s="2">
        <f t="shared" si="5"/>
        <v>200000</v>
      </c>
    </row>
    <row r="1336" spans="1:12" ht="14.25" customHeight="1" x14ac:dyDescent="0.2">
      <c r="A1336" s="33">
        <v>47010</v>
      </c>
      <c r="B1336" s="33"/>
      <c r="C1336" s="2" t="s">
        <v>18</v>
      </c>
      <c r="D1336" s="2" t="s">
        <v>26</v>
      </c>
      <c r="E1336" s="2" t="s">
        <v>23</v>
      </c>
      <c r="F1336" s="2" t="s">
        <v>20</v>
      </c>
      <c r="G1336" s="2" t="s">
        <v>38</v>
      </c>
      <c r="H1336" s="2" t="s">
        <v>31</v>
      </c>
      <c r="I1336" s="2">
        <v>420000</v>
      </c>
      <c r="J1336" s="2">
        <v>9</v>
      </c>
      <c r="K1336" s="2" t="s">
        <v>39</v>
      </c>
      <c r="L1336" s="2">
        <f t="shared" si="5"/>
        <v>336000</v>
      </c>
    </row>
    <row r="1337" spans="1:12" ht="14.25" customHeight="1" x14ac:dyDescent="0.2">
      <c r="A1337" s="33">
        <v>47011</v>
      </c>
      <c r="B1337" s="33"/>
      <c r="C1337" s="2" t="s">
        <v>25</v>
      </c>
      <c r="D1337" s="2" t="s">
        <v>32</v>
      </c>
      <c r="E1337" s="2" t="s">
        <v>23</v>
      </c>
      <c r="F1337" s="2" t="s">
        <v>14</v>
      </c>
      <c r="G1337" s="2" t="s">
        <v>33</v>
      </c>
      <c r="H1337" s="2" t="s">
        <v>22</v>
      </c>
      <c r="I1337" s="2">
        <v>180000</v>
      </c>
      <c r="J1337" s="2">
        <v>6</v>
      </c>
      <c r="K1337" s="2" t="s">
        <v>24</v>
      </c>
      <c r="L1337" s="2">
        <f t="shared" si="5"/>
        <v>144000</v>
      </c>
    </row>
    <row r="1338" spans="1:12" ht="14.25" customHeight="1" x14ac:dyDescent="0.2">
      <c r="A1338" s="33">
        <v>47012</v>
      </c>
      <c r="B1338" s="33"/>
      <c r="C1338" s="2" t="s">
        <v>25</v>
      </c>
      <c r="D1338" s="2" t="s">
        <v>26</v>
      </c>
      <c r="E1338" s="2" t="s">
        <v>23</v>
      </c>
      <c r="F1338" s="2" t="s">
        <v>14</v>
      </c>
      <c r="G1338" s="2" t="s">
        <v>15</v>
      </c>
      <c r="H1338" s="2" t="s">
        <v>16</v>
      </c>
      <c r="I1338" s="2">
        <v>85000</v>
      </c>
      <c r="J1338" s="2">
        <v>5</v>
      </c>
      <c r="K1338" s="2" t="s">
        <v>39</v>
      </c>
      <c r="L1338" s="2">
        <f t="shared" si="5"/>
        <v>68000</v>
      </c>
    </row>
    <row r="1339" spans="1:12" ht="14.25" customHeight="1" x14ac:dyDescent="0.2">
      <c r="A1339" s="33">
        <v>47013</v>
      </c>
      <c r="B1339" s="33"/>
      <c r="C1339" s="2" t="s">
        <v>11</v>
      </c>
      <c r="D1339" s="2" t="s">
        <v>26</v>
      </c>
      <c r="E1339" s="2" t="s">
        <v>23</v>
      </c>
      <c r="F1339" s="2" t="s">
        <v>14</v>
      </c>
      <c r="G1339" s="2" t="s">
        <v>41</v>
      </c>
      <c r="H1339" s="2" t="s">
        <v>22</v>
      </c>
      <c r="I1339" s="2">
        <v>220000</v>
      </c>
      <c r="J1339" s="2">
        <v>5</v>
      </c>
      <c r="K1339" s="2" t="s">
        <v>39</v>
      </c>
      <c r="L1339" s="2">
        <f t="shared" si="5"/>
        <v>176000</v>
      </c>
    </row>
    <row r="1340" spans="1:12" ht="14.25" customHeight="1" x14ac:dyDescent="0.2">
      <c r="A1340" s="33">
        <v>47014</v>
      </c>
      <c r="B1340" s="33"/>
      <c r="C1340" s="2" t="s">
        <v>18</v>
      </c>
      <c r="D1340" s="2" t="s">
        <v>32</v>
      </c>
      <c r="E1340" s="2" t="s">
        <v>13</v>
      </c>
      <c r="F1340" s="2" t="s">
        <v>14</v>
      </c>
      <c r="G1340" s="2" t="s">
        <v>27</v>
      </c>
      <c r="H1340" s="2" t="s">
        <v>22</v>
      </c>
      <c r="I1340" s="2">
        <v>60000</v>
      </c>
      <c r="J1340" s="2">
        <v>8</v>
      </c>
      <c r="K1340" s="2" t="s">
        <v>37</v>
      </c>
      <c r="L1340" s="2">
        <f t="shared" si="5"/>
        <v>48000</v>
      </c>
    </row>
    <row r="1341" spans="1:12" ht="14.25" customHeight="1" x14ac:dyDescent="0.2">
      <c r="A1341" s="33">
        <v>47015</v>
      </c>
      <c r="B1341" s="33"/>
      <c r="C1341" s="2" t="s">
        <v>18</v>
      </c>
      <c r="D1341" s="2" t="s">
        <v>32</v>
      </c>
      <c r="E1341" s="2" t="s">
        <v>23</v>
      </c>
      <c r="F1341" s="2" t="s">
        <v>20</v>
      </c>
      <c r="G1341" s="2" t="s">
        <v>15</v>
      </c>
      <c r="H1341" s="2" t="s">
        <v>16</v>
      </c>
      <c r="I1341" s="2">
        <v>85000</v>
      </c>
      <c r="J1341" s="2">
        <v>10</v>
      </c>
      <c r="K1341" s="2" t="s">
        <v>35</v>
      </c>
      <c r="L1341" s="2">
        <f t="shared" si="5"/>
        <v>68000</v>
      </c>
    </row>
    <row r="1342" spans="1:12" ht="14.25" customHeight="1" x14ac:dyDescent="0.2">
      <c r="A1342" s="33">
        <v>47016</v>
      </c>
      <c r="B1342" s="33"/>
      <c r="C1342" s="2" t="s">
        <v>29</v>
      </c>
      <c r="D1342" s="2" t="s">
        <v>19</v>
      </c>
      <c r="E1342" s="2" t="s">
        <v>13</v>
      </c>
      <c r="F1342" s="2" t="s">
        <v>20</v>
      </c>
      <c r="G1342" s="2" t="s">
        <v>21</v>
      </c>
      <c r="H1342" s="2" t="s">
        <v>22</v>
      </c>
      <c r="I1342" s="2">
        <v>30000</v>
      </c>
      <c r="J1342" s="2">
        <v>6</v>
      </c>
      <c r="K1342" s="2" t="s">
        <v>39</v>
      </c>
      <c r="L1342" s="2">
        <f t="shared" si="5"/>
        <v>24000</v>
      </c>
    </row>
    <row r="1343" spans="1:12" ht="14.25" customHeight="1" x14ac:dyDescent="0.2">
      <c r="A1343" s="33">
        <v>47017</v>
      </c>
      <c r="B1343" s="33"/>
      <c r="C1343" s="2" t="s">
        <v>11</v>
      </c>
      <c r="D1343" s="2" t="s">
        <v>19</v>
      </c>
      <c r="E1343" s="2" t="s">
        <v>23</v>
      </c>
      <c r="F1343" s="2" t="s">
        <v>20</v>
      </c>
      <c r="G1343" s="2" t="s">
        <v>34</v>
      </c>
      <c r="H1343" s="2" t="s">
        <v>16</v>
      </c>
      <c r="I1343" s="2">
        <v>320000</v>
      </c>
      <c r="J1343" s="2">
        <v>10</v>
      </c>
      <c r="K1343" s="2" t="s">
        <v>24</v>
      </c>
      <c r="L1343" s="2">
        <f t="shared" si="5"/>
        <v>256000</v>
      </c>
    </row>
    <row r="1344" spans="1:12" ht="14.25" customHeight="1" x14ac:dyDescent="0.2">
      <c r="A1344" s="33">
        <v>47018</v>
      </c>
      <c r="B1344" s="33"/>
      <c r="C1344" s="2" t="s">
        <v>25</v>
      </c>
      <c r="D1344" s="2" t="s">
        <v>32</v>
      </c>
      <c r="E1344" s="2" t="s">
        <v>23</v>
      </c>
      <c r="F1344" s="2" t="s">
        <v>20</v>
      </c>
      <c r="G1344" s="2" t="s">
        <v>27</v>
      </c>
      <c r="H1344" s="2" t="s">
        <v>22</v>
      </c>
      <c r="I1344" s="2">
        <v>60000</v>
      </c>
      <c r="J1344" s="2">
        <v>2</v>
      </c>
      <c r="K1344" s="2" t="s">
        <v>24</v>
      </c>
      <c r="L1344" s="2">
        <f t="shared" si="5"/>
        <v>48000</v>
      </c>
    </row>
    <row r="1345" spans="1:12" ht="14.25" customHeight="1" x14ac:dyDescent="0.2">
      <c r="A1345" s="33">
        <v>47019</v>
      </c>
      <c r="B1345" s="33"/>
      <c r="C1345" s="2" t="s">
        <v>18</v>
      </c>
      <c r="D1345" s="2" t="s">
        <v>19</v>
      </c>
      <c r="E1345" s="2" t="s">
        <v>23</v>
      </c>
      <c r="F1345" s="2" t="s">
        <v>20</v>
      </c>
      <c r="G1345" s="2" t="s">
        <v>38</v>
      </c>
      <c r="H1345" s="2" t="s">
        <v>31</v>
      </c>
      <c r="I1345" s="2">
        <v>420000</v>
      </c>
      <c r="J1345" s="2">
        <v>3</v>
      </c>
      <c r="K1345" s="2" t="s">
        <v>17</v>
      </c>
      <c r="L1345" s="2">
        <f t="shared" si="5"/>
        <v>336000</v>
      </c>
    </row>
    <row r="1346" spans="1:12" ht="14.25" customHeight="1" x14ac:dyDescent="0.2">
      <c r="A1346" s="33">
        <v>47020</v>
      </c>
      <c r="B1346" s="33"/>
      <c r="C1346" s="2" t="s">
        <v>18</v>
      </c>
      <c r="D1346" s="2" t="s">
        <v>19</v>
      </c>
      <c r="E1346" s="2" t="s">
        <v>13</v>
      </c>
      <c r="F1346" s="2" t="s">
        <v>14</v>
      </c>
      <c r="G1346" s="2" t="s">
        <v>36</v>
      </c>
      <c r="H1346" s="2" t="s">
        <v>31</v>
      </c>
      <c r="I1346" s="2">
        <v>150000</v>
      </c>
      <c r="J1346" s="2">
        <v>5</v>
      </c>
      <c r="K1346" s="2" t="s">
        <v>28</v>
      </c>
      <c r="L1346" s="2">
        <f t="shared" si="5"/>
        <v>120000</v>
      </c>
    </row>
    <row r="1347" spans="1:12" ht="14.25" customHeight="1" x14ac:dyDescent="0.2">
      <c r="A1347" s="33">
        <v>47021</v>
      </c>
      <c r="B1347" s="33"/>
      <c r="C1347" s="2" t="s">
        <v>25</v>
      </c>
      <c r="D1347" s="2" t="s">
        <v>19</v>
      </c>
      <c r="E1347" s="2" t="s">
        <v>13</v>
      </c>
      <c r="F1347" s="2" t="s">
        <v>20</v>
      </c>
      <c r="G1347" s="2" t="s">
        <v>36</v>
      </c>
      <c r="H1347" s="2" t="s">
        <v>31</v>
      </c>
      <c r="I1347" s="2">
        <v>150000</v>
      </c>
      <c r="J1347" s="2">
        <v>9</v>
      </c>
      <c r="K1347" s="2" t="s">
        <v>35</v>
      </c>
      <c r="L1347" s="2">
        <f t="shared" si="5"/>
        <v>120000</v>
      </c>
    </row>
    <row r="1348" spans="1:12" ht="14.25" customHeight="1" x14ac:dyDescent="0.2">
      <c r="A1348" s="33">
        <v>47022</v>
      </c>
      <c r="B1348" s="33"/>
      <c r="C1348" s="2" t="s">
        <v>25</v>
      </c>
      <c r="D1348" s="2" t="s">
        <v>12</v>
      </c>
      <c r="E1348" s="2" t="s">
        <v>23</v>
      </c>
      <c r="F1348" s="2" t="s">
        <v>20</v>
      </c>
      <c r="G1348" s="2" t="s">
        <v>15</v>
      </c>
      <c r="H1348" s="2" t="s">
        <v>16</v>
      </c>
      <c r="I1348" s="2">
        <v>85000</v>
      </c>
      <c r="J1348" s="2">
        <v>5</v>
      </c>
      <c r="K1348" s="2" t="s">
        <v>37</v>
      </c>
      <c r="L1348" s="2">
        <f t="shared" si="5"/>
        <v>68000</v>
      </c>
    </row>
    <row r="1349" spans="1:12" ht="14.25" customHeight="1" x14ac:dyDescent="0.2">
      <c r="A1349" s="33">
        <v>47023</v>
      </c>
      <c r="B1349" s="33"/>
      <c r="C1349" s="2" t="s">
        <v>29</v>
      </c>
      <c r="D1349" s="2" t="s">
        <v>19</v>
      </c>
      <c r="E1349" s="2" t="s">
        <v>23</v>
      </c>
      <c r="F1349" s="2" t="s">
        <v>14</v>
      </c>
      <c r="G1349" s="2" t="s">
        <v>34</v>
      </c>
      <c r="H1349" s="2" t="s">
        <v>16</v>
      </c>
      <c r="I1349" s="2">
        <v>320000</v>
      </c>
      <c r="J1349" s="2">
        <v>1</v>
      </c>
      <c r="K1349" s="2" t="s">
        <v>24</v>
      </c>
      <c r="L1349" s="2">
        <f t="shared" si="5"/>
        <v>256000</v>
      </c>
    </row>
    <row r="1350" spans="1:12" ht="14.25" customHeight="1" x14ac:dyDescent="0.2">
      <c r="A1350" s="33">
        <v>47024</v>
      </c>
      <c r="B1350" s="33"/>
      <c r="C1350" s="2" t="s">
        <v>18</v>
      </c>
      <c r="D1350" s="2" t="s">
        <v>12</v>
      </c>
      <c r="E1350" s="2" t="s">
        <v>13</v>
      </c>
      <c r="F1350" s="2" t="s">
        <v>20</v>
      </c>
      <c r="G1350" s="2" t="s">
        <v>21</v>
      </c>
      <c r="H1350" s="2" t="s">
        <v>22</v>
      </c>
      <c r="I1350" s="2">
        <v>30000</v>
      </c>
      <c r="J1350" s="2">
        <v>4</v>
      </c>
      <c r="K1350" s="2" t="s">
        <v>28</v>
      </c>
      <c r="L1350" s="2">
        <f t="shared" si="5"/>
        <v>24000</v>
      </c>
    </row>
    <row r="1351" spans="1:12" ht="14.25" customHeight="1" x14ac:dyDescent="0.2">
      <c r="A1351" s="33">
        <v>47025</v>
      </c>
      <c r="B1351" s="33"/>
      <c r="C1351" s="2" t="s">
        <v>25</v>
      </c>
      <c r="D1351" s="2" t="s">
        <v>26</v>
      </c>
      <c r="E1351" s="2" t="s">
        <v>23</v>
      </c>
      <c r="F1351" s="2" t="s">
        <v>20</v>
      </c>
      <c r="G1351" s="2" t="s">
        <v>41</v>
      </c>
      <c r="H1351" s="2" t="s">
        <v>22</v>
      </c>
      <c r="I1351" s="2">
        <v>220000</v>
      </c>
      <c r="J1351" s="2">
        <v>8</v>
      </c>
      <c r="K1351" s="2" t="s">
        <v>37</v>
      </c>
      <c r="L1351" s="2">
        <f t="shared" si="5"/>
        <v>176000</v>
      </c>
    </row>
    <row r="1352" spans="1:12" ht="14.25" customHeight="1" x14ac:dyDescent="0.2">
      <c r="A1352" s="33">
        <v>47026</v>
      </c>
      <c r="B1352" s="33"/>
      <c r="C1352" s="2" t="s">
        <v>11</v>
      </c>
      <c r="D1352" s="2" t="s">
        <v>32</v>
      </c>
      <c r="E1352" s="2" t="s">
        <v>23</v>
      </c>
      <c r="F1352" s="2" t="s">
        <v>20</v>
      </c>
      <c r="G1352" s="2" t="s">
        <v>34</v>
      </c>
      <c r="H1352" s="2" t="s">
        <v>16</v>
      </c>
      <c r="I1352" s="2">
        <v>320000</v>
      </c>
      <c r="J1352" s="2">
        <v>5</v>
      </c>
      <c r="K1352" s="2" t="s">
        <v>39</v>
      </c>
      <c r="L1352" s="2">
        <f t="shared" si="5"/>
        <v>256000</v>
      </c>
    </row>
    <row r="1353" spans="1:12" ht="14.25" customHeight="1" x14ac:dyDescent="0.2">
      <c r="A1353" s="33">
        <v>47027</v>
      </c>
      <c r="B1353" s="33"/>
      <c r="C1353" s="2" t="s">
        <v>11</v>
      </c>
      <c r="D1353" s="2" t="s">
        <v>32</v>
      </c>
      <c r="E1353" s="2" t="s">
        <v>23</v>
      </c>
      <c r="F1353" s="2" t="s">
        <v>20</v>
      </c>
      <c r="G1353" s="2" t="s">
        <v>15</v>
      </c>
      <c r="H1353" s="2" t="s">
        <v>16</v>
      </c>
      <c r="I1353" s="2">
        <v>85000</v>
      </c>
      <c r="J1353" s="2">
        <v>3</v>
      </c>
      <c r="K1353" s="2" t="s">
        <v>37</v>
      </c>
      <c r="L1353" s="2">
        <f t="shared" si="5"/>
        <v>68000</v>
      </c>
    </row>
    <row r="1354" spans="1:12" ht="14.25" customHeight="1" x14ac:dyDescent="0.2">
      <c r="A1354" s="33">
        <v>47028</v>
      </c>
      <c r="B1354" s="33"/>
      <c r="C1354" s="2" t="s">
        <v>18</v>
      </c>
      <c r="D1354" s="2" t="s">
        <v>26</v>
      </c>
      <c r="E1354" s="2" t="s">
        <v>13</v>
      </c>
      <c r="F1354" s="2" t="s">
        <v>20</v>
      </c>
      <c r="G1354" s="2" t="s">
        <v>34</v>
      </c>
      <c r="H1354" s="2" t="s">
        <v>16</v>
      </c>
      <c r="I1354" s="2">
        <v>320000</v>
      </c>
      <c r="J1354" s="2">
        <v>10</v>
      </c>
      <c r="K1354" s="2" t="s">
        <v>17</v>
      </c>
      <c r="L1354" s="2">
        <f t="shared" si="5"/>
        <v>256000</v>
      </c>
    </row>
    <row r="1355" spans="1:12" ht="14.25" customHeight="1" x14ac:dyDescent="0.2">
      <c r="A1355" s="33">
        <v>47029</v>
      </c>
      <c r="B1355" s="33"/>
      <c r="C1355" s="2" t="s">
        <v>11</v>
      </c>
      <c r="D1355" s="2" t="s">
        <v>26</v>
      </c>
      <c r="E1355" s="2" t="s">
        <v>13</v>
      </c>
      <c r="F1355" s="2" t="s">
        <v>14</v>
      </c>
      <c r="G1355" s="2" t="s">
        <v>38</v>
      </c>
      <c r="H1355" s="2" t="s">
        <v>31</v>
      </c>
      <c r="I1355" s="2">
        <v>420000</v>
      </c>
      <c r="J1355" s="2">
        <v>2</v>
      </c>
      <c r="K1355" s="2" t="s">
        <v>39</v>
      </c>
      <c r="L1355" s="2">
        <f t="shared" si="5"/>
        <v>336000</v>
      </c>
    </row>
    <row r="1356" spans="1:12" ht="14.25" customHeight="1" x14ac:dyDescent="0.2">
      <c r="A1356" s="33">
        <v>47030</v>
      </c>
      <c r="B1356" s="33"/>
      <c r="C1356" s="2" t="s">
        <v>29</v>
      </c>
      <c r="D1356" s="2" t="s">
        <v>32</v>
      </c>
      <c r="E1356" s="2" t="s">
        <v>13</v>
      </c>
      <c r="F1356" s="2" t="s">
        <v>14</v>
      </c>
      <c r="G1356" s="2" t="s">
        <v>21</v>
      </c>
      <c r="H1356" s="2" t="s">
        <v>22</v>
      </c>
      <c r="I1356" s="2">
        <v>30000</v>
      </c>
      <c r="J1356" s="2">
        <v>3</v>
      </c>
      <c r="K1356" s="2" t="s">
        <v>17</v>
      </c>
      <c r="L1356" s="2">
        <f t="shared" si="5"/>
        <v>24000</v>
      </c>
    </row>
    <row r="1357" spans="1:12" ht="14.25" customHeight="1" x14ac:dyDescent="0.2">
      <c r="A1357" s="33">
        <v>47031</v>
      </c>
      <c r="B1357" s="33"/>
      <c r="C1357" s="2" t="s">
        <v>11</v>
      </c>
      <c r="D1357" s="2" t="s">
        <v>32</v>
      </c>
      <c r="E1357" s="2" t="s">
        <v>23</v>
      </c>
      <c r="F1357" s="2" t="s">
        <v>14</v>
      </c>
      <c r="G1357" s="2" t="s">
        <v>21</v>
      </c>
      <c r="H1357" s="2" t="s">
        <v>22</v>
      </c>
      <c r="I1357" s="2">
        <v>30000</v>
      </c>
      <c r="J1357" s="2">
        <v>1</v>
      </c>
      <c r="K1357" s="2" t="s">
        <v>39</v>
      </c>
      <c r="L1357" s="2">
        <f t="shared" si="5"/>
        <v>24000</v>
      </c>
    </row>
    <row r="1358" spans="1:12" ht="14.25" customHeight="1" x14ac:dyDescent="0.2">
      <c r="A1358" s="33">
        <v>47032</v>
      </c>
      <c r="B1358" s="33"/>
      <c r="C1358" s="2" t="s">
        <v>18</v>
      </c>
      <c r="D1358" s="2" t="s">
        <v>26</v>
      </c>
      <c r="E1358" s="2" t="s">
        <v>13</v>
      </c>
      <c r="F1358" s="2" t="s">
        <v>20</v>
      </c>
      <c r="G1358" s="2" t="s">
        <v>38</v>
      </c>
      <c r="H1358" s="2" t="s">
        <v>31</v>
      </c>
      <c r="I1358" s="2">
        <v>420000</v>
      </c>
      <c r="J1358" s="2">
        <v>10</v>
      </c>
      <c r="K1358" s="2" t="s">
        <v>39</v>
      </c>
      <c r="L1358" s="2">
        <f t="shared" si="5"/>
        <v>336000</v>
      </c>
    </row>
    <row r="1359" spans="1:12" ht="14.25" customHeight="1" x14ac:dyDescent="0.2">
      <c r="A1359" s="33">
        <v>47033</v>
      </c>
      <c r="B1359" s="33"/>
      <c r="C1359" s="2" t="s">
        <v>25</v>
      </c>
      <c r="D1359" s="2" t="s">
        <v>26</v>
      </c>
      <c r="E1359" s="2" t="s">
        <v>13</v>
      </c>
      <c r="F1359" s="2" t="s">
        <v>20</v>
      </c>
      <c r="G1359" s="2" t="s">
        <v>36</v>
      </c>
      <c r="H1359" s="2" t="s">
        <v>31</v>
      </c>
      <c r="I1359" s="2">
        <v>150000</v>
      </c>
      <c r="J1359" s="2">
        <v>8</v>
      </c>
      <c r="K1359" s="2" t="s">
        <v>17</v>
      </c>
      <c r="L1359" s="2">
        <f t="shared" si="5"/>
        <v>120000</v>
      </c>
    </row>
    <row r="1360" spans="1:12" ht="14.25" customHeight="1" x14ac:dyDescent="0.2">
      <c r="A1360" s="33">
        <v>47034</v>
      </c>
      <c r="B1360" s="33"/>
      <c r="C1360" s="2" t="s">
        <v>29</v>
      </c>
      <c r="D1360" s="2" t="s">
        <v>19</v>
      </c>
      <c r="E1360" s="2" t="s">
        <v>23</v>
      </c>
      <c r="F1360" s="2" t="s">
        <v>20</v>
      </c>
      <c r="G1360" s="2" t="s">
        <v>41</v>
      </c>
      <c r="H1360" s="2" t="s">
        <v>22</v>
      </c>
      <c r="I1360" s="2">
        <v>220000</v>
      </c>
      <c r="J1360" s="2">
        <v>8</v>
      </c>
      <c r="K1360" s="2" t="s">
        <v>17</v>
      </c>
      <c r="L1360" s="2">
        <f t="shared" si="5"/>
        <v>176000</v>
      </c>
    </row>
    <row r="1361" spans="1:12" ht="14.25" customHeight="1" x14ac:dyDescent="0.2">
      <c r="A1361" s="33">
        <v>47035</v>
      </c>
      <c r="B1361" s="33"/>
      <c r="C1361" s="2" t="s">
        <v>18</v>
      </c>
      <c r="D1361" s="2" t="s">
        <v>32</v>
      </c>
      <c r="E1361" s="2" t="s">
        <v>13</v>
      </c>
      <c r="F1361" s="2" t="s">
        <v>20</v>
      </c>
      <c r="G1361" s="2" t="s">
        <v>34</v>
      </c>
      <c r="H1361" s="2" t="s">
        <v>16</v>
      </c>
      <c r="I1361" s="2">
        <v>320000</v>
      </c>
      <c r="J1361" s="2">
        <v>9</v>
      </c>
      <c r="K1361" s="2" t="s">
        <v>35</v>
      </c>
      <c r="L1361" s="2">
        <f t="shared" si="5"/>
        <v>256000</v>
      </c>
    </row>
    <row r="1362" spans="1:12" ht="14.25" customHeight="1" x14ac:dyDescent="0.2">
      <c r="A1362" s="33">
        <v>47036</v>
      </c>
      <c r="B1362" s="33"/>
      <c r="C1362" s="2" t="s">
        <v>29</v>
      </c>
      <c r="D1362" s="2" t="s">
        <v>12</v>
      </c>
      <c r="E1362" s="2" t="s">
        <v>13</v>
      </c>
      <c r="F1362" s="2" t="s">
        <v>20</v>
      </c>
      <c r="G1362" s="2" t="s">
        <v>41</v>
      </c>
      <c r="H1362" s="2" t="s">
        <v>22</v>
      </c>
      <c r="I1362" s="2">
        <v>220000</v>
      </c>
      <c r="J1362" s="2">
        <v>3</v>
      </c>
      <c r="K1362" s="2" t="s">
        <v>39</v>
      </c>
      <c r="L1362" s="2">
        <f t="shared" si="5"/>
        <v>176000</v>
      </c>
    </row>
    <row r="1363" spans="1:12" ht="14.25" customHeight="1" x14ac:dyDescent="0.2">
      <c r="A1363" s="33">
        <v>47037</v>
      </c>
      <c r="B1363" s="33"/>
      <c r="C1363" s="2" t="s">
        <v>11</v>
      </c>
      <c r="D1363" s="2" t="s">
        <v>26</v>
      </c>
      <c r="E1363" s="2" t="s">
        <v>23</v>
      </c>
      <c r="F1363" s="2" t="s">
        <v>14</v>
      </c>
      <c r="G1363" s="2" t="s">
        <v>33</v>
      </c>
      <c r="H1363" s="2" t="s">
        <v>22</v>
      </c>
      <c r="I1363" s="2">
        <v>180000</v>
      </c>
      <c r="J1363" s="2">
        <v>8</v>
      </c>
      <c r="K1363" s="2" t="s">
        <v>35</v>
      </c>
      <c r="L1363" s="2">
        <f t="shared" si="5"/>
        <v>144000</v>
      </c>
    </row>
    <row r="1364" spans="1:12" ht="14.25" customHeight="1" x14ac:dyDescent="0.2">
      <c r="A1364" s="33">
        <v>47038</v>
      </c>
      <c r="B1364" s="33"/>
      <c r="C1364" s="2" t="s">
        <v>29</v>
      </c>
      <c r="D1364" s="2" t="s">
        <v>26</v>
      </c>
      <c r="E1364" s="2" t="s">
        <v>13</v>
      </c>
      <c r="F1364" s="2" t="s">
        <v>20</v>
      </c>
      <c r="G1364" s="2" t="s">
        <v>40</v>
      </c>
      <c r="H1364" s="2" t="s">
        <v>31</v>
      </c>
      <c r="I1364" s="2">
        <v>250000</v>
      </c>
      <c r="J1364" s="2">
        <v>4</v>
      </c>
      <c r="K1364" s="2" t="s">
        <v>28</v>
      </c>
      <c r="L1364" s="2">
        <f t="shared" si="5"/>
        <v>200000</v>
      </c>
    </row>
    <row r="1365" spans="1:12" ht="14.25" customHeight="1" x14ac:dyDescent="0.2">
      <c r="A1365" s="33">
        <v>47039</v>
      </c>
      <c r="B1365" s="33"/>
      <c r="C1365" s="2" t="s">
        <v>29</v>
      </c>
      <c r="D1365" s="2" t="s">
        <v>19</v>
      </c>
      <c r="E1365" s="2" t="s">
        <v>23</v>
      </c>
      <c r="F1365" s="2" t="s">
        <v>20</v>
      </c>
      <c r="G1365" s="2" t="s">
        <v>27</v>
      </c>
      <c r="H1365" s="2" t="s">
        <v>22</v>
      </c>
      <c r="I1365" s="2">
        <v>60000</v>
      </c>
      <c r="J1365" s="2">
        <v>7</v>
      </c>
      <c r="K1365" s="2" t="s">
        <v>35</v>
      </c>
      <c r="L1365" s="2">
        <f t="shared" si="5"/>
        <v>48000</v>
      </c>
    </row>
    <row r="1366" spans="1:12" ht="14.25" customHeight="1" x14ac:dyDescent="0.2">
      <c r="A1366" s="33">
        <v>47040</v>
      </c>
      <c r="B1366" s="33"/>
      <c r="C1366" s="2" t="s">
        <v>29</v>
      </c>
      <c r="D1366" s="2" t="s">
        <v>12</v>
      </c>
      <c r="E1366" s="2" t="s">
        <v>23</v>
      </c>
      <c r="F1366" s="2" t="s">
        <v>20</v>
      </c>
      <c r="G1366" s="2" t="s">
        <v>41</v>
      </c>
      <c r="H1366" s="2" t="s">
        <v>22</v>
      </c>
      <c r="I1366" s="2">
        <v>220000</v>
      </c>
      <c r="J1366" s="2">
        <v>10</v>
      </c>
      <c r="K1366" s="2" t="s">
        <v>39</v>
      </c>
      <c r="L1366" s="2">
        <f t="shared" si="5"/>
        <v>176000</v>
      </c>
    </row>
    <row r="1367" spans="1:12" ht="14.25" customHeight="1" x14ac:dyDescent="0.2">
      <c r="A1367" s="33">
        <v>47041</v>
      </c>
      <c r="B1367" s="33"/>
      <c r="C1367" s="2" t="s">
        <v>25</v>
      </c>
      <c r="D1367" s="2" t="s">
        <v>26</v>
      </c>
      <c r="E1367" s="2" t="s">
        <v>13</v>
      </c>
      <c r="F1367" s="2" t="s">
        <v>14</v>
      </c>
      <c r="G1367" s="2" t="s">
        <v>27</v>
      </c>
      <c r="H1367" s="2" t="s">
        <v>22</v>
      </c>
      <c r="I1367" s="2">
        <v>60000</v>
      </c>
      <c r="J1367" s="2">
        <v>9</v>
      </c>
      <c r="K1367" s="2" t="s">
        <v>39</v>
      </c>
      <c r="L1367" s="2">
        <f t="shared" si="5"/>
        <v>48000</v>
      </c>
    </row>
    <row r="1368" spans="1:12" ht="14.25" customHeight="1" x14ac:dyDescent="0.2">
      <c r="A1368" s="33">
        <v>47042</v>
      </c>
      <c r="B1368" s="33"/>
      <c r="C1368" s="2" t="s">
        <v>11</v>
      </c>
      <c r="D1368" s="2" t="s">
        <v>26</v>
      </c>
      <c r="E1368" s="2" t="s">
        <v>23</v>
      </c>
      <c r="F1368" s="2" t="s">
        <v>14</v>
      </c>
      <c r="G1368" s="2" t="s">
        <v>27</v>
      </c>
      <c r="H1368" s="2" t="s">
        <v>22</v>
      </c>
      <c r="I1368" s="2">
        <v>60000</v>
      </c>
      <c r="J1368" s="2">
        <v>2</v>
      </c>
      <c r="K1368" s="2" t="s">
        <v>28</v>
      </c>
      <c r="L1368" s="2">
        <f t="shared" si="5"/>
        <v>48000</v>
      </c>
    </row>
    <row r="1369" spans="1:12" ht="14.25" customHeight="1" x14ac:dyDescent="0.2">
      <c r="A1369" s="33">
        <v>47043</v>
      </c>
      <c r="B1369" s="33"/>
      <c r="C1369" s="2" t="s">
        <v>18</v>
      </c>
      <c r="D1369" s="2" t="s">
        <v>19</v>
      </c>
      <c r="E1369" s="2" t="s">
        <v>23</v>
      </c>
      <c r="F1369" s="2" t="s">
        <v>14</v>
      </c>
      <c r="G1369" s="2" t="s">
        <v>36</v>
      </c>
      <c r="H1369" s="2" t="s">
        <v>31</v>
      </c>
      <c r="I1369" s="2">
        <v>150000</v>
      </c>
      <c r="J1369" s="2">
        <v>3</v>
      </c>
      <c r="K1369" s="2" t="s">
        <v>17</v>
      </c>
      <c r="L1369" s="2">
        <f t="shared" si="5"/>
        <v>120000</v>
      </c>
    </row>
    <row r="1370" spans="1:12" ht="14.25" customHeight="1" x14ac:dyDescent="0.2">
      <c r="A1370" s="33">
        <v>47044</v>
      </c>
      <c r="B1370" s="33"/>
      <c r="C1370" s="2" t="s">
        <v>11</v>
      </c>
      <c r="D1370" s="2" t="s">
        <v>19</v>
      </c>
      <c r="E1370" s="2" t="s">
        <v>23</v>
      </c>
      <c r="F1370" s="2" t="s">
        <v>14</v>
      </c>
      <c r="G1370" s="2" t="s">
        <v>36</v>
      </c>
      <c r="H1370" s="2" t="s">
        <v>31</v>
      </c>
      <c r="I1370" s="2">
        <v>150000</v>
      </c>
      <c r="J1370" s="2">
        <v>10</v>
      </c>
      <c r="K1370" s="2" t="s">
        <v>17</v>
      </c>
      <c r="L1370" s="2">
        <f t="shared" si="5"/>
        <v>120000</v>
      </c>
    </row>
    <row r="1371" spans="1:12" ht="14.25" customHeight="1" x14ac:dyDescent="0.2">
      <c r="A1371" s="33">
        <v>47045</v>
      </c>
      <c r="B1371" s="33"/>
      <c r="C1371" s="2" t="s">
        <v>29</v>
      </c>
      <c r="D1371" s="2" t="s">
        <v>26</v>
      </c>
      <c r="E1371" s="2" t="s">
        <v>23</v>
      </c>
      <c r="F1371" s="2" t="s">
        <v>14</v>
      </c>
      <c r="G1371" s="2" t="s">
        <v>36</v>
      </c>
      <c r="H1371" s="2" t="s">
        <v>31</v>
      </c>
      <c r="I1371" s="2">
        <v>150000</v>
      </c>
      <c r="J1371" s="2">
        <v>9</v>
      </c>
      <c r="K1371" s="2" t="s">
        <v>35</v>
      </c>
      <c r="L1371" s="2">
        <f t="shared" si="5"/>
        <v>120000</v>
      </c>
    </row>
    <row r="1372" spans="1:12" ht="14.25" customHeight="1" x14ac:dyDescent="0.2">
      <c r="A1372" s="33">
        <v>47046</v>
      </c>
      <c r="B1372" s="33"/>
      <c r="C1372" s="2" t="s">
        <v>11</v>
      </c>
      <c r="D1372" s="2" t="s">
        <v>32</v>
      </c>
      <c r="E1372" s="2" t="s">
        <v>13</v>
      </c>
      <c r="F1372" s="2" t="s">
        <v>14</v>
      </c>
      <c r="G1372" s="2" t="s">
        <v>34</v>
      </c>
      <c r="H1372" s="2" t="s">
        <v>16</v>
      </c>
      <c r="I1372" s="2">
        <v>320000</v>
      </c>
      <c r="J1372" s="2">
        <v>5</v>
      </c>
      <c r="K1372" s="2" t="s">
        <v>39</v>
      </c>
      <c r="L1372" s="2">
        <f t="shared" si="5"/>
        <v>256000</v>
      </c>
    </row>
    <row r="1373" spans="1:12" ht="14.25" customHeight="1" x14ac:dyDescent="0.2">
      <c r="A1373" s="33">
        <v>47047</v>
      </c>
      <c r="B1373" s="33"/>
      <c r="C1373" s="2" t="s">
        <v>18</v>
      </c>
      <c r="D1373" s="2" t="s">
        <v>32</v>
      </c>
      <c r="E1373" s="2" t="s">
        <v>13</v>
      </c>
      <c r="F1373" s="2" t="s">
        <v>14</v>
      </c>
      <c r="G1373" s="2" t="s">
        <v>33</v>
      </c>
      <c r="H1373" s="2" t="s">
        <v>22</v>
      </c>
      <c r="I1373" s="2">
        <v>180000</v>
      </c>
      <c r="J1373" s="2">
        <v>3</v>
      </c>
      <c r="K1373" s="2" t="s">
        <v>17</v>
      </c>
      <c r="L1373" s="2">
        <f t="shared" si="5"/>
        <v>144000</v>
      </c>
    </row>
    <row r="1374" spans="1:12" ht="14.25" customHeight="1" x14ac:dyDescent="0.2">
      <c r="A1374" s="33">
        <v>47048</v>
      </c>
      <c r="B1374" s="33"/>
      <c r="C1374" s="2" t="s">
        <v>11</v>
      </c>
      <c r="D1374" s="2" t="s">
        <v>26</v>
      </c>
      <c r="E1374" s="2" t="s">
        <v>23</v>
      </c>
      <c r="F1374" s="2" t="s">
        <v>14</v>
      </c>
      <c r="G1374" s="2" t="s">
        <v>15</v>
      </c>
      <c r="H1374" s="2" t="s">
        <v>16</v>
      </c>
      <c r="I1374" s="2">
        <v>85000</v>
      </c>
      <c r="J1374" s="2">
        <v>4</v>
      </c>
      <c r="K1374" s="2" t="s">
        <v>35</v>
      </c>
      <c r="L1374" s="2">
        <f t="shared" si="5"/>
        <v>68000</v>
      </c>
    </row>
    <row r="1375" spans="1:12" ht="14.25" customHeight="1" x14ac:dyDescent="0.2">
      <c r="A1375" s="33">
        <v>47049</v>
      </c>
      <c r="B1375" s="33"/>
      <c r="C1375" s="2" t="s">
        <v>11</v>
      </c>
      <c r="D1375" s="2" t="s">
        <v>32</v>
      </c>
      <c r="E1375" s="2" t="s">
        <v>23</v>
      </c>
      <c r="F1375" s="2" t="s">
        <v>20</v>
      </c>
      <c r="G1375" s="2" t="s">
        <v>34</v>
      </c>
      <c r="H1375" s="2" t="s">
        <v>16</v>
      </c>
      <c r="I1375" s="2">
        <v>320000</v>
      </c>
      <c r="J1375" s="2">
        <v>7</v>
      </c>
      <c r="K1375" s="2" t="s">
        <v>39</v>
      </c>
      <c r="L1375" s="2">
        <f t="shared" si="5"/>
        <v>256000</v>
      </c>
    </row>
    <row r="1376" spans="1:12" ht="14.25" customHeight="1" x14ac:dyDescent="0.2">
      <c r="A1376" s="33">
        <v>47050</v>
      </c>
      <c r="B1376" s="33"/>
      <c r="C1376" s="2" t="s">
        <v>25</v>
      </c>
      <c r="D1376" s="2" t="s">
        <v>19</v>
      </c>
      <c r="E1376" s="2" t="s">
        <v>13</v>
      </c>
      <c r="F1376" s="2" t="s">
        <v>20</v>
      </c>
      <c r="G1376" s="2" t="s">
        <v>41</v>
      </c>
      <c r="H1376" s="2" t="s">
        <v>22</v>
      </c>
      <c r="I1376" s="2">
        <v>220000</v>
      </c>
      <c r="J1376" s="2">
        <v>5</v>
      </c>
      <c r="K1376" s="2" t="s">
        <v>35</v>
      </c>
      <c r="L1376" s="2">
        <f t="shared" si="5"/>
        <v>176000</v>
      </c>
    </row>
    <row r="1377" spans="1:12" ht="14.25" customHeight="1" x14ac:dyDescent="0.2">
      <c r="A1377" s="33">
        <v>47051</v>
      </c>
      <c r="B1377" s="33"/>
      <c r="C1377" s="2" t="s">
        <v>25</v>
      </c>
      <c r="D1377" s="2" t="s">
        <v>19</v>
      </c>
      <c r="E1377" s="2" t="s">
        <v>23</v>
      </c>
      <c r="F1377" s="2" t="s">
        <v>20</v>
      </c>
      <c r="G1377" s="2" t="s">
        <v>36</v>
      </c>
      <c r="H1377" s="2" t="s">
        <v>31</v>
      </c>
      <c r="I1377" s="2">
        <v>150000</v>
      </c>
      <c r="J1377" s="2">
        <v>3</v>
      </c>
      <c r="K1377" s="2" t="s">
        <v>17</v>
      </c>
      <c r="L1377" s="2">
        <f t="shared" si="5"/>
        <v>120000</v>
      </c>
    </row>
    <row r="1378" spans="1:12" ht="14.25" customHeight="1" x14ac:dyDescent="0.2">
      <c r="A1378" s="33">
        <v>47052</v>
      </c>
      <c r="B1378" s="33"/>
      <c r="C1378" s="2" t="s">
        <v>11</v>
      </c>
      <c r="D1378" s="2" t="s">
        <v>19</v>
      </c>
      <c r="E1378" s="2" t="s">
        <v>23</v>
      </c>
      <c r="F1378" s="2" t="s">
        <v>14</v>
      </c>
      <c r="G1378" s="2" t="s">
        <v>38</v>
      </c>
      <c r="H1378" s="2" t="s">
        <v>31</v>
      </c>
      <c r="I1378" s="2">
        <v>420000</v>
      </c>
      <c r="J1378" s="2">
        <v>8</v>
      </c>
      <c r="K1378" s="2" t="s">
        <v>24</v>
      </c>
      <c r="L1378" s="2">
        <f t="shared" si="5"/>
        <v>336000</v>
      </c>
    </row>
    <row r="1379" spans="1:12" ht="14.25" customHeight="1" x14ac:dyDescent="0.2">
      <c r="A1379" s="33">
        <v>47053</v>
      </c>
      <c r="B1379" s="33"/>
      <c r="C1379" s="2" t="s">
        <v>18</v>
      </c>
      <c r="D1379" s="2" t="s">
        <v>32</v>
      </c>
      <c r="E1379" s="2" t="s">
        <v>13</v>
      </c>
      <c r="F1379" s="2" t="s">
        <v>14</v>
      </c>
      <c r="G1379" s="2" t="s">
        <v>41</v>
      </c>
      <c r="H1379" s="2" t="s">
        <v>22</v>
      </c>
      <c r="I1379" s="2">
        <v>220000</v>
      </c>
      <c r="J1379" s="2">
        <v>9</v>
      </c>
      <c r="K1379" s="2" t="s">
        <v>24</v>
      </c>
      <c r="L1379" s="2">
        <f t="shared" si="5"/>
        <v>176000</v>
      </c>
    </row>
    <row r="1380" spans="1:12" ht="14.25" customHeight="1" x14ac:dyDescent="0.2">
      <c r="A1380" s="33">
        <v>47054</v>
      </c>
      <c r="B1380" s="33"/>
      <c r="C1380" s="2" t="s">
        <v>29</v>
      </c>
      <c r="D1380" s="2" t="s">
        <v>12</v>
      </c>
      <c r="E1380" s="2" t="s">
        <v>13</v>
      </c>
      <c r="F1380" s="2" t="s">
        <v>14</v>
      </c>
      <c r="G1380" s="2" t="s">
        <v>38</v>
      </c>
      <c r="H1380" s="2" t="s">
        <v>31</v>
      </c>
      <c r="I1380" s="2">
        <v>420000</v>
      </c>
      <c r="J1380" s="2">
        <v>3</v>
      </c>
      <c r="K1380" s="2" t="s">
        <v>39</v>
      </c>
      <c r="L1380" s="2">
        <f t="shared" si="5"/>
        <v>336000</v>
      </c>
    </row>
    <row r="1381" spans="1:12" ht="14.25" customHeight="1" x14ac:dyDescent="0.2">
      <c r="A1381" s="33">
        <v>47055</v>
      </c>
      <c r="B1381" s="33"/>
      <c r="C1381" s="2" t="s">
        <v>29</v>
      </c>
      <c r="D1381" s="2" t="s">
        <v>12</v>
      </c>
      <c r="E1381" s="2" t="s">
        <v>13</v>
      </c>
      <c r="F1381" s="2" t="s">
        <v>20</v>
      </c>
      <c r="G1381" s="2" t="s">
        <v>40</v>
      </c>
      <c r="H1381" s="2" t="s">
        <v>31</v>
      </c>
      <c r="I1381" s="2">
        <v>250000</v>
      </c>
      <c r="J1381" s="2">
        <v>1</v>
      </c>
      <c r="K1381" s="2" t="s">
        <v>28</v>
      </c>
      <c r="L1381" s="2">
        <f t="shared" si="5"/>
        <v>200000</v>
      </c>
    </row>
    <row r="1382" spans="1:12" ht="14.25" customHeight="1" x14ac:dyDescent="0.2">
      <c r="A1382" s="33">
        <v>47056</v>
      </c>
      <c r="B1382" s="33"/>
      <c r="C1382" s="2" t="s">
        <v>18</v>
      </c>
      <c r="D1382" s="2" t="s">
        <v>19</v>
      </c>
      <c r="E1382" s="2" t="s">
        <v>13</v>
      </c>
      <c r="F1382" s="2" t="s">
        <v>20</v>
      </c>
      <c r="G1382" s="2" t="s">
        <v>34</v>
      </c>
      <c r="H1382" s="2" t="s">
        <v>16</v>
      </c>
      <c r="I1382" s="2">
        <v>320000</v>
      </c>
      <c r="J1382" s="2">
        <v>7</v>
      </c>
      <c r="K1382" s="2" t="s">
        <v>37</v>
      </c>
      <c r="L1382" s="2">
        <f t="shared" si="5"/>
        <v>256000</v>
      </c>
    </row>
    <row r="1383" spans="1:12" ht="14.25" customHeight="1" x14ac:dyDescent="0.2">
      <c r="A1383" s="33">
        <v>47057</v>
      </c>
      <c r="B1383" s="33"/>
      <c r="C1383" s="2" t="s">
        <v>29</v>
      </c>
      <c r="D1383" s="2" t="s">
        <v>19</v>
      </c>
      <c r="E1383" s="2" t="s">
        <v>13</v>
      </c>
      <c r="F1383" s="2" t="s">
        <v>14</v>
      </c>
      <c r="G1383" s="2" t="s">
        <v>38</v>
      </c>
      <c r="H1383" s="2" t="s">
        <v>31</v>
      </c>
      <c r="I1383" s="2">
        <v>420000</v>
      </c>
      <c r="J1383" s="2">
        <v>2</v>
      </c>
      <c r="K1383" s="2" t="s">
        <v>39</v>
      </c>
      <c r="L1383" s="2">
        <f t="shared" si="5"/>
        <v>336000</v>
      </c>
    </row>
    <row r="1384" spans="1:12" ht="14.25" customHeight="1" x14ac:dyDescent="0.2">
      <c r="A1384" s="33">
        <v>47058</v>
      </c>
      <c r="B1384" s="33"/>
      <c r="C1384" s="2" t="s">
        <v>25</v>
      </c>
      <c r="D1384" s="2" t="s">
        <v>12</v>
      </c>
      <c r="E1384" s="2" t="s">
        <v>13</v>
      </c>
      <c r="F1384" s="2" t="s">
        <v>20</v>
      </c>
      <c r="G1384" s="2" t="s">
        <v>34</v>
      </c>
      <c r="H1384" s="2" t="s">
        <v>16</v>
      </c>
      <c r="I1384" s="2">
        <v>320000</v>
      </c>
      <c r="J1384" s="2">
        <v>3</v>
      </c>
      <c r="K1384" s="2" t="s">
        <v>28</v>
      </c>
      <c r="L1384" s="2">
        <f t="shared" si="5"/>
        <v>256000</v>
      </c>
    </row>
    <row r="1385" spans="1:12" ht="14.25" customHeight="1" x14ac:dyDescent="0.2">
      <c r="A1385" s="33">
        <v>47059</v>
      </c>
      <c r="B1385" s="33"/>
      <c r="C1385" s="2" t="s">
        <v>25</v>
      </c>
      <c r="D1385" s="2" t="s">
        <v>12</v>
      </c>
      <c r="E1385" s="2" t="s">
        <v>23</v>
      </c>
      <c r="F1385" s="2" t="s">
        <v>14</v>
      </c>
      <c r="G1385" s="2" t="s">
        <v>36</v>
      </c>
      <c r="H1385" s="2" t="s">
        <v>31</v>
      </c>
      <c r="I1385" s="2">
        <v>150000</v>
      </c>
      <c r="J1385" s="2">
        <v>2</v>
      </c>
      <c r="K1385" s="2" t="s">
        <v>37</v>
      </c>
      <c r="L1385" s="2">
        <f t="shared" si="5"/>
        <v>120000</v>
      </c>
    </row>
    <row r="1386" spans="1:12" ht="14.25" customHeight="1" x14ac:dyDescent="0.2">
      <c r="A1386" s="33">
        <v>47060</v>
      </c>
      <c r="B1386" s="33"/>
      <c r="C1386" s="2" t="s">
        <v>11</v>
      </c>
      <c r="D1386" s="2" t="s">
        <v>19</v>
      </c>
      <c r="E1386" s="2" t="s">
        <v>23</v>
      </c>
      <c r="F1386" s="2" t="s">
        <v>20</v>
      </c>
      <c r="G1386" s="2" t="s">
        <v>38</v>
      </c>
      <c r="H1386" s="2" t="s">
        <v>31</v>
      </c>
      <c r="I1386" s="2">
        <v>420000</v>
      </c>
      <c r="J1386" s="2">
        <v>8</v>
      </c>
      <c r="K1386" s="2" t="s">
        <v>28</v>
      </c>
      <c r="L1386" s="2">
        <f t="shared" si="5"/>
        <v>336000</v>
      </c>
    </row>
    <row r="1387" spans="1:12" ht="14.25" customHeight="1" x14ac:dyDescent="0.2">
      <c r="A1387" s="33">
        <v>47061</v>
      </c>
      <c r="B1387" s="33"/>
      <c r="C1387" s="2" t="s">
        <v>18</v>
      </c>
      <c r="D1387" s="2" t="s">
        <v>12</v>
      </c>
      <c r="E1387" s="2" t="s">
        <v>23</v>
      </c>
      <c r="F1387" s="2" t="s">
        <v>20</v>
      </c>
      <c r="G1387" s="2" t="s">
        <v>38</v>
      </c>
      <c r="H1387" s="2" t="s">
        <v>31</v>
      </c>
      <c r="I1387" s="2">
        <v>420000</v>
      </c>
      <c r="J1387" s="2">
        <v>1</v>
      </c>
      <c r="K1387" s="2" t="s">
        <v>39</v>
      </c>
      <c r="L1387" s="2">
        <f t="shared" si="5"/>
        <v>336000</v>
      </c>
    </row>
    <row r="1388" spans="1:12" ht="14.25" customHeight="1" x14ac:dyDescent="0.2">
      <c r="A1388" s="33">
        <v>47062</v>
      </c>
      <c r="B1388" s="33"/>
      <c r="C1388" s="2" t="s">
        <v>11</v>
      </c>
      <c r="D1388" s="2" t="s">
        <v>32</v>
      </c>
      <c r="E1388" s="2" t="s">
        <v>13</v>
      </c>
      <c r="F1388" s="2" t="s">
        <v>14</v>
      </c>
      <c r="G1388" s="2" t="s">
        <v>30</v>
      </c>
      <c r="H1388" s="2" t="s">
        <v>31</v>
      </c>
      <c r="I1388" s="2">
        <v>300000</v>
      </c>
      <c r="J1388" s="2">
        <v>5</v>
      </c>
      <c r="K1388" s="2" t="s">
        <v>35</v>
      </c>
      <c r="L1388" s="2">
        <f t="shared" si="5"/>
        <v>240000</v>
      </c>
    </row>
    <row r="1389" spans="1:12" ht="14.25" customHeight="1" x14ac:dyDescent="0.2">
      <c r="A1389" s="33">
        <v>47063</v>
      </c>
      <c r="B1389" s="33"/>
      <c r="C1389" s="2" t="s">
        <v>18</v>
      </c>
      <c r="D1389" s="2" t="s">
        <v>12</v>
      </c>
      <c r="E1389" s="2" t="s">
        <v>13</v>
      </c>
      <c r="F1389" s="2" t="s">
        <v>20</v>
      </c>
      <c r="G1389" s="2" t="s">
        <v>33</v>
      </c>
      <c r="H1389" s="2" t="s">
        <v>22</v>
      </c>
      <c r="I1389" s="2">
        <v>180000</v>
      </c>
      <c r="J1389" s="2">
        <v>7</v>
      </c>
      <c r="K1389" s="2" t="s">
        <v>37</v>
      </c>
      <c r="L1389" s="2">
        <f t="shared" si="5"/>
        <v>144000</v>
      </c>
    </row>
    <row r="1390" spans="1:12" ht="14.25" customHeight="1" x14ac:dyDescent="0.2">
      <c r="A1390" s="33">
        <v>47064</v>
      </c>
      <c r="B1390" s="33"/>
      <c r="C1390" s="2" t="s">
        <v>11</v>
      </c>
      <c r="D1390" s="2" t="s">
        <v>32</v>
      </c>
      <c r="E1390" s="2" t="s">
        <v>13</v>
      </c>
      <c r="F1390" s="2" t="s">
        <v>20</v>
      </c>
      <c r="G1390" s="2" t="s">
        <v>36</v>
      </c>
      <c r="H1390" s="2" t="s">
        <v>31</v>
      </c>
      <c r="I1390" s="2">
        <v>150000</v>
      </c>
      <c r="J1390" s="2">
        <v>10</v>
      </c>
      <c r="K1390" s="2" t="s">
        <v>24</v>
      </c>
      <c r="L1390" s="2">
        <f t="shared" si="5"/>
        <v>120000</v>
      </c>
    </row>
    <row r="1391" spans="1:12" ht="14.25" customHeight="1" x14ac:dyDescent="0.2">
      <c r="A1391" s="33">
        <v>47065</v>
      </c>
      <c r="B1391" s="33"/>
      <c r="C1391" s="2" t="s">
        <v>11</v>
      </c>
      <c r="D1391" s="2" t="s">
        <v>32</v>
      </c>
      <c r="E1391" s="2" t="s">
        <v>23</v>
      </c>
      <c r="F1391" s="2" t="s">
        <v>14</v>
      </c>
      <c r="G1391" s="2" t="s">
        <v>30</v>
      </c>
      <c r="H1391" s="2" t="s">
        <v>31</v>
      </c>
      <c r="I1391" s="2">
        <v>300000</v>
      </c>
      <c r="J1391" s="2">
        <v>7</v>
      </c>
      <c r="K1391" s="2" t="s">
        <v>35</v>
      </c>
      <c r="L1391" s="2">
        <f t="shared" si="5"/>
        <v>240000</v>
      </c>
    </row>
    <row r="1392" spans="1:12" ht="14.25" customHeight="1" x14ac:dyDescent="0.2">
      <c r="A1392" s="33">
        <v>47066</v>
      </c>
      <c r="B1392" s="33"/>
      <c r="C1392" s="2" t="s">
        <v>29</v>
      </c>
      <c r="D1392" s="2" t="s">
        <v>19</v>
      </c>
      <c r="E1392" s="2" t="s">
        <v>13</v>
      </c>
      <c r="F1392" s="2" t="s">
        <v>20</v>
      </c>
      <c r="G1392" s="2" t="s">
        <v>41</v>
      </c>
      <c r="H1392" s="2" t="s">
        <v>22</v>
      </c>
      <c r="I1392" s="2">
        <v>220000</v>
      </c>
      <c r="J1392" s="2">
        <v>2</v>
      </c>
      <c r="K1392" s="2" t="s">
        <v>17</v>
      </c>
      <c r="L1392" s="2">
        <f t="shared" si="5"/>
        <v>176000</v>
      </c>
    </row>
    <row r="1393" spans="1:12" ht="14.25" customHeight="1" x14ac:dyDescent="0.2">
      <c r="A1393" s="33">
        <v>47067</v>
      </c>
      <c r="B1393" s="33"/>
      <c r="C1393" s="2" t="s">
        <v>18</v>
      </c>
      <c r="D1393" s="2" t="s">
        <v>12</v>
      </c>
      <c r="E1393" s="2" t="s">
        <v>13</v>
      </c>
      <c r="F1393" s="2" t="s">
        <v>20</v>
      </c>
      <c r="G1393" s="2" t="s">
        <v>15</v>
      </c>
      <c r="H1393" s="2" t="s">
        <v>16</v>
      </c>
      <c r="I1393" s="2">
        <v>85000</v>
      </c>
      <c r="J1393" s="2">
        <v>8</v>
      </c>
      <c r="K1393" s="2" t="s">
        <v>28</v>
      </c>
      <c r="L1393" s="2">
        <f t="shared" si="5"/>
        <v>68000</v>
      </c>
    </row>
    <row r="1394" spans="1:12" ht="14.25" customHeight="1" x14ac:dyDescent="0.2">
      <c r="A1394" s="33">
        <v>47068</v>
      </c>
      <c r="B1394" s="33"/>
      <c r="C1394" s="2" t="s">
        <v>11</v>
      </c>
      <c r="D1394" s="2" t="s">
        <v>19</v>
      </c>
      <c r="E1394" s="2" t="s">
        <v>13</v>
      </c>
      <c r="F1394" s="2" t="s">
        <v>14</v>
      </c>
      <c r="G1394" s="2" t="s">
        <v>41</v>
      </c>
      <c r="H1394" s="2" t="s">
        <v>22</v>
      </c>
      <c r="I1394" s="2">
        <v>220000</v>
      </c>
      <c r="J1394" s="2">
        <v>7</v>
      </c>
      <c r="K1394" s="2" t="s">
        <v>39</v>
      </c>
      <c r="L1394" s="2">
        <f t="shared" si="5"/>
        <v>176000</v>
      </c>
    </row>
    <row r="1395" spans="1:12" ht="14.25" customHeight="1" x14ac:dyDescent="0.2">
      <c r="A1395" s="33">
        <v>47069</v>
      </c>
      <c r="B1395" s="33"/>
      <c r="C1395" s="2" t="s">
        <v>29</v>
      </c>
      <c r="D1395" s="2" t="s">
        <v>32</v>
      </c>
      <c r="E1395" s="2" t="s">
        <v>13</v>
      </c>
      <c r="F1395" s="2" t="s">
        <v>20</v>
      </c>
      <c r="G1395" s="2" t="s">
        <v>41</v>
      </c>
      <c r="H1395" s="2" t="s">
        <v>22</v>
      </c>
      <c r="I1395" s="2">
        <v>220000</v>
      </c>
      <c r="J1395" s="2">
        <v>6</v>
      </c>
      <c r="K1395" s="2" t="s">
        <v>35</v>
      </c>
      <c r="L1395" s="2">
        <f t="shared" si="5"/>
        <v>176000</v>
      </c>
    </row>
    <row r="1396" spans="1:12" ht="14.25" customHeight="1" x14ac:dyDescent="0.2">
      <c r="A1396" s="33">
        <v>47070</v>
      </c>
      <c r="B1396" s="33"/>
      <c r="C1396" s="2" t="s">
        <v>29</v>
      </c>
      <c r="D1396" s="2" t="s">
        <v>12</v>
      </c>
      <c r="E1396" s="2" t="s">
        <v>13</v>
      </c>
      <c r="F1396" s="2" t="s">
        <v>20</v>
      </c>
      <c r="G1396" s="2" t="s">
        <v>33</v>
      </c>
      <c r="H1396" s="2" t="s">
        <v>22</v>
      </c>
      <c r="I1396" s="2">
        <v>180000</v>
      </c>
      <c r="J1396" s="2">
        <v>3</v>
      </c>
      <c r="K1396" s="2" t="s">
        <v>28</v>
      </c>
      <c r="L1396" s="2">
        <f t="shared" si="5"/>
        <v>144000</v>
      </c>
    </row>
    <row r="1397" spans="1:12" ht="14.25" customHeight="1" x14ac:dyDescent="0.2">
      <c r="A1397" s="33">
        <v>47071</v>
      </c>
      <c r="B1397" s="33"/>
      <c r="C1397" s="2" t="s">
        <v>25</v>
      </c>
      <c r="D1397" s="2" t="s">
        <v>19</v>
      </c>
      <c r="E1397" s="2" t="s">
        <v>13</v>
      </c>
      <c r="F1397" s="2" t="s">
        <v>14</v>
      </c>
      <c r="G1397" s="2" t="s">
        <v>40</v>
      </c>
      <c r="H1397" s="2" t="s">
        <v>31</v>
      </c>
      <c r="I1397" s="2">
        <v>250000</v>
      </c>
      <c r="J1397" s="2">
        <v>6</v>
      </c>
      <c r="K1397" s="2" t="s">
        <v>35</v>
      </c>
      <c r="L1397" s="2">
        <f t="shared" si="5"/>
        <v>200000</v>
      </c>
    </row>
    <row r="1398" spans="1:12" ht="14.25" customHeight="1" x14ac:dyDescent="0.2">
      <c r="A1398" s="33">
        <v>47072</v>
      </c>
      <c r="B1398" s="33"/>
      <c r="C1398" s="2" t="s">
        <v>11</v>
      </c>
      <c r="D1398" s="2" t="s">
        <v>26</v>
      </c>
      <c r="E1398" s="2" t="s">
        <v>23</v>
      </c>
      <c r="F1398" s="2" t="s">
        <v>20</v>
      </c>
      <c r="G1398" s="2" t="s">
        <v>36</v>
      </c>
      <c r="H1398" s="2" t="s">
        <v>31</v>
      </c>
      <c r="I1398" s="2">
        <v>150000</v>
      </c>
      <c r="J1398" s="2">
        <v>7</v>
      </c>
      <c r="K1398" s="2" t="s">
        <v>37</v>
      </c>
      <c r="L1398" s="2">
        <f t="shared" si="5"/>
        <v>120000</v>
      </c>
    </row>
    <row r="1399" spans="1:12" ht="14.25" customHeight="1" x14ac:dyDescent="0.2">
      <c r="A1399" s="33">
        <v>47073</v>
      </c>
      <c r="B1399" s="33"/>
      <c r="C1399" s="2" t="s">
        <v>25</v>
      </c>
      <c r="D1399" s="2" t="s">
        <v>12</v>
      </c>
      <c r="E1399" s="2" t="s">
        <v>13</v>
      </c>
      <c r="F1399" s="2" t="s">
        <v>14</v>
      </c>
      <c r="G1399" s="2" t="s">
        <v>30</v>
      </c>
      <c r="H1399" s="2" t="s">
        <v>31</v>
      </c>
      <c r="I1399" s="2">
        <v>300000</v>
      </c>
      <c r="J1399" s="2">
        <v>9</v>
      </c>
      <c r="K1399" s="2" t="s">
        <v>17</v>
      </c>
      <c r="L1399" s="2">
        <f t="shared" si="5"/>
        <v>240000</v>
      </c>
    </row>
    <row r="1400" spans="1:12" ht="14.25" customHeight="1" x14ac:dyDescent="0.2">
      <c r="A1400" s="33">
        <v>47074</v>
      </c>
      <c r="B1400" s="33"/>
      <c r="C1400" s="2" t="s">
        <v>11</v>
      </c>
      <c r="D1400" s="2" t="s">
        <v>26</v>
      </c>
      <c r="E1400" s="2" t="s">
        <v>13</v>
      </c>
      <c r="F1400" s="2" t="s">
        <v>14</v>
      </c>
      <c r="G1400" s="2" t="s">
        <v>38</v>
      </c>
      <c r="H1400" s="2" t="s">
        <v>31</v>
      </c>
      <c r="I1400" s="2">
        <v>420000</v>
      </c>
      <c r="J1400" s="2">
        <v>5</v>
      </c>
      <c r="K1400" s="2" t="s">
        <v>28</v>
      </c>
      <c r="L1400" s="2">
        <f t="shared" si="5"/>
        <v>336000</v>
      </c>
    </row>
    <row r="1401" spans="1:12" ht="14.25" customHeight="1" x14ac:dyDescent="0.2">
      <c r="A1401" s="33">
        <v>47075</v>
      </c>
      <c r="B1401" s="33"/>
      <c r="C1401" s="2" t="s">
        <v>25</v>
      </c>
      <c r="D1401" s="2" t="s">
        <v>12</v>
      </c>
      <c r="E1401" s="2" t="s">
        <v>13</v>
      </c>
      <c r="F1401" s="2" t="s">
        <v>20</v>
      </c>
      <c r="G1401" s="2" t="s">
        <v>30</v>
      </c>
      <c r="H1401" s="2" t="s">
        <v>31</v>
      </c>
      <c r="I1401" s="2">
        <v>300000</v>
      </c>
      <c r="J1401" s="2">
        <v>3</v>
      </c>
      <c r="K1401" s="2" t="s">
        <v>28</v>
      </c>
      <c r="L1401" s="2">
        <f t="shared" si="5"/>
        <v>240000</v>
      </c>
    </row>
    <row r="1402" spans="1:12" ht="14.25" customHeight="1" x14ac:dyDescent="0.2">
      <c r="A1402" s="33">
        <v>47076</v>
      </c>
      <c r="B1402" s="33"/>
      <c r="C1402" s="2" t="s">
        <v>18</v>
      </c>
      <c r="D1402" s="2" t="s">
        <v>12</v>
      </c>
      <c r="E1402" s="2" t="s">
        <v>23</v>
      </c>
      <c r="F1402" s="2" t="s">
        <v>20</v>
      </c>
      <c r="G1402" s="2" t="s">
        <v>40</v>
      </c>
      <c r="H1402" s="2" t="s">
        <v>31</v>
      </c>
      <c r="I1402" s="2">
        <v>250000</v>
      </c>
      <c r="J1402" s="2">
        <v>5</v>
      </c>
      <c r="K1402" s="2" t="s">
        <v>17</v>
      </c>
      <c r="L1402" s="2">
        <f t="shared" si="5"/>
        <v>200000</v>
      </c>
    </row>
    <row r="1403" spans="1:12" ht="14.25" customHeight="1" x14ac:dyDescent="0.2">
      <c r="A1403" s="33">
        <v>47077</v>
      </c>
      <c r="B1403" s="33"/>
      <c r="C1403" s="2" t="s">
        <v>11</v>
      </c>
      <c r="D1403" s="2" t="s">
        <v>32</v>
      </c>
      <c r="E1403" s="2" t="s">
        <v>23</v>
      </c>
      <c r="F1403" s="2" t="s">
        <v>20</v>
      </c>
      <c r="G1403" s="2" t="s">
        <v>36</v>
      </c>
      <c r="H1403" s="2" t="s">
        <v>31</v>
      </c>
      <c r="I1403" s="2">
        <v>150000</v>
      </c>
      <c r="J1403" s="2">
        <v>2</v>
      </c>
      <c r="K1403" s="2" t="s">
        <v>35</v>
      </c>
      <c r="L1403" s="2">
        <f t="shared" si="5"/>
        <v>120000</v>
      </c>
    </row>
    <row r="1404" spans="1:12" ht="14.25" customHeight="1" x14ac:dyDescent="0.2">
      <c r="A1404" s="33">
        <v>47078</v>
      </c>
      <c r="B1404" s="33"/>
      <c r="C1404" s="2" t="s">
        <v>18</v>
      </c>
      <c r="D1404" s="2" t="s">
        <v>19</v>
      </c>
      <c r="E1404" s="2" t="s">
        <v>23</v>
      </c>
      <c r="F1404" s="2" t="s">
        <v>14</v>
      </c>
      <c r="G1404" s="2" t="s">
        <v>41</v>
      </c>
      <c r="H1404" s="2" t="s">
        <v>22</v>
      </c>
      <c r="I1404" s="2">
        <v>220000</v>
      </c>
      <c r="J1404" s="2">
        <v>3</v>
      </c>
      <c r="K1404" s="2" t="s">
        <v>39</v>
      </c>
      <c r="L1404" s="2">
        <f t="shared" si="5"/>
        <v>176000</v>
      </c>
    </row>
    <row r="1405" spans="1:12" ht="14.25" customHeight="1" x14ac:dyDescent="0.2">
      <c r="A1405" s="33">
        <v>47079</v>
      </c>
      <c r="B1405" s="33"/>
      <c r="C1405" s="2" t="s">
        <v>18</v>
      </c>
      <c r="D1405" s="2" t="s">
        <v>19</v>
      </c>
      <c r="E1405" s="2" t="s">
        <v>23</v>
      </c>
      <c r="F1405" s="2" t="s">
        <v>20</v>
      </c>
      <c r="G1405" s="2" t="s">
        <v>30</v>
      </c>
      <c r="H1405" s="2" t="s">
        <v>31</v>
      </c>
      <c r="I1405" s="2">
        <v>300000</v>
      </c>
      <c r="J1405" s="2">
        <v>6</v>
      </c>
      <c r="K1405" s="2" t="s">
        <v>24</v>
      </c>
      <c r="L1405" s="2">
        <f t="shared" si="5"/>
        <v>240000</v>
      </c>
    </row>
    <row r="1406" spans="1:12" ht="14.25" customHeight="1" x14ac:dyDescent="0.2">
      <c r="A1406" s="33">
        <v>47080</v>
      </c>
      <c r="B1406" s="33"/>
      <c r="C1406" s="2" t="s">
        <v>25</v>
      </c>
      <c r="D1406" s="2" t="s">
        <v>19</v>
      </c>
      <c r="E1406" s="2" t="s">
        <v>13</v>
      </c>
      <c r="F1406" s="2" t="s">
        <v>20</v>
      </c>
      <c r="G1406" s="2" t="s">
        <v>33</v>
      </c>
      <c r="H1406" s="2" t="s">
        <v>22</v>
      </c>
      <c r="I1406" s="2">
        <v>180000</v>
      </c>
      <c r="J1406" s="2">
        <v>2</v>
      </c>
      <c r="K1406" s="2" t="s">
        <v>39</v>
      </c>
      <c r="L1406" s="2">
        <f t="shared" si="5"/>
        <v>144000</v>
      </c>
    </row>
    <row r="1407" spans="1:12" ht="14.25" customHeight="1" x14ac:dyDescent="0.2">
      <c r="A1407" s="33">
        <v>47081</v>
      </c>
      <c r="B1407" s="33"/>
      <c r="C1407" s="2" t="s">
        <v>18</v>
      </c>
      <c r="D1407" s="2" t="s">
        <v>32</v>
      </c>
      <c r="E1407" s="2" t="s">
        <v>13</v>
      </c>
      <c r="F1407" s="2" t="s">
        <v>14</v>
      </c>
      <c r="G1407" s="2" t="s">
        <v>36</v>
      </c>
      <c r="H1407" s="2" t="s">
        <v>31</v>
      </c>
      <c r="I1407" s="2">
        <v>150000</v>
      </c>
      <c r="J1407" s="2">
        <v>5</v>
      </c>
      <c r="K1407" s="2" t="s">
        <v>37</v>
      </c>
      <c r="L1407" s="2">
        <f t="shared" si="5"/>
        <v>120000</v>
      </c>
    </row>
    <row r="1408" spans="1:12" ht="14.25" customHeight="1" x14ac:dyDescent="0.2">
      <c r="A1408" s="33">
        <v>47082</v>
      </c>
      <c r="B1408" s="33"/>
      <c r="C1408" s="2" t="s">
        <v>18</v>
      </c>
      <c r="D1408" s="2" t="s">
        <v>26</v>
      </c>
      <c r="E1408" s="2" t="s">
        <v>23</v>
      </c>
      <c r="F1408" s="2" t="s">
        <v>20</v>
      </c>
      <c r="G1408" s="2" t="s">
        <v>15</v>
      </c>
      <c r="H1408" s="2" t="s">
        <v>16</v>
      </c>
      <c r="I1408" s="2">
        <v>85000</v>
      </c>
      <c r="J1408" s="2">
        <v>1</v>
      </c>
      <c r="K1408" s="2" t="s">
        <v>37</v>
      </c>
      <c r="L1408" s="2">
        <f t="shared" si="5"/>
        <v>68000</v>
      </c>
    </row>
    <row r="1409" spans="1:12" ht="14.25" customHeight="1" x14ac:dyDescent="0.2">
      <c r="A1409" s="33">
        <v>47083</v>
      </c>
      <c r="B1409" s="33"/>
      <c r="C1409" s="2" t="s">
        <v>11</v>
      </c>
      <c r="D1409" s="2" t="s">
        <v>12</v>
      </c>
      <c r="E1409" s="2" t="s">
        <v>13</v>
      </c>
      <c r="F1409" s="2" t="s">
        <v>14</v>
      </c>
      <c r="G1409" s="2" t="s">
        <v>21</v>
      </c>
      <c r="H1409" s="2" t="s">
        <v>22</v>
      </c>
      <c r="I1409" s="2">
        <v>30000</v>
      </c>
      <c r="J1409" s="2">
        <v>1</v>
      </c>
      <c r="K1409" s="2" t="s">
        <v>35</v>
      </c>
      <c r="L1409" s="2">
        <f t="shared" si="5"/>
        <v>24000</v>
      </c>
    </row>
    <row r="1410" spans="1:12" ht="14.25" customHeight="1" x14ac:dyDescent="0.2">
      <c r="A1410" s="33">
        <v>47084</v>
      </c>
      <c r="B1410" s="33"/>
      <c r="C1410" s="2" t="s">
        <v>18</v>
      </c>
      <c r="D1410" s="2" t="s">
        <v>19</v>
      </c>
      <c r="E1410" s="2" t="s">
        <v>13</v>
      </c>
      <c r="F1410" s="2" t="s">
        <v>20</v>
      </c>
      <c r="G1410" s="2" t="s">
        <v>15</v>
      </c>
      <c r="H1410" s="2" t="s">
        <v>16</v>
      </c>
      <c r="I1410" s="2">
        <v>85000</v>
      </c>
      <c r="J1410" s="2">
        <v>1</v>
      </c>
      <c r="K1410" s="2" t="s">
        <v>37</v>
      </c>
      <c r="L1410" s="2">
        <f t="shared" si="5"/>
        <v>68000</v>
      </c>
    </row>
    <row r="1411" spans="1:12" ht="14.25" customHeight="1" x14ac:dyDescent="0.2">
      <c r="A1411" s="33">
        <v>47085</v>
      </c>
      <c r="B1411" s="33"/>
      <c r="C1411" s="2" t="s">
        <v>25</v>
      </c>
      <c r="D1411" s="2" t="s">
        <v>19</v>
      </c>
      <c r="E1411" s="2" t="s">
        <v>13</v>
      </c>
      <c r="F1411" s="2" t="s">
        <v>20</v>
      </c>
      <c r="G1411" s="2" t="s">
        <v>21</v>
      </c>
      <c r="H1411" s="2" t="s">
        <v>22</v>
      </c>
      <c r="I1411" s="2">
        <v>30000</v>
      </c>
      <c r="J1411" s="2">
        <v>2</v>
      </c>
      <c r="K1411" s="2" t="s">
        <v>37</v>
      </c>
      <c r="L1411" s="2">
        <f t="shared" si="5"/>
        <v>24000</v>
      </c>
    </row>
    <row r="1412" spans="1:12" ht="14.25" customHeight="1" x14ac:dyDescent="0.2">
      <c r="A1412" s="33">
        <v>47086</v>
      </c>
      <c r="B1412" s="33"/>
      <c r="C1412" s="2" t="s">
        <v>18</v>
      </c>
      <c r="D1412" s="2" t="s">
        <v>12</v>
      </c>
      <c r="E1412" s="2" t="s">
        <v>13</v>
      </c>
      <c r="F1412" s="2" t="s">
        <v>20</v>
      </c>
      <c r="G1412" s="2" t="s">
        <v>38</v>
      </c>
      <c r="H1412" s="2" t="s">
        <v>31</v>
      </c>
      <c r="I1412" s="2">
        <v>420000</v>
      </c>
      <c r="J1412" s="2">
        <v>3</v>
      </c>
      <c r="K1412" s="2" t="s">
        <v>17</v>
      </c>
      <c r="L1412" s="2">
        <f t="shared" si="5"/>
        <v>336000</v>
      </c>
    </row>
    <row r="1413" spans="1:12" ht="14.25" customHeight="1" x14ac:dyDescent="0.2">
      <c r="A1413" s="33">
        <v>47087</v>
      </c>
      <c r="B1413" s="33"/>
      <c r="C1413" s="2" t="s">
        <v>11</v>
      </c>
      <c r="D1413" s="2" t="s">
        <v>19</v>
      </c>
      <c r="E1413" s="2" t="s">
        <v>13</v>
      </c>
      <c r="F1413" s="2" t="s">
        <v>20</v>
      </c>
      <c r="G1413" s="2" t="s">
        <v>21</v>
      </c>
      <c r="H1413" s="2" t="s">
        <v>22</v>
      </c>
      <c r="I1413" s="2">
        <v>30000</v>
      </c>
      <c r="J1413" s="2">
        <v>2</v>
      </c>
      <c r="K1413" s="2" t="s">
        <v>35</v>
      </c>
      <c r="L1413" s="2">
        <f t="shared" si="5"/>
        <v>24000</v>
      </c>
    </row>
    <row r="1414" spans="1:12" ht="14.25" customHeight="1" x14ac:dyDescent="0.2">
      <c r="A1414" s="33">
        <v>47088</v>
      </c>
      <c r="B1414" s="33"/>
      <c r="C1414" s="2" t="s">
        <v>25</v>
      </c>
      <c r="D1414" s="2" t="s">
        <v>32</v>
      </c>
      <c r="E1414" s="2" t="s">
        <v>13</v>
      </c>
      <c r="F1414" s="2" t="s">
        <v>20</v>
      </c>
      <c r="G1414" s="2" t="s">
        <v>30</v>
      </c>
      <c r="H1414" s="2" t="s">
        <v>31</v>
      </c>
      <c r="I1414" s="2">
        <v>300000</v>
      </c>
      <c r="J1414" s="2">
        <v>9</v>
      </c>
      <c r="K1414" s="2" t="s">
        <v>28</v>
      </c>
      <c r="L1414" s="2">
        <f t="shared" si="5"/>
        <v>240000</v>
      </c>
    </row>
    <row r="1415" spans="1:12" ht="14.25" customHeight="1" x14ac:dyDescent="0.2">
      <c r="A1415" s="33">
        <v>47089</v>
      </c>
      <c r="B1415" s="33"/>
      <c r="C1415" s="2" t="s">
        <v>18</v>
      </c>
      <c r="D1415" s="2" t="s">
        <v>26</v>
      </c>
      <c r="E1415" s="2" t="s">
        <v>23</v>
      </c>
      <c r="F1415" s="2" t="s">
        <v>20</v>
      </c>
      <c r="G1415" s="2" t="s">
        <v>36</v>
      </c>
      <c r="H1415" s="2" t="s">
        <v>31</v>
      </c>
      <c r="I1415" s="2">
        <v>150000</v>
      </c>
      <c r="J1415" s="2">
        <v>4</v>
      </c>
      <c r="K1415" s="2" t="s">
        <v>35</v>
      </c>
      <c r="L1415" s="2">
        <f t="shared" si="5"/>
        <v>120000</v>
      </c>
    </row>
    <row r="1416" spans="1:12" ht="14.25" customHeight="1" x14ac:dyDescent="0.2">
      <c r="A1416" s="33">
        <v>47090</v>
      </c>
      <c r="B1416" s="33"/>
      <c r="C1416" s="2" t="s">
        <v>18</v>
      </c>
      <c r="D1416" s="2" t="s">
        <v>12</v>
      </c>
      <c r="E1416" s="2" t="s">
        <v>13</v>
      </c>
      <c r="F1416" s="2" t="s">
        <v>20</v>
      </c>
      <c r="G1416" s="2" t="s">
        <v>41</v>
      </c>
      <c r="H1416" s="2" t="s">
        <v>22</v>
      </c>
      <c r="I1416" s="2">
        <v>220000</v>
      </c>
      <c r="J1416" s="2">
        <v>2</v>
      </c>
      <c r="K1416" s="2" t="s">
        <v>39</v>
      </c>
      <c r="L1416" s="2">
        <f t="shared" si="5"/>
        <v>176000</v>
      </c>
    </row>
    <row r="1417" spans="1:12" ht="14.25" customHeight="1" x14ac:dyDescent="0.2">
      <c r="A1417" s="33">
        <v>47091</v>
      </c>
      <c r="B1417" s="33"/>
      <c r="C1417" s="2" t="s">
        <v>25</v>
      </c>
      <c r="D1417" s="2" t="s">
        <v>19</v>
      </c>
      <c r="E1417" s="2" t="s">
        <v>13</v>
      </c>
      <c r="F1417" s="2" t="s">
        <v>20</v>
      </c>
      <c r="G1417" s="2" t="s">
        <v>15</v>
      </c>
      <c r="H1417" s="2" t="s">
        <v>16</v>
      </c>
      <c r="I1417" s="2">
        <v>85000</v>
      </c>
      <c r="J1417" s="2">
        <v>6</v>
      </c>
      <c r="K1417" s="2" t="s">
        <v>17</v>
      </c>
      <c r="L1417" s="2">
        <f t="shared" si="5"/>
        <v>68000</v>
      </c>
    </row>
    <row r="1418" spans="1:12" ht="14.25" customHeight="1" x14ac:dyDescent="0.2">
      <c r="A1418" s="33">
        <v>47092</v>
      </c>
      <c r="B1418" s="33"/>
      <c r="C1418" s="2" t="s">
        <v>11</v>
      </c>
      <c r="D1418" s="2" t="s">
        <v>19</v>
      </c>
      <c r="E1418" s="2" t="s">
        <v>13</v>
      </c>
      <c r="F1418" s="2" t="s">
        <v>20</v>
      </c>
      <c r="G1418" s="2" t="s">
        <v>30</v>
      </c>
      <c r="H1418" s="2" t="s">
        <v>31</v>
      </c>
      <c r="I1418" s="2">
        <v>300000</v>
      </c>
      <c r="J1418" s="2">
        <v>8</v>
      </c>
      <c r="K1418" s="2" t="s">
        <v>17</v>
      </c>
      <c r="L1418" s="2">
        <f t="shared" si="5"/>
        <v>240000</v>
      </c>
    </row>
    <row r="1419" spans="1:12" ht="14.25" customHeight="1" x14ac:dyDescent="0.2">
      <c r="A1419" s="33">
        <v>47093</v>
      </c>
      <c r="B1419" s="33"/>
      <c r="C1419" s="2" t="s">
        <v>25</v>
      </c>
      <c r="D1419" s="2" t="s">
        <v>26</v>
      </c>
      <c r="E1419" s="2" t="s">
        <v>23</v>
      </c>
      <c r="F1419" s="2" t="s">
        <v>20</v>
      </c>
      <c r="G1419" s="2" t="s">
        <v>38</v>
      </c>
      <c r="H1419" s="2" t="s">
        <v>31</v>
      </c>
      <c r="I1419" s="2">
        <v>420000</v>
      </c>
      <c r="J1419" s="2">
        <v>2</v>
      </c>
      <c r="K1419" s="2" t="s">
        <v>35</v>
      </c>
      <c r="L1419" s="2">
        <f t="shared" si="5"/>
        <v>336000</v>
      </c>
    </row>
    <row r="1420" spans="1:12" ht="14.25" customHeight="1" x14ac:dyDescent="0.2">
      <c r="A1420" s="33">
        <v>47094</v>
      </c>
      <c r="B1420" s="33"/>
      <c r="C1420" s="2" t="s">
        <v>18</v>
      </c>
      <c r="D1420" s="2" t="s">
        <v>26</v>
      </c>
      <c r="E1420" s="2" t="s">
        <v>13</v>
      </c>
      <c r="F1420" s="2" t="s">
        <v>20</v>
      </c>
      <c r="G1420" s="2" t="s">
        <v>41</v>
      </c>
      <c r="H1420" s="2" t="s">
        <v>22</v>
      </c>
      <c r="I1420" s="2">
        <v>220000</v>
      </c>
      <c r="J1420" s="2">
        <v>3</v>
      </c>
      <c r="K1420" s="2" t="s">
        <v>24</v>
      </c>
      <c r="L1420" s="2">
        <f t="shared" si="5"/>
        <v>176000</v>
      </c>
    </row>
    <row r="1421" spans="1:12" ht="14.25" customHeight="1" x14ac:dyDescent="0.2">
      <c r="A1421" s="33">
        <v>47095</v>
      </c>
      <c r="B1421" s="33"/>
      <c r="C1421" s="2" t="s">
        <v>18</v>
      </c>
      <c r="D1421" s="2" t="s">
        <v>19</v>
      </c>
      <c r="E1421" s="2" t="s">
        <v>13</v>
      </c>
      <c r="F1421" s="2" t="s">
        <v>20</v>
      </c>
      <c r="G1421" s="2" t="s">
        <v>38</v>
      </c>
      <c r="H1421" s="2" t="s">
        <v>31</v>
      </c>
      <c r="I1421" s="2">
        <v>420000</v>
      </c>
      <c r="J1421" s="2">
        <v>10</v>
      </c>
      <c r="K1421" s="2" t="s">
        <v>17</v>
      </c>
      <c r="L1421" s="2">
        <f t="shared" si="5"/>
        <v>336000</v>
      </c>
    </row>
    <row r="1422" spans="1:12" ht="14.25" customHeight="1" x14ac:dyDescent="0.2">
      <c r="A1422" s="33">
        <v>47096</v>
      </c>
      <c r="B1422" s="33"/>
      <c r="C1422" s="2" t="s">
        <v>29</v>
      </c>
      <c r="D1422" s="2" t="s">
        <v>19</v>
      </c>
      <c r="E1422" s="2" t="s">
        <v>13</v>
      </c>
      <c r="F1422" s="2" t="s">
        <v>20</v>
      </c>
      <c r="G1422" s="2" t="s">
        <v>30</v>
      </c>
      <c r="H1422" s="2" t="s">
        <v>31</v>
      </c>
      <c r="I1422" s="2">
        <v>300000</v>
      </c>
      <c r="J1422" s="2">
        <v>7</v>
      </c>
      <c r="K1422" s="2" t="s">
        <v>24</v>
      </c>
      <c r="L1422" s="2">
        <f t="shared" si="5"/>
        <v>240000</v>
      </c>
    </row>
    <row r="1423" spans="1:12" ht="14.25" customHeight="1" x14ac:dyDescent="0.2">
      <c r="A1423" s="33">
        <v>47097</v>
      </c>
      <c r="B1423" s="33"/>
      <c r="C1423" s="2" t="s">
        <v>18</v>
      </c>
      <c r="D1423" s="2" t="s">
        <v>26</v>
      </c>
      <c r="E1423" s="2" t="s">
        <v>13</v>
      </c>
      <c r="F1423" s="2" t="s">
        <v>20</v>
      </c>
      <c r="G1423" s="2" t="s">
        <v>21</v>
      </c>
      <c r="H1423" s="2" t="s">
        <v>22</v>
      </c>
      <c r="I1423" s="2">
        <v>30000</v>
      </c>
      <c r="J1423" s="2">
        <v>1</v>
      </c>
      <c r="K1423" s="2" t="s">
        <v>28</v>
      </c>
      <c r="L1423" s="2">
        <f t="shared" si="5"/>
        <v>24000</v>
      </c>
    </row>
    <row r="1424" spans="1:12" ht="14.25" customHeight="1" x14ac:dyDescent="0.2">
      <c r="A1424" s="33">
        <v>47098</v>
      </c>
      <c r="B1424" s="33"/>
      <c r="C1424" s="2" t="s">
        <v>18</v>
      </c>
      <c r="D1424" s="2" t="s">
        <v>19</v>
      </c>
      <c r="E1424" s="2" t="s">
        <v>23</v>
      </c>
      <c r="F1424" s="2" t="s">
        <v>20</v>
      </c>
      <c r="G1424" s="2" t="s">
        <v>21</v>
      </c>
      <c r="H1424" s="2" t="s">
        <v>22</v>
      </c>
      <c r="I1424" s="2">
        <v>30000</v>
      </c>
      <c r="J1424" s="2">
        <v>7</v>
      </c>
      <c r="K1424" s="2" t="s">
        <v>17</v>
      </c>
      <c r="L1424" s="2">
        <f t="shared" si="5"/>
        <v>24000</v>
      </c>
    </row>
    <row r="1425" spans="1:12" ht="14.25" customHeight="1" x14ac:dyDescent="0.2">
      <c r="A1425" s="33">
        <v>47099</v>
      </c>
      <c r="B1425" s="33"/>
      <c r="C1425" s="2" t="s">
        <v>29</v>
      </c>
      <c r="D1425" s="2" t="s">
        <v>32</v>
      </c>
      <c r="E1425" s="2" t="s">
        <v>23</v>
      </c>
      <c r="F1425" s="2" t="s">
        <v>20</v>
      </c>
      <c r="G1425" s="2" t="s">
        <v>15</v>
      </c>
      <c r="H1425" s="2" t="s">
        <v>16</v>
      </c>
      <c r="I1425" s="2">
        <v>85000</v>
      </c>
      <c r="J1425" s="2">
        <v>8</v>
      </c>
      <c r="K1425" s="2" t="s">
        <v>35</v>
      </c>
      <c r="L1425" s="2">
        <f t="shared" si="5"/>
        <v>68000</v>
      </c>
    </row>
    <row r="1426" spans="1:12" ht="14.25" customHeight="1" x14ac:dyDescent="0.2">
      <c r="A1426" s="33">
        <v>47100</v>
      </c>
      <c r="B1426" s="33"/>
      <c r="C1426" s="2" t="s">
        <v>18</v>
      </c>
      <c r="D1426" s="2" t="s">
        <v>19</v>
      </c>
      <c r="E1426" s="2" t="s">
        <v>13</v>
      </c>
      <c r="F1426" s="2" t="s">
        <v>20</v>
      </c>
      <c r="G1426" s="2" t="s">
        <v>40</v>
      </c>
      <c r="H1426" s="2" t="s">
        <v>31</v>
      </c>
      <c r="I1426" s="2">
        <v>250000</v>
      </c>
      <c r="J1426" s="2">
        <v>10</v>
      </c>
      <c r="K1426" s="2" t="s">
        <v>24</v>
      </c>
      <c r="L1426" s="2">
        <f t="shared" si="5"/>
        <v>200000</v>
      </c>
    </row>
    <row r="1427" spans="1:12" ht="14.25" customHeight="1" x14ac:dyDescent="0.2">
      <c r="A1427" s="33">
        <v>47101</v>
      </c>
      <c r="B1427" s="33"/>
      <c r="C1427" s="2" t="s">
        <v>11</v>
      </c>
      <c r="D1427" s="2" t="s">
        <v>19</v>
      </c>
      <c r="E1427" s="2" t="s">
        <v>13</v>
      </c>
      <c r="F1427" s="2" t="s">
        <v>20</v>
      </c>
      <c r="G1427" s="2" t="s">
        <v>15</v>
      </c>
      <c r="H1427" s="2" t="s">
        <v>16</v>
      </c>
      <c r="I1427" s="2">
        <v>85000</v>
      </c>
      <c r="J1427" s="2">
        <v>4</v>
      </c>
      <c r="K1427" s="2" t="s">
        <v>39</v>
      </c>
      <c r="L1427" s="2">
        <f t="shared" si="5"/>
        <v>68000</v>
      </c>
    </row>
    <row r="1428" spans="1:12" ht="14.25" customHeight="1" x14ac:dyDescent="0.2">
      <c r="A1428" s="33">
        <v>47102</v>
      </c>
      <c r="B1428" s="33"/>
      <c r="C1428" s="2" t="s">
        <v>11</v>
      </c>
      <c r="D1428" s="2" t="s">
        <v>32</v>
      </c>
      <c r="E1428" s="2" t="s">
        <v>13</v>
      </c>
      <c r="F1428" s="2" t="s">
        <v>20</v>
      </c>
      <c r="G1428" s="2" t="s">
        <v>40</v>
      </c>
      <c r="H1428" s="2" t="s">
        <v>31</v>
      </c>
      <c r="I1428" s="2">
        <v>250000</v>
      </c>
      <c r="J1428" s="2">
        <v>6</v>
      </c>
      <c r="K1428" s="2" t="s">
        <v>39</v>
      </c>
      <c r="L1428" s="2">
        <f t="shared" si="5"/>
        <v>200000</v>
      </c>
    </row>
    <row r="1429" spans="1:12" ht="14.25" customHeight="1" x14ac:dyDescent="0.2">
      <c r="A1429" s="33">
        <v>47103</v>
      </c>
      <c r="B1429" s="33"/>
      <c r="C1429" s="2" t="s">
        <v>18</v>
      </c>
      <c r="D1429" s="2" t="s">
        <v>32</v>
      </c>
      <c r="E1429" s="2" t="s">
        <v>23</v>
      </c>
      <c r="F1429" s="2" t="s">
        <v>20</v>
      </c>
      <c r="G1429" s="2" t="s">
        <v>34</v>
      </c>
      <c r="H1429" s="2" t="s">
        <v>16</v>
      </c>
      <c r="I1429" s="2">
        <v>320000</v>
      </c>
      <c r="J1429" s="2">
        <v>7</v>
      </c>
      <c r="K1429" s="2" t="s">
        <v>37</v>
      </c>
      <c r="L1429" s="2">
        <f t="shared" si="5"/>
        <v>256000</v>
      </c>
    </row>
    <row r="1430" spans="1:12" ht="14.25" customHeight="1" x14ac:dyDescent="0.2">
      <c r="A1430" s="33">
        <v>47104</v>
      </c>
      <c r="B1430" s="33"/>
      <c r="C1430" s="2" t="s">
        <v>18</v>
      </c>
      <c r="D1430" s="2" t="s">
        <v>32</v>
      </c>
      <c r="E1430" s="2" t="s">
        <v>23</v>
      </c>
      <c r="F1430" s="2" t="s">
        <v>20</v>
      </c>
      <c r="G1430" s="2" t="s">
        <v>33</v>
      </c>
      <c r="H1430" s="2" t="s">
        <v>22</v>
      </c>
      <c r="I1430" s="2">
        <v>180000</v>
      </c>
      <c r="J1430" s="2">
        <v>2</v>
      </c>
      <c r="K1430" s="2" t="s">
        <v>17</v>
      </c>
      <c r="L1430" s="2">
        <f t="shared" si="5"/>
        <v>144000</v>
      </c>
    </row>
    <row r="1431" spans="1:12" ht="14.25" customHeight="1" x14ac:dyDescent="0.2">
      <c r="A1431" s="33">
        <v>47105</v>
      </c>
      <c r="B1431" s="33"/>
      <c r="C1431" s="2" t="s">
        <v>29</v>
      </c>
      <c r="D1431" s="2" t="s">
        <v>32</v>
      </c>
      <c r="E1431" s="2" t="s">
        <v>23</v>
      </c>
      <c r="F1431" s="2" t="s">
        <v>20</v>
      </c>
      <c r="G1431" s="2" t="s">
        <v>41</v>
      </c>
      <c r="H1431" s="2" t="s">
        <v>22</v>
      </c>
      <c r="I1431" s="2">
        <v>220000</v>
      </c>
      <c r="J1431" s="2">
        <v>2</v>
      </c>
      <c r="K1431" s="2" t="s">
        <v>39</v>
      </c>
      <c r="L1431" s="2">
        <f t="shared" si="5"/>
        <v>176000</v>
      </c>
    </row>
    <row r="1432" spans="1:12" ht="14.25" customHeight="1" x14ac:dyDescent="0.2">
      <c r="A1432" s="33">
        <v>47106</v>
      </c>
      <c r="B1432" s="33"/>
      <c r="C1432" s="2" t="s">
        <v>29</v>
      </c>
      <c r="D1432" s="2" t="s">
        <v>26</v>
      </c>
      <c r="E1432" s="2" t="s">
        <v>23</v>
      </c>
      <c r="F1432" s="2" t="s">
        <v>20</v>
      </c>
      <c r="G1432" s="2" t="s">
        <v>33</v>
      </c>
      <c r="H1432" s="2" t="s">
        <v>22</v>
      </c>
      <c r="I1432" s="2">
        <v>180000</v>
      </c>
      <c r="J1432" s="2">
        <v>6</v>
      </c>
      <c r="K1432" s="2" t="s">
        <v>24</v>
      </c>
      <c r="L1432" s="2">
        <f t="shared" si="5"/>
        <v>144000</v>
      </c>
    </row>
    <row r="1433" spans="1:12" ht="14.25" customHeight="1" x14ac:dyDescent="0.2">
      <c r="A1433" s="33">
        <v>47107</v>
      </c>
      <c r="B1433" s="33"/>
      <c r="C1433" s="2" t="s">
        <v>11</v>
      </c>
      <c r="D1433" s="2" t="s">
        <v>32</v>
      </c>
      <c r="E1433" s="2" t="s">
        <v>13</v>
      </c>
      <c r="F1433" s="2" t="s">
        <v>20</v>
      </c>
      <c r="G1433" s="2" t="s">
        <v>33</v>
      </c>
      <c r="H1433" s="2" t="s">
        <v>22</v>
      </c>
      <c r="I1433" s="2">
        <v>180000</v>
      </c>
      <c r="J1433" s="2">
        <v>3</v>
      </c>
      <c r="K1433" s="2" t="s">
        <v>24</v>
      </c>
      <c r="L1433" s="2">
        <f t="shared" si="5"/>
        <v>144000</v>
      </c>
    </row>
    <row r="1434" spans="1:12" ht="14.25" customHeight="1" x14ac:dyDescent="0.2">
      <c r="A1434" s="33">
        <v>47108</v>
      </c>
      <c r="B1434" s="33"/>
      <c r="C1434" s="2" t="s">
        <v>11</v>
      </c>
      <c r="D1434" s="2" t="s">
        <v>26</v>
      </c>
      <c r="E1434" s="2" t="s">
        <v>13</v>
      </c>
      <c r="F1434" s="2" t="s">
        <v>20</v>
      </c>
      <c r="G1434" s="2" t="s">
        <v>27</v>
      </c>
      <c r="H1434" s="2" t="s">
        <v>22</v>
      </c>
      <c r="I1434" s="2">
        <v>60000</v>
      </c>
      <c r="J1434" s="2">
        <v>2</v>
      </c>
      <c r="K1434" s="2" t="s">
        <v>24</v>
      </c>
      <c r="L1434" s="2">
        <f t="shared" si="5"/>
        <v>48000</v>
      </c>
    </row>
    <row r="1435" spans="1:12" ht="14.25" customHeight="1" x14ac:dyDescent="0.2">
      <c r="A1435" s="33">
        <v>47109</v>
      </c>
      <c r="B1435" s="33"/>
      <c r="C1435" s="2" t="s">
        <v>29</v>
      </c>
      <c r="D1435" s="2" t="s">
        <v>32</v>
      </c>
      <c r="E1435" s="2" t="s">
        <v>23</v>
      </c>
      <c r="F1435" s="2" t="s">
        <v>20</v>
      </c>
      <c r="G1435" s="2" t="s">
        <v>30</v>
      </c>
      <c r="H1435" s="2" t="s">
        <v>31</v>
      </c>
      <c r="I1435" s="2">
        <v>300000</v>
      </c>
      <c r="J1435" s="2">
        <v>1</v>
      </c>
      <c r="K1435" s="2" t="s">
        <v>37</v>
      </c>
      <c r="L1435" s="2">
        <f t="shared" si="5"/>
        <v>240000</v>
      </c>
    </row>
    <row r="1436" spans="1:12" ht="14.25" customHeight="1" x14ac:dyDescent="0.2">
      <c r="A1436" s="33">
        <v>47110</v>
      </c>
      <c r="B1436" s="33"/>
      <c r="C1436" s="2" t="s">
        <v>25</v>
      </c>
      <c r="D1436" s="2" t="s">
        <v>26</v>
      </c>
      <c r="E1436" s="2" t="s">
        <v>23</v>
      </c>
      <c r="F1436" s="2" t="s">
        <v>20</v>
      </c>
      <c r="G1436" s="2" t="s">
        <v>38</v>
      </c>
      <c r="H1436" s="2" t="s">
        <v>31</v>
      </c>
      <c r="I1436" s="2">
        <v>420000</v>
      </c>
      <c r="J1436" s="2">
        <v>2</v>
      </c>
      <c r="K1436" s="2" t="s">
        <v>24</v>
      </c>
      <c r="L1436" s="2">
        <f t="shared" si="5"/>
        <v>336000</v>
      </c>
    </row>
    <row r="1437" spans="1:12" ht="14.25" customHeight="1" x14ac:dyDescent="0.2">
      <c r="A1437" s="33">
        <v>47111</v>
      </c>
      <c r="B1437" s="33"/>
      <c r="C1437" s="2" t="s">
        <v>11</v>
      </c>
      <c r="D1437" s="2" t="s">
        <v>19</v>
      </c>
      <c r="E1437" s="2" t="s">
        <v>13</v>
      </c>
      <c r="F1437" s="2" t="s">
        <v>20</v>
      </c>
      <c r="G1437" s="2" t="s">
        <v>40</v>
      </c>
      <c r="H1437" s="2" t="s">
        <v>31</v>
      </c>
      <c r="I1437" s="2">
        <v>250000</v>
      </c>
      <c r="J1437" s="2">
        <v>9</v>
      </c>
      <c r="K1437" s="2" t="s">
        <v>24</v>
      </c>
      <c r="L1437" s="2">
        <f t="shared" si="5"/>
        <v>200000</v>
      </c>
    </row>
    <row r="1438" spans="1:12" ht="14.25" customHeight="1" x14ac:dyDescent="0.2">
      <c r="A1438" s="33">
        <v>47112</v>
      </c>
      <c r="B1438" s="33"/>
      <c r="C1438" s="2" t="s">
        <v>25</v>
      </c>
      <c r="D1438" s="2" t="s">
        <v>12</v>
      </c>
      <c r="E1438" s="2" t="s">
        <v>23</v>
      </c>
      <c r="F1438" s="2" t="s">
        <v>20</v>
      </c>
      <c r="G1438" s="2" t="s">
        <v>33</v>
      </c>
      <c r="H1438" s="2" t="s">
        <v>22</v>
      </c>
      <c r="I1438" s="2">
        <v>180000</v>
      </c>
      <c r="J1438" s="2">
        <v>5</v>
      </c>
      <c r="K1438" s="2" t="s">
        <v>37</v>
      </c>
      <c r="L1438" s="2">
        <f t="shared" si="5"/>
        <v>144000</v>
      </c>
    </row>
    <row r="1439" spans="1:12" ht="14.25" customHeight="1" x14ac:dyDescent="0.2">
      <c r="A1439" s="33">
        <v>47113</v>
      </c>
      <c r="B1439" s="33"/>
      <c r="C1439" s="2" t="s">
        <v>25</v>
      </c>
      <c r="D1439" s="2" t="s">
        <v>19</v>
      </c>
      <c r="E1439" s="2" t="s">
        <v>23</v>
      </c>
      <c r="F1439" s="2" t="s">
        <v>20</v>
      </c>
      <c r="G1439" s="2" t="s">
        <v>36</v>
      </c>
      <c r="H1439" s="2" t="s">
        <v>31</v>
      </c>
      <c r="I1439" s="2">
        <v>150000</v>
      </c>
      <c r="J1439" s="2">
        <v>5</v>
      </c>
      <c r="K1439" s="2" t="s">
        <v>35</v>
      </c>
      <c r="L1439" s="2">
        <f t="shared" si="5"/>
        <v>120000</v>
      </c>
    </row>
    <row r="1440" spans="1:12" ht="14.25" customHeight="1" x14ac:dyDescent="0.2">
      <c r="A1440" s="33">
        <v>47114</v>
      </c>
      <c r="B1440" s="33"/>
      <c r="C1440" s="2" t="s">
        <v>11</v>
      </c>
      <c r="D1440" s="2" t="s">
        <v>32</v>
      </c>
      <c r="E1440" s="2" t="s">
        <v>13</v>
      </c>
      <c r="F1440" s="2" t="s">
        <v>20</v>
      </c>
      <c r="G1440" s="2" t="s">
        <v>34</v>
      </c>
      <c r="H1440" s="2" t="s">
        <v>16</v>
      </c>
      <c r="I1440" s="2">
        <v>320000</v>
      </c>
      <c r="J1440" s="2">
        <v>4</v>
      </c>
      <c r="K1440" s="2" t="s">
        <v>39</v>
      </c>
      <c r="L1440" s="2">
        <f t="shared" si="5"/>
        <v>256000</v>
      </c>
    </row>
    <row r="1441" spans="1:12" ht="14.25" customHeight="1" x14ac:dyDescent="0.2">
      <c r="A1441" s="33">
        <v>47115</v>
      </c>
      <c r="B1441" s="33"/>
      <c r="C1441" s="2" t="s">
        <v>25</v>
      </c>
      <c r="D1441" s="2" t="s">
        <v>26</v>
      </c>
      <c r="E1441" s="2" t="s">
        <v>13</v>
      </c>
      <c r="F1441" s="2" t="s">
        <v>20</v>
      </c>
      <c r="G1441" s="2" t="s">
        <v>33</v>
      </c>
      <c r="H1441" s="2" t="s">
        <v>22</v>
      </c>
      <c r="I1441" s="2">
        <v>180000</v>
      </c>
      <c r="J1441" s="2">
        <v>10</v>
      </c>
      <c r="K1441" s="2" t="s">
        <v>35</v>
      </c>
      <c r="L1441" s="2">
        <f t="shared" si="5"/>
        <v>144000</v>
      </c>
    </row>
    <row r="1442" spans="1:12" ht="14.25" customHeight="1" x14ac:dyDescent="0.2">
      <c r="A1442" s="33">
        <v>47116</v>
      </c>
      <c r="B1442" s="33"/>
      <c r="C1442" s="2" t="s">
        <v>29</v>
      </c>
      <c r="D1442" s="2" t="s">
        <v>12</v>
      </c>
      <c r="E1442" s="2" t="s">
        <v>23</v>
      </c>
      <c r="F1442" s="2" t="s">
        <v>20</v>
      </c>
      <c r="G1442" s="2" t="s">
        <v>38</v>
      </c>
      <c r="H1442" s="2" t="s">
        <v>31</v>
      </c>
      <c r="I1442" s="2">
        <v>420000</v>
      </c>
      <c r="J1442" s="2">
        <v>2</v>
      </c>
      <c r="K1442" s="2" t="s">
        <v>37</v>
      </c>
      <c r="L1442" s="2">
        <f t="shared" si="5"/>
        <v>336000</v>
      </c>
    </row>
    <row r="1443" spans="1:12" ht="14.25" customHeight="1" x14ac:dyDescent="0.2">
      <c r="A1443" s="33">
        <v>47117</v>
      </c>
      <c r="B1443" s="33"/>
      <c r="C1443" s="2" t="s">
        <v>25</v>
      </c>
      <c r="D1443" s="2" t="s">
        <v>12</v>
      </c>
      <c r="E1443" s="2" t="s">
        <v>23</v>
      </c>
      <c r="F1443" s="2" t="s">
        <v>20</v>
      </c>
      <c r="G1443" s="2" t="s">
        <v>36</v>
      </c>
      <c r="H1443" s="2" t="s">
        <v>31</v>
      </c>
      <c r="I1443" s="2">
        <v>150000</v>
      </c>
      <c r="J1443" s="2">
        <v>6</v>
      </c>
      <c r="K1443" s="2" t="s">
        <v>37</v>
      </c>
      <c r="L1443" s="2">
        <f t="shared" si="5"/>
        <v>120000</v>
      </c>
    </row>
    <row r="1444" spans="1:12" ht="14.25" customHeight="1" x14ac:dyDescent="0.2">
      <c r="A1444" s="33">
        <v>47118</v>
      </c>
      <c r="B1444" s="33"/>
      <c r="C1444" s="2" t="s">
        <v>11</v>
      </c>
      <c r="D1444" s="2" t="s">
        <v>19</v>
      </c>
      <c r="E1444" s="2" t="s">
        <v>23</v>
      </c>
      <c r="F1444" s="2" t="s">
        <v>20</v>
      </c>
      <c r="G1444" s="2" t="s">
        <v>36</v>
      </c>
      <c r="H1444" s="2" t="s">
        <v>31</v>
      </c>
      <c r="I1444" s="2">
        <v>150000</v>
      </c>
      <c r="J1444" s="2">
        <v>4</v>
      </c>
      <c r="K1444" s="2" t="s">
        <v>24</v>
      </c>
      <c r="L1444" s="2">
        <f t="shared" si="5"/>
        <v>120000</v>
      </c>
    </row>
    <row r="1445" spans="1:12" ht="14.25" customHeight="1" x14ac:dyDescent="0.2">
      <c r="A1445" s="33">
        <v>47119</v>
      </c>
      <c r="B1445" s="33"/>
      <c r="C1445" s="2" t="s">
        <v>18</v>
      </c>
      <c r="D1445" s="2" t="s">
        <v>12</v>
      </c>
      <c r="E1445" s="2" t="s">
        <v>23</v>
      </c>
      <c r="F1445" s="2" t="s">
        <v>20</v>
      </c>
      <c r="G1445" s="2" t="s">
        <v>40</v>
      </c>
      <c r="H1445" s="2" t="s">
        <v>31</v>
      </c>
      <c r="I1445" s="2">
        <v>250000</v>
      </c>
      <c r="J1445" s="2">
        <v>9</v>
      </c>
      <c r="K1445" s="2" t="s">
        <v>37</v>
      </c>
      <c r="L1445" s="2">
        <f t="shared" si="5"/>
        <v>200000</v>
      </c>
    </row>
    <row r="1446" spans="1:12" ht="14.25" customHeight="1" x14ac:dyDescent="0.2">
      <c r="A1446" s="33">
        <v>47120</v>
      </c>
      <c r="B1446" s="33"/>
      <c r="C1446" s="2" t="s">
        <v>25</v>
      </c>
      <c r="D1446" s="2" t="s">
        <v>19</v>
      </c>
      <c r="E1446" s="2" t="s">
        <v>23</v>
      </c>
      <c r="F1446" s="2" t="s">
        <v>20</v>
      </c>
      <c r="G1446" s="2" t="s">
        <v>41</v>
      </c>
      <c r="H1446" s="2" t="s">
        <v>22</v>
      </c>
      <c r="I1446" s="2">
        <v>220000</v>
      </c>
      <c r="J1446" s="2">
        <v>8</v>
      </c>
      <c r="K1446" s="2" t="s">
        <v>39</v>
      </c>
      <c r="L1446" s="2">
        <f t="shared" si="5"/>
        <v>176000</v>
      </c>
    </row>
    <row r="1447" spans="1:12" ht="14.25" customHeight="1" x14ac:dyDescent="0.2">
      <c r="A1447" s="33">
        <v>47121</v>
      </c>
      <c r="B1447" s="33"/>
      <c r="C1447" s="2" t="s">
        <v>29</v>
      </c>
      <c r="D1447" s="2" t="s">
        <v>26</v>
      </c>
      <c r="E1447" s="2" t="s">
        <v>13</v>
      </c>
      <c r="F1447" s="2" t="s">
        <v>20</v>
      </c>
      <c r="G1447" s="2" t="s">
        <v>36</v>
      </c>
      <c r="H1447" s="2" t="s">
        <v>31</v>
      </c>
      <c r="I1447" s="2">
        <v>150000</v>
      </c>
      <c r="J1447" s="2">
        <v>2</v>
      </c>
      <c r="K1447" s="2" t="s">
        <v>28</v>
      </c>
      <c r="L1447" s="2">
        <f t="shared" si="5"/>
        <v>120000</v>
      </c>
    </row>
    <row r="1448" spans="1:12" ht="14.25" customHeight="1" x14ac:dyDescent="0.2">
      <c r="A1448" s="33">
        <v>47122</v>
      </c>
      <c r="B1448" s="33"/>
      <c r="C1448" s="2" t="s">
        <v>11</v>
      </c>
      <c r="D1448" s="2" t="s">
        <v>19</v>
      </c>
      <c r="E1448" s="2" t="s">
        <v>23</v>
      </c>
      <c r="F1448" s="2" t="s">
        <v>20</v>
      </c>
      <c r="G1448" s="2" t="s">
        <v>41</v>
      </c>
      <c r="H1448" s="2" t="s">
        <v>22</v>
      </c>
      <c r="I1448" s="2">
        <v>220000</v>
      </c>
      <c r="J1448" s="2">
        <v>4</v>
      </c>
      <c r="K1448" s="2" t="s">
        <v>28</v>
      </c>
      <c r="L1448" s="2">
        <f t="shared" si="5"/>
        <v>176000</v>
      </c>
    </row>
    <row r="1449" spans="1:12" ht="14.25" customHeight="1" x14ac:dyDescent="0.2">
      <c r="A1449" s="33">
        <v>47123</v>
      </c>
      <c r="B1449" s="33"/>
      <c r="C1449" s="2" t="s">
        <v>25</v>
      </c>
      <c r="D1449" s="2" t="s">
        <v>12</v>
      </c>
      <c r="E1449" s="2" t="s">
        <v>23</v>
      </c>
      <c r="F1449" s="2" t="s">
        <v>20</v>
      </c>
      <c r="G1449" s="2" t="s">
        <v>21</v>
      </c>
      <c r="H1449" s="2" t="s">
        <v>22</v>
      </c>
      <c r="I1449" s="2">
        <v>30000</v>
      </c>
      <c r="J1449" s="2">
        <v>6</v>
      </c>
      <c r="K1449" s="2" t="s">
        <v>37</v>
      </c>
      <c r="L1449" s="2">
        <f t="shared" si="5"/>
        <v>24000</v>
      </c>
    </row>
    <row r="1450" spans="1:12" ht="14.25" customHeight="1" x14ac:dyDescent="0.2">
      <c r="A1450" s="33">
        <v>47124</v>
      </c>
      <c r="B1450" s="33"/>
      <c r="C1450" s="2" t="s">
        <v>18</v>
      </c>
      <c r="D1450" s="2" t="s">
        <v>32</v>
      </c>
      <c r="E1450" s="2" t="s">
        <v>13</v>
      </c>
      <c r="F1450" s="2" t="s">
        <v>20</v>
      </c>
      <c r="G1450" s="2" t="s">
        <v>15</v>
      </c>
      <c r="H1450" s="2" t="s">
        <v>16</v>
      </c>
      <c r="I1450" s="2">
        <v>85000</v>
      </c>
      <c r="J1450" s="2">
        <v>3</v>
      </c>
      <c r="K1450" s="2" t="s">
        <v>28</v>
      </c>
      <c r="L1450" s="2">
        <f t="shared" si="5"/>
        <v>68000</v>
      </c>
    </row>
    <row r="1451" spans="1:12" ht="14.25" customHeight="1" x14ac:dyDescent="0.2">
      <c r="A1451" s="33">
        <v>47125</v>
      </c>
      <c r="B1451" s="33"/>
      <c r="C1451" s="2" t="s">
        <v>18</v>
      </c>
      <c r="D1451" s="2" t="s">
        <v>19</v>
      </c>
      <c r="E1451" s="2" t="s">
        <v>13</v>
      </c>
      <c r="F1451" s="2" t="s">
        <v>20</v>
      </c>
      <c r="G1451" s="2" t="s">
        <v>15</v>
      </c>
      <c r="H1451" s="2" t="s">
        <v>16</v>
      </c>
      <c r="I1451" s="2">
        <v>85000</v>
      </c>
      <c r="J1451" s="2">
        <v>2</v>
      </c>
      <c r="K1451" s="2" t="s">
        <v>17</v>
      </c>
      <c r="L1451" s="2">
        <f t="shared" si="5"/>
        <v>68000</v>
      </c>
    </row>
    <row r="1452" spans="1:12" ht="14.25" customHeight="1" x14ac:dyDescent="0.2">
      <c r="A1452" s="33">
        <v>47126</v>
      </c>
      <c r="B1452" s="33"/>
      <c r="C1452" s="2" t="s">
        <v>29</v>
      </c>
      <c r="D1452" s="2" t="s">
        <v>19</v>
      </c>
      <c r="E1452" s="2" t="s">
        <v>13</v>
      </c>
      <c r="F1452" s="2" t="s">
        <v>20</v>
      </c>
      <c r="G1452" s="2" t="s">
        <v>40</v>
      </c>
      <c r="H1452" s="2" t="s">
        <v>31</v>
      </c>
      <c r="I1452" s="2">
        <v>250000</v>
      </c>
      <c r="J1452" s="2">
        <v>10</v>
      </c>
      <c r="K1452" s="2" t="s">
        <v>28</v>
      </c>
      <c r="L1452" s="2">
        <f t="shared" si="5"/>
        <v>200000</v>
      </c>
    </row>
    <row r="1453" spans="1:12" ht="14.25" customHeight="1" x14ac:dyDescent="0.2">
      <c r="A1453" s="33">
        <v>47127</v>
      </c>
      <c r="B1453" s="33"/>
      <c r="C1453" s="2" t="s">
        <v>11</v>
      </c>
      <c r="D1453" s="2" t="s">
        <v>19</v>
      </c>
      <c r="E1453" s="2" t="s">
        <v>23</v>
      </c>
      <c r="F1453" s="2" t="s">
        <v>20</v>
      </c>
      <c r="G1453" s="2" t="s">
        <v>41</v>
      </c>
      <c r="H1453" s="2" t="s">
        <v>22</v>
      </c>
      <c r="I1453" s="2">
        <v>220000</v>
      </c>
      <c r="J1453" s="2">
        <v>2</v>
      </c>
      <c r="K1453" s="2" t="s">
        <v>37</v>
      </c>
      <c r="L1453" s="2">
        <f t="shared" si="5"/>
        <v>176000</v>
      </c>
    </row>
    <row r="1454" spans="1:12" ht="14.25" customHeight="1" x14ac:dyDescent="0.2">
      <c r="A1454" s="33">
        <v>47128</v>
      </c>
      <c r="B1454" s="33"/>
      <c r="C1454" s="2" t="s">
        <v>11</v>
      </c>
      <c r="D1454" s="2" t="s">
        <v>12</v>
      </c>
      <c r="E1454" s="2" t="s">
        <v>23</v>
      </c>
      <c r="F1454" s="2" t="s">
        <v>20</v>
      </c>
      <c r="G1454" s="2" t="s">
        <v>30</v>
      </c>
      <c r="H1454" s="2" t="s">
        <v>31</v>
      </c>
      <c r="I1454" s="2">
        <v>300000</v>
      </c>
      <c r="J1454" s="2">
        <v>9</v>
      </c>
      <c r="K1454" s="2" t="s">
        <v>37</v>
      </c>
      <c r="L1454" s="2">
        <f t="shared" si="5"/>
        <v>240000</v>
      </c>
    </row>
    <row r="1455" spans="1:12" ht="14.25" customHeight="1" x14ac:dyDescent="0.2">
      <c r="A1455" s="33">
        <v>47129</v>
      </c>
      <c r="B1455" s="33"/>
      <c r="C1455" s="2" t="s">
        <v>18</v>
      </c>
      <c r="D1455" s="2" t="s">
        <v>32</v>
      </c>
      <c r="E1455" s="2" t="s">
        <v>13</v>
      </c>
      <c r="F1455" s="2" t="s">
        <v>20</v>
      </c>
      <c r="G1455" s="2" t="s">
        <v>41</v>
      </c>
      <c r="H1455" s="2" t="s">
        <v>22</v>
      </c>
      <c r="I1455" s="2">
        <v>220000</v>
      </c>
      <c r="J1455" s="2">
        <v>3</v>
      </c>
      <c r="K1455" s="2" t="s">
        <v>24</v>
      </c>
      <c r="L1455" s="2">
        <f t="shared" si="5"/>
        <v>176000</v>
      </c>
    </row>
    <row r="1456" spans="1:12" ht="14.25" customHeight="1" x14ac:dyDescent="0.2">
      <c r="A1456" s="33">
        <v>47130</v>
      </c>
      <c r="B1456" s="33"/>
      <c r="C1456" s="2" t="s">
        <v>18</v>
      </c>
      <c r="D1456" s="2" t="s">
        <v>32</v>
      </c>
      <c r="E1456" s="2" t="s">
        <v>23</v>
      </c>
      <c r="F1456" s="2" t="s">
        <v>20</v>
      </c>
      <c r="G1456" s="2" t="s">
        <v>40</v>
      </c>
      <c r="H1456" s="2" t="s">
        <v>31</v>
      </c>
      <c r="I1456" s="2">
        <v>250000</v>
      </c>
      <c r="J1456" s="2">
        <v>8</v>
      </c>
      <c r="K1456" s="2" t="s">
        <v>28</v>
      </c>
      <c r="L1456" s="2">
        <f t="shared" si="5"/>
        <v>200000</v>
      </c>
    </row>
    <row r="1457" spans="1:12" ht="14.25" customHeight="1" x14ac:dyDescent="0.2">
      <c r="A1457" s="33">
        <v>47131</v>
      </c>
      <c r="B1457" s="33"/>
      <c r="C1457" s="2" t="s">
        <v>25</v>
      </c>
      <c r="D1457" s="2" t="s">
        <v>19</v>
      </c>
      <c r="E1457" s="2" t="s">
        <v>23</v>
      </c>
      <c r="F1457" s="2" t="s">
        <v>20</v>
      </c>
      <c r="G1457" s="2" t="s">
        <v>40</v>
      </c>
      <c r="H1457" s="2" t="s">
        <v>31</v>
      </c>
      <c r="I1457" s="2">
        <v>250000</v>
      </c>
      <c r="J1457" s="2">
        <v>5</v>
      </c>
      <c r="K1457" s="2" t="s">
        <v>39</v>
      </c>
      <c r="L1457" s="2">
        <f t="shared" si="5"/>
        <v>200000</v>
      </c>
    </row>
    <row r="1458" spans="1:12" ht="14.25" customHeight="1" x14ac:dyDescent="0.2">
      <c r="A1458" s="33">
        <v>47132</v>
      </c>
      <c r="B1458" s="33"/>
      <c r="C1458" s="2" t="s">
        <v>29</v>
      </c>
      <c r="D1458" s="2" t="s">
        <v>32</v>
      </c>
      <c r="E1458" s="2" t="s">
        <v>13</v>
      </c>
      <c r="F1458" s="2" t="s">
        <v>20</v>
      </c>
      <c r="G1458" s="2" t="s">
        <v>38</v>
      </c>
      <c r="H1458" s="2" t="s">
        <v>31</v>
      </c>
      <c r="I1458" s="2">
        <v>420000</v>
      </c>
      <c r="J1458" s="2">
        <v>5</v>
      </c>
      <c r="K1458" s="2" t="s">
        <v>24</v>
      </c>
      <c r="L1458" s="2">
        <f t="shared" si="5"/>
        <v>336000</v>
      </c>
    </row>
    <row r="1459" spans="1:12" ht="14.25" customHeight="1" x14ac:dyDescent="0.2">
      <c r="A1459" s="33">
        <v>47133</v>
      </c>
      <c r="B1459" s="33"/>
      <c r="C1459" s="2" t="s">
        <v>25</v>
      </c>
      <c r="D1459" s="2" t="s">
        <v>19</v>
      </c>
      <c r="E1459" s="2" t="s">
        <v>13</v>
      </c>
      <c r="F1459" s="2" t="s">
        <v>20</v>
      </c>
      <c r="G1459" s="2" t="s">
        <v>27</v>
      </c>
      <c r="H1459" s="2" t="s">
        <v>22</v>
      </c>
      <c r="I1459" s="2">
        <v>60000</v>
      </c>
      <c r="J1459" s="2">
        <v>7</v>
      </c>
      <c r="K1459" s="2" t="s">
        <v>39</v>
      </c>
      <c r="L1459" s="2">
        <f t="shared" si="5"/>
        <v>48000</v>
      </c>
    </row>
    <row r="1460" spans="1:12" ht="14.25" customHeight="1" x14ac:dyDescent="0.2">
      <c r="A1460" s="33">
        <v>47134</v>
      </c>
      <c r="B1460" s="33"/>
      <c r="C1460" s="2" t="s">
        <v>18</v>
      </c>
      <c r="D1460" s="2" t="s">
        <v>26</v>
      </c>
      <c r="E1460" s="2" t="s">
        <v>13</v>
      </c>
      <c r="F1460" s="2" t="s">
        <v>20</v>
      </c>
      <c r="G1460" s="2" t="s">
        <v>21</v>
      </c>
      <c r="H1460" s="2" t="s">
        <v>22</v>
      </c>
      <c r="I1460" s="2">
        <v>30000</v>
      </c>
      <c r="J1460" s="2">
        <v>8</v>
      </c>
      <c r="K1460" s="2" t="s">
        <v>17</v>
      </c>
      <c r="L1460" s="2">
        <f t="shared" si="5"/>
        <v>24000</v>
      </c>
    </row>
    <row r="1461" spans="1:12" ht="14.25" customHeight="1" x14ac:dyDescent="0.2">
      <c r="A1461" s="33">
        <v>47135</v>
      </c>
      <c r="B1461" s="33"/>
      <c r="C1461" s="2" t="s">
        <v>29</v>
      </c>
      <c r="D1461" s="2" t="s">
        <v>12</v>
      </c>
      <c r="E1461" s="2" t="s">
        <v>23</v>
      </c>
      <c r="F1461" s="2" t="s">
        <v>20</v>
      </c>
      <c r="G1461" s="2" t="s">
        <v>40</v>
      </c>
      <c r="H1461" s="2" t="s">
        <v>31</v>
      </c>
      <c r="I1461" s="2">
        <v>250000</v>
      </c>
      <c r="J1461" s="2">
        <v>2</v>
      </c>
      <c r="K1461" s="2" t="s">
        <v>28</v>
      </c>
      <c r="L1461" s="2">
        <f t="shared" si="5"/>
        <v>200000</v>
      </c>
    </row>
    <row r="1462" spans="1:12" ht="14.25" customHeight="1" x14ac:dyDescent="0.2">
      <c r="A1462" s="33">
        <v>47136</v>
      </c>
      <c r="B1462" s="33"/>
      <c r="C1462" s="2" t="s">
        <v>18</v>
      </c>
      <c r="D1462" s="2" t="s">
        <v>12</v>
      </c>
      <c r="E1462" s="2" t="s">
        <v>13</v>
      </c>
      <c r="F1462" s="2" t="s">
        <v>20</v>
      </c>
      <c r="G1462" s="2" t="s">
        <v>27</v>
      </c>
      <c r="H1462" s="2" t="s">
        <v>22</v>
      </c>
      <c r="I1462" s="2">
        <v>60000</v>
      </c>
      <c r="J1462" s="2">
        <v>8</v>
      </c>
      <c r="K1462" s="2" t="s">
        <v>39</v>
      </c>
      <c r="L1462" s="2">
        <f t="shared" si="5"/>
        <v>48000</v>
      </c>
    </row>
    <row r="1463" spans="1:12" ht="14.25" customHeight="1" x14ac:dyDescent="0.2">
      <c r="A1463" s="33">
        <v>47137</v>
      </c>
      <c r="B1463" s="33"/>
      <c r="C1463" s="2" t="s">
        <v>11</v>
      </c>
      <c r="D1463" s="2" t="s">
        <v>12</v>
      </c>
      <c r="E1463" s="2" t="s">
        <v>13</v>
      </c>
      <c r="F1463" s="2" t="s">
        <v>20</v>
      </c>
      <c r="G1463" s="2" t="s">
        <v>21</v>
      </c>
      <c r="H1463" s="2" t="s">
        <v>22</v>
      </c>
      <c r="I1463" s="2">
        <v>30000</v>
      </c>
      <c r="J1463" s="2">
        <v>7</v>
      </c>
      <c r="K1463" s="2" t="s">
        <v>37</v>
      </c>
      <c r="L1463" s="2">
        <f t="shared" si="5"/>
        <v>24000</v>
      </c>
    </row>
    <row r="1464" spans="1:12" ht="14.25" customHeight="1" x14ac:dyDescent="0.2">
      <c r="A1464" s="33">
        <v>47138</v>
      </c>
      <c r="B1464" s="33"/>
      <c r="C1464" s="2" t="s">
        <v>25</v>
      </c>
      <c r="D1464" s="2" t="s">
        <v>19</v>
      </c>
      <c r="E1464" s="2" t="s">
        <v>23</v>
      </c>
      <c r="F1464" s="2" t="s">
        <v>20</v>
      </c>
      <c r="G1464" s="2" t="s">
        <v>21</v>
      </c>
      <c r="H1464" s="2" t="s">
        <v>22</v>
      </c>
      <c r="I1464" s="2">
        <v>30000</v>
      </c>
      <c r="J1464" s="2">
        <v>3</v>
      </c>
      <c r="K1464" s="2" t="s">
        <v>17</v>
      </c>
      <c r="L1464" s="2">
        <f t="shared" si="5"/>
        <v>24000</v>
      </c>
    </row>
    <row r="1465" spans="1:12" ht="14.25" customHeight="1" x14ac:dyDescent="0.2">
      <c r="A1465" s="33">
        <v>47139</v>
      </c>
      <c r="B1465" s="33"/>
      <c r="C1465" s="2" t="s">
        <v>25</v>
      </c>
      <c r="D1465" s="2" t="s">
        <v>26</v>
      </c>
      <c r="E1465" s="2" t="s">
        <v>23</v>
      </c>
      <c r="F1465" s="2" t="s">
        <v>20</v>
      </c>
      <c r="G1465" s="2" t="s">
        <v>33</v>
      </c>
      <c r="H1465" s="2" t="s">
        <v>22</v>
      </c>
      <c r="I1465" s="2">
        <v>180000</v>
      </c>
      <c r="J1465" s="2">
        <v>5</v>
      </c>
      <c r="K1465" s="2" t="s">
        <v>37</v>
      </c>
      <c r="L1465" s="2">
        <f t="shared" si="5"/>
        <v>144000</v>
      </c>
    </row>
    <row r="1466" spans="1:12" ht="14.25" customHeight="1" x14ac:dyDescent="0.2">
      <c r="A1466" s="33">
        <v>47140</v>
      </c>
      <c r="B1466" s="33"/>
      <c r="C1466" s="2" t="s">
        <v>18</v>
      </c>
      <c r="D1466" s="2" t="s">
        <v>32</v>
      </c>
      <c r="E1466" s="2" t="s">
        <v>13</v>
      </c>
      <c r="F1466" s="2" t="s">
        <v>20</v>
      </c>
      <c r="G1466" s="2" t="s">
        <v>40</v>
      </c>
      <c r="H1466" s="2" t="s">
        <v>31</v>
      </c>
      <c r="I1466" s="2">
        <v>250000</v>
      </c>
      <c r="J1466" s="2">
        <v>5</v>
      </c>
      <c r="K1466" s="2" t="s">
        <v>35</v>
      </c>
      <c r="L1466" s="2">
        <f t="shared" si="5"/>
        <v>200000</v>
      </c>
    </row>
    <row r="1467" spans="1:12" ht="14.25" customHeight="1" x14ac:dyDescent="0.2">
      <c r="A1467" s="33">
        <v>47141</v>
      </c>
      <c r="B1467" s="33"/>
      <c r="C1467" s="2" t="s">
        <v>18</v>
      </c>
      <c r="D1467" s="2" t="s">
        <v>12</v>
      </c>
      <c r="E1467" s="2" t="s">
        <v>13</v>
      </c>
      <c r="F1467" s="2" t="s">
        <v>20</v>
      </c>
      <c r="G1467" s="2" t="s">
        <v>15</v>
      </c>
      <c r="H1467" s="2" t="s">
        <v>16</v>
      </c>
      <c r="I1467" s="2">
        <v>85000</v>
      </c>
      <c r="J1467" s="2">
        <v>3</v>
      </c>
      <c r="K1467" s="2" t="s">
        <v>37</v>
      </c>
      <c r="L1467" s="2">
        <f t="shared" si="5"/>
        <v>68000</v>
      </c>
    </row>
    <row r="1468" spans="1:12" ht="14.25" customHeight="1" x14ac:dyDescent="0.2">
      <c r="A1468" s="33">
        <v>47142</v>
      </c>
      <c r="B1468" s="33"/>
      <c r="C1468" s="2" t="s">
        <v>29</v>
      </c>
      <c r="D1468" s="2" t="s">
        <v>12</v>
      </c>
      <c r="E1468" s="2" t="s">
        <v>23</v>
      </c>
      <c r="F1468" s="2" t="s">
        <v>20</v>
      </c>
      <c r="G1468" s="2" t="s">
        <v>21</v>
      </c>
      <c r="H1468" s="2" t="s">
        <v>22</v>
      </c>
      <c r="I1468" s="2">
        <v>30000</v>
      </c>
      <c r="J1468" s="2">
        <v>1</v>
      </c>
      <c r="K1468" s="2" t="s">
        <v>24</v>
      </c>
      <c r="L1468" s="2">
        <f t="shared" si="5"/>
        <v>24000</v>
      </c>
    </row>
    <row r="1469" spans="1:12" ht="14.25" customHeight="1" x14ac:dyDescent="0.2">
      <c r="A1469" s="33">
        <v>47143</v>
      </c>
      <c r="B1469" s="33"/>
      <c r="C1469" s="2" t="s">
        <v>25</v>
      </c>
      <c r="D1469" s="2" t="s">
        <v>26</v>
      </c>
      <c r="E1469" s="2" t="s">
        <v>23</v>
      </c>
      <c r="F1469" s="2" t="s">
        <v>20</v>
      </c>
      <c r="G1469" s="2" t="s">
        <v>30</v>
      </c>
      <c r="H1469" s="2" t="s">
        <v>31</v>
      </c>
      <c r="I1469" s="2">
        <v>300000</v>
      </c>
      <c r="J1469" s="2">
        <v>10</v>
      </c>
      <c r="K1469" s="2" t="s">
        <v>35</v>
      </c>
      <c r="L1469" s="2">
        <f t="shared" si="5"/>
        <v>240000</v>
      </c>
    </row>
    <row r="1470" spans="1:12" ht="14.25" customHeight="1" x14ac:dyDescent="0.2">
      <c r="A1470" s="33">
        <v>47144</v>
      </c>
      <c r="B1470" s="33"/>
      <c r="C1470" s="2" t="s">
        <v>25</v>
      </c>
      <c r="D1470" s="2" t="s">
        <v>19</v>
      </c>
      <c r="E1470" s="2" t="s">
        <v>23</v>
      </c>
      <c r="F1470" s="2" t="s">
        <v>20</v>
      </c>
      <c r="G1470" s="2" t="s">
        <v>38</v>
      </c>
      <c r="H1470" s="2" t="s">
        <v>31</v>
      </c>
      <c r="I1470" s="2">
        <v>420000</v>
      </c>
      <c r="J1470" s="2">
        <v>5</v>
      </c>
      <c r="K1470" s="2" t="s">
        <v>37</v>
      </c>
      <c r="L1470" s="2">
        <f t="shared" si="5"/>
        <v>336000</v>
      </c>
    </row>
    <row r="1471" spans="1:12" ht="14.25" customHeight="1" x14ac:dyDescent="0.2">
      <c r="A1471" s="33">
        <v>47145</v>
      </c>
      <c r="B1471" s="33"/>
      <c r="C1471" s="2" t="s">
        <v>18</v>
      </c>
      <c r="D1471" s="2" t="s">
        <v>12</v>
      </c>
      <c r="E1471" s="2" t="s">
        <v>23</v>
      </c>
      <c r="F1471" s="2" t="s">
        <v>20</v>
      </c>
      <c r="G1471" s="2" t="s">
        <v>40</v>
      </c>
      <c r="H1471" s="2" t="s">
        <v>31</v>
      </c>
      <c r="I1471" s="2">
        <v>250000</v>
      </c>
      <c r="J1471" s="2">
        <v>4</v>
      </c>
      <c r="K1471" s="2" t="s">
        <v>37</v>
      </c>
      <c r="L1471" s="2">
        <f t="shared" si="5"/>
        <v>200000</v>
      </c>
    </row>
    <row r="1472" spans="1:12" ht="14.25" customHeight="1" x14ac:dyDescent="0.2">
      <c r="A1472" s="33">
        <v>47146</v>
      </c>
      <c r="B1472" s="33"/>
      <c r="C1472" s="2" t="s">
        <v>25</v>
      </c>
      <c r="D1472" s="2" t="s">
        <v>26</v>
      </c>
      <c r="E1472" s="2" t="s">
        <v>13</v>
      </c>
      <c r="F1472" s="2" t="s">
        <v>20</v>
      </c>
      <c r="G1472" s="2" t="s">
        <v>41</v>
      </c>
      <c r="H1472" s="2" t="s">
        <v>22</v>
      </c>
      <c r="I1472" s="2">
        <v>220000</v>
      </c>
      <c r="J1472" s="2">
        <v>3</v>
      </c>
      <c r="K1472" s="2" t="s">
        <v>17</v>
      </c>
      <c r="L1472" s="2">
        <f t="shared" si="5"/>
        <v>176000</v>
      </c>
    </row>
    <row r="1473" spans="1:12" ht="14.25" customHeight="1" x14ac:dyDescent="0.2">
      <c r="A1473" s="33">
        <v>47147</v>
      </c>
      <c r="B1473" s="33"/>
      <c r="C1473" s="2" t="s">
        <v>29</v>
      </c>
      <c r="D1473" s="2" t="s">
        <v>32</v>
      </c>
      <c r="E1473" s="2" t="s">
        <v>13</v>
      </c>
      <c r="F1473" s="2" t="s">
        <v>20</v>
      </c>
      <c r="G1473" s="2" t="s">
        <v>34</v>
      </c>
      <c r="H1473" s="2" t="s">
        <v>16</v>
      </c>
      <c r="I1473" s="2">
        <v>320000</v>
      </c>
      <c r="J1473" s="2">
        <v>2</v>
      </c>
      <c r="K1473" s="2" t="s">
        <v>28</v>
      </c>
      <c r="L1473" s="2">
        <f t="shared" si="5"/>
        <v>256000</v>
      </c>
    </row>
    <row r="1474" spans="1:12" ht="14.25" customHeight="1" x14ac:dyDescent="0.2">
      <c r="A1474" s="33">
        <v>47148</v>
      </c>
      <c r="B1474" s="33"/>
      <c r="C1474" s="2" t="s">
        <v>11</v>
      </c>
      <c r="D1474" s="2" t="s">
        <v>32</v>
      </c>
      <c r="E1474" s="2" t="s">
        <v>23</v>
      </c>
      <c r="F1474" s="2" t="s">
        <v>20</v>
      </c>
      <c r="G1474" s="2" t="s">
        <v>34</v>
      </c>
      <c r="H1474" s="2" t="s">
        <v>16</v>
      </c>
      <c r="I1474" s="2">
        <v>320000</v>
      </c>
      <c r="J1474" s="2">
        <v>9</v>
      </c>
      <c r="K1474" s="2" t="s">
        <v>39</v>
      </c>
      <c r="L1474" s="2">
        <f t="shared" si="5"/>
        <v>256000</v>
      </c>
    </row>
    <row r="1475" spans="1:12" ht="14.25" customHeight="1" x14ac:dyDescent="0.2">
      <c r="A1475" s="33">
        <v>47149</v>
      </c>
      <c r="B1475" s="33"/>
      <c r="C1475" s="2" t="s">
        <v>29</v>
      </c>
      <c r="D1475" s="2" t="s">
        <v>19</v>
      </c>
      <c r="E1475" s="2" t="s">
        <v>13</v>
      </c>
      <c r="F1475" s="2" t="s">
        <v>20</v>
      </c>
      <c r="G1475" s="2" t="s">
        <v>41</v>
      </c>
      <c r="H1475" s="2" t="s">
        <v>22</v>
      </c>
      <c r="I1475" s="2">
        <v>220000</v>
      </c>
      <c r="J1475" s="2">
        <v>10</v>
      </c>
      <c r="K1475" s="2" t="s">
        <v>24</v>
      </c>
      <c r="L1475" s="2">
        <f t="shared" si="5"/>
        <v>176000</v>
      </c>
    </row>
    <row r="1476" spans="1:12" ht="14.25" customHeight="1" x14ac:dyDescent="0.2">
      <c r="A1476" s="33">
        <v>47150</v>
      </c>
      <c r="B1476" s="33"/>
      <c r="C1476" s="2" t="s">
        <v>25</v>
      </c>
      <c r="D1476" s="2" t="s">
        <v>12</v>
      </c>
      <c r="E1476" s="2" t="s">
        <v>13</v>
      </c>
      <c r="F1476" s="2" t="s">
        <v>20</v>
      </c>
      <c r="G1476" s="2" t="s">
        <v>15</v>
      </c>
      <c r="H1476" s="2" t="s">
        <v>16</v>
      </c>
      <c r="I1476" s="2">
        <v>85000</v>
      </c>
      <c r="J1476" s="2">
        <v>1</v>
      </c>
      <c r="K1476" s="2" t="s">
        <v>28</v>
      </c>
      <c r="L1476" s="2">
        <f t="shared" si="5"/>
        <v>68000</v>
      </c>
    </row>
    <row r="1477" spans="1:12" ht="14.25" customHeight="1" x14ac:dyDescent="0.2">
      <c r="A1477" s="33">
        <v>47151</v>
      </c>
      <c r="B1477" s="33"/>
      <c r="C1477" s="2" t="s">
        <v>25</v>
      </c>
      <c r="D1477" s="2" t="s">
        <v>32</v>
      </c>
      <c r="E1477" s="2" t="s">
        <v>13</v>
      </c>
      <c r="F1477" s="2" t="s">
        <v>14</v>
      </c>
      <c r="G1477" s="2" t="s">
        <v>30</v>
      </c>
      <c r="H1477" s="2" t="s">
        <v>31</v>
      </c>
      <c r="I1477" s="2">
        <v>300000</v>
      </c>
      <c r="J1477" s="2">
        <v>4</v>
      </c>
      <c r="K1477" s="2" t="s">
        <v>28</v>
      </c>
      <c r="L1477" s="2">
        <f t="shared" si="5"/>
        <v>240000</v>
      </c>
    </row>
    <row r="1478" spans="1:12" ht="14.25" customHeight="1" x14ac:dyDescent="0.2">
      <c r="A1478" s="33">
        <v>47152</v>
      </c>
      <c r="B1478" s="33"/>
      <c r="C1478" s="2" t="s">
        <v>25</v>
      </c>
      <c r="D1478" s="2" t="s">
        <v>32</v>
      </c>
      <c r="E1478" s="2" t="s">
        <v>23</v>
      </c>
      <c r="F1478" s="2" t="s">
        <v>20</v>
      </c>
      <c r="G1478" s="2" t="s">
        <v>15</v>
      </c>
      <c r="H1478" s="2" t="s">
        <v>16</v>
      </c>
      <c r="I1478" s="2">
        <v>85000</v>
      </c>
      <c r="J1478" s="2">
        <v>5</v>
      </c>
      <c r="K1478" s="2" t="s">
        <v>24</v>
      </c>
      <c r="L1478" s="2">
        <f t="shared" si="5"/>
        <v>68000</v>
      </c>
    </row>
    <row r="1479" spans="1:12" ht="14.25" customHeight="1" x14ac:dyDescent="0.2">
      <c r="A1479" s="33">
        <v>47153</v>
      </c>
      <c r="B1479" s="33"/>
      <c r="C1479" s="2" t="s">
        <v>25</v>
      </c>
      <c r="D1479" s="2" t="s">
        <v>32</v>
      </c>
      <c r="E1479" s="2" t="s">
        <v>23</v>
      </c>
      <c r="F1479" s="2" t="s">
        <v>14</v>
      </c>
      <c r="G1479" s="2" t="s">
        <v>30</v>
      </c>
      <c r="H1479" s="2" t="s">
        <v>31</v>
      </c>
      <c r="I1479" s="2">
        <v>300000</v>
      </c>
      <c r="J1479" s="2">
        <v>5</v>
      </c>
      <c r="K1479" s="2" t="s">
        <v>39</v>
      </c>
      <c r="L1479" s="2">
        <f t="shared" si="5"/>
        <v>240000</v>
      </c>
    </row>
    <row r="1480" spans="1:12" ht="14.25" customHeight="1" x14ac:dyDescent="0.2">
      <c r="A1480" s="33">
        <v>47154</v>
      </c>
      <c r="B1480" s="33"/>
      <c r="C1480" s="2" t="s">
        <v>25</v>
      </c>
      <c r="D1480" s="2" t="s">
        <v>32</v>
      </c>
      <c r="E1480" s="2" t="s">
        <v>13</v>
      </c>
      <c r="F1480" s="2" t="s">
        <v>20</v>
      </c>
      <c r="G1480" s="2" t="s">
        <v>30</v>
      </c>
      <c r="H1480" s="2" t="s">
        <v>31</v>
      </c>
      <c r="I1480" s="2">
        <v>300000</v>
      </c>
      <c r="J1480" s="2">
        <v>5</v>
      </c>
      <c r="K1480" s="2" t="s">
        <v>17</v>
      </c>
      <c r="L1480" s="2">
        <f t="shared" si="5"/>
        <v>240000</v>
      </c>
    </row>
    <row r="1481" spans="1:12" ht="14.25" customHeight="1" x14ac:dyDescent="0.2">
      <c r="A1481" s="33">
        <v>47155</v>
      </c>
      <c r="B1481" s="33"/>
      <c r="C1481" s="2" t="s">
        <v>11</v>
      </c>
      <c r="D1481" s="2" t="s">
        <v>19</v>
      </c>
      <c r="E1481" s="2" t="s">
        <v>23</v>
      </c>
      <c r="F1481" s="2" t="s">
        <v>20</v>
      </c>
      <c r="G1481" s="2" t="s">
        <v>21</v>
      </c>
      <c r="H1481" s="2" t="s">
        <v>22</v>
      </c>
      <c r="I1481" s="2">
        <v>30000</v>
      </c>
      <c r="J1481" s="2">
        <v>10</v>
      </c>
      <c r="K1481" s="2" t="s">
        <v>17</v>
      </c>
      <c r="L1481" s="2">
        <f t="shared" si="5"/>
        <v>24000</v>
      </c>
    </row>
    <row r="1482" spans="1:12" ht="14.25" customHeight="1" x14ac:dyDescent="0.2">
      <c r="A1482" s="33">
        <v>47156</v>
      </c>
      <c r="B1482" s="33"/>
      <c r="C1482" s="2" t="s">
        <v>25</v>
      </c>
      <c r="D1482" s="2" t="s">
        <v>26</v>
      </c>
      <c r="E1482" s="2" t="s">
        <v>13</v>
      </c>
      <c r="F1482" s="2" t="s">
        <v>14</v>
      </c>
      <c r="G1482" s="2" t="s">
        <v>41</v>
      </c>
      <c r="H1482" s="2" t="s">
        <v>22</v>
      </c>
      <c r="I1482" s="2">
        <v>220000</v>
      </c>
      <c r="J1482" s="2">
        <v>6</v>
      </c>
      <c r="K1482" s="2" t="s">
        <v>35</v>
      </c>
      <c r="L1482" s="2">
        <f t="shared" si="5"/>
        <v>176000</v>
      </c>
    </row>
    <row r="1483" spans="1:12" ht="14.25" customHeight="1" x14ac:dyDescent="0.2">
      <c r="A1483" s="33">
        <v>47157</v>
      </c>
      <c r="B1483" s="33"/>
      <c r="C1483" s="2" t="s">
        <v>11</v>
      </c>
      <c r="D1483" s="2" t="s">
        <v>32</v>
      </c>
      <c r="E1483" s="2" t="s">
        <v>23</v>
      </c>
      <c r="F1483" s="2" t="s">
        <v>14</v>
      </c>
      <c r="G1483" s="2" t="s">
        <v>15</v>
      </c>
      <c r="H1483" s="2" t="s">
        <v>16</v>
      </c>
      <c r="I1483" s="2">
        <v>85000</v>
      </c>
      <c r="J1483" s="2">
        <v>9</v>
      </c>
      <c r="K1483" s="2" t="s">
        <v>24</v>
      </c>
      <c r="L1483" s="2">
        <f t="shared" si="5"/>
        <v>68000</v>
      </c>
    </row>
    <row r="1484" spans="1:12" ht="14.25" customHeight="1" x14ac:dyDescent="0.2">
      <c r="A1484" s="33">
        <v>47158</v>
      </c>
      <c r="B1484" s="33"/>
      <c r="C1484" s="2" t="s">
        <v>18</v>
      </c>
      <c r="D1484" s="2" t="s">
        <v>32</v>
      </c>
      <c r="E1484" s="2" t="s">
        <v>13</v>
      </c>
      <c r="F1484" s="2" t="s">
        <v>14</v>
      </c>
      <c r="G1484" s="2" t="s">
        <v>38</v>
      </c>
      <c r="H1484" s="2" t="s">
        <v>31</v>
      </c>
      <c r="I1484" s="2">
        <v>420000</v>
      </c>
      <c r="J1484" s="2">
        <v>10</v>
      </c>
      <c r="K1484" s="2" t="s">
        <v>28</v>
      </c>
      <c r="L1484" s="2">
        <f t="shared" si="5"/>
        <v>336000</v>
      </c>
    </row>
    <row r="1485" spans="1:12" ht="14.25" customHeight="1" x14ac:dyDescent="0.2">
      <c r="A1485" s="33">
        <v>47159</v>
      </c>
      <c r="B1485" s="33"/>
      <c r="C1485" s="2" t="s">
        <v>29</v>
      </c>
      <c r="D1485" s="2" t="s">
        <v>12</v>
      </c>
      <c r="E1485" s="2" t="s">
        <v>23</v>
      </c>
      <c r="F1485" s="2" t="s">
        <v>20</v>
      </c>
      <c r="G1485" s="2" t="s">
        <v>38</v>
      </c>
      <c r="H1485" s="2" t="s">
        <v>31</v>
      </c>
      <c r="I1485" s="2">
        <v>420000</v>
      </c>
      <c r="J1485" s="2">
        <v>1</v>
      </c>
      <c r="K1485" s="2" t="s">
        <v>35</v>
      </c>
      <c r="L1485" s="2">
        <f t="shared" si="5"/>
        <v>336000</v>
      </c>
    </row>
    <row r="1486" spans="1:12" ht="14.25" customHeight="1" x14ac:dyDescent="0.2">
      <c r="A1486" s="33">
        <v>47160</v>
      </c>
      <c r="B1486" s="33"/>
      <c r="C1486" s="2" t="s">
        <v>11</v>
      </c>
      <c r="D1486" s="2" t="s">
        <v>19</v>
      </c>
      <c r="E1486" s="2" t="s">
        <v>13</v>
      </c>
      <c r="F1486" s="2" t="s">
        <v>20</v>
      </c>
      <c r="G1486" s="2" t="s">
        <v>27</v>
      </c>
      <c r="H1486" s="2" t="s">
        <v>22</v>
      </c>
      <c r="I1486" s="2">
        <v>60000</v>
      </c>
      <c r="J1486" s="2">
        <v>6</v>
      </c>
      <c r="K1486" s="2" t="s">
        <v>28</v>
      </c>
      <c r="L1486" s="2">
        <f t="shared" si="5"/>
        <v>48000</v>
      </c>
    </row>
    <row r="1487" spans="1:12" ht="14.25" customHeight="1" x14ac:dyDescent="0.2">
      <c r="A1487" s="33">
        <v>47161</v>
      </c>
      <c r="B1487" s="33"/>
      <c r="C1487" s="2" t="s">
        <v>25</v>
      </c>
      <c r="D1487" s="2" t="s">
        <v>32</v>
      </c>
      <c r="E1487" s="2" t="s">
        <v>13</v>
      </c>
      <c r="F1487" s="2" t="s">
        <v>20</v>
      </c>
      <c r="G1487" s="2" t="s">
        <v>36</v>
      </c>
      <c r="H1487" s="2" t="s">
        <v>31</v>
      </c>
      <c r="I1487" s="2">
        <v>150000</v>
      </c>
      <c r="J1487" s="2">
        <v>1</v>
      </c>
      <c r="K1487" s="2" t="s">
        <v>28</v>
      </c>
      <c r="L1487" s="2">
        <f t="shared" si="5"/>
        <v>120000</v>
      </c>
    </row>
    <row r="1488" spans="1:12" ht="14.25" customHeight="1" x14ac:dyDescent="0.2">
      <c r="A1488" s="33">
        <v>47162</v>
      </c>
      <c r="B1488" s="33"/>
      <c r="C1488" s="2" t="s">
        <v>29</v>
      </c>
      <c r="D1488" s="2" t="s">
        <v>26</v>
      </c>
      <c r="E1488" s="2" t="s">
        <v>13</v>
      </c>
      <c r="F1488" s="2" t="s">
        <v>14</v>
      </c>
      <c r="G1488" s="2" t="s">
        <v>40</v>
      </c>
      <c r="H1488" s="2" t="s">
        <v>31</v>
      </c>
      <c r="I1488" s="2">
        <v>250000</v>
      </c>
      <c r="J1488" s="2">
        <v>5</v>
      </c>
      <c r="K1488" s="2" t="s">
        <v>28</v>
      </c>
      <c r="L1488" s="2">
        <f t="shared" si="5"/>
        <v>200000</v>
      </c>
    </row>
    <row r="1489" spans="1:12" ht="14.25" customHeight="1" x14ac:dyDescent="0.2">
      <c r="A1489" s="33">
        <v>47163</v>
      </c>
      <c r="B1489" s="33"/>
      <c r="C1489" s="2" t="s">
        <v>18</v>
      </c>
      <c r="D1489" s="2" t="s">
        <v>32</v>
      </c>
      <c r="E1489" s="2" t="s">
        <v>13</v>
      </c>
      <c r="F1489" s="2" t="s">
        <v>20</v>
      </c>
      <c r="G1489" s="2" t="s">
        <v>41</v>
      </c>
      <c r="H1489" s="2" t="s">
        <v>22</v>
      </c>
      <c r="I1489" s="2">
        <v>220000</v>
      </c>
      <c r="J1489" s="2">
        <v>5</v>
      </c>
      <c r="K1489" s="2" t="s">
        <v>28</v>
      </c>
      <c r="L1489" s="2">
        <f t="shared" si="5"/>
        <v>176000</v>
      </c>
    </row>
    <row r="1490" spans="1:12" ht="14.25" customHeight="1" x14ac:dyDescent="0.2">
      <c r="A1490" s="33">
        <v>47164</v>
      </c>
      <c r="B1490" s="33"/>
      <c r="C1490" s="2" t="s">
        <v>11</v>
      </c>
      <c r="D1490" s="2" t="s">
        <v>19</v>
      </c>
      <c r="E1490" s="2" t="s">
        <v>23</v>
      </c>
      <c r="F1490" s="2" t="s">
        <v>20</v>
      </c>
      <c r="G1490" s="2" t="s">
        <v>27</v>
      </c>
      <c r="H1490" s="2" t="s">
        <v>22</v>
      </c>
      <c r="I1490" s="2">
        <v>60000</v>
      </c>
      <c r="J1490" s="2">
        <v>2</v>
      </c>
      <c r="K1490" s="2" t="s">
        <v>28</v>
      </c>
      <c r="L1490" s="2">
        <f t="shared" si="5"/>
        <v>48000</v>
      </c>
    </row>
    <row r="1491" spans="1:12" ht="14.25" customHeight="1" x14ac:dyDescent="0.2">
      <c r="A1491" s="33">
        <v>47165</v>
      </c>
      <c r="B1491" s="33"/>
      <c r="C1491" s="2" t="s">
        <v>18</v>
      </c>
      <c r="D1491" s="2" t="s">
        <v>32</v>
      </c>
      <c r="E1491" s="2" t="s">
        <v>23</v>
      </c>
      <c r="F1491" s="2" t="s">
        <v>20</v>
      </c>
      <c r="G1491" s="2" t="s">
        <v>36</v>
      </c>
      <c r="H1491" s="2" t="s">
        <v>31</v>
      </c>
      <c r="I1491" s="2">
        <v>150000</v>
      </c>
      <c r="J1491" s="2">
        <v>3</v>
      </c>
      <c r="K1491" s="2" t="s">
        <v>39</v>
      </c>
      <c r="L1491" s="2">
        <f t="shared" si="5"/>
        <v>120000</v>
      </c>
    </row>
    <row r="1492" spans="1:12" ht="14.25" customHeight="1" x14ac:dyDescent="0.2">
      <c r="A1492" s="33">
        <v>47166</v>
      </c>
      <c r="B1492" s="33"/>
      <c r="C1492" s="2" t="s">
        <v>25</v>
      </c>
      <c r="D1492" s="2" t="s">
        <v>19</v>
      </c>
      <c r="E1492" s="2" t="s">
        <v>23</v>
      </c>
      <c r="F1492" s="2" t="s">
        <v>20</v>
      </c>
      <c r="G1492" s="2" t="s">
        <v>15</v>
      </c>
      <c r="H1492" s="2" t="s">
        <v>16</v>
      </c>
      <c r="I1492" s="2">
        <v>85000</v>
      </c>
      <c r="J1492" s="2">
        <v>3</v>
      </c>
      <c r="K1492" s="2" t="s">
        <v>37</v>
      </c>
      <c r="L1492" s="2">
        <f t="shared" si="5"/>
        <v>68000</v>
      </c>
    </row>
    <row r="1493" spans="1:12" ht="14.25" customHeight="1" x14ac:dyDescent="0.2">
      <c r="A1493" s="33">
        <v>47167</v>
      </c>
      <c r="B1493" s="33"/>
      <c r="C1493" s="2" t="s">
        <v>29</v>
      </c>
      <c r="D1493" s="2" t="s">
        <v>32</v>
      </c>
      <c r="E1493" s="2" t="s">
        <v>13</v>
      </c>
      <c r="F1493" s="2" t="s">
        <v>20</v>
      </c>
      <c r="G1493" s="2" t="s">
        <v>33</v>
      </c>
      <c r="H1493" s="2" t="s">
        <v>22</v>
      </c>
      <c r="I1493" s="2">
        <v>180000</v>
      </c>
      <c r="J1493" s="2">
        <v>7</v>
      </c>
      <c r="K1493" s="2" t="s">
        <v>39</v>
      </c>
      <c r="L1493" s="2">
        <f t="shared" si="5"/>
        <v>144000</v>
      </c>
    </row>
    <row r="1494" spans="1:12" ht="14.25" customHeight="1" x14ac:dyDescent="0.2">
      <c r="A1494" s="33">
        <v>47168</v>
      </c>
      <c r="B1494" s="33"/>
      <c r="C1494" s="2" t="s">
        <v>29</v>
      </c>
      <c r="D1494" s="2" t="s">
        <v>19</v>
      </c>
      <c r="E1494" s="2" t="s">
        <v>23</v>
      </c>
      <c r="F1494" s="2" t="s">
        <v>14</v>
      </c>
      <c r="G1494" s="2" t="s">
        <v>33</v>
      </c>
      <c r="H1494" s="2" t="s">
        <v>22</v>
      </c>
      <c r="I1494" s="2">
        <v>180000</v>
      </c>
      <c r="J1494" s="2">
        <v>10</v>
      </c>
      <c r="K1494" s="2" t="s">
        <v>37</v>
      </c>
      <c r="L1494" s="2">
        <f t="shared" si="5"/>
        <v>144000</v>
      </c>
    </row>
    <row r="1495" spans="1:12" ht="14.25" customHeight="1" x14ac:dyDescent="0.2">
      <c r="A1495" s="33">
        <v>47169</v>
      </c>
      <c r="B1495" s="33"/>
      <c r="C1495" s="2" t="s">
        <v>29</v>
      </c>
      <c r="D1495" s="2" t="s">
        <v>12</v>
      </c>
      <c r="E1495" s="2" t="s">
        <v>23</v>
      </c>
      <c r="F1495" s="2" t="s">
        <v>20</v>
      </c>
      <c r="G1495" s="2" t="s">
        <v>33</v>
      </c>
      <c r="H1495" s="2" t="s">
        <v>22</v>
      </c>
      <c r="I1495" s="2">
        <v>180000</v>
      </c>
      <c r="J1495" s="2">
        <v>1</v>
      </c>
      <c r="K1495" s="2" t="s">
        <v>28</v>
      </c>
      <c r="L1495" s="2">
        <f t="shared" si="5"/>
        <v>144000</v>
      </c>
    </row>
    <row r="1496" spans="1:12" ht="14.25" customHeight="1" x14ac:dyDescent="0.2">
      <c r="A1496" s="33">
        <v>47170</v>
      </c>
      <c r="B1496" s="33"/>
      <c r="C1496" s="2" t="s">
        <v>11</v>
      </c>
      <c r="D1496" s="2" t="s">
        <v>32</v>
      </c>
      <c r="E1496" s="2" t="s">
        <v>13</v>
      </c>
      <c r="F1496" s="2" t="s">
        <v>14</v>
      </c>
      <c r="G1496" s="2" t="s">
        <v>34</v>
      </c>
      <c r="H1496" s="2" t="s">
        <v>16</v>
      </c>
      <c r="I1496" s="2">
        <v>320000</v>
      </c>
      <c r="J1496" s="2">
        <v>5</v>
      </c>
      <c r="K1496" s="2" t="s">
        <v>28</v>
      </c>
      <c r="L1496" s="2">
        <f t="shared" si="5"/>
        <v>256000</v>
      </c>
    </row>
    <row r="1497" spans="1:12" ht="14.25" customHeight="1" x14ac:dyDescent="0.2">
      <c r="A1497" s="33">
        <v>47171</v>
      </c>
      <c r="B1497" s="33"/>
      <c r="C1497" s="2" t="s">
        <v>18</v>
      </c>
      <c r="D1497" s="2" t="s">
        <v>19</v>
      </c>
      <c r="E1497" s="2" t="s">
        <v>13</v>
      </c>
      <c r="F1497" s="2" t="s">
        <v>20</v>
      </c>
      <c r="G1497" s="2" t="s">
        <v>38</v>
      </c>
      <c r="H1497" s="2" t="s">
        <v>31</v>
      </c>
      <c r="I1497" s="2">
        <v>420000</v>
      </c>
      <c r="J1497" s="2">
        <v>5</v>
      </c>
      <c r="K1497" s="2" t="s">
        <v>35</v>
      </c>
      <c r="L1497" s="2">
        <f t="shared" si="5"/>
        <v>336000</v>
      </c>
    </row>
    <row r="1498" spans="1:12" ht="14.25" customHeight="1" x14ac:dyDescent="0.2">
      <c r="A1498" s="33">
        <v>47172</v>
      </c>
      <c r="B1498" s="33"/>
      <c r="C1498" s="2" t="s">
        <v>11</v>
      </c>
      <c r="D1498" s="2" t="s">
        <v>26</v>
      </c>
      <c r="E1498" s="2" t="s">
        <v>23</v>
      </c>
      <c r="F1498" s="2" t="s">
        <v>14</v>
      </c>
      <c r="G1498" s="2" t="s">
        <v>33</v>
      </c>
      <c r="H1498" s="2" t="s">
        <v>22</v>
      </c>
      <c r="I1498" s="2">
        <v>180000</v>
      </c>
      <c r="J1498" s="2">
        <v>2</v>
      </c>
      <c r="K1498" s="2" t="s">
        <v>17</v>
      </c>
      <c r="L1498" s="2">
        <f t="shared" si="5"/>
        <v>144000</v>
      </c>
    </row>
    <row r="1499" spans="1:12" ht="14.25" customHeight="1" x14ac:dyDescent="0.2">
      <c r="A1499" s="33">
        <v>47173</v>
      </c>
      <c r="B1499" s="33"/>
      <c r="C1499" s="2" t="s">
        <v>25</v>
      </c>
      <c r="D1499" s="2" t="s">
        <v>26</v>
      </c>
      <c r="E1499" s="2" t="s">
        <v>13</v>
      </c>
      <c r="F1499" s="2" t="s">
        <v>20</v>
      </c>
      <c r="G1499" s="2" t="s">
        <v>41</v>
      </c>
      <c r="H1499" s="2" t="s">
        <v>22</v>
      </c>
      <c r="I1499" s="2">
        <v>220000</v>
      </c>
      <c r="J1499" s="2">
        <v>1</v>
      </c>
      <c r="K1499" s="2" t="s">
        <v>24</v>
      </c>
      <c r="L1499" s="2">
        <f t="shared" si="5"/>
        <v>176000</v>
      </c>
    </row>
    <row r="1500" spans="1:12" ht="14.25" customHeight="1" x14ac:dyDescent="0.2">
      <c r="A1500" s="33">
        <v>47174</v>
      </c>
      <c r="B1500" s="33"/>
      <c r="C1500" s="2" t="s">
        <v>11</v>
      </c>
      <c r="D1500" s="2" t="s">
        <v>26</v>
      </c>
      <c r="E1500" s="2" t="s">
        <v>23</v>
      </c>
      <c r="F1500" s="2" t="s">
        <v>14</v>
      </c>
      <c r="G1500" s="2" t="s">
        <v>34</v>
      </c>
      <c r="H1500" s="2" t="s">
        <v>16</v>
      </c>
      <c r="I1500" s="2">
        <v>320000</v>
      </c>
      <c r="J1500" s="2">
        <v>4</v>
      </c>
      <c r="K1500" s="2" t="s">
        <v>37</v>
      </c>
      <c r="L1500" s="2">
        <f t="shared" si="5"/>
        <v>256000</v>
      </c>
    </row>
    <row r="1501" spans="1:12" ht="14.25" customHeight="1" x14ac:dyDescent="0.2">
      <c r="A1501" s="33">
        <v>47175</v>
      </c>
      <c r="B1501" s="33"/>
      <c r="C1501" s="2" t="s">
        <v>25</v>
      </c>
      <c r="D1501" s="2" t="s">
        <v>26</v>
      </c>
      <c r="E1501" s="2" t="s">
        <v>13</v>
      </c>
      <c r="F1501" s="2" t="s">
        <v>14</v>
      </c>
      <c r="G1501" s="2" t="s">
        <v>40</v>
      </c>
      <c r="H1501" s="2" t="s">
        <v>31</v>
      </c>
      <c r="I1501" s="2">
        <v>250000</v>
      </c>
      <c r="J1501" s="2">
        <v>4</v>
      </c>
      <c r="K1501" s="2" t="s">
        <v>24</v>
      </c>
      <c r="L1501" s="2">
        <f t="shared" si="5"/>
        <v>200000</v>
      </c>
    </row>
    <row r="1502" spans="1:12" ht="14.25" customHeight="1" x14ac:dyDescent="0.2">
      <c r="A1502" s="33">
        <v>47176</v>
      </c>
      <c r="B1502" s="33"/>
      <c r="C1502" s="2" t="s">
        <v>25</v>
      </c>
      <c r="D1502" s="2" t="s">
        <v>12</v>
      </c>
      <c r="E1502" s="2" t="s">
        <v>13</v>
      </c>
      <c r="F1502" s="2" t="s">
        <v>20</v>
      </c>
      <c r="G1502" s="2" t="s">
        <v>27</v>
      </c>
      <c r="H1502" s="2" t="s">
        <v>22</v>
      </c>
      <c r="I1502" s="2">
        <v>60000</v>
      </c>
      <c r="J1502" s="2">
        <v>10</v>
      </c>
      <c r="K1502" s="2" t="s">
        <v>39</v>
      </c>
      <c r="L1502" s="2">
        <f t="shared" si="5"/>
        <v>48000</v>
      </c>
    </row>
    <row r="1503" spans="1:12" ht="14.25" customHeight="1" x14ac:dyDescent="0.2">
      <c r="A1503" s="33">
        <v>47177</v>
      </c>
      <c r="B1503" s="33"/>
      <c r="C1503" s="2" t="s">
        <v>18</v>
      </c>
      <c r="D1503" s="2" t="s">
        <v>32</v>
      </c>
      <c r="E1503" s="2" t="s">
        <v>23</v>
      </c>
      <c r="F1503" s="2" t="s">
        <v>14</v>
      </c>
      <c r="G1503" s="2" t="s">
        <v>33</v>
      </c>
      <c r="H1503" s="2" t="s">
        <v>22</v>
      </c>
      <c r="I1503" s="2">
        <v>180000</v>
      </c>
      <c r="J1503" s="2">
        <v>10</v>
      </c>
      <c r="K1503" s="2" t="s">
        <v>37</v>
      </c>
      <c r="L1503" s="2">
        <f t="shared" si="5"/>
        <v>144000</v>
      </c>
    </row>
    <row r="1504" spans="1:12" ht="14.25" customHeight="1" x14ac:dyDescent="0.2">
      <c r="A1504" s="33">
        <v>47178</v>
      </c>
      <c r="B1504" s="33"/>
      <c r="C1504" s="2" t="s">
        <v>18</v>
      </c>
      <c r="D1504" s="2" t="s">
        <v>26</v>
      </c>
      <c r="E1504" s="2" t="s">
        <v>23</v>
      </c>
      <c r="F1504" s="2" t="s">
        <v>20</v>
      </c>
      <c r="G1504" s="2" t="s">
        <v>30</v>
      </c>
      <c r="H1504" s="2" t="s">
        <v>31</v>
      </c>
      <c r="I1504" s="2">
        <v>300000</v>
      </c>
      <c r="J1504" s="2">
        <v>5</v>
      </c>
      <c r="K1504" s="2" t="s">
        <v>35</v>
      </c>
      <c r="L1504" s="2">
        <f t="shared" si="5"/>
        <v>240000</v>
      </c>
    </row>
    <row r="1505" spans="1:12" ht="14.25" customHeight="1" x14ac:dyDescent="0.2">
      <c r="A1505" s="33">
        <v>47179</v>
      </c>
      <c r="B1505" s="33"/>
      <c r="C1505" s="2" t="s">
        <v>18</v>
      </c>
      <c r="D1505" s="2" t="s">
        <v>32</v>
      </c>
      <c r="E1505" s="2" t="s">
        <v>13</v>
      </c>
      <c r="F1505" s="2" t="s">
        <v>20</v>
      </c>
      <c r="G1505" s="2" t="s">
        <v>15</v>
      </c>
      <c r="H1505" s="2" t="s">
        <v>16</v>
      </c>
      <c r="I1505" s="2">
        <v>85000</v>
      </c>
      <c r="J1505" s="2">
        <v>7</v>
      </c>
      <c r="K1505" s="2" t="s">
        <v>37</v>
      </c>
      <c r="L1505" s="2">
        <f t="shared" si="5"/>
        <v>68000</v>
      </c>
    </row>
    <row r="1506" spans="1:12" ht="14.25" customHeight="1" x14ac:dyDescent="0.2">
      <c r="A1506" s="33">
        <v>47180</v>
      </c>
      <c r="B1506" s="33"/>
      <c r="C1506" s="2" t="s">
        <v>18</v>
      </c>
      <c r="D1506" s="2" t="s">
        <v>12</v>
      </c>
      <c r="E1506" s="2" t="s">
        <v>13</v>
      </c>
      <c r="F1506" s="2" t="s">
        <v>14</v>
      </c>
      <c r="G1506" s="2" t="s">
        <v>33</v>
      </c>
      <c r="H1506" s="2" t="s">
        <v>22</v>
      </c>
      <c r="I1506" s="2">
        <v>180000</v>
      </c>
      <c r="J1506" s="2">
        <v>5</v>
      </c>
      <c r="K1506" s="2" t="s">
        <v>28</v>
      </c>
      <c r="L1506" s="2">
        <f t="shared" si="5"/>
        <v>144000</v>
      </c>
    </row>
    <row r="1507" spans="1:12" ht="14.25" customHeight="1" x14ac:dyDescent="0.2">
      <c r="A1507" s="33">
        <v>47181</v>
      </c>
      <c r="B1507" s="33"/>
      <c r="C1507" s="2" t="s">
        <v>18</v>
      </c>
      <c r="D1507" s="2" t="s">
        <v>26</v>
      </c>
      <c r="E1507" s="2" t="s">
        <v>23</v>
      </c>
      <c r="F1507" s="2" t="s">
        <v>20</v>
      </c>
      <c r="G1507" s="2" t="s">
        <v>34</v>
      </c>
      <c r="H1507" s="2" t="s">
        <v>16</v>
      </c>
      <c r="I1507" s="2">
        <v>320000</v>
      </c>
      <c r="J1507" s="2">
        <v>4</v>
      </c>
      <c r="K1507" s="2" t="s">
        <v>24</v>
      </c>
      <c r="L1507" s="2">
        <f t="shared" si="5"/>
        <v>256000</v>
      </c>
    </row>
    <row r="1508" spans="1:12" ht="14.25" customHeight="1" x14ac:dyDescent="0.2">
      <c r="A1508" s="33">
        <v>47182</v>
      </c>
      <c r="B1508" s="33"/>
      <c r="C1508" s="2" t="s">
        <v>11</v>
      </c>
      <c r="D1508" s="2" t="s">
        <v>12</v>
      </c>
      <c r="E1508" s="2" t="s">
        <v>23</v>
      </c>
      <c r="F1508" s="2" t="s">
        <v>14</v>
      </c>
      <c r="G1508" s="2" t="s">
        <v>33</v>
      </c>
      <c r="H1508" s="2" t="s">
        <v>22</v>
      </c>
      <c r="I1508" s="2">
        <v>180000</v>
      </c>
      <c r="J1508" s="2">
        <v>8</v>
      </c>
      <c r="K1508" s="2" t="s">
        <v>28</v>
      </c>
      <c r="L1508" s="2">
        <f t="shared" si="5"/>
        <v>144000</v>
      </c>
    </row>
    <row r="1509" spans="1:12" ht="14.25" customHeight="1" x14ac:dyDescent="0.2">
      <c r="A1509" s="33">
        <v>47183</v>
      </c>
      <c r="B1509" s="33"/>
      <c r="C1509" s="2" t="s">
        <v>29</v>
      </c>
      <c r="D1509" s="2" t="s">
        <v>26</v>
      </c>
      <c r="E1509" s="2" t="s">
        <v>13</v>
      </c>
      <c r="F1509" s="2" t="s">
        <v>14</v>
      </c>
      <c r="G1509" s="2" t="s">
        <v>21</v>
      </c>
      <c r="H1509" s="2" t="s">
        <v>22</v>
      </c>
      <c r="I1509" s="2">
        <v>30000</v>
      </c>
      <c r="J1509" s="2">
        <v>3</v>
      </c>
      <c r="K1509" s="2" t="s">
        <v>37</v>
      </c>
      <c r="L1509" s="2">
        <f t="shared" si="5"/>
        <v>24000</v>
      </c>
    </row>
    <row r="1510" spans="1:12" ht="14.25" customHeight="1" x14ac:dyDescent="0.2">
      <c r="A1510" s="33">
        <v>47184</v>
      </c>
      <c r="B1510" s="33"/>
      <c r="C1510" s="2" t="s">
        <v>29</v>
      </c>
      <c r="D1510" s="2" t="s">
        <v>32</v>
      </c>
      <c r="E1510" s="2" t="s">
        <v>23</v>
      </c>
      <c r="F1510" s="2" t="s">
        <v>20</v>
      </c>
      <c r="G1510" s="2" t="s">
        <v>41</v>
      </c>
      <c r="H1510" s="2" t="s">
        <v>22</v>
      </c>
      <c r="I1510" s="2">
        <v>220000</v>
      </c>
      <c r="J1510" s="2">
        <v>3</v>
      </c>
      <c r="K1510" s="2" t="s">
        <v>24</v>
      </c>
      <c r="L1510" s="2">
        <f t="shared" si="5"/>
        <v>176000</v>
      </c>
    </row>
    <row r="1511" spans="1:12" ht="14.25" customHeight="1" x14ac:dyDescent="0.2">
      <c r="A1511" s="33">
        <v>47185</v>
      </c>
      <c r="B1511" s="33"/>
      <c r="C1511" s="2" t="s">
        <v>18</v>
      </c>
      <c r="D1511" s="2" t="s">
        <v>26</v>
      </c>
      <c r="E1511" s="2" t="s">
        <v>13</v>
      </c>
      <c r="F1511" s="2" t="s">
        <v>14</v>
      </c>
      <c r="G1511" s="2" t="s">
        <v>15</v>
      </c>
      <c r="H1511" s="2" t="s">
        <v>16</v>
      </c>
      <c r="I1511" s="2">
        <v>85000</v>
      </c>
      <c r="J1511" s="2">
        <v>4</v>
      </c>
      <c r="K1511" s="2" t="s">
        <v>24</v>
      </c>
      <c r="L1511" s="2">
        <f t="shared" si="5"/>
        <v>68000</v>
      </c>
    </row>
    <row r="1512" spans="1:12" ht="14.25" customHeight="1" x14ac:dyDescent="0.2">
      <c r="A1512" s="33">
        <v>47186</v>
      </c>
      <c r="B1512" s="33"/>
      <c r="C1512" s="2" t="s">
        <v>29</v>
      </c>
      <c r="D1512" s="2" t="s">
        <v>19</v>
      </c>
      <c r="E1512" s="2" t="s">
        <v>13</v>
      </c>
      <c r="F1512" s="2" t="s">
        <v>14</v>
      </c>
      <c r="G1512" s="2" t="s">
        <v>33</v>
      </c>
      <c r="H1512" s="2" t="s">
        <v>22</v>
      </c>
      <c r="I1512" s="2">
        <v>180000</v>
      </c>
      <c r="J1512" s="2">
        <v>6</v>
      </c>
      <c r="K1512" s="2" t="s">
        <v>24</v>
      </c>
      <c r="L1512" s="2">
        <f t="shared" si="5"/>
        <v>144000</v>
      </c>
    </row>
    <row r="1513" spans="1:12" ht="14.25" customHeight="1" x14ac:dyDescent="0.2">
      <c r="A1513" s="33">
        <v>47187</v>
      </c>
      <c r="B1513" s="33"/>
      <c r="C1513" s="2" t="s">
        <v>29</v>
      </c>
      <c r="D1513" s="2" t="s">
        <v>26</v>
      </c>
      <c r="E1513" s="2" t="s">
        <v>23</v>
      </c>
      <c r="F1513" s="2" t="s">
        <v>20</v>
      </c>
      <c r="G1513" s="2" t="s">
        <v>41</v>
      </c>
      <c r="H1513" s="2" t="s">
        <v>22</v>
      </c>
      <c r="I1513" s="2">
        <v>220000</v>
      </c>
      <c r="J1513" s="2">
        <v>8</v>
      </c>
      <c r="K1513" s="2" t="s">
        <v>17</v>
      </c>
      <c r="L1513" s="2">
        <f t="shared" si="5"/>
        <v>176000</v>
      </c>
    </row>
    <row r="1514" spans="1:12" ht="14.25" customHeight="1" x14ac:dyDescent="0.2">
      <c r="A1514" s="33">
        <v>47188</v>
      </c>
      <c r="B1514" s="33"/>
      <c r="C1514" s="2" t="s">
        <v>25</v>
      </c>
      <c r="D1514" s="2" t="s">
        <v>19</v>
      </c>
      <c r="E1514" s="2" t="s">
        <v>13</v>
      </c>
      <c r="F1514" s="2" t="s">
        <v>20</v>
      </c>
      <c r="G1514" s="2" t="s">
        <v>36</v>
      </c>
      <c r="H1514" s="2" t="s">
        <v>31</v>
      </c>
      <c r="I1514" s="2">
        <v>150000</v>
      </c>
      <c r="J1514" s="2">
        <v>1</v>
      </c>
      <c r="K1514" s="2" t="s">
        <v>39</v>
      </c>
      <c r="L1514" s="2">
        <f t="shared" si="5"/>
        <v>120000</v>
      </c>
    </row>
    <row r="1515" spans="1:12" ht="14.25" customHeight="1" x14ac:dyDescent="0.2">
      <c r="A1515" s="33">
        <v>47189</v>
      </c>
      <c r="B1515" s="33"/>
      <c r="C1515" s="2" t="s">
        <v>29</v>
      </c>
      <c r="D1515" s="2" t="s">
        <v>26</v>
      </c>
      <c r="E1515" s="2" t="s">
        <v>23</v>
      </c>
      <c r="F1515" s="2" t="s">
        <v>14</v>
      </c>
      <c r="G1515" s="2" t="s">
        <v>33</v>
      </c>
      <c r="H1515" s="2" t="s">
        <v>22</v>
      </c>
      <c r="I1515" s="2">
        <v>180000</v>
      </c>
      <c r="J1515" s="2">
        <v>9</v>
      </c>
      <c r="K1515" s="2" t="s">
        <v>35</v>
      </c>
      <c r="L1515" s="2">
        <f t="shared" si="5"/>
        <v>144000</v>
      </c>
    </row>
    <row r="1516" spans="1:12" ht="14.25" customHeight="1" x14ac:dyDescent="0.2">
      <c r="A1516" s="33">
        <v>47190</v>
      </c>
      <c r="B1516" s="33"/>
      <c r="C1516" s="2" t="s">
        <v>29</v>
      </c>
      <c r="D1516" s="2" t="s">
        <v>26</v>
      </c>
      <c r="E1516" s="2" t="s">
        <v>23</v>
      </c>
      <c r="F1516" s="2" t="s">
        <v>20</v>
      </c>
      <c r="G1516" s="2" t="s">
        <v>38</v>
      </c>
      <c r="H1516" s="2" t="s">
        <v>31</v>
      </c>
      <c r="I1516" s="2">
        <v>420000</v>
      </c>
      <c r="J1516" s="2">
        <v>10</v>
      </c>
      <c r="K1516" s="2" t="s">
        <v>17</v>
      </c>
      <c r="L1516" s="2">
        <f t="shared" si="5"/>
        <v>336000</v>
      </c>
    </row>
    <row r="1517" spans="1:12" ht="14.25" customHeight="1" x14ac:dyDescent="0.2">
      <c r="A1517" s="33">
        <v>47191</v>
      </c>
      <c r="B1517" s="33"/>
      <c r="C1517" s="2" t="s">
        <v>11</v>
      </c>
      <c r="D1517" s="2" t="s">
        <v>32</v>
      </c>
      <c r="E1517" s="2" t="s">
        <v>13</v>
      </c>
      <c r="F1517" s="2" t="s">
        <v>14</v>
      </c>
      <c r="G1517" s="2" t="s">
        <v>40</v>
      </c>
      <c r="H1517" s="2" t="s">
        <v>31</v>
      </c>
      <c r="I1517" s="2">
        <v>250000</v>
      </c>
      <c r="J1517" s="2">
        <v>10</v>
      </c>
      <c r="K1517" s="2" t="s">
        <v>17</v>
      </c>
      <c r="L1517" s="2">
        <f t="shared" si="5"/>
        <v>200000</v>
      </c>
    </row>
    <row r="1518" spans="1:12" ht="14.25" customHeight="1" x14ac:dyDescent="0.2">
      <c r="A1518" s="33">
        <v>47192</v>
      </c>
      <c r="B1518" s="33"/>
      <c r="C1518" s="2" t="s">
        <v>18</v>
      </c>
      <c r="D1518" s="2" t="s">
        <v>26</v>
      </c>
      <c r="E1518" s="2" t="s">
        <v>13</v>
      </c>
      <c r="F1518" s="2" t="s">
        <v>20</v>
      </c>
      <c r="G1518" s="2" t="s">
        <v>41</v>
      </c>
      <c r="H1518" s="2" t="s">
        <v>22</v>
      </c>
      <c r="I1518" s="2">
        <v>220000</v>
      </c>
      <c r="J1518" s="2">
        <v>3</v>
      </c>
      <c r="K1518" s="2" t="s">
        <v>24</v>
      </c>
      <c r="L1518" s="2">
        <f t="shared" si="5"/>
        <v>176000</v>
      </c>
    </row>
    <row r="1519" spans="1:12" ht="14.25" customHeight="1" x14ac:dyDescent="0.2">
      <c r="A1519" s="33">
        <v>47193</v>
      </c>
      <c r="B1519" s="33"/>
      <c r="C1519" s="2" t="s">
        <v>29</v>
      </c>
      <c r="D1519" s="2" t="s">
        <v>32</v>
      </c>
      <c r="E1519" s="2" t="s">
        <v>13</v>
      </c>
      <c r="F1519" s="2" t="s">
        <v>14</v>
      </c>
      <c r="G1519" s="2" t="s">
        <v>21</v>
      </c>
      <c r="H1519" s="2" t="s">
        <v>22</v>
      </c>
      <c r="I1519" s="2">
        <v>30000</v>
      </c>
      <c r="J1519" s="2">
        <v>4</v>
      </c>
      <c r="K1519" s="2" t="s">
        <v>35</v>
      </c>
      <c r="L1519" s="2">
        <f t="shared" si="5"/>
        <v>24000</v>
      </c>
    </row>
    <row r="1520" spans="1:12" ht="14.25" customHeight="1" x14ac:dyDescent="0.2">
      <c r="A1520" s="33">
        <v>47194</v>
      </c>
      <c r="B1520" s="33"/>
      <c r="C1520" s="2" t="s">
        <v>18</v>
      </c>
      <c r="D1520" s="2" t="s">
        <v>32</v>
      </c>
      <c r="E1520" s="2" t="s">
        <v>13</v>
      </c>
      <c r="F1520" s="2" t="s">
        <v>20</v>
      </c>
      <c r="G1520" s="2" t="s">
        <v>33</v>
      </c>
      <c r="H1520" s="2" t="s">
        <v>22</v>
      </c>
      <c r="I1520" s="2">
        <v>180000</v>
      </c>
      <c r="J1520" s="2">
        <v>9</v>
      </c>
      <c r="K1520" s="2" t="s">
        <v>35</v>
      </c>
      <c r="L1520" s="2">
        <f t="shared" si="5"/>
        <v>144000</v>
      </c>
    </row>
    <row r="1521" spans="1:12" ht="14.25" customHeight="1" x14ac:dyDescent="0.2">
      <c r="A1521" s="33">
        <v>47195</v>
      </c>
      <c r="B1521" s="33"/>
      <c r="C1521" s="2" t="s">
        <v>11</v>
      </c>
      <c r="D1521" s="2" t="s">
        <v>26</v>
      </c>
      <c r="E1521" s="2" t="s">
        <v>13</v>
      </c>
      <c r="F1521" s="2" t="s">
        <v>20</v>
      </c>
      <c r="G1521" s="2" t="s">
        <v>33</v>
      </c>
      <c r="H1521" s="2" t="s">
        <v>22</v>
      </c>
      <c r="I1521" s="2">
        <v>180000</v>
      </c>
      <c r="J1521" s="2">
        <v>7</v>
      </c>
      <c r="K1521" s="2" t="s">
        <v>35</v>
      </c>
      <c r="L1521" s="2">
        <f t="shared" si="5"/>
        <v>144000</v>
      </c>
    </row>
    <row r="1522" spans="1:12" ht="14.25" customHeight="1" x14ac:dyDescent="0.2">
      <c r="A1522" s="33">
        <v>47196</v>
      </c>
      <c r="B1522" s="33"/>
      <c r="C1522" s="2" t="s">
        <v>18</v>
      </c>
      <c r="D1522" s="2" t="s">
        <v>12</v>
      </c>
      <c r="E1522" s="2" t="s">
        <v>23</v>
      </c>
      <c r="F1522" s="2" t="s">
        <v>20</v>
      </c>
      <c r="G1522" s="2" t="s">
        <v>36</v>
      </c>
      <c r="H1522" s="2" t="s">
        <v>31</v>
      </c>
      <c r="I1522" s="2">
        <v>150000</v>
      </c>
      <c r="J1522" s="2">
        <v>7</v>
      </c>
      <c r="K1522" s="2" t="s">
        <v>17</v>
      </c>
      <c r="L1522" s="2">
        <f t="shared" si="5"/>
        <v>120000</v>
      </c>
    </row>
    <row r="1523" spans="1:12" ht="14.25" customHeight="1" x14ac:dyDescent="0.2">
      <c r="A1523" s="33">
        <v>47197</v>
      </c>
      <c r="B1523" s="33"/>
      <c r="C1523" s="2" t="s">
        <v>18</v>
      </c>
      <c r="D1523" s="2" t="s">
        <v>32</v>
      </c>
      <c r="E1523" s="2" t="s">
        <v>13</v>
      </c>
      <c r="F1523" s="2" t="s">
        <v>14</v>
      </c>
      <c r="G1523" s="2" t="s">
        <v>21</v>
      </c>
      <c r="H1523" s="2" t="s">
        <v>22</v>
      </c>
      <c r="I1523" s="2">
        <v>30000</v>
      </c>
      <c r="J1523" s="2">
        <v>4</v>
      </c>
      <c r="K1523" s="2" t="s">
        <v>28</v>
      </c>
      <c r="L1523" s="2">
        <f t="shared" si="5"/>
        <v>24000</v>
      </c>
    </row>
    <row r="1524" spans="1:12" ht="14.25" customHeight="1" x14ac:dyDescent="0.2">
      <c r="A1524" s="33">
        <v>47198</v>
      </c>
      <c r="B1524" s="33"/>
      <c r="C1524" s="2" t="s">
        <v>18</v>
      </c>
      <c r="D1524" s="2" t="s">
        <v>19</v>
      </c>
      <c r="E1524" s="2" t="s">
        <v>13</v>
      </c>
      <c r="F1524" s="2" t="s">
        <v>14</v>
      </c>
      <c r="G1524" s="2" t="s">
        <v>34</v>
      </c>
      <c r="H1524" s="2" t="s">
        <v>16</v>
      </c>
      <c r="I1524" s="2">
        <v>320000</v>
      </c>
      <c r="J1524" s="2">
        <v>2</v>
      </c>
      <c r="K1524" s="2" t="s">
        <v>35</v>
      </c>
      <c r="L1524" s="2">
        <f t="shared" si="5"/>
        <v>256000</v>
      </c>
    </row>
    <row r="1525" spans="1:12" ht="14.25" customHeight="1" x14ac:dyDescent="0.2">
      <c r="A1525" s="33">
        <v>47199</v>
      </c>
      <c r="B1525" s="33"/>
      <c r="C1525" s="2" t="s">
        <v>18</v>
      </c>
      <c r="D1525" s="2" t="s">
        <v>19</v>
      </c>
      <c r="E1525" s="2" t="s">
        <v>23</v>
      </c>
      <c r="F1525" s="2" t="s">
        <v>20</v>
      </c>
      <c r="G1525" s="2" t="s">
        <v>34</v>
      </c>
      <c r="H1525" s="2" t="s">
        <v>16</v>
      </c>
      <c r="I1525" s="2">
        <v>320000</v>
      </c>
      <c r="J1525" s="2">
        <v>6</v>
      </c>
      <c r="K1525" s="2" t="s">
        <v>37</v>
      </c>
      <c r="L1525" s="2">
        <f t="shared" si="5"/>
        <v>256000</v>
      </c>
    </row>
    <row r="1526" spans="1:12" ht="14.25" customHeight="1" x14ac:dyDescent="0.2">
      <c r="A1526" s="33">
        <v>47200</v>
      </c>
      <c r="B1526" s="33"/>
      <c r="C1526" s="2" t="s">
        <v>18</v>
      </c>
      <c r="D1526" s="2" t="s">
        <v>26</v>
      </c>
      <c r="E1526" s="2" t="s">
        <v>23</v>
      </c>
      <c r="F1526" s="2" t="s">
        <v>20</v>
      </c>
      <c r="G1526" s="2" t="s">
        <v>38</v>
      </c>
      <c r="H1526" s="2" t="s">
        <v>31</v>
      </c>
      <c r="I1526" s="2">
        <v>420000</v>
      </c>
      <c r="J1526" s="2">
        <v>10</v>
      </c>
      <c r="K1526" s="2" t="s">
        <v>24</v>
      </c>
      <c r="L1526" s="2">
        <f t="shared" si="5"/>
        <v>336000</v>
      </c>
    </row>
    <row r="1527" spans="1:12" ht="14.25" customHeight="1" x14ac:dyDescent="0.2">
      <c r="A1527" s="33">
        <v>47201</v>
      </c>
      <c r="B1527" s="33"/>
      <c r="C1527" s="2" t="s">
        <v>25</v>
      </c>
      <c r="D1527" s="2" t="s">
        <v>32</v>
      </c>
      <c r="E1527" s="2" t="s">
        <v>13</v>
      </c>
      <c r="F1527" s="2" t="s">
        <v>14</v>
      </c>
      <c r="G1527" s="2" t="s">
        <v>41</v>
      </c>
      <c r="H1527" s="2" t="s">
        <v>22</v>
      </c>
      <c r="I1527" s="2">
        <v>220000</v>
      </c>
      <c r="J1527" s="2">
        <v>8</v>
      </c>
      <c r="K1527" s="2" t="s">
        <v>17</v>
      </c>
      <c r="L1527" s="2">
        <f t="shared" si="5"/>
        <v>176000</v>
      </c>
    </row>
    <row r="1528" spans="1:12" ht="14.25" customHeight="1" x14ac:dyDescent="0.2">
      <c r="A1528" s="33">
        <v>47202</v>
      </c>
      <c r="B1528" s="33"/>
      <c r="C1528" s="2" t="s">
        <v>18</v>
      </c>
      <c r="D1528" s="2" t="s">
        <v>12</v>
      </c>
      <c r="E1528" s="2" t="s">
        <v>13</v>
      </c>
      <c r="F1528" s="2" t="s">
        <v>14</v>
      </c>
      <c r="G1528" s="2" t="s">
        <v>30</v>
      </c>
      <c r="H1528" s="2" t="s">
        <v>31</v>
      </c>
      <c r="I1528" s="2">
        <v>300000</v>
      </c>
      <c r="J1528" s="2">
        <v>10</v>
      </c>
      <c r="K1528" s="2" t="s">
        <v>17</v>
      </c>
      <c r="L1528" s="2">
        <f t="shared" si="5"/>
        <v>240000</v>
      </c>
    </row>
    <row r="1529" spans="1:12" ht="14.25" customHeight="1" x14ac:dyDescent="0.2">
      <c r="A1529" s="33">
        <v>47203</v>
      </c>
      <c r="B1529" s="33"/>
      <c r="C1529" s="2" t="s">
        <v>25</v>
      </c>
      <c r="D1529" s="2" t="s">
        <v>32</v>
      </c>
      <c r="E1529" s="2" t="s">
        <v>23</v>
      </c>
      <c r="F1529" s="2" t="s">
        <v>20</v>
      </c>
      <c r="G1529" s="2" t="s">
        <v>30</v>
      </c>
      <c r="H1529" s="2" t="s">
        <v>31</v>
      </c>
      <c r="I1529" s="2">
        <v>300000</v>
      </c>
      <c r="J1529" s="2">
        <v>3</v>
      </c>
      <c r="K1529" s="2" t="s">
        <v>28</v>
      </c>
      <c r="L1529" s="2">
        <f t="shared" si="5"/>
        <v>240000</v>
      </c>
    </row>
    <row r="1530" spans="1:12" ht="14.25" customHeight="1" x14ac:dyDescent="0.2">
      <c r="A1530" s="33">
        <v>47204</v>
      </c>
      <c r="B1530" s="33"/>
      <c r="C1530" s="2" t="s">
        <v>29</v>
      </c>
      <c r="D1530" s="2" t="s">
        <v>12</v>
      </c>
      <c r="E1530" s="2" t="s">
        <v>13</v>
      </c>
      <c r="F1530" s="2" t="s">
        <v>14</v>
      </c>
      <c r="G1530" s="2" t="s">
        <v>34</v>
      </c>
      <c r="H1530" s="2" t="s">
        <v>16</v>
      </c>
      <c r="I1530" s="2">
        <v>320000</v>
      </c>
      <c r="J1530" s="2">
        <v>5</v>
      </c>
      <c r="K1530" s="2" t="s">
        <v>37</v>
      </c>
      <c r="L1530" s="2">
        <f t="shared" si="5"/>
        <v>256000</v>
      </c>
    </row>
    <row r="1531" spans="1:12" ht="14.25" customHeight="1" x14ac:dyDescent="0.2">
      <c r="A1531" s="33">
        <v>47205</v>
      </c>
      <c r="B1531" s="33"/>
      <c r="C1531" s="2" t="s">
        <v>18</v>
      </c>
      <c r="D1531" s="2" t="s">
        <v>32</v>
      </c>
      <c r="E1531" s="2" t="s">
        <v>13</v>
      </c>
      <c r="F1531" s="2" t="s">
        <v>14</v>
      </c>
      <c r="G1531" s="2" t="s">
        <v>15</v>
      </c>
      <c r="H1531" s="2" t="s">
        <v>16</v>
      </c>
      <c r="I1531" s="2">
        <v>85000</v>
      </c>
      <c r="J1531" s="2">
        <v>7</v>
      </c>
      <c r="K1531" s="2" t="s">
        <v>17</v>
      </c>
      <c r="L1531" s="2">
        <f t="shared" si="5"/>
        <v>68000</v>
      </c>
    </row>
    <row r="1532" spans="1:12" ht="14.25" customHeight="1" x14ac:dyDescent="0.2">
      <c r="A1532" s="33">
        <v>47206</v>
      </c>
      <c r="B1532" s="33"/>
      <c r="C1532" s="2" t="s">
        <v>11</v>
      </c>
      <c r="D1532" s="2" t="s">
        <v>26</v>
      </c>
      <c r="E1532" s="2" t="s">
        <v>13</v>
      </c>
      <c r="F1532" s="2" t="s">
        <v>20</v>
      </c>
      <c r="G1532" s="2" t="s">
        <v>41</v>
      </c>
      <c r="H1532" s="2" t="s">
        <v>22</v>
      </c>
      <c r="I1532" s="2">
        <v>220000</v>
      </c>
      <c r="J1532" s="2">
        <v>2</v>
      </c>
      <c r="K1532" s="2" t="s">
        <v>37</v>
      </c>
      <c r="L1532" s="2">
        <f t="shared" ref="L1532:L1786" si="6">I1532-I1532*0.2</f>
        <v>176000</v>
      </c>
    </row>
    <row r="1533" spans="1:12" ht="14.25" customHeight="1" x14ac:dyDescent="0.2">
      <c r="A1533" s="33">
        <v>47207</v>
      </c>
      <c r="B1533" s="33"/>
      <c r="C1533" s="2" t="s">
        <v>29</v>
      </c>
      <c r="D1533" s="2" t="s">
        <v>32</v>
      </c>
      <c r="E1533" s="2" t="s">
        <v>13</v>
      </c>
      <c r="F1533" s="2" t="s">
        <v>20</v>
      </c>
      <c r="G1533" s="2" t="s">
        <v>30</v>
      </c>
      <c r="H1533" s="2" t="s">
        <v>31</v>
      </c>
      <c r="I1533" s="2">
        <v>300000</v>
      </c>
      <c r="J1533" s="2">
        <v>2</v>
      </c>
      <c r="K1533" s="2" t="s">
        <v>28</v>
      </c>
      <c r="L1533" s="2">
        <f t="shared" si="6"/>
        <v>240000</v>
      </c>
    </row>
    <row r="1534" spans="1:12" ht="14.25" customHeight="1" x14ac:dyDescent="0.2">
      <c r="A1534" s="33">
        <v>47208</v>
      </c>
      <c r="B1534" s="33"/>
      <c r="C1534" s="2" t="s">
        <v>25</v>
      </c>
      <c r="D1534" s="2" t="s">
        <v>19</v>
      </c>
      <c r="E1534" s="2" t="s">
        <v>23</v>
      </c>
      <c r="F1534" s="2" t="s">
        <v>14</v>
      </c>
      <c r="G1534" s="2" t="s">
        <v>15</v>
      </c>
      <c r="H1534" s="2" t="s">
        <v>16</v>
      </c>
      <c r="I1534" s="2">
        <v>85000</v>
      </c>
      <c r="J1534" s="2">
        <v>3</v>
      </c>
      <c r="K1534" s="2" t="s">
        <v>24</v>
      </c>
      <c r="L1534" s="2">
        <f t="shared" si="6"/>
        <v>68000</v>
      </c>
    </row>
    <row r="1535" spans="1:12" ht="14.25" customHeight="1" x14ac:dyDescent="0.2">
      <c r="A1535" s="33">
        <v>47209</v>
      </c>
      <c r="B1535" s="33"/>
      <c r="C1535" s="2" t="s">
        <v>29</v>
      </c>
      <c r="D1535" s="2" t="s">
        <v>32</v>
      </c>
      <c r="E1535" s="2" t="s">
        <v>13</v>
      </c>
      <c r="F1535" s="2" t="s">
        <v>20</v>
      </c>
      <c r="G1535" s="2" t="s">
        <v>41</v>
      </c>
      <c r="H1535" s="2" t="s">
        <v>22</v>
      </c>
      <c r="I1535" s="2">
        <v>220000</v>
      </c>
      <c r="J1535" s="2">
        <v>7</v>
      </c>
      <c r="K1535" s="2" t="s">
        <v>37</v>
      </c>
      <c r="L1535" s="2">
        <f t="shared" si="6"/>
        <v>176000</v>
      </c>
    </row>
    <row r="1536" spans="1:12" ht="14.25" customHeight="1" x14ac:dyDescent="0.2">
      <c r="A1536" s="33">
        <v>47210</v>
      </c>
      <c r="B1536" s="33"/>
      <c r="C1536" s="2" t="s">
        <v>18</v>
      </c>
      <c r="D1536" s="2" t="s">
        <v>26</v>
      </c>
      <c r="E1536" s="2" t="s">
        <v>23</v>
      </c>
      <c r="F1536" s="2" t="s">
        <v>14</v>
      </c>
      <c r="G1536" s="2" t="s">
        <v>36</v>
      </c>
      <c r="H1536" s="2" t="s">
        <v>31</v>
      </c>
      <c r="I1536" s="2">
        <v>150000</v>
      </c>
      <c r="J1536" s="2">
        <v>3</v>
      </c>
      <c r="K1536" s="2" t="s">
        <v>28</v>
      </c>
      <c r="L1536" s="2">
        <f t="shared" si="6"/>
        <v>120000</v>
      </c>
    </row>
    <row r="1537" spans="1:12" ht="14.25" customHeight="1" x14ac:dyDescent="0.2">
      <c r="A1537" s="33">
        <v>47211</v>
      </c>
      <c r="B1537" s="33"/>
      <c r="C1537" s="2" t="s">
        <v>18</v>
      </c>
      <c r="D1537" s="2" t="s">
        <v>19</v>
      </c>
      <c r="E1537" s="2" t="s">
        <v>13</v>
      </c>
      <c r="F1537" s="2" t="s">
        <v>20</v>
      </c>
      <c r="G1537" s="2" t="s">
        <v>38</v>
      </c>
      <c r="H1537" s="2" t="s">
        <v>31</v>
      </c>
      <c r="I1537" s="2">
        <v>420000</v>
      </c>
      <c r="J1537" s="2">
        <v>10</v>
      </c>
      <c r="K1537" s="2" t="s">
        <v>37</v>
      </c>
      <c r="L1537" s="2">
        <f t="shared" si="6"/>
        <v>336000</v>
      </c>
    </row>
    <row r="1538" spans="1:12" ht="14.25" customHeight="1" x14ac:dyDescent="0.2">
      <c r="A1538" s="33">
        <v>47212</v>
      </c>
      <c r="B1538" s="33"/>
      <c r="C1538" s="2" t="s">
        <v>29</v>
      </c>
      <c r="D1538" s="2" t="s">
        <v>19</v>
      </c>
      <c r="E1538" s="2" t="s">
        <v>13</v>
      </c>
      <c r="F1538" s="2" t="s">
        <v>20</v>
      </c>
      <c r="G1538" s="2" t="s">
        <v>27</v>
      </c>
      <c r="H1538" s="2" t="s">
        <v>22</v>
      </c>
      <c r="I1538" s="2">
        <v>60000</v>
      </c>
      <c r="J1538" s="2">
        <v>3</v>
      </c>
      <c r="K1538" s="2" t="s">
        <v>35</v>
      </c>
      <c r="L1538" s="2">
        <f t="shared" si="6"/>
        <v>48000</v>
      </c>
    </row>
    <row r="1539" spans="1:12" ht="14.25" customHeight="1" x14ac:dyDescent="0.2">
      <c r="A1539" s="33">
        <v>47213</v>
      </c>
      <c r="B1539" s="33"/>
      <c r="C1539" s="2" t="s">
        <v>18</v>
      </c>
      <c r="D1539" s="2" t="s">
        <v>19</v>
      </c>
      <c r="E1539" s="2" t="s">
        <v>23</v>
      </c>
      <c r="F1539" s="2" t="s">
        <v>14</v>
      </c>
      <c r="G1539" s="2" t="s">
        <v>30</v>
      </c>
      <c r="H1539" s="2" t="s">
        <v>31</v>
      </c>
      <c r="I1539" s="2">
        <v>300000</v>
      </c>
      <c r="J1539" s="2">
        <v>9</v>
      </c>
      <c r="K1539" s="2" t="s">
        <v>24</v>
      </c>
      <c r="L1539" s="2">
        <f t="shared" si="6"/>
        <v>240000</v>
      </c>
    </row>
    <row r="1540" spans="1:12" ht="14.25" customHeight="1" x14ac:dyDescent="0.2">
      <c r="A1540" s="33">
        <v>47214</v>
      </c>
      <c r="B1540" s="33"/>
      <c r="C1540" s="2" t="s">
        <v>25</v>
      </c>
      <c r="D1540" s="2" t="s">
        <v>19</v>
      </c>
      <c r="E1540" s="2" t="s">
        <v>23</v>
      </c>
      <c r="F1540" s="2" t="s">
        <v>14</v>
      </c>
      <c r="G1540" s="2" t="s">
        <v>27</v>
      </c>
      <c r="H1540" s="2" t="s">
        <v>22</v>
      </c>
      <c r="I1540" s="2">
        <v>60000</v>
      </c>
      <c r="J1540" s="2">
        <v>7</v>
      </c>
      <c r="K1540" s="2" t="s">
        <v>17</v>
      </c>
      <c r="L1540" s="2">
        <f t="shared" si="6"/>
        <v>48000</v>
      </c>
    </row>
    <row r="1541" spans="1:12" ht="14.25" customHeight="1" x14ac:dyDescent="0.2">
      <c r="A1541" s="33">
        <v>47215</v>
      </c>
      <c r="B1541" s="33"/>
      <c r="C1541" s="2" t="s">
        <v>11</v>
      </c>
      <c r="D1541" s="2" t="s">
        <v>12</v>
      </c>
      <c r="E1541" s="2" t="s">
        <v>13</v>
      </c>
      <c r="F1541" s="2" t="s">
        <v>14</v>
      </c>
      <c r="G1541" s="2" t="s">
        <v>34</v>
      </c>
      <c r="H1541" s="2" t="s">
        <v>16</v>
      </c>
      <c r="I1541" s="2">
        <v>320000</v>
      </c>
      <c r="J1541" s="2">
        <v>3</v>
      </c>
      <c r="K1541" s="2" t="s">
        <v>28</v>
      </c>
      <c r="L1541" s="2">
        <f t="shared" si="6"/>
        <v>256000</v>
      </c>
    </row>
    <row r="1542" spans="1:12" ht="14.25" customHeight="1" x14ac:dyDescent="0.2">
      <c r="A1542" s="33">
        <v>47216</v>
      </c>
      <c r="B1542" s="33"/>
      <c r="C1542" s="2" t="s">
        <v>29</v>
      </c>
      <c r="D1542" s="2" t="s">
        <v>19</v>
      </c>
      <c r="E1542" s="2" t="s">
        <v>23</v>
      </c>
      <c r="F1542" s="2" t="s">
        <v>14</v>
      </c>
      <c r="G1542" s="2" t="s">
        <v>41</v>
      </c>
      <c r="H1542" s="2" t="s">
        <v>22</v>
      </c>
      <c r="I1542" s="2">
        <v>220000</v>
      </c>
      <c r="J1542" s="2">
        <v>5</v>
      </c>
      <c r="K1542" s="2" t="s">
        <v>17</v>
      </c>
      <c r="L1542" s="2">
        <f t="shared" si="6"/>
        <v>176000</v>
      </c>
    </row>
    <row r="1543" spans="1:12" ht="14.25" customHeight="1" x14ac:dyDescent="0.2">
      <c r="A1543" s="33">
        <v>47217</v>
      </c>
      <c r="B1543" s="33"/>
      <c r="C1543" s="2" t="s">
        <v>18</v>
      </c>
      <c r="D1543" s="2" t="s">
        <v>19</v>
      </c>
      <c r="E1543" s="2" t="s">
        <v>23</v>
      </c>
      <c r="F1543" s="2" t="s">
        <v>14</v>
      </c>
      <c r="G1543" s="2" t="s">
        <v>41</v>
      </c>
      <c r="H1543" s="2" t="s">
        <v>22</v>
      </c>
      <c r="I1543" s="2">
        <v>220000</v>
      </c>
      <c r="J1543" s="2">
        <v>2</v>
      </c>
      <c r="K1543" s="2" t="s">
        <v>17</v>
      </c>
      <c r="L1543" s="2">
        <f t="shared" si="6"/>
        <v>176000</v>
      </c>
    </row>
    <row r="1544" spans="1:12" ht="14.25" customHeight="1" x14ac:dyDescent="0.2">
      <c r="A1544" s="33">
        <v>47218</v>
      </c>
      <c r="B1544" s="33"/>
      <c r="C1544" s="2" t="s">
        <v>11</v>
      </c>
      <c r="D1544" s="2" t="s">
        <v>12</v>
      </c>
      <c r="E1544" s="2" t="s">
        <v>13</v>
      </c>
      <c r="F1544" s="2" t="s">
        <v>20</v>
      </c>
      <c r="G1544" s="2" t="s">
        <v>36</v>
      </c>
      <c r="H1544" s="2" t="s">
        <v>31</v>
      </c>
      <c r="I1544" s="2">
        <v>150000</v>
      </c>
      <c r="J1544" s="2">
        <v>10</v>
      </c>
      <c r="K1544" s="2" t="s">
        <v>24</v>
      </c>
      <c r="L1544" s="2">
        <f t="shared" si="6"/>
        <v>120000</v>
      </c>
    </row>
    <row r="1545" spans="1:12" ht="14.25" customHeight="1" x14ac:dyDescent="0.2">
      <c r="A1545" s="33">
        <v>47219</v>
      </c>
      <c r="B1545" s="33"/>
      <c r="C1545" s="2" t="s">
        <v>29</v>
      </c>
      <c r="D1545" s="2" t="s">
        <v>26</v>
      </c>
      <c r="E1545" s="2" t="s">
        <v>13</v>
      </c>
      <c r="F1545" s="2" t="s">
        <v>20</v>
      </c>
      <c r="G1545" s="2" t="s">
        <v>21</v>
      </c>
      <c r="H1545" s="2" t="s">
        <v>22</v>
      </c>
      <c r="I1545" s="2">
        <v>30000</v>
      </c>
      <c r="J1545" s="2">
        <v>8</v>
      </c>
      <c r="K1545" s="2" t="s">
        <v>39</v>
      </c>
      <c r="L1545" s="2">
        <f t="shared" si="6"/>
        <v>24000</v>
      </c>
    </row>
    <row r="1546" spans="1:12" ht="14.25" customHeight="1" x14ac:dyDescent="0.2">
      <c r="A1546" s="33">
        <v>47220</v>
      </c>
      <c r="B1546" s="33"/>
      <c r="C1546" s="2" t="s">
        <v>18</v>
      </c>
      <c r="D1546" s="2" t="s">
        <v>19</v>
      </c>
      <c r="E1546" s="2" t="s">
        <v>13</v>
      </c>
      <c r="F1546" s="2" t="s">
        <v>20</v>
      </c>
      <c r="G1546" s="2" t="s">
        <v>21</v>
      </c>
      <c r="H1546" s="2" t="s">
        <v>22</v>
      </c>
      <c r="I1546" s="2">
        <v>30000</v>
      </c>
      <c r="J1546" s="2">
        <v>9</v>
      </c>
      <c r="K1546" s="2" t="s">
        <v>35</v>
      </c>
      <c r="L1546" s="2">
        <f t="shared" si="6"/>
        <v>24000</v>
      </c>
    </row>
    <row r="1547" spans="1:12" ht="14.25" customHeight="1" x14ac:dyDescent="0.2">
      <c r="A1547" s="33">
        <v>47221</v>
      </c>
      <c r="B1547" s="33"/>
      <c r="C1547" s="2" t="s">
        <v>18</v>
      </c>
      <c r="D1547" s="2" t="s">
        <v>12</v>
      </c>
      <c r="E1547" s="2" t="s">
        <v>13</v>
      </c>
      <c r="F1547" s="2" t="s">
        <v>20</v>
      </c>
      <c r="G1547" s="2" t="s">
        <v>36</v>
      </c>
      <c r="H1547" s="2" t="s">
        <v>31</v>
      </c>
      <c r="I1547" s="2">
        <v>150000</v>
      </c>
      <c r="J1547" s="2">
        <v>3</v>
      </c>
      <c r="K1547" s="2" t="s">
        <v>24</v>
      </c>
      <c r="L1547" s="2">
        <f t="shared" si="6"/>
        <v>120000</v>
      </c>
    </row>
    <row r="1548" spans="1:12" ht="14.25" customHeight="1" x14ac:dyDescent="0.2">
      <c r="A1548" s="33">
        <v>47222</v>
      </c>
      <c r="B1548" s="33"/>
      <c r="C1548" s="2" t="s">
        <v>18</v>
      </c>
      <c r="D1548" s="2" t="s">
        <v>12</v>
      </c>
      <c r="E1548" s="2" t="s">
        <v>23</v>
      </c>
      <c r="F1548" s="2" t="s">
        <v>14</v>
      </c>
      <c r="G1548" s="2" t="s">
        <v>27</v>
      </c>
      <c r="H1548" s="2" t="s">
        <v>22</v>
      </c>
      <c r="I1548" s="2">
        <v>60000</v>
      </c>
      <c r="J1548" s="2">
        <v>6</v>
      </c>
      <c r="K1548" s="2" t="s">
        <v>28</v>
      </c>
      <c r="L1548" s="2">
        <f t="shared" si="6"/>
        <v>48000</v>
      </c>
    </row>
    <row r="1549" spans="1:12" ht="14.25" customHeight="1" x14ac:dyDescent="0.2">
      <c r="A1549" s="33">
        <v>47223</v>
      </c>
      <c r="B1549" s="33"/>
      <c r="C1549" s="2" t="s">
        <v>18</v>
      </c>
      <c r="D1549" s="2" t="s">
        <v>12</v>
      </c>
      <c r="E1549" s="2" t="s">
        <v>23</v>
      </c>
      <c r="F1549" s="2" t="s">
        <v>20</v>
      </c>
      <c r="G1549" s="2" t="s">
        <v>40</v>
      </c>
      <c r="H1549" s="2" t="s">
        <v>31</v>
      </c>
      <c r="I1549" s="2">
        <v>250000</v>
      </c>
      <c r="J1549" s="2">
        <v>1</v>
      </c>
      <c r="K1549" s="2" t="s">
        <v>28</v>
      </c>
      <c r="L1549" s="2">
        <f t="shared" si="6"/>
        <v>200000</v>
      </c>
    </row>
    <row r="1550" spans="1:12" ht="14.25" customHeight="1" x14ac:dyDescent="0.2">
      <c r="A1550" s="33">
        <v>47224</v>
      </c>
      <c r="B1550" s="33"/>
      <c r="C1550" s="2" t="s">
        <v>11</v>
      </c>
      <c r="D1550" s="2" t="s">
        <v>26</v>
      </c>
      <c r="E1550" s="2" t="s">
        <v>13</v>
      </c>
      <c r="F1550" s="2" t="s">
        <v>20</v>
      </c>
      <c r="G1550" s="2" t="s">
        <v>15</v>
      </c>
      <c r="H1550" s="2" t="s">
        <v>16</v>
      </c>
      <c r="I1550" s="2">
        <v>85000</v>
      </c>
      <c r="J1550" s="2">
        <v>8</v>
      </c>
      <c r="K1550" s="2" t="s">
        <v>28</v>
      </c>
      <c r="L1550" s="2">
        <f t="shared" si="6"/>
        <v>68000</v>
      </c>
    </row>
    <row r="1551" spans="1:12" ht="14.25" customHeight="1" x14ac:dyDescent="0.2">
      <c r="A1551" s="33">
        <v>47225</v>
      </c>
      <c r="B1551" s="33"/>
      <c r="C1551" s="2" t="s">
        <v>29</v>
      </c>
      <c r="D1551" s="2" t="s">
        <v>12</v>
      </c>
      <c r="E1551" s="2" t="s">
        <v>13</v>
      </c>
      <c r="F1551" s="2" t="s">
        <v>20</v>
      </c>
      <c r="G1551" s="2" t="s">
        <v>33</v>
      </c>
      <c r="H1551" s="2" t="s">
        <v>22</v>
      </c>
      <c r="I1551" s="2">
        <v>180000</v>
      </c>
      <c r="J1551" s="2">
        <v>8</v>
      </c>
      <c r="K1551" s="2" t="s">
        <v>28</v>
      </c>
      <c r="L1551" s="2">
        <f t="shared" si="6"/>
        <v>144000</v>
      </c>
    </row>
    <row r="1552" spans="1:12" ht="14.25" customHeight="1" x14ac:dyDescent="0.2">
      <c r="A1552" s="33">
        <v>47226</v>
      </c>
      <c r="B1552" s="33"/>
      <c r="C1552" s="2" t="s">
        <v>18</v>
      </c>
      <c r="D1552" s="2" t="s">
        <v>32</v>
      </c>
      <c r="E1552" s="2" t="s">
        <v>23</v>
      </c>
      <c r="F1552" s="2" t="s">
        <v>20</v>
      </c>
      <c r="G1552" s="2" t="s">
        <v>41</v>
      </c>
      <c r="H1552" s="2" t="s">
        <v>22</v>
      </c>
      <c r="I1552" s="2">
        <v>220000</v>
      </c>
      <c r="J1552" s="2">
        <v>9</v>
      </c>
      <c r="K1552" s="2" t="s">
        <v>37</v>
      </c>
      <c r="L1552" s="2">
        <f t="shared" si="6"/>
        <v>176000</v>
      </c>
    </row>
    <row r="1553" spans="1:12" ht="14.25" customHeight="1" x14ac:dyDescent="0.2">
      <c r="A1553" s="33">
        <v>47227</v>
      </c>
      <c r="B1553" s="33"/>
      <c r="C1553" s="2" t="s">
        <v>11</v>
      </c>
      <c r="D1553" s="2" t="s">
        <v>12</v>
      </c>
      <c r="E1553" s="2" t="s">
        <v>13</v>
      </c>
      <c r="F1553" s="2" t="s">
        <v>20</v>
      </c>
      <c r="G1553" s="2" t="s">
        <v>40</v>
      </c>
      <c r="H1553" s="2" t="s">
        <v>31</v>
      </c>
      <c r="I1553" s="2">
        <v>250000</v>
      </c>
      <c r="J1553" s="2">
        <v>3</v>
      </c>
      <c r="K1553" s="2" t="s">
        <v>28</v>
      </c>
      <c r="L1553" s="2">
        <f t="shared" si="6"/>
        <v>200000</v>
      </c>
    </row>
    <row r="1554" spans="1:12" ht="14.25" customHeight="1" x14ac:dyDescent="0.2">
      <c r="A1554" s="33">
        <v>47228</v>
      </c>
      <c r="B1554" s="33"/>
      <c r="C1554" s="2" t="s">
        <v>29</v>
      </c>
      <c r="D1554" s="2" t="s">
        <v>32</v>
      </c>
      <c r="E1554" s="2" t="s">
        <v>13</v>
      </c>
      <c r="F1554" s="2" t="s">
        <v>14</v>
      </c>
      <c r="G1554" s="2" t="s">
        <v>38</v>
      </c>
      <c r="H1554" s="2" t="s">
        <v>31</v>
      </c>
      <c r="I1554" s="2">
        <v>420000</v>
      </c>
      <c r="J1554" s="2">
        <v>6</v>
      </c>
      <c r="K1554" s="2" t="s">
        <v>39</v>
      </c>
      <c r="L1554" s="2">
        <f t="shared" si="6"/>
        <v>336000</v>
      </c>
    </row>
    <row r="1555" spans="1:12" ht="14.25" customHeight="1" x14ac:dyDescent="0.2">
      <c r="A1555" s="33">
        <v>47229</v>
      </c>
      <c r="B1555" s="33"/>
      <c r="C1555" s="2" t="s">
        <v>18</v>
      </c>
      <c r="D1555" s="2" t="s">
        <v>19</v>
      </c>
      <c r="E1555" s="2" t="s">
        <v>23</v>
      </c>
      <c r="F1555" s="2" t="s">
        <v>20</v>
      </c>
      <c r="G1555" s="2" t="s">
        <v>33</v>
      </c>
      <c r="H1555" s="2" t="s">
        <v>22</v>
      </c>
      <c r="I1555" s="2">
        <v>180000</v>
      </c>
      <c r="J1555" s="2">
        <v>3</v>
      </c>
      <c r="K1555" s="2" t="s">
        <v>17</v>
      </c>
      <c r="L1555" s="2">
        <f t="shared" si="6"/>
        <v>144000</v>
      </c>
    </row>
    <row r="1556" spans="1:12" ht="14.25" customHeight="1" x14ac:dyDescent="0.2">
      <c r="A1556" s="33">
        <v>47230</v>
      </c>
      <c r="B1556" s="33"/>
      <c r="C1556" s="2" t="s">
        <v>25</v>
      </c>
      <c r="D1556" s="2" t="s">
        <v>26</v>
      </c>
      <c r="E1556" s="2" t="s">
        <v>23</v>
      </c>
      <c r="F1556" s="2" t="s">
        <v>20</v>
      </c>
      <c r="G1556" s="2" t="s">
        <v>33</v>
      </c>
      <c r="H1556" s="2" t="s">
        <v>22</v>
      </c>
      <c r="I1556" s="2">
        <v>180000</v>
      </c>
      <c r="J1556" s="2">
        <v>9</v>
      </c>
      <c r="K1556" s="2" t="s">
        <v>17</v>
      </c>
      <c r="L1556" s="2">
        <f t="shared" si="6"/>
        <v>144000</v>
      </c>
    </row>
    <row r="1557" spans="1:12" ht="14.25" customHeight="1" x14ac:dyDescent="0.2">
      <c r="A1557" s="33">
        <v>47231</v>
      </c>
      <c r="B1557" s="33"/>
      <c r="C1557" s="2" t="s">
        <v>18</v>
      </c>
      <c r="D1557" s="2" t="s">
        <v>26</v>
      </c>
      <c r="E1557" s="2" t="s">
        <v>13</v>
      </c>
      <c r="F1557" s="2" t="s">
        <v>14</v>
      </c>
      <c r="G1557" s="2" t="s">
        <v>38</v>
      </c>
      <c r="H1557" s="2" t="s">
        <v>31</v>
      </c>
      <c r="I1557" s="2">
        <v>420000</v>
      </c>
      <c r="J1557" s="2">
        <v>5</v>
      </c>
      <c r="K1557" s="2" t="s">
        <v>17</v>
      </c>
      <c r="L1557" s="2">
        <f t="shared" si="6"/>
        <v>336000</v>
      </c>
    </row>
    <row r="1558" spans="1:12" ht="14.25" customHeight="1" x14ac:dyDescent="0.2">
      <c r="A1558" s="33">
        <v>47232</v>
      </c>
      <c r="B1558" s="33"/>
      <c r="C1558" s="2" t="s">
        <v>29</v>
      </c>
      <c r="D1558" s="2" t="s">
        <v>26</v>
      </c>
      <c r="E1558" s="2" t="s">
        <v>13</v>
      </c>
      <c r="F1558" s="2" t="s">
        <v>20</v>
      </c>
      <c r="G1558" s="2" t="s">
        <v>33</v>
      </c>
      <c r="H1558" s="2" t="s">
        <v>22</v>
      </c>
      <c r="I1558" s="2">
        <v>180000</v>
      </c>
      <c r="J1558" s="2">
        <v>6</v>
      </c>
      <c r="K1558" s="2" t="s">
        <v>39</v>
      </c>
      <c r="L1558" s="2">
        <f t="shared" si="6"/>
        <v>144000</v>
      </c>
    </row>
    <row r="1559" spans="1:12" ht="14.25" customHeight="1" x14ac:dyDescent="0.2">
      <c r="A1559" s="33">
        <v>47233</v>
      </c>
      <c r="B1559" s="33"/>
      <c r="C1559" s="2" t="s">
        <v>18</v>
      </c>
      <c r="D1559" s="2" t="s">
        <v>26</v>
      </c>
      <c r="E1559" s="2" t="s">
        <v>23</v>
      </c>
      <c r="F1559" s="2" t="s">
        <v>14</v>
      </c>
      <c r="G1559" s="2" t="s">
        <v>30</v>
      </c>
      <c r="H1559" s="2" t="s">
        <v>31</v>
      </c>
      <c r="I1559" s="2">
        <v>300000</v>
      </c>
      <c r="J1559" s="2">
        <v>3</v>
      </c>
      <c r="K1559" s="2" t="s">
        <v>28</v>
      </c>
      <c r="L1559" s="2">
        <f t="shared" si="6"/>
        <v>240000</v>
      </c>
    </row>
    <row r="1560" spans="1:12" ht="14.25" customHeight="1" x14ac:dyDescent="0.2">
      <c r="A1560" s="33">
        <v>47234</v>
      </c>
      <c r="B1560" s="33"/>
      <c r="C1560" s="2" t="s">
        <v>11</v>
      </c>
      <c r="D1560" s="2" t="s">
        <v>26</v>
      </c>
      <c r="E1560" s="2" t="s">
        <v>13</v>
      </c>
      <c r="F1560" s="2" t="s">
        <v>14</v>
      </c>
      <c r="G1560" s="2" t="s">
        <v>41</v>
      </c>
      <c r="H1560" s="2" t="s">
        <v>22</v>
      </c>
      <c r="I1560" s="2">
        <v>220000</v>
      </c>
      <c r="J1560" s="2">
        <v>7</v>
      </c>
      <c r="K1560" s="2" t="s">
        <v>17</v>
      </c>
      <c r="L1560" s="2">
        <f t="shared" si="6"/>
        <v>176000</v>
      </c>
    </row>
    <row r="1561" spans="1:12" ht="14.25" customHeight="1" x14ac:dyDescent="0.2">
      <c r="A1561" s="33">
        <v>47235</v>
      </c>
      <c r="B1561" s="33"/>
      <c r="C1561" s="2" t="s">
        <v>25</v>
      </c>
      <c r="D1561" s="2" t="s">
        <v>19</v>
      </c>
      <c r="E1561" s="2" t="s">
        <v>13</v>
      </c>
      <c r="F1561" s="2" t="s">
        <v>14</v>
      </c>
      <c r="G1561" s="2" t="s">
        <v>27</v>
      </c>
      <c r="H1561" s="2" t="s">
        <v>22</v>
      </c>
      <c r="I1561" s="2">
        <v>60000</v>
      </c>
      <c r="J1561" s="2">
        <v>2</v>
      </c>
      <c r="K1561" s="2" t="s">
        <v>17</v>
      </c>
      <c r="L1561" s="2">
        <f t="shared" si="6"/>
        <v>48000</v>
      </c>
    </row>
    <row r="1562" spans="1:12" ht="14.25" customHeight="1" x14ac:dyDescent="0.2">
      <c r="A1562" s="33">
        <v>47236</v>
      </c>
      <c r="B1562" s="33"/>
      <c r="C1562" s="2" t="s">
        <v>25</v>
      </c>
      <c r="D1562" s="2" t="s">
        <v>19</v>
      </c>
      <c r="E1562" s="2" t="s">
        <v>23</v>
      </c>
      <c r="F1562" s="2" t="s">
        <v>14</v>
      </c>
      <c r="G1562" s="2" t="s">
        <v>21</v>
      </c>
      <c r="H1562" s="2" t="s">
        <v>22</v>
      </c>
      <c r="I1562" s="2">
        <v>30000</v>
      </c>
      <c r="J1562" s="2">
        <v>4</v>
      </c>
      <c r="K1562" s="2" t="s">
        <v>35</v>
      </c>
      <c r="L1562" s="2">
        <f t="shared" si="6"/>
        <v>24000</v>
      </c>
    </row>
    <row r="1563" spans="1:12" ht="14.25" customHeight="1" x14ac:dyDescent="0.2">
      <c r="A1563" s="33">
        <v>47237</v>
      </c>
      <c r="B1563" s="33"/>
      <c r="C1563" s="2" t="s">
        <v>11</v>
      </c>
      <c r="D1563" s="2" t="s">
        <v>19</v>
      </c>
      <c r="E1563" s="2" t="s">
        <v>23</v>
      </c>
      <c r="F1563" s="2" t="s">
        <v>20</v>
      </c>
      <c r="G1563" s="2" t="s">
        <v>34</v>
      </c>
      <c r="H1563" s="2" t="s">
        <v>16</v>
      </c>
      <c r="I1563" s="2">
        <v>320000</v>
      </c>
      <c r="J1563" s="2">
        <v>8</v>
      </c>
      <c r="K1563" s="2" t="s">
        <v>35</v>
      </c>
      <c r="L1563" s="2">
        <f t="shared" si="6"/>
        <v>256000</v>
      </c>
    </row>
    <row r="1564" spans="1:12" ht="14.25" customHeight="1" x14ac:dyDescent="0.2">
      <c r="A1564" s="33">
        <v>47238</v>
      </c>
      <c r="B1564" s="33"/>
      <c r="C1564" s="2" t="s">
        <v>11</v>
      </c>
      <c r="D1564" s="2" t="s">
        <v>32</v>
      </c>
      <c r="E1564" s="2" t="s">
        <v>23</v>
      </c>
      <c r="F1564" s="2" t="s">
        <v>20</v>
      </c>
      <c r="G1564" s="2" t="s">
        <v>33</v>
      </c>
      <c r="H1564" s="2" t="s">
        <v>22</v>
      </c>
      <c r="I1564" s="2">
        <v>180000</v>
      </c>
      <c r="J1564" s="2">
        <v>5</v>
      </c>
      <c r="K1564" s="2" t="s">
        <v>28</v>
      </c>
      <c r="L1564" s="2">
        <f t="shared" si="6"/>
        <v>144000</v>
      </c>
    </row>
    <row r="1565" spans="1:12" ht="14.25" customHeight="1" x14ac:dyDescent="0.2">
      <c r="A1565" s="33">
        <v>47239</v>
      </c>
      <c r="B1565" s="33"/>
      <c r="C1565" s="2" t="s">
        <v>18</v>
      </c>
      <c r="D1565" s="2" t="s">
        <v>12</v>
      </c>
      <c r="E1565" s="2" t="s">
        <v>13</v>
      </c>
      <c r="F1565" s="2" t="s">
        <v>20</v>
      </c>
      <c r="G1565" s="2" t="s">
        <v>34</v>
      </c>
      <c r="H1565" s="2" t="s">
        <v>16</v>
      </c>
      <c r="I1565" s="2">
        <v>320000</v>
      </c>
      <c r="J1565" s="2">
        <v>6</v>
      </c>
      <c r="K1565" s="2" t="s">
        <v>28</v>
      </c>
      <c r="L1565" s="2">
        <f t="shared" si="6"/>
        <v>256000</v>
      </c>
    </row>
    <row r="1566" spans="1:12" ht="14.25" customHeight="1" x14ac:dyDescent="0.2">
      <c r="A1566" s="33">
        <v>47240</v>
      </c>
      <c r="B1566" s="33"/>
      <c r="C1566" s="2" t="s">
        <v>25</v>
      </c>
      <c r="D1566" s="2" t="s">
        <v>19</v>
      </c>
      <c r="E1566" s="2" t="s">
        <v>13</v>
      </c>
      <c r="F1566" s="2" t="s">
        <v>14</v>
      </c>
      <c r="G1566" s="2" t="s">
        <v>38</v>
      </c>
      <c r="H1566" s="2" t="s">
        <v>31</v>
      </c>
      <c r="I1566" s="2">
        <v>420000</v>
      </c>
      <c r="J1566" s="2">
        <v>3</v>
      </c>
      <c r="K1566" s="2" t="s">
        <v>28</v>
      </c>
      <c r="L1566" s="2">
        <f t="shared" si="6"/>
        <v>336000</v>
      </c>
    </row>
    <row r="1567" spans="1:12" ht="14.25" customHeight="1" x14ac:dyDescent="0.2">
      <c r="A1567" s="33">
        <v>47241</v>
      </c>
      <c r="B1567" s="33"/>
      <c r="C1567" s="2" t="s">
        <v>29</v>
      </c>
      <c r="D1567" s="2" t="s">
        <v>32</v>
      </c>
      <c r="E1567" s="2" t="s">
        <v>23</v>
      </c>
      <c r="F1567" s="2" t="s">
        <v>14</v>
      </c>
      <c r="G1567" s="2" t="s">
        <v>36</v>
      </c>
      <c r="H1567" s="2" t="s">
        <v>31</v>
      </c>
      <c r="I1567" s="2">
        <v>150000</v>
      </c>
      <c r="J1567" s="2">
        <v>2</v>
      </c>
      <c r="K1567" s="2" t="s">
        <v>39</v>
      </c>
      <c r="L1567" s="2">
        <f t="shared" si="6"/>
        <v>120000</v>
      </c>
    </row>
    <row r="1568" spans="1:12" ht="14.25" customHeight="1" x14ac:dyDescent="0.2">
      <c r="A1568" s="33">
        <v>47242</v>
      </c>
      <c r="B1568" s="33"/>
      <c r="C1568" s="2" t="s">
        <v>11</v>
      </c>
      <c r="D1568" s="2" t="s">
        <v>32</v>
      </c>
      <c r="E1568" s="2" t="s">
        <v>13</v>
      </c>
      <c r="F1568" s="2" t="s">
        <v>14</v>
      </c>
      <c r="G1568" s="2" t="s">
        <v>33</v>
      </c>
      <c r="H1568" s="2" t="s">
        <v>22</v>
      </c>
      <c r="I1568" s="2">
        <v>180000</v>
      </c>
      <c r="J1568" s="2">
        <v>8</v>
      </c>
      <c r="K1568" s="2" t="s">
        <v>35</v>
      </c>
      <c r="L1568" s="2">
        <f t="shared" si="6"/>
        <v>144000</v>
      </c>
    </row>
    <row r="1569" spans="1:12" ht="14.25" customHeight="1" x14ac:dyDescent="0.2">
      <c r="A1569" s="33">
        <v>47243</v>
      </c>
      <c r="B1569" s="33"/>
      <c r="C1569" s="2" t="s">
        <v>29</v>
      </c>
      <c r="D1569" s="2" t="s">
        <v>19</v>
      </c>
      <c r="E1569" s="2" t="s">
        <v>13</v>
      </c>
      <c r="F1569" s="2" t="s">
        <v>14</v>
      </c>
      <c r="G1569" s="2" t="s">
        <v>36</v>
      </c>
      <c r="H1569" s="2" t="s">
        <v>31</v>
      </c>
      <c r="I1569" s="2">
        <v>150000</v>
      </c>
      <c r="J1569" s="2">
        <v>4</v>
      </c>
      <c r="K1569" s="2" t="s">
        <v>35</v>
      </c>
      <c r="L1569" s="2">
        <f t="shared" si="6"/>
        <v>120000</v>
      </c>
    </row>
    <row r="1570" spans="1:12" ht="14.25" customHeight="1" x14ac:dyDescent="0.2">
      <c r="A1570" s="33">
        <v>47244</v>
      </c>
      <c r="B1570" s="33"/>
      <c r="C1570" s="2" t="s">
        <v>29</v>
      </c>
      <c r="D1570" s="2" t="s">
        <v>26</v>
      </c>
      <c r="E1570" s="2" t="s">
        <v>23</v>
      </c>
      <c r="F1570" s="2" t="s">
        <v>20</v>
      </c>
      <c r="G1570" s="2" t="s">
        <v>27</v>
      </c>
      <c r="H1570" s="2" t="s">
        <v>22</v>
      </c>
      <c r="I1570" s="2">
        <v>60000</v>
      </c>
      <c r="J1570" s="2">
        <v>8</v>
      </c>
      <c r="K1570" s="2" t="s">
        <v>28</v>
      </c>
      <c r="L1570" s="2">
        <f t="shared" si="6"/>
        <v>48000</v>
      </c>
    </row>
    <row r="1571" spans="1:12" ht="14.25" customHeight="1" x14ac:dyDescent="0.2">
      <c r="A1571" s="33">
        <v>47245</v>
      </c>
      <c r="B1571" s="33"/>
      <c r="C1571" s="2" t="s">
        <v>29</v>
      </c>
      <c r="D1571" s="2" t="s">
        <v>12</v>
      </c>
      <c r="E1571" s="2" t="s">
        <v>23</v>
      </c>
      <c r="F1571" s="2" t="s">
        <v>20</v>
      </c>
      <c r="G1571" s="2" t="s">
        <v>38</v>
      </c>
      <c r="H1571" s="2" t="s">
        <v>31</v>
      </c>
      <c r="I1571" s="2">
        <v>420000</v>
      </c>
      <c r="J1571" s="2">
        <v>5</v>
      </c>
      <c r="K1571" s="2" t="s">
        <v>37</v>
      </c>
      <c r="L1571" s="2">
        <f t="shared" si="6"/>
        <v>336000</v>
      </c>
    </row>
    <row r="1572" spans="1:12" ht="14.25" customHeight="1" x14ac:dyDescent="0.2">
      <c r="A1572" s="33">
        <v>47246</v>
      </c>
      <c r="B1572" s="33"/>
      <c r="C1572" s="2" t="s">
        <v>29</v>
      </c>
      <c r="D1572" s="2" t="s">
        <v>12</v>
      </c>
      <c r="E1572" s="2" t="s">
        <v>13</v>
      </c>
      <c r="F1572" s="2" t="s">
        <v>20</v>
      </c>
      <c r="G1572" s="2" t="s">
        <v>38</v>
      </c>
      <c r="H1572" s="2" t="s">
        <v>31</v>
      </c>
      <c r="I1572" s="2">
        <v>420000</v>
      </c>
      <c r="J1572" s="2">
        <v>6</v>
      </c>
      <c r="K1572" s="2" t="s">
        <v>39</v>
      </c>
      <c r="L1572" s="2">
        <f t="shared" si="6"/>
        <v>336000</v>
      </c>
    </row>
    <row r="1573" spans="1:12" ht="14.25" customHeight="1" x14ac:dyDescent="0.2">
      <c r="A1573" s="33">
        <v>47247</v>
      </c>
      <c r="B1573" s="33"/>
      <c r="C1573" s="2" t="s">
        <v>25</v>
      </c>
      <c r="D1573" s="2" t="s">
        <v>12</v>
      </c>
      <c r="E1573" s="2" t="s">
        <v>13</v>
      </c>
      <c r="F1573" s="2" t="s">
        <v>20</v>
      </c>
      <c r="G1573" s="2" t="s">
        <v>30</v>
      </c>
      <c r="H1573" s="2" t="s">
        <v>31</v>
      </c>
      <c r="I1573" s="2">
        <v>300000</v>
      </c>
      <c r="J1573" s="2">
        <v>4</v>
      </c>
      <c r="K1573" s="2" t="s">
        <v>24</v>
      </c>
      <c r="L1573" s="2">
        <f t="shared" si="6"/>
        <v>240000</v>
      </c>
    </row>
    <row r="1574" spans="1:12" ht="14.25" customHeight="1" x14ac:dyDescent="0.2">
      <c r="A1574" s="33">
        <v>47248</v>
      </c>
      <c r="B1574" s="33"/>
      <c r="C1574" s="2" t="s">
        <v>18</v>
      </c>
      <c r="D1574" s="2" t="s">
        <v>32</v>
      </c>
      <c r="E1574" s="2" t="s">
        <v>13</v>
      </c>
      <c r="F1574" s="2" t="s">
        <v>14</v>
      </c>
      <c r="G1574" s="2" t="s">
        <v>33</v>
      </c>
      <c r="H1574" s="2" t="s">
        <v>22</v>
      </c>
      <c r="I1574" s="2">
        <v>180000</v>
      </c>
      <c r="J1574" s="2">
        <v>1</v>
      </c>
      <c r="K1574" s="2" t="s">
        <v>39</v>
      </c>
      <c r="L1574" s="2">
        <f t="shared" si="6"/>
        <v>144000</v>
      </c>
    </row>
    <row r="1575" spans="1:12" ht="14.25" customHeight="1" x14ac:dyDescent="0.2">
      <c r="A1575" s="33">
        <v>47249</v>
      </c>
      <c r="B1575" s="33"/>
      <c r="C1575" s="2" t="s">
        <v>29</v>
      </c>
      <c r="D1575" s="2" t="s">
        <v>32</v>
      </c>
      <c r="E1575" s="2" t="s">
        <v>23</v>
      </c>
      <c r="F1575" s="2" t="s">
        <v>14</v>
      </c>
      <c r="G1575" s="2" t="s">
        <v>38</v>
      </c>
      <c r="H1575" s="2" t="s">
        <v>31</v>
      </c>
      <c r="I1575" s="2">
        <v>420000</v>
      </c>
      <c r="J1575" s="2">
        <v>5</v>
      </c>
      <c r="K1575" s="2" t="s">
        <v>37</v>
      </c>
      <c r="L1575" s="2">
        <f t="shared" si="6"/>
        <v>336000</v>
      </c>
    </row>
    <row r="1576" spans="1:12" ht="14.25" customHeight="1" x14ac:dyDescent="0.2">
      <c r="A1576" s="33">
        <v>47250</v>
      </c>
      <c r="B1576" s="33"/>
      <c r="C1576" s="2" t="s">
        <v>11</v>
      </c>
      <c r="D1576" s="2" t="s">
        <v>19</v>
      </c>
      <c r="E1576" s="2" t="s">
        <v>23</v>
      </c>
      <c r="F1576" s="2" t="s">
        <v>20</v>
      </c>
      <c r="G1576" s="2" t="s">
        <v>40</v>
      </c>
      <c r="H1576" s="2" t="s">
        <v>31</v>
      </c>
      <c r="I1576" s="2">
        <v>250000</v>
      </c>
      <c r="J1576" s="2">
        <v>7</v>
      </c>
      <c r="K1576" s="2" t="s">
        <v>39</v>
      </c>
      <c r="L1576" s="2">
        <f t="shared" si="6"/>
        <v>200000</v>
      </c>
    </row>
    <row r="1577" spans="1:12" ht="14.25" customHeight="1" x14ac:dyDescent="0.2">
      <c r="A1577" s="33">
        <v>47251</v>
      </c>
      <c r="B1577" s="33"/>
      <c r="C1577" s="2" t="s">
        <v>25</v>
      </c>
      <c r="D1577" s="2" t="s">
        <v>32</v>
      </c>
      <c r="E1577" s="2" t="s">
        <v>23</v>
      </c>
      <c r="F1577" s="2" t="s">
        <v>14</v>
      </c>
      <c r="G1577" s="2" t="s">
        <v>21</v>
      </c>
      <c r="H1577" s="2" t="s">
        <v>22</v>
      </c>
      <c r="I1577" s="2">
        <v>30000</v>
      </c>
      <c r="J1577" s="2">
        <v>1</v>
      </c>
      <c r="K1577" s="2" t="s">
        <v>39</v>
      </c>
      <c r="L1577" s="2">
        <f t="shared" si="6"/>
        <v>24000</v>
      </c>
    </row>
    <row r="1578" spans="1:12" ht="14.25" customHeight="1" x14ac:dyDescent="0.2">
      <c r="A1578" s="33">
        <v>47252</v>
      </c>
      <c r="B1578" s="33"/>
      <c r="C1578" s="2" t="s">
        <v>25</v>
      </c>
      <c r="D1578" s="2" t="s">
        <v>19</v>
      </c>
      <c r="E1578" s="2" t="s">
        <v>23</v>
      </c>
      <c r="F1578" s="2" t="s">
        <v>14</v>
      </c>
      <c r="G1578" s="2" t="s">
        <v>33</v>
      </c>
      <c r="H1578" s="2" t="s">
        <v>22</v>
      </c>
      <c r="I1578" s="2">
        <v>180000</v>
      </c>
      <c r="J1578" s="2">
        <v>9</v>
      </c>
      <c r="K1578" s="2" t="s">
        <v>35</v>
      </c>
      <c r="L1578" s="2">
        <f t="shared" si="6"/>
        <v>144000</v>
      </c>
    </row>
    <row r="1579" spans="1:12" ht="14.25" customHeight="1" x14ac:dyDescent="0.2">
      <c r="A1579" s="33">
        <v>47253</v>
      </c>
      <c r="B1579" s="33"/>
      <c r="C1579" s="2" t="s">
        <v>29</v>
      </c>
      <c r="D1579" s="2" t="s">
        <v>19</v>
      </c>
      <c r="E1579" s="2" t="s">
        <v>23</v>
      </c>
      <c r="F1579" s="2" t="s">
        <v>14</v>
      </c>
      <c r="G1579" s="2" t="s">
        <v>30</v>
      </c>
      <c r="H1579" s="2" t="s">
        <v>31</v>
      </c>
      <c r="I1579" s="2">
        <v>300000</v>
      </c>
      <c r="J1579" s="2">
        <v>7</v>
      </c>
      <c r="K1579" s="2" t="s">
        <v>39</v>
      </c>
      <c r="L1579" s="2">
        <f t="shared" si="6"/>
        <v>240000</v>
      </c>
    </row>
    <row r="1580" spans="1:12" ht="14.25" customHeight="1" x14ac:dyDescent="0.2">
      <c r="A1580" s="33">
        <v>47254</v>
      </c>
      <c r="B1580" s="33"/>
      <c r="C1580" s="2" t="s">
        <v>18</v>
      </c>
      <c r="D1580" s="2" t="s">
        <v>19</v>
      </c>
      <c r="E1580" s="2" t="s">
        <v>13</v>
      </c>
      <c r="F1580" s="2" t="s">
        <v>14</v>
      </c>
      <c r="G1580" s="2" t="s">
        <v>27</v>
      </c>
      <c r="H1580" s="2" t="s">
        <v>22</v>
      </c>
      <c r="I1580" s="2">
        <v>60000</v>
      </c>
      <c r="J1580" s="2">
        <v>2</v>
      </c>
      <c r="K1580" s="2" t="s">
        <v>39</v>
      </c>
      <c r="L1580" s="2">
        <f t="shared" si="6"/>
        <v>48000</v>
      </c>
    </row>
    <row r="1581" spans="1:12" ht="14.25" customHeight="1" x14ac:dyDescent="0.2">
      <c r="A1581" s="33">
        <v>47255</v>
      </c>
      <c r="B1581" s="33"/>
      <c r="C1581" s="2" t="s">
        <v>11</v>
      </c>
      <c r="D1581" s="2" t="s">
        <v>32</v>
      </c>
      <c r="E1581" s="2" t="s">
        <v>23</v>
      </c>
      <c r="F1581" s="2" t="s">
        <v>14</v>
      </c>
      <c r="G1581" s="2" t="s">
        <v>40</v>
      </c>
      <c r="H1581" s="2" t="s">
        <v>31</v>
      </c>
      <c r="I1581" s="2">
        <v>250000</v>
      </c>
      <c r="J1581" s="2">
        <v>5</v>
      </c>
      <c r="K1581" s="2" t="s">
        <v>28</v>
      </c>
      <c r="L1581" s="2">
        <f t="shared" si="6"/>
        <v>200000</v>
      </c>
    </row>
    <row r="1582" spans="1:12" ht="14.25" customHeight="1" x14ac:dyDescent="0.2">
      <c r="A1582" s="33">
        <v>47256</v>
      </c>
      <c r="B1582" s="33"/>
      <c r="C1582" s="2" t="s">
        <v>29</v>
      </c>
      <c r="D1582" s="2" t="s">
        <v>32</v>
      </c>
      <c r="E1582" s="2" t="s">
        <v>23</v>
      </c>
      <c r="F1582" s="2" t="s">
        <v>20</v>
      </c>
      <c r="G1582" s="2" t="s">
        <v>15</v>
      </c>
      <c r="H1582" s="2" t="s">
        <v>16</v>
      </c>
      <c r="I1582" s="2">
        <v>85000</v>
      </c>
      <c r="J1582" s="2">
        <v>9</v>
      </c>
      <c r="K1582" s="2" t="s">
        <v>35</v>
      </c>
      <c r="L1582" s="2">
        <f t="shared" si="6"/>
        <v>68000</v>
      </c>
    </row>
    <row r="1583" spans="1:12" ht="14.25" customHeight="1" x14ac:dyDescent="0.2">
      <c r="A1583" s="33">
        <v>47257</v>
      </c>
      <c r="B1583" s="33"/>
      <c r="C1583" s="2" t="s">
        <v>29</v>
      </c>
      <c r="D1583" s="2" t="s">
        <v>26</v>
      </c>
      <c r="E1583" s="2" t="s">
        <v>13</v>
      </c>
      <c r="F1583" s="2" t="s">
        <v>14</v>
      </c>
      <c r="G1583" s="2" t="s">
        <v>38</v>
      </c>
      <c r="H1583" s="2" t="s">
        <v>31</v>
      </c>
      <c r="I1583" s="2">
        <v>420000</v>
      </c>
      <c r="J1583" s="2">
        <v>5</v>
      </c>
      <c r="K1583" s="2" t="s">
        <v>28</v>
      </c>
      <c r="L1583" s="2">
        <f t="shared" si="6"/>
        <v>336000</v>
      </c>
    </row>
    <row r="1584" spans="1:12" ht="14.25" customHeight="1" x14ac:dyDescent="0.2">
      <c r="A1584" s="33">
        <v>47258</v>
      </c>
      <c r="B1584" s="33"/>
      <c r="C1584" s="2" t="s">
        <v>18</v>
      </c>
      <c r="D1584" s="2" t="s">
        <v>32</v>
      </c>
      <c r="E1584" s="2" t="s">
        <v>13</v>
      </c>
      <c r="F1584" s="2" t="s">
        <v>14</v>
      </c>
      <c r="G1584" s="2" t="s">
        <v>38</v>
      </c>
      <c r="H1584" s="2" t="s">
        <v>31</v>
      </c>
      <c r="I1584" s="2">
        <v>420000</v>
      </c>
      <c r="J1584" s="2">
        <v>7</v>
      </c>
      <c r="K1584" s="2" t="s">
        <v>28</v>
      </c>
      <c r="L1584" s="2">
        <f t="shared" si="6"/>
        <v>336000</v>
      </c>
    </row>
    <row r="1585" spans="1:12" ht="14.25" customHeight="1" x14ac:dyDescent="0.2">
      <c r="A1585" s="33">
        <v>47259</v>
      </c>
      <c r="B1585" s="33"/>
      <c r="C1585" s="2" t="s">
        <v>29</v>
      </c>
      <c r="D1585" s="2" t="s">
        <v>12</v>
      </c>
      <c r="E1585" s="2" t="s">
        <v>13</v>
      </c>
      <c r="F1585" s="2" t="s">
        <v>20</v>
      </c>
      <c r="G1585" s="2" t="s">
        <v>34</v>
      </c>
      <c r="H1585" s="2" t="s">
        <v>16</v>
      </c>
      <c r="I1585" s="2">
        <v>320000</v>
      </c>
      <c r="J1585" s="2">
        <v>3</v>
      </c>
      <c r="K1585" s="2" t="s">
        <v>28</v>
      </c>
      <c r="L1585" s="2">
        <f t="shared" si="6"/>
        <v>256000</v>
      </c>
    </row>
    <row r="1586" spans="1:12" ht="14.25" customHeight="1" x14ac:dyDescent="0.2">
      <c r="A1586" s="33">
        <v>47260</v>
      </c>
      <c r="B1586" s="33"/>
      <c r="C1586" s="2" t="s">
        <v>25</v>
      </c>
      <c r="D1586" s="2" t="s">
        <v>12</v>
      </c>
      <c r="E1586" s="2" t="s">
        <v>23</v>
      </c>
      <c r="F1586" s="2" t="s">
        <v>20</v>
      </c>
      <c r="G1586" s="2" t="s">
        <v>40</v>
      </c>
      <c r="H1586" s="2" t="s">
        <v>31</v>
      </c>
      <c r="I1586" s="2">
        <v>250000</v>
      </c>
      <c r="J1586" s="2">
        <v>10</v>
      </c>
      <c r="K1586" s="2" t="s">
        <v>28</v>
      </c>
      <c r="L1586" s="2">
        <f t="shared" si="6"/>
        <v>200000</v>
      </c>
    </row>
    <row r="1587" spans="1:12" ht="14.25" customHeight="1" x14ac:dyDescent="0.2">
      <c r="A1587" s="33">
        <v>47261</v>
      </c>
      <c r="B1587" s="33"/>
      <c r="C1587" s="2" t="s">
        <v>18</v>
      </c>
      <c r="D1587" s="2" t="s">
        <v>26</v>
      </c>
      <c r="E1587" s="2" t="s">
        <v>13</v>
      </c>
      <c r="F1587" s="2" t="s">
        <v>14</v>
      </c>
      <c r="G1587" s="2" t="s">
        <v>36</v>
      </c>
      <c r="H1587" s="2" t="s">
        <v>31</v>
      </c>
      <c r="I1587" s="2">
        <v>150000</v>
      </c>
      <c r="J1587" s="2">
        <v>9</v>
      </c>
      <c r="K1587" s="2" t="s">
        <v>39</v>
      </c>
      <c r="L1587" s="2">
        <f t="shared" si="6"/>
        <v>120000</v>
      </c>
    </row>
    <row r="1588" spans="1:12" ht="14.25" customHeight="1" x14ac:dyDescent="0.2">
      <c r="A1588" s="33">
        <v>47262</v>
      </c>
      <c r="B1588" s="33"/>
      <c r="C1588" s="2" t="s">
        <v>11</v>
      </c>
      <c r="D1588" s="2" t="s">
        <v>12</v>
      </c>
      <c r="E1588" s="2" t="s">
        <v>23</v>
      </c>
      <c r="F1588" s="2" t="s">
        <v>14</v>
      </c>
      <c r="G1588" s="2" t="s">
        <v>30</v>
      </c>
      <c r="H1588" s="2" t="s">
        <v>31</v>
      </c>
      <c r="I1588" s="2">
        <v>300000</v>
      </c>
      <c r="J1588" s="2">
        <v>10</v>
      </c>
      <c r="K1588" s="2" t="s">
        <v>17</v>
      </c>
      <c r="L1588" s="2">
        <f t="shared" si="6"/>
        <v>240000</v>
      </c>
    </row>
    <row r="1589" spans="1:12" ht="14.25" customHeight="1" x14ac:dyDescent="0.2">
      <c r="A1589" s="33">
        <v>47263</v>
      </c>
      <c r="B1589" s="33"/>
      <c r="C1589" s="2" t="s">
        <v>18</v>
      </c>
      <c r="D1589" s="2" t="s">
        <v>12</v>
      </c>
      <c r="E1589" s="2" t="s">
        <v>23</v>
      </c>
      <c r="F1589" s="2" t="s">
        <v>20</v>
      </c>
      <c r="G1589" s="2" t="s">
        <v>30</v>
      </c>
      <c r="H1589" s="2" t="s">
        <v>31</v>
      </c>
      <c r="I1589" s="2">
        <v>300000</v>
      </c>
      <c r="J1589" s="2">
        <v>2</v>
      </c>
      <c r="K1589" s="2" t="s">
        <v>35</v>
      </c>
      <c r="L1589" s="2">
        <f t="shared" si="6"/>
        <v>240000</v>
      </c>
    </row>
    <row r="1590" spans="1:12" ht="14.25" customHeight="1" x14ac:dyDescent="0.2">
      <c r="A1590" s="33">
        <v>47264</v>
      </c>
      <c r="B1590" s="33"/>
      <c r="C1590" s="2" t="s">
        <v>18</v>
      </c>
      <c r="D1590" s="2" t="s">
        <v>32</v>
      </c>
      <c r="E1590" s="2" t="s">
        <v>13</v>
      </c>
      <c r="F1590" s="2" t="s">
        <v>20</v>
      </c>
      <c r="G1590" s="2" t="s">
        <v>33</v>
      </c>
      <c r="H1590" s="2" t="s">
        <v>22</v>
      </c>
      <c r="I1590" s="2">
        <v>180000</v>
      </c>
      <c r="J1590" s="2">
        <v>2</v>
      </c>
      <c r="K1590" s="2" t="s">
        <v>35</v>
      </c>
      <c r="L1590" s="2">
        <f t="shared" si="6"/>
        <v>144000</v>
      </c>
    </row>
    <row r="1591" spans="1:12" ht="14.25" customHeight="1" x14ac:dyDescent="0.2">
      <c r="A1591" s="33">
        <v>47265</v>
      </c>
      <c r="B1591" s="33"/>
      <c r="C1591" s="2" t="s">
        <v>11</v>
      </c>
      <c r="D1591" s="2" t="s">
        <v>32</v>
      </c>
      <c r="E1591" s="2" t="s">
        <v>23</v>
      </c>
      <c r="F1591" s="2" t="s">
        <v>20</v>
      </c>
      <c r="G1591" s="2" t="s">
        <v>34</v>
      </c>
      <c r="H1591" s="2" t="s">
        <v>16</v>
      </c>
      <c r="I1591" s="2">
        <v>320000</v>
      </c>
      <c r="J1591" s="2">
        <v>10</v>
      </c>
      <c r="K1591" s="2" t="s">
        <v>39</v>
      </c>
      <c r="L1591" s="2">
        <f t="shared" si="6"/>
        <v>256000</v>
      </c>
    </row>
    <row r="1592" spans="1:12" ht="14.25" customHeight="1" x14ac:dyDescent="0.2">
      <c r="A1592" s="33">
        <v>47266</v>
      </c>
      <c r="B1592" s="33"/>
      <c r="C1592" s="2" t="s">
        <v>29</v>
      </c>
      <c r="D1592" s="2" t="s">
        <v>12</v>
      </c>
      <c r="E1592" s="2" t="s">
        <v>23</v>
      </c>
      <c r="F1592" s="2" t="s">
        <v>20</v>
      </c>
      <c r="G1592" s="2" t="s">
        <v>34</v>
      </c>
      <c r="H1592" s="2" t="s">
        <v>16</v>
      </c>
      <c r="I1592" s="2">
        <v>320000</v>
      </c>
      <c r="J1592" s="2">
        <v>1</v>
      </c>
      <c r="K1592" s="2" t="s">
        <v>37</v>
      </c>
      <c r="L1592" s="2">
        <f t="shared" si="6"/>
        <v>256000</v>
      </c>
    </row>
    <row r="1593" spans="1:12" ht="14.25" customHeight="1" x14ac:dyDescent="0.2">
      <c r="A1593" s="33">
        <v>47267</v>
      </c>
      <c r="B1593" s="33"/>
      <c r="C1593" s="2" t="s">
        <v>29</v>
      </c>
      <c r="D1593" s="2" t="s">
        <v>32</v>
      </c>
      <c r="E1593" s="2" t="s">
        <v>13</v>
      </c>
      <c r="F1593" s="2" t="s">
        <v>20</v>
      </c>
      <c r="G1593" s="2" t="s">
        <v>36</v>
      </c>
      <c r="H1593" s="2" t="s">
        <v>31</v>
      </c>
      <c r="I1593" s="2">
        <v>150000</v>
      </c>
      <c r="J1593" s="2">
        <v>6</v>
      </c>
      <c r="K1593" s="2" t="s">
        <v>35</v>
      </c>
      <c r="L1593" s="2">
        <f t="shared" si="6"/>
        <v>120000</v>
      </c>
    </row>
    <row r="1594" spans="1:12" ht="14.25" customHeight="1" x14ac:dyDescent="0.2">
      <c r="A1594" s="33">
        <v>47268</v>
      </c>
      <c r="B1594" s="33"/>
      <c r="C1594" s="2" t="s">
        <v>29</v>
      </c>
      <c r="D1594" s="2" t="s">
        <v>19</v>
      </c>
      <c r="E1594" s="2" t="s">
        <v>23</v>
      </c>
      <c r="F1594" s="2" t="s">
        <v>20</v>
      </c>
      <c r="G1594" s="2" t="s">
        <v>15</v>
      </c>
      <c r="H1594" s="2" t="s">
        <v>16</v>
      </c>
      <c r="I1594" s="2">
        <v>85000</v>
      </c>
      <c r="J1594" s="2">
        <v>9</v>
      </c>
      <c r="K1594" s="2" t="s">
        <v>35</v>
      </c>
      <c r="L1594" s="2">
        <f t="shared" si="6"/>
        <v>68000</v>
      </c>
    </row>
    <row r="1595" spans="1:12" ht="14.25" customHeight="1" x14ac:dyDescent="0.2">
      <c r="A1595" s="33">
        <v>47269</v>
      </c>
      <c r="B1595" s="33"/>
      <c r="C1595" s="2" t="s">
        <v>11</v>
      </c>
      <c r="D1595" s="2" t="s">
        <v>12</v>
      </c>
      <c r="E1595" s="2" t="s">
        <v>13</v>
      </c>
      <c r="F1595" s="2" t="s">
        <v>14</v>
      </c>
      <c r="G1595" s="2" t="s">
        <v>38</v>
      </c>
      <c r="H1595" s="2" t="s">
        <v>31</v>
      </c>
      <c r="I1595" s="2">
        <v>420000</v>
      </c>
      <c r="J1595" s="2">
        <v>7</v>
      </c>
      <c r="K1595" s="2" t="s">
        <v>17</v>
      </c>
      <c r="L1595" s="2">
        <f t="shared" si="6"/>
        <v>336000</v>
      </c>
    </row>
    <row r="1596" spans="1:12" ht="14.25" customHeight="1" x14ac:dyDescent="0.2">
      <c r="A1596" s="33">
        <v>47270</v>
      </c>
      <c r="B1596" s="33"/>
      <c r="C1596" s="2" t="s">
        <v>18</v>
      </c>
      <c r="D1596" s="2" t="s">
        <v>12</v>
      </c>
      <c r="E1596" s="2" t="s">
        <v>13</v>
      </c>
      <c r="F1596" s="2" t="s">
        <v>14</v>
      </c>
      <c r="G1596" s="2" t="s">
        <v>21</v>
      </c>
      <c r="H1596" s="2" t="s">
        <v>22</v>
      </c>
      <c r="I1596" s="2">
        <v>30000</v>
      </c>
      <c r="J1596" s="2">
        <v>3</v>
      </c>
      <c r="K1596" s="2" t="s">
        <v>35</v>
      </c>
      <c r="L1596" s="2">
        <f t="shared" si="6"/>
        <v>24000</v>
      </c>
    </row>
    <row r="1597" spans="1:12" ht="14.25" customHeight="1" x14ac:dyDescent="0.2">
      <c r="A1597" s="33">
        <v>47271</v>
      </c>
      <c r="B1597" s="33"/>
      <c r="C1597" s="2" t="s">
        <v>18</v>
      </c>
      <c r="D1597" s="2" t="s">
        <v>19</v>
      </c>
      <c r="E1597" s="2" t="s">
        <v>23</v>
      </c>
      <c r="F1597" s="2" t="s">
        <v>20</v>
      </c>
      <c r="G1597" s="2" t="s">
        <v>21</v>
      </c>
      <c r="H1597" s="2" t="s">
        <v>22</v>
      </c>
      <c r="I1597" s="2">
        <v>30000</v>
      </c>
      <c r="J1597" s="2">
        <v>9</v>
      </c>
      <c r="K1597" s="2" t="s">
        <v>17</v>
      </c>
      <c r="L1597" s="2">
        <f t="shared" si="6"/>
        <v>24000</v>
      </c>
    </row>
    <row r="1598" spans="1:12" ht="14.25" customHeight="1" x14ac:dyDescent="0.2">
      <c r="A1598" s="33">
        <v>47272</v>
      </c>
      <c r="B1598" s="33"/>
      <c r="C1598" s="2" t="s">
        <v>25</v>
      </c>
      <c r="D1598" s="2" t="s">
        <v>12</v>
      </c>
      <c r="E1598" s="2" t="s">
        <v>23</v>
      </c>
      <c r="F1598" s="2" t="s">
        <v>20</v>
      </c>
      <c r="G1598" s="2" t="s">
        <v>27</v>
      </c>
      <c r="H1598" s="2" t="s">
        <v>22</v>
      </c>
      <c r="I1598" s="2">
        <v>60000</v>
      </c>
      <c r="J1598" s="2">
        <v>1</v>
      </c>
      <c r="K1598" s="2" t="s">
        <v>37</v>
      </c>
      <c r="L1598" s="2">
        <f t="shared" si="6"/>
        <v>48000</v>
      </c>
    </row>
    <row r="1599" spans="1:12" ht="14.25" customHeight="1" x14ac:dyDescent="0.2">
      <c r="A1599" s="33">
        <v>47273</v>
      </c>
      <c r="B1599" s="33"/>
      <c r="C1599" s="2" t="s">
        <v>29</v>
      </c>
      <c r="D1599" s="2" t="s">
        <v>12</v>
      </c>
      <c r="E1599" s="2" t="s">
        <v>23</v>
      </c>
      <c r="F1599" s="2" t="s">
        <v>14</v>
      </c>
      <c r="G1599" s="2" t="s">
        <v>40</v>
      </c>
      <c r="H1599" s="2" t="s">
        <v>31</v>
      </c>
      <c r="I1599" s="2">
        <v>250000</v>
      </c>
      <c r="J1599" s="2">
        <v>1</v>
      </c>
      <c r="K1599" s="2" t="s">
        <v>39</v>
      </c>
      <c r="L1599" s="2">
        <f t="shared" si="6"/>
        <v>200000</v>
      </c>
    </row>
    <row r="1600" spans="1:12" ht="14.25" customHeight="1" x14ac:dyDescent="0.2">
      <c r="A1600" s="33">
        <v>47274</v>
      </c>
      <c r="B1600" s="33"/>
      <c r="C1600" s="2" t="s">
        <v>29</v>
      </c>
      <c r="D1600" s="2" t="s">
        <v>19</v>
      </c>
      <c r="E1600" s="2" t="s">
        <v>23</v>
      </c>
      <c r="F1600" s="2" t="s">
        <v>14</v>
      </c>
      <c r="G1600" s="2" t="s">
        <v>36</v>
      </c>
      <c r="H1600" s="2" t="s">
        <v>31</v>
      </c>
      <c r="I1600" s="2">
        <v>150000</v>
      </c>
      <c r="J1600" s="2">
        <v>9</v>
      </c>
      <c r="K1600" s="2" t="s">
        <v>17</v>
      </c>
      <c r="L1600" s="2">
        <f t="shared" si="6"/>
        <v>120000</v>
      </c>
    </row>
    <row r="1601" spans="1:12" ht="14.25" customHeight="1" x14ac:dyDescent="0.2">
      <c r="A1601" s="33">
        <v>47275</v>
      </c>
      <c r="B1601" s="33"/>
      <c r="C1601" s="2" t="s">
        <v>11</v>
      </c>
      <c r="D1601" s="2" t="s">
        <v>26</v>
      </c>
      <c r="E1601" s="2" t="s">
        <v>23</v>
      </c>
      <c r="F1601" s="2" t="s">
        <v>14</v>
      </c>
      <c r="G1601" s="2" t="s">
        <v>36</v>
      </c>
      <c r="H1601" s="2" t="s">
        <v>31</v>
      </c>
      <c r="I1601" s="2">
        <v>150000</v>
      </c>
      <c r="J1601" s="2">
        <v>8</v>
      </c>
      <c r="K1601" s="2" t="s">
        <v>24</v>
      </c>
      <c r="L1601" s="2">
        <f t="shared" si="6"/>
        <v>120000</v>
      </c>
    </row>
    <row r="1602" spans="1:12" ht="14.25" customHeight="1" x14ac:dyDescent="0.2">
      <c r="A1602" s="33">
        <v>47276</v>
      </c>
      <c r="B1602" s="33"/>
      <c r="C1602" s="2" t="s">
        <v>25</v>
      </c>
      <c r="D1602" s="2" t="s">
        <v>12</v>
      </c>
      <c r="E1602" s="2" t="s">
        <v>13</v>
      </c>
      <c r="F1602" s="2" t="s">
        <v>20</v>
      </c>
      <c r="G1602" s="2" t="s">
        <v>27</v>
      </c>
      <c r="H1602" s="2" t="s">
        <v>22</v>
      </c>
      <c r="I1602" s="2">
        <v>60000</v>
      </c>
      <c r="J1602" s="2">
        <v>4</v>
      </c>
      <c r="K1602" s="2" t="s">
        <v>24</v>
      </c>
      <c r="L1602" s="2">
        <f t="shared" si="6"/>
        <v>48000</v>
      </c>
    </row>
    <row r="1603" spans="1:12" ht="14.25" customHeight="1" x14ac:dyDescent="0.2">
      <c r="A1603" s="33">
        <v>47277</v>
      </c>
      <c r="B1603" s="33"/>
      <c r="C1603" s="2" t="s">
        <v>11</v>
      </c>
      <c r="D1603" s="2" t="s">
        <v>32</v>
      </c>
      <c r="E1603" s="2" t="s">
        <v>13</v>
      </c>
      <c r="F1603" s="2" t="s">
        <v>20</v>
      </c>
      <c r="G1603" s="2" t="s">
        <v>21</v>
      </c>
      <c r="H1603" s="2" t="s">
        <v>22</v>
      </c>
      <c r="I1603" s="2">
        <v>30000</v>
      </c>
      <c r="J1603" s="2">
        <v>3</v>
      </c>
      <c r="K1603" s="2" t="s">
        <v>35</v>
      </c>
      <c r="L1603" s="2">
        <f t="shared" si="6"/>
        <v>24000</v>
      </c>
    </row>
    <row r="1604" spans="1:12" ht="14.25" customHeight="1" x14ac:dyDescent="0.2">
      <c r="A1604" s="33">
        <v>47278</v>
      </c>
      <c r="B1604" s="33"/>
      <c r="C1604" s="2" t="s">
        <v>11</v>
      </c>
      <c r="D1604" s="2" t="s">
        <v>12</v>
      </c>
      <c r="E1604" s="2" t="s">
        <v>13</v>
      </c>
      <c r="F1604" s="2" t="s">
        <v>20</v>
      </c>
      <c r="G1604" s="2" t="s">
        <v>34</v>
      </c>
      <c r="H1604" s="2" t="s">
        <v>16</v>
      </c>
      <c r="I1604" s="2">
        <v>320000</v>
      </c>
      <c r="J1604" s="2">
        <v>4</v>
      </c>
      <c r="K1604" s="2" t="s">
        <v>35</v>
      </c>
      <c r="L1604" s="2">
        <f t="shared" si="6"/>
        <v>256000</v>
      </c>
    </row>
    <row r="1605" spans="1:12" ht="14.25" customHeight="1" x14ac:dyDescent="0.2">
      <c r="A1605" s="33">
        <v>47279</v>
      </c>
      <c r="B1605" s="33"/>
      <c r="C1605" s="2" t="s">
        <v>29</v>
      </c>
      <c r="D1605" s="2" t="s">
        <v>26</v>
      </c>
      <c r="E1605" s="2" t="s">
        <v>23</v>
      </c>
      <c r="F1605" s="2" t="s">
        <v>14</v>
      </c>
      <c r="G1605" s="2" t="s">
        <v>33</v>
      </c>
      <c r="H1605" s="2" t="s">
        <v>22</v>
      </c>
      <c r="I1605" s="2">
        <v>180000</v>
      </c>
      <c r="J1605" s="2">
        <v>8</v>
      </c>
      <c r="K1605" s="2" t="s">
        <v>28</v>
      </c>
      <c r="L1605" s="2">
        <f t="shared" si="6"/>
        <v>144000</v>
      </c>
    </row>
    <row r="1606" spans="1:12" ht="14.25" customHeight="1" x14ac:dyDescent="0.2">
      <c r="A1606" s="33">
        <v>47280</v>
      </c>
      <c r="B1606" s="33"/>
      <c r="C1606" s="2" t="s">
        <v>18</v>
      </c>
      <c r="D1606" s="2" t="s">
        <v>32</v>
      </c>
      <c r="E1606" s="2" t="s">
        <v>13</v>
      </c>
      <c r="F1606" s="2" t="s">
        <v>20</v>
      </c>
      <c r="G1606" s="2" t="s">
        <v>15</v>
      </c>
      <c r="H1606" s="2" t="s">
        <v>16</v>
      </c>
      <c r="I1606" s="2">
        <v>85000</v>
      </c>
      <c r="J1606" s="2">
        <v>4</v>
      </c>
      <c r="K1606" s="2" t="s">
        <v>24</v>
      </c>
      <c r="L1606" s="2">
        <f t="shared" si="6"/>
        <v>68000</v>
      </c>
    </row>
    <row r="1607" spans="1:12" ht="14.25" customHeight="1" x14ac:dyDescent="0.2">
      <c r="A1607" s="33">
        <v>47281</v>
      </c>
      <c r="B1607" s="33"/>
      <c r="C1607" s="2" t="s">
        <v>29</v>
      </c>
      <c r="D1607" s="2" t="s">
        <v>19</v>
      </c>
      <c r="E1607" s="2" t="s">
        <v>23</v>
      </c>
      <c r="F1607" s="2" t="s">
        <v>20</v>
      </c>
      <c r="G1607" s="2" t="s">
        <v>41</v>
      </c>
      <c r="H1607" s="2" t="s">
        <v>22</v>
      </c>
      <c r="I1607" s="2">
        <v>220000</v>
      </c>
      <c r="J1607" s="2">
        <v>10</v>
      </c>
      <c r="K1607" s="2" t="s">
        <v>17</v>
      </c>
      <c r="L1607" s="2">
        <f t="shared" si="6"/>
        <v>176000</v>
      </c>
    </row>
    <row r="1608" spans="1:12" ht="14.25" customHeight="1" x14ac:dyDescent="0.2">
      <c r="A1608" s="33">
        <v>47282</v>
      </c>
      <c r="B1608" s="33"/>
      <c r="C1608" s="2" t="s">
        <v>25</v>
      </c>
      <c r="D1608" s="2" t="s">
        <v>12</v>
      </c>
      <c r="E1608" s="2" t="s">
        <v>23</v>
      </c>
      <c r="F1608" s="2" t="s">
        <v>20</v>
      </c>
      <c r="G1608" s="2" t="s">
        <v>15</v>
      </c>
      <c r="H1608" s="2" t="s">
        <v>16</v>
      </c>
      <c r="I1608" s="2">
        <v>85000</v>
      </c>
      <c r="J1608" s="2">
        <v>5</v>
      </c>
      <c r="K1608" s="2" t="s">
        <v>35</v>
      </c>
      <c r="L1608" s="2">
        <f t="shared" si="6"/>
        <v>68000</v>
      </c>
    </row>
    <row r="1609" spans="1:12" ht="14.25" customHeight="1" x14ac:dyDescent="0.2">
      <c r="A1609" s="33">
        <v>47283</v>
      </c>
      <c r="B1609" s="33"/>
      <c r="C1609" s="2" t="s">
        <v>11</v>
      </c>
      <c r="D1609" s="2" t="s">
        <v>19</v>
      </c>
      <c r="E1609" s="2" t="s">
        <v>13</v>
      </c>
      <c r="F1609" s="2" t="s">
        <v>20</v>
      </c>
      <c r="G1609" s="2" t="s">
        <v>30</v>
      </c>
      <c r="H1609" s="2" t="s">
        <v>31</v>
      </c>
      <c r="I1609" s="2">
        <v>300000</v>
      </c>
      <c r="J1609" s="2">
        <v>2</v>
      </c>
      <c r="K1609" s="2" t="s">
        <v>37</v>
      </c>
      <c r="L1609" s="2">
        <f t="shared" si="6"/>
        <v>240000</v>
      </c>
    </row>
    <row r="1610" spans="1:12" ht="14.25" customHeight="1" x14ac:dyDescent="0.2">
      <c r="A1610" s="33">
        <v>47284</v>
      </c>
      <c r="B1610" s="33"/>
      <c r="C1610" s="2" t="s">
        <v>18</v>
      </c>
      <c r="D1610" s="2" t="s">
        <v>32</v>
      </c>
      <c r="E1610" s="2" t="s">
        <v>23</v>
      </c>
      <c r="F1610" s="2" t="s">
        <v>14</v>
      </c>
      <c r="G1610" s="2" t="s">
        <v>33</v>
      </c>
      <c r="H1610" s="2" t="s">
        <v>22</v>
      </c>
      <c r="I1610" s="2">
        <v>180000</v>
      </c>
      <c r="J1610" s="2">
        <v>1</v>
      </c>
      <c r="K1610" s="2" t="s">
        <v>35</v>
      </c>
      <c r="L1610" s="2">
        <f t="shared" si="6"/>
        <v>144000</v>
      </c>
    </row>
    <row r="1611" spans="1:12" ht="14.25" customHeight="1" x14ac:dyDescent="0.2">
      <c r="A1611" s="33">
        <v>47285</v>
      </c>
      <c r="B1611" s="33"/>
      <c r="C1611" s="2" t="s">
        <v>25</v>
      </c>
      <c r="D1611" s="2" t="s">
        <v>32</v>
      </c>
      <c r="E1611" s="2" t="s">
        <v>13</v>
      </c>
      <c r="F1611" s="2" t="s">
        <v>14</v>
      </c>
      <c r="G1611" s="2" t="s">
        <v>36</v>
      </c>
      <c r="H1611" s="2" t="s">
        <v>31</v>
      </c>
      <c r="I1611" s="2">
        <v>150000</v>
      </c>
      <c r="J1611" s="2">
        <v>3</v>
      </c>
      <c r="K1611" s="2" t="s">
        <v>35</v>
      </c>
      <c r="L1611" s="2">
        <f t="shared" si="6"/>
        <v>120000</v>
      </c>
    </row>
    <row r="1612" spans="1:12" ht="14.25" customHeight="1" x14ac:dyDescent="0.2">
      <c r="A1612" s="33">
        <v>47286</v>
      </c>
      <c r="B1612" s="33"/>
      <c r="C1612" s="2" t="s">
        <v>25</v>
      </c>
      <c r="D1612" s="2" t="s">
        <v>26</v>
      </c>
      <c r="E1612" s="2" t="s">
        <v>23</v>
      </c>
      <c r="F1612" s="2" t="s">
        <v>20</v>
      </c>
      <c r="G1612" s="2" t="s">
        <v>33</v>
      </c>
      <c r="H1612" s="2" t="s">
        <v>22</v>
      </c>
      <c r="I1612" s="2">
        <v>180000</v>
      </c>
      <c r="J1612" s="2">
        <v>3</v>
      </c>
      <c r="K1612" s="2" t="s">
        <v>28</v>
      </c>
      <c r="L1612" s="2">
        <f t="shared" si="6"/>
        <v>144000</v>
      </c>
    </row>
    <row r="1613" spans="1:12" ht="14.25" customHeight="1" x14ac:dyDescent="0.2">
      <c r="A1613" s="33">
        <v>47287</v>
      </c>
      <c r="B1613" s="33"/>
      <c r="C1613" s="2" t="s">
        <v>29</v>
      </c>
      <c r="D1613" s="2" t="s">
        <v>26</v>
      </c>
      <c r="E1613" s="2" t="s">
        <v>13</v>
      </c>
      <c r="F1613" s="2" t="s">
        <v>14</v>
      </c>
      <c r="G1613" s="2" t="s">
        <v>36</v>
      </c>
      <c r="H1613" s="2" t="s">
        <v>31</v>
      </c>
      <c r="I1613" s="2">
        <v>150000</v>
      </c>
      <c r="J1613" s="2">
        <v>5</v>
      </c>
      <c r="K1613" s="2" t="s">
        <v>24</v>
      </c>
      <c r="L1613" s="2">
        <f t="shared" si="6"/>
        <v>120000</v>
      </c>
    </row>
    <row r="1614" spans="1:12" ht="14.25" customHeight="1" x14ac:dyDescent="0.2">
      <c r="A1614" s="33">
        <v>47288</v>
      </c>
      <c r="B1614" s="33"/>
      <c r="C1614" s="2" t="s">
        <v>18</v>
      </c>
      <c r="D1614" s="2" t="s">
        <v>32</v>
      </c>
      <c r="E1614" s="2" t="s">
        <v>23</v>
      </c>
      <c r="F1614" s="2" t="s">
        <v>14</v>
      </c>
      <c r="G1614" s="2" t="s">
        <v>27</v>
      </c>
      <c r="H1614" s="2" t="s">
        <v>22</v>
      </c>
      <c r="I1614" s="2">
        <v>60000</v>
      </c>
      <c r="J1614" s="2">
        <v>8</v>
      </c>
      <c r="K1614" s="2" t="s">
        <v>24</v>
      </c>
      <c r="L1614" s="2">
        <f t="shared" si="6"/>
        <v>48000</v>
      </c>
    </row>
    <row r="1615" spans="1:12" ht="14.25" customHeight="1" x14ac:dyDescent="0.2">
      <c r="A1615" s="33">
        <v>47289</v>
      </c>
      <c r="B1615" s="33"/>
      <c r="C1615" s="2" t="s">
        <v>18</v>
      </c>
      <c r="D1615" s="2" t="s">
        <v>12</v>
      </c>
      <c r="E1615" s="2" t="s">
        <v>13</v>
      </c>
      <c r="F1615" s="2" t="s">
        <v>20</v>
      </c>
      <c r="G1615" s="2" t="s">
        <v>40</v>
      </c>
      <c r="H1615" s="2" t="s">
        <v>31</v>
      </c>
      <c r="I1615" s="2">
        <v>250000</v>
      </c>
      <c r="J1615" s="2">
        <v>5</v>
      </c>
      <c r="K1615" s="2" t="s">
        <v>24</v>
      </c>
      <c r="L1615" s="2">
        <f t="shared" si="6"/>
        <v>200000</v>
      </c>
    </row>
    <row r="1616" spans="1:12" ht="14.25" customHeight="1" x14ac:dyDescent="0.2">
      <c r="A1616" s="33">
        <v>47290</v>
      </c>
      <c r="B1616" s="33"/>
      <c r="C1616" s="2" t="s">
        <v>18</v>
      </c>
      <c r="D1616" s="2" t="s">
        <v>26</v>
      </c>
      <c r="E1616" s="2" t="s">
        <v>13</v>
      </c>
      <c r="F1616" s="2" t="s">
        <v>14</v>
      </c>
      <c r="G1616" s="2" t="s">
        <v>33</v>
      </c>
      <c r="H1616" s="2" t="s">
        <v>22</v>
      </c>
      <c r="I1616" s="2">
        <v>180000</v>
      </c>
      <c r="J1616" s="2">
        <v>3</v>
      </c>
      <c r="K1616" s="2" t="s">
        <v>17</v>
      </c>
      <c r="L1616" s="2">
        <f t="shared" si="6"/>
        <v>144000</v>
      </c>
    </row>
    <row r="1617" spans="1:12" ht="14.25" customHeight="1" x14ac:dyDescent="0.2">
      <c r="A1617" s="33">
        <v>47291</v>
      </c>
      <c r="B1617" s="33"/>
      <c r="C1617" s="2" t="s">
        <v>29</v>
      </c>
      <c r="D1617" s="2" t="s">
        <v>12</v>
      </c>
      <c r="E1617" s="2" t="s">
        <v>23</v>
      </c>
      <c r="F1617" s="2" t="s">
        <v>14</v>
      </c>
      <c r="G1617" s="2" t="s">
        <v>34</v>
      </c>
      <c r="H1617" s="2" t="s">
        <v>16</v>
      </c>
      <c r="I1617" s="2">
        <v>320000</v>
      </c>
      <c r="J1617" s="2">
        <v>9</v>
      </c>
      <c r="K1617" s="2" t="s">
        <v>17</v>
      </c>
      <c r="L1617" s="2">
        <f t="shared" si="6"/>
        <v>256000</v>
      </c>
    </row>
    <row r="1618" spans="1:12" ht="14.25" customHeight="1" x14ac:dyDescent="0.2">
      <c r="A1618" s="33">
        <v>47292</v>
      </c>
      <c r="B1618" s="33"/>
      <c r="C1618" s="2" t="s">
        <v>11</v>
      </c>
      <c r="D1618" s="2" t="s">
        <v>12</v>
      </c>
      <c r="E1618" s="2" t="s">
        <v>23</v>
      </c>
      <c r="F1618" s="2" t="s">
        <v>20</v>
      </c>
      <c r="G1618" s="2" t="s">
        <v>15</v>
      </c>
      <c r="H1618" s="2" t="s">
        <v>16</v>
      </c>
      <c r="I1618" s="2">
        <v>85000</v>
      </c>
      <c r="J1618" s="2">
        <v>5</v>
      </c>
      <c r="K1618" s="2" t="s">
        <v>28</v>
      </c>
      <c r="L1618" s="2">
        <f t="shared" si="6"/>
        <v>68000</v>
      </c>
    </row>
    <row r="1619" spans="1:12" ht="14.25" customHeight="1" x14ac:dyDescent="0.2">
      <c r="A1619" s="33">
        <v>47293</v>
      </c>
      <c r="B1619" s="33"/>
      <c r="C1619" s="2" t="s">
        <v>25</v>
      </c>
      <c r="D1619" s="2" t="s">
        <v>19</v>
      </c>
      <c r="E1619" s="2" t="s">
        <v>13</v>
      </c>
      <c r="F1619" s="2" t="s">
        <v>14</v>
      </c>
      <c r="G1619" s="2" t="s">
        <v>41</v>
      </c>
      <c r="H1619" s="2" t="s">
        <v>22</v>
      </c>
      <c r="I1619" s="2">
        <v>220000</v>
      </c>
      <c r="J1619" s="2">
        <v>1</v>
      </c>
      <c r="K1619" s="2" t="s">
        <v>37</v>
      </c>
      <c r="L1619" s="2">
        <f t="shared" si="6"/>
        <v>176000</v>
      </c>
    </row>
    <row r="1620" spans="1:12" ht="14.25" customHeight="1" x14ac:dyDescent="0.2">
      <c r="A1620" s="33">
        <v>47294</v>
      </c>
      <c r="B1620" s="33"/>
      <c r="C1620" s="2" t="s">
        <v>18</v>
      </c>
      <c r="D1620" s="2" t="s">
        <v>19</v>
      </c>
      <c r="E1620" s="2" t="s">
        <v>13</v>
      </c>
      <c r="F1620" s="2" t="s">
        <v>20</v>
      </c>
      <c r="G1620" s="2" t="s">
        <v>33</v>
      </c>
      <c r="H1620" s="2" t="s">
        <v>22</v>
      </c>
      <c r="I1620" s="2">
        <v>180000</v>
      </c>
      <c r="J1620" s="2">
        <v>2</v>
      </c>
      <c r="K1620" s="2" t="s">
        <v>28</v>
      </c>
      <c r="L1620" s="2">
        <f t="shared" si="6"/>
        <v>144000</v>
      </c>
    </row>
    <row r="1621" spans="1:12" ht="14.25" customHeight="1" x14ac:dyDescent="0.2">
      <c r="A1621" s="33">
        <v>47295</v>
      </c>
      <c r="B1621" s="33"/>
      <c r="C1621" s="2" t="s">
        <v>18</v>
      </c>
      <c r="D1621" s="2" t="s">
        <v>19</v>
      </c>
      <c r="E1621" s="2" t="s">
        <v>23</v>
      </c>
      <c r="F1621" s="2" t="s">
        <v>20</v>
      </c>
      <c r="G1621" s="2" t="s">
        <v>36</v>
      </c>
      <c r="H1621" s="2" t="s">
        <v>31</v>
      </c>
      <c r="I1621" s="2">
        <v>150000</v>
      </c>
      <c r="J1621" s="2">
        <v>1</v>
      </c>
      <c r="K1621" s="2" t="s">
        <v>35</v>
      </c>
      <c r="L1621" s="2">
        <f t="shared" si="6"/>
        <v>120000</v>
      </c>
    </row>
    <row r="1622" spans="1:12" ht="14.25" customHeight="1" x14ac:dyDescent="0.2">
      <c r="A1622" s="33">
        <v>47296</v>
      </c>
      <c r="B1622" s="33"/>
      <c r="C1622" s="2" t="s">
        <v>11</v>
      </c>
      <c r="D1622" s="2" t="s">
        <v>26</v>
      </c>
      <c r="E1622" s="2" t="s">
        <v>13</v>
      </c>
      <c r="F1622" s="2" t="s">
        <v>20</v>
      </c>
      <c r="G1622" s="2" t="s">
        <v>33</v>
      </c>
      <c r="H1622" s="2" t="s">
        <v>22</v>
      </c>
      <c r="I1622" s="2">
        <v>180000</v>
      </c>
      <c r="J1622" s="2">
        <v>2</v>
      </c>
      <c r="K1622" s="2" t="s">
        <v>24</v>
      </c>
      <c r="L1622" s="2">
        <f t="shared" si="6"/>
        <v>144000</v>
      </c>
    </row>
    <row r="1623" spans="1:12" ht="14.25" customHeight="1" x14ac:dyDescent="0.2">
      <c r="A1623" s="33">
        <v>47297</v>
      </c>
      <c r="B1623" s="33"/>
      <c r="C1623" s="2" t="s">
        <v>29</v>
      </c>
      <c r="D1623" s="2" t="s">
        <v>32</v>
      </c>
      <c r="E1623" s="2" t="s">
        <v>23</v>
      </c>
      <c r="F1623" s="2" t="s">
        <v>14</v>
      </c>
      <c r="G1623" s="2" t="s">
        <v>34</v>
      </c>
      <c r="H1623" s="2" t="s">
        <v>16</v>
      </c>
      <c r="I1623" s="2">
        <v>320000</v>
      </c>
      <c r="J1623" s="2">
        <v>4</v>
      </c>
      <c r="K1623" s="2" t="s">
        <v>39</v>
      </c>
      <c r="L1623" s="2">
        <f t="shared" si="6"/>
        <v>256000</v>
      </c>
    </row>
    <row r="1624" spans="1:12" ht="14.25" customHeight="1" x14ac:dyDescent="0.2">
      <c r="A1624" s="33">
        <v>47298</v>
      </c>
      <c r="B1624" s="33"/>
      <c r="C1624" s="2" t="s">
        <v>29</v>
      </c>
      <c r="D1624" s="2" t="s">
        <v>32</v>
      </c>
      <c r="E1624" s="2" t="s">
        <v>13</v>
      </c>
      <c r="F1624" s="2" t="s">
        <v>20</v>
      </c>
      <c r="G1624" s="2" t="s">
        <v>36</v>
      </c>
      <c r="H1624" s="2" t="s">
        <v>31</v>
      </c>
      <c r="I1624" s="2">
        <v>150000</v>
      </c>
      <c r="J1624" s="2">
        <v>10</v>
      </c>
      <c r="K1624" s="2" t="s">
        <v>17</v>
      </c>
      <c r="L1624" s="2">
        <f t="shared" si="6"/>
        <v>120000</v>
      </c>
    </row>
    <row r="1625" spans="1:12" ht="14.25" customHeight="1" x14ac:dyDescent="0.2">
      <c r="A1625" s="33">
        <v>47299</v>
      </c>
      <c r="B1625" s="33"/>
      <c r="C1625" s="2" t="s">
        <v>25</v>
      </c>
      <c r="D1625" s="2" t="s">
        <v>26</v>
      </c>
      <c r="E1625" s="2" t="s">
        <v>23</v>
      </c>
      <c r="F1625" s="2" t="s">
        <v>20</v>
      </c>
      <c r="G1625" s="2" t="s">
        <v>21</v>
      </c>
      <c r="H1625" s="2" t="s">
        <v>22</v>
      </c>
      <c r="I1625" s="2">
        <v>30000</v>
      </c>
      <c r="J1625" s="2">
        <v>3</v>
      </c>
      <c r="K1625" s="2" t="s">
        <v>35</v>
      </c>
      <c r="L1625" s="2">
        <f t="shared" si="6"/>
        <v>24000</v>
      </c>
    </row>
    <row r="1626" spans="1:12" ht="14.25" customHeight="1" x14ac:dyDescent="0.2">
      <c r="A1626" s="33">
        <v>47300</v>
      </c>
      <c r="B1626" s="33"/>
      <c r="C1626" s="2" t="s">
        <v>25</v>
      </c>
      <c r="D1626" s="2" t="s">
        <v>26</v>
      </c>
      <c r="E1626" s="2" t="s">
        <v>13</v>
      </c>
      <c r="F1626" s="2" t="s">
        <v>20</v>
      </c>
      <c r="G1626" s="2" t="s">
        <v>15</v>
      </c>
      <c r="H1626" s="2" t="s">
        <v>16</v>
      </c>
      <c r="I1626" s="2">
        <v>85000</v>
      </c>
      <c r="J1626" s="2">
        <v>4</v>
      </c>
      <c r="K1626" s="2" t="s">
        <v>35</v>
      </c>
      <c r="L1626" s="2">
        <f t="shared" si="6"/>
        <v>68000</v>
      </c>
    </row>
    <row r="1627" spans="1:12" ht="14.25" customHeight="1" x14ac:dyDescent="0.2">
      <c r="A1627" s="33">
        <v>47301</v>
      </c>
      <c r="B1627" s="33"/>
      <c r="C1627" s="2" t="s">
        <v>11</v>
      </c>
      <c r="D1627" s="2" t="s">
        <v>32</v>
      </c>
      <c r="E1627" s="2" t="s">
        <v>13</v>
      </c>
      <c r="F1627" s="2" t="s">
        <v>20</v>
      </c>
      <c r="G1627" s="2" t="s">
        <v>33</v>
      </c>
      <c r="H1627" s="2" t="s">
        <v>22</v>
      </c>
      <c r="I1627" s="2">
        <v>180000</v>
      </c>
      <c r="J1627" s="2">
        <v>10</v>
      </c>
      <c r="K1627" s="2" t="s">
        <v>35</v>
      </c>
      <c r="L1627" s="2">
        <f t="shared" si="6"/>
        <v>144000</v>
      </c>
    </row>
    <row r="1628" spans="1:12" ht="14.25" customHeight="1" x14ac:dyDescent="0.2">
      <c r="A1628" s="33">
        <v>47302</v>
      </c>
      <c r="B1628" s="33"/>
      <c r="C1628" s="2" t="s">
        <v>11</v>
      </c>
      <c r="D1628" s="2" t="s">
        <v>19</v>
      </c>
      <c r="E1628" s="2" t="s">
        <v>23</v>
      </c>
      <c r="F1628" s="2" t="s">
        <v>20</v>
      </c>
      <c r="G1628" s="2" t="s">
        <v>34</v>
      </c>
      <c r="H1628" s="2" t="s">
        <v>16</v>
      </c>
      <c r="I1628" s="2">
        <v>320000</v>
      </c>
      <c r="J1628" s="2">
        <v>9</v>
      </c>
      <c r="K1628" s="2" t="s">
        <v>37</v>
      </c>
      <c r="L1628" s="2">
        <f t="shared" si="6"/>
        <v>256000</v>
      </c>
    </row>
    <row r="1629" spans="1:12" ht="14.25" customHeight="1" x14ac:dyDescent="0.2">
      <c r="A1629" s="33">
        <v>47303</v>
      </c>
      <c r="B1629" s="33"/>
      <c r="C1629" s="2" t="s">
        <v>25</v>
      </c>
      <c r="D1629" s="2" t="s">
        <v>19</v>
      </c>
      <c r="E1629" s="2" t="s">
        <v>23</v>
      </c>
      <c r="F1629" s="2" t="s">
        <v>14</v>
      </c>
      <c r="G1629" s="2" t="s">
        <v>36</v>
      </c>
      <c r="H1629" s="2" t="s">
        <v>31</v>
      </c>
      <c r="I1629" s="2">
        <v>150000</v>
      </c>
      <c r="J1629" s="2">
        <v>3</v>
      </c>
      <c r="K1629" s="2" t="s">
        <v>39</v>
      </c>
      <c r="L1629" s="2">
        <f t="shared" si="6"/>
        <v>120000</v>
      </c>
    </row>
    <row r="1630" spans="1:12" ht="14.25" customHeight="1" x14ac:dyDescent="0.2">
      <c r="A1630" s="33">
        <v>47304</v>
      </c>
      <c r="B1630" s="33"/>
      <c r="C1630" s="2" t="s">
        <v>29</v>
      </c>
      <c r="D1630" s="2" t="s">
        <v>19</v>
      </c>
      <c r="E1630" s="2" t="s">
        <v>13</v>
      </c>
      <c r="F1630" s="2" t="s">
        <v>14</v>
      </c>
      <c r="G1630" s="2" t="s">
        <v>41</v>
      </c>
      <c r="H1630" s="2" t="s">
        <v>22</v>
      </c>
      <c r="I1630" s="2">
        <v>220000</v>
      </c>
      <c r="J1630" s="2">
        <v>5</v>
      </c>
      <c r="K1630" s="2" t="s">
        <v>39</v>
      </c>
      <c r="L1630" s="2">
        <f t="shared" si="6"/>
        <v>176000</v>
      </c>
    </row>
    <row r="1631" spans="1:12" ht="14.25" customHeight="1" x14ac:dyDescent="0.2">
      <c r="A1631" s="33">
        <v>47305</v>
      </c>
      <c r="B1631" s="33"/>
      <c r="C1631" s="2" t="s">
        <v>29</v>
      </c>
      <c r="D1631" s="2" t="s">
        <v>32</v>
      </c>
      <c r="E1631" s="2" t="s">
        <v>23</v>
      </c>
      <c r="F1631" s="2" t="s">
        <v>20</v>
      </c>
      <c r="G1631" s="2" t="s">
        <v>30</v>
      </c>
      <c r="H1631" s="2" t="s">
        <v>31</v>
      </c>
      <c r="I1631" s="2">
        <v>300000</v>
      </c>
      <c r="J1631" s="2">
        <v>2</v>
      </c>
      <c r="K1631" s="2" t="s">
        <v>17</v>
      </c>
      <c r="L1631" s="2">
        <f t="shared" si="6"/>
        <v>240000</v>
      </c>
    </row>
    <row r="1632" spans="1:12" ht="14.25" customHeight="1" x14ac:dyDescent="0.2">
      <c r="A1632" s="33">
        <v>47306</v>
      </c>
      <c r="B1632" s="33"/>
      <c r="C1632" s="2" t="s">
        <v>18</v>
      </c>
      <c r="D1632" s="2" t="s">
        <v>12</v>
      </c>
      <c r="E1632" s="2" t="s">
        <v>23</v>
      </c>
      <c r="F1632" s="2" t="s">
        <v>14</v>
      </c>
      <c r="G1632" s="2" t="s">
        <v>30</v>
      </c>
      <c r="H1632" s="2" t="s">
        <v>31</v>
      </c>
      <c r="I1632" s="2">
        <v>300000</v>
      </c>
      <c r="J1632" s="2">
        <v>6</v>
      </c>
      <c r="K1632" s="2" t="s">
        <v>39</v>
      </c>
      <c r="L1632" s="2">
        <f t="shared" si="6"/>
        <v>240000</v>
      </c>
    </row>
    <row r="1633" spans="1:12" ht="14.25" customHeight="1" x14ac:dyDescent="0.2">
      <c r="A1633" s="33">
        <v>47307</v>
      </c>
      <c r="B1633" s="33"/>
      <c r="C1633" s="2" t="s">
        <v>29</v>
      </c>
      <c r="D1633" s="2" t="s">
        <v>32</v>
      </c>
      <c r="E1633" s="2" t="s">
        <v>23</v>
      </c>
      <c r="F1633" s="2" t="s">
        <v>14</v>
      </c>
      <c r="G1633" s="2" t="s">
        <v>33</v>
      </c>
      <c r="H1633" s="2" t="s">
        <v>22</v>
      </c>
      <c r="I1633" s="2">
        <v>180000</v>
      </c>
      <c r="J1633" s="2">
        <v>7</v>
      </c>
      <c r="K1633" s="2" t="s">
        <v>39</v>
      </c>
      <c r="L1633" s="2">
        <f t="shared" si="6"/>
        <v>144000</v>
      </c>
    </row>
    <row r="1634" spans="1:12" ht="14.25" customHeight="1" x14ac:dyDescent="0.2">
      <c r="A1634" s="33">
        <v>47308</v>
      </c>
      <c r="B1634" s="33"/>
      <c r="C1634" s="2" t="s">
        <v>11</v>
      </c>
      <c r="D1634" s="2" t="s">
        <v>26</v>
      </c>
      <c r="E1634" s="2" t="s">
        <v>23</v>
      </c>
      <c r="F1634" s="2" t="s">
        <v>20</v>
      </c>
      <c r="G1634" s="2" t="s">
        <v>34</v>
      </c>
      <c r="H1634" s="2" t="s">
        <v>16</v>
      </c>
      <c r="I1634" s="2">
        <v>320000</v>
      </c>
      <c r="J1634" s="2">
        <v>6</v>
      </c>
      <c r="K1634" s="2" t="s">
        <v>17</v>
      </c>
      <c r="L1634" s="2">
        <f t="shared" si="6"/>
        <v>256000</v>
      </c>
    </row>
    <row r="1635" spans="1:12" ht="14.25" customHeight="1" x14ac:dyDescent="0.2">
      <c r="A1635" s="33">
        <v>47309</v>
      </c>
      <c r="B1635" s="33"/>
      <c r="C1635" s="2" t="s">
        <v>29</v>
      </c>
      <c r="D1635" s="2" t="s">
        <v>19</v>
      </c>
      <c r="E1635" s="2" t="s">
        <v>13</v>
      </c>
      <c r="F1635" s="2" t="s">
        <v>20</v>
      </c>
      <c r="G1635" s="2" t="s">
        <v>40</v>
      </c>
      <c r="H1635" s="2" t="s">
        <v>31</v>
      </c>
      <c r="I1635" s="2">
        <v>250000</v>
      </c>
      <c r="J1635" s="2">
        <v>5</v>
      </c>
      <c r="K1635" s="2" t="s">
        <v>35</v>
      </c>
      <c r="L1635" s="2">
        <f t="shared" si="6"/>
        <v>200000</v>
      </c>
    </row>
    <row r="1636" spans="1:12" ht="14.25" customHeight="1" x14ac:dyDescent="0.2">
      <c r="A1636" s="33">
        <v>47310</v>
      </c>
      <c r="B1636" s="33"/>
      <c r="C1636" s="2" t="s">
        <v>11</v>
      </c>
      <c r="D1636" s="2" t="s">
        <v>19</v>
      </c>
      <c r="E1636" s="2" t="s">
        <v>13</v>
      </c>
      <c r="F1636" s="2" t="s">
        <v>14</v>
      </c>
      <c r="G1636" s="2" t="s">
        <v>30</v>
      </c>
      <c r="H1636" s="2" t="s">
        <v>31</v>
      </c>
      <c r="I1636" s="2">
        <v>300000</v>
      </c>
      <c r="J1636" s="2">
        <v>3</v>
      </c>
      <c r="K1636" s="2" t="s">
        <v>39</v>
      </c>
      <c r="L1636" s="2">
        <f t="shared" si="6"/>
        <v>240000</v>
      </c>
    </row>
    <row r="1637" spans="1:12" ht="14.25" customHeight="1" x14ac:dyDescent="0.2">
      <c r="A1637" s="33">
        <v>47311</v>
      </c>
      <c r="B1637" s="33"/>
      <c r="C1637" s="2" t="s">
        <v>11</v>
      </c>
      <c r="D1637" s="2" t="s">
        <v>32</v>
      </c>
      <c r="E1637" s="2" t="s">
        <v>13</v>
      </c>
      <c r="F1637" s="2" t="s">
        <v>20</v>
      </c>
      <c r="G1637" s="2" t="s">
        <v>33</v>
      </c>
      <c r="H1637" s="2" t="s">
        <v>22</v>
      </c>
      <c r="I1637" s="2">
        <v>180000</v>
      </c>
      <c r="J1637" s="2">
        <v>8</v>
      </c>
      <c r="K1637" s="2" t="s">
        <v>39</v>
      </c>
      <c r="L1637" s="2">
        <f t="shared" si="6"/>
        <v>144000</v>
      </c>
    </row>
    <row r="1638" spans="1:12" ht="14.25" customHeight="1" x14ac:dyDescent="0.2">
      <c r="A1638" s="33">
        <v>47312</v>
      </c>
      <c r="B1638" s="33"/>
      <c r="C1638" s="2" t="s">
        <v>18</v>
      </c>
      <c r="D1638" s="2" t="s">
        <v>32</v>
      </c>
      <c r="E1638" s="2" t="s">
        <v>13</v>
      </c>
      <c r="F1638" s="2" t="s">
        <v>20</v>
      </c>
      <c r="G1638" s="2" t="s">
        <v>34</v>
      </c>
      <c r="H1638" s="2" t="s">
        <v>16</v>
      </c>
      <c r="I1638" s="2">
        <v>320000</v>
      </c>
      <c r="J1638" s="2">
        <v>5</v>
      </c>
      <c r="K1638" s="2" t="s">
        <v>24</v>
      </c>
      <c r="L1638" s="2">
        <f t="shared" si="6"/>
        <v>256000</v>
      </c>
    </row>
    <row r="1639" spans="1:12" ht="14.25" customHeight="1" x14ac:dyDescent="0.2">
      <c r="A1639" s="33">
        <v>47313</v>
      </c>
      <c r="B1639" s="33"/>
      <c r="C1639" s="2" t="s">
        <v>11</v>
      </c>
      <c r="D1639" s="2" t="s">
        <v>32</v>
      </c>
      <c r="E1639" s="2" t="s">
        <v>13</v>
      </c>
      <c r="F1639" s="2" t="s">
        <v>14</v>
      </c>
      <c r="G1639" s="2" t="s">
        <v>40</v>
      </c>
      <c r="H1639" s="2" t="s">
        <v>31</v>
      </c>
      <c r="I1639" s="2">
        <v>250000</v>
      </c>
      <c r="J1639" s="2">
        <v>7</v>
      </c>
      <c r="K1639" s="2" t="s">
        <v>24</v>
      </c>
      <c r="L1639" s="2">
        <f t="shared" si="6"/>
        <v>200000</v>
      </c>
    </row>
    <row r="1640" spans="1:12" ht="14.25" customHeight="1" x14ac:dyDescent="0.2">
      <c r="A1640" s="33">
        <v>47314</v>
      </c>
      <c r="B1640" s="33"/>
      <c r="C1640" s="2" t="s">
        <v>11</v>
      </c>
      <c r="D1640" s="2" t="s">
        <v>19</v>
      </c>
      <c r="E1640" s="2" t="s">
        <v>13</v>
      </c>
      <c r="F1640" s="2" t="s">
        <v>20</v>
      </c>
      <c r="G1640" s="2" t="s">
        <v>30</v>
      </c>
      <c r="H1640" s="2" t="s">
        <v>31</v>
      </c>
      <c r="I1640" s="2">
        <v>300000</v>
      </c>
      <c r="J1640" s="2">
        <v>8</v>
      </c>
      <c r="K1640" s="2" t="s">
        <v>17</v>
      </c>
      <c r="L1640" s="2">
        <f t="shared" si="6"/>
        <v>240000</v>
      </c>
    </row>
    <row r="1641" spans="1:12" ht="14.25" customHeight="1" x14ac:dyDescent="0.2">
      <c r="A1641" s="33">
        <v>47315</v>
      </c>
      <c r="B1641" s="33"/>
      <c r="C1641" s="2" t="s">
        <v>11</v>
      </c>
      <c r="D1641" s="2" t="s">
        <v>19</v>
      </c>
      <c r="E1641" s="2" t="s">
        <v>23</v>
      </c>
      <c r="F1641" s="2" t="s">
        <v>14</v>
      </c>
      <c r="G1641" s="2" t="s">
        <v>38</v>
      </c>
      <c r="H1641" s="2" t="s">
        <v>31</v>
      </c>
      <c r="I1641" s="2">
        <v>420000</v>
      </c>
      <c r="J1641" s="2">
        <v>4</v>
      </c>
      <c r="K1641" s="2" t="s">
        <v>39</v>
      </c>
      <c r="L1641" s="2">
        <f t="shared" si="6"/>
        <v>336000</v>
      </c>
    </row>
    <row r="1642" spans="1:12" ht="14.25" customHeight="1" x14ac:dyDescent="0.2">
      <c r="A1642" s="33">
        <v>47316</v>
      </c>
      <c r="B1642" s="33"/>
      <c r="C1642" s="2" t="s">
        <v>11</v>
      </c>
      <c r="D1642" s="2" t="s">
        <v>12</v>
      </c>
      <c r="E1642" s="2" t="s">
        <v>23</v>
      </c>
      <c r="F1642" s="2" t="s">
        <v>20</v>
      </c>
      <c r="G1642" s="2" t="s">
        <v>40</v>
      </c>
      <c r="H1642" s="2" t="s">
        <v>31</v>
      </c>
      <c r="I1642" s="2">
        <v>250000</v>
      </c>
      <c r="J1642" s="2">
        <v>6</v>
      </c>
      <c r="K1642" s="2" t="s">
        <v>28</v>
      </c>
      <c r="L1642" s="2">
        <f t="shared" si="6"/>
        <v>200000</v>
      </c>
    </row>
    <row r="1643" spans="1:12" ht="14.25" customHeight="1" x14ac:dyDescent="0.2">
      <c r="A1643" s="33">
        <v>47317</v>
      </c>
      <c r="B1643" s="33"/>
      <c r="C1643" s="2" t="s">
        <v>18</v>
      </c>
      <c r="D1643" s="2" t="s">
        <v>32</v>
      </c>
      <c r="E1643" s="2" t="s">
        <v>13</v>
      </c>
      <c r="F1643" s="2" t="s">
        <v>14</v>
      </c>
      <c r="G1643" s="2" t="s">
        <v>36</v>
      </c>
      <c r="H1643" s="2" t="s">
        <v>31</v>
      </c>
      <c r="I1643" s="2">
        <v>150000</v>
      </c>
      <c r="J1643" s="2">
        <v>3</v>
      </c>
      <c r="K1643" s="2" t="s">
        <v>28</v>
      </c>
      <c r="L1643" s="2">
        <f t="shared" si="6"/>
        <v>120000</v>
      </c>
    </row>
    <row r="1644" spans="1:12" ht="14.25" customHeight="1" x14ac:dyDescent="0.2">
      <c r="A1644" s="33">
        <v>47318</v>
      </c>
      <c r="B1644" s="33"/>
      <c r="C1644" s="2" t="s">
        <v>29</v>
      </c>
      <c r="D1644" s="2" t="s">
        <v>12</v>
      </c>
      <c r="E1644" s="2" t="s">
        <v>23</v>
      </c>
      <c r="F1644" s="2" t="s">
        <v>20</v>
      </c>
      <c r="G1644" s="2" t="s">
        <v>30</v>
      </c>
      <c r="H1644" s="2" t="s">
        <v>31</v>
      </c>
      <c r="I1644" s="2">
        <v>300000</v>
      </c>
      <c r="J1644" s="2">
        <v>6</v>
      </c>
      <c r="K1644" s="2" t="s">
        <v>37</v>
      </c>
      <c r="L1644" s="2">
        <f t="shared" si="6"/>
        <v>240000</v>
      </c>
    </row>
    <row r="1645" spans="1:12" ht="14.25" customHeight="1" x14ac:dyDescent="0.2">
      <c r="A1645" s="33">
        <v>47319</v>
      </c>
      <c r="B1645" s="33"/>
      <c r="C1645" s="2" t="s">
        <v>25</v>
      </c>
      <c r="D1645" s="2" t="s">
        <v>12</v>
      </c>
      <c r="E1645" s="2" t="s">
        <v>13</v>
      </c>
      <c r="F1645" s="2" t="s">
        <v>20</v>
      </c>
      <c r="G1645" s="2" t="s">
        <v>33</v>
      </c>
      <c r="H1645" s="2" t="s">
        <v>22</v>
      </c>
      <c r="I1645" s="2">
        <v>180000</v>
      </c>
      <c r="J1645" s="2">
        <v>2</v>
      </c>
      <c r="K1645" s="2" t="s">
        <v>28</v>
      </c>
      <c r="L1645" s="2">
        <f t="shared" si="6"/>
        <v>144000</v>
      </c>
    </row>
    <row r="1646" spans="1:12" ht="14.25" customHeight="1" x14ac:dyDescent="0.2">
      <c r="A1646" s="33">
        <v>47320</v>
      </c>
      <c r="B1646" s="33"/>
      <c r="C1646" s="2" t="s">
        <v>18</v>
      </c>
      <c r="D1646" s="2" t="s">
        <v>19</v>
      </c>
      <c r="E1646" s="2" t="s">
        <v>23</v>
      </c>
      <c r="F1646" s="2" t="s">
        <v>20</v>
      </c>
      <c r="G1646" s="2" t="s">
        <v>36</v>
      </c>
      <c r="H1646" s="2" t="s">
        <v>31</v>
      </c>
      <c r="I1646" s="2">
        <v>150000</v>
      </c>
      <c r="J1646" s="2">
        <v>6</v>
      </c>
      <c r="K1646" s="2" t="s">
        <v>24</v>
      </c>
      <c r="L1646" s="2">
        <f t="shared" si="6"/>
        <v>120000</v>
      </c>
    </row>
    <row r="1647" spans="1:12" ht="14.25" customHeight="1" x14ac:dyDescent="0.2">
      <c r="A1647" s="33">
        <v>47321</v>
      </c>
      <c r="B1647" s="33"/>
      <c r="C1647" s="2" t="s">
        <v>25</v>
      </c>
      <c r="D1647" s="2" t="s">
        <v>26</v>
      </c>
      <c r="E1647" s="2" t="s">
        <v>13</v>
      </c>
      <c r="F1647" s="2" t="s">
        <v>20</v>
      </c>
      <c r="G1647" s="2" t="s">
        <v>27</v>
      </c>
      <c r="H1647" s="2" t="s">
        <v>22</v>
      </c>
      <c r="I1647" s="2">
        <v>60000</v>
      </c>
      <c r="J1647" s="2">
        <v>8</v>
      </c>
      <c r="K1647" s="2" t="s">
        <v>37</v>
      </c>
      <c r="L1647" s="2">
        <f t="shared" si="6"/>
        <v>48000</v>
      </c>
    </row>
    <row r="1648" spans="1:12" ht="14.25" customHeight="1" x14ac:dyDescent="0.2">
      <c r="A1648" s="33">
        <v>47322</v>
      </c>
      <c r="B1648" s="33"/>
      <c r="C1648" s="2" t="s">
        <v>11</v>
      </c>
      <c r="D1648" s="2" t="s">
        <v>19</v>
      </c>
      <c r="E1648" s="2" t="s">
        <v>13</v>
      </c>
      <c r="F1648" s="2" t="s">
        <v>20</v>
      </c>
      <c r="G1648" s="2" t="s">
        <v>41</v>
      </c>
      <c r="H1648" s="2" t="s">
        <v>22</v>
      </c>
      <c r="I1648" s="2">
        <v>220000</v>
      </c>
      <c r="J1648" s="2">
        <v>9</v>
      </c>
      <c r="K1648" s="2" t="s">
        <v>28</v>
      </c>
      <c r="L1648" s="2">
        <f t="shared" si="6"/>
        <v>176000</v>
      </c>
    </row>
    <row r="1649" spans="1:12" ht="14.25" customHeight="1" x14ac:dyDescent="0.2">
      <c r="A1649" s="33">
        <v>47323</v>
      </c>
      <c r="B1649" s="33"/>
      <c r="C1649" s="2" t="s">
        <v>29</v>
      </c>
      <c r="D1649" s="2" t="s">
        <v>32</v>
      </c>
      <c r="E1649" s="2" t="s">
        <v>23</v>
      </c>
      <c r="F1649" s="2" t="s">
        <v>14</v>
      </c>
      <c r="G1649" s="2" t="s">
        <v>30</v>
      </c>
      <c r="H1649" s="2" t="s">
        <v>31</v>
      </c>
      <c r="I1649" s="2">
        <v>300000</v>
      </c>
      <c r="J1649" s="2">
        <v>9</v>
      </c>
      <c r="K1649" s="2" t="s">
        <v>35</v>
      </c>
      <c r="L1649" s="2">
        <f t="shared" si="6"/>
        <v>240000</v>
      </c>
    </row>
    <row r="1650" spans="1:12" ht="14.25" customHeight="1" x14ac:dyDescent="0.2">
      <c r="A1650" s="33">
        <v>47324</v>
      </c>
      <c r="B1650" s="33"/>
      <c r="C1650" s="2" t="s">
        <v>11</v>
      </c>
      <c r="D1650" s="2" t="s">
        <v>32</v>
      </c>
      <c r="E1650" s="2" t="s">
        <v>13</v>
      </c>
      <c r="F1650" s="2" t="s">
        <v>14</v>
      </c>
      <c r="G1650" s="2" t="s">
        <v>38</v>
      </c>
      <c r="H1650" s="2" t="s">
        <v>31</v>
      </c>
      <c r="I1650" s="2">
        <v>420000</v>
      </c>
      <c r="J1650" s="2">
        <v>1</v>
      </c>
      <c r="K1650" s="2" t="s">
        <v>37</v>
      </c>
      <c r="L1650" s="2">
        <f t="shared" si="6"/>
        <v>336000</v>
      </c>
    </row>
    <row r="1651" spans="1:12" ht="14.25" customHeight="1" x14ac:dyDescent="0.2">
      <c r="A1651" s="33">
        <v>47325</v>
      </c>
      <c r="B1651" s="33"/>
      <c r="C1651" s="2" t="s">
        <v>25</v>
      </c>
      <c r="D1651" s="2" t="s">
        <v>32</v>
      </c>
      <c r="E1651" s="2" t="s">
        <v>13</v>
      </c>
      <c r="F1651" s="2" t="s">
        <v>20</v>
      </c>
      <c r="G1651" s="2" t="s">
        <v>41</v>
      </c>
      <c r="H1651" s="2" t="s">
        <v>22</v>
      </c>
      <c r="I1651" s="2">
        <v>220000</v>
      </c>
      <c r="J1651" s="2">
        <v>6</v>
      </c>
      <c r="K1651" s="2" t="s">
        <v>35</v>
      </c>
      <c r="L1651" s="2">
        <f t="shared" si="6"/>
        <v>176000</v>
      </c>
    </row>
    <row r="1652" spans="1:12" ht="14.25" customHeight="1" x14ac:dyDescent="0.2">
      <c r="A1652" s="33">
        <v>47326</v>
      </c>
      <c r="B1652" s="33"/>
      <c r="C1652" s="2" t="s">
        <v>11</v>
      </c>
      <c r="D1652" s="2" t="s">
        <v>19</v>
      </c>
      <c r="E1652" s="2" t="s">
        <v>13</v>
      </c>
      <c r="F1652" s="2" t="s">
        <v>20</v>
      </c>
      <c r="G1652" s="2" t="s">
        <v>21</v>
      </c>
      <c r="H1652" s="2" t="s">
        <v>22</v>
      </c>
      <c r="I1652" s="2">
        <v>30000</v>
      </c>
      <c r="J1652" s="2">
        <v>5</v>
      </c>
      <c r="K1652" s="2" t="s">
        <v>28</v>
      </c>
      <c r="L1652" s="2">
        <f t="shared" si="6"/>
        <v>24000</v>
      </c>
    </row>
    <row r="1653" spans="1:12" ht="14.25" customHeight="1" x14ac:dyDescent="0.2">
      <c r="A1653" s="33">
        <v>47327</v>
      </c>
      <c r="B1653" s="33"/>
      <c r="C1653" s="2" t="s">
        <v>29</v>
      </c>
      <c r="D1653" s="2" t="s">
        <v>26</v>
      </c>
      <c r="E1653" s="2" t="s">
        <v>23</v>
      </c>
      <c r="F1653" s="2" t="s">
        <v>14</v>
      </c>
      <c r="G1653" s="2" t="s">
        <v>21</v>
      </c>
      <c r="H1653" s="2" t="s">
        <v>22</v>
      </c>
      <c r="I1653" s="2">
        <v>30000</v>
      </c>
      <c r="J1653" s="2">
        <v>9</v>
      </c>
      <c r="K1653" s="2" t="s">
        <v>28</v>
      </c>
      <c r="L1653" s="2">
        <f t="shared" si="6"/>
        <v>24000</v>
      </c>
    </row>
    <row r="1654" spans="1:12" ht="14.25" customHeight="1" x14ac:dyDescent="0.2">
      <c r="A1654" s="33">
        <v>47328</v>
      </c>
      <c r="B1654" s="33"/>
      <c r="C1654" s="2" t="s">
        <v>25</v>
      </c>
      <c r="D1654" s="2" t="s">
        <v>12</v>
      </c>
      <c r="E1654" s="2" t="s">
        <v>13</v>
      </c>
      <c r="F1654" s="2" t="s">
        <v>14</v>
      </c>
      <c r="G1654" s="2" t="s">
        <v>40</v>
      </c>
      <c r="H1654" s="2" t="s">
        <v>31</v>
      </c>
      <c r="I1654" s="2">
        <v>250000</v>
      </c>
      <c r="J1654" s="2">
        <v>1</v>
      </c>
      <c r="K1654" s="2" t="s">
        <v>35</v>
      </c>
      <c r="L1654" s="2">
        <f t="shared" si="6"/>
        <v>200000</v>
      </c>
    </row>
    <row r="1655" spans="1:12" ht="14.25" customHeight="1" x14ac:dyDescent="0.2">
      <c r="A1655" s="33">
        <v>47329</v>
      </c>
      <c r="B1655" s="33"/>
      <c r="C1655" s="2" t="s">
        <v>25</v>
      </c>
      <c r="D1655" s="2" t="s">
        <v>32</v>
      </c>
      <c r="E1655" s="2" t="s">
        <v>13</v>
      </c>
      <c r="F1655" s="2" t="s">
        <v>14</v>
      </c>
      <c r="G1655" s="2" t="s">
        <v>41</v>
      </c>
      <c r="H1655" s="2" t="s">
        <v>22</v>
      </c>
      <c r="I1655" s="2">
        <v>220000</v>
      </c>
      <c r="J1655" s="2">
        <v>8</v>
      </c>
      <c r="K1655" s="2" t="s">
        <v>24</v>
      </c>
      <c r="L1655" s="2">
        <f t="shared" si="6"/>
        <v>176000</v>
      </c>
    </row>
    <row r="1656" spans="1:12" ht="14.25" customHeight="1" x14ac:dyDescent="0.2">
      <c r="A1656" s="33">
        <v>47330</v>
      </c>
      <c r="B1656" s="33"/>
      <c r="C1656" s="2" t="s">
        <v>18</v>
      </c>
      <c r="D1656" s="2" t="s">
        <v>19</v>
      </c>
      <c r="E1656" s="2" t="s">
        <v>13</v>
      </c>
      <c r="F1656" s="2" t="s">
        <v>14</v>
      </c>
      <c r="G1656" s="2" t="s">
        <v>38</v>
      </c>
      <c r="H1656" s="2" t="s">
        <v>31</v>
      </c>
      <c r="I1656" s="2">
        <v>420000</v>
      </c>
      <c r="J1656" s="2">
        <v>8</v>
      </c>
      <c r="K1656" s="2" t="s">
        <v>39</v>
      </c>
      <c r="L1656" s="2">
        <f t="shared" si="6"/>
        <v>336000</v>
      </c>
    </row>
    <row r="1657" spans="1:12" ht="14.25" customHeight="1" x14ac:dyDescent="0.2">
      <c r="A1657" s="33">
        <v>47331</v>
      </c>
      <c r="B1657" s="33"/>
      <c r="C1657" s="2" t="s">
        <v>29</v>
      </c>
      <c r="D1657" s="2" t="s">
        <v>26</v>
      </c>
      <c r="E1657" s="2" t="s">
        <v>13</v>
      </c>
      <c r="F1657" s="2" t="s">
        <v>14</v>
      </c>
      <c r="G1657" s="2" t="s">
        <v>30</v>
      </c>
      <c r="H1657" s="2" t="s">
        <v>31</v>
      </c>
      <c r="I1657" s="2">
        <v>300000</v>
      </c>
      <c r="J1657" s="2">
        <v>10</v>
      </c>
      <c r="K1657" s="2" t="s">
        <v>35</v>
      </c>
      <c r="L1657" s="2">
        <f t="shared" si="6"/>
        <v>240000</v>
      </c>
    </row>
    <row r="1658" spans="1:12" ht="14.25" customHeight="1" x14ac:dyDescent="0.2">
      <c r="A1658" s="33">
        <v>47332</v>
      </c>
      <c r="B1658" s="33"/>
      <c r="C1658" s="2" t="s">
        <v>29</v>
      </c>
      <c r="D1658" s="2" t="s">
        <v>32</v>
      </c>
      <c r="E1658" s="2" t="s">
        <v>13</v>
      </c>
      <c r="F1658" s="2" t="s">
        <v>14</v>
      </c>
      <c r="G1658" s="2" t="s">
        <v>36</v>
      </c>
      <c r="H1658" s="2" t="s">
        <v>31</v>
      </c>
      <c r="I1658" s="2">
        <v>150000</v>
      </c>
      <c r="J1658" s="2">
        <v>1</v>
      </c>
      <c r="K1658" s="2" t="s">
        <v>35</v>
      </c>
      <c r="L1658" s="2">
        <f t="shared" si="6"/>
        <v>120000</v>
      </c>
    </row>
    <row r="1659" spans="1:12" ht="14.25" customHeight="1" x14ac:dyDescent="0.2">
      <c r="A1659" s="33">
        <v>47333</v>
      </c>
      <c r="B1659" s="33"/>
      <c r="C1659" s="2" t="s">
        <v>29</v>
      </c>
      <c r="D1659" s="2" t="s">
        <v>32</v>
      </c>
      <c r="E1659" s="2" t="s">
        <v>13</v>
      </c>
      <c r="F1659" s="2" t="s">
        <v>20</v>
      </c>
      <c r="G1659" s="2" t="s">
        <v>41</v>
      </c>
      <c r="H1659" s="2" t="s">
        <v>22</v>
      </c>
      <c r="I1659" s="2">
        <v>220000</v>
      </c>
      <c r="J1659" s="2">
        <v>6</v>
      </c>
      <c r="K1659" s="2" t="s">
        <v>28</v>
      </c>
      <c r="L1659" s="2">
        <f t="shared" si="6"/>
        <v>176000</v>
      </c>
    </row>
    <row r="1660" spans="1:12" ht="14.25" customHeight="1" x14ac:dyDescent="0.2">
      <c r="A1660" s="33">
        <v>47334</v>
      </c>
      <c r="B1660" s="33"/>
      <c r="C1660" s="2" t="s">
        <v>29</v>
      </c>
      <c r="D1660" s="2" t="s">
        <v>19</v>
      </c>
      <c r="E1660" s="2" t="s">
        <v>23</v>
      </c>
      <c r="F1660" s="2" t="s">
        <v>14</v>
      </c>
      <c r="G1660" s="2" t="s">
        <v>33</v>
      </c>
      <c r="H1660" s="2" t="s">
        <v>22</v>
      </c>
      <c r="I1660" s="2">
        <v>180000</v>
      </c>
      <c r="J1660" s="2">
        <v>3</v>
      </c>
      <c r="K1660" s="2" t="s">
        <v>39</v>
      </c>
      <c r="L1660" s="2">
        <f t="shared" si="6"/>
        <v>144000</v>
      </c>
    </row>
    <row r="1661" spans="1:12" ht="14.25" customHeight="1" x14ac:dyDescent="0.2">
      <c r="A1661" s="33">
        <v>47335</v>
      </c>
      <c r="B1661" s="33"/>
      <c r="C1661" s="2" t="s">
        <v>29</v>
      </c>
      <c r="D1661" s="2" t="s">
        <v>12</v>
      </c>
      <c r="E1661" s="2" t="s">
        <v>13</v>
      </c>
      <c r="F1661" s="2" t="s">
        <v>20</v>
      </c>
      <c r="G1661" s="2" t="s">
        <v>27</v>
      </c>
      <c r="H1661" s="2" t="s">
        <v>22</v>
      </c>
      <c r="I1661" s="2">
        <v>60000</v>
      </c>
      <c r="J1661" s="2">
        <v>10</v>
      </c>
      <c r="K1661" s="2" t="s">
        <v>35</v>
      </c>
      <c r="L1661" s="2">
        <f t="shared" si="6"/>
        <v>48000</v>
      </c>
    </row>
    <row r="1662" spans="1:12" ht="14.25" customHeight="1" x14ac:dyDescent="0.2">
      <c r="A1662" s="33">
        <v>47336</v>
      </c>
      <c r="B1662" s="33"/>
      <c r="C1662" s="2" t="s">
        <v>25</v>
      </c>
      <c r="D1662" s="2" t="s">
        <v>12</v>
      </c>
      <c r="E1662" s="2" t="s">
        <v>23</v>
      </c>
      <c r="F1662" s="2" t="s">
        <v>14</v>
      </c>
      <c r="G1662" s="2" t="s">
        <v>41</v>
      </c>
      <c r="H1662" s="2" t="s">
        <v>22</v>
      </c>
      <c r="I1662" s="2">
        <v>220000</v>
      </c>
      <c r="J1662" s="2">
        <v>1</v>
      </c>
      <c r="K1662" s="2" t="s">
        <v>37</v>
      </c>
      <c r="L1662" s="2">
        <f t="shared" si="6"/>
        <v>176000</v>
      </c>
    </row>
    <row r="1663" spans="1:12" ht="14.25" customHeight="1" x14ac:dyDescent="0.2">
      <c r="A1663" s="33">
        <v>47337</v>
      </c>
      <c r="B1663" s="33"/>
      <c r="C1663" s="2" t="s">
        <v>29</v>
      </c>
      <c r="D1663" s="2" t="s">
        <v>26</v>
      </c>
      <c r="E1663" s="2" t="s">
        <v>13</v>
      </c>
      <c r="F1663" s="2" t="s">
        <v>20</v>
      </c>
      <c r="G1663" s="2" t="s">
        <v>40</v>
      </c>
      <c r="H1663" s="2" t="s">
        <v>31</v>
      </c>
      <c r="I1663" s="2">
        <v>250000</v>
      </c>
      <c r="J1663" s="2">
        <v>5</v>
      </c>
      <c r="K1663" s="2" t="s">
        <v>28</v>
      </c>
      <c r="L1663" s="2">
        <f t="shared" si="6"/>
        <v>200000</v>
      </c>
    </row>
    <row r="1664" spans="1:12" ht="14.25" customHeight="1" x14ac:dyDescent="0.2">
      <c r="A1664" s="33">
        <v>47338</v>
      </c>
      <c r="B1664" s="33"/>
      <c r="C1664" s="2" t="s">
        <v>25</v>
      </c>
      <c r="D1664" s="2" t="s">
        <v>19</v>
      </c>
      <c r="E1664" s="2" t="s">
        <v>23</v>
      </c>
      <c r="F1664" s="2" t="s">
        <v>20</v>
      </c>
      <c r="G1664" s="2" t="s">
        <v>40</v>
      </c>
      <c r="H1664" s="2" t="s">
        <v>31</v>
      </c>
      <c r="I1664" s="2">
        <v>250000</v>
      </c>
      <c r="J1664" s="2">
        <v>8</v>
      </c>
      <c r="K1664" s="2" t="s">
        <v>35</v>
      </c>
      <c r="L1664" s="2">
        <f t="shared" si="6"/>
        <v>200000</v>
      </c>
    </row>
    <row r="1665" spans="1:12" ht="14.25" customHeight="1" x14ac:dyDescent="0.2">
      <c r="A1665" s="33">
        <v>47339</v>
      </c>
      <c r="B1665" s="33"/>
      <c r="C1665" s="2" t="s">
        <v>11</v>
      </c>
      <c r="D1665" s="2" t="s">
        <v>32</v>
      </c>
      <c r="E1665" s="2" t="s">
        <v>23</v>
      </c>
      <c r="F1665" s="2" t="s">
        <v>14</v>
      </c>
      <c r="G1665" s="2" t="s">
        <v>36</v>
      </c>
      <c r="H1665" s="2" t="s">
        <v>31</v>
      </c>
      <c r="I1665" s="2">
        <v>150000</v>
      </c>
      <c r="J1665" s="2">
        <v>4</v>
      </c>
      <c r="K1665" s="2" t="s">
        <v>24</v>
      </c>
      <c r="L1665" s="2">
        <f t="shared" si="6"/>
        <v>120000</v>
      </c>
    </row>
    <row r="1666" spans="1:12" ht="14.25" customHeight="1" x14ac:dyDescent="0.2">
      <c r="A1666" s="33">
        <v>47340</v>
      </c>
      <c r="B1666" s="33"/>
      <c r="C1666" s="2" t="s">
        <v>25</v>
      </c>
      <c r="D1666" s="2" t="s">
        <v>19</v>
      </c>
      <c r="E1666" s="2" t="s">
        <v>13</v>
      </c>
      <c r="F1666" s="2" t="s">
        <v>14</v>
      </c>
      <c r="G1666" s="2" t="s">
        <v>41</v>
      </c>
      <c r="H1666" s="2" t="s">
        <v>22</v>
      </c>
      <c r="I1666" s="2">
        <v>220000</v>
      </c>
      <c r="J1666" s="2">
        <v>3</v>
      </c>
      <c r="K1666" s="2" t="s">
        <v>37</v>
      </c>
      <c r="L1666" s="2">
        <f t="shared" si="6"/>
        <v>176000</v>
      </c>
    </row>
    <row r="1667" spans="1:12" ht="14.25" customHeight="1" x14ac:dyDescent="0.2">
      <c r="A1667" s="33">
        <v>47341</v>
      </c>
      <c r="B1667" s="33"/>
      <c r="C1667" s="2" t="s">
        <v>25</v>
      </c>
      <c r="D1667" s="2" t="s">
        <v>26</v>
      </c>
      <c r="E1667" s="2" t="s">
        <v>13</v>
      </c>
      <c r="F1667" s="2" t="s">
        <v>14</v>
      </c>
      <c r="G1667" s="2" t="s">
        <v>33</v>
      </c>
      <c r="H1667" s="2" t="s">
        <v>22</v>
      </c>
      <c r="I1667" s="2">
        <v>180000</v>
      </c>
      <c r="J1667" s="2">
        <v>7</v>
      </c>
      <c r="K1667" s="2" t="s">
        <v>37</v>
      </c>
      <c r="L1667" s="2">
        <f t="shared" si="6"/>
        <v>144000</v>
      </c>
    </row>
    <row r="1668" spans="1:12" ht="14.25" customHeight="1" x14ac:dyDescent="0.2">
      <c r="A1668" s="33">
        <v>47342</v>
      </c>
      <c r="B1668" s="33"/>
      <c r="C1668" s="2" t="s">
        <v>25</v>
      </c>
      <c r="D1668" s="2" t="s">
        <v>19</v>
      </c>
      <c r="E1668" s="2" t="s">
        <v>23</v>
      </c>
      <c r="F1668" s="2" t="s">
        <v>20</v>
      </c>
      <c r="G1668" s="2" t="s">
        <v>36</v>
      </c>
      <c r="H1668" s="2" t="s">
        <v>31</v>
      </c>
      <c r="I1668" s="2">
        <v>150000</v>
      </c>
      <c r="J1668" s="2">
        <v>4</v>
      </c>
      <c r="K1668" s="2" t="s">
        <v>35</v>
      </c>
      <c r="L1668" s="2">
        <f t="shared" si="6"/>
        <v>120000</v>
      </c>
    </row>
    <row r="1669" spans="1:12" ht="14.25" customHeight="1" x14ac:dyDescent="0.2">
      <c r="A1669" s="33">
        <v>47343</v>
      </c>
      <c r="B1669" s="33"/>
      <c r="C1669" s="2" t="s">
        <v>18</v>
      </c>
      <c r="D1669" s="2" t="s">
        <v>26</v>
      </c>
      <c r="E1669" s="2" t="s">
        <v>23</v>
      </c>
      <c r="F1669" s="2" t="s">
        <v>14</v>
      </c>
      <c r="G1669" s="2" t="s">
        <v>36</v>
      </c>
      <c r="H1669" s="2" t="s">
        <v>31</v>
      </c>
      <c r="I1669" s="2">
        <v>150000</v>
      </c>
      <c r="J1669" s="2">
        <v>10</v>
      </c>
      <c r="K1669" s="2" t="s">
        <v>24</v>
      </c>
      <c r="L1669" s="2">
        <f t="shared" si="6"/>
        <v>120000</v>
      </c>
    </row>
    <row r="1670" spans="1:12" ht="14.25" customHeight="1" x14ac:dyDescent="0.2">
      <c r="A1670" s="33">
        <v>47344</v>
      </c>
      <c r="B1670" s="33"/>
      <c r="C1670" s="2" t="s">
        <v>11</v>
      </c>
      <c r="D1670" s="2" t="s">
        <v>19</v>
      </c>
      <c r="E1670" s="2" t="s">
        <v>13</v>
      </c>
      <c r="F1670" s="2" t="s">
        <v>14</v>
      </c>
      <c r="G1670" s="2" t="s">
        <v>36</v>
      </c>
      <c r="H1670" s="2" t="s">
        <v>31</v>
      </c>
      <c r="I1670" s="2">
        <v>150000</v>
      </c>
      <c r="J1670" s="2">
        <v>1</v>
      </c>
      <c r="K1670" s="2" t="s">
        <v>39</v>
      </c>
      <c r="L1670" s="2">
        <f t="shared" si="6"/>
        <v>120000</v>
      </c>
    </row>
    <row r="1671" spans="1:12" ht="14.25" customHeight="1" x14ac:dyDescent="0.2">
      <c r="A1671" s="33">
        <v>47345</v>
      </c>
      <c r="B1671" s="33"/>
      <c r="C1671" s="2" t="s">
        <v>29</v>
      </c>
      <c r="D1671" s="2" t="s">
        <v>26</v>
      </c>
      <c r="E1671" s="2" t="s">
        <v>23</v>
      </c>
      <c r="F1671" s="2" t="s">
        <v>20</v>
      </c>
      <c r="G1671" s="2" t="s">
        <v>36</v>
      </c>
      <c r="H1671" s="2" t="s">
        <v>31</v>
      </c>
      <c r="I1671" s="2">
        <v>150000</v>
      </c>
      <c r="J1671" s="2">
        <v>4</v>
      </c>
      <c r="K1671" s="2" t="s">
        <v>24</v>
      </c>
      <c r="L1671" s="2">
        <f t="shared" si="6"/>
        <v>120000</v>
      </c>
    </row>
    <row r="1672" spans="1:12" ht="14.25" customHeight="1" x14ac:dyDescent="0.2">
      <c r="A1672" s="33">
        <v>47346</v>
      </c>
      <c r="B1672" s="33"/>
      <c r="C1672" s="2" t="s">
        <v>11</v>
      </c>
      <c r="D1672" s="2" t="s">
        <v>26</v>
      </c>
      <c r="E1672" s="2" t="s">
        <v>23</v>
      </c>
      <c r="F1672" s="2" t="s">
        <v>14</v>
      </c>
      <c r="G1672" s="2" t="s">
        <v>27</v>
      </c>
      <c r="H1672" s="2" t="s">
        <v>22</v>
      </c>
      <c r="I1672" s="2">
        <v>60000</v>
      </c>
      <c r="J1672" s="2">
        <v>5</v>
      </c>
      <c r="K1672" s="2" t="s">
        <v>37</v>
      </c>
      <c r="L1672" s="2">
        <f t="shared" si="6"/>
        <v>48000</v>
      </c>
    </row>
    <row r="1673" spans="1:12" ht="14.25" customHeight="1" x14ac:dyDescent="0.2">
      <c r="A1673" s="33">
        <v>47347</v>
      </c>
      <c r="B1673" s="33"/>
      <c r="C1673" s="2" t="s">
        <v>25</v>
      </c>
      <c r="D1673" s="2" t="s">
        <v>32</v>
      </c>
      <c r="E1673" s="2" t="s">
        <v>13</v>
      </c>
      <c r="F1673" s="2" t="s">
        <v>20</v>
      </c>
      <c r="G1673" s="2" t="s">
        <v>41</v>
      </c>
      <c r="H1673" s="2" t="s">
        <v>22</v>
      </c>
      <c r="I1673" s="2">
        <v>220000</v>
      </c>
      <c r="J1673" s="2">
        <v>7</v>
      </c>
      <c r="K1673" s="2" t="s">
        <v>17</v>
      </c>
      <c r="L1673" s="2">
        <f t="shared" si="6"/>
        <v>176000</v>
      </c>
    </row>
    <row r="1674" spans="1:12" ht="14.25" customHeight="1" x14ac:dyDescent="0.2">
      <c r="A1674" s="33">
        <v>47348</v>
      </c>
      <c r="B1674" s="33"/>
      <c r="C1674" s="2" t="s">
        <v>29</v>
      </c>
      <c r="D1674" s="2" t="s">
        <v>19</v>
      </c>
      <c r="E1674" s="2" t="s">
        <v>13</v>
      </c>
      <c r="F1674" s="2" t="s">
        <v>20</v>
      </c>
      <c r="G1674" s="2" t="s">
        <v>36</v>
      </c>
      <c r="H1674" s="2" t="s">
        <v>31</v>
      </c>
      <c r="I1674" s="2">
        <v>150000</v>
      </c>
      <c r="J1674" s="2">
        <v>4</v>
      </c>
      <c r="K1674" s="2" t="s">
        <v>39</v>
      </c>
      <c r="L1674" s="2">
        <f t="shared" si="6"/>
        <v>120000</v>
      </c>
    </row>
    <row r="1675" spans="1:12" ht="14.25" customHeight="1" x14ac:dyDescent="0.2">
      <c r="A1675" s="33">
        <v>47349</v>
      </c>
      <c r="B1675" s="33"/>
      <c r="C1675" s="2" t="s">
        <v>18</v>
      </c>
      <c r="D1675" s="2" t="s">
        <v>26</v>
      </c>
      <c r="E1675" s="2" t="s">
        <v>23</v>
      </c>
      <c r="F1675" s="2" t="s">
        <v>14</v>
      </c>
      <c r="G1675" s="2" t="s">
        <v>34</v>
      </c>
      <c r="H1675" s="2" t="s">
        <v>16</v>
      </c>
      <c r="I1675" s="2">
        <v>320000</v>
      </c>
      <c r="J1675" s="2">
        <v>6</v>
      </c>
      <c r="K1675" s="2" t="s">
        <v>17</v>
      </c>
      <c r="L1675" s="2">
        <f t="shared" si="6"/>
        <v>256000</v>
      </c>
    </row>
    <row r="1676" spans="1:12" ht="14.25" customHeight="1" x14ac:dyDescent="0.2">
      <c r="A1676" s="33">
        <v>47350</v>
      </c>
      <c r="B1676" s="33"/>
      <c r="C1676" s="2" t="s">
        <v>25</v>
      </c>
      <c r="D1676" s="2" t="s">
        <v>12</v>
      </c>
      <c r="E1676" s="2" t="s">
        <v>13</v>
      </c>
      <c r="F1676" s="2" t="s">
        <v>20</v>
      </c>
      <c r="G1676" s="2" t="s">
        <v>34</v>
      </c>
      <c r="H1676" s="2" t="s">
        <v>16</v>
      </c>
      <c r="I1676" s="2">
        <v>320000</v>
      </c>
      <c r="J1676" s="2">
        <v>6</v>
      </c>
      <c r="K1676" s="2" t="s">
        <v>37</v>
      </c>
      <c r="L1676" s="2">
        <f t="shared" si="6"/>
        <v>256000</v>
      </c>
    </row>
    <row r="1677" spans="1:12" ht="14.25" customHeight="1" x14ac:dyDescent="0.2">
      <c r="A1677" s="33">
        <v>47351</v>
      </c>
      <c r="B1677" s="33"/>
      <c r="C1677" s="2" t="s">
        <v>11</v>
      </c>
      <c r="D1677" s="2" t="s">
        <v>12</v>
      </c>
      <c r="E1677" s="2" t="s">
        <v>23</v>
      </c>
      <c r="F1677" s="2" t="s">
        <v>20</v>
      </c>
      <c r="G1677" s="2" t="s">
        <v>27</v>
      </c>
      <c r="H1677" s="2" t="s">
        <v>22</v>
      </c>
      <c r="I1677" s="2">
        <v>60000</v>
      </c>
      <c r="J1677" s="2">
        <v>4</v>
      </c>
      <c r="K1677" s="2" t="s">
        <v>37</v>
      </c>
      <c r="L1677" s="2">
        <f t="shared" si="6"/>
        <v>48000</v>
      </c>
    </row>
    <row r="1678" spans="1:12" ht="14.25" customHeight="1" x14ac:dyDescent="0.2">
      <c r="A1678" s="33">
        <v>47352</v>
      </c>
      <c r="B1678" s="33"/>
      <c r="C1678" s="2" t="s">
        <v>29</v>
      </c>
      <c r="D1678" s="2" t="s">
        <v>19</v>
      </c>
      <c r="E1678" s="2" t="s">
        <v>13</v>
      </c>
      <c r="F1678" s="2" t="s">
        <v>14</v>
      </c>
      <c r="G1678" s="2" t="s">
        <v>15</v>
      </c>
      <c r="H1678" s="2" t="s">
        <v>16</v>
      </c>
      <c r="I1678" s="2">
        <v>85000</v>
      </c>
      <c r="J1678" s="2">
        <v>8</v>
      </c>
      <c r="K1678" s="2" t="s">
        <v>24</v>
      </c>
      <c r="L1678" s="2">
        <f t="shared" si="6"/>
        <v>68000</v>
      </c>
    </row>
    <row r="1679" spans="1:12" ht="14.25" customHeight="1" x14ac:dyDescent="0.2">
      <c r="A1679" s="33">
        <v>47353</v>
      </c>
      <c r="B1679" s="33"/>
      <c r="C1679" s="2" t="s">
        <v>25</v>
      </c>
      <c r="D1679" s="2" t="s">
        <v>26</v>
      </c>
      <c r="E1679" s="2" t="s">
        <v>23</v>
      </c>
      <c r="F1679" s="2" t="s">
        <v>14</v>
      </c>
      <c r="G1679" s="2" t="s">
        <v>15</v>
      </c>
      <c r="H1679" s="2" t="s">
        <v>16</v>
      </c>
      <c r="I1679" s="2">
        <v>85000</v>
      </c>
      <c r="J1679" s="2">
        <v>2</v>
      </c>
      <c r="K1679" s="2" t="s">
        <v>39</v>
      </c>
      <c r="L1679" s="2">
        <f t="shared" si="6"/>
        <v>68000</v>
      </c>
    </row>
    <row r="1680" spans="1:12" ht="14.25" customHeight="1" x14ac:dyDescent="0.2">
      <c r="A1680" s="33">
        <v>47354</v>
      </c>
      <c r="B1680" s="33"/>
      <c r="C1680" s="2" t="s">
        <v>29</v>
      </c>
      <c r="D1680" s="2" t="s">
        <v>26</v>
      </c>
      <c r="E1680" s="2" t="s">
        <v>23</v>
      </c>
      <c r="F1680" s="2" t="s">
        <v>20</v>
      </c>
      <c r="G1680" s="2" t="s">
        <v>15</v>
      </c>
      <c r="H1680" s="2" t="s">
        <v>16</v>
      </c>
      <c r="I1680" s="2">
        <v>85000</v>
      </c>
      <c r="J1680" s="2">
        <v>9</v>
      </c>
      <c r="K1680" s="2" t="s">
        <v>17</v>
      </c>
      <c r="L1680" s="2">
        <f t="shared" si="6"/>
        <v>68000</v>
      </c>
    </row>
    <row r="1681" spans="1:12" ht="14.25" customHeight="1" x14ac:dyDescent="0.2">
      <c r="A1681" s="33">
        <v>47355</v>
      </c>
      <c r="B1681" s="33"/>
      <c r="C1681" s="2" t="s">
        <v>25</v>
      </c>
      <c r="D1681" s="2" t="s">
        <v>26</v>
      </c>
      <c r="E1681" s="2" t="s">
        <v>13</v>
      </c>
      <c r="F1681" s="2" t="s">
        <v>20</v>
      </c>
      <c r="G1681" s="2" t="s">
        <v>38</v>
      </c>
      <c r="H1681" s="2" t="s">
        <v>31</v>
      </c>
      <c r="I1681" s="2">
        <v>420000</v>
      </c>
      <c r="J1681" s="2">
        <v>3</v>
      </c>
      <c r="K1681" s="2" t="s">
        <v>35</v>
      </c>
      <c r="L1681" s="2">
        <f t="shared" si="6"/>
        <v>336000</v>
      </c>
    </row>
    <row r="1682" spans="1:12" ht="14.25" customHeight="1" x14ac:dyDescent="0.2">
      <c r="A1682" s="33">
        <v>47356</v>
      </c>
      <c r="B1682" s="33"/>
      <c r="C1682" s="2" t="s">
        <v>29</v>
      </c>
      <c r="D1682" s="2" t="s">
        <v>19</v>
      </c>
      <c r="E1682" s="2" t="s">
        <v>13</v>
      </c>
      <c r="F1682" s="2" t="s">
        <v>14</v>
      </c>
      <c r="G1682" s="2" t="s">
        <v>30</v>
      </c>
      <c r="H1682" s="2" t="s">
        <v>31</v>
      </c>
      <c r="I1682" s="2">
        <v>300000</v>
      </c>
      <c r="J1682" s="2">
        <v>5</v>
      </c>
      <c r="K1682" s="2" t="s">
        <v>35</v>
      </c>
      <c r="L1682" s="2">
        <f t="shared" si="6"/>
        <v>240000</v>
      </c>
    </row>
    <row r="1683" spans="1:12" ht="14.25" customHeight="1" x14ac:dyDescent="0.2">
      <c r="A1683" s="33">
        <v>47357</v>
      </c>
      <c r="B1683" s="33"/>
      <c r="C1683" s="2" t="s">
        <v>18</v>
      </c>
      <c r="D1683" s="2" t="s">
        <v>26</v>
      </c>
      <c r="E1683" s="2" t="s">
        <v>23</v>
      </c>
      <c r="F1683" s="2" t="s">
        <v>20</v>
      </c>
      <c r="G1683" s="2" t="s">
        <v>21</v>
      </c>
      <c r="H1683" s="2" t="s">
        <v>22</v>
      </c>
      <c r="I1683" s="2">
        <v>30000</v>
      </c>
      <c r="J1683" s="2">
        <v>1</v>
      </c>
      <c r="K1683" s="2" t="s">
        <v>17</v>
      </c>
      <c r="L1683" s="2">
        <f t="shared" si="6"/>
        <v>24000</v>
      </c>
    </row>
    <row r="1684" spans="1:12" ht="14.25" customHeight="1" x14ac:dyDescent="0.2">
      <c r="A1684" s="33">
        <v>47358</v>
      </c>
      <c r="B1684" s="33"/>
      <c r="C1684" s="2" t="s">
        <v>11</v>
      </c>
      <c r="D1684" s="2" t="s">
        <v>32</v>
      </c>
      <c r="E1684" s="2" t="s">
        <v>23</v>
      </c>
      <c r="F1684" s="2" t="s">
        <v>20</v>
      </c>
      <c r="G1684" s="2" t="s">
        <v>41</v>
      </c>
      <c r="H1684" s="2" t="s">
        <v>22</v>
      </c>
      <c r="I1684" s="2">
        <v>220000</v>
      </c>
      <c r="J1684" s="2">
        <v>8</v>
      </c>
      <c r="K1684" s="2" t="s">
        <v>37</v>
      </c>
      <c r="L1684" s="2">
        <f t="shared" si="6"/>
        <v>176000</v>
      </c>
    </row>
    <row r="1685" spans="1:12" ht="14.25" customHeight="1" x14ac:dyDescent="0.2">
      <c r="A1685" s="33">
        <v>47359</v>
      </c>
      <c r="B1685" s="33"/>
      <c r="C1685" s="2" t="s">
        <v>29</v>
      </c>
      <c r="D1685" s="2" t="s">
        <v>12</v>
      </c>
      <c r="E1685" s="2" t="s">
        <v>23</v>
      </c>
      <c r="F1685" s="2" t="s">
        <v>14</v>
      </c>
      <c r="G1685" s="2" t="s">
        <v>34</v>
      </c>
      <c r="H1685" s="2" t="s">
        <v>16</v>
      </c>
      <c r="I1685" s="2">
        <v>320000</v>
      </c>
      <c r="J1685" s="2">
        <v>5</v>
      </c>
      <c r="K1685" s="2" t="s">
        <v>17</v>
      </c>
      <c r="L1685" s="2">
        <f t="shared" si="6"/>
        <v>256000</v>
      </c>
    </row>
    <row r="1686" spans="1:12" ht="14.25" customHeight="1" x14ac:dyDescent="0.2">
      <c r="A1686" s="33">
        <v>47360</v>
      </c>
      <c r="B1686" s="33"/>
      <c r="C1686" s="2" t="s">
        <v>18</v>
      </c>
      <c r="D1686" s="2" t="s">
        <v>19</v>
      </c>
      <c r="E1686" s="2" t="s">
        <v>23</v>
      </c>
      <c r="F1686" s="2" t="s">
        <v>14</v>
      </c>
      <c r="G1686" s="2" t="s">
        <v>30</v>
      </c>
      <c r="H1686" s="2" t="s">
        <v>31</v>
      </c>
      <c r="I1686" s="2">
        <v>300000</v>
      </c>
      <c r="J1686" s="2">
        <v>10</v>
      </c>
      <c r="K1686" s="2" t="s">
        <v>35</v>
      </c>
      <c r="L1686" s="2">
        <f t="shared" si="6"/>
        <v>240000</v>
      </c>
    </row>
    <row r="1687" spans="1:12" ht="14.25" customHeight="1" x14ac:dyDescent="0.2">
      <c r="A1687" s="33">
        <v>47361</v>
      </c>
      <c r="B1687" s="33"/>
      <c r="C1687" s="2" t="s">
        <v>29</v>
      </c>
      <c r="D1687" s="2" t="s">
        <v>12</v>
      </c>
      <c r="E1687" s="2" t="s">
        <v>13</v>
      </c>
      <c r="F1687" s="2" t="s">
        <v>20</v>
      </c>
      <c r="G1687" s="2" t="s">
        <v>41</v>
      </c>
      <c r="H1687" s="2" t="s">
        <v>22</v>
      </c>
      <c r="I1687" s="2">
        <v>220000</v>
      </c>
      <c r="J1687" s="2">
        <v>1</v>
      </c>
      <c r="K1687" s="2" t="s">
        <v>17</v>
      </c>
      <c r="L1687" s="2">
        <f t="shared" si="6"/>
        <v>176000</v>
      </c>
    </row>
    <row r="1688" spans="1:12" ht="14.25" customHeight="1" x14ac:dyDescent="0.2">
      <c r="A1688" s="33">
        <v>47362</v>
      </c>
      <c r="B1688" s="33"/>
      <c r="C1688" s="2" t="s">
        <v>25</v>
      </c>
      <c r="D1688" s="2" t="s">
        <v>26</v>
      </c>
      <c r="E1688" s="2" t="s">
        <v>23</v>
      </c>
      <c r="F1688" s="2" t="s">
        <v>14</v>
      </c>
      <c r="G1688" s="2" t="s">
        <v>21</v>
      </c>
      <c r="H1688" s="2" t="s">
        <v>22</v>
      </c>
      <c r="I1688" s="2">
        <v>30000</v>
      </c>
      <c r="J1688" s="2">
        <v>6</v>
      </c>
      <c r="K1688" s="2" t="s">
        <v>24</v>
      </c>
      <c r="L1688" s="2">
        <f t="shared" si="6"/>
        <v>24000</v>
      </c>
    </row>
    <row r="1689" spans="1:12" ht="14.25" customHeight="1" x14ac:dyDescent="0.2">
      <c r="A1689" s="33">
        <v>47363</v>
      </c>
      <c r="B1689" s="33"/>
      <c r="C1689" s="2" t="s">
        <v>29</v>
      </c>
      <c r="D1689" s="2" t="s">
        <v>19</v>
      </c>
      <c r="E1689" s="2" t="s">
        <v>13</v>
      </c>
      <c r="F1689" s="2" t="s">
        <v>14</v>
      </c>
      <c r="G1689" s="2" t="s">
        <v>38</v>
      </c>
      <c r="H1689" s="2" t="s">
        <v>31</v>
      </c>
      <c r="I1689" s="2">
        <v>420000</v>
      </c>
      <c r="J1689" s="2">
        <v>1</v>
      </c>
      <c r="K1689" s="2" t="s">
        <v>39</v>
      </c>
      <c r="L1689" s="2">
        <f t="shared" si="6"/>
        <v>336000</v>
      </c>
    </row>
    <row r="1690" spans="1:12" ht="14.25" customHeight="1" x14ac:dyDescent="0.2">
      <c r="A1690" s="33">
        <v>47364</v>
      </c>
      <c r="B1690" s="33"/>
      <c r="C1690" s="2" t="s">
        <v>25</v>
      </c>
      <c r="D1690" s="2" t="s">
        <v>32</v>
      </c>
      <c r="E1690" s="2" t="s">
        <v>23</v>
      </c>
      <c r="F1690" s="2" t="s">
        <v>20</v>
      </c>
      <c r="G1690" s="2" t="s">
        <v>38</v>
      </c>
      <c r="H1690" s="2" t="s">
        <v>31</v>
      </c>
      <c r="I1690" s="2">
        <v>420000</v>
      </c>
      <c r="J1690" s="2">
        <v>6</v>
      </c>
      <c r="K1690" s="2" t="s">
        <v>37</v>
      </c>
      <c r="L1690" s="2">
        <f t="shared" si="6"/>
        <v>336000</v>
      </c>
    </row>
    <row r="1691" spans="1:12" ht="14.25" customHeight="1" x14ac:dyDescent="0.2">
      <c r="A1691" s="33">
        <v>47365</v>
      </c>
      <c r="B1691" s="33"/>
      <c r="C1691" s="2" t="s">
        <v>25</v>
      </c>
      <c r="D1691" s="2" t="s">
        <v>32</v>
      </c>
      <c r="E1691" s="2" t="s">
        <v>13</v>
      </c>
      <c r="F1691" s="2" t="s">
        <v>20</v>
      </c>
      <c r="G1691" s="2" t="s">
        <v>15</v>
      </c>
      <c r="H1691" s="2" t="s">
        <v>16</v>
      </c>
      <c r="I1691" s="2">
        <v>85000</v>
      </c>
      <c r="J1691" s="2">
        <v>7</v>
      </c>
      <c r="K1691" s="2" t="s">
        <v>35</v>
      </c>
      <c r="L1691" s="2">
        <f t="shared" si="6"/>
        <v>68000</v>
      </c>
    </row>
    <row r="1692" spans="1:12" ht="14.25" customHeight="1" x14ac:dyDescent="0.2">
      <c r="A1692" s="33">
        <v>47366</v>
      </c>
      <c r="B1692" s="33"/>
      <c r="C1692" s="2" t="s">
        <v>25</v>
      </c>
      <c r="D1692" s="2" t="s">
        <v>19</v>
      </c>
      <c r="E1692" s="2" t="s">
        <v>23</v>
      </c>
      <c r="F1692" s="2" t="s">
        <v>20</v>
      </c>
      <c r="G1692" s="2" t="s">
        <v>36</v>
      </c>
      <c r="H1692" s="2" t="s">
        <v>31</v>
      </c>
      <c r="I1692" s="2">
        <v>150000</v>
      </c>
      <c r="J1692" s="2">
        <v>7</v>
      </c>
      <c r="K1692" s="2" t="s">
        <v>39</v>
      </c>
      <c r="L1692" s="2">
        <f t="shared" si="6"/>
        <v>120000</v>
      </c>
    </row>
    <row r="1693" spans="1:12" ht="14.25" customHeight="1" x14ac:dyDescent="0.2">
      <c r="A1693" s="33">
        <v>47367</v>
      </c>
      <c r="B1693" s="33"/>
      <c r="C1693" s="2" t="s">
        <v>11</v>
      </c>
      <c r="D1693" s="2" t="s">
        <v>19</v>
      </c>
      <c r="E1693" s="2" t="s">
        <v>13</v>
      </c>
      <c r="F1693" s="2" t="s">
        <v>20</v>
      </c>
      <c r="G1693" s="2" t="s">
        <v>36</v>
      </c>
      <c r="H1693" s="2" t="s">
        <v>31</v>
      </c>
      <c r="I1693" s="2">
        <v>150000</v>
      </c>
      <c r="J1693" s="2">
        <v>10</v>
      </c>
      <c r="K1693" s="2" t="s">
        <v>17</v>
      </c>
      <c r="L1693" s="2">
        <f t="shared" si="6"/>
        <v>120000</v>
      </c>
    </row>
    <row r="1694" spans="1:12" ht="14.25" customHeight="1" x14ac:dyDescent="0.2">
      <c r="A1694" s="33">
        <v>47368</v>
      </c>
      <c r="B1694" s="33"/>
      <c r="C1694" s="2" t="s">
        <v>18</v>
      </c>
      <c r="D1694" s="2" t="s">
        <v>12</v>
      </c>
      <c r="E1694" s="2" t="s">
        <v>13</v>
      </c>
      <c r="F1694" s="2" t="s">
        <v>20</v>
      </c>
      <c r="G1694" s="2" t="s">
        <v>21</v>
      </c>
      <c r="H1694" s="2" t="s">
        <v>22</v>
      </c>
      <c r="I1694" s="2">
        <v>30000</v>
      </c>
      <c r="J1694" s="2">
        <v>9</v>
      </c>
      <c r="K1694" s="2" t="s">
        <v>17</v>
      </c>
      <c r="L1694" s="2">
        <f t="shared" si="6"/>
        <v>24000</v>
      </c>
    </row>
    <row r="1695" spans="1:12" ht="14.25" customHeight="1" x14ac:dyDescent="0.2">
      <c r="A1695" s="33">
        <v>47369</v>
      </c>
      <c r="B1695" s="33"/>
      <c r="C1695" s="2" t="s">
        <v>25</v>
      </c>
      <c r="D1695" s="2" t="s">
        <v>26</v>
      </c>
      <c r="E1695" s="2" t="s">
        <v>23</v>
      </c>
      <c r="F1695" s="2" t="s">
        <v>14</v>
      </c>
      <c r="G1695" s="2" t="s">
        <v>34</v>
      </c>
      <c r="H1695" s="2" t="s">
        <v>16</v>
      </c>
      <c r="I1695" s="2">
        <v>320000</v>
      </c>
      <c r="J1695" s="2">
        <v>8</v>
      </c>
      <c r="K1695" s="2" t="s">
        <v>37</v>
      </c>
      <c r="L1695" s="2">
        <f t="shared" si="6"/>
        <v>256000</v>
      </c>
    </row>
    <row r="1696" spans="1:12" ht="14.25" customHeight="1" x14ac:dyDescent="0.2">
      <c r="A1696" s="33">
        <v>47370</v>
      </c>
      <c r="B1696" s="33"/>
      <c r="C1696" s="2" t="s">
        <v>18</v>
      </c>
      <c r="D1696" s="2" t="s">
        <v>32</v>
      </c>
      <c r="E1696" s="2" t="s">
        <v>13</v>
      </c>
      <c r="F1696" s="2" t="s">
        <v>20</v>
      </c>
      <c r="G1696" s="2" t="s">
        <v>21</v>
      </c>
      <c r="H1696" s="2" t="s">
        <v>22</v>
      </c>
      <c r="I1696" s="2">
        <v>30000</v>
      </c>
      <c r="J1696" s="2">
        <v>9</v>
      </c>
      <c r="K1696" s="2" t="s">
        <v>28</v>
      </c>
      <c r="L1696" s="2">
        <f t="shared" si="6"/>
        <v>24000</v>
      </c>
    </row>
    <row r="1697" spans="1:12" ht="14.25" customHeight="1" x14ac:dyDescent="0.2">
      <c r="A1697" s="33">
        <v>47371</v>
      </c>
      <c r="B1697" s="33"/>
      <c r="C1697" s="2" t="s">
        <v>18</v>
      </c>
      <c r="D1697" s="2" t="s">
        <v>26</v>
      </c>
      <c r="E1697" s="2" t="s">
        <v>23</v>
      </c>
      <c r="F1697" s="2" t="s">
        <v>14</v>
      </c>
      <c r="G1697" s="2" t="s">
        <v>40</v>
      </c>
      <c r="H1697" s="2" t="s">
        <v>31</v>
      </c>
      <c r="I1697" s="2">
        <v>250000</v>
      </c>
      <c r="J1697" s="2">
        <v>3</v>
      </c>
      <c r="K1697" s="2" t="s">
        <v>24</v>
      </c>
      <c r="L1697" s="2">
        <f t="shared" si="6"/>
        <v>200000</v>
      </c>
    </row>
    <row r="1698" spans="1:12" ht="14.25" customHeight="1" x14ac:dyDescent="0.2">
      <c r="A1698" s="33">
        <v>47372</v>
      </c>
      <c r="B1698" s="33"/>
      <c r="C1698" s="2" t="s">
        <v>18</v>
      </c>
      <c r="D1698" s="2" t="s">
        <v>19</v>
      </c>
      <c r="E1698" s="2" t="s">
        <v>23</v>
      </c>
      <c r="F1698" s="2" t="s">
        <v>14</v>
      </c>
      <c r="G1698" s="2" t="s">
        <v>27</v>
      </c>
      <c r="H1698" s="2" t="s">
        <v>22</v>
      </c>
      <c r="I1698" s="2">
        <v>60000</v>
      </c>
      <c r="J1698" s="2">
        <v>2</v>
      </c>
      <c r="K1698" s="2" t="s">
        <v>24</v>
      </c>
      <c r="L1698" s="2">
        <f t="shared" si="6"/>
        <v>48000</v>
      </c>
    </row>
    <row r="1699" spans="1:12" ht="14.25" customHeight="1" x14ac:dyDescent="0.2">
      <c r="A1699" s="33">
        <v>47373</v>
      </c>
      <c r="B1699" s="33"/>
      <c r="C1699" s="2" t="s">
        <v>11</v>
      </c>
      <c r="D1699" s="2" t="s">
        <v>32</v>
      </c>
      <c r="E1699" s="2" t="s">
        <v>13</v>
      </c>
      <c r="F1699" s="2" t="s">
        <v>20</v>
      </c>
      <c r="G1699" s="2" t="s">
        <v>34</v>
      </c>
      <c r="H1699" s="2" t="s">
        <v>16</v>
      </c>
      <c r="I1699" s="2">
        <v>320000</v>
      </c>
      <c r="J1699" s="2">
        <v>3</v>
      </c>
      <c r="K1699" s="2" t="s">
        <v>28</v>
      </c>
      <c r="L1699" s="2">
        <f t="shared" si="6"/>
        <v>256000</v>
      </c>
    </row>
    <row r="1700" spans="1:12" ht="14.25" customHeight="1" x14ac:dyDescent="0.2">
      <c r="A1700" s="33">
        <v>47374</v>
      </c>
      <c r="B1700" s="33"/>
      <c r="C1700" s="2" t="s">
        <v>18</v>
      </c>
      <c r="D1700" s="2" t="s">
        <v>26</v>
      </c>
      <c r="E1700" s="2" t="s">
        <v>13</v>
      </c>
      <c r="F1700" s="2" t="s">
        <v>14</v>
      </c>
      <c r="G1700" s="2" t="s">
        <v>30</v>
      </c>
      <c r="H1700" s="2" t="s">
        <v>31</v>
      </c>
      <c r="I1700" s="2">
        <v>300000</v>
      </c>
      <c r="J1700" s="2">
        <v>9</v>
      </c>
      <c r="K1700" s="2" t="s">
        <v>24</v>
      </c>
      <c r="L1700" s="2">
        <f t="shared" si="6"/>
        <v>240000</v>
      </c>
    </row>
    <row r="1701" spans="1:12" ht="14.25" customHeight="1" x14ac:dyDescent="0.2">
      <c r="A1701" s="33">
        <v>47375</v>
      </c>
      <c r="B1701" s="33"/>
      <c r="C1701" s="2" t="s">
        <v>18</v>
      </c>
      <c r="D1701" s="2" t="s">
        <v>32</v>
      </c>
      <c r="E1701" s="2" t="s">
        <v>13</v>
      </c>
      <c r="F1701" s="2" t="s">
        <v>14</v>
      </c>
      <c r="G1701" s="2" t="s">
        <v>38</v>
      </c>
      <c r="H1701" s="2" t="s">
        <v>31</v>
      </c>
      <c r="I1701" s="2">
        <v>420000</v>
      </c>
      <c r="J1701" s="2">
        <v>4</v>
      </c>
      <c r="K1701" s="2" t="s">
        <v>39</v>
      </c>
      <c r="L1701" s="2">
        <f t="shared" si="6"/>
        <v>336000</v>
      </c>
    </row>
    <row r="1702" spans="1:12" ht="14.25" customHeight="1" x14ac:dyDescent="0.2">
      <c r="A1702" s="33">
        <v>47376</v>
      </c>
      <c r="B1702" s="33"/>
      <c r="C1702" s="2" t="s">
        <v>11</v>
      </c>
      <c r="D1702" s="2" t="s">
        <v>12</v>
      </c>
      <c r="E1702" s="2" t="s">
        <v>13</v>
      </c>
      <c r="F1702" s="2" t="s">
        <v>20</v>
      </c>
      <c r="G1702" s="2" t="s">
        <v>34</v>
      </c>
      <c r="H1702" s="2" t="s">
        <v>16</v>
      </c>
      <c r="I1702" s="2">
        <v>320000</v>
      </c>
      <c r="J1702" s="2">
        <v>6</v>
      </c>
      <c r="K1702" s="2" t="s">
        <v>35</v>
      </c>
      <c r="L1702" s="2">
        <f t="shared" si="6"/>
        <v>256000</v>
      </c>
    </row>
    <row r="1703" spans="1:12" ht="14.25" customHeight="1" x14ac:dyDescent="0.2">
      <c r="A1703" s="33">
        <v>47377</v>
      </c>
      <c r="B1703" s="33"/>
      <c r="C1703" s="2" t="s">
        <v>11</v>
      </c>
      <c r="D1703" s="2" t="s">
        <v>32</v>
      </c>
      <c r="E1703" s="2" t="s">
        <v>13</v>
      </c>
      <c r="F1703" s="2" t="s">
        <v>20</v>
      </c>
      <c r="G1703" s="2" t="s">
        <v>41</v>
      </c>
      <c r="H1703" s="2" t="s">
        <v>22</v>
      </c>
      <c r="I1703" s="2">
        <v>220000</v>
      </c>
      <c r="J1703" s="2">
        <v>4</v>
      </c>
      <c r="K1703" s="2" t="s">
        <v>39</v>
      </c>
      <c r="L1703" s="2">
        <f t="shared" si="6"/>
        <v>176000</v>
      </c>
    </row>
    <row r="1704" spans="1:12" ht="14.25" customHeight="1" x14ac:dyDescent="0.2">
      <c r="A1704" s="33">
        <v>47378</v>
      </c>
      <c r="B1704" s="33"/>
      <c r="C1704" s="2" t="s">
        <v>25</v>
      </c>
      <c r="D1704" s="2" t="s">
        <v>32</v>
      </c>
      <c r="E1704" s="2" t="s">
        <v>13</v>
      </c>
      <c r="F1704" s="2" t="s">
        <v>20</v>
      </c>
      <c r="G1704" s="2" t="s">
        <v>15</v>
      </c>
      <c r="H1704" s="2" t="s">
        <v>16</v>
      </c>
      <c r="I1704" s="2">
        <v>85000</v>
      </c>
      <c r="J1704" s="2">
        <v>8</v>
      </c>
      <c r="K1704" s="2" t="s">
        <v>24</v>
      </c>
      <c r="L1704" s="2">
        <f t="shared" si="6"/>
        <v>68000</v>
      </c>
    </row>
    <row r="1705" spans="1:12" ht="14.25" customHeight="1" x14ac:dyDescent="0.2">
      <c r="A1705" s="33">
        <v>47379</v>
      </c>
      <c r="B1705" s="33"/>
      <c r="C1705" s="2" t="s">
        <v>11</v>
      </c>
      <c r="D1705" s="2" t="s">
        <v>12</v>
      </c>
      <c r="E1705" s="2" t="s">
        <v>13</v>
      </c>
      <c r="F1705" s="2" t="s">
        <v>20</v>
      </c>
      <c r="G1705" s="2" t="s">
        <v>38</v>
      </c>
      <c r="H1705" s="2" t="s">
        <v>31</v>
      </c>
      <c r="I1705" s="2">
        <v>420000</v>
      </c>
      <c r="J1705" s="2">
        <v>7</v>
      </c>
      <c r="K1705" s="2" t="s">
        <v>28</v>
      </c>
      <c r="L1705" s="2">
        <f t="shared" si="6"/>
        <v>336000</v>
      </c>
    </row>
    <row r="1706" spans="1:12" ht="14.25" customHeight="1" x14ac:dyDescent="0.2">
      <c r="A1706" s="33">
        <v>47380</v>
      </c>
      <c r="B1706" s="33"/>
      <c r="C1706" s="2" t="s">
        <v>18</v>
      </c>
      <c r="D1706" s="2" t="s">
        <v>32</v>
      </c>
      <c r="E1706" s="2" t="s">
        <v>23</v>
      </c>
      <c r="F1706" s="2" t="s">
        <v>20</v>
      </c>
      <c r="G1706" s="2" t="s">
        <v>41</v>
      </c>
      <c r="H1706" s="2" t="s">
        <v>22</v>
      </c>
      <c r="I1706" s="2">
        <v>220000</v>
      </c>
      <c r="J1706" s="2">
        <v>2</v>
      </c>
      <c r="K1706" s="2" t="s">
        <v>17</v>
      </c>
      <c r="L1706" s="2">
        <f t="shared" si="6"/>
        <v>176000</v>
      </c>
    </row>
    <row r="1707" spans="1:12" ht="14.25" customHeight="1" x14ac:dyDescent="0.2">
      <c r="A1707" s="33">
        <v>47381</v>
      </c>
      <c r="B1707" s="33"/>
      <c r="C1707" s="2" t="s">
        <v>29</v>
      </c>
      <c r="D1707" s="2" t="s">
        <v>26</v>
      </c>
      <c r="E1707" s="2" t="s">
        <v>13</v>
      </c>
      <c r="F1707" s="2" t="s">
        <v>14</v>
      </c>
      <c r="G1707" s="2" t="s">
        <v>36</v>
      </c>
      <c r="H1707" s="2" t="s">
        <v>31</v>
      </c>
      <c r="I1707" s="2">
        <v>150000</v>
      </c>
      <c r="J1707" s="2">
        <v>1</v>
      </c>
      <c r="K1707" s="2" t="s">
        <v>35</v>
      </c>
      <c r="L1707" s="2">
        <f t="shared" si="6"/>
        <v>120000</v>
      </c>
    </row>
    <row r="1708" spans="1:12" ht="14.25" customHeight="1" x14ac:dyDescent="0.2">
      <c r="A1708" s="33">
        <v>47382</v>
      </c>
      <c r="B1708" s="33"/>
      <c r="C1708" s="2" t="s">
        <v>29</v>
      </c>
      <c r="D1708" s="2" t="s">
        <v>12</v>
      </c>
      <c r="E1708" s="2" t="s">
        <v>23</v>
      </c>
      <c r="F1708" s="2" t="s">
        <v>20</v>
      </c>
      <c r="G1708" s="2" t="s">
        <v>38</v>
      </c>
      <c r="H1708" s="2" t="s">
        <v>31</v>
      </c>
      <c r="I1708" s="2">
        <v>420000</v>
      </c>
      <c r="J1708" s="2">
        <v>4</v>
      </c>
      <c r="K1708" s="2" t="s">
        <v>37</v>
      </c>
      <c r="L1708" s="2">
        <f t="shared" si="6"/>
        <v>336000</v>
      </c>
    </row>
    <row r="1709" spans="1:12" ht="14.25" customHeight="1" x14ac:dyDescent="0.2">
      <c r="A1709" s="33">
        <v>47383</v>
      </c>
      <c r="B1709" s="33"/>
      <c r="C1709" s="2" t="s">
        <v>25</v>
      </c>
      <c r="D1709" s="2" t="s">
        <v>19</v>
      </c>
      <c r="E1709" s="2" t="s">
        <v>23</v>
      </c>
      <c r="F1709" s="2" t="s">
        <v>14</v>
      </c>
      <c r="G1709" s="2" t="s">
        <v>30</v>
      </c>
      <c r="H1709" s="2" t="s">
        <v>31</v>
      </c>
      <c r="I1709" s="2">
        <v>300000</v>
      </c>
      <c r="J1709" s="2">
        <v>1</v>
      </c>
      <c r="K1709" s="2" t="s">
        <v>28</v>
      </c>
      <c r="L1709" s="2">
        <f t="shared" si="6"/>
        <v>240000</v>
      </c>
    </row>
    <row r="1710" spans="1:12" ht="14.25" customHeight="1" x14ac:dyDescent="0.2">
      <c r="A1710" s="33">
        <v>47384</v>
      </c>
      <c r="B1710" s="33"/>
      <c r="C1710" s="2" t="s">
        <v>11</v>
      </c>
      <c r="D1710" s="2" t="s">
        <v>19</v>
      </c>
      <c r="E1710" s="2" t="s">
        <v>13</v>
      </c>
      <c r="F1710" s="2" t="s">
        <v>20</v>
      </c>
      <c r="G1710" s="2" t="s">
        <v>30</v>
      </c>
      <c r="H1710" s="2" t="s">
        <v>31</v>
      </c>
      <c r="I1710" s="2">
        <v>300000</v>
      </c>
      <c r="J1710" s="2">
        <v>9</v>
      </c>
      <c r="K1710" s="2" t="s">
        <v>24</v>
      </c>
      <c r="L1710" s="2">
        <f t="shared" si="6"/>
        <v>240000</v>
      </c>
    </row>
    <row r="1711" spans="1:12" ht="14.25" customHeight="1" x14ac:dyDescent="0.2">
      <c r="A1711" s="33">
        <v>47385</v>
      </c>
      <c r="B1711" s="33"/>
      <c r="C1711" s="2" t="s">
        <v>25</v>
      </c>
      <c r="D1711" s="2" t="s">
        <v>32</v>
      </c>
      <c r="E1711" s="2" t="s">
        <v>13</v>
      </c>
      <c r="F1711" s="2" t="s">
        <v>14</v>
      </c>
      <c r="G1711" s="2" t="s">
        <v>40</v>
      </c>
      <c r="H1711" s="2" t="s">
        <v>31</v>
      </c>
      <c r="I1711" s="2">
        <v>250000</v>
      </c>
      <c r="J1711" s="2">
        <v>6</v>
      </c>
      <c r="K1711" s="2" t="s">
        <v>24</v>
      </c>
      <c r="L1711" s="2">
        <f t="shared" si="6"/>
        <v>200000</v>
      </c>
    </row>
    <row r="1712" spans="1:12" ht="14.25" customHeight="1" x14ac:dyDescent="0.2">
      <c r="A1712" s="33">
        <v>47386</v>
      </c>
      <c r="B1712" s="33"/>
      <c r="C1712" s="2" t="s">
        <v>29</v>
      </c>
      <c r="D1712" s="2" t="s">
        <v>26</v>
      </c>
      <c r="E1712" s="2" t="s">
        <v>13</v>
      </c>
      <c r="F1712" s="2" t="s">
        <v>20</v>
      </c>
      <c r="G1712" s="2" t="s">
        <v>21</v>
      </c>
      <c r="H1712" s="2" t="s">
        <v>22</v>
      </c>
      <c r="I1712" s="2">
        <v>30000</v>
      </c>
      <c r="J1712" s="2">
        <v>7</v>
      </c>
      <c r="K1712" s="2" t="s">
        <v>28</v>
      </c>
      <c r="L1712" s="2">
        <f t="shared" si="6"/>
        <v>24000</v>
      </c>
    </row>
    <row r="1713" spans="1:12" ht="14.25" customHeight="1" x14ac:dyDescent="0.2">
      <c r="A1713" s="33">
        <v>47387</v>
      </c>
      <c r="B1713" s="33"/>
      <c r="C1713" s="2" t="s">
        <v>25</v>
      </c>
      <c r="D1713" s="2" t="s">
        <v>12</v>
      </c>
      <c r="E1713" s="2" t="s">
        <v>23</v>
      </c>
      <c r="F1713" s="2" t="s">
        <v>14</v>
      </c>
      <c r="G1713" s="2" t="s">
        <v>15</v>
      </c>
      <c r="H1713" s="2" t="s">
        <v>16</v>
      </c>
      <c r="I1713" s="2">
        <v>85000</v>
      </c>
      <c r="J1713" s="2">
        <v>7</v>
      </c>
      <c r="K1713" s="2" t="s">
        <v>39</v>
      </c>
      <c r="L1713" s="2">
        <f t="shared" si="6"/>
        <v>68000</v>
      </c>
    </row>
    <row r="1714" spans="1:12" ht="14.25" customHeight="1" x14ac:dyDescent="0.2">
      <c r="A1714" s="33">
        <v>47388</v>
      </c>
      <c r="B1714" s="33"/>
      <c r="C1714" s="2" t="s">
        <v>11</v>
      </c>
      <c r="D1714" s="2" t="s">
        <v>32</v>
      </c>
      <c r="E1714" s="2" t="s">
        <v>23</v>
      </c>
      <c r="F1714" s="2" t="s">
        <v>14</v>
      </c>
      <c r="G1714" s="2" t="s">
        <v>15</v>
      </c>
      <c r="H1714" s="2" t="s">
        <v>16</v>
      </c>
      <c r="I1714" s="2">
        <v>85000</v>
      </c>
      <c r="J1714" s="2">
        <v>7</v>
      </c>
      <c r="K1714" s="2" t="s">
        <v>39</v>
      </c>
      <c r="L1714" s="2">
        <f t="shared" si="6"/>
        <v>68000</v>
      </c>
    </row>
    <row r="1715" spans="1:12" ht="14.25" customHeight="1" x14ac:dyDescent="0.2">
      <c r="A1715" s="33">
        <v>47389</v>
      </c>
      <c r="B1715" s="33"/>
      <c r="C1715" s="2" t="s">
        <v>25</v>
      </c>
      <c r="D1715" s="2" t="s">
        <v>26</v>
      </c>
      <c r="E1715" s="2" t="s">
        <v>13</v>
      </c>
      <c r="F1715" s="2" t="s">
        <v>14</v>
      </c>
      <c r="G1715" s="2" t="s">
        <v>21</v>
      </c>
      <c r="H1715" s="2" t="s">
        <v>22</v>
      </c>
      <c r="I1715" s="2">
        <v>30000</v>
      </c>
      <c r="J1715" s="2">
        <v>4</v>
      </c>
      <c r="K1715" s="2" t="s">
        <v>17</v>
      </c>
      <c r="L1715" s="2">
        <f t="shared" si="6"/>
        <v>24000</v>
      </c>
    </row>
    <row r="1716" spans="1:12" ht="14.25" customHeight="1" x14ac:dyDescent="0.2">
      <c r="A1716" s="33">
        <v>47390</v>
      </c>
      <c r="B1716" s="33"/>
      <c r="C1716" s="2" t="s">
        <v>11</v>
      </c>
      <c r="D1716" s="2" t="s">
        <v>26</v>
      </c>
      <c r="E1716" s="2" t="s">
        <v>13</v>
      </c>
      <c r="F1716" s="2" t="s">
        <v>14</v>
      </c>
      <c r="G1716" s="2" t="s">
        <v>36</v>
      </c>
      <c r="H1716" s="2" t="s">
        <v>31</v>
      </c>
      <c r="I1716" s="2">
        <v>150000</v>
      </c>
      <c r="J1716" s="2">
        <v>9</v>
      </c>
      <c r="K1716" s="2" t="s">
        <v>24</v>
      </c>
      <c r="L1716" s="2">
        <f t="shared" si="6"/>
        <v>120000</v>
      </c>
    </row>
    <row r="1717" spans="1:12" ht="14.25" customHeight="1" x14ac:dyDescent="0.2">
      <c r="A1717" s="33">
        <v>47391</v>
      </c>
      <c r="B1717" s="33"/>
      <c r="C1717" s="2" t="s">
        <v>29</v>
      </c>
      <c r="D1717" s="2" t="s">
        <v>12</v>
      </c>
      <c r="E1717" s="2" t="s">
        <v>23</v>
      </c>
      <c r="F1717" s="2" t="s">
        <v>20</v>
      </c>
      <c r="G1717" s="2" t="s">
        <v>41</v>
      </c>
      <c r="H1717" s="2" t="s">
        <v>22</v>
      </c>
      <c r="I1717" s="2">
        <v>220000</v>
      </c>
      <c r="J1717" s="2">
        <v>9</v>
      </c>
      <c r="K1717" s="2" t="s">
        <v>39</v>
      </c>
      <c r="L1717" s="2">
        <f t="shared" si="6"/>
        <v>176000</v>
      </c>
    </row>
    <row r="1718" spans="1:12" ht="14.25" customHeight="1" x14ac:dyDescent="0.2">
      <c r="A1718" s="33">
        <v>47392</v>
      </c>
      <c r="B1718" s="33"/>
      <c r="C1718" s="2" t="s">
        <v>18</v>
      </c>
      <c r="D1718" s="2" t="s">
        <v>26</v>
      </c>
      <c r="E1718" s="2" t="s">
        <v>23</v>
      </c>
      <c r="F1718" s="2" t="s">
        <v>14</v>
      </c>
      <c r="G1718" s="2" t="s">
        <v>21</v>
      </c>
      <c r="H1718" s="2" t="s">
        <v>22</v>
      </c>
      <c r="I1718" s="2">
        <v>30000</v>
      </c>
      <c r="J1718" s="2">
        <v>8</v>
      </c>
      <c r="K1718" s="2" t="s">
        <v>37</v>
      </c>
      <c r="L1718" s="2">
        <f t="shared" si="6"/>
        <v>24000</v>
      </c>
    </row>
    <row r="1719" spans="1:12" ht="14.25" customHeight="1" x14ac:dyDescent="0.2">
      <c r="A1719" s="33">
        <v>47393</v>
      </c>
      <c r="B1719" s="33"/>
      <c r="C1719" s="2" t="s">
        <v>18</v>
      </c>
      <c r="D1719" s="2" t="s">
        <v>26</v>
      </c>
      <c r="E1719" s="2" t="s">
        <v>13</v>
      </c>
      <c r="F1719" s="2" t="s">
        <v>14</v>
      </c>
      <c r="G1719" s="2" t="s">
        <v>15</v>
      </c>
      <c r="H1719" s="2" t="s">
        <v>16</v>
      </c>
      <c r="I1719" s="2">
        <v>85000</v>
      </c>
      <c r="J1719" s="2">
        <v>2</v>
      </c>
      <c r="K1719" s="2" t="s">
        <v>24</v>
      </c>
      <c r="L1719" s="2">
        <f t="shared" si="6"/>
        <v>68000</v>
      </c>
    </row>
    <row r="1720" spans="1:12" ht="14.25" customHeight="1" x14ac:dyDescent="0.2">
      <c r="A1720" s="33">
        <v>47394</v>
      </c>
      <c r="B1720" s="33"/>
      <c r="C1720" s="2" t="s">
        <v>25</v>
      </c>
      <c r="D1720" s="2" t="s">
        <v>19</v>
      </c>
      <c r="E1720" s="2" t="s">
        <v>23</v>
      </c>
      <c r="F1720" s="2" t="s">
        <v>14</v>
      </c>
      <c r="G1720" s="2" t="s">
        <v>33</v>
      </c>
      <c r="H1720" s="2" t="s">
        <v>22</v>
      </c>
      <c r="I1720" s="2">
        <v>180000</v>
      </c>
      <c r="J1720" s="2">
        <v>9</v>
      </c>
      <c r="K1720" s="2" t="s">
        <v>24</v>
      </c>
      <c r="L1720" s="2">
        <f t="shared" si="6"/>
        <v>144000</v>
      </c>
    </row>
    <row r="1721" spans="1:12" ht="14.25" customHeight="1" x14ac:dyDescent="0.2">
      <c r="A1721" s="33">
        <v>47395</v>
      </c>
      <c r="B1721" s="33"/>
      <c r="C1721" s="2" t="s">
        <v>18</v>
      </c>
      <c r="D1721" s="2" t="s">
        <v>26</v>
      </c>
      <c r="E1721" s="2" t="s">
        <v>13</v>
      </c>
      <c r="F1721" s="2" t="s">
        <v>14</v>
      </c>
      <c r="G1721" s="2" t="s">
        <v>36</v>
      </c>
      <c r="H1721" s="2" t="s">
        <v>31</v>
      </c>
      <c r="I1721" s="2">
        <v>150000</v>
      </c>
      <c r="J1721" s="2">
        <v>8</v>
      </c>
      <c r="K1721" s="2" t="s">
        <v>39</v>
      </c>
      <c r="L1721" s="2">
        <f t="shared" si="6"/>
        <v>120000</v>
      </c>
    </row>
    <row r="1722" spans="1:12" ht="14.25" customHeight="1" x14ac:dyDescent="0.2">
      <c r="A1722" s="33">
        <v>47396</v>
      </c>
      <c r="B1722" s="33"/>
      <c r="C1722" s="2" t="s">
        <v>29</v>
      </c>
      <c r="D1722" s="2" t="s">
        <v>12</v>
      </c>
      <c r="E1722" s="2" t="s">
        <v>13</v>
      </c>
      <c r="F1722" s="2" t="s">
        <v>14</v>
      </c>
      <c r="G1722" s="2" t="s">
        <v>27</v>
      </c>
      <c r="H1722" s="2" t="s">
        <v>22</v>
      </c>
      <c r="I1722" s="2">
        <v>60000</v>
      </c>
      <c r="J1722" s="2">
        <v>8</v>
      </c>
      <c r="K1722" s="2" t="s">
        <v>37</v>
      </c>
      <c r="L1722" s="2">
        <f t="shared" si="6"/>
        <v>48000</v>
      </c>
    </row>
    <row r="1723" spans="1:12" ht="14.25" customHeight="1" x14ac:dyDescent="0.2">
      <c r="A1723" s="33">
        <v>47397</v>
      </c>
      <c r="B1723" s="33"/>
      <c r="C1723" s="2" t="s">
        <v>11</v>
      </c>
      <c r="D1723" s="2" t="s">
        <v>12</v>
      </c>
      <c r="E1723" s="2" t="s">
        <v>13</v>
      </c>
      <c r="F1723" s="2" t="s">
        <v>20</v>
      </c>
      <c r="G1723" s="2" t="s">
        <v>30</v>
      </c>
      <c r="H1723" s="2" t="s">
        <v>31</v>
      </c>
      <c r="I1723" s="2">
        <v>300000</v>
      </c>
      <c r="J1723" s="2">
        <v>5</v>
      </c>
      <c r="K1723" s="2" t="s">
        <v>28</v>
      </c>
      <c r="L1723" s="2">
        <f t="shared" si="6"/>
        <v>240000</v>
      </c>
    </row>
    <row r="1724" spans="1:12" ht="14.25" customHeight="1" x14ac:dyDescent="0.2">
      <c r="A1724" s="33">
        <v>47398</v>
      </c>
      <c r="B1724" s="33"/>
      <c r="C1724" s="2" t="s">
        <v>29</v>
      </c>
      <c r="D1724" s="2" t="s">
        <v>19</v>
      </c>
      <c r="E1724" s="2" t="s">
        <v>13</v>
      </c>
      <c r="F1724" s="2" t="s">
        <v>14</v>
      </c>
      <c r="G1724" s="2" t="s">
        <v>21</v>
      </c>
      <c r="H1724" s="2" t="s">
        <v>22</v>
      </c>
      <c r="I1724" s="2">
        <v>30000</v>
      </c>
      <c r="J1724" s="2">
        <v>8</v>
      </c>
      <c r="K1724" s="2" t="s">
        <v>35</v>
      </c>
      <c r="L1724" s="2">
        <f t="shared" si="6"/>
        <v>24000</v>
      </c>
    </row>
    <row r="1725" spans="1:12" ht="14.25" customHeight="1" x14ac:dyDescent="0.2">
      <c r="A1725" s="33">
        <v>47399</v>
      </c>
      <c r="B1725" s="33"/>
      <c r="C1725" s="2" t="s">
        <v>29</v>
      </c>
      <c r="D1725" s="2" t="s">
        <v>12</v>
      </c>
      <c r="E1725" s="2" t="s">
        <v>23</v>
      </c>
      <c r="F1725" s="2" t="s">
        <v>20</v>
      </c>
      <c r="G1725" s="2" t="s">
        <v>38</v>
      </c>
      <c r="H1725" s="2" t="s">
        <v>31</v>
      </c>
      <c r="I1725" s="2">
        <v>420000</v>
      </c>
      <c r="J1725" s="2">
        <v>3</v>
      </c>
      <c r="K1725" s="2" t="s">
        <v>24</v>
      </c>
      <c r="L1725" s="2">
        <f t="shared" si="6"/>
        <v>336000</v>
      </c>
    </row>
    <row r="1726" spans="1:12" ht="14.25" customHeight="1" x14ac:dyDescent="0.2">
      <c r="A1726" s="33">
        <v>47400</v>
      </c>
      <c r="B1726" s="33"/>
      <c r="C1726" s="2" t="s">
        <v>11</v>
      </c>
      <c r="D1726" s="2" t="s">
        <v>12</v>
      </c>
      <c r="E1726" s="2" t="s">
        <v>23</v>
      </c>
      <c r="F1726" s="2" t="s">
        <v>14</v>
      </c>
      <c r="G1726" s="2" t="s">
        <v>38</v>
      </c>
      <c r="H1726" s="2" t="s">
        <v>31</v>
      </c>
      <c r="I1726" s="2">
        <v>420000</v>
      </c>
      <c r="J1726" s="2">
        <v>7</v>
      </c>
      <c r="K1726" s="2" t="s">
        <v>39</v>
      </c>
      <c r="L1726" s="2">
        <f t="shared" si="6"/>
        <v>336000</v>
      </c>
    </row>
    <row r="1727" spans="1:12" ht="14.25" customHeight="1" x14ac:dyDescent="0.2">
      <c r="A1727" s="33">
        <v>47401</v>
      </c>
      <c r="B1727" s="33"/>
      <c r="C1727" s="2" t="s">
        <v>18</v>
      </c>
      <c r="D1727" s="2" t="s">
        <v>19</v>
      </c>
      <c r="E1727" s="2" t="s">
        <v>23</v>
      </c>
      <c r="F1727" s="2" t="s">
        <v>14</v>
      </c>
      <c r="G1727" s="2" t="s">
        <v>15</v>
      </c>
      <c r="H1727" s="2" t="s">
        <v>16</v>
      </c>
      <c r="I1727" s="2">
        <v>85000</v>
      </c>
      <c r="J1727" s="2">
        <v>9</v>
      </c>
      <c r="K1727" s="2" t="s">
        <v>39</v>
      </c>
      <c r="L1727" s="2">
        <f t="shared" si="6"/>
        <v>68000</v>
      </c>
    </row>
    <row r="1728" spans="1:12" ht="14.25" customHeight="1" x14ac:dyDescent="0.2">
      <c r="A1728" s="33">
        <v>47402</v>
      </c>
      <c r="B1728" s="33"/>
      <c r="C1728" s="2" t="s">
        <v>18</v>
      </c>
      <c r="D1728" s="2" t="s">
        <v>19</v>
      </c>
      <c r="E1728" s="2" t="s">
        <v>23</v>
      </c>
      <c r="F1728" s="2" t="s">
        <v>14</v>
      </c>
      <c r="G1728" s="2" t="s">
        <v>30</v>
      </c>
      <c r="H1728" s="2" t="s">
        <v>31</v>
      </c>
      <c r="I1728" s="2">
        <v>300000</v>
      </c>
      <c r="J1728" s="2">
        <v>8</v>
      </c>
      <c r="K1728" s="2" t="s">
        <v>28</v>
      </c>
      <c r="L1728" s="2">
        <f t="shared" si="6"/>
        <v>240000</v>
      </c>
    </row>
    <row r="1729" spans="1:12" ht="14.25" customHeight="1" x14ac:dyDescent="0.2">
      <c r="A1729" s="33">
        <v>47403</v>
      </c>
      <c r="B1729" s="33"/>
      <c r="C1729" s="2" t="s">
        <v>29</v>
      </c>
      <c r="D1729" s="2" t="s">
        <v>32</v>
      </c>
      <c r="E1729" s="2" t="s">
        <v>13</v>
      </c>
      <c r="F1729" s="2" t="s">
        <v>20</v>
      </c>
      <c r="G1729" s="2" t="s">
        <v>38</v>
      </c>
      <c r="H1729" s="2" t="s">
        <v>31</v>
      </c>
      <c r="I1729" s="2">
        <v>420000</v>
      </c>
      <c r="J1729" s="2">
        <v>6</v>
      </c>
      <c r="K1729" s="2" t="s">
        <v>17</v>
      </c>
      <c r="L1729" s="2">
        <f t="shared" si="6"/>
        <v>336000</v>
      </c>
    </row>
    <row r="1730" spans="1:12" ht="14.25" customHeight="1" x14ac:dyDescent="0.2">
      <c r="A1730" s="33">
        <v>47404</v>
      </c>
      <c r="B1730" s="33"/>
      <c r="C1730" s="2" t="s">
        <v>25</v>
      </c>
      <c r="D1730" s="2" t="s">
        <v>32</v>
      </c>
      <c r="E1730" s="2" t="s">
        <v>23</v>
      </c>
      <c r="F1730" s="2" t="s">
        <v>14</v>
      </c>
      <c r="G1730" s="2" t="s">
        <v>36</v>
      </c>
      <c r="H1730" s="2" t="s">
        <v>31</v>
      </c>
      <c r="I1730" s="2">
        <v>150000</v>
      </c>
      <c r="J1730" s="2">
        <v>9</v>
      </c>
      <c r="K1730" s="2" t="s">
        <v>35</v>
      </c>
      <c r="L1730" s="2">
        <f t="shared" si="6"/>
        <v>120000</v>
      </c>
    </row>
    <row r="1731" spans="1:12" ht="14.25" customHeight="1" x14ac:dyDescent="0.2">
      <c r="A1731" s="33">
        <v>47405</v>
      </c>
      <c r="B1731" s="33"/>
      <c r="C1731" s="2" t="s">
        <v>18</v>
      </c>
      <c r="D1731" s="2" t="s">
        <v>26</v>
      </c>
      <c r="E1731" s="2" t="s">
        <v>13</v>
      </c>
      <c r="F1731" s="2" t="s">
        <v>20</v>
      </c>
      <c r="G1731" s="2" t="s">
        <v>21</v>
      </c>
      <c r="H1731" s="2" t="s">
        <v>22</v>
      </c>
      <c r="I1731" s="2">
        <v>30000</v>
      </c>
      <c r="J1731" s="2">
        <v>3</v>
      </c>
      <c r="K1731" s="2" t="s">
        <v>28</v>
      </c>
      <c r="L1731" s="2">
        <f t="shared" si="6"/>
        <v>24000</v>
      </c>
    </row>
    <row r="1732" spans="1:12" ht="14.25" customHeight="1" x14ac:dyDescent="0.2">
      <c r="A1732" s="33">
        <v>47406</v>
      </c>
      <c r="B1732" s="33"/>
      <c r="C1732" s="2" t="s">
        <v>18</v>
      </c>
      <c r="D1732" s="2" t="s">
        <v>26</v>
      </c>
      <c r="E1732" s="2" t="s">
        <v>13</v>
      </c>
      <c r="F1732" s="2" t="s">
        <v>20</v>
      </c>
      <c r="G1732" s="2" t="s">
        <v>21</v>
      </c>
      <c r="H1732" s="2" t="s">
        <v>22</v>
      </c>
      <c r="I1732" s="2">
        <v>30000</v>
      </c>
      <c r="J1732" s="2">
        <v>4</v>
      </c>
      <c r="K1732" s="2" t="s">
        <v>37</v>
      </c>
      <c r="L1732" s="2">
        <f t="shared" si="6"/>
        <v>24000</v>
      </c>
    </row>
    <row r="1733" spans="1:12" ht="14.25" customHeight="1" x14ac:dyDescent="0.2">
      <c r="A1733" s="33">
        <v>47407</v>
      </c>
      <c r="B1733" s="33"/>
      <c r="C1733" s="2" t="s">
        <v>29</v>
      </c>
      <c r="D1733" s="2" t="s">
        <v>19</v>
      </c>
      <c r="E1733" s="2" t="s">
        <v>23</v>
      </c>
      <c r="F1733" s="2" t="s">
        <v>14</v>
      </c>
      <c r="G1733" s="2" t="s">
        <v>27</v>
      </c>
      <c r="H1733" s="2" t="s">
        <v>22</v>
      </c>
      <c r="I1733" s="2">
        <v>60000</v>
      </c>
      <c r="J1733" s="2">
        <v>4</v>
      </c>
      <c r="K1733" s="2" t="s">
        <v>37</v>
      </c>
      <c r="L1733" s="2">
        <f t="shared" si="6"/>
        <v>48000</v>
      </c>
    </row>
    <row r="1734" spans="1:12" ht="14.25" customHeight="1" x14ac:dyDescent="0.2">
      <c r="A1734" s="33">
        <v>47408</v>
      </c>
      <c r="B1734" s="33"/>
      <c r="C1734" s="2" t="s">
        <v>29</v>
      </c>
      <c r="D1734" s="2" t="s">
        <v>26</v>
      </c>
      <c r="E1734" s="2" t="s">
        <v>13</v>
      </c>
      <c r="F1734" s="2" t="s">
        <v>20</v>
      </c>
      <c r="G1734" s="2" t="s">
        <v>40</v>
      </c>
      <c r="H1734" s="2" t="s">
        <v>31</v>
      </c>
      <c r="I1734" s="2">
        <v>250000</v>
      </c>
      <c r="J1734" s="2">
        <v>8</v>
      </c>
      <c r="K1734" s="2" t="s">
        <v>17</v>
      </c>
      <c r="L1734" s="2">
        <f t="shared" si="6"/>
        <v>200000</v>
      </c>
    </row>
    <row r="1735" spans="1:12" ht="14.25" customHeight="1" x14ac:dyDescent="0.2">
      <c r="A1735" s="33">
        <v>47409</v>
      </c>
      <c r="B1735" s="33"/>
      <c r="C1735" s="2" t="s">
        <v>29</v>
      </c>
      <c r="D1735" s="2" t="s">
        <v>32</v>
      </c>
      <c r="E1735" s="2" t="s">
        <v>23</v>
      </c>
      <c r="F1735" s="2" t="s">
        <v>14</v>
      </c>
      <c r="G1735" s="2" t="s">
        <v>21</v>
      </c>
      <c r="H1735" s="2" t="s">
        <v>22</v>
      </c>
      <c r="I1735" s="2">
        <v>30000</v>
      </c>
      <c r="J1735" s="2">
        <v>6</v>
      </c>
      <c r="K1735" s="2" t="s">
        <v>28</v>
      </c>
      <c r="L1735" s="2">
        <f t="shared" si="6"/>
        <v>24000</v>
      </c>
    </row>
    <row r="1736" spans="1:12" ht="14.25" customHeight="1" x14ac:dyDescent="0.2">
      <c r="A1736" s="33">
        <v>47410</v>
      </c>
      <c r="B1736" s="33"/>
      <c r="C1736" s="2" t="s">
        <v>25</v>
      </c>
      <c r="D1736" s="2" t="s">
        <v>19</v>
      </c>
      <c r="E1736" s="2" t="s">
        <v>23</v>
      </c>
      <c r="F1736" s="2" t="s">
        <v>20</v>
      </c>
      <c r="G1736" s="2" t="s">
        <v>40</v>
      </c>
      <c r="H1736" s="2" t="s">
        <v>31</v>
      </c>
      <c r="I1736" s="2">
        <v>250000</v>
      </c>
      <c r="J1736" s="2">
        <v>1</v>
      </c>
      <c r="K1736" s="2" t="s">
        <v>24</v>
      </c>
      <c r="L1736" s="2">
        <f t="shared" si="6"/>
        <v>200000</v>
      </c>
    </row>
    <row r="1737" spans="1:12" ht="14.25" customHeight="1" x14ac:dyDescent="0.2">
      <c r="A1737" s="33">
        <v>47411</v>
      </c>
      <c r="B1737" s="33"/>
      <c r="C1737" s="2" t="s">
        <v>11</v>
      </c>
      <c r="D1737" s="2" t="s">
        <v>12</v>
      </c>
      <c r="E1737" s="2" t="s">
        <v>13</v>
      </c>
      <c r="F1737" s="2" t="s">
        <v>14</v>
      </c>
      <c r="G1737" s="2" t="s">
        <v>15</v>
      </c>
      <c r="H1737" s="2" t="s">
        <v>16</v>
      </c>
      <c r="I1737" s="2">
        <v>85000</v>
      </c>
      <c r="J1737" s="2">
        <v>1</v>
      </c>
      <c r="K1737" s="2" t="s">
        <v>35</v>
      </c>
      <c r="L1737" s="2">
        <f t="shared" si="6"/>
        <v>68000</v>
      </c>
    </row>
    <row r="1738" spans="1:12" ht="14.25" customHeight="1" x14ac:dyDescent="0.2">
      <c r="A1738" s="33">
        <v>47412</v>
      </c>
      <c r="B1738" s="33"/>
      <c r="C1738" s="2" t="s">
        <v>29</v>
      </c>
      <c r="D1738" s="2" t="s">
        <v>12</v>
      </c>
      <c r="E1738" s="2" t="s">
        <v>23</v>
      </c>
      <c r="F1738" s="2" t="s">
        <v>20</v>
      </c>
      <c r="G1738" s="2" t="s">
        <v>21</v>
      </c>
      <c r="H1738" s="2" t="s">
        <v>22</v>
      </c>
      <c r="I1738" s="2">
        <v>30000</v>
      </c>
      <c r="J1738" s="2">
        <v>9</v>
      </c>
      <c r="K1738" s="2" t="s">
        <v>17</v>
      </c>
      <c r="L1738" s="2">
        <f t="shared" si="6"/>
        <v>24000</v>
      </c>
    </row>
    <row r="1739" spans="1:12" ht="14.25" customHeight="1" x14ac:dyDescent="0.2">
      <c r="A1739" s="33">
        <v>47413</v>
      </c>
      <c r="B1739" s="33"/>
      <c r="C1739" s="2" t="s">
        <v>25</v>
      </c>
      <c r="D1739" s="2" t="s">
        <v>32</v>
      </c>
      <c r="E1739" s="2" t="s">
        <v>23</v>
      </c>
      <c r="F1739" s="2" t="s">
        <v>20</v>
      </c>
      <c r="G1739" s="2" t="s">
        <v>21</v>
      </c>
      <c r="H1739" s="2" t="s">
        <v>22</v>
      </c>
      <c r="I1739" s="2">
        <v>30000</v>
      </c>
      <c r="J1739" s="2">
        <v>3</v>
      </c>
      <c r="K1739" s="2" t="s">
        <v>17</v>
      </c>
      <c r="L1739" s="2">
        <f t="shared" si="6"/>
        <v>24000</v>
      </c>
    </row>
    <row r="1740" spans="1:12" ht="14.25" customHeight="1" x14ac:dyDescent="0.2">
      <c r="A1740" s="33">
        <v>47414</v>
      </c>
      <c r="B1740" s="33"/>
      <c r="C1740" s="2" t="s">
        <v>25</v>
      </c>
      <c r="D1740" s="2" t="s">
        <v>12</v>
      </c>
      <c r="E1740" s="2" t="s">
        <v>23</v>
      </c>
      <c r="F1740" s="2" t="s">
        <v>20</v>
      </c>
      <c r="G1740" s="2" t="s">
        <v>36</v>
      </c>
      <c r="H1740" s="2" t="s">
        <v>31</v>
      </c>
      <c r="I1740" s="2">
        <v>150000</v>
      </c>
      <c r="J1740" s="2">
        <v>8</v>
      </c>
      <c r="K1740" s="2" t="s">
        <v>28</v>
      </c>
      <c r="L1740" s="2">
        <f t="shared" si="6"/>
        <v>120000</v>
      </c>
    </row>
    <row r="1741" spans="1:12" ht="14.25" customHeight="1" x14ac:dyDescent="0.2">
      <c r="A1741" s="33">
        <v>47415</v>
      </c>
      <c r="B1741" s="33"/>
      <c r="C1741" s="2" t="s">
        <v>29</v>
      </c>
      <c r="D1741" s="2" t="s">
        <v>26</v>
      </c>
      <c r="E1741" s="2" t="s">
        <v>13</v>
      </c>
      <c r="F1741" s="2" t="s">
        <v>20</v>
      </c>
      <c r="G1741" s="2" t="s">
        <v>15</v>
      </c>
      <c r="H1741" s="2" t="s">
        <v>16</v>
      </c>
      <c r="I1741" s="2">
        <v>85000</v>
      </c>
      <c r="J1741" s="2">
        <v>4</v>
      </c>
      <c r="K1741" s="2" t="s">
        <v>24</v>
      </c>
      <c r="L1741" s="2">
        <f t="shared" si="6"/>
        <v>68000</v>
      </c>
    </row>
    <row r="1742" spans="1:12" ht="14.25" customHeight="1" x14ac:dyDescent="0.2">
      <c r="A1742" s="33">
        <v>47416</v>
      </c>
      <c r="B1742" s="33"/>
      <c r="C1742" s="2" t="s">
        <v>11</v>
      </c>
      <c r="D1742" s="2" t="s">
        <v>26</v>
      </c>
      <c r="E1742" s="2" t="s">
        <v>23</v>
      </c>
      <c r="F1742" s="2" t="s">
        <v>20</v>
      </c>
      <c r="G1742" s="2" t="s">
        <v>34</v>
      </c>
      <c r="H1742" s="2" t="s">
        <v>16</v>
      </c>
      <c r="I1742" s="2">
        <v>320000</v>
      </c>
      <c r="J1742" s="2">
        <v>3</v>
      </c>
      <c r="K1742" s="2" t="s">
        <v>28</v>
      </c>
      <c r="L1742" s="2">
        <f t="shared" si="6"/>
        <v>256000</v>
      </c>
    </row>
    <row r="1743" spans="1:12" ht="14.25" customHeight="1" x14ac:dyDescent="0.2">
      <c r="A1743" s="33">
        <v>47417</v>
      </c>
      <c r="B1743" s="33"/>
      <c r="C1743" s="2" t="s">
        <v>18</v>
      </c>
      <c r="D1743" s="2" t="s">
        <v>32</v>
      </c>
      <c r="E1743" s="2" t="s">
        <v>13</v>
      </c>
      <c r="F1743" s="2" t="s">
        <v>14</v>
      </c>
      <c r="G1743" s="2" t="s">
        <v>27</v>
      </c>
      <c r="H1743" s="2" t="s">
        <v>22</v>
      </c>
      <c r="I1743" s="2">
        <v>60000</v>
      </c>
      <c r="J1743" s="2">
        <v>7</v>
      </c>
      <c r="K1743" s="2" t="s">
        <v>24</v>
      </c>
      <c r="L1743" s="2">
        <f t="shared" si="6"/>
        <v>48000</v>
      </c>
    </row>
    <row r="1744" spans="1:12" ht="14.25" customHeight="1" x14ac:dyDescent="0.2">
      <c r="A1744" s="33">
        <v>47418</v>
      </c>
      <c r="B1744" s="33"/>
      <c r="C1744" s="2" t="s">
        <v>18</v>
      </c>
      <c r="D1744" s="2" t="s">
        <v>32</v>
      </c>
      <c r="E1744" s="2" t="s">
        <v>23</v>
      </c>
      <c r="F1744" s="2" t="s">
        <v>20</v>
      </c>
      <c r="G1744" s="2" t="s">
        <v>30</v>
      </c>
      <c r="H1744" s="2" t="s">
        <v>31</v>
      </c>
      <c r="I1744" s="2">
        <v>300000</v>
      </c>
      <c r="J1744" s="2">
        <v>6</v>
      </c>
      <c r="K1744" s="2" t="s">
        <v>24</v>
      </c>
      <c r="L1744" s="2">
        <f t="shared" si="6"/>
        <v>240000</v>
      </c>
    </row>
    <row r="1745" spans="1:12" ht="14.25" customHeight="1" x14ac:dyDescent="0.2">
      <c r="A1745" s="33">
        <v>47419</v>
      </c>
      <c r="B1745" s="33"/>
      <c r="C1745" s="2" t="s">
        <v>25</v>
      </c>
      <c r="D1745" s="2" t="s">
        <v>32</v>
      </c>
      <c r="E1745" s="2" t="s">
        <v>13</v>
      </c>
      <c r="F1745" s="2" t="s">
        <v>14</v>
      </c>
      <c r="G1745" s="2" t="s">
        <v>36</v>
      </c>
      <c r="H1745" s="2" t="s">
        <v>31</v>
      </c>
      <c r="I1745" s="2">
        <v>150000</v>
      </c>
      <c r="J1745" s="2">
        <v>6</v>
      </c>
      <c r="K1745" s="2" t="s">
        <v>35</v>
      </c>
      <c r="L1745" s="2">
        <f t="shared" si="6"/>
        <v>120000</v>
      </c>
    </row>
    <row r="1746" spans="1:12" ht="14.25" customHeight="1" x14ac:dyDescent="0.2">
      <c r="A1746" s="33">
        <v>47420</v>
      </c>
      <c r="B1746" s="33"/>
      <c r="C1746" s="2" t="s">
        <v>25</v>
      </c>
      <c r="D1746" s="2" t="s">
        <v>12</v>
      </c>
      <c r="E1746" s="2" t="s">
        <v>23</v>
      </c>
      <c r="F1746" s="2" t="s">
        <v>14</v>
      </c>
      <c r="G1746" s="2" t="s">
        <v>30</v>
      </c>
      <c r="H1746" s="2" t="s">
        <v>31</v>
      </c>
      <c r="I1746" s="2">
        <v>300000</v>
      </c>
      <c r="J1746" s="2">
        <v>10</v>
      </c>
      <c r="K1746" s="2" t="s">
        <v>28</v>
      </c>
      <c r="L1746" s="2">
        <f t="shared" si="6"/>
        <v>240000</v>
      </c>
    </row>
    <row r="1747" spans="1:12" ht="14.25" customHeight="1" x14ac:dyDescent="0.2">
      <c r="A1747" s="33">
        <v>47421</v>
      </c>
      <c r="B1747" s="33"/>
      <c r="C1747" s="2" t="s">
        <v>18</v>
      </c>
      <c r="D1747" s="2" t="s">
        <v>19</v>
      </c>
      <c r="E1747" s="2" t="s">
        <v>13</v>
      </c>
      <c r="F1747" s="2" t="s">
        <v>14</v>
      </c>
      <c r="G1747" s="2" t="s">
        <v>38</v>
      </c>
      <c r="H1747" s="2" t="s">
        <v>31</v>
      </c>
      <c r="I1747" s="2">
        <v>420000</v>
      </c>
      <c r="J1747" s="2">
        <v>1</v>
      </c>
      <c r="K1747" s="2" t="s">
        <v>17</v>
      </c>
      <c r="L1747" s="2">
        <f t="shared" si="6"/>
        <v>336000</v>
      </c>
    </row>
    <row r="1748" spans="1:12" ht="14.25" customHeight="1" x14ac:dyDescent="0.2">
      <c r="A1748" s="33">
        <v>47422</v>
      </c>
      <c r="B1748" s="33"/>
      <c r="C1748" s="2" t="s">
        <v>11</v>
      </c>
      <c r="D1748" s="2" t="s">
        <v>12</v>
      </c>
      <c r="E1748" s="2" t="s">
        <v>13</v>
      </c>
      <c r="F1748" s="2" t="s">
        <v>20</v>
      </c>
      <c r="G1748" s="2" t="s">
        <v>27</v>
      </c>
      <c r="H1748" s="2" t="s">
        <v>22</v>
      </c>
      <c r="I1748" s="2">
        <v>60000</v>
      </c>
      <c r="J1748" s="2">
        <v>1</v>
      </c>
      <c r="K1748" s="2" t="s">
        <v>24</v>
      </c>
      <c r="L1748" s="2">
        <f t="shared" si="6"/>
        <v>48000</v>
      </c>
    </row>
    <row r="1749" spans="1:12" ht="14.25" customHeight="1" x14ac:dyDescent="0.2">
      <c r="A1749" s="33">
        <v>47423</v>
      </c>
      <c r="B1749" s="33"/>
      <c r="C1749" s="2" t="s">
        <v>29</v>
      </c>
      <c r="D1749" s="2" t="s">
        <v>19</v>
      </c>
      <c r="E1749" s="2" t="s">
        <v>13</v>
      </c>
      <c r="F1749" s="2" t="s">
        <v>14</v>
      </c>
      <c r="G1749" s="2" t="s">
        <v>36</v>
      </c>
      <c r="H1749" s="2" t="s">
        <v>31</v>
      </c>
      <c r="I1749" s="2">
        <v>150000</v>
      </c>
      <c r="J1749" s="2">
        <v>10</v>
      </c>
      <c r="K1749" s="2" t="s">
        <v>39</v>
      </c>
      <c r="L1749" s="2">
        <f t="shared" si="6"/>
        <v>120000</v>
      </c>
    </row>
    <row r="1750" spans="1:12" ht="14.25" customHeight="1" x14ac:dyDescent="0.2">
      <c r="A1750" s="33">
        <v>47424</v>
      </c>
      <c r="B1750" s="33"/>
      <c r="C1750" s="2" t="s">
        <v>11</v>
      </c>
      <c r="D1750" s="2" t="s">
        <v>32</v>
      </c>
      <c r="E1750" s="2" t="s">
        <v>13</v>
      </c>
      <c r="F1750" s="2" t="s">
        <v>14</v>
      </c>
      <c r="G1750" s="2" t="s">
        <v>33</v>
      </c>
      <c r="H1750" s="2" t="s">
        <v>22</v>
      </c>
      <c r="I1750" s="2">
        <v>180000</v>
      </c>
      <c r="J1750" s="2">
        <v>10</v>
      </c>
      <c r="K1750" s="2" t="s">
        <v>28</v>
      </c>
      <c r="L1750" s="2">
        <f t="shared" si="6"/>
        <v>144000</v>
      </c>
    </row>
    <row r="1751" spans="1:12" ht="14.25" customHeight="1" x14ac:dyDescent="0.2">
      <c r="A1751" s="33">
        <v>47425</v>
      </c>
      <c r="B1751" s="33"/>
      <c r="C1751" s="2" t="s">
        <v>25</v>
      </c>
      <c r="D1751" s="2" t="s">
        <v>12</v>
      </c>
      <c r="E1751" s="2" t="s">
        <v>23</v>
      </c>
      <c r="F1751" s="2" t="s">
        <v>14</v>
      </c>
      <c r="G1751" s="2" t="s">
        <v>36</v>
      </c>
      <c r="H1751" s="2" t="s">
        <v>31</v>
      </c>
      <c r="I1751" s="2">
        <v>150000</v>
      </c>
      <c r="J1751" s="2">
        <v>10</v>
      </c>
      <c r="K1751" s="2" t="s">
        <v>24</v>
      </c>
      <c r="L1751" s="2">
        <f t="shared" si="6"/>
        <v>120000</v>
      </c>
    </row>
    <row r="1752" spans="1:12" ht="14.25" customHeight="1" x14ac:dyDescent="0.2">
      <c r="A1752" s="33">
        <v>47426</v>
      </c>
      <c r="B1752" s="33"/>
      <c r="C1752" s="2" t="s">
        <v>18</v>
      </c>
      <c r="D1752" s="2" t="s">
        <v>12</v>
      </c>
      <c r="E1752" s="2" t="s">
        <v>23</v>
      </c>
      <c r="F1752" s="2" t="s">
        <v>20</v>
      </c>
      <c r="G1752" s="2" t="s">
        <v>27</v>
      </c>
      <c r="H1752" s="2" t="s">
        <v>22</v>
      </c>
      <c r="I1752" s="2">
        <v>60000</v>
      </c>
      <c r="J1752" s="2">
        <v>8</v>
      </c>
      <c r="K1752" s="2" t="s">
        <v>39</v>
      </c>
      <c r="L1752" s="2">
        <f t="shared" si="6"/>
        <v>48000</v>
      </c>
    </row>
    <row r="1753" spans="1:12" ht="14.25" customHeight="1" x14ac:dyDescent="0.2">
      <c r="A1753" s="33">
        <v>47427</v>
      </c>
      <c r="B1753" s="33"/>
      <c r="C1753" s="2" t="s">
        <v>29</v>
      </c>
      <c r="D1753" s="2" t="s">
        <v>12</v>
      </c>
      <c r="E1753" s="2" t="s">
        <v>13</v>
      </c>
      <c r="F1753" s="2" t="s">
        <v>14</v>
      </c>
      <c r="G1753" s="2" t="s">
        <v>41</v>
      </c>
      <c r="H1753" s="2" t="s">
        <v>22</v>
      </c>
      <c r="I1753" s="2">
        <v>220000</v>
      </c>
      <c r="J1753" s="2">
        <v>7</v>
      </c>
      <c r="K1753" s="2" t="s">
        <v>37</v>
      </c>
      <c r="L1753" s="2">
        <f t="shared" si="6"/>
        <v>176000</v>
      </c>
    </row>
    <row r="1754" spans="1:12" ht="14.25" customHeight="1" x14ac:dyDescent="0.2">
      <c r="A1754" s="33">
        <v>47428</v>
      </c>
      <c r="B1754" s="33"/>
      <c r="C1754" s="2" t="s">
        <v>18</v>
      </c>
      <c r="D1754" s="2" t="s">
        <v>32</v>
      </c>
      <c r="E1754" s="2" t="s">
        <v>13</v>
      </c>
      <c r="F1754" s="2" t="s">
        <v>14</v>
      </c>
      <c r="G1754" s="2" t="s">
        <v>21</v>
      </c>
      <c r="H1754" s="2" t="s">
        <v>22</v>
      </c>
      <c r="I1754" s="2">
        <v>30000</v>
      </c>
      <c r="J1754" s="2">
        <v>1</v>
      </c>
      <c r="K1754" s="2" t="s">
        <v>35</v>
      </c>
      <c r="L1754" s="2">
        <f t="shared" si="6"/>
        <v>24000</v>
      </c>
    </row>
    <row r="1755" spans="1:12" ht="14.25" customHeight="1" x14ac:dyDescent="0.2">
      <c r="A1755" s="33">
        <v>47429</v>
      </c>
      <c r="B1755" s="33"/>
      <c r="C1755" s="2" t="s">
        <v>18</v>
      </c>
      <c r="D1755" s="2" t="s">
        <v>19</v>
      </c>
      <c r="E1755" s="2" t="s">
        <v>23</v>
      </c>
      <c r="F1755" s="2" t="s">
        <v>20</v>
      </c>
      <c r="G1755" s="2" t="s">
        <v>36</v>
      </c>
      <c r="H1755" s="2" t="s">
        <v>31</v>
      </c>
      <c r="I1755" s="2">
        <v>150000</v>
      </c>
      <c r="J1755" s="2">
        <v>6</v>
      </c>
      <c r="K1755" s="2" t="s">
        <v>17</v>
      </c>
      <c r="L1755" s="2">
        <f t="shared" si="6"/>
        <v>120000</v>
      </c>
    </row>
    <row r="1756" spans="1:12" ht="14.25" customHeight="1" x14ac:dyDescent="0.2">
      <c r="A1756" s="33">
        <v>47430</v>
      </c>
      <c r="B1756" s="33"/>
      <c r="C1756" s="2" t="s">
        <v>25</v>
      </c>
      <c r="D1756" s="2" t="s">
        <v>32</v>
      </c>
      <c r="E1756" s="2" t="s">
        <v>13</v>
      </c>
      <c r="F1756" s="2" t="s">
        <v>20</v>
      </c>
      <c r="G1756" s="2" t="s">
        <v>21</v>
      </c>
      <c r="H1756" s="2" t="s">
        <v>22</v>
      </c>
      <c r="I1756" s="2">
        <v>30000</v>
      </c>
      <c r="J1756" s="2">
        <v>4</v>
      </c>
      <c r="K1756" s="2" t="s">
        <v>17</v>
      </c>
      <c r="L1756" s="2">
        <f t="shared" si="6"/>
        <v>24000</v>
      </c>
    </row>
    <row r="1757" spans="1:12" ht="14.25" customHeight="1" x14ac:dyDescent="0.2">
      <c r="A1757" s="33">
        <v>47431</v>
      </c>
      <c r="B1757" s="33"/>
      <c r="C1757" s="2" t="s">
        <v>25</v>
      </c>
      <c r="D1757" s="2" t="s">
        <v>26</v>
      </c>
      <c r="E1757" s="2" t="s">
        <v>23</v>
      </c>
      <c r="F1757" s="2" t="s">
        <v>14</v>
      </c>
      <c r="G1757" s="2" t="s">
        <v>41</v>
      </c>
      <c r="H1757" s="2" t="s">
        <v>22</v>
      </c>
      <c r="I1757" s="2">
        <v>220000</v>
      </c>
      <c r="J1757" s="2">
        <v>1</v>
      </c>
      <c r="K1757" s="2" t="s">
        <v>28</v>
      </c>
      <c r="L1757" s="2">
        <f t="shared" si="6"/>
        <v>176000</v>
      </c>
    </row>
    <row r="1758" spans="1:12" ht="14.25" customHeight="1" x14ac:dyDescent="0.2">
      <c r="A1758" s="33">
        <v>47432</v>
      </c>
      <c r="B1758" s="33"/>
      <c r="C1758" s="2" t="s">
        <v>25</v>
      </c>
      <c r="D1758" s="2" t="s">
        <v>19</v>
      </c>
      <c r="E1758" s="2" t="s">
        <v>13</v>
      </c>
      <c r="F1758" s="2" t="s">
        <v>14</v>
      </c>
      <c r="G1758" s="2" t="s">
        <v>27</v>
      </c>
      <c r="H1758" s="2" t="s">
        <v>22</v>
      </c>
      <c r="I1758" s="2">
        <v>60000</v>
      </c>
      <c r="J1758" s="2">
        <v>6</v>
      </c>
      <c r="K1758" s="2" t="s">
        <v>24</v>
      </c>
      <c r="L1758" s="2">
        <f t="shared" si="6"/>
        <v>48000</v>
      </c>
    </row>
    <row r="1759" spans="1:12" ht="14.25" customHeight="1" x14ac:dyDescent="0.2">
      <c r="A1759" s="33">
        <v>47433</v>
      </c>
      <c r="B1759" s="33"/>
      <c r="C1759" s="2" t="s">
        <v>25</v>
      </c>
      <c r="D1759" s="2" t="s">
        <v>12</v>
      </c>
      <c r="E1759" s="2" t="s">
        <v>23</v>
      </c>
      <c r="F1759" s="2" t="s">
        <v>20</v>
      </c>
      <c r="G1759" s="2" t="s">
        <v>40</v>
      </c>
      <c r="H1759" s="2" t="s">
        <v>31</v>
      </c>
      <c r="I1759" s="2">
        <v>250000</v>
      </c>
      <c r="J1759" s="2">
        <v>7</v>
      </c>
      <c r="K1759" s="2" t="s">
        <v>39</v>
      </c>
      <c r="L1759" s="2">
        <f t="shared" si="6"/>
        <v>200000</v>
      </c>
    </row>
    <row r="1760" spans="1:12" ht="14.25" customHeight="1" x14ac:dyDescent="0.2">
      <c r="A1760" s="33">
        <v>47434</v>
      </c>
      <c r="B1760" s="33"/>
      <c r="C1760" s="2" t="s">
        <v>18</v>
      </c>
      <c r="D1760" s="2" t="s">
        <v>26</v>
      </c>
      <c r="E1760" s="2" t="s">
        <v>23</v>
      </c>
      <c r="F1760" s="2" t="s">
        <v>14</v>
      </c>
      <c r="G1760" s="2" t="s">
        <v>41</v>
      </c>
      <c r="H1760" s="2" t="s">
        <v>22</v>
      </c>
      <c r="I1760" s="2">
        <v>220000</v>
      </c>
      <c r="J1760" s="2">
        <v>9</v>
      </c>
      <c r="K1760" s="2" t="s">
        <v>35</v>
      </c>
      <c r="L1760" s="2">
        <f t="shared" si="6"/>
        <v>176000</v>
      </c>
    </row>
    <row r="1761" spans="1:12" ht="14.25" customHeight="1" x14ac:dyDescent="0.2">
      <c r="A1761" s="33">
        <v>47435</v>
      </c>
      <c r="B1761" s="33"/>
      <c r="C1761" s="2" t="s">
        <v>25</v>
      </c>
      <c r="D1761" s="2" t="s">
        <v>26</v>
      </c>
      <c r="E1761" s="2" t="s">
        <v>23</v>
      </c>
      <c r="F1761" s="2" t="s">
        <v>14</v>
      </c>
      <c r="G1761" s="2" t="s">
        <v>21</v>
      </c>
      <c r="H1761" s="2" t="s">
        <v>22</v>
      </c>
      <c r="I1761" s="2">
        <v>30000</v>
      </c>
      <c r="J1761" s="2">
        <v>10</v>
      </c>
      <c r="K1761" s="2" t="s">
        <v>28</v>
      </c>
      <c r="L1761" s="2">
        <f t="shared" si="6"/>
        <v>24000</v>
      </c>
    </row>
    <row r="1762" spans="1:12" ht="14.25" customHeight="1" x14ac:dyDescent="0.2">
      <c r="A1762" s="33">
        <v>47436</v>
      </c>
      <c r="B1762" s="33"/>
      <c r="C1762" s="2" t="s">
        <v>18</v>
      </c>
      <c r="D1762" s="2" t="s">
        <v>26</v>
      </c>
      <c r="E1762" s="2" t="s">
        <v>13</v>
      </c>
      <c r="F1762" s="2" t="s">
        <v>14</v>
      </c>
      <c r="G1762" s="2" t="s">
        <v>36</v>
      </c>
      <c r="H1762" s="2" t="s">
        <v>31</v>
      </c>
      <c r="I1762" s="2">
        <v>150000</v>
      </c>
      <c r="J1762" s="2">
        <v>1</v>
      </c>
      <c r="K1762" s="2" t="s">
        <v>24</v>
      </c>
      <c r="L1762" s="2">
        <f t="shared" si="6"/>
        <v>120000</v>
      </c>
    </row>
    <row r="1763" spans="1:12" ht="14.25" customHeight="1" x14ac:dyDescent="0.2">
      <c r="A1763" s="33">
        <v>47437</v>
      </c>
      <c r="B1763" s="33"/>
      <c r="C1763" s="2" t="s">
        <v>29</v>
      </c>
      <c r="D1763" s="2" t="s">
        <v>12</v>
      </c>
      <c r="E1763" s="2" t="s">
        <v>13</v>
      </c>
      <c r="F1763" s="2" t="s">
        <v>14</v>
      </c>
      <c r="G1763" s="2" t="s">
        <v>33</v>
      </c>
      <c r="H1763" s="2" t="s">
        <v>22</v>
      </c>
      <c r="I1763" s="2">
        <v>180000</v>
      </c>
      <c r="J1763" s="2">
        <v>3</v>
      </c>
      <c r="K1763" s="2" t="s">
        <v>35</v>
      </c>
      <c r="L1763" s="2">
        <f t="shared" si="6"/>
        <v>144000</v>
      </c>
    </row>
    <row r="1764" spans="1:12" ht="14.25" customHeight="1" x14ac:dyDescent="0.2">
      <c r="A1764" s="33">
        <v>47438</v>
      </c>
      <c r="B1764" s="33"/>
      <c r="C1764" s="2" t="s">
        <v>25</v>
      </c>
      <c r="D1764" s="2" t="s">
        <v>12</v>
      </c>
      <c r="E1764" s="2" t="s">
        <v>23</v>
      </c>
      <c r="F1764" s="2" t="s">
        <v>14</v>
      </c>
      <c r="G1764" s="2" t="s">
        <v>38</v>
      </c>
      <c r="H1764" s="2" t="s">
        <v>31</v>
      </c>
      <c r="I1764" s="2">
        <v>420000</v>
      </c>
      <c r="J1764" s="2">
        <v>10</v>
      </c>
      <c r="K1764" s="2" t="s">
        <v>35</v>
      </c>
      <c r="L1764" s="2">
        <f t="shared" si="6"/>
        <v>336000</v>
      </c>
    </row>
    <row r="1765" spans="1:12" ht="14.25" customHeight="1" x14ac:dyDescent="0.2">
      <c r="A1765" s="33">
        <v>47439</v>
      </c>
      <c r="B1765" s="33"/>
      <c r="C1765" s="2" t="s">
        <v>29</v>
      </c>
      <c r="D1765" s="2" t="s">
        <v>12</v>
      </c>
      <c r="E1765" s="2" t="s">
        <v>23</v>
      </c>
      <c r="F1765" s="2" t="s">
        <v>14</v>
      </c>
      <c r="G1765" s="2" t="s">
        <v>15</v>
      </c>
      <c r="H1765" s="2" t="s">
        <v>16</v>
      </c>
      <c r="I1765" s="2">
        <v>85000</v>
      </c>
      <c r="J1765" s="2">
        <v>2</v>
      </c>
      <c r="K1765" s="2" t="s">
        <v>37</v>
      </c>
      <c r="L1765" s="2">
        <f t="shared" si="6"/>
        <v>68000</v>
      </c>
    </row>
    <row r="1766" spans="1:12" ht="14.25" customHeight="1" x14ac:dyDescent="0.2">
      <c r="A1766" s="33">
        <v>47440</v>
      </c>
      <c r="B1766" s="33"/>
      <c r="C1766" s="2" t="s">
        <v>11</v>
      </c>
      <c r="D1766" s="2" t="s">
        <v>26</v>
      </c>
      <c r="E1766" s="2" t="s">
        <v>23</v>
      </c>
      <c r="F1766" s="2" t="s">
        <v>14</v>
      </c>
      <c r="G1766" s="2" t="s">
        <v>27</v>
      </c>
      <c r="H1766" s="2" t="s">
        <v>22</v>
      </c>
      <c r="I1766" s="2">
        <v>60000</v>
      </c>
      <c r="J1766" s="2">
        <v>4</v>
      </c>
      <c r="K1766" s="2" t="s">
        <v>37</v>
      </c>
      <c r="L1766" s="2">
        <f t="shared" si="6"/>
        <v>48000</v>
      </c>
    </row>
    <row r="1767" spans="1:12" ht="14.25" customHeight="1" x14ac:dyDescent="0.2">
      <c r="A1767" s="33">
        <v>47441</v>
      </c>
      <c r="B1767" s="33"/>
      <c r="C1767" s="2" t="s">
        <v>29</v>
      </c>
      <c r="D1767" s="2" t="s">
        <v>19</v>
      </c>
      <c r="E1767" s="2" t="s">
        <v>23</v>
      </c>
      <c r="F1767" s="2" t="s">
        <v>14</v>
      </c>
      <c r="G1767" s="2" t="s">
        <v>36</v>
      </c>
      <c r="H1767" s="2" t="s">
        <v>31</v>
      </c>
      <c r="I1767" s="2">
        <v>150000</v>
      </c>
      <c r="J1767" s="2">
        <v>9</v>
      </c>
      <c r="K1767" s="2" t="s">
        <v>37</v>
      </c>
      <c r="L1767" s="2">
        <f t="shared" si="6"/>
        <v>120000</v>
      </c>
    </row>
    <row r="1768" spans="1:12" ht="14.25" customHeight="1" x14ac:dyDescent="0.2">
      <c r="A1768" s="33">
        <v>47442</v>
      </c>
      <c r="B1768" s="33"/>
      <c r="C1768" s="2" t="s">
        <v>25</v>
      </c>
      <c r="D1768" s="2" t="s">
        <v>32</v>
      </c>
      <c r="E1768" s="2" t="s">
        <v>13</v>
      </c>
      <c r="F1768" s="2" t="s">
        <v>20</v>
      </c>
      <c r="G1768" s="2" t="s">
        <v>38</v>
      </c>
      <c r="H1768" s="2" t="s">
        <v>31</v>
      </c>
      <c r="I1768" s="2">
        <v>420000</v>
      </c>
      <c r="J1768" s="2">
        <v>1</v>
      </c>
      <c r="K1768" s="2" t="s">
        <v>35</v>
      </c>
      <c r="L1768" s="2">
        <f t="shared" si="6"/>
        <v>336000</v>
      </c>
    </row>
    <row r="1769" spans="1:12" ht="14.25" customHeight="1" x14ac:dyDescent="0.2">
      <c r="A1769" s="33">
        <v>47443</v>
      </c>
      <c r="B1769" s="33"/>
      <c r="C1769" s="2" t="s">
        <v>18</v>
      </c>
      <c r="D1769" s="2" t="s">
        <v>19</v>
      </c>
      <c r="E1769" s="2" t="s">
        <v>13</v>
      </c>
      <c r="F1769" s="2" t="s">
        <v>14</v>
      </c>
      <c r="G1769" s="2" t="s">
        <v>38</v>
      </c>
      <c r="H1769" s="2" t="s">
        <v>31</v>
      </c>
      <c r="I1769" s="2">
        <v>420000</v>
      </c>
      <c r="J1769" s="2">
        <v>9</v>
      </c>
      <c r="K1769" s="2" t="s">
        <v>37</v>
      </c>
      <c r="L1769" s="2">
        <f t="shared" si="6"/>
        <v>336000</v>
      </c>
    </row>
    <row r="1770" spans="1:12" ht="14.25" customHeight="1" x14ac:dyDescent="0.2">
      <c r="A1770" s="33">
        <v>47444</v>
      </c>
      <c r="B1770" s="33"/>
      <c r="C1770" s="2" t="s">
        <v>11</v>
      </c>
      <c r="D1770" s="2" t="s">
        <v>32</v>
      </c>
      <c r="E1770" s="2" t="s">
        <v>23</v>
      </c>
      <c r="F1770" s="2" t="s">
        <v>20</v>
      </c>
      <c r="G1770" s="2" t="s">
        <v>38</v>
      </c>
      <c r="H1770" s="2" t="s">
        <v>31</v>
      </c>
      <c r="I1770" s="2">
        <v>420000</v>
      </c>
      <c r="J1770" s="2">
        <v>9</v>
      </c>
      <c r="K1770" s="2" t="s">
        <v>39</v>
      </c>
      <c r="L1770" s="2">
        <f t="shared" si="6"/>
        <v>336000</v>
      </c>
    </row>
    <row r="1771" spans="1:12" ht="14.25" customHeight="1" x14ac:dyDescent="0.2">
      <c r="A1771" s="33">
        <v>47445</v>
      </c>
      <c r="B1771" s="33"/>
      <c r="C1771" s="2" t="s">
        <v>11</v>
      </c>
      <c r="D1771" s="2" t="s">
        <v>32</v>
      </c>
      <c r="E1771" s="2" t="s">
        <v>13</v>
      </c>
      <c r="F1771" s="2" t="s">
        <v>20</v>
      </c>
      <c r="G1771" s="2" t="s">
        <v>15</v>
      </c>
      <c r="H1771" s="2" t="s">
        <v>16</v>
      </c>
      <c r="I1771" s="2">
        <v>85000</v>
      </c>
      <c r="J1771" s="2">
        <v>6</v>
      </c>
      <c r="K1771" s="2" t="s">
        <v>24</v>
      </c>
      <c r="L1771" s="2">
        <f t="shared" si="6"/>
        <v>68000</v>
      </c>
    </row>
    <row r="1772" spans="1:12" ht="14.25" customHeight="1" x14ac:dyDescent="0.2">
      <c r="A1772" s="33">
        <v>47446</v>
      </c>
      <c r="B1772" s="33"/>
      <c r="C1772" s="2" t="s">
        <v>29</v>
      </c>
      <c r="D1772" s="2" t="s">
        <v>32</v>
      </c>
      <c r="E1772" s="2" t="s">
        <v>23</v>
      </c>
      <c r="F1772" s="2" t="s">
        <v>14</v>
      </c>
      <c r="G1772" s="2" t="s">
        <v>34</v>
      </c>
      <c r="H1772" s="2" t="s">
        <v>16</v>
      </c>
      <c r="I1772" s="2">
        <v>320000</v>
      </c>
      <c r="J1772" s="2">
        <v>3</v>
      </c>
      <c r="K1772" s="2" t="s">
        <v>35</v>
      </c>
      <c r="L1772" s="2">
        <f t="shared" si="6"/>
        <v>256000</v>
      </c>
    </row>
    <row r="1773" spans="1:12" ht="14.25" customHeight="1" x14ac:dyDescent="0.2">
      <c r="A1773" s="33">
        <v>47447</v>
      </c>
      <c r="B1773" s="33"/>
      <c r="C1773" s="2" t="s">
        <v>29</v>
      </c>
      <c r="D1773" s="2" t="s">
        <v>19</v>
      </c>
      <c r="E1773" s="2" t="s">
        <v>23</v>
      </c>
      <c r="F1773" s="2" t="s">
        <v>14</v>
      </c>
      <c r="G1773" s="2" t="s">
        <v>33</v>
      </c>
      <c r="H1773" s="2" t="s">
        <v>22</v>
      </c>
      <c r="I1773" s="2">
        <v>180000</v>
      </c>
      <c r="J1773" s="2">
        <v>8</v>
      </c>
      <c r="K1773" s="2" t="s">
        <v>28</v>
      </c>
      <c r="L1773" s="2">
        <f t="shared" si="6"/>
        <v>144000</v>
      </c>
    </row>
    <row r="1774" spans="1:12" ht="14.25" customHeight="1" x14ac:dyDescent="0.2">
      <c r="A1774" s="33">
        <v>47448</v>
      </c>
      <c r="B1774" s="33"/>
      <c r="C1774" s="2" t="s">
        <v>11</v>
      </c>
      <c r="D1774" s="2" t="s">
        <v>12</v>
      </c>
      <c r="E1774" s="2" t="s">
        <v>13</v>
      </c>
      <c r="F1774" s="2" t="s">
        <v>14</v>
      </c>
      <c r="G1774" s="2" t="s">
        <v>15</v>
      </c>
      <c r="H1774" s="2" t="s">
        <v>16</v>
      </c>
      <c r="I1774" s="2">
        <v>85000</v>
      </c>
      <c r="J1774" s="2">
        <v>6</v>
      </c>
      <c r="K1774" s="2" t="s">
        <v>35</v>
      </c>
      <c r="L1774" s="2">
        <f t="shared" si="6"/>
        <v>68000</v>
      </c>
    </row>
    <row r="1775" spans="1:12" ht="14.25" customHeight="1" x14ac:dyDescent="0.2">
      <c r="A1775" s="33">
        <v>47449</v>
      </c>
      <c r="B1775" s="33"/>
      <c r="C1775" s="2" t="s">
        <v>11</v>
      </c>
      <c r="D1775" s="2" t="s">
        <v>32</v>
      </c>
      <c r="E1775" s="2" t="s">
        <v>13</v>
      </c>
      <c r="F1775" s="2" t="s">
        <v>14</v>
      </c>
      <c r="G1775" s="2" t="s">
        <v>30</v>
      </c>
      <c r="H1775" s="2" t="s">
        <v>31</v>
      </c>
      <c r="I1775" s="2">
        <v>300000</v>
      </c>
      <c r="J1775" s="2">
        <v>3</v>
      </c>
      <c r="K1775" s="2" t="s">
        <v>17</v>
      </c>
      <c r="L1775" s="2">
        <f t="shared" si="6"/>
        <v>240000</v>
      </c>
    </row>
    <row r="1776" spans="1:12" ht="14.25" customHeight="1" x14ac:dyDescent="0.2">
      <c r="A1776" s="33">
        <v>47450</v>
      </c>
      <c r="B1776" s="33"/>
      <c r="C1776" s="2" t="s">
        <v>29</v>
      </c>
      <c r="D1776" s="2" t="s">
        <v>12</v>
      </c>
      <c r="E1776" s="2" t="s">
        <v>23</v>
      </c>
      <c r="F1776" s="2" t="s">
        <v>20</v>
      </c>
      <c r="G1776" s="2" t="s">
        <v>33</v>
      </c>
      <c r="H1776" s="2" t="s">
        <v>22</v>
      </c>
      <c r="I1776" s="2">
        <v>180000</v>
      </c>
      <c r="J1776" s="2">
        <v>1</v>
      </c>
      <c r="K1776" s="2" t="s">
        <v>28</v>
      </c>
      <c r="L1776" s="2">
        <f t="shared" si="6"/>
        <v>144000</v>
      </c>
    </row>
    <row r="1777" spans="1:12" ht="14.25" customHeight="1" x14ac:dyDescent="0.2">
      <c r="A1777" s="33">
        <v>47451</v>
      </c>
      <c r="B1777" s="33"/>
      <c r="C1777" s="2" t="s">
        <v>18</v>
      </c>
      <c r="D1777" s="2" t="s">
        <v>26</v>
      </c>
      <c r="E1777" s="2" t="s">
        <v>13</v>
      </c>
      <c r="F1777" s="2" t="s">
        <v>14</v>
      </c>
      <c r="G1777" s="2" t="s">
        <v>41</v>
      </c>
      <c r="H1777" s="2" t="s">
        <v>22</v>
      </c>
      <c r="I1777" s="2">
        <v>220000</v>
      </c>
      <c r="J1777" s="2">
        <v>1</v>
      </c>
      <c r="K1777" s="2" t="s">
        <v>37</v>
      </c>
      <c r="L1777" s="2">
        <f t="shared" si="6"/>
        <v>176000</v>
      </c>
    </row>
    <row r="1778" spans="1:12" ht="14.25" customHeight="1" x14ac:dyDescent="0.2">
      <c r="A1778" s="33">
        <v>47452</v>
      </c>
      <c r="B1778" s="33"/>
      <c r="C1778" s="2" t="s">
        <v>25</v>
      </c>
      <c r="D1778" s="2" t="s">
        <v>32</v>
      </c>
      <c r="E1778" s="2" t="s">
        <v>13</v>
      </c>
      <c r="F1778" s="2" t="s">
        <v>20</v>
      </c>
      <c r="G1778" s="2" t="s">
        <v>21</v>
      </c>
      <c r="H1778" s="2" t="s">
        <v>22</v>
      </c>
      <c r="I1778" s="2">
        <v>30000</v>
      </c>
      <c r="J1778" s="2">
        <v>1</v>
      </c>
      <c r="K1778" s="2" t="s">
        <v>37</v>
      </c>
      <c r="L1778" s="2">
        <f t="shared" si="6"/>
        <v>24000</v>
      </c>
    </row>
    <row r="1779" spans="1:12" ht="14.25" customHeight="1" x14ac:dyDescent="0.2">
      <c r="A1779" s="33">
        <v>47453</v>
      </c>
      <c r="B1779" s="33"/>
      <c r="C1779" s="2" t="s">
        <v>18</v>
      </c>
      <c r="D1779" s="2" t="s">
        <v>12</v>
      </c>
      <c r="E1779" s="2" t="s">
        <v>23</v>
      </c>
      <c r="F1779" s="2" t="s">
        <v>20</v>
      </c>
      <c r="G1779" s="2" t="s">
        <v>27</v>
      </c>
      <c r="H1779" s="2" t="s">
        <v>22</v>
      </c>
      <c r="I1779" s="2">
        <v>60000</v>
      </c>
      <c r="J1779" s="2">
        <v>2</v>
      </c>
      <c r="K1779" s="2" t="s">
        <v>39</v>
      </c>
      <c r="L1779" s="2">
        <f t="shared" si="6"/>
        <v>48000</v>
      </c>
    </row>
    <row r="1780" spans="1:12" ht="14.25" customHeight="1" x14ac:dyDescent="0.2">
      <c r="A1780" s="33">
        <v>47454</v>
      </c>
      <c r="B1780" s="33"/>
      <c r="C1780" s="2" t="s">
        <v>11</v>
      </c>
      <c r="D1780" s="2" t="s">
        <v>19</v>
      </c>
      <c r="E1780" s="2" t="s">
        <v>13</v>
      </c>
      <c r="F1780" s="2" t="s">
        <v>20</v>
      </c>
      <c r="G1780" s="2" t="s">
        <v>40</v>
      </c>
      <c r="H1780" s="2" t="s">
        <v>31</v>
      </c>
      <c r="I1780" s="2">
        <v>250000</v>
      </c>
      <c r="J1780" s="2">
        <v>7</v>
      </c>
      <c r="K1780" s="2" t="s">
        <v>37</v>
      </c>
      <c r="L1780" s="2">
        <f t="shared" si="6"/>
        <v>200000</v>
      </c>
    </row>
    <row r="1781" spans="1:12" ht="14.25" customHeight="1" x14ac:dyDescent="0.2">
      <c r="A1781" s="33">
        <v>47455</v>
      </c>
      <c r="B1781" s="33"/>
      <c r="C1781" s="2" t="s">
        <v>11</v>
      </c>
      <c r="D1781" s="2" t="s">
        <v>26</v>
      </c>
      <c r="E1781" s="2" t="s">
        <v>23</v>
      </c>
      <c r="F1781" s="2" t="s">
        <v>14</v>
      </c>
      <c r="G1781" s="2" t="s">
        <v>38</v>
      </c>
      <c r="H1781" s="2" t="s">
        <v>31</v>
      </c>
      <c r="I1781" s="2">
        <v>420000</v>
      </c>
      <c r="J1781" s="2">
        <v>10</v>
      </c>
      <c r="K1781" s="2" t="s">
        <v>28</v>
      </c>
      <c r="L1781" s="2">
        <f t="shared" si="6"/>
        <v>336000</v>
      </c>
    </row>
    <row r="1782" spans="1:12" ht="14.25" customHeight="1" x14ac:dyDescent="0.2">
      <c r="A1782" s="33">
        <v>47456</v>
      </c>
      <c r="B1782" s="33"/>
      <c r="C1782" s="2" t="s">
        <v>11</v>
      </c>
      <c r="D1782" s="2" t="s">
        <v>12</v>
      </c>
      <c r="E1782" s="2" t="s">
        <v>23</v>
      </c>
      <c r="F1782" s="2" t="s">
        <v>14</v>
      </c>
      <c r="G1782" s="2" t="s">
        <v>34</v>
      </c>
      <c r="H1782" s="2" t="s">
        <v>16</v>
      </c>
      <c r="I1782" s="2">
        <v>320000</v>
      </c>
      <c r="J1782" s="2">
        <v>10</v>
      </c>
      <c r="K1782" s="2" t="s">
        <v>35</v>
      </c>
      <c r="L1782" s="2">
        <f t="shared" si="6"/>
        <v>256000</v>
      </c>
    </row>
    <row r="1783" spans="1:12" ht="14.25" customHeight="1" x14ac:dyDescent="0.2">
      <c r="A1783" s="33">
        <v>47457</v>
      </c>
      <c r="B1783" s="33"/>
      <c r="C1783" s="2" t="s">
        <v>25</v>
      </c>
      <c r="D1783" s="2" t="s">
        <v>32</v>
      </c>
      <c r="E1783" s="2" t="s">
        <v>13</v>
      </c>
      <c r="F1783" s="2" t="s">
        <v>14</v>
      </c>
      <c r="G1783" s="2" t="s">
        <v>30</v>
      </c>
      <c r="H1783" s="2" t="s">
        <v>31</v>
      </c>
      <c r="I1783" s="2">
        <v>300000</v>
      </c>
      <c r="J1783" s="2">
        <v>1</v>
      </c>
      <c r="K1783" s="2" t="s">
        <v>28</v>
      </c>
      <c r="L1783" s="2">
        <f t="shared" si="6"/>
        <v>240000</v>
      </c>
    </row>
    <row r="1784" spans="1:12" ht="14.25" customHeight="1" x14ac:dyDescent="0.2">
      <c r="A1784" s="33">
        <v>47458</v>
      </c>
      <c r="B1784" s="33"/>
      <c r="C1784" s="2" t="s">
        <v>25</v>
      </c>
      <c r="D1784" s="2" t="s">
        <v>26</v>
      </c>
      <c r="E1784" s="2" t="s">
        <v>23</v>
      </c>
      <c r="F1784" s="2" t="s">
        <v>20</v>
      </c>
      <c r="G1784" s="2" t="s">
        <v>36</v>
      </c>
      <c r="H1784" s="2" t="s">
        <v>31</v>
      </c>
      <c r="I1784" s="2">
        <v>150000</v>
      </c>
      <c r="J1784" s="2">
        <v>3</v>
      </c>
      <c r="K1784" s="2" t="s">
        <v>24</v>
      </c>
      <c r="L1784" s="2">
        <f t="shared" si="6"/>
        <v>120000</v>
      </c>
    </row>
    <row r="1785" spans="1:12" ht="14.25" customHeight="1" x14ac:dyDescent="0.2">
      <c r="A1785" s="33">
        <v>47459</v>
      </c>
      <c r="B1785" s="33"/>
      <c r="C1785" s="2" t="s">
        <v>11</v>
      </c>
      <c r="D1785" s="2" t="s">
        <v>26</v>
      </c>
      <c r="E1785" s="2" t="s">
        <v>23</v>
      </c>
      <c r="F1785" s="2" t="s">
        <v>14</v>
      </c>
      <c r="G1785" s="2" t="s">
        <v>40</v>
      </c>
      <c r="H1785" s="2" t="s">
        <v>31</v>
      </c>
      <c r="I1785" s="2">
        <v>250000</v>
      </c>
      <c r="J1785" s="2">
        <v>3</v>
      </c>
      <c r="K1785" s="2" t="s">
        <v>37</v>
      </c>
      <c r="L1785" s="2">
        <f t="shared" si="6"/>
        <v>200000</v>
      </c>
    </row>
    <row r="1786" spans="1:12" ht="14.25" customHeight="1" x14ac:dyDescent="0.2">
      <c r="A1786" s="33">
        <v>47460</v>
      </c>
      <c r="B1786" s="33"/>
      <c r="C1786" s="2" t="s">
        <v>29</v>
      </c>
      <c r="D1786" s="2" t="s">
        <v>19</v>
      </c>
      <c r="E1786" s="2" t="s">
        <v>13</v>
      </c>
      <c r="F1786" s="2" t="s">
        <v>20</v>
      </c>
      <c r="G1786" s="2" t="s">
        <v>38</v>
      </c>
      <c r="H1786" s="2" t="s">
        <v>31</v>
      </c>
      <c r="I1786" s="2">
        <v>420000</v>
      </c>
      <c r="J1786" s="2">
        <v>4</v>
      </c>
      <c r="K1786" s="2" t="s">
        <v>24</v>
      </c>
      <c r="L1786" s="2">
        <f t="shared" si="6"/>
        <v>336000</v>
      </c>
    </row>
    <row r="1787" spans="1:12" ht="14.25" customHeight="1" x14ac:dyDescent="0.2">
      <c r="A1787" s="33">
        <v>47461</v>
      </c>
      <c r="B1787" s="33"/>
      <c r="C1787" s="2" t="s">
        <v>29</v>
      </c>
      <c r="D1787" s="2" t="s">
        <v>19</v>
      </c>
      <c r="E1787" s="2" t="s">
        <v>23</v>
      </c>
      <c r="F1787" s="2" t="s">
        <v>14</v>
      </c>
      <c r="G1787" s="2" t="s">
        <v>33</v>
      </c>
      <c r="H1787" s="2" t="s">
        <v>22</v>
      </c>
      <c r="I1787" s="2">
        <v>180000</v>
      </c>
      <c r="J1787" s="2">
        <v>1</v>
      </c>
      <c r="K1787" s="2" t="s">
        <v>17</v>
      </c>
      <c r="L1787" s="2">
        <f t="shared" ref="L1787:L2041" si="7">I1787-I1787*0.2</f>
        <v>144000</v>
      </c>
    </row>
    <row r="1788" spans="1:12" ht="14.25" customHeight="1" x14ac:dyDescent="0.2">
      <c r="A1788" s="33">
        <v>47462</v>
      </c>
      <c r="B1788" s="33"/>
      <c r="C1788" s="2" t="s">
        <v>29</v>
      </c>
      <c r="D1788" s="2" t="s">
        <v>12</v>
      </c>
      <c r="E1788" s="2" t="s">
        <v>23</v>
      </c>
      <c r="F1788" s="2" t="s">
        <v>20</v>
      </c>
      <c r="G1788" s="2" t="s">
        <v>36</v>
      </c>
      <c r="H1788" s="2" t="s">
        <v>31</v>
      </c>
      <c r="I1788" s="2">
        <v>150000</v>
      </c>
      <c r="J1788" s="2">
        <v>3</v>
      </c>
      <c r="K1788" s="2" t="s">
        <v>35</v>
      </c>
      <c r="L1788" s="2">
        <f t="shared" si="7"/>
        <v>120000</v>
      </c>
    </row>
    <row r="1789" spans="1:12" ht="14.25" customHeight="1" x14ac:dyDescent="0.2">
      <c r="A1789" s="33">
        <v>47463</v>
      </c>
      <c r="B1789" s="33"/>
      <c r="C1789" s="2" t="s">
        <v>25</v>
      </c>
      <c r="D1789" s="2" t="s">
        <v>32</v>
      </c>
      <c r="E1789" s="2" t="s">
        <v>23</v>
      </c>
      <c r="F1789" s="2" t="s">
        <v>14</v>
      </c>
      <c r="G1789" s="2" t="s">
        <v>41</v>
      </c>
      <c r="H1789" s="2" t="s">
        <v>22</v>
      </c>
      <c r="I1789" s="2">
        <v>220000</v>
      </c>
      <c r="J1789" s="2">
        <v>9</v>
      </c>
      <c r="K1789" s="2" t="s">
        <v>28</v>
      </c>
      <c r="L1789" s="2">
        <f t="shared" si="7"/>
        <v>176000</v>
      </c>
    </row>
    <row r="1790" spans="1:12" ht="14.25" customHeight="1" x14ac:dyDescent="0.2">
      <c r="A1790" s="33">
        <v>47464</v>
      </c>
      <c r="B1790" s="33"/>
      <c r="C1790" s="2" t="s">
        <v>29</v>
      </c>
      <c r="D1790" s="2" t="s">
        <v>26</v>
      </c>
      <c r="E1790" s="2" t="s">
        <v>23</v>
      </c>
      <c r="F1790" s="2" t="s">
        <v>14</v>
      </c>
      <c r="G1790" s="2" t="s">
        <v>38</v>
      </c>
      <c r="H1790" s="2" t="s">
        <v>31</v>
      </c>
      <c r="I1790" s="2">
        <v>420000</v>
      </c>
      <c r="J1790" s="2">
        <v>4</v>
      </c>
      <c r="K1790" s="2" t="s">
        <v>28</v>
      </c>
      <c r="L1790" s="2">
        <f t="shared" si="7"/>
        <v>336000</v>
      </c>
    </row>
    <row r="1791" spans="1:12" ht="14.25" customHeight="1" x14ac:dyDescent="0.2">
      <c r="A1791" s="33">
        <v>47465</v>
      </c>
      <c r="B1791" s="33"/>
      <c r="C1791" s="2" t="s">
        <v>29</v>
      </c>
      <c r="D1791" s="2" t="s">
        <v>26</v>
      </c>
      <c r="E1791" s="2" t="s">
        <v>23</v>
      </c>
      <c r="F1791" s="2" t="s">
        <v>20</v>
      </c>
      <c r="G1791" s="2" t="s">
        <v>30</v>
      </c>
      <c r="H1791" s="2" t="s">
        <v>31</v>
      </c>
      <c r="I1791" s="2">
        <v>300000</v>
      </c>
      <c r="J1791" s="2">
        <v>2</v>
      </c>
      <c r="K1791" s="2" t="s">
        <v>39</v>
      </c>
      <c r="L1791" s="2">
        <f t="shared" si="7"/>
        <v>240000</v>
      </c>
    </row>
    <row r="1792" spans="1:12" ht="14.25" customHeight="1" x14ac:dyDescent="0.2">
      <c r="A1792" s="33">
        <v>47466</v>
      </c>
      <c r="B1792" s="33"/>
      <c r="C1792" s="2" t="s">
        <v>18</v>
      </c>
      <c r="D1792" s="2" t="s">
        <v>19</v>
      </c>
      <c r="E1792" s="2" t="s">
        <v>23</v>
      </c>
      <c r="F1792" s="2" t="s">
        <v>20</v>
      </c>
      <c r="G1792" s="2" t="s">
        <v>15</v>
      </c>
      <c r="H1792" s="2" t="s">
        <v>16</v>
      </c>
      <c r="I1792" s="2">
        <v>85000</v>
      </c>
      <c r="J1792" s="2">
        <v>8</v>
      </c>
      <c r="K1792" s="2" t="s">
        <v>24</v>
      </c>
      <c r="L1792" s="2">
        <f t="shared" si="7"/>
        <v>68000</v>
      </c>
    </row>
    <row r="1793" spans="1:12" ht="14.25" customHeight="1" x14ac:dyDescent="0.2">
      <c r="A1793" s="33">
        <v>47467</v>
      </c>
      <c r="B1793" s="33"/>
      <c r="C1793" s="2" t="s">
        <v>25</v>
      </c>
      <c r="D1793" s="2" t="s">
        <v>32</v>
      </c>
      <c r="E1793" s="2" t="s">
        <v>13</v>
      </c>
      <c r="F1793" s="2" t="s">
        <v>20</v>
      </c>
      <c r="G1793" s="2" t="s">
        <v>41</v>
      </c>
      <c r="H1793" s="2" t="s">
        <v>22</v>
      </c>
      <c r="I1793" s="2">
        <v>220000</v>
      </c>
      <c r="J1793" s="2">
        <v>10</v>
      </c>
      <c r="K1793" s="2" t="s">
        <v>28</v>
      </c>
      <c r="L1793" s="2">
        <f t="shared" si="7"/>
        <v>176000</v>
      </c>
    </row>
    <row r="1794" spans="1:12" ht="14.25" customHeight="1" x14ac:dyDescent="0.2">
      <c r="A1794" s="33">
        <v>47468</v>
      </c>
      <c r="B1794" s="33"/>
      <c r="C1794" s="2" t="s">
        <v>11</v>
      </c>
      <c r="D1794" s="2" t="s">
        <v>12</v>
      </c>
      <c r="E1794" s="2" t="s">
        <v>13</v>
      </c>
      <c r="F1794" s="2" t="s">
        <v>20</v>
      </c>
      <c r="G1794" s="2" t="s">
        <v>41</v>
      </c>
      <c r="H1794" s="2" t="s">
        <v>22</v>
      </c>
      <c r="I1794" s="2">
        <v>220000</v>
      </c>
      <c r="J1794" s="2">
        <v>7</v>
      </c>
      <c r="K1794" s="2" t="s">
        <v>28</v>
      </c>
      <c r="L1794" s="2">
        <f t="shared" si="7"/>
        <v>176000</v>
      </c>
    </row>
    <row r="1795" spans="1:12" ht="14.25" customHeight="1" x14ac:dyDescent="0.2">
      <c r="A1795" s="33">
        <v>47469</v>
      </c>
      <c r="B1795" s="33"/>
      <c r="C1795" s="2" t="s">
        <v>18</v>
      </c>
      <c r="D1795" s="2" t="s">
        <v>26</v>
      </c>
      <c r="E1795" s="2" t="s">
        <v>13</v>
      </c>
      <c r="F1795" s="2" t="s">
        <v>20</v>
      </c>
      <c r="G1795" s="2" t="s">
        <v>34</v>
      </c>
      <c r="H1795" s="2" t="s">
        <v>16</v>
      </c>
      <c r="I1795" s="2">
        <v>320000</v>
      </c>
      <c r="J1795" s="2">
        <v>10</v>
      </c>
      <c r="K1795" s="2" t="s">
        <v>28</v>
      </c>
      <c r="L1795" s="2">
        <f t="shared" si="7"/>
        <v>256000</v>
      </c>
    </row>
    <row r="1796" spans="1:12" ht="14.25" customHeight="1" x14ac:dyDescent="0.2">
      <c r="A1796" s="33">
        <v>47470</v>
      </c>
      <c r="B1796" s="33"/>
      <c r="C1796" s="2" t="s">
        <v>11</v>
      </c>
      <c r="D1796" s="2" t="s">
        <v>19</v>
      </c>
      <c r="E1796" s="2" t="s">
        <v>23</v>
      </c>
      <c r="F1796" s="2" t="s">
        <v>14</v>
      </c>
      <c r="G1796" s="2" t="s">
        <v>33</v>
      </c>
      <c r="H1796" s="2" t="s">
        <v>22</v>
      </c>
      <c r="I1796" s="2">
        <v>180000</v>
      </c>
      <c r="J1796" s="2">
        <v>9</v>
      </c>
      <c r="K1796" s="2" t="s">
        <v>37</v>
      </c>
      <c r="L1796" s="2">
        <f t="shared" si="7"/>
        <v>144000</v>
      </c>
    </row>
    <row r="1797" spans="1:12" ht="14.25" customHeight="1" x14ac:dyDescent="0.2">
      <c r="A1797" s="33">
        <v>47471</v>
      </c>
      <c r="B1797" s="33"/>
      <c r="C1797" s="2" t="s">
        <v>29</v>
      </c>
      <c r="D1797" s="2" t="s">
        <v>26</v>
      </c>
      <c r="E1797" s="2" t="s">
        <v>23</v>
      </c>
      <c r="F1797" s="2" t="s">
        <v>14</v>
      </c>
      <c r="G1797" s="2" t="s">
        <v>27</v>
      </c>
      <c r="H1797" s="2" t="s">
        <v>22</v>
      </c>
      <c r="I1797" s="2">
        <v>60000</v>
      </c>
      <c r="J1797" s="2">
        <v>4</v>
      </c>
      <c r="K1797" s="2" t="s">
        <v>39</v>
      </c>
      <c r="L1797" s="2">
        <f t="shared" si="7"/>
        <v>48000</v>
      </c>
    </row>
    <row r="1798" spans="1:12" ht="14.25" customHeight="1" x14ac:dyDescent="0.2">
      <c r="A1798" s="33">
        <v>47472</v>
      </c>
      <c r="B1798" s="33"/>
      <c r="C1798" s="2" t="s">
        <v>25</v>
      </c>
      <c r="D1798" s="2" t="s">
        <v>26</v>
      </c>
      <c r="E1798" s="2" t="s">
        <v>23</v>
      </c>
      <c r="F1798" s="2" t="s">
        <v>20</v>
      </c>
      <c r="G1798" s="2" t="s">
        <v>40</v>
      </c>
      <c r="H1798" s="2" t="s">
        <v>31</v>
      </c>
      <c r="I1798" s="2">
        <v>250000</v>
      </c>
      <c r="J1798" s="2">
        <v>10</v>
      </c>
      <c r="K1798" s="2" t="s">
        <v>39</v>
      </c>
      <c r="L1798" s="2">
        <f t="shared" si="7"/>
        <v>200000</v>
      </c>
    </row>
    <row r="1799" spans="1:12" ht="14.25" customHeight="1" x14ac:dyDescent="0.2">
      <c r="A1799" s="33">
        <v>47473</v>
      </c>
      <c r="B1799" s="33"/>
      <c r="C1799" s="2" t="s">
        <v>29</v>
      </c>
      <c r="D1799" s="2" t="s">
        <v>26</v>
      </c>
      <c r="E1799" s="2" t="s">
        <v>23</v>
      </c>
      <c r="F1799" s="2" t="s">
        <v>14</v>
      </c>
      <c r="G1799" s="2" t="s">
        <v>34</v>
      </c>
      <c r="H1799" s="2" t="s">
        <v>16</v>
      </c>
      <c r="I1799" s="2">
        <v>320000</v>
      </c>
      <c r="J1799" s="2">
        <v>2</v>
      </c>
      <c r="K1799" s="2" t="s">
        <v>28</v>
      </c>
      <c r="L1799" s="2">
        <f t="shared" si="7"/>
        <v>256000</v>
      </c>
    </row>
    <row r="1800" spans="1:12" ht="14.25" customHeight="1" x14ac:dyDescent="0.2">
      <c r="A1800" s="33">
        <v>47474</v>
      </c>
      <c r="B1800" s="33"/>
      <c r="C1800" s="2" t="s">
        <v>25</v>
      </c>
      <c r="D1800" s="2" t="s">
        <v>32</v>
      </c>
      <c r="E1800" s="2" t="s">
        <v>23</v>
      </c>
      <c r="F1800" s="2" t="s">
        <v>20</v>
      </c>
      <c r="G1800" s="2" t="s">
        <v>38</v>
      </c>
      <c r="H1800" s="2" t="s">
        <v>31</v>
      </c>
      <c r="I1800" s="2">
        <v>420000</v>
      </c>
      <c r="J1800" s="2">
        <v>7</v>
      </c>
      <c r="K1800" s="2" t="s">
        <v>35</v>
      </c>
      <c r="L1800" s="2">
        <f t="shared" si="7"/>
        <v>336000</v>
      </c>
    </row>
    <row r="1801" spans="1:12" ht="14.25" customHeight="1" x14ac:dyDescent="0.2">
      <c r="A1801" s="33">
        <v>47475</v>
      </c>
      <c r="B1801" s="33"/>
      <c r="C1801" s="2" t="s">
        <v>29</v>
      </c>
      <c r="D1801" s="2" t="s">
        <v>26</v>
      </c>
      <c r="E1801" s="2" t="s">
        <v>23</v>
      </c>
      <c r="F1801" s="2" t="s">
        <v>20</v>
      </c>
      <c r="G1801" s="2" t="s">
        <v>30</v>
      </c>
      <c r="H1801" s="2" t="s">
        <v>31</v>
      </c>
      <c r="I1801" s="2">
        <v>300000</v>
      </c>
      <c r="J1801" s="2">
        <v>5</v>
      </c>
      <c r="K1801" s="2" t="s">
        <v>35</v>
      </c>
      <c r="L1801" s="2">
        <f t="shared" si="7"/>
        <v>240000</v>
      </c>
    </row>
    <row r="1802" spans="1:12" ht="14.25" customHeight="1" x14ac:dyDescent="0.2">
      <c r="A1802" s="33">
        <v>47476</v>
      </c>
      <c r="B1802" s="33"/>
      <c r="C1802" s="2" t="s">
        <v>25</v>
      </c>
      <c r="D1802" s="2" t="s">
        <v>12</v>
      </c>
      <c r="E1802" s="2" t="s">
        <v>23</v>
      </c>
      <c r="F1802" s="2" t="s">
        <v>20</v>
      </c>
      <c r="G1802" s="2" t="s">
        <v>27</v>
      </c>
      <c r="H1802" s="2" t="s">
        <v>22</v>
      </c>
      <c r="I1802" s="2">
        <v>60000</v>
      </c>
      <c r="J1802" s="2">
        <v>5</v>
      </c>
      <c r="K1802" s="2" t="s">
        <v>37</v>
      </c>
      <c r="L1802" s="2">
        <f t="shared" si="7"/>
        <v>48000</v>
      </c>
    </row>
    <row r="1803" spans="1:12" ht="14.25" customHeight="1" x14ac:dyDescent="0.2">
      <c r="A1803" s="33">
        <v>47477</v>
      </c>
      <c r="B1803" s="33"/>
      <c r="C1803" s="2" t="s">
        <v>18</v>
      </c>
      <c r="D1803" s="2" t="s">
        <v>12</v>
      </c>
      <c r="E1803" s="2" t="s">
        <v>13</v>
      </c>
      <c r="F1803" s="2" t="s">
        <v>20</v>
      </c>
      <c r="G1803" s="2" t="s">
        <v>38</v>
      </c>
      <c r="H1803" s="2" t="s">
        <v>31</v>
      </c>
      <c r="I1803" s="2">
        <v>420000</v>
      </c>
      <c r="J1803" s="2">
        <v>9</v>
      </c>
      <c r="K1803" s="2" t="s">
        <v>28</v>
      </c>
      <c r="L1803" s="2">
        <f t="shared" si="7"/>
        <v>336000</v>
      </c>
    </row>
    <row r="1804" spans="1:12" ht="14.25" customHeight="1" x14ac:dyDescent="0.2">
      <c r="A1804" s="33">
        <v>47478</v>
      </c>
      <c r="B1804" s="33"/>
      <c r="C1804" s="2" t="s">
        <v>25</v>
      </c>
      <c r="D1804" s="2" t="s">
        <v>12</v>
      </c>
      <c r="E1804" s="2" t="s">
        <v>13</v>
      </c>
      <c r="F1804" s="2" t="s">
        <v>20</v>
      </c>
      <c r="G1804" s="2" t="s">
        <v>40</v>
      </c>
      <c r="H1804" s="2" t="s">
        <v>31</v>
      </c>
      <c r="I1804" s="2">
        <v>250000</v>
      </c>
      <c r="J1804" s="2">
        <v>9</v>
      </c>
      <c r="K1804" s="2" t="s">
        <v>39</v>
      </c>
      <c r="L1804" s="2">
        <f t="shared" si="7"/>
        <v>200000</v>
      </c>
    </row>
    <row r="1805" spans="1:12" ht="14.25" customHeight="1" x14ac:dyDescent="0.2">
      <c r="A1805" s="33">
        <v>47479</v>
      </c>
      <c r="B1805" s="33"/>
      <c r="C1805" s="2" t="s">
        <v>11</v>
      </c>
      <c r="D1805" s="2" t="s">
        <v>32</v>
      </c>
      <c r="E1805" s="2" t="s">
        <v>13</v>
      </c>
      <c r="F1805" s="2" t="s">
        <v>20</v>
      </c>
      <c r="G1805" s="2" t="s">
        <v>41</v>
      </c>
      <c r="H1805" s="2" t="s">
        <v>22</v>
      </c>
      <c r="I1805" s="2">
        <v>220000</v>
      </c>
      <c r="J1805" s="2">
        <v>1</v>
      </c>
      <c r="K1805" s="2" t="s">
        <v>39</v>
      </c>
      <c r="L1805" s="2">
        <f t="shared" si="7"/>
        <v>176000</v>
      </c>
    </row>
    <row r="1806" spans="1:12" ht="14.25" customHeight="1" x14ac:dyDescent="0.2">
      <c r="A1806" s="33">
        <v>47480</v>
      </c>
      <c r="B1806" s="33"/>
      <c r="C1806" s="2" t="s">
        <v>11</v>
      </c>
      <c r="D1806" s="2" t="s">
        <v>19</v>
      </c>
      <c r="E1806" s="2" t="s">
        <v>13</v>
      </c>
      <c r="F1806" s="2" t="s">
        <v>20</v>
      </c>
      <c r="G1806" s="2" t="s">
        <v>41</v>
      </c>
      <c r="H1806" s="2" t="s">
        <v>22</v>
      </c>
      <c r="I1806" s="2">
        <v>220000</v>
      </c>
      <c r="J1806" s="2">
        <v>3</v>
      </c>
      <c r="K1806" s="2" t="s">
        <v>39</v>
      </c>
      <c r="L1806" s="2">
        <f t="shared" si="7"/>
        <v>176000</v>
      </c>
    </row>
    <row r="1807" spans="1:12" ht="14.25" customHeight="1" x14ac:dyDescent="0.2">
      <c r="A1807" s="33">
        <v>47481</v>
      </c>
      <c r="B1807" s="33"/>
      <c r="C1807" s="2" t="s">
        <v>11</v>
      </c>
      <c r="D1807" s="2" t="s">
        <v>19</v>
      </c>
      <c r="E1807" s="2" t="s">
        <v>23</v>
      </c>
      <c r="F1807" s="2" t="s">
        <v>20</v>
      </c>
      <c r="G1807" s="2" t="s">
        <v>40</v>
      </c>
      <c r="H1807" s="2" t="s">
        <v>31</v>
      </c>
      <c r="I1807" s="2">
        <v>250000</v>
      </c>
      <c r="J1807" s="2">
        <v>8</v>
      </c>
      <c r="K1807" s="2" t="s">
        <v>28</v>
      </c>
      <c r="L1807" s="2">
        <f t="shared" si="7"/>
        <v>200000</v>
      </c>
    </row>
    <row r="1808" spans="1:12" ht="14.25" customHeight="1" x14ac:dyDescent="0.2">
      <c r="A1808" s="33">
        <v>47482</v>
      </c>
      <c r="B1808" s="33"/>
      <c r="C1808" s="2" t="s">
        <v>11</v>
      </c>
      <c r="D1808" s="2" t="s">
        <v>26</v>
      </c>
      <c r="E1808" s="2" t="s">
        <v>13</v>
      </c>
      <c r="F1808" s="2" t="s">
        <v>20</v>
      </c>
      <c r="G1808" s="2" t="s">
        <v>21</v>
      </c>
      <c r="H1808" s="2" t="s">
        <v>22</v>
      </c>
      <c r="I1808" s="2">
        <v>30000</v>
      </c>
      <c r="J1808" s="2">
        <v>1</v>
      </c>
      <c r="K1808" s="2" t="s">
        <v>35</v>
      </c>
      <c r="L1808" s="2">
        <f t="shared" si="7"/>
        <v>24000</v>
      </c>
    </row>
    <row r="1809" spans="1:12" ht="14.25" customHeight="1" x14ac:dyDescent="0.2">
      <c r="A1809" s="33">
        <v>47483</v>
      </c>
      <c r="B1809" s="33"/>
      <c r="C1809" s="2" t="s">
        <v>11</v>
      </c>
      <c r="D1809" s="2" t="s">
        <v>32</v>
      </c>
      <c r="E1809" s="2" t="s">
        <v>23</v>
      </c>
      <c r="F1809" s="2" t="s">
        <v>20</v>
      </c>
      <c r="G1809" s="2" t="s">
        <v>21</v>
      </c>
      <c r="H1809" s="2" t="s">
        <v>22</v>
      </c>
      <c r="I1809" s="2">
        <v>30000</v>
      </c>
      <c r="J1809" s="2">
        <v>1</v>
      </c>
      <c r="K1809" s="2" t="s">
        <v>37</v>
      </c>
      <c r="L1809" s="2">
        <f t="shared" si="7"/>
        <v>24000</v>
      </c>
    </row>
    <row r="1810" spans="1:12" ht="14.25" customHeight="1" x14ac:dyDescent="0.2">
      <c r="A1810" s="33">
        <v>47484</v>
      </c>
      <c r="B1810" s="33"/>
      <c r="C1810" s="2" t="s">
        <v>29</v>
      </c>
      <c r="D1810" s="2" t="s">
        <v>26</v>
      </c>
      <c r="E1810" s="2" t="s">
        <v>13</v>
      </c>
      <c r="F1810" s="2" t="s">
        <v>20</v>
      </c>
      <c r="G1810" s="2" t="s">
        <v>21</v>
      </c>
      <c r="H1810" s="2" t="s">
        <v>22</v>
      </c>
      <c r="I1810" s="2">
        <v>30000</v>
      </c>
      <c r="J1810" s="2">
        <v>8</v>
      </c>
      <c r="K1810" s="2" t="s">
        <v>17</v>
      </c>
      <c r="L1810" s="2">
        <f t="shared" si="7"/>
        <v>24000</v>
      </c>
    </row>
    <row r="1811" spans="1:12" ht="14.25" customHeight="1" x14ac:dyDescent="0.2">
      <c r="A1811" s="33">
        <v>47485</v>
      </c>
      <c r="B1811" s="33"/>
      <c r="C1811" s="2" t="s">
        <v>11</v>
      </c>
      <c r="D1811" s="2" t="s">
        <v>12</v>
      </c>
      <c r="E1811" s="2" t="s">
        <v>13</v>
      </c>
      <c r="F1811" s="2" t="s">
        <v>20</v>
      </c>
      <c r="G1811" s="2" t="s">
        <v>27</v>
      </c>
      <c r="H1811" s="2" t="s">
        <v>22</v>
      </c>
      <c r="I1811" s="2">
        <v>60000</v>
      </c>
      <c r="J1811" s="2">
        <v>6</v>
      </c>
      <c r="K1811" s="2" t="s">
        <v>35</v>
      </c>
      <c r="L1811" s="2">
        <f t="shared" si="7"/>
        <v>48000</v>
      </c>
    </row>
    <row r="1812" spans="1:12" ht="14.25" customHeight="1" x14ac:dyDescent="0.2">
      <c r="A1812" s="33">
        <v>47486</v>
      </c>
      <c r="B1812" s="33"/>
      <c r="C1812" s="2" t="s">
        <v>11</v>
      </c>
      <c r="D1812" s="2" t="s">
        <v>12</v>
      </c>
      <c r="E1812" s="2" t="s">
        <v>23</v>
      </c>
      <c r="F1812" s="2" t="s">
        <v>20</v>
      </c>
      <c r="G1812" s="2" t="s">
        <v>40</v>
      </c>
      <c r="H1812" s="2" t="s">
        <v>31</v>
      </c>
      <c r="I1812" s="2">
        <v>250000</v>
      </c>
      <c r="J1812" s="2">
        <v>5</v>
      </c>
      <c r="K1812" s="2" t="s">
        <v>24</v>
      </c>
      <c r="L1812" s="2">
        <f t="shared" si="7"/>
        <v>200000</v>
      </c>
    </row>
    <row r="1813" spans="1:12" ht="14.25" customHeight="1" x14ac:dyDescent="0.2">
      <c r="A1813" s="33">
        <v>47487</v>
      </c>
      <c r="B1813" s="33"/>
      <c r="C1813" s="2" t="s">
        <v>25</v>
      </c>
      <c r="D1813" s="2" t="s">
        <v>32</v>
      </c>
      <c r="E1813" s="2" t="s">
        <v>13</v>
      </c>
      <c r="F1813" s="2" t="s">
        <v>20</v>
      </c>
      <c r="G1813" s="2" t="s">
        <v>21</v>
      </c>
      <c r="H1813" s="2" t="s">
        <v>22</v>
      </c>
      <c r="I1813" s="2">
        <v>30000</v>
      </c>
      <c r="J1813" s="2">
        <v>1</v>
      </c>
      <c r="K1813" s="2" t="s">
        <v>37</v>
      </c>
      <c r="L1813" s="2">
        <f t="shared" si="7"/>
        <v>24000</v>
      </c>
    </row>
    <row r="1814" spans="1:12" ht="14.25" customHeight="1" x14ac:dyDescent="0.2">
      <c r="A1814" s="33">
        <v>47488</v>
      </c>
      <c r="B1814" s="33"/>
      <c r="C1814" s="2" t="s">
        <v>25</v>
      </c>
      <c r="D1814" s="2" t="s">
        <v>26</v>
      </c>
      <c r="E1814" s="2" t="s">
        <v>23</v>
      </c>
      <c r="F1814" s="2" t="s">
        <v>20</v>
      </c>
      <c r="G1814" s="2" t="s">
        <v>36</v>
      </c>
      <c r="H1814" s="2" t="s">
        <v>31</v>
      </c>
      <c r="I1814" s="2">
        <v>150000</v>
      </c>
      <c r="J1814" s="2">
        <v>9</v>
      </c>
      <c r="K1814" s="2" t="s">
        <v>37</v>
      </c>
      <c r="L1814" s="2">
        <f t="shared" si="7"/>
        <v>120000</v>
      </c>
    </row>
    <row r="1815" spans="1:12" ht="14.25" customHeight="1" x14ac:dyDescent="0.2">
      <c r="A1815" s="33">
        <v>47489</v>
      </c>
      <c r="B1815" s="33"/>
      <c r="C1815" s="2" t="s">
        <v>18</v>
      </c>
      <c r="D1815" s="2" t="s">
        <v>32</v>
      </c>
      <c r="E1815" s="2" t="s">
        <v>13</v>
      </c>
      <c r="F1815" s="2" t="s">
        <v>20</v>
      </c>
      <c r="G1815" s="2" t="s">
        <v>33</v>
      </c>
      <c r="H1815" s="2" t="s">
        <v>22</v>
      </c>
      <c r="I1815" s="2">
        <v>180000</v>
      </c>
      <c r="J1815" s="2">
        <v>2</v>
      </c>
      <c r="K1815" s="2" t="s">
        <v>37</v>
      </c>
      <c r="L1815" s="2">
        <f t="shared" si="7"/>
        <v>144000</v>
      </c>
    </row>
    <row r="1816" spans="1:12" ht="14.25" customHeight="1" x14ac:dyDescent="0.2">
      <c r="A1816" s="33">
        <v>47490</v>
      </c>
      <c r="B1816" s="33"/>
      <c r="C1816" s="2" t="s">
        <v>18</v>
      </c>
      <c r="D1816" s="2" t="s">
        <v>32</v>
      </c>
      <c r="E1816" s="2" t="s">
        <v>13</v>
      </c>
      <c r="F1816" s="2" t="s">
        <v>20</v>
      </c>
      <c r="G1816" s="2" t="s">
        <v>38</v>
      </c>
      <c r="H1816" s="2" t="s">
        <v>31</v>
      </c>
      <c r="I1816" s="2">
        <v>420000</v>
      </c>
      <c r="J1816" s="2">
        <v>10</v>
      </c>
      <c r="K1816" s="2" t="s">
        <v>28</v>
      </c>
      <c r="L1816" s="2">
        <f t="shared" si="7"/>
        <v>336000</v>
      </c>
    </row>
    <row r="1817" spans="1:12" ht="14.25" customHeight="1" x14ac:dyDescent="0.2">
      <c r="A1817" s="33">
        <v>47491</v>
      </c>
      <c r="B1817" s="33"/>
      <c r="C1817" s="2" t="s">
        <v>11</v>
      </c>
      <c r="D1817" s="2" t="s">
        <v>26</v>
      </c>
      <c r="E1817" s="2" t="s">
        <v>23</v>
      </c>
      <c r="F1817" s="2" t="s">
        <v>20</v>
      </c>
      <c r="G1817" s="2" t="s">
        <v>30</v>
      </c>
      <c r="H1817" s="2" t="s">
        <v>31</v>
      </c>
      <c r="I1817" s="2">
        <v>300000</v>
      </c>
      <c r="J1817" s="2">
        <v>4</v>
      </c>
      <c r="K1817" s="2" t="s">
        <v>39</v>
      </c>
      <c r="L1817" s="2">
        <f t="shared" si="7"/>
        <v>240000</v>
      </c>
    </row>
    <row r="1818" spans="1:12" ht="14.25" customHeight="1" x14ac:dyDescent="0.2">
      <c r="A1818" s="33">
        <v>47492</v>
      </c>
      <c r="B1818" s="33"/>
      <c r="C1818" s="2" t="s">
        <v>11</v>
      </c>
      <c r="D1818" s="2" t="s">
        <v>12</v>
      </c>
      <c r="E1818" s="2" t="s">
        <v>13</v>
      </c>
      <c r="F1818" s="2" t="s">
        <v>20</v>
      </c>
      <c r="G1818" s="2" t="s">
        <v>33</v>
      </c>
      <c r="H1818" s="2" t="s">
        <v>22</v>
      </c>
      <c r="I1818" s="2">
        <v>180000</v>
      </c>
      <c r="J1818" s="2">
        <v>8</v>
      </c>
      <c r="K1818" s="2" t="s">
        <v>37</v>
      </c>
      <c r="L1818" s="2">
        <f t="shared" si="7"/>
        <v>144000</v>
      </c>
    </row>
    <row r="1819" spans="1:12" ht="14.25" customHeight="1" x14ac:dyDescent="0.2">
      <c r="A1819" s="33">
        <v>47493</v>
      </c>
      <c r="B1819" s="33"/>
      <c r="C1819" s="2" t="s">
        <v>18</v>
      </c>
      <c r="D1819" s="2" t="s">
        <v>32</v>
      </c>
      <c r="E1819" s="2" t="s">
        <v>13</v>
      </c>
      <c r="F1819" s="2" t="s">
        <v>20</v>
      </c>
      <c r="G1819" s="2" t="s">
        <v>38</v>
      </c>
      <c r="H1819" s="2" t="s">
        <v>31</v>
      </c>
      <c r="I1819" s="2">
        <v>420000</v>
      </c>
      <c r="J1819" s="2">
        <v>5</v>
      </c>
      <c r="K1819" s="2" t="s">
        <v>37</v>
      </c>
      <c r="L1819" s="2">
        <f t="shared" si="7"/>
        <v>336000</v>
      </c>
    </row>
    <row r="1820" spans="1:12" ht="14.25" customHeight="1" x14ac:dyDescent="0.2">
      <c r="A1820" s="33">
        <v>47494</v>
      </c>
      <c r="B1820" s="33"/>
      <c r="C1820" s="2" t="s">
        <v>25</v>
      </c>
      <c r="D1820" s="2" t="s">
        <v>19</v>
      </c>
      <c r="E1820" s="2" t="s">
        <v>23</v>
      </c>
      <c r="F1820" s="2" t="s">
        <v>20</v>
      </c>
      <c r="G1820" s="2" t="s">
        <v>33</v>
      </c>
      <c r="H1820" s="2" t="s">
        <v>22</v>
      </c>
      <c r="I1820" s="2">
        <v>180000</v>
      </c>
      <c r="J1820" s="2">
        <v>5</v>
      </c>
      <c r="K1820" s="2" t="s">
        <v>17</v>
      </c>
      <c r="L1820" s="2">
        <f t="shared" si="7"/>
        <v>144000</v>
      </c>
    </row>
    <row r="1821" spans="1:12" ht="14.25" customHeight="1" x14ac:dyDescent="0.2">
      <c r="A1821" s="33">
        <v>47495</v>
      </c>
      <c r="B1821" s="33"/>
      <c r="C1821" s="2" t="s">
        <v>11</v>
      </c>
      <c r="D1821" s="2" t="s">
        <v>12</v>
      </c>
      <c r="E1821" s="2" t="s">
        <v>23</v>
      </c>
      <c r="F1821" s="2" t="s">
        <v>20</v>
      </c>
      <c r="G1821" s="2" t="s">
        <v>30</v>
      </c>
      <c r="H1821" s="2" t="s">
        <v>31</v>
      </c>
      <c r="I1821" s="2">
        <v>300000</v>
      </c>
      <c r="J1821" s="2">
        <v>1</v>
      </c>
      <c r="K1821" s="2" t="s">
        <v>37</v>
      </c>
      <c r="L1821" s="2">
        <f t="shared" si="7"/>
        <v>240000</v>
      </c>
    </row>
    <row r="1822" spans="1:12" ht="14.25" customHeight="1" x14ac:dyDescent="0.2">
      <c r="A1822" s="33">
        <v>47496</v>
      </c>
      <c r="B1822" s="33"/>
      <c r="C1822" s="2" t="s">
        <v>25</v>
      </c>
      <c r="D1822" s="2" t="s">
        <v>12</v>
      </c>
      <c r="E1822" s="2" t="s">
        <v>13</v>
      </c>
      <c r="F1822" s="2" t="s">
        <v>20</v>
      </c>
      <c r="G1822" s="2" t="s">
        <v>33</v>
      </c>
      <c r="H1822" s="2" t="s">
        <v>22</v>
      </c>
      <c r="I1822" s="2">
        <v>180000</v>
      </c>
      <c r="J1822" s="2">
        <v>7</v>
      </c>
      <c r="K1822" s="2" t="s">
        <v>37</v>
      </c>
      <c r="L1822" s="2">
        <f t="shared" si="7"/>
        <v>144000</v>
      </c>
    </row>
    <row r="1823" spans="1:12" ht="14.25" customHeight="1" x14ac:dyDescent="0.2">
      <c r="A1823" s="33">
        <v>47497</v>
      </c>
      <c r="B1823" s="33"/>
      <c r="C1823" s="2" t="s">
        <v>18</v>
      </c>
      <c r="D1823" s="2" t="s">
        <v>26</v>
      </c>
      <c r="E1823" s="2" t="s">
        <v>23</v>
      </c>
      <c r="F1823" s="2" t="s">
        <v>20</v>
      </c>
      <c r="G1823" s="2" t="s">
        <v>21</v>
      </c>
      <c r="H1823" s="2" t="s">
        <v>22</v>
      </c>
      <c r="I1823" s="2">
        <v>30000</v>
      </c>
      <c r="J1823" s="2">
        <v>8</v>
      </c>
      <c r="K1823" s="2" t="s">
        <v>37</v>
      </c>
      <c r="L1823" s="2">
        <f t="shared" si="7"/>
        <v>24000</v>
      </c>
    </row>
    <row r="1824" spans="1:12" ht="14.25" customHeight="1" x14ac:dyDescent="0.2">
      <c r="A1824" s="33">
        <v>47498</v>
      </c>
      <c r="B1824" s="33"/>
      <c r="C1824" s="2" t="s">
        <v>29</v>
      </c>
      <c r="D1824" s="2" t="s">
        <v>12</v>
      </c>
      <c r="E1824" s="2" t="s">
        <v>13</v>
      </c>
      <c r="F1824" s="2" t="s">
        <v>20</v>
      </c>
      <c r="G1824" s="2" t="s">
        <v>15</v>
      </c>
      <c r="H1824" s="2" t="s">
        <v>16</v>
      </c>
      <c r="I1824" s="2">
        <v>85000</v>
      </c>
      <c r="J1824" s="2">
        <v>10</v>
      </c>
      <c r="K1824" s="2" t="s">
        <v>28</v>
      </c>
      <c r="L1824" s="2">
        <f t="shared" si="7"/>
        <v>68000</v>
      </c>
    </row>
    <row r="1825" spans="1:12" ht="14.25" customHeight="1" x14ac:dyDescent="0.2">
      <c r="A1825" s="33">
        <v>47499</v>
      </c>
      <c r="B1825" s="33"/>
      <c r="C1825" s="2" t="s">
        <v>18</v>
      </c>
      <c r="D1825" s="2" t="s">
        <v>26</v>
      </c>
      <c r="E1825" s="2" t="s">
        <v>13</v>
      </c>
      <c r="F1825" s="2" t="s">
        <v>20</v>
      </c>
      <c r="G1825" s="2" t="s">
        <v>15</v>
      </c>
      <c r="H1825" s="2" t="s">
        <v>16</v>
      </c>
      <c r="I1825" s="2">
        <v>85000</v>
      </c>
      <c r="J1825" s="2">
        <v>1</v>
      </c>
      <c r="K1825" s="2" t="s">
        <v>17</v>
      </c>
      <c r="L1825" s="2">
        <f t="shared" si="7"/>
        <v>68000</v>
      </c>
    </row>
    <row r="1826" spans="1:12" ht="14.25" customHeight="1" x14ac:dyDescent="0.2">
      <c r="A1826" s="33">
        <v>47500</v>
      </c>
      <c r="B1826" s="33"/>
      <c r="C1826" s="2" t="s">
        <v>29</v>
      </c>
      <c r="D1826" s="2" t="s">
        <v>19</v>
      </c>
      <c r="E1826" s="2" t="s">
        <v>23</v>
      </c>
      <c r="F1826" s="2" t="s">
        <v>20</v>
      </c>
      <c r="G1826" s="2" t="s">
        <v>36</v>
      </c>
      <c r="H1826" s="2" t="s">
        <v>31</v>
      </c>
      <c r="I1826" s="2">
        <v>150000</v>
      </c>
      <c r="J1826" s="2">
        <v>8</v>
      </c>
      <c r="K1826" s="2" t="s">
        <v>37</v>
      </c>
      <c r="L1826" s="2">
        <f t="shared" si="7"/>
        <v>120000</v>
      </c>
    </row>
    <row r="1827" spans="1:12" ht="14.25" customHeight="1" x14ac:dyDescent="0.2">
      <c r="A1827" s="33">
        <v>47501</v>
      </c>
      <c r="B1827" s="33"/>
      <c r="C1827" s="2" t="s">
        <v>11</v>
      </c>
      <c r="D1827" s="2" t="s">
        <v>19</v>
      </c>
      <c r="E1827" s="2" t="s">
        <v>23</v>
      </c>
      <c r="F1827" s="2" t="s">
        <v>20</v>
      </c>
      <c r="G1827" s="2" t="s">
        <v>38</v>
      </c>
      <c r="H1827" s="2" t="s">
        <v>31</v>
      </c>
      <c r="I1827" s="2">
        <v>420000</v>
      </c>
      <c r="J1827" s="2">
        <v>6</v>
      </c>
      <c r="K1827" s="2" t="s">
        <v>35</v>
      </c>
      <c r="L1827" s="2">
        <f t="shared" si="7"/>
        <v>336000</v>
      </c>
    </row>
    <row r="1828" spans="1:12" ht="14.25" customHeight="1" x14ac:dyDescent="0.2">
      <c r="A1828" s="33">
        <v>47502</v>
      </c>
      <c r="B1828" s="33"/>
      <c r="C1828" s="2" t="s">
        <v>25</v>
      </c>
      <c r="D1828" s="2" t="s">
        <v>32</v>
      </c>
      <c r="E1828" s="2" t="s">
        <v>13</v>
      </c>
      <c r="F1828" s="2" t="s">
        <v>20</v>
      </c>
      <c r="G1828" s="2" t="s">
        <v>27</v>
      </c>
      <c r="H1828" s="2" t="s">
        <v>22</v>
      </c>
      <c r="I1828" s="2">
        <v>60000</v>
      </c>
      <c r="J1828" s="2">
        <v>8</v>
      </c>
      <c r="K1828" s="2" t="s">
        <v>35</v>
      </c>
      <c r="L1828" s="2">
        <f t="shared" si="7"/>
        <v>48000</v>
      </c>
    </row>
    <row r="1829" spans="1:12" ht="14.25" customHeight="1" x14ac:dyDescent="0.2">
      <c r="A1829" s="33">
        <v>47503</v>
      </c>
      <c r="B1829" s="33"/>
      <c r="C1829" s="2" t="s">
        <v>25</v>
      </c>
      <c r="D1829" s="2" t="s">
        <v>12</v>
      </c>
      <c r="E1829" s="2" t="s">
        <v>13</v>
      </c>
      <c r="F1829" s="2" t="s">
        <v>20</v>
      </c>
      <c r="G1829" s="2" t="s">
        <v>30</v>
      </c>
      <c r="H1829" s="2" t="s">
        <v>31</v>
      </c>
      <c r="I1829" s="2">
        <v>300000</v>
      </c>
      <c r="J1829" s="2">
        <v>7</v>
      </c>
      <c r="K1829" s="2" t="s">
        <v>28</v>
      </c>
      <c r="L1829" s="2">
        <f t="shared" si="7"/>
        <v>240000</v>
      </c>
    </row>
    <row r="1830" spans="1:12" ht="14.25" customHeight="1" x14ac:dyDescent="0.2">
      <c r="A1830" s="33">
        <v>47504</v>
      </c>
      <c r="B1830" s="33"/>
      <c r="C1830" s="2" t="s">
        <v>18</v>
      </c>
      <c r="D1830" s="2" t="s">
        <v>19</v>
      </c>
      <c r="E1830" s="2" t="s">
        <v>23</v>
      </c>
      <c r="F1830" s="2" t="s">
        <v>20</v>
      </c>
      <c r="G1830" s="2" t="s">
        <v>36</v>
      </c>
      <c r="H1830" s="2" t="s">
        <v>31</v>
      </c>
      <c r="I1830" s="2">
        <v>150000</v>
      </c>
      <c r="J1830" s="2">
        <v>8</v>
      </c>
      <c r="K1830" s="2" t="s">
        <v>37</v>
      </c>
      <c r="L1830" s="2">
        <f t="shared" si="7"/>
        <v>120000</v>
      </c>
    </row>
    <row r="1831" spans="1:12" ht="14.25" customHeight="1" x14ac:dyDescent="0.2">
      <c r="A1831" s="33">
        <v>47505</v>
      </c>
      <c r="B1831" s="33"/>
      <c r="C1831" s="2" t="s">
        <v>18</v>
      </c>
      <c r="D1831" s="2" t="s">
        <v>12</v>
      </c>
      <c r="E1831" s="2" t="s">
        <v>23</v>
      </c>
      <c r="F1831" s="2" t="s">
        <v>20</v>
      </c>
      <c r="G1831" s="2" t="s">
        <v>27</v>
      </c>
      <c r="H1831" s="2" t="s">
        <v>22</v>
      </c>
      <c r="I1831" s="2">
        <v>60000</v>
      </c>
      <c r="J1831" s="2">
        <v>10</v>
      </c>
      <c r="K1831" s="2" t="s">
        <v>17</v>
      </c>
      <c r="L1831" s="2">
        <f t="shared" si="7"/>
        <v>48000</v>
      </c>
    </row>
    <row r="1832" spans="1:12" ht="14.25" customHeight="1" x14ac:dyDescent="0.2">
      <c r="A1832" s="33">
        <v>47506</v>
      </c>
      <c r="B1832" s="33"/>
      <c r="C1832" s="2" t="s">
        <v>29</v>
      </c>
      <c r="D1832" s="2" t="s">
        <v>26</v>
      </c>
      <c r="E1832" s="2" t="s">
        <v>13</v>
      </c>
      <c r="F1832" s="2" t="s">
        <v>20</v>
      </c>
      <c r="G1832" s="2" t="s">
        <v>34</v>
      </c>
      <c r="H1832" s="2" t="s">
        <v>16</v>
      </c>
      <c r="I1832" s="2">
        <v>320000</v>
      </c>
      <c r="J1832" s="2">
        <v>9</v>
      </c>
      <c r="K1832" s="2" t="s">
        <v>35</v>
      </c>
      <c r="L1832" s="2">
        <f t="shared" si="7"/>
        <v>256000</v>
      </c>
    </row>
    <row r="1833" spans="1:12" ht="14.25" customHeight="1" x14ac:dyDescent="0.2">
      <c r="A1833" s="33">
        <v>47507</v>
      </c>
      <c r="B1833" s="33"/>
      <c r="C1833" s="2" t="s">
        <v>11</v>
      </c>
      <c r="D1833" s="2" t="s">
        <v>12</v>
      </c>
      <c r="E1833" s="2" t="s">
        <v>13</v>
      </c>
      <c r="F1833" s="2" t="s">
        <v>20</v>
      </c>
      <c r="G1833" s="2" t="s">
        <v>40</v>
      </c>
      <c r="H1833" s="2" t="s">
        <v>31</v>
      </c>
      <c r="I1833" s="2">
        <v>250000</v>
      </c>
      <c r="J1833" s="2">
        <v>9</v>
      </c>
      <c r="K1833" s="2" t="s">
        <v>28</v>
      </c>
      <c r="L1833" s="2">
        <f t="shared" si="7"/>
        <v>200000</v>
      </c>
    </row>
    <row r="1834" spans="1:12" ht="14.25" customHeight="1" x14ac:dyDescent="0.2">
      <c r="A1834" s="33">
        <v>47508</v>
      </c>
      <c r="B1834" s="33"/>
      <c r="C1834" s="2" t="s">
        <v>25</v>
      </c>
      <c r="D1834" s="2" t="s">
        <v>26</v>
      </c>
      <c r="E1834" s="2" t="s">
        <v>13</v>
      </c>
      <c r="F1834" s="2" t="s">
        <v>20</v>
      </c>
      <c r="G1834" s="2" t="s">
        <v>41</v>
      </c>
      <c r="H1834" s="2" t="s">
        <v>22</v>
      </c>
      <c r="I1834" s="2">
        <v>220000</v>
      </c>
      <c r="J1834" s="2">
        <v>7</v>
      </c>
      <c r="K1834" s="2" t="s">
        <v>35</v>
      </c>
      <c r="L1834" s="2">
        <f t="shared" si="7"/>
        <v>176000</v>
      </c>
    </row>
    <row r="1835" spans="1:12" ht="14.25" customHeight="1" x14ac:dyDescent="0.2">
      <c r="A1835" s="33">
        <v>47509</v>
      </c>
      <c r="B1835" s="33"/>
      <c r="C1835" s="2" t="s">
        <v>25</v>
      </c>
      <c r="D1835" s="2" t="s">
        <v>19</v>
      </c>
      <c r="E1835" s="2" t="s">
        <v>13</v>
      </c>
      <c r="F1835" s="2" t="s">
        <v>20</v>
      </c>
      <c r="G1835" s="2" t="s">
        <v>34</v>
      </c>
      <c r="H1835" s="2" t="s">
        <v>16</v>
      </c>
      <c r="I1835" s="2">
        <v>320000</v>
      </c>
      <c r="J1835" s="2">
        <v>4</v>
      </c>
      <c r="K1835" s="2" t="s">
        <v>24</v>
      </c>
      <c r="L1835" s="2">
        <f t="shared" si="7"/>
        <v>256000</v>
      </c>
    </row>
    <row r="1836" spans="1:12" ht="14.25" customHeight="1" x14ac:dyDescent="0.2">
      <c r="A1836" s="33">
        <v>47510</v>
      </c>
      <c r="B1836" s="33"/>
      <c r="C1836" s="2" t="s">
        <v>25</v>
      </c>
      <c r="D1836" s="2" t="s">
        <v>19</v>
      </c>
      <c r="E1836" s="2" t="s">
        <v>23</v>
      </c>
      <c r="F1836" s="2" t="s">
        <v>20</v>
      </c>
      <c r="G1836" s="2" t="s">
        <v>41</v>
      </c>
      <c r="H1836" s="2" t="s">
        <v>22</v>
      </c>
      <c r="I1836" s="2">
        <v>220000</v>
      </c>
      <c r="J1836" s="2">
        <v>1</v>
      </c>
      <c r="K1836" s="2" t="s">
        <v>37</v>
      </c>
      <c r="L1836" s="2">
        <f t="shared" si="7"/>
        <v>176000</v>
      </c>
    </row>
    <row r="1837" spans="1:12" ht="14.25" customHeight="1" x14ac:dyDescent="0.2">
      <c r="A1837" s="33">
        <v>47511</v>
      </c>
      <c r="B1837" s="33"/>
      <c r="C1837" s="2" t="s">
        <v>11</v>
      </c>
      <c r="D1837" s="2" t="s">
        <v>19</v>
      </c>
      <c r="E1837" s="2" t="s">
        <v>13</v>
      </c>
      <c r="F1837" s="2" t="s">
        <v>20</v>
      </c>
      <c r="G1837" s="2" t="s">
        <v>21</v>
      </c>
      <c r="H1837" s="2" t="s">
        <v>22</v>
      </c>
      <c r="I1837" s="2">
        <v>30000</v>
      </c>
      <c r="J1837" s="2">
        <v>9</v>
      </c>
      <c r="K1837" s="2" t="s">
        <v>37</v>
      </c>
      <c r="L1837" s="2">
        <f t="shared" si="7"/>
        <v>24000</v>
      </c>
    </row>
    <row r="1838" spans="1:12" ht="14.25" customHeight="1" x14ac:dyDescent="0.2">
      <c r="A1838" s="33">
        <v>47512</v>
      </c>
      <c r="B1838" s="33"/>
      <c r="C1838" s="2" t="s">
        <v>29</v>
      </c>
      <c r="D1838" s="2" t="s">
        <v>19</v>
      </c>
      <c r="E1838" s="2" t="s">
        <v>23</v>
      </c>
      <c r="F1838" s="2" t="s">
        <v>20</v>
      </c>
      <c r="G1838" s="2" t="s">
        <v>21</v>
      </c>
      <c r="H1838" s="2" t="s">
        <v>22</v>
      </c>
      <c r="I1838" s="2">
        <v>30000</v>
      </c>
      <c r="J1838" s="2">
        <v>8</v>
      </c>
      <c r="K1838" s="2" t="s">
        <v>37</v>
      </c>
      <c r="L1838" s="2">
        <f t="shared" si="7"/>
        <v>24000</v>
      </c>
    </row>
    <row r="1839" spans="1:12" ht="14.25" customHeight="1" x14ac:dyDescent="0.2">
      <c r="A1839" s="33">
        <v>47513</v>
      </c>
      <c r="B1839" s="33"/>
      <c r="C1839" s="2" t="s">
        <v>25</v>
      </c>
      <c r="D1839" s="2" t="s">
        <v>19</v>
      </c>
      <c r="E1839" s="2" t="s">
        <v>23</v>
      </c>
      <c r="F1839" s="2" t="s">
        <v>20</v>
      </c>
      <c r="G1839" s="2" t="s">
        <v>27</v>
      </c>
      <c r="H1839" s="2" t="s">
        <v>22</v>
      </c>
      <c r="I1839" s="2">
        <v>60000</v>
      </c>
      <c r="J1839" s="2">
        <v>7</v>
      </c>
      <c r="K1839" s="2" t="s">
        <v>24</v>
      </c>
      <c r="L1839" s="2">
        <f t="shared" si="7"/>
        <v>48000</v>
      </c>
    </row>
    <row r="1840" spans="1:12" ht="14.25" customHeight="1" x14ac:dyDescent="0.2">
      <c r="A1840" s="33">
        <v>47514</v>
      </c>
      <c r="B1840" s="33"/>
      <c r="C1840" s="2" t="s">
        <v>11</v>
      </c>
      <c r="D1840" s="2" t="s">
        <v>26</v>
      </c>
      <c r="E1840" s="2" t="s">
        <v>13</v>
      </c>
      <c r="F1840" s="2" t="s">
        <v>20</v>
      </c>
      <c r="G1840" s="2" t="s">
        <v>21</v>
      </c>
      <c r="H1840" s="2" t="s">
        <v>22</v>
      </c>
      <c r="I1840" s="2">
        <v>30000</v>
      </c>
      <c r="J1840" s="2">
        <v>7</v>
      </c>
      <c r="K1840" s="2" t="s">
        <v>39</v>
      </c>
      <c r="L1840" s="2">
        <f t="shared" si="7"/>
        <v>24000</v>
      </c>
    </row>
    <row r="1841" spans="1:12" ht="14.25" customHeight="1" x14ac:dyDescent="0.2">
      <c r="A1841" s="33">
        <v>47515</v>
      </c>
      <c r="B1841" s="33"/>
      <c r="C1841" s="2" t="s">
        <v>11</v>
      </c>
      <c r="D1841" s="2" t="s">
        <v>12</v>
      </c>
      <c r="E1841" s="2" t="s">
        <v>13</v>
      </c>
      <c r="F1841" s="2" t="s">
        <v>20</v>
      </c>
      <c r="G1841" s="2" t="s">
        <v>30</v>
      </c>
      <c r="H1841" s="2" t="s">
        <v>31</v>
      </c>
      <c r="I1841" s="2">
        <v>300000</v>
      </c>
      <c r="J1841" s="2">
        <v>6</v>
      </c>
      <c r="K1841" s="2" t="s">
        <v>37</v>
      </c>
      <c r="L1841" s="2">
        <f t="shared" si="7"/>
        <v>240000</v>
      </c>
    </row>
    <row r="1842" spans="1:12" ht="14.25" customHeight="1" x14ac:dyDescent="0.2">
      <c r="A1842" s="33">
        <v>47516</v>
      </c>
      <c r="B1842" s="33"/>
      <c r="C1842" s="2" t="s">
        <v>29</v>
      </c>
      <c r="D1842" s="2" t="s">
        <v>32</v>
      </c>
      <c r="E1842" s="2" t="s">
        <v>23</v>
      </c>
      <c r="F1842" s="2" t="s">
        <v>20</v>
      </c>
      <c r="G1842" s="2" t="s">
        <v>30</v>
      </c>
      <c r="H1842" s="2" t="s">
        <v>31</v>
      </c>
      <c r="I1842" s="2">
        <v>300000</v>
      </c>
      <c r="J1842" s="2">
        <v>4</v>
      </c>
      <c r="K1842" s="2" t="s">
        <v>39</v>
      </c>
      <c r="L1842" s="2">
        <f t="shared" si="7"/>
        <v>240000</v>
      </c>
    </row>
    <row r="1843" spans="1:12" ht="14.25" customHeight="1" x14ac:dyDescent="0.2">
      <c r="A1843" s="33">
        <v>47517</v>
      </c>
      <c r="B1843" s="33"/>
      <c r="C1843" s="2" t="s">
        <v>25</v>
      </c>
      <c r="D1843" s="2" t="s">
        <v>26</v>
      </c>
      <c r="E1843" s="2" t="s">
        <v>13</v>
      </c>
      <c r="F1843" s="2" t="s">
        <v>20</v>
      </c>
      <c r="G1843" s="2" t="s">
        <v>15</v>
      </c>
      <c r="H1843" s="2" t="s">
        <v>16</v>
      </c>
      <c r="I1843" s="2">
        <v>85000</v>
      </c>
      <c r="J1843" s="2">
        <v>2</v>
      </c>
      <c r="K1843" s="2" t="s">
        <v>17</v>
      </c>
      <c r="L1843" s="2">
        <f t="shared" si="7"/>
        <v>68000</v>
      </c>
    </row>
    <row r="1844" spans="1:12" ht="14.25" customHeight="1" x14ac:dyDescent="0.2">
      <c r="A1844" s="33">
        <v>47518</v>
      </c>
      <c r="B1844" s="33"/>
      <c r="C1844" s="2" t="s">
        <v>29</v>
      </c>
      <c r="D1844" s="2" t="s">
        <v>26</v>
      </c>
      <c r="E1844" s="2" t="s">
        <v>23</v>
      </c>
      <c r="F1844" s="2" t="s">
        <v>20</v>
      </c>
      <c r="G1844" s="2" t="s">
        <v>36</v>
      </c>
      <c r="H1844" s="2" t="s">
        <v>31</v>
      </c>
      <c r="I1844" s="2">
        <v>150000</v>
      </c>
      <c r="J1844" s="2">
        <v>3</v>
      </c>
      <c r="K1844" s="2" t="s">
        <v>24</v>
      </c>
      <c r="L1844" s="2">
        <f t="shared" si="7"/>
        <v>120000</v>
      </c>
    </row>
    <row r="1845" spans="1:12" ht="14.25" customHeight="1" x14ac:dyDescent="0.2">
      <c r="A1845" s="33">
        <v>47519</v>
      </c>
      <c r="B1845" s="33"/>
      <c r="C1845" s="2" t="s">
        <v>11</v>
      </c>
      <c r="D1845" s="2" t="s">
        <v>32</v>
      </c>
      <c r="E1845" s="2" t="s">
        <v>23</v>
      </c>
      <c r="F1845" s="2" t="s">
        <v>20</v>
      </c>
      <c r="G1845" s="2" t="s">
        <v>40</v>
      </c>
      <c r="H1845" s="2" t="s">
        <v>31</v>
      </c>
      <c r="I1845" s="2">
        <v>250000</v>
      </c>
      <c r="J1845" s="2">
        <v>4</v>
      </c>
      <c r="K1845" s="2" t="s">
        <v>28</v>
      </c>
      <c r="L1845" s="2">
        <f t="shared" si="7"/>
        <v>200000</v>
      </c>
    </row>
    <row r="1846" spans="1:12" ht="14.25" customHeight="1" x14ac:dyDescent="0.2">
      <c r="A1846" s="33">
        <v>47520</v>
      </c>
      <c r="B1846" s="33"/>
      <c r="C1846" s="2" t="s">
        <v>29</v>
      </c>
      <c r="D1846" s="2" t="s">
        <v>12</v>
      </c>
      <c r="E1846" s="2" t="s">
        <v>13</v>
      </c>
      <c r="F1846" s="2" t="s">
        <v>20</v>
      </c>
      <c r="G1846" s="2" t="s">
        <v>40</v>
      </c>
      <c r="H1846" s="2" t="s">
        <v>31</v>
      </c>
      <c r="I1846" s="2">
        <v>250000</v>
      </c>
      <c r="J1846" s="2">
        <v>7</v>
      </c>
      <c r="K1846" s="2" t="s">
        <v>17</v>
      </c>
      <c r="L1846" s="2">
        <f t="shared" si="7"/>
        <v>200000</v>
      </c>
    </row>
    <row r="1847" spans="1:12" ht="14.25" customHeight="1" x14ac:dyDescent="0.2">
      <c r="A1847" s="33">
        <v>47521</v>
      </c>
      <c r="B1847" s="33"/>
      <c r="C1847" s="2" t="s">
        <v>11</v>
      </c>
      <c r="D1847" s="2" t="s">
        <v>19</v>
      </c>
      <c r="E1847" s="2" t="s">
        <v>13</v>
      </c>
      <c r="F1847" s="2" t="s">
        <v>20</v>
      </c>
      <c r="G1847" s="2" t="s">
        <v>40</v>
      </c>
      <c r="H1847" s="2" t="s">
        <v>31</v>
      </c>
      <c r="I1847" s="2">
        <v>250000</v>
      </c>
      <c r="J1847" s="2">
        <v>3</v>
      </c>
      <c r="K1847" s="2" t="s">
        <v>24</v>
      </c>
      <c r="L1847" s="2">
        <f t="shared" si="7"/>
        <v>200000</v>
      </c>
    </row>
    <row r="1848" spans="1:12" ht="14.25" customHeight="1" x14ac:dyDescent="0.2">
      <c r="A1848" s="33">
        <v>47522</v>
      </c>
      <c r="B1848" s="33"/>
      <c r="C1848" s="2" t="s">
        <v>18</v>
      </c>
      <c r="D1848" s="2" t="s">
        <v>26</v>
      </c>
      <c r="E1848" s="2" t="s">
        <v>13</v>
      </c>
      <c r="F1848" s="2" t="s">
        <v>20</v>
      </c>
      <c r="G1848" s="2" t="s">
        <v>36</v>
      </c>
      <c r="H1848" s="2" t="s">
        <v>31</v>
      </c>
      <c r="I1848" s="2">
        <v>150000</v>
      </c>
      <c r="J1848" s="2">
        <v>8</v>
      </c>
      <c r="K1848" s="2" t="s">
        <v>17</v>
      </c>
      <c r="L1848" s="2">
        <f t="shared" si="7"/>
        <v>120000</v>
      </c>
    </row>
    <row r="1849" spans="1:12" ht="14.25" customHeight="1" x14ac:dyDescent="0.2">
      <c r="A1849" s="33">
        <v>47523</v>
      </c>
      <c r="B1849" s="33"/>
      <c r="C1849" s="2" t="s">
        <v>18</v>
      </c>
      <c r="D1849" s="2" t="s">
        <v>26</v>
      </c>
      <c r="E1849" s="2" t="s">
        <v>23</v>
      </c>
      <c r="F1849" s="2" t="s">
        <v>20</v>
      </c>
      <c r="G1849" s="2" t="s">
        <v>15</v>
      </c>
      <c r="H1849" s="2" t="s">
        <v>16</v>
      </c>
      <c r="I1849" s="2">
        <v>85000</v>
      </c>
      <c r="J1849" s="2">
        <v>1</v>
      </c>
      <c r="K1849" s="2" t="s">
        <v>37</v>
      </c>
      <c r="L1849" s="2">
        <f t="shared" si="7"/>
        <v>68000</v>
      </c>
    </row>
    <row r="1850" spans="1:12" ht="14.25" customHeight="1" x14ac:dyDescent="0.2">
      <c r="A1850" s="33">
        <v>47524</v>
      </c>
      <c r="B1850" s="33"/>
      <c r="C1850" s="2" t="s">
        <v>18</v>
      </c>
      <c r="D1850" s="2" t="s">
        <v>32</v>
      </c>
      <c r="E1850" s="2" t="s">
        <v>13</v>
      </c>
      <c r="F1850" s="2" t="s">
        <v>20</v>
      </c>
      <c r="G1850" s="2" t="s">
        <v>41</v>
      </c>
      <c r="H1850" s="2" t="s">
        <v>22</v>
      </c>
      <c r="I1850" s="2">
        <v>220000</v>
      </c>
      <c r="J1850" s="2">
        <v>6</v>
      </c>
      <c r="K1850" s="2" t="s">
        <v>17</v>
      </c>
      <c r="L1850" s="2">
        <f t="shared" si="7"/>
        <v>176000</v>
      </c>
    </row>
    <row r="1851" spans="1:12" ht="14.25" customHeight="1" x14ac:dyDescent="0.2">
      <c r="A1851" s="33">
        <v>47525</v>
      </c>
      <c r="B1851" s="33"/>
      <c r="C1851" s="2" t="s">
        <v>18</v>
      </c>
      <c r="D1851" s="2" t="s">
        <v>12</v>
      </c>
      <c r="E1851" s="2" t="s">
        <v>23</v>
      </c>
      <c r="F1851" s="2" t="s">
        <v>20</v>
      </c>
      <c r="G1851" s="2" t="s">
        <v>21</v>
      </c>
      <c r="H1851" s="2" t="s">
        <v>22</v>
      </c>
      <c r="I1851" s="2">
        <v>30000</v>
      </c>
      <c r="J1851" s="2">
        <v>3</v>
      </c>
      <c r="K1851" s="2" t="s">
        <v>17</v>
      </c>
      <c r="L1851" s="2">
        <f t="shared" si="7"/>
        <v>24000</v>
      </c>
    </row>
    <row r="1852" spans="1:12" ht="14.25" customHeight="1" x14ac:dyDescent="0.2">
      <c r="A1852" s="33">
        <v>47526</v>
      </c>
      <c r="B1852" s="33"/>
      <c r="C1852" s="2" t="s">
        <v>29</v>
      </c>
      <c r="D1852" s="2" t="s">
        <v>32</v>
      </c>
      <c r="E1852" s="2" t="s">
        <v>23</v>
      </c>
      <c r="F1852" s="2" t="s">
        <v>20</v>
      </c>
      <c r="G1852" s="2" t="s">
        <v>30</v>
      </c>
      <c r="H1852" s="2" t="s">
        <v>31</v>
      </c>
      <c r="I1852" s="2">
        <v>300000</v>
      </c>
      <c r="J1852" s="2">
        <v>3</v>
      </c>
      <c r="K1852" s="2" t="s">
        <v>24</v>
      </c>
      <c r="L1852" s="2">
        <f t="shared" si="7"/>
        <v>240000</v>
      </c>
    </row>
    <row r="1853" spans="1:12" ht="14.25" customHeight="1" x14ac:dyDescent="0.2">
      <c r="A1853" s="33">
        <v>47527</v>
      </c>
      <c r="B1853" s="33"/>
      <c r="C1853" s="2" t="s">
        <v>18</v>
      </c>
      <c r="D1853" s="2" t="s">
        <v>26</v>
      </c>
      <c r="E1853" s="2" t="s">
        <v>13</v>
      </c>
      <c r="F1853" s="2" t="s">
        <v>20</v>
      </c>
      <c r="G1853" s="2" t="s">
        <v>40</v>
      </c>
      <c r="H1853" s="2" t="s">
        <v>31</v>
      </c>
      <c r="I1853" s="2">
        <v>250000</v>
      </c>
      <c r="J1853" s="2">
        <v>10</v>
      </c>
      <c r="K1853" s="2" t="s">
        <v>37</v>
      </c>
      <c r="L1853" s="2">
        <f t="shared" si="7"/>
        <v>200000</v>
      </c>
    </row>
    <row r="1854" spans="1:12" ht="14.25" customHeight="1" x14ac:dyDescent="0.2">
      <c r="A1854" s="33">
        <v>47528</v>
      </c>
      <c r="B1854" s="33"/>
      <c r="C1854" s="2" t="s">
        <v>18</v>
      </c>
      <c r="D1854" s="2" t="s">
        <v>19</v>
      </c>
      <c r="E1854" s="2" t="s">
        <v>13</v>
      </c>
      <c r="F1854" s="2" t="s">
        <v>20</v>
      </c>
      <c r="G1854" s="2" t="s">
        <v>30</v>
      </c>
      <c r="H1854" s="2" t="s">
        <v>31</v>
      </c>
      <c r="I1854" s="2">
        <v>300000</v>
      </c>
      <c r="J1854" s="2">
        <v>4</v>
      </c>
      <c r="K1854" s="2" t="s">
        <v>35</v>
      </c>
      <c r="L1854" s="2">
        <f t="shared" si="7"/>
        <v>240000</v>
      </c>
    </row>
    <row r="1855" spans="1:12" ht="14.25" customHeight="1" x14ac:dyDescent="0.2">
      <c r="A1855" s="33">
        <v>47529</v>
      </c>
      <c r="B1855" s="33"/>
      <c r="C1855" s="2" t="s">
        <v>25</v>
      </c>
      <c r="D1855" s="2" t="s">
        <v>26</v>
      </c>
      <c r="E1855" s="2" t="s">
        <v>13</v>
      </c>
      <c r="F1855" s="2" t="s">
        <v>20</v>
      </c>
      <c r="G1855" s="2" t="s">
        <v>34</v>
      </c>
      <c r="H1855" s="2" t="s">
        <v>16</v>
      </c>
      <c r="I1855" s="2">
        <v>320000</v>
      </c>
      <c r="J1855" s="2">
        <v>5</v>
      </c>
      <c r="K1855" s="2" t="s">
        <v>39</v>
      </c>
      <c r="L1855" s="2">
        <f t="shared" si="7"/>
        <v>256000</v>
      </c>
    </row>
    <row r="1856" spans="1:12" ht="14.25" customHeight="1" x14ac:dyDescent="0.2">
      <c r="A1856" s="33">
        <v>47530</v>
      </c>
      <c r="B1856" s="33"/>
      <c r="C1856" s="2" t="s">
        <v>25</v>
      </c>
      <c r="D1856" s="2" t="s">
        <v>19</v>
      </c>
      <c r="E1856" s="2" t="s">
        <v>13</v>
      </c>
      <c r="F1856" s="2" t="s">
        <v>20</v>
      </c>
      <c r="G1856" s="2" t="s">
        <v>34</v>
      </c>
      <c r="H1856" s="2" t="s">
        <v>16</v>
      </c>
      <c r="I1856" s="2">
        <v>320000</v>
      </c>
      <c r="J1856" s="2">
        <v>1</v>
      </c>
      <c r="K1856" s="2" t="s">
        <v>24</v>
      </c>
      <c r="L1856" s="2">
        <f t="shared" si="7"/>
        <v>256000</v>
      </c>
    </row>
    <row r="1857" spans="1:12" ht="14.25" customHeight="1" x14ac:dyDescent="0.2">
      <c r="A1857" s="33">
        <v>47531</v>
      </c>
      <c r="B1857" s="33"/>
      <c r="C1857" s="2" t="s">
        <v>29</v>
      </c>
      <c r="D1857" s="2" t="s">
        <v>12</v>
      </c>
      <c r="E1857" s="2" t="s">
        <v>13</v>
      </c>
      <c r="F1857" s="2" t="s">
        <v>20</v>
      </c>
      <c r="G1857" s="2" t="s">
        <v>38</v>
      </c>
      <c r="H1857" s="2" t="s">
        <v>31</v>
      </c>
      <c r="I1857" s="2">
        <v>420000</v>
      </c>
      <c r="J1857" s="2">
        <v>4</v>
      </c>
      <c r="K1857" s="2" t="s">
        <v>37</v>
      </c>
      <c r="L1857" s="2">
        <f t="shared" si="7"/>
        <v>336000</v>
      </c>
    </row>
    <row r="1858" spans="1:12" ht="14.25" customHeight="1" x14ac:dyDescent="0.2">
      <c r="A1858" s="33">
        <v>47532</v>
      </c>
      <c r="B1858" s="33"/>
      <c r="C1858" s="2" t="s">
        <v>25</v>
      </c>
      <c r="D1858" s="2" t="s">
        <v>26</v>
      </c>
      <c r="E1858" s="2" t="s">
        <v>23</v>
      </c>
      <c r="F1858" s="2" t="s">
        <v>20</v>
      </c>
      <c r="G1858" s="2" t="s">
        <v>15</v>
      </c>
      <c r="H1858" s="2" t="s">
        <v>16</v>
      </c>
      <c r="I1858" s="2">
        <v>85000</v>
      </c>
      <c r="J1858" s="2">
        <v>5</v>
      </c>
      <c r="K1858" s="2" t="s">
        <v>28</v>
      </c>
      <c r="L1858" s="2">
        <f t="shared" si="7"/>
        <v>68000</v>
      </c>
    </row>
    <row r="1859" spans="1:12" ht="14.25" customHeight="1" x14ac:dyDescent="0.2">
      <c r="A1859" s="33">
        <v>47533</v>
      </c>
      <c r="B1859" s="33"/>
      <c r="C1859" s="2" t="s">
        <v>18</v>
      </c>
      <c r="D1859" s="2" t="s">
        <v>19</v>
      </c>
      <c r="E1859" s="2" t="s">
        <v>23</v>
      </c>
      <c r="F1859" s="2" t="s">
        <v>20</v>
      </c>
      <c r="G1859" s="2" t="s">
        <v>27</v>
      </c>
      <c r="H1859" s="2" t="s">
        <v>22</v>
      </c>
      <c r="I1859" s="2">
        <v>60000</v>
      </c>
      <c r="J1859" s="2">
        <v>3</v>
      </c>
      <c r="K1859" s="2" t="s">
        <v>17</v>
      </c>
      <c r="L1859" s="2">
        <f t="shared" si="7"/>
        <v>48000</v>
      </c>
    </row>
    <row r="1860" spans="1:12" ht="14.25" customHeight="1" x14ac:dyDescent="0.2">
      <c r="A1860" s="33">
        <v>47534</v>
      </c>
      <c r="B1860" s="33"/>
      <c r="C1860" s="2" t="s">
        <v>11</v>
      </c>
      <c r="D1860" s="2" t="s">
        <v>32</v>
      </c>
      <c r="E1860" s="2" t="s">
        <v>13</v>
      </c>
      <c r="F1860" s="2" t="s">
        <v>20</v>
      </c>
      <c r="G1860" s="2" t="s">
        <v>40</v>
      </c>
      <c r="H1860" s="2" t="s">
        <v>31</v>
      </c>
      <c r="I1860" s="2">
        <v>250000</v>
      </c>
      <c r="J1860" s="2">
        <v>4</v>
      </c>
      <c r="K1860" s="2" t="s">
        <v>37</v>
      </c>
      <c r="L1860" s="2">
        <f t="shared" si="7"/>
        <v>200000</v>
      </c>
    </row>
    <row r="1861" spans="1:12" ht="14.25" customHeight="1" x14ac:dyDescent="0.2">
      <c r="A1861" s="33">
        <v>47535</v>
      </c>
      <c r="B1861" s="33"/>
      <c r="C1861" s="2" t="s">
        <v>18</v>
      </c>
      <c r="D1861" s="2" t="s">
        <v>12</v>
      </c>
      <c r="E1861" s="2" t="s">
        <v>13</v>
      </c>
      <c r="F1861" s="2" t="s">
        <v>20</v>
      </c>
      <c r="G1861" s="2" t="s">
        <v>38</v>
      </c>
      <c r="H1861" s="2" t="s">
        <v>31</v>
      </c>
      <c r="I1861" s="2">
        <v>420000</v>
      </c>
      <c r="J1861" s="2">
        <v>5</v>
      </c>
      <c r="K1861" s="2" t="s">
        <v>17</v>
      </c>
      <c r="L1861" s="2">
        <f t="shared" si="7"/>
        <v>336000</v>
      </c>
    </row>
    <row r="1862" spans="1:12" ht="14.25" customHeight="1" x14ac:dyDescent="0.2">
      <c r="A1862" s="33">
        <v>47536</v>
      </c>
      <c r="B1862" s="33"/>
      <c r="C1862" s="2" t="s">
        <v>11</v>
      </c>
      <c r="D1862" s="2" t="s">
        <v>26</v>
      </c>
      <c r="E1862" s="2" t="s">
        <v>13</v>
      </c>
      <c r="F1862" s="2" t="s">
        <v>20</v>
      </c>
      <c r="G1862" s="2" t="s">
        <v>36</v>
      </c>
      <c r="H1862" s="2" t="s">
        <v>31</v>
      </c>
      <c r="I1862" s="2">
        <v>150000</v>
      </c>
      <c r="J1862" s="2">
        <v>5</v>
      </c>
      <c r="K1862" s="2" t="s">
        <v>28</v>
      </c>
      <c r="L1862" s="2">
        <f t="shared" si="7"/>
        <v>120000</v>
      </c>
    </row>
    <row r="1863" spans="1:12" ht="14.25" customHeight="1" x14ac:dyDescent="0.2">
      <c r="A1863" s="33">
        <v>47537</v>
      </c>
      <c r="B1863" s="33"/>
      <c r="C1863" s="2" t="s">
        <v>29</v>
      </c>
      <c r="D1863" s="2" t="s">
        <v>19</v>
      </c>
      <c r="E1863" s="2" t="s">
        <v>23</v>
      </c>
      <c r="F1863" s="2" t="s">
        <v>20</v>
      </c>
      <c r="G1863" s="2" t="s">
        <v>33</v>
      </c>
      <c r="H1863" s="2" t="s">
        <v>22</v>
      </c>
      <c r="I1863" s="2">
        <v>180000</v>
      </c>
      <c r="J1863" s="2">
        <v>1</v>
      </c>
      <c r="K1863" s="2" t="s">
        <v>35</v>
      </c>
      <c r="L1863" s="2">
        <f t="shared" si="7"/>
        <v>144000</v>
      </c>
    </row>
    <row r="1864" spans="1:12" ht="14.25" customHeight="1" x14ac:dyDescent="0.2">
      <c r="A1864" s="33">
        <v>47538</v>
      </c>
      <c r="B1864" s="33"/>
      <c r="C1864" s="2" t="s">
        <v>25</v>
      </c>
      <c r="D1864" s="2" t="s">
        <v>32</v>
      </c>
      <c r="E1864" s="2" t="s">
        <v>23</v>
      </c>
      <c r="F1864" s="2" t="s">
        <v>20</v>
      </c>
      <c r="G1864" s="2" t="s">
        <v>33</v>
      </c>
      <c r="H1864" s="2" t="s">
        <v>22</v>
      </c>
      <c r="I1864" s="2">
        <v>180000</v>
      </c>
      <c r="J1864" s="2">
        <v>1</v>
      </c>
      <c r="K1864" s="2" t="s">
        <v>28</v>
      </c>
      <c r="L1864" s="2">
        <f t="shared" si="7"/>
        <v>144000</v>
      </c>
    </row>
    <row r="1865" spans="1:12" ht="14.25" customHeight="1" x14ac:dyDescent="0.2">
      <c r="A1865" s="33">
        <v>47539</v>
      </c>
      <c r="B1865" s="33"/>
      <c r="C1865" s="2" t="s">
        <v>11</v>
      </c>
      <c r="D1865" s="2" t="s">
        <v>19</v>
      </c>
      <c r="E1865" s="2" t="s">
        <v>13</v>
      </c>
      <c r="F1865" s="2" t="s">
        <v>20</v>
      </c>
      <c r="G1865" s="2" t="s">
        <v>40</v>
      </c>
      <c r="H1865" s="2" t="s">
        <v>31</v>
      </c>
      <c r="I1865" s="2">
        <v>250000</v>
      </c>
      <c r="J1865" s="2">
        <v>9</v>
      </c>
      <c r="K1865" s="2" t="s">
        <v>17</v>
      </c>
      <c r="L1865" s="2">
        <f t="shared" si="7"/>
        <v>200000</v>
      </c>
    </row>
    <row r="1866" spans="1:12" ht="14.25" customHeight="1" x14ac:dyDescent="0.2">
      <c r="A1866" s="33">
        <v>47540</v>
      </c>
      <c r="B1866" s="33"/>
      <c r="C1866" s="2" t="s">
        <v>29</v>
      </c>
      <c r="D1866" s="2" t="s">
        <v>12</v>
      </c>
      <c r="E1866" s="2" t="s">
        <v>13</v>
      </c>
      <c r="F1866" s="2" t="s">
        <v>20</v>
      </c>
      <c r="G1866" s="2" t="s">
        <v>15</v>
      </c>
      <c r="H1866" s="2" t="s">
        <v>16</v>
      </c>
      <c r="I1866" s="2">
        <v>85000</v>
      </c>
      <c r="J1866" s="2">
        <v>4</v>
      </c>
      <c r="K1866" s="2" t="s">
        <v>35</v>
      </c>
      <c r="L1866" s="2">
        <f t="shared" si="7"/>
        <v>68000</v>
      </c>
    </row>
    <row r="1867" spans="1:12" ht="14.25" customHeight="1" x14ac:dyDescent="0.2">
      <c r="A1867" s="33">
        <v>47541</v>
      </c>
      <c r="B1867" s="33"/>
      <c r="C1867" s="2" t="s">
        <v>11</v>
      </c>
      <c r="D1867" s="2" t="s">
        <v>32</v>
      </c>
      <c r="E1867" s="2" t="s">
        <v>23</v>
      </c>
      <c r="F1867" s="2" t="s">
        <v>20</v>
      </c>
      <c r="G1867" s="2" t="s">
        <v>38</v>
      </c>
      <c r="H1867" s="2" t="s">
        <v>31</v>
      </c>
      <c r="I1867" s="2">
        <v>420000</v>
      </c>
      <c r="J1867" s="2">
        <v>8</v>
      </c>
      <c r="K1867" s="2" t="s">
        <v>24</v>
      </c>
      <c r="L1867" s="2">
        <f t="shared" si="7"/>
        <v>336000</v>
      </c>
    </row>
    <row r="1868" spans="1:12" ht="14.25" customHeight="1" x14ac:dyDescent="0.2">
      <c r="A1868" s="33">
        <v>47542</v>
      </c>
      <c r="B1868" s="33"/>
      <c r="C1868" s="2" t="s">
        <v>25</v>
      </c>
      <c r="D1868" s="2" t="s">
        <v>32</v>
      </c>
      <c r="E1868" s="2" t="s">
        <v>23</v>
      </c>
      <c r="F1868" s="2" t="s">
        <v>20</v>
      </c>
      <c r="G1868" s="2" t="s">
        <v>34</v>
      </c>
      <c r="H1868" s="2" t="s">
        <v>16</v>
      </c>
      <c r="I1868" s="2">
        <v>320000</v>
      </c>
      <c r="J1868" s="2">
        <v>6</v>
      </c>
      <c r="K1868" s="2" t="s">
        <v>24</v>
      </c>
      <c r="L1868" s="2">
        <f t="shared" si="7"/>
        <v>256000</v>
      </c>
    </row>
    <row r="1869" spans="1:12" ht="14.25" customHeight="1" x14ac:dyDescent="0.2">
      <c r="A1869" s="33">
        <v>47543</v>
      </c>
      <c r="B1869" s="33"/>
      <c r="C1869" s="2" t="s">
        <v>29</v>
      </c>
      <c r="D1869" s="2" t="s">
        <v>19</v>
      </c>
      <c r="E1869" s="2" t="s">
        <v>13</v>
      </c>
      <c r="F1869" s="2" t="s">
        <v>20</v>
      </c>
      <c r="G1869" s="2" t="s">
        <v>36</v>
      </c>
      <c r="H1869" s="2" t="s">
        <v>31</v>
      </c>
      <c r="I1869" s="2">
        <v>150000</v>
      </c>
      <c r="J1869" s="2">
        <v>3</v>
      </c>
      <c r="K1869" s="2" t="s">
        <v>37</v>
      </c>
      <c r="L1869" s="2">
        <f t="shared" si="7"/>
        <v>120000</v>
      </c>
    </row>
    <row r="1870" spans="1:12" ht="14.25" customHeight="1" x14ac:dyDescent="0.2">
      <c r="A1870" s="33">
        <v>47544</v>
      </c>
      <c r="B1870" s="33"/>
      <c r="C1870" s="2" t="s">
        <v>11</v>
      </c>
      <c r="D1870" s="2" t="s">
        <v>32</v>
      </c>
      <c r="E1870" s="2" t="s">
        <v>13</v>
      </c>
      <c r="F1870" s="2" t="s">
        <v>20</v>
      </c>
      <c r="G1870" s="2" t="s">
        <v>15</v>
      </c>
      <c r="H1870" s="2" t="s">
        <v>16</v>
      </c>
      <c r="I1870" s="2">
        <v>85000</v>
      </c>
      <c r="J1870" s="2">
        <v>3</v>
      </c>
      <c r="K1870" s="2" t="s">
        <v>28</v>
      </c>
      <c r="L1870" s="2">
        <f t="shared" si="7"/>
        <v>68000</v>
      </c>
    </row>
    <row r="1871" spans="1:12" ht="14.25" customHeight="1" x14ac:dyDescent="0.2">
      <c r="A1871" s="33">
        <v>47545</v>
      </c>
      <c r="B1871" s="33"/>
      <c r="C1871" s="2" t="s">
        <v>29</v>
      </c>
      <c r="D1871" s="2" t="s">
        <v>19</v>
      </c>
      <c r="E1871" s="2" t="s">
        <v>13</v>
      </c>
      <c r="F1871" s="2" t="s">
        <v>20</v>
      </c>
      <c r="G1871" s="2" t="s">
        <v>30</v>
      </c>
      <c r="H1871" s="2" t="s">
        <v>31</v>
      </c>
      <c r="I1871" s="2">
        <v>300000</v>
      </c>
      <c r="J1871" s="2">
        <v>1</v>
      </c>
      <c r="K1871" s="2" t="s">
        <v>28</v>
      </c>
      <c r="L1871" s="2">
        <f t="shared" si="7"/>
        <v>240000</v>
      </c>
    </row>
    <row r="1872" spans="1:12" ht="14.25" customHeight="1" x14ac:dyDescent="0.2">
      <c r="A1872" s="33">
        <v>47546</v>
      </c>
      <c r="B1872" s="33"/>
      <c r="C1872" s="2" t="s">
        <v>25</v>
      </c>
      <c r="D1872" s="2" t="s">
        <v>19</v>
      </c>
      <c r="E1872" s="2" t="s">
        <v>23</v>
      </c>
      <c r="F1872" s="2" t="s">
        <v>14</v>
      </c>
      <c r="G1872" s="2" t="s">
        <v>33</v>
      </c>
      <c r="H1872" s="2" t="s">
        <v>22</v>
      </c>
      <c r="I1872" s="2">
        <v>180000</v>
      </c>
      <c r="J1872" s="2">
        <v>4</v>
      </c>
      <c r="K1872" s="2" t="s">
        <v>37</v>
      </c>
      <c r="L1872" s="2">
        <f t="shared" si="7"/>
        <v>144000</v>
      </c>
    </row>
    <row r="1873" spans="1:12" ht="14.25" customHeight="1" x14ac:dyDescent="0.2">
      <c r="A1873" s="33">
        <v>47547</v>
      </c>
      <c r="B1873" s="33"/>
      <c r="C1873" s="2" t="s">
        <v>11</v>
      </c>
      <c r="D1873" s="2" t="s">
        <v>19</v>
      </c>
      <c r="E1873" s="2" t="s">
        <v>13</v>
      </c>
      <c r="F1873" s="2" t="s">
        <v>14</v>
      </c>
      <c r="G1873" s="2" t="s">
        <v>38</v>
      </c>
      <c r="H1873" s="2" t="s">
        <v>31</v>
      </c>
      <c r="I1873" s="2">
        <v>420000</v>
      </c>
      <c r="J1873" s="2">
        <v>10</v>
      </c>
      <c r="K1873" s="2" t="s">
        <v>35</v>
      </c>
      <c r="L1873" s="2">
        <f t="shared" si="7"/>
        <v>336000</v>
      </c>
    </row>
    <row r="1874" spans="1:12" ht="14.25" customHeight="1" x14ac:dyDescent="0.2">
      <c r="A1874" s="33">
        <v>47548</v>
      </c>
      <c r="B1874" s="33"/>
      <c r="C1874" s="2" t="s">
        <v>29</v>
      </c>
      <c r="D1874" s="2" t="s">
        <v>32</v>
      </c>
      <c r="E1874" s="2" t="s">
        <v>23</v>
      </c>
      <c r="F1874" s="2" t="s">
        <v>14</v>
      </c>
      <c r="G1874" s="2" t="s">
        <v>36</v>
      </c>
      <c r="H1874" s="2" t="s">
        <v>31</v>
      </c>
      <c r="I1874" s="2">
        <v>150000</v>
      </c>
      <c r="J1874" s="2">
        <v>4</v>
      </c>
      <c r="K1874" s="2" t="s">
        <v>39</v>
      </c>
      <c r="L1874" s="2">
        <f t="shared" si="7"/>
        <v>120000</v>
      </c>
    </row>
    <row r="1875" spans="1:12" ht="14.25" customHeight="1" x14ac:dyDescent="0.2">
      <c r="A1875" s="33">
        <v>47549</v>
      </c>
      <c r="B1875" s="33"/>
      <c r="C1875" s="2" t="s">
        <v>18</v>
      </c>
      <c r="D1875" s="2" t="s">
        <v>26</v>
      </c>
      <c r="E1875" s="2" t="s">
        <v>13</v>
      </c>
      <c r="F1875" s="2" t="s">
        <v>14</v>
      </c>
      <c r="G1875" s="2" t="s">
        <v>15</v>
      </c>
      <c r="H1875" s="2" t="s">
        <v>16</v>
      </c>
      <c r="I1875" s="2">
        <v>85000</v>
      </c>
      <c r="J1875" s="2">
        <v>6</v>
      </c>
      <c r="K1875" s="2" t="s">
        <v>39</v>
      </c>
      <c r="L1875" s="2">
        <f t="shared" si="7"/>
        <v>68000</v>
      </c>
    </row>
    <row r="1876" spans="1:12" ht="14.25" customHeight="1" x14ac:dyDescent="0.2">
      <c r="A1876" s="33">
        <v>47550</v>
      </c>
      <c r="B1876" s="33"/>
      <c r="C1876" s="2" t="s">
        <v>25</v>
      </c>
      <c r="D1876" s="2" t="s">
        <v>12</v>
      </c>
      <c r="E1876" s="2" t="s">
        <v>23</v>
      </c>
      <c r="F1876" s="2" t="s">
        <v>20</v>
      </c>
      <c r="G1876" s="2" t="s">
        <v>30</v>
      </c>
      <c r="H1876" s="2" t="s">
        <v>31</v>
      </c>
      <c r="I1876" s="2">
        <v>300000</v>
      </c>
      <c r="J1876" s="2">
        <v>10</v>
      </c>
      <c r="K1876" s="2" t="s">
        <v>17</v>
      </c>
      <c r="L1876" s="2">
        <f t="shared" si="7"/>
        <v>240000</v>
      </c>
    </row>
    <row r="1877" spans="1:12" ht="14.25" customHeight="1" x14ac:dyDescent="0.2">
      <c r="A1877" s="33">
        <v>47551</v>
      </c>
      <c r="B1877" s="33"/>
      <c r="C1877" s="2" t="s">
        <v>18</v>
      </c>
      <c r="D1877" s="2" t="s">
        <v>19</v>
      </c>
      <c r="E1877" s="2" t="s">
        <v>23</v>
      </c>
      <c r="F1877" s="2" t="s">
        <v>20</v>
      </c>
      <c r="G1877" s="2" t="s">
        <v>36</v>
      </c>
      <c r="H1877" s="2" t="s">
        <v>31</v>
      </c>
      <c r="I1877" s="2">
        <v>150000</v>
      </c>
      <c r="J1877" s="2">
        <v>6</v>
      </c>
      <c r="K1877" s="2" t="s">
        <v>39</v>
      </c>
      <c r="L1877" s="2">
        <f t="shared" si="7"/>
        <v>120000</v>
      </c>
    </row>
    <row r="1878" spans="1:12" ht="14.25" customHeight="1" x14ac:dyDescent="0.2">
      <c r="A1878" s="33">
        <v>47552</v>
      </c>
      <c r="B1878" s="33"/>
      <c r="C1878" s="2" t="s">
        <v>25</v>
      </c>
      <c r="D1878" s="2" t="s">
        <v>12</v>
      </c>
      <c r="E1878" s="2" t="s">
        <v>23</v>
      </c>
      <c r="F1878" s="2" t="s">
        <v>20</v>
      </c>
      <c r="G1878" s="2" t="s">
        <v>36</v>
      </c>
      <c r="H1878" s="2" t="s">
        <v>31</v>
      </c>
      <c r="I1878" s="2">
        <v>150000</v>
      </c>
      <c r="J1878" s="2">
        <v>1</v>
      </c>
      <c r="K1878" s="2" t="s">
        <v>39</v>
      </c>
      <c r="L1878" s="2">
        <f t="shared" si="7"/>
        <v>120000</v>
      </c>
    </row>
    <row r="1879" spans="1:12" ht="14.25" customHeight="1" x14ac:dyDescent="0.2">
      <c r="A1879" s="33">
        <v>47553</v>
      </c>
      <c r="B1879" s="33"/>
      <c r="C1879" s="2" t="s">
        <v>29</v>
      </c>
      <c r="D1879" s="2" t="s">
        <v>12</v>
      </c>
      <c r="E1879" s="2" t="s">
        <v>13</v>
      </c>
      <c r="F1879" s="2" t="s">
        <v>20</v>
      </c>
      <c r="G1879" s="2" t="s">
        <v>30</v>
      </c>
      <c r="H1879" s="2" t="s">
        <v>31</v>
      </c>
      <c r="I1879" s="2">
        <v>300000</v>
      </c>
      <c r="J1879" s="2">
        <v>3</v>
      </c>
      <c r="K1879" s="2" t="s">
        <v>28</v>
      </c>
      <c r="L1879" s="2">
        <f t="shared" si="7"/>
        <v>240000</v>
      </c>
    </row>
    <row r="1880" spans="1:12" ht="14.25" customHeight="1" x14ac:dyDescent="0.2">
      <c r="A1880" s="33">
        <v>47554</v>
      </c>
      <c r="B1880" s="33"/>
      <c r="C1880" s="2" t="s">
        <v>29</v>
      </c>
      <c r="D1880" s="2" t="s">
        <v>12</v>
      </c>
      <c r="E1880" s="2" t="s">
        <v>13</v>
      </c>
      <c r="F1880" s="2" t="s">
        <v>14</v>
      </c>
      <c r="G1880" s="2" t="s">
        <v>30</v>
      </c>
      <c r="H1880" s="2" t="s">
        <v>31</v>
      </c>
      <c r="I1880" s="2">
        <v>300000</v>
      </c>
      <c r="J1880" s="2">
        <v>8</v>
      </c>
      <c r="K1880" s="2" t="s">
        <v>37</v>
      </c>
      <c r="L1880" s="2">
        <f t="shared" si="7"/>
        <v>240000</v>
      </c>
    </row>
    <row r="1881" spans="1:12" ht="14.25" customHeight="1" x14ac:dyDescent="0.2">
      <c r="A1881" s="33">
        <v>47555</v>
      </c>
      <c r="B1881" s="33"/>
      <c r="C1881" s="2" t="s">
        <v>18</v>
      </c>
      <c r="D1881" s="2" t="s">
        <v>12</v>
      </c>
      <c r="E1881" s="2" t="s">
        <v>23</v>
      </c>
      <c r="F1881" s="2" t="s">
        <v>14</v>
      </c>
      <c r="G1881" s="2" t="s">
        <v>30</v>
      </c>
      <c r="H1881" s="2" t="s">
        <v>31</v>
      </c>
      <c r="I1881" s="2">
        <v>300000</v>
      </c>
      <c r="J1881" s="2">
        <v>9</v>
      </c>
      <c r="K1881" s="2" t="s">
        <v>17</v>
      </c>
      <c r="L1881" s="2">
        <f t="shared" si="7"/>
        <v>240000</v>
      </c>
    </row>
    <row r="1882" spans="1:12" ht="14.25" customHeight="1" x14ac:dyDescent="0.2">
      <c r="A1882" s="33">
        <v>47556</v>
      </c>
      <c r="B1882" s="33"/>
      <c r="C1882" s="2" t="s">
        <v>29</v>
      </c>
      <c r="D1882" s="2" t="s">
        <v>19</v>
      </c>
      <c r="E1882" s="2" t="s">
        <v>13</v>
      </c>
      <c r="F1882" s="2" t="s">
        <v>14</v>
      </c>
      <c r="G1882" s="2" t="s">
        <v>30</v>
      </c>
      <c r="H1882" s="2" t="s">
        <v>31</v>
      </c>
      <c r="I1882" s="2">
        <v>300000</v>
      </c>
      <c r="J1882" s="2">
        <v>2</v>
      </c>
      <c r="K1882" s="2" t="s">
        <v>35</v>
      </c>
      <c r="L1882" s="2">
        <f t="shared" si="7"/>
        <v>240000</v>
      </c>
    </row>
    <row r="1883" spans="1:12" ht="14.25" customHeight="1" x14ac:dyDescent="0.2">
      <c r="A1883" s="33">
        <v>47557</v>
      </c>
      <c r="B1883" s="33"/>
      <c r="C1883" s="2" t="s">
        <v>29</v>
      </c>
      <c r="D1883" s="2" t="s">
        <v>12</v>
      </c>
      <c r="E1883" s="2" t="s">
        <v>23</v>
      </c>
      <c r="F1883" s="2" t="s">
        <v>20</v>
      </c>
      <c r="G1883" s="2" t="s">
        <v>30</v>
      </c>
      <c r="H1883" s="2" t="s">
        <v>31</v>
      </c>
      <c r="I1883" s="2">
        <v>300000</v>
      </c>
      <c r="J1883" s="2">
        <v>10</v>
      </c>
      <c r="K1883" s="2" t="s">
        <v>28</v>
      </c>
      <c r="L1883" s="2">
        <f t="shared" si="7"/>
        <v>240000</v>
      </c>
    </row>
    <row r="1884" spans="1:12" ht="14.25" customHeight="1" x14ac:dyDescent="0.2">
      <c r="A1884" s="33">
        <v>47558</v>
      </c>
      <c r="B1884" s="33"/>
      <c r="C1884" s="2" t="s">
        <v>11</v>
      </c>
      <c r="D1884" s="2" t="s">
        <v>26</v>
      </c>
      <c r="E1884" s="2" t="s">
        <v>23</v>
      </c>
      <c r="F1884" s="2" t="s">
        <v>20</v>
      </c>
      <c r="G1884" s="2" t="s">
        <v>41</v>
      </c>
      <c r="H1884" s="2" t="s">
        <v>22</v>
      </c>
      <c r="I1884" s="2">
        <v>220000</v>
      </c>
      <c r="J1884" s="2">
        <v>4</v>
      </c>
      <c r="K1884" s="2" t="s">
        <v>37</v>
      </c>
      <c r="L1884" s="2">
        <f t="shared" si="7"/>
        <v>176000</v>
      </c>
    </row>
    <row r="1885" spans="1:12" ht="14.25" customHeight="1" x14ac:dyDescent="0.2">
      <c r="A1885" s="33">
        <v>47559</v>
      </c>
      <c r="B1885" s="33"/>
      <c r="C1885" s="2" t="s">
        <v>29</v>
      </c>
      <c r="D1885" s="2" t="s">
        <v>19</v>
      </c>
      <c r="E1885" s="2" t="s">
        <v>23</v>
      </c>
      <c r="F1885" s="2" t="s">
        <v>14</v>
      </c>
      <c r="G1885" s="2" t="s">
        <v>15</v>
      </c>
      <c r="H1885" s="2" t="s">
        <v>16</v>
      </c>
      <c r="I1885" s="2">
        <v>85000</v>
      </c>
      <c r="J1885" s="2">
        <v>6</v>
      </c>
      <c r="K1885" s="2" t="s">
        <v>37</v>
      </c>
      <c r="L1885" s="2">
        <f t="shared" si="7"/>
        <v>68000</v>
      </c>
    </row>
    <row r="1886" spans="1:12" ht="14.25" customHeight="1" x14ac:dyDescent="0.2">
      <c r="A1886" s="33">
        <v>47560</v>
      </c>
      <c r="B1886" s="33"/>
      <c r="C1886" s="2" t="s">
        <v>11</v>
      </c>
      <c r="D1886" s="2" t="s">
        <v>26</v>
      </c>
      <c r="E1886" s="2" t="s">
        <v>23</v>
      </c>
      <c r="F1886" s="2" t="s">
        <v>20</v>
      </c>
      <c r="G1886" s="2" t="s">
        <v>27</v>
      </c>
      <c r="H1886" s="2" t="s">
        <v>22</v>
      </c>
      <c r="I1886" s="2">
        <v>60000</v>
      </c>
      <c r="J1886" s="2">
        <v>4</v>
      </c>
      <c r="K1886" s="2" t="s">
        <v>28</v>
      </c>
      <c r="L1886" s="2">
        <f t="shared" si="7"/>
        <v>48000</v>
      </c>
    </row>
    <row r="1887" spans="1:12" ht="14.25" customHeight="1" x14ac:dyDescent="0.2">
      <c r="A1887" s="33">
        <v>47561</v>
      </c>
      <c r="B1887" s="33"/>
      <c r="C1887" s="2" t="s">
        <v>18</v>
      </c>
      <c r="D1887" s="2" t="s">
        <v>12</v>
      </c>
      <c r="E1887" s="2" t="s">
        <v>13</v>
      </c>
      <c r="F1887" s="2" t="s">
        <v>20</v>
      </c>
      <c r="G1887" s="2" t="s">
        <v>41</v>
      </c>
      <c r="H1887" s="2" t="s">
        <v>22</v>
      </c>
      <c r="I1887" s="2">
        <v>220000</v>
      </c>
      <c r="J1887" s="2">
        <v>2</v>
      </c>
      <c r="K1887" s="2" t="s">
        <v>24</v>
      </c>
      <c r="L1887" s="2">
        <f t="shared" si="7"/>
        <v>176000</v>
      </c>
    </row>
    <row r="1888" spans="1:12" ht="14.25" customHeight="1" x14ac:dyDescent="0.2">
      <c r="A1888" s="33">
        <v>47562</v>
      </c>
      <c r="B1888" s="33"/>
      <c r="C1888" s="2" t="s">
        <v>18</v>
      </c>
      <c r="D1888" s="2" t="s">
        <v>32</v>
      </c>
      <c r="E1888" s="2" t="s">
        <v>23</v>
      </c>
      <c r="F1888" s="2" t="s">
        <v>14</v>
      </c>
      <c r="G1888" s="2" t="s">
        <v>30</v>
      </c>
      <c r="H1888" s="2" t="s">
        <v>31</v>
      </c>
      <c r="I1888" s="2">
        <v>300000</v>
      </c>
      <c r="J1888" s="2">
        <v>3</v>
      </c>
      <c r="K1888" s="2" t="s">
        <v>17</v>
      </c>
      <c r="L1888" s="2">
        <f t="shared" si="7"/>
        <v>240000</v>
      </c>
    </row>
    <row r="1889" spans="1:12" ht="14.25" customHeight="1" x14ac:dyDescent="0.2">
      <c r="A1889" s="33">
        <v>47563</v>
      </c>
      <c r="B1889" s="33"/>
      <c r="C1889" s="2" t="s">
        <v>25</v>
      </c>
      <c r="D1889" s="2" t="s">
        <v>12</v>
      </c>
      <c r="E1889" s="2" t="s">
        <v>23</v>
      </c>
      <c r="F1889" s="2" t="s">
        <v>14</v>
      </c>
      <c r="G1889" s="2" t="s">
        <v>41</v>
      </c>
      <c r="H1889" s="2" t="s">
        <v>22</v>
      </c>
      <c r="I1889" s="2">
        <v>220000</v>
      </c>
      <c r="J1889" s="2">
        <v>8</v>
      </c>
      <c r="K1889" s="2" t="s">
        <v>39</v>
      </c>
      <c r="L1889" s="2">
        <f t="shared" si="7"/>
        <v>176000</v>
      </c>
    </row>
    <row r="1890" spans="1:12" ht="14.25" customHeight="1" x14ac:dyDescent="0.2">
      <c r="A1890" s="33">
        <v>47564</v>
      </c>
      <c r="B1890" s="33"/>
      <c r="C1890" s="2" t="s">
        <v>11</v>
      </c>
      <c r="D1890" s="2" t="s">
        <v>12</v>
      </c>
      <c r="E1890" s="2" t="s">
        <v>13</v>
      </c>
      <c r="F1890" s="2" t="s">
        <v>14</v>
      </c>
      <c r="G1890" s="2" t="s">
        <v>40</v>
      </c>
      <c r="H1890" s="2" t="s">
        <v>31</v>
      </c>
      <c r="I1890" s="2">
        <v>250000</v>
      </c>
      <c r="J1890" s="2">
        <v>8</v>
      </c>
      <c r="K1890" s="2" t="s">
        <v>37</v>
      </c>
      <c r="L1890" s="2">
        <f t="shared" si="7"/>
        <v>200000</v>
      </c>
    </row>
    <row r="1891" spans="1:12" ht="14.25" customHeight="1" x14ac:dyDescent="0.2">
      <c r="A1891" s="33">
        <v>47565</v>
      </c>
      <c r="B1891" s="33"/>
      <c r="C1891" s="2" t="s">
        <v>25</v>
      </c>
      <c r="D1891" s="2" t="s">
        <v>12</v>
      </c>
      <c r="E1891" s="2" t="s">
        <v>13</v>
      </c>
      <c r="F1891" s="2" t="s">
        <v>14</v>
      </c>
      <c r="G1891" s="2" t="s">
        <v>15</v>
      </c>
      <c r="H1891" s="2" t="s">
        <v>16</v>
      </c>
      <c r="I1891" s="2">
        <v>85000</v>
      </c>
      <c r="J1891" s="2">
        <v>2</v>
      </c>
      <c r="K1891" s="2" t="s">
        <v>17</v>
      </c>
      <c r="L1891" s="2">
        <f t="shared" si="7"/>
        <v>68000</v>
      </c>
    </row>
    <row r="1892" spans="1:12" ht="14.25" customHeight="1" x14ac:dyDescent="0.2">
      <c r="A1892" s="33">
        <v>47566</v>
      </c>
      <c r="B1892" s="33"/>
      <c r="C1892" s="2" t="s">
        <v>29</v>
      </c>
      <c r="D1892" s="2" t="s">
        <v>26</v>
      </c>
      <c r="E1892" s="2" t="s">
        <v>23</v>
      </c>
      <c r="F1892" s="2" t="s">
        <v>20</v>
      </c>
      <c r="G1892" s="2" t="s">
        <v>36</v>
      </c>
      <c r="H1892" s="2" t="s">
        <v>31</v>
      </c>
      <c r="I1892" s="2">
        <v>150000</v>
      </c>
      <c r="J1892" s="2">
        <v>7</v>
      </c>
      <c r="K1892" s="2" t="s">
        <v>37</v>
      </c>
      <c r="L1892" s="2">
        <f t="shared" si="7"/>
        <v>120000</v>
      </c>
    </row>
    <row r="1893" spans="1:12" ht="14.25" customHeight="1" x14ac:dyDescent="0.2">
      <c r="A1893" s="33">
        <v>47567</v>
      </c>
      <c r="B1893" s="33"/>
      <c r="C1893" s="2" t="s">
        <v>25</v>
      </c>
      <c r="D1893" s="2" t="s">
        <v>26</v>
      </c>
      <c r="E1893" s="2" t="s">
        <v>13</v>
      </c>
      <c r="F1893" s="2" t="s">
        <v>14</v>
      </c>
      <c r="G1893" s="2" t="s">
        <v>21</v>
      </c>
      <c r="H1893" s="2" t="s">
        <v>22</v>
      </c>
      <c r="I1893" s="2">
        <v>30000</v>
      </c>
      <c r="J1893" s="2">
        <v>8</v>
      </c>
      <c r="K1893" s="2" t="s">
        <v>28</v>
      </c>
      <c r="L1893" s="2">
        <f t="shared" si="7"/>
        <v>24000</v>
      </c>
    </row>
    <row r="1894" spans="1:12" ht="14.25" customHeight="1" x14ac:dyDescent="0.2">
      <c r="A1894" s="33">
        <v>47568</v>
      </c>
      <c r="B1894" s="33"/>
      <c r="C1894" s="2" t="s">
        <v>11</v>
      </c>
      <c r="D1894" s="2" t="s">
        <v>12</v>
      </c>
      <c r="E1894" s="2" t="s">
        <v>23</v>
      </c>
      <c r="F1894" s="2" t="s">
        <v>14</v>
      </c>
      <c r="G1894" s="2" t="s">
        <v>15</v>
      </c>
      <c r="H1894" s="2" t="s">
        <v>16</v>
      </c>
      <c r="I1894" s="2">
        <v>85000</v>
      </c>
      <c r="J1894" s="2">
        <v>2</v>
      </c>
      <c r="K1894" s="2" t="s">
        <v>37</v>
      </c>
      <c r="L1894" s="2">
        <f t="shared" si="7"/>
        <v>68000</v>
      </c>
    </row>
    <row r="1895" spans="1:12" ht="14.25" customHeight="1" x14ac:dyDescent="0.2">
      <c r="A1895" s="33">
        <v>47569</v>
      </c>
      <c r="B1895" s="33"/>
      <c r="C1895" s="2" t="s">
        <v>11</v>
      </c>
      <c r="D1895" s="2" t="s">
        <v>32</v>
      </c>
      <c r="E1895" s="2" t="s">
        <v>13</v>
      </c>
      <c r="F1895" s="2" t="s">
        <v>14</v>
      </c>
      <c r="G1895" s="2" t="s">
        <v>33</v>
      </c>
      <c r="H1895" s="2" t="s">
        <v>22</v>
      </c>
      <c r="I1895" s="2">
        <v>180000</v>
      </c>
      <c r="J1895" s="2">
        <v>5</v>
      </c>
      <c r="K1895" s="2" t="s">
        <v>24</v>
      </c>
      <c r="L1895" s="2">
        <f t="shared" si="7"/>
        <v>144000</v>
      </c>
    </row>
    <row r="1896" spans="1:12" ht="14.25" customHeight="1" x14ac:dyDescent="0.2">
      <c r="A1896" s="33">
        <v>47570</v>
      </c>
      <c r="B1896" s="33"/>
      <c r="C1896" s="2" t="s">
        <v>11</v>
      </c>
      <c r="D1896" s="2" t="s">
        <v>26</v>
      </c>
      <c r="E1896" s="2" t="s">
        <v>13</v>
      </c>
      <c r="F1896" s="2" t="s">
        <v>14</v>
      </c>
      <c r="G1896" s="2" t="s">
        <v>15</v>
      </c>
      <c r="H1896" s="2" t="s">
        <v>16</v>
      </c>
      <c r="I1896" s="2">
        <v>85000</v>
      </c>
      <c r="J1896" s="2">
        <v>9</v>
      </c>
      <c r="K1896" s="2" t="s">
        <v>37</v>
      </c>
      <c r="L1896" s="2">
        <f t="shared" si="7"/>
        <v>68000</v>
      </c>
    </row>
    <row r="1897" spans="1:12" ht="14.25" customHeight="1" x14ac:dyDescent="0.2">
      <c r="A1897" s="33">
        <v>47571</v>
      </c>
      <c r="B1897" s="33"/>
      <c r="C1897" s="2" t="s">
        <v>11</v>
      </c>
      <c r="D1897" s="2" t="s">
        <v>32</v>
      </c>
      <c r="E1897" s="2" t="s">
        <v>23</v>
      </c>
      <c r="F1897" s="2" t="s">
        <v>14</v>
      </c>
      <c r="G1897" s="2" t="s">
        <v>38</v>
      </c>
      <c r="H1897" s="2" t="s">
        <v>31</v>
      </c>
      <c r="I1897" s="2">
        <v>420000</v>
      </c>
      <c r="J1897" s="2">
        <v>9</v>
      </c>
      <c r="K1897" s="2" t="s">
        <v>24</v>
      </c>
      <c r="L1897" s="2">
        <f t="shared" si="7"/>
        <v>336000</v>
      </c>
    </row>
    <row r="1898" spans="1:12" ht="14.25" customHeight="1" x14ac:dyDescent="0.2">
      <c r="A1898" s="33">
        <v>47572</v>
      </c>
      <c r="B1898" s="33"/>
      <c r="C1898" s="2" t="s">
        <v>29</v>
      </c>
      <c r="D1898" s="2" t="s">
        <v>32</v>
      </c>
      <c r="E1898" s="2" t="s">
        <v>13</v>
      </c>
      <c r="F1898" s="2" t="s">
        <v>14</v>
      </c>
      <c r="G1898" s="2" t="s">
        <v>34</v>
      </c>
      <c r="H1898" s="2" t="s">
        <v>16</v>
      </c>
      <c r="I1898" s="2">
        <v>320000</v>
      </c>
      <c r="J1898" s="2">
        <v>5</v>
      </c>
      <c r="K1898" s="2" t="s">
        <v>17</v>
      </c>
      <c r="L1898" s="2">
        <f t="shared" si="7"/>
        <v>256000</v>
      </c>
    </row>
    <row r="1899" spans="1:12" ht="14.25" customHeight="1" x14ac:dyDescent="0.2">
      <c r="A1899" s="33">
        <v>47573</v>
      </c>
      <c r="B1899" s="33"/>
      <c r="C1899" s="2" t="s">
        <v>11</v>
      </c>
      <c r="D1899" s="2" t="s">
        <v>19</v>
      </c>
      <c r="E1899" s="2" t="s">
        <v>13</v>
      </c>
      <c r="F1899" s="2" t="s">
        <v>14</v>
      </c>
      <c r="G1899" s="2" t="s">
        <v>34</v>
      </c>
      <c r="H1899" s="2" t="s">
        <v>16</v>
      </c>
      <c r="I1899" s="2">
        <v>320000</v>
      </c>
      <c r="J1899" s="2">
        <v>1</v>
      </c>
      <c r="K1899" s="2" t="s">
        <v>37</v>
      </c>
      <c r="L1899" s="2">
        <f t="shared" si="7"/>
        <v>256000</v>
      </c>
    </row>
    <row r="1900" spans="1:12" ht="14.25" customHeight="1" x14ac:dyDescent="0.2">
      <c r="A1900" s="33">
        <v>47574</v>
      </c>
      <c r="B1900" s="33"/>
      <c r="C1900" s="2" t="s">
        <v>29</v>
      </c>
      <c r="D1900" s="2" t="s">
        <v>26</v>
      </c>
      <c r="E1900" s="2" t="s">
        <v>13</v>
      </c>
      <c r="F1900" s="2" t="s">
        <v>14</v>
      </c>
      <c r="G1900" s="2" t="s">
        <v>21</v>
      </c>
      <c r="H1900" s="2" t="s">
        <v>22</v>
      </c>
      <c r="I1900" s="2">
        <v>30000</v>
      </c>
      <c r="J1900" s="2">
        <v>10</v>
      </c>
      <c r="K1900" s="2" t="s">
        <v>35</v>
      </c>
      <c r="L1900" s="2">
        <f t="shared" si="7"/>
        <v>24000</v>
      </c>
    </row>
    <row r="1901" spans="1:12" ht="14.25" customHeight="1" x14ac:dyDescent="0.2">
      <c r="A1901" s="33">
        <v>47575</v>
      </c>
      <c r="B1901" s="33"/>
      <c r="C1901" s="2" t="s">
        <v>18</v>
      </c>
      <c r="D1901" s="2" t="s">
        <v>12</v>
      </c>
      <c r="E1901" s="2" t="s">
        <v>13</v>
      </c>
      <c r="F1901" s="2" t="s">
        <v>20</v>
      </c>
      <c r="G1901" s="2" t="s">
        <v>33</v>
      </c>
      <c r="H1901" s="2" t="s">
        <v>22</v>
      </c>
      <c r="I1901" s="2">
        <v>180000</v>
      </c>
      <c r="J1901" s="2">
        <v>10</v>
      </c>
      <c r="K1901" s="2" t="s">
        <v>39</v>
      </c>
      <c r="L1901" s="2">
        <f t="shared" si="7"/>
        <v>144000</v>
      </c>
    </row>
    <row r="1902" spans="1:12" ht="14.25" customHeight="1" x14ac:dyDescent="0.2">
      <c r="A1902" s="33">
        <v>47576</v>
      </c>
      <c r="B1902" s="33"/>
      <c r="C1902" s="2" t="s">
        <v>11</v>
      </c>
      <c r="D1902" s="2" t="s">
        <v>26</v>
      </c>
      <c r="E1902" s="2" t="s">
        <v>23</v>
      </c>
      <c r="F1902" s="2" t="s">
        <v>14</v>
      </c>
      <c r="G1902" s="2" t="s">
        <v>34</v>
      </c>
      <c r="H1902" s="2" t="s">
        <v>16</v>
      </c>
      <c r="I1902" s="2">
        <v>320000</v>
      </c>
      <c r="J1902" s="2">
        <v>9</v>
      </c>
      <c r="K1902" s="2" t="s">
        <v>28</v>
      </c>
      <c r="L1902" s="2">
        <f t="shared" si="7"/>
        <v>256000</v>
      </c>
    </row>
    <row r="1903" spans="1:12" ht="14.25" customHeight="1" x14ac:dyDescent="0.2">
      <c r="A1903" s="33">
        <v>47577</v>
      </c>
      <c r="B1903" s="33"/>
      <c r="C1903" s="2" t="s">
        <v>11</v>
      </c>
      <c r="D1903" s="2" t="s">
        <v>32</v>
      </c>
      <c r="E1903" s="2" t="s">
        <v>23</v>
      </c>
      <c r="F1903" s="2" t="s">
        <v>14</v>
      </c>
      <c r="G1903" s="2" t="s">
        <v>38</v>
      </c>
      <c r="H1903" s="2" t="s">
        <v>31</v>
      </c>
      <c r="I1903" s="2">
        <v>420000</v>
      </c>
      <c r="J1903" s="2">
        <v>2</v>
      </c>
      <c r="K1903" s="2" t="s">
        <v>37</v>
      </c>
      <c r="L1903" s="2">
        <f t="shared" si="7"/>
        <v>336000</v>
      </c>
    </row>
    <row r="1904" spans="1:12" ht="14.25" customHeight="1" x14ac:dyDescent="0.2">
      <c r="A1904" s="33">
        <v>47578</v>
      </c>
      <c r="B1904" s="33"/>
      <c r="C1904" s="2" t="s">
        <v>29</v>
      </c>
      <c r="D1904" s="2" t="s">
        <v>12</v>
      </c>
      <c r="E1904" s="2" t="s">
        <v>13</v>
      </c>
      <c r="F1904" s="2" t="s">
        <v>14</v>
      </c>
      <c r="G1904" s="2" t="s">
        <v>30</v>
      </c>
      <c r="H1904" s="2" t="s">
        <v>31</v>
      </c>
      <c r="I1904" s="2">
        <v>300000</v>
      </c>
      <c r="J1904" s="2">
        <v>6</v>
      </c>
      <c r="K1904" s="2" t="s">
        <v>28</v>
      </c>
      <c r="L1904" s="2">
        <f t="shared" si="7"/>
        <v>240000</v>
      </c>
    </row>
    <row r="1905" spans="1:12" ht="14.25" customHeight="1" x14ac:dyDescent="0.2">
      <c r="A1905" s="33">
        <v>47579</v>
      </c>
      <c r="B1905" s="33"/>
      <c r="C1905" s="2" t="s">
        <v>29</v>
      </c>
      <c r="D1905" s="2" t="s">
        <v>26</v>
      </c>
      <c r="E1905" s="2" t="s">
        <v>23</v>
      </c>
      <c r="F1905" s="2" t="s">
        <v>20</v>
      </c>
      <c r="G1905" s="2" t="s">
        <v>21</v>
      </c>
      <c r="H1905" s="2" t="s">
        <v>22</v>
      </c>
      <c r="I1905" s="2">
        <v>30000</v>
      </c>
      <c r="J1905" s="2">
        <v>4</v>
      </c>
      <c r="K1905" s="2" t="s">
        <v>24</v>
      </c>
      <c r="L1905" s="2">
        <f t="shared" si="7"/>
        <v>24000</v>
      </c>
    </row>
    <row r="1906" spans="1:12" ht="14.25" customHeight="1" x14ac:dyDescent="0.2">
      <c r="A1906" s="33">
        <v>47580</v>
      </c>
      <c r="B1906" s="33"/>
      <c r="C1906" s="2" t="s">
        <v>25</v>
      </c>
      <c r="D1906" s="2" t="s">
        <v>32</v>
      </c>
      <c r="E1906" s="2" t="s">
        <v>23</v>
      </c>
      <c r="F1906" s="2" t="s">
        <v>20</v>
      </c>
      <c r="G1906" s="2" t="s">
        <v>34</v>
      </c>
      <c r="H1906" s="2" t="s">
        <v>16</v>
      </c>
      <c r="I1906" s="2">
        <v>320000</v>
      </c>
      <c r="J1906" s="2">
        <v>7</v>
      </c>
      <c r="K1906" s="2" t="s">
        <v>28</v>
      </c>
      <c r="L1906" s="2">
        <f t="shared" si="7"/>
        <v>256000</v>
      </c>
    </row>
    <row r="1907" spans="1:12" ht="14.25" customHeight="1" x14ac:dyDescent="0.2">
      <c r="A1907" s="33">
        <v>47581</v>
      </c>
      <c r="B1907" s="33"/>
      <c r="C1907" s="2" t="s">
        <v>29</v>
      </c>
      <c r="D1907" s="2" t="s">
        <v>26</v>
      </c>
      <c r="E1907" s="2" t="s">
        <v>23</v>
      </c>
      <c r="F1907" s="2" t="s">
        <v>20</v>
      </c>
      <c r="G1907" s="2" t="s">
        <v>34</v>
      </c>
      <c r="H1907" s="2" t="s">
        <v>16</v>
      </c>
      <c r="I1907" s="2">
        <v>320000</v>
      </c>
      <c r="J1907" s="2">
        <v>1</v>
      </c>
      <c r="K1907" s="2" t="s">
        <v>37</v>
      </c>
      <c r="L1907" s="2">
        <f t="shared" si="7"/>
        <v>256000</v>
      </c>
    </row>
    <row r="1908" spans="1:12" ht="14.25" customHeight="1" x14ac:dyDescent="0.2">
      <c r="A1908" s="33">
        <v>47582</v>
      </c>
      <c r="B1908" s="33"/>
      <c r="C1908" s="2" t="s">
        <v>29</v>
      </c>
      <c r="D1908" s="2" t="s">
        <v>26</v>
      </c>
      <c r="E1908" s="2" t="s">
        <v>23</v>
      </c>
      <c r="F1908" s="2" t="s">
        <v>14</v>
      </c>
      <c r="G1908" s="2" t="s">
        <v>30</v>
      </c>
      <c r="H1908" s="2" t="s">
        <v>31</v>
      </c>
      <c r="I1908" s="2">
        <v>300000</v>
      </c>
      <c r="J1908" s="2">
        <v>3</v>
      </c>
      <c r="K1908" s="2" t="s">
        <v>35</v>
      </c>
      <c r="L1908" s="2">
        <f t="shared" si="7"/>
        <v>240000</v>
      </c>
    </row>
    <row r="1909" spans="1:12" ht="14.25" customHeight="1" x14ac:dyDescent="0.2">
      <c r="A1909" s="33">
        <v>47583</v>
      </c>
      <c r="B1909" s="33"/>
      <c r="C1909" s="2" t="s">
        <v>29</v>
      </c>
      <c r="D1909" s="2" t="s">
        <v>19</v>
      </c>
      <c r="E1909" s="2" t="s">
        <v>23</v>
      </c>
      <c r="F1909" s="2" t="s">
        <v>14</v>
      </c>
      <c r="G1909" s="2" t="s">
        <v>21</v>
      </c>
      <c r="H1909" s="2" t="s">
        <v>22</v>
      </c>
      <c r="I1909" s="2">
        <v>30000</v>
      </c>
      <c r="J1909" s="2">
        <v>6</v>
      </c>
      <c r="K1909" s="2" t="s">
        <v>28</v>
      </c>
      <c r="L1909" s="2">
        <f t="shared" si="7"/>
        <v>24000</v>
      </c>
    </row>
    <row r="1910" spans="1:12" ht="14.25" customHeight="1" x14ac:dyDescent="0.2">
      <c r="A1910" s="33">
        <v>47584</v>
      </c>
      <c r="B1910" s="33"/>
      <c r="C1910" s="2" t="s">
        <v>18</v>
      </c>
      <c r="D1910" s="2" t="s">
        <v>26</v>
      </c>
      <c r="E1910" s="2" t="s">
        <v>23</v>
      </c>
      <c r="F1910" s="2" t="s">
        <v>20</v>
      </c>
      <c r="G1910" s="2" t="s">
        <v>41</v>
      </c>
      <c r="H1910" s="2" t="s">
        <v>22</v>
      </c>
      <c r="I1910" s="2">
        <v>220000</v>
      </c>
      <c r="J1910" s="2">
        <v>1</v>
      </c>
      <c r="K1910" s="2" t="s">
        <v>28</v>
      </c>
      <c r="L1910" s="2">
        <f t="shared" si="7"/>
        <v>176000</v>
      </c>
    </row>
    <row r="1911" spans="1:12" ht="14.25" customHeight="1" x14ac:dyDescent="0.2">
      <c r="A1911" s="33">
        <v>47585</v>
      </c>
      <c r="B1911" s="33"/>
      <c r="C1911" s="2" t="s">
        <v>29</v>
      </c>
      <c r="D1911" s="2" t="s">
        <v>32</v>
      </c>
      <c r="E1911" s="2" t="s">
        <v>13</v>
      </c>
      <c r="F1911" s="2" t="s">
        <v>14</v>
      </c>
      <c r="G1911" s="2" t="s">
        <v>21</v>
      </c>
      <c r="H1911" s="2" t="s">
        <v>22</v>
      </c>
      <c r="I1911" s="2">
        <v>30000</v>
      </c>
      <c r="J1911" s="2">
        <v>9</v>
      </c>
      <c r="K1911" s="2" t="s">
        <v>35</v>
      </c>
      <c r="L1911" s="2">
        <f t="shared" si="7"/>
        <v>24000</v>
      </c>
    </row>
    <row r="1912" spans="1:12" ht="14.25" customHeight="1" x14ac:dyDescent="0.2">
      <c r="A1912" s="33">
        <v>47586</v>
      </c>
      <c r="B1912" s="33"/>
      <c r="C1912" s="2" t="s">
        <v>11</v>
      </c>
      <c r="D1912" s="2" t="s">
        <v>12</v>
      </c>
      <c r="E1912" s="2" t="s">
        <v>23</v>
      </c>
      <c r="F1912" s="2" t="s">
        <v>14</v>
      </c>
      <c r="G1912" s="2" t="s">
        <v>41</v>
      </c>
      <c r="H1912" s="2" t="s">
        <v>22</v>
      </c>
      <c r="I1912" s="2">
        <v>220000</v>
      </c>
      <c r="J1912" s="2">
        <v>10</v>
      </c>
      <c r="K1912" s="2" t="s">
        <v>35</v>
      </c>
      <c r="L1912" s="2">
        <f t="shared" si="7"/>
        <v>176000</v>
      </c>
    </row>
    <row r="1913" spans="1:12" ht="14.25" customHeight="1" x14ac:dyDescent="0.2">
      <c r="A1913" s="33">
        <v>47587</v>
      </c>
      <c r="B1913" s="33"/>
      <c r="C1913" s="2" t="s">
        <v>18</v>
      </c>
      <c r="D1913" s="2" t="s">
        <v>26</v>
      </c>
      <c r="E1913" s="2" t="s">
        <v>13</v>
      </c>
      <c r="F1913" s="2" t="s">
        <v>14</v>
      </c>
      <c r="G1913" s="2" t="s">
        <v>41</v>
      </c>
      <c r="H1913" s="2" t="s">
        <v>22</v>
      </c>
      <c r="I1913" s="2">
        <v>220000</v>
      </c>
      <c r="J1913" s="2">
        <v>9</v>
      </c>
      <c r="K1913" s="2" t="s">
        <v>17</v>
      </c>
      <c r="L1913" s="2">
        <f t="shared" si="7"/>
        <v>176000</v>
      </c>
    </row>
    <row r="1914" spans="1:12" ht="14.25" customHeight="1" x14ac:dyDescent="0.2">
      <c r="A1914" s="33">
        <v>47588</v>
      </c>
      <c r="B1914" s="33"/>
      <c r="C1914" s="2" t="s">
        <v>11</v>
      </c>
      <c r="D1914" s="2" t="s">
        <v>32</v>
      </c>
      <c r="E1914" s="2" t="s">
        <v>23</v>
      </c>
      <c r="F1914" s="2" t="s">
        <v>14</v>
      </c>
      <c r="G1914" s="2" t="s">
        <v>27</v>
      </c>
      <c r="H1914" s="2" t="s">
        <v>22</v>
      </c>
      <c r="I1914" s="2">
        <v>60000</v>
      </c>
      <c r="J1914" s="2">
        <v>4</v>
      </c>
      <c r="K1914" s="2" t="s">
        <v>24</v>
      </c>
      <c r="L1914" s="2">
        <f t="shared" si="7"/>
        <v>48000</v>
      </c>
    </row>
    <row r="1915" spans="1:12" ht="14.25" customHeight="1" x14ac:dyDescent="0.2">
      <c r="A1915" s="33">
        <v>47589</v>
      </c>
      <c r="B1915" s="33"/>
      <c r="C1915" s="2" t="s">
        <v>25</v>
      </c>
      <c r="D1915" s="2" t="s">
        <v>26</v>
      </c>
      <c r="E1915" s="2" t="s">
        <v>23</v>
      </c>
      <c r="F1915" s="2" t="s">
        <v>20</v>
      </c>
      <c r="G1915" s="2" t="s">
        <v>41</v>
      </c>
      <c r="H1915" s="2" t="s">
        <v>22</v>
      </c>
      <c r="I1915" s="2">
        <v>220000</v>
      </c>
      <c r="J1915" s="2">
        <v>7</v>
      </c>
      <c r="K1915" s="2" t="s">
        <v>24</v>
      </c>
      <c r="L1915" s="2">
        <f t="shared" si="7"/>
        <v>176000</v>
      </c>
    </row>
    <row r="1916" spans="1:12" ht="14.25" customHeight="1" x14ac:dyDescent="0.2">
      <c r="A1916" s="33">
        <v>47590</v>
      </c>
      <c r="B1916" s="33"/>
      <c r="C1916" s="2" t="s">
        <v>11</v>
      </c>
      <c r="D1916" s="2" t="s">
        <v>26</v>
      </c>
      <c r="E1916" s="2" t="s">
        <v>13</v>
      </c>
      <c r="F1916" s="2" t="s">
        <v>20</v>
      </c>
      <c r="G1916" s="2" t="s">
        <v>34</v>
      </c>
      <c r="H1916" s="2" t="s">
        <v>16</v>
      </c>
      <c r="I1916" s="2">
        <v>320000</v>
      </c>
      <c r="J1916" s="2">
        <v>9</v>
      </c>
      <c r="K1916" s="2" t="s">
        <v>28</v>
      </c>
      <c r="L1916" s="2">
        <f t="shared" si="7"/>
        <v>256000</v>
      </c>
    </row>
    <row r="1917" spans="1:12" ht="14.25" customHeight="1" x14ac:dyDescent="0.2">
      <c r="A1917" s="33">
        <v>47591</v>
      </c>
      <c r="B1917" s="33"/>
      <c r="C1917" s="2" t="s">
        <v>11</v>
      </c>
      <c r="D1917" s="2" t="s">
        <v>19</v>
      </c>
      <c r="E1917" s="2" t="s">
        <v>23</v>
      </c>
      <c r="F1917" s="2" t="s">
        <v>20</v>
      </c>
      <c r="G1917" s="2" t="s">
        <v>15</v>
      </c>
      <c r="H1917" s="2" t="s">
        <v>16</v>
      </c>
      <c r="I1917" s="2">
        <v>85000</v>
      </c>
      <c r="J1917" s="2">
        <v>5</v>
      </c>
      <c r="K1917" s="2" t="s">
        <v>39</v>
      </c>
      <c r="L1917" s="2">
        <f t="shared" si="7"/>
        <v>68000</v>
      </c>
    </row>
    <row r="1918" spans="1:12" ht="14.25" customHeight="1" x14ac:dyDescent="0.2">
      <c r="A1918" s="33">
        <v>47592</v>
      </c>
      <c r="B1918" s="33"/>
      <c r="C1918" s="2" t="s">
        <v>29</v>
      </c>
      <c r="D1918" s="2" t="s">
        <v>32</v>
      </c>
      <c r="E1918" s="2" t="s">
        <v>13</v>
      </c>
      <c r="F1918" s="2" t="s">
        <v>14</v>
      </c>
      <c r="G1918" s="2" t="s">
        <v>40</v>
      </c>
      <c r="H1918" s="2" t="s">
        <v>31</v>
      </c>
      <c r="I1918" s="2">
        <v>250000</v>
      </c>
      <c r="J1918" s="2">
        <v>10</v>
      </c>
      <c r="K1918" s="2" t="s">
        <v>37</v>
      </c>
      <c r="L1918" s="2">
        <f t="shared" si="7"/>
        <v>200000</v>
      </c>
    </row>
    <row r="1919" spans="1:12" ht="14.25" customHeight="1" x14ac:dyDescent="0.2">
      <c r="A1919" s="33">
        <v>47593</v>
      </c>
      <c r="B1919" s="33"/>
      <c r="C1919" s="2" t="s">
        <v>18</v>
      </c>
      <c r="D1919" s="2" t="s">
        <v>32</v>
      </c>
      <c r="E1919" s="2" t="s">
        <v>13</v>
      </c>
      <c r="F1919" s="2" t="s">
        <v>20</v>
      </c>
      <c r="G1919" s="2" t="s">
        <v>34</v>
      </c>
      <c r="H1919" s="2" t="s">
        <v>16</v>
      </c>
      <c r="I1919" s="2">
        <v>320000</v>
      </c>
      <c r="J1919" s="2">
        <v>8</v>
      </c>
      <c r="K1919" s="2" t="s">
        <v>28</v>
      </c>
      <c r="L1919" s="2">
        <f t="shared" si="7"/>
        <v>256000</v>
      </c>
    </row>
    <row r="1920" spans="1:12" ht="14.25" customHeight="1" x14ac:dyDescent="0.2">
      <c r="A1920" s="33">
        <v>47594</v>
      </c>
      <c r="B1920" s="33"/>
      <c r="C1920" s="2" t="s">
        <v>29</v>
      </c>
      <c r="D1920" s="2" t="s">
        <v>12</v>
      </c>
      <c r="E1920" s="2" t="s">
        <v>23</v>
      </c>
      <c r="F1920" s="2" t="s">
        <v>20</v>
      </c>
      <c r="G1920" s="2" t="s">
        <v>36</v>
      </c>
      <c r="H1920" s="2" t="s">
        <v>31</v>
      </c>
      <c r="I1920" s="2">
        <v>150000</v>
      </c>
      <c r="J1920" s="2">
        <v>7</v>
      </c>
      <c r="K1920" s="2" t="s">
        <v>35</v>
      </c>
      <c r="L1920" s="2">
        <f t="shared" si="7"/>
        <v>120000</v>
      </c>
    </row>
    <row r="1921" spans="1:12" ht="14.25" customHeight="1" x14ac:dyDescent="0.2">
      <c r="A1921" s="33">
        <v>47595</v>
      </c>
      <c r="B1921" s="33"/>
      <c r="C1921" s="2" t="s">
        <v>29</v>
      </c>
      <c r="D1921" s="2" t="s">
        <v>26</v>
      </c>
      <c r="E1921" s="2" t="s">
        <v>13</v>
      </c>
      <c r="F1921" s="2" t="s">
        <v>20</v>
      </c>
      <c r="G1921" s="2" t="s">
        <v>33</v>
      </c>
      <c r="H1921" s="2" t="s">
        <v>22</v>
      </c>
      <c r="I1921" s="2">
        <v>180000</v>
      </c>
      <c r="J1921" s="2">
        <v>8</v>
      </c>
      <c r="K1921" s="2" t="s">
        <v>35</v>
      </c>
      <c r="L1921" s="2">
        <f t="shared" si="7"/>
        <v>144000</v>
      </c>
    </row>
    <row r="1922" spans="1:12" ht="14.25" customHeight="1" x14ac:dyDescent="0.2">
      <c r="A1922" s="33">
        <v>47596</v>
      </c>
      <c r="B1922" s="33"/>
      <c r="C1922" s="2" t="s">
        <v>11</v>
      </c>
      <c r="D1922" s="2" t="s">
        <v>32</v>
      </c>
      <c r="E1922" s="2" t="s">
        <v>13</v>
      </c>
      <c r="F1922" s="2" t="s">
        <v>14</v>
      </c>
      <c r="G1922" s="2" t="s">
        <v>34</v>
      </c>
      <c r="H1922" s="2" t="s">
        <v>16</v>
      </c>
      <c r="I1922" s="2">
        <v>320000</v>
      </c>
      <c r="J1922" s="2">
        <v>10</v>
      </c>
      <c r="K1922" s="2" t="s">
        <v>28</v>
      </c>
      <c r="L1922" s="2">
        <f t="shared" si="7"/>
        <v>256000</v>
      </c>
    </row>
    <row r="1923" spans="1:12" ht="14.25" customHeight="1" x14ac:dyDescent="0.2">
      <c r="A1923" s="33">
        <v>47597</v>
      </c>
      <c r="B1923" s="33"/>
      <c r="C1923" s="2" t="s">
        <v>29</v>
      </c>
      <c r="D1923" s="2" t="s">
        <v>12</v>
      </c>
      <c r="E1923" s="2" t="s">
        <v>23</v>
      </c>
      <c r="F1923" s="2" t="s">
        <v>20</v>
      </c>
      <c r="G1923" s="2" t="s">
        <v>36</v>
      </c>
      <c r="H1923" s="2" t="s">
        <v>31</v>
      </c>
      <c r="I1923" s="2">
        <v>150000</v>
      </c>
      <c r="J1923" s="2">
        <v>7</v>
      </c>
      <c r="K1923" s="2" t="s">
        <v>39</v>
      </c>
      <c r="L1923" s="2">
        <f t="shared" si="7"/>
        <v>120000</v>
      </c>
    </row>
    <row r="1924" spans="1:12" ht="14.25" customHeight="1" x14ac:dyDescent="0.2">
      <c r="A1924" s="33">
        <v>47598</v>
      </c>
      <c r="B1924" s="33"/>
      <c r="C1924" s="2" t="s">
        <v>25</v>
      </c>
      <c r="D1924" s="2" t="s">
        <v>19</v>
      </c>
      <c r="E1924" s="2" t="s">
        <v>23</v>
      </c>
      <c r="F1924" s="2" t="s">
        <v>20</v>
      </c>
      <c r="G1924" s="2" t="s">
        <v>41</v>
      </c>
      <c r="H1924" s="2" t="s">
        <v>22</v>
      </c>
      <c r="I1924" s="2">
        <v>220000</v>
      </c>
      <c r="J1924" s="2">
        <v>1</v>
      </c>
      <c r="K1924" s="2" t="s">
        <v>24</v>
      </c>
      <c r="L1924" s="2">
        <f t="shared" si="7"/>
        <v>176000</v>
      </c>
    </row>
    <row r="1925" spans="1:12" ht="14.25" customHeight="1" x14ac:dyDescent="0.2">
      <c r="A1925" s="33">
        <v>47599</v>
      </c>
      <c r="B1925" s="33"/>
      <c r="C1925" s="2" t="s">
        <v>29</v>
      </c>
      <c r="D1925" s="2" t="s">
        <v>32</v>
      </c>
      <c r="E1925" s="2" t="s">
        <v>23</v>
      </c>
      <c r="F1925" s="2" t="s">
        <v>14</v>
      </c>
      <c r="G1925" s="2" t="s">
        <v>41</v>
      </c>
      <c r="H1925" s="2" t="s">
        <v>22</v>
      </c>
      <c r="I1925" s="2">
        <v>220000</v>
      </c>
      <c r="J1925" s="2">
        <v>7</v>
      </c>
      <c r="K1925" s="2" t="s">
        <v>24</v>
      </c>
      <c r="L1925" s="2">
        <f t="shared" si="7"/>
        <v>176000</v>
      </c>
    </row>
    <row r="1926" spans="1:12" ht="14.25" customHeight="1" x14ac:dyDescent="0.2">
      <c r="A1926" s="33">
        <v>47600</v>
      </c>
      <c r="B1926" s="33"/>
      <c r="C1926" s="2" t="s">
        <v>25</v>
      </c>
      <c r="D1926" s="2" t="s">
        <v>32</v>
      </c>
      <c r="E1926" s="2" t="s">
        <v>23</v>
      </c>
      <c r="F1926" s="2" t="s">
        <v>20</v>
      </c>
      <c r="G1926" s="2" t="s">
        <v>36</v>
      </c>
      <c r="H1926" s="2" t="s">
        <v>31</v>
      </c>
      <c r="I1926" s="2">
        <v>150000</v>
      </c>
      <c r="J1926" s="2">
        <v>6</v>
      </c>
      <c r="K1926" s="2" t="s">
        <v>24</v>
      </c>
      <c r="L1926" s="2">
        <f t="shared" si="7"/>
        <v>120000</v>
      </c>
    </row>
    <row r="1927" spans="1:12" ht="14.25" customHeight="1" x14ac:dyDescent="0.2">
      <c r="A1927" s="33">
        <v>47601</v>
      </c>
      <c r="B1927" s="33"/>
      <c r="C1927" s="2" t="s">
        <v>18</v>
      </c>
      <c r="D1927" s="2" t="s">
        <v>12</v>
      </c>
      <c r="E1927" s="2" t="s">
        <v>13</v>
      </c>
      <c r="F1927" s="2" t="s">
        <v>14</v>
      </c>
      <c r="G1927" s="2" t="s">
        <v>30</v>
      </c>
      <c r="H1927" s="2" t="s">
        <v>31</v>
      </c>
      <c r="I1927" s="2">
        <v>300000</v>
      </c>
      <c r="J1927" s="2">
        <v>8</v>
      </c>
      <c r="K1927" s="2" t="s">
        <v>28</v>
      </c>
      <c r="L1927" s="2">
        <f t="shared" si="7"/>
        <v>240000</v>
      </c>
    </row>
    <row r="1928" spans="1:12" ht="14.25" customHeight="1" x14ac:dyDescent="0.2">
      <c r="A1928" s="33">
        <v>47602</v>
      </c>
      <c r="B1928" s="33"/>
      <c r="C1928" s="2" t="s">
        <v>18</v>
      </c>
      <c r="D1928" s="2" t="s">
        <v>32</v>
      </c>
      <c r="E1928" s="2" t="s">
        <v>23</v>
      </c>
      <c r="F1928" s="2" t="s">
        <v>20</v>
      </c>
      <c r="G1928" s="2" t="s">
        <v>38</v>
      </c>
      <c r="H1928" s="2" t="s">
        <v>31</v>
      </c>
      <c r="I1928" s="2">
        <v>420000</v>
      </c>
      <c r="J1928" s="2">
        <v>10</v>
      </c>
      <c r="K1928" s="2" t="s">
        <v>39</v>
      </c>
      <c r="L1928" s="2">
        <f t="shared" si="7"/>
        <v>336000</v>
      </c>
    </row>
    <row r="1929" spans="1:12" ht="14.25" customHeight="1" x14ac:dyDescent="0.2">
      <c r="A1929" s="33">
        <v>47603</v>
      </c>
      <c r="B1929" s="33"/>
      <c r="C1929" s="2" t="s">
        <v>29</v>
      </c>
      <c r="D1929" s="2" t="s">
        <v>19</v>
      </c>
      <c r="E1929" s="2" t="s">
        <v>13</v>
      </c>
      <c r="F1929" s="2" t="s">
        <v>20</v>
      </c>
      <c r="G1929" s="2" t="s">
        <v>21</v>
      </c>
      <c r="H1929" s="2" t="s">
        <v>22</v>
      </c>
      <c r="I1929" s="2">
        <v>30000</v>
      </c>
      <c r="J1929" s="2">
        <v>1</v>
      </c>
      <c r="K1929" s="2" t="s">
        <v>24</v>
      </c>
      <c r="L1929" s="2">
        <f t="shared" si="7"/>
        <v>24000</v>
      </c>
    </row>
    <row r="1930" spans="1:12" ht="14.25" customHeight="1" x14ac:dyDescent="0.2">
      <c r="A1930" s="33">
        <v>47604</v>
      </c>
      <c r="B1930" s="33"/>
      <c r="C1930" s="2" t="s">
        <v>18</v>
      </c>
      <c r="D1930" s="2" t="s">
        <v>12</v>
      </c>
      <c r="E1930" s="2" t="s">
        <v>23</v>
      </c>
      <c r="F1930" s="2" t="s">
        <v>14</v>
      </c>
      <c r="G1930" s="2" t="s">
        <v>38</v>
      </c>
      <c r="H1930" s="2" t="s">
        <v>31</v>
      </c>
      <c r="I1930" s="2">
        <v>420000</v>
      </c>
      <c r="J1930" s="2">
        <v>7</v>
      </c>
      <c r="K1930" s="2" t="s">
        <v>17</v>
      </c>
      <c r="L1930" s="2">
        <f t="shared" si="7"/>
        <v>336000</v>
      </c>
    </row>
    <row r="1931" spans="1:12" ht="14.25" customHeight="1" x14ac:dyDescent="0.2">
      <c r="A1931" s="33">
        <v>47605</v>
      </c>
      <c r="B1931" s="33"/>
      <c r="C1931" s="2" t="s">
        <v>29</v>
      </c>
      <c r="D1931" s="2" t="s">
        <v>12</v>
      </c>
      <c r="E1931" s="2" t="s">
        <v>23</v>
      </c>
      <c r="F1931" s="2" t="s">
        <v>20</v>
      </c>
      <c r="G1931" s="2" t="s">
        <v>33</v>
      </c>
      <c r="H1931" s="2" t="s">
        <v>22</v>
      </c>
      <c r="I1931" s="2">
        <v>180000</v>
      </c>
      <c r="J1931" s="2">
        <v>6</v>
      </c>
      <c r="K1931" s="2" t="s">
        <v>35</v>
      </c>
      <c r="L1931" s="2">
        <f t="shared" si="7"/>
        <v>144000</v>
      </c>
    </row>
    <row r="1932" spans="1:12" ht="14.25" customHeight="1" x14ac:dyDescent="0.2">
      <c r="A1932" s="33">
        <v>47606</v>
      </c>
      <c r="B1932" s="33"/>
      <c r="C1932" s="2" t="s">
        <v>25</v>
      </c>
      <c r="D1932" s="2" t="s">
        <v>26</v>
      </c>
      <c r="E1932" s="2" t="s">
        <v>13</v>
      </c>
      <c r="F1932" s="2" t="s">
        <v>14</v>
      </c>
      <c r="G1932" s="2" t="s">
        <v>21</v>
      </c>
      <c r="H1932" s="2" t="s">
        <v>22</v>
      </c>
      <c r="I1932" s="2">
        <v>30000</v>
      </c>
      <c r="J1932" s="2">
        <v>10</v>
      </c>
      <c r="K1932" s="2" t="s">
        <v>39</v>
      </c>
      <c r="L1932" s="2">
        <f t="shared" si="7"/>
        <v>24000</v>
      </c>
    </row>
    <row r="1933" spans="1:12" ht="14.25" customHeight="1" x14ac:dyDescent="0.2">
      <c r="A1933" s="33">
        <v>47607</v>
      </c>
      <c r="B1933" s="33"/>
      <c r="C1933" s="2" t="s">
        <v>11</v>
      </c>
      <c r="D1933" s="2" t="s">
        <v>12</v>
      </c>
      <c r="E1933" s="2" t="s">
        <v>13</v>
      </c>
      <c r="F1933" s="2" t="s">
        <v>20</v>
      </c>
      <c r="G1933" s="2" t="s">
        <v>41</v>
      </c>
      <c r="H1933" s="2" t="s">
        <v>22</v>
      </c>
      <c r="I1933" s="2">
        <v>220000</v>
      </c>
      <c r="J1933" s="2">
        <v>1</v>
      </c>
      <c r="K1933" s="2" t="s">
        <v>39</v>
      </c>
      <c r="L1933" s="2">
        <f t="shared" si="7"/>
        <v>176000</v>
      </c>
    </row>
    <row r="1934" spans="1:12" ht="14.25" customHeight="1" x14ac:dyDescent="0.2">
      <c r="A1934" s="33">
        <v>47608</v>
      </c>
      <c r="B1934" s="33"/>
      <c r="C1934" s="2" t="s">
        <v>25</v>
      </c>
      <c r="D1934" s="2" t="s">
        <v>26</v>
      </c>
      <c r="E1934" s="2" t="s">
        <v>13</v>
      </c>
      <c r="F1934" s="2" t="s">
        <v>14</v>
      </c>
      <c r="G1934" s="2" t="s">
        <v>34</v>
      </c>
      <c r="H1934" s="2" t="s">
        <v>16</v>
      </c>
      <c r="I1934" s="2">
        <v>320000</v>
      </c>
      <c r="J1934" s="2">
        <v>6</v>
      </c>
      <c r="K1934" s="2" t="s">
        <v>35</v>
      </c>
      <c r="L1934" s="2">
        <f t="shared" si="7"/>
        <v>256000</v>
      </c>
    </row>
    <row r="1935" spans="1:12" ht="14.25" customHeight="1" x14ac:dyDescent="0.2">
      <c r="A1935" s="33">
        <v>47609</v>
      </c>
      <c r="B1935" s="33"/>
      <c r="C1935" s="2" t="s">
        <v>25</v>
      </c>
      <c r="D1935" s="2" t="s">
        <v>32</v>
      </c>
      <c r="E1935" s="2" t="s">
        <v>23</v>
      </c>
      <c r="F1935" s="2" t="s">
        <v>20</v>
      </c>
      <c r="G1935" s="2" t="s">
        <v>27</v>
      </c>
      <c r="H1935" s="2" t="s">
        <v>22</v>
      </c>
      <c r="I1935" s="2">
        <v>60000</v>
      </c>
      <c r="J1935" s="2">
        <v>10</v>
      </c>
      <c r="K1935" s="2" t="s">
        <v>24</v>
      </c>
      <c r="L1935" s="2">
        <f t="shared" si="7"/>
        <v>48000</v>
      </c>
    </row>
    <row r="1936" spans="1:12" ht="14.25" customHeight="1" x14ac:dyDescent="0.2">
      <c r="A1936" s="33">
        <v>47610</v>
      </c>
      <c r="B1936" s="33"/>
      <c r="C1936" s="2" t="s">
        <v>11</v>
      </c>
      <c r="D1936" s="2" t="s">
        <v>32</v>
      </c>
      <c r="E1936" s="2" t="s">
        <v>13</v>
      </c>
      <c r="F1936" s="2" t="s">
        <v>14</v>
      </c>
      <c r="G1936" s="2" t="s">
        <v>15</v>
      </c>
      <c r="H1936" s="2" t="s">
        <v>16</v>
      </c>
      <c r="I1936" s="2">
        <v>85000</v>
      </c>
      <c r="J1936" s="2">
        <v>7</v>
      </c>
      <c r="K1936" s="2" t="s">
        <v>39</v>
      </c>
      <c r="L1936" s="2">
        <f t="shared" si="7"/>
        <v>68000</v>
      </c>
    </row>
    <row r="1937" spans="1:12" ht="14.25" customHeight="1" x14ac:dyDescent="0.2">
      <c r="A1937" s="33">
        <v>47611</v>
      </c>
      <c r="B1937" s="33"/>
      <c r="C1937" s="2" t="s">
        <v>18</v>
      </c>
      <c r="D1937" s="2" t="s">
        <v>32</v>
      </c>
      <c r="E1937" s="2" t="s">
        <v>23</v>
      </c>
      <c r="F1937" s="2" t="s">
        <v>14</v>
      </c>
      <c r="G1937" s="2" t="s">
        <v>40</v>
      </c>
      <c r="H1937" s="2" t="s">
        <v>31</v>
      </c>
      <c r="I1937" s="2">
        <v>250000</v>
      </c>
      <c r="J1937" s="2">
        <v>1</v>
      </c>
      <c r="K1937" s="2" t="s">
        <v>39</v>
      </c>
      <c r="L1937" s="2">
        <f t="shared" si="7"/>
        <v>200000</v>
      </c>
    </row>
    <row r="1938" spans="1:12" ht="14.25" customHeight="1" x14ac:dyDescent="0.2">
      <c r="A1938" s="33">
        <v>47612</v>
      </c>
      <c r="B1938" s="33"/>
      <c r="C1938" s="2" t="s">
        <v>29</v>
      </c>
      <c r="D1938" s="2" t="s">
        <v>32</v>
      </c>
      <c r="E1938" s="2" t="s">
        <v>23</v>
      </c>
      <c r="F1938" s="2" t="s">
        <v>20</v>
      </c>
      <c r="G1938" s="2" t="s">
        <v>41</v>
      </c>
      <c r="H1938" s="2" t="s">
        <v>22</v>
      </c>
      <c r="I1938" s="2">
        <v>220000</v>
      </c>
      <c r="J1938" s="2">
        <v>8</v>
      </c>
      <c r="K1938" s="2" t="s">
        <v>24</v>
      </c>
      <c r="L1938" s="2">
        <f t="shared" si="7"/>
        <v>176000</v>
      </c>
    </row>
    <row r="1939" spans="1:12" ht="14.25" customHeight="1" x14ac:dyDescent="0.2">
      <c r="A1939" s="33">
        <v>47613</v>
      </c>
      <c r="B1939" s="33"/>
      <c r="C1939" s="2" t="s">
        <v>29</v>
      </c>
      <c r="D1939" s="2" t="s">
        <v>19</v>
      </c>
      <c r="E1939" s="2" t="s">
        <v>13</v>
      </c>
      <c r="F1939" s="2" t="s">
        <v>14</v>
      </c>
      <c r="G1939" s="2" t="s">
        <v>40</v>
      </c>
      <c r="H1939" s="2" t="s">
        <v>31</v>
      </c>
      <c r="I1939" s="2">
        <v>250000</v>
      </c>
      <c r="J1939" s="2">
        <v>6</v>
      </c>
      <c r="K1939" s="2" t="s">
        <v>35</v>
      </c>
      <c r="L1939" s="2">
        <f t="shared" si="7"/>
        <v>200000</v>
      </c>
    </row>
    <row r="1940" spans="1:12" ht="14.25" customHeight="1" x14ac:dyDescent="0.2">
      <c r="A1940" s="33">
        <v>47614</v>
      </c>
      <c r="B1940" s="33"/>
      <c r="C1940" s="2" t="s">
        <v>29</v>
      </c>
      <c r="D1940" s="2" t="s">
        <v>32</v>
      </c>
      <c r="E1940" s="2" t="s">
        <v>13</v>
      </c>
      <c r="F1940" s="2" t="s">
        <v>14</v>
      </c>
      <c r="G1940" s="2" t="s">
        <v>15</v>
      </c>
      <c r="H1940" s="2" t="s">
        <v>16</v>
      </c>
      <c r="I1940" s="2">
        <v>85000</v>
      </c>
      <c r="J1940" s="2">
        <v>7</v>
      </c>
      <c r="K1940" s="2" t="s">
        <v>35</v>
      </c>
      <c r="L1940" s="2">
        <f t="shared" si="7"/>
        <v>68000</v>
      </c>
    </row>
    <row r="1941" spans="1:12" ht="14.25" customHeight="1" x14ac:dyDescent="0.2">
      <c r="A1941" s="33">
        <v>47615</v>
      </c>
      <c r="B1941" s="33"/>
      <c r="C1941" s="2" t="s">
        <v>25</v>
      </c>
      <c r="D1941" s="2" t="s">
        <v>26</v>
      </c>
      <c r="E1941" s="2" t="s">
        <v>13</v>
      </c>
      <c r="F1941" s="2" t="s">
        <v>20</v>
      </c>
      <c r="G1941" s="2" t="s">
        <v>15</v>
      </c>
      <c r="H1941" s="2" t="s">
        <v>16</v>
      </c>
      <c r="I1941" s="2">
        <v>85000</v>
      </c>
      <c r="J1941" s="2">
        <v>4</v>
      </c>
      <c r="K1941" s="2" t="s">
        <v>28</v>
      </c>
      <c r="L1941" s="2">
        <f t="shared" si="7"/>
        <v>68000</v>
      </c>
    </row>
    <row r="1942" spans="1:12" ht="14.25" customHeight="1" x14ac:dyDescent="0.2">
      <c r="A1942" s="33">
        <v>47616</v>
      </c>
      <c r="B1942" s="33"/>
      <c r="C1942" s="2" t="s">
        <v>18</v>
      </c>
      <c r="D1942" s="2" t="s">
        <v>32</v>
      </c>
      <c r="E1942" s="2" t="s">
        <v>23</v>
      </c>
      <c r="F1942" s="2" t="s">
        <v>20</v>
      </c>
      <c r="G1942" s="2" t="s">
        <v>38</v>
      </c>
      <c r="H1942" s="2" t="s">
        <v>31</v>
      </c>
      <c r="I1942" s="2">
        <v>420000</v>
      </c>
      <c r="J1942" s="2">
        <v>6</v>
      </c>
      <c r="K1942" s="2" t="s">
        <v>17</v>
      </c>
      <c r="L1942" s="2">
        <f t="shared" si="7"/>
        <v>336000</v>
      </c>
    </row>
    <row r="1943" spans="1:12" ht="14.25" customHeight="1" x14ac:dyDescent="0.2">
      <c r="A1943" s="33">
        <v>47617</v>
      </c>
      <c r="B1943" s="33"/>
      <c r="C1943" s="2" t="s">
        <v>18</v>
      </c>
      <c r="D1943" s="2" t="s">
        <v>12</v>
      </c>
      <c r="E1943" s="2" t="s">
        <v>23</v>
      </c>
      <c r="F1943" s="2" t="s">
        <v>20</v>
      </c>
      <c r="G1943" s="2" t="s">
        <v>40</v>
      </c>
      <c r="H1943" s="2" t="s">
        <v>31</v>
      </c>
      <c r="I1943" s="2">
        <v>250000</v>
      </c>
      <c r="J1943" s="2">
        <v>4</v>
      </c>
      <c r="K1943" s="2" t="s">
        <v>28</v>
      </c>
      <c r="L1943" s="2">
        <f t="shared" si="7"/>
        <v>200000</v>
      </c>
    </row>
    <row r="1944" spans="1:12" ht="14.25" customHeight="1" x14ac:dyDescent="0.2">
      <c r="A1944" s="33">
        <v>47618</v>
      </c>
      <c r="B1944" s="33"/>
      <c r="C1944" s="2" t="s">
        <v>11</v>
      </c>
      <c r="D1944" s="2" t="s">
        <v>12</v>
      </c>
      <c r="E1944" s="2" t="s">
        <v>13</v>
      </c>
      <c r="F1944" s="2" t="s">
        <v>20</v>
      </c>
      <c r="G1944" s="2" t="s">
        <v>21</v>
      </c>
      <c r="H1944" s="2" t="s">
        <v>22</v>
      </c>
      <c r="I1944" s="2">
        <v>30000</v>
      </c>
      <c r="J1944" s="2">
        <v>3</v>
      </c>
      <c r="K1944" s="2" t="s">
        <v>37</v>
      </c>
      <c r="L1944" s="2">
        <f t="shared" si="7"/>
        <v>24000</v>
      </c>
    </row>
    <row r="1945" spans="1:12" ht="14.25" customHeight="1" x14ac:dyDescent="0.2">
      <c r="A1945" s="33">
        <v>47619</v>
      </c>
      <c r="B1945" s="33"/>
      <c r="C1945" s="2" t="s">
        <v>29</v>
      </c>
      <c r="D1945" s="2" t="s">
        <v>32</v>
      </c>
      <c r="E1945" s="2" t="s">
        <v>23</v>
      </c>
      <c r="F1945" s="2" t="s">
        <v>14</v>
      </c>
      <c r="G1945" s="2" t="s">
        <v>34</v>
      </c>
      <c r="H1945" s="2" t="s">
        <v>16</v>
      </c>
      <c r="I1945" s="2">
        <v>320000</v>
      </c>
      <c r="J1945" s="2">
        <v>9</v>
      </c>
      <c r="K1945" s="2" t="s">
        <v>35</v>
      </c>
      <c r="L1945" s="2">
        <f t="shared" si="7"/>
        <v>256000</v>
      </c>
    </row>
    <row r="1946" spans="1:12" ht="14.25" customHeight="1" x14ac:dyDescent="0.2">
      <c r="A1946" s="33">
        <v>47620</v>
      </c>
      <c r="B1946" s="33"/>
      <c r="C1946" s="2" t="s">
        <v>29</v>
      </c>
      <c r="D1946" s="2" t="s">
        <v>12</v>
      </c>
      <c r="E1946" s="2" t="s">
        <v>13</v>
      </c>
      <c r="F1946" s="2" t="s">
        <v>20</v>
      </c>
      <c r="G1946" s="2" t="s">
        <v>41</v>
      </c>
      <c r="H1946" s="2" t="s">
        <v>22</v>
      </c>
      <c r="I1946" s="2">
        <v>220000</v>
      </c>
      <c r="J1946" s="2">
        <v>7</v>
      </c>
      <c r="K1946" s="2" t="s">
        <v>28</v>
      </c>
      <c r="L1946" s="2">
        <f t="shared" si="7"/>
        <v>176000</v>
      </c>
    </row>
    <row r="1947" spans="1:12" ht="14.25" customHeight="1" x14ac:dyDescent="0.2">
      <c r="A1947" s="33">
        <v>47621</v>
      </c>
      <c r="B1947" s="33"/>
      <c r="C1947" s="2" t="s">
        <v>25</v>
      </c>
      <c r="D1947" s="2" t="s">
        <v>19</v>
      </c>
      <c r="E1947" s="2" t="s">
        <v>23</v>
      </c>
      <c r="F1947" s="2" t="s">
        <v>14</v>
      </c>
      <c r="G1947" s="2" t="s">
        <v>36</v>
      </c>
      <c r="H1947" s="2" t="s">
        <v>31</v>
      </c>
      <c r="I1947" s="2">
        <v>150000</v>
      </c>
      <c r="J1947" s="2">
        <v>5</v>
      </c>
      <c r="K1947" s="2" t="s">
        <v>17</v>
      </c>
      <c r="L1947" s="2">
        <f t="shared" si="7"/>
        <v>120000</v>
      </c>
    </row>
    <row r="1948" spans="1:12" ht="14.25" customHeight="1" x14ac:dyDescent="0.2">
      <c r="A1948" s="33">
        <v>47622</v>
      </c>
      <c r="B1948" s="33"/>
      <c r="C1948" s="2" t="s">
        <v>25</v>
      </c>
      <c r="D1948" s="2" t="s">
        <v>12</v>
      </c>
      <c r="E1948" s="2" t="s">
        <v>23</v>
      </c>
      <c r="F1948" s="2" t="s">
        <v>20</v>
      </c>
      <c r="G1948" s="2" t="s">
        <v>15</v>
      </c>
      <c r="H1948" s="2" t="s">
        <v>16</v>
      </c>
      <c r="I1948" s="2">
        <v>85000</v>
      </c>
      <c r="J1948" s="2">
        <v>9</v>
      </c>
      <c r="K1948" s="2" t="s">
        <v>35</v>
      </c>
      <c r="L1948" s="2">
        <f t="shared" si="7"/>
        <v>68000</v>
      </c>
    </row>
    <row r="1949" spans="1:12" ht="14.25" customHeight="1" x14ac:dyDescent="0.2">
      <c r="A1949" s="33">
        <v>47623</v>
      </c>
      <c r="B1949" s="33"/>
      <c r="C1949" s="2" t="s">
        <v>29</v>
      </c>
      <c r="D1949" s="2" t="s">
        <v>32</v>
      </c>
      <c r="E1949" s="2" t="s">
        <v>23</v>
      </c>
      <c r="F1949" s="2" t="s">
        <v>14</v>
      </c>
      <c r="G1949" s="2" t="s">
        <v>40</v>
      </c>
      <c r="H1949" s="2" t="s">
        <v>31</v>
      </c>
      <c r="I1949" s="2">
        <v>250000</v>
      </c>
      <c r="J1949" s="2">
        <v>10</v>
      </c>
      <c r="K1949" s="2" t="s">
        <v>17</v>
      </c>
      <c r="L1949" s="2">
        <f t="shared" si="7"/>
        <v>200000</v>
      </c>
    </row>
    <row r="1950" spans="1:12" ht="14.25" customHeight="1" x14ac:dyDescent="0.2">
      <c r="A1950" s="33">
        <v>47624</v>
      </c>
      <c r="B1950" s="33"/>
      <c r="C1950" s="2" t="s">
        <v>18</v>
      </c>
      <c r="D1950" s="2" t="s">
        <v>12</v>
      </c>
      <c r="E1950" s="2" t="s">
        <v>23</v>
      </c>
      <c r="F1950" s="2" t="s">
        <v>14</v>
      </c>
      <c r="G1950" s="2" t="s">
        <v>15</v>
      </c>
      <c r="H1950" s="2" t="s">
        <v>16</v>
      </c>
      <c r="I1950" s="2">
        <v>85000</v>
      </c>
      <c r="J1950" s="2">
        <v>7</v>
      </c>
      <c r="K1950" s="2" t="s">
        <v>24</v>
      </c>
      <c r="L1950" s="2">
        <f t="shared" si="7"/>
        <v>68000</v>
      </c>
    </row>
    <row r="1951" spans="1:12" ht="14.25" customHeight="1" x14ac:dyDescent="0.2">
      <c r="A1951" s="33">
        <v>47625</v>
      </c>
      <c r="B1951" s="33"/>
      <c r="C1951" s="2" t="s">
        <v>18</v>
      </c>
      <c r="D1951" s="2" t="s">
        <v>19</v>
      </c>
      <c r="E1951" s="2" t="s">
        <v>13</v>
      </c>
      <c r="F1951" s="2" t="s">
        <v>14</v>
      </c>
      <c r="G1951" s="2" t="s">
        <v>30</v>
      </c>
      <c r="H1951" s="2" t="s">
        <v>31</v>
      </c>
      <c r="I1951" s="2">
        <v>300000</v>
      </c>
      <c r="J1951" s="2">
        <v>6</v>
      </c>
      <c r="K1951" s="2" t="s">
        <v>37</v>
      </c>
      <c r="L1951" s="2">
        <f t="shared" si="7"/>
        <v>240000</v>
      </c>
    </row>
    <row r="1952" spans="1:12" ht="14.25" customHeight="1" x14ac:dyDescent="0.2">
      <c r="A1952" s="33">
        <v>47626</v>
      </c>
      <c r="B1952" s="33"/>
      <c r="C1952" s="2" t="s">
        <v>11</v>
      </c>
      <c r="D1952" s="2" t="s">
        <v>12</v>
      </c>
      <c r="E1952" s="2" t="s">
        <v>13</v>
      </c>
      <c r="F1952" s="2" t="s">
        <v>20</v>
      </c>
      <c r="G1952" s="2" t="s">
        <v>30</v>
      </c>
      <c r="H1952" s="2" t="s">
        <v>31</v>
      </c>
      <c r="I1952" s="2">
        <v>300000</v>
      </c>
      <c r="J1952" s="2">
        <v>10</v>
      </c>
      <c r="K1952" s="2" t="s">
        <v>24</v>
      </c>
      <c r="L1952" s="2">
        <f t="shared" si="7"/>
        <v>240000</v>
      </c>
    </row>
    <row r="1953" spans="1:12" ht="14.25" customHeight="1" x14ac:dyDescent="0.2">
      <c r="A1953" s="33">
        <v>47627</v>
      </c>
      <c r="B1953" s="33"/>
      <c r="C1953" s="2" t="s">
        <v>18</v>
      </c>
      <c r="D1953" s="2" t="s">
        <v>19</v>
      </c>
      <c r="E1953" s="2" t="s">
        <v>23</v>
      </c>
      <c r="F1953" s="2" t="s">
        <v>14</v>
      </c>
      <c r="G1953" s="2" t="s">
        <v>33</v>
      </c>
      <c r="H1953" s="2" t="s">
        <v>22</v>
      </c>
      <c r="I1953" s="2">
        <v>180000</v>
      </c>
      <c r="J1953" s="2">
        <v>1</v>
      </c>
      <c r="K1953" s="2" t="s">
        <v>28</v>
      </c>
      <c r="L1953" s="2">
        <f t="shared" si="7"/>
        <v>144000</v>
      </c>
    </row>
    <row r="1954" spans="1:12" ht="14.25" customHeight="1" x14ac:dyDescent="0.2">
      <c r="A1954" s="33">
        <v>47628</v>
      </c>
      <c r="B1954" s="33"/>
      <c r="C1954" s="2" t="s">
        <v>25</v>
      </c>
      <c r="D1954" s="2" t="s">
        <v>32</v>
      </c>
      <c r="E1954" s="2" t="s">
        <v>13</v>
      </c>
      <c r="F1954" s="2" t="s">
        <v>14</v>
      </c>
      <c r="G1954" s="2" t="s">
        <v>36</v>
      </c>
      <c r="H1954" s="2" t="s">
        <v>31</v>
      </c>
      <c r="I1954" s="2">
        <v>150000</v>
      </c>
      <c r="J1954" s="2">
        <v>7</v>
      </c>
      <c r="K1954" s="2" t="s">
        <v>37</v>
      </c>
      <c r="L1954" s="2">
        <f t="shared" si="7"/>
        <v>120000</v>
      </c>
    </row>
    <row r="1955" spans="1:12" ht="14.25" customHeight="1" x14ac:dyDescent="0.2">
      <c r="A1955" s="33">
        <v>47629</v>
      </c>
      <c r="B1955" s="33"/>
      <c r="C1955" s="2" t="s">
        <v>29</v>
      </c>
      <c r="D1955" s="2" t="s">
        <v>12</v>
      </c>
      <c r="E1955" s="2" t="s">
        <v>13</v>
      </c>
      <c r="F1955" s="2" t="s">
        <v>14</v>
      </c>
      <c r="G1955" s="2" t="s">
        <v>41</v>
      </c>
      <c r="H1955" s="2" t="s">
        <v>22</v>
      </c>
      <c r="I1955" s="2">
        <v>220000</v>
      </c>
      <c r="J1955" s="2">
        <v>5</v>
      </c>
      <c r="K1955" s="2" t="s">
        <v>24</v>
      </c>
      <c r="L1955" s="2">
        <f t="shared" si="7"/>
        <v>176000</v>
      </c>
    </row>
    <row r="1956" spans="1:12" ht="14.25" customHeight="1" x14ac:dyDescent="0.2">
      <c r="A1956" s="33">
        <v>47630</v>
      </c>
      <c r="B1956" s="33"/>
      <c r="C1956" s="2" t="s">
        <v>18</v>
      </c>
      <c r="D1956" s="2" t="s">
        <v>12</v>
      </c>
      <c r="E1956" s="2" t="s">
        <v>13</v>
      </c>
      <c r="F1956" s="2" t="s">
        <v>14</v>
      </c>
      <c r="G1956" s="2" t="s">
        <v>38</v>
      </c>
      <c r="H1956" s="2" t="s">
        <v>31</v>
      </c>
      <c r="I1956" s="2">
        <v>420000</v>
      </c>
      <c r="J1956" s="2">
        <v>2</v>
      </c>
      <c r="K1956" s="2" t="s">
        <v>37</v>
      </c>
      <c r="L1956" s="2">
        <f t="shared" si="7"/>
        <v>336000</v>
      </c>
    </row>
    <row r="1957" spans="1:12" ht="14.25" customHeight="1" x14ac:dyDescent="0.2">
      <c r="A1957" s="33">
        <v>47631</v>
      </c>
      <c r="B1957" s="33"/>
      <c r="C1957" s="2" t="s">
        <v>11</v>
      </c>
      <c r="D1957" s="2" t="s">
        <v>26</v>
      </c>
      <c r="E1957" s="2" t="s">
        <v>13</v>
      </c>
      <c r="F1957" s="2" t="s">
        <v>14</v>
      </c>
      <c r="G1957" s="2" t="s">
        <v>33</v>
      </c>
      <c r="H1957" s="2" t="s">
        <v>22</v>
      </c>
      <c r="I1957" s="2">
        <v>180000</v>
      </c>
      <c r="J1957" s="2">
        <v>9</v>
      </c>
      <c r="K1957" s="2" t="s">
        <v>35</v>
      </c>
      <c r="L1957" s="2">
        <f t="shared" si="7"/>
        <v>144000</v>
      </c>
    </row>
    <row r="1958" spans="1:12" ht="14.25" customHeight="1" x14ac:dyDescent="0.2">
      <c r="A1958" s="33">
        <v>47632</v>
      </c>
      <c r="B1958" s="33"/>
      <c r="C1958" s="2" t="s">
        <v>29</v>
      </c>
      <c r="D1958" s="2" t="s">
        <v>32</v>
      </c>
      <c r="E1958" s="2" t="s">
        <v>13</v>
      </c>
      <c r="F1958" s="2" t="s">
        <v>14</v>
      </c>
      <c r="G1958" s="2" t="s">
        <v>41</v>
      </c>
      <c r="H1958" s="2" t="s">
        <v>22</v>
      </c>
      <c r="I1958" s="2">
        <v>220000</v>
      </c>
      <c r="J1958" s="2">
        <v>5</v>
      </c>
      <c r="K1958" s="2" t="s">
        <v>35</v>
      </c>
      <c r="L1958" s="2">
        <f t="shared" si="7"/>
        <v>176000</v>
      </c>
    </row>
    <row r="1959" spans="1:12" ht="14.25" customHeight="1" x14ac:dyDescent="0.2">
      <c r="A1959" s="33">
        <v>47633</v>
      </c>
      <c r="B1959" s="33"/>
      <c r="C1959" s="2" t="s">
        <v>29</v>
      </c>
      <c r="D1959" s="2" t="s">
        <v>26</v>
      </c>
      <c r="E1959" s="2" t="s">
        <v>13</v>
      </c>
      <c r="F1959" s="2" t="s">
        <v>14</v>
      </c>
      <c r="G1959" s="2" t="s">
        <v>33</v>
      </c>
      <c r="H1959" s="2" t="s">
        <v>22</v>
      </c>
      <c r="I1959" s="2">
        <v>180000</v>
      </c>
      <c r="J1959" s="2">
        <v>1</v>
      </c>
      <c r="K1959" s="2" t="s">
        <v>39</v>
      </c>
      <c r="L1959" s="2">
        <f t="shared" si="7"/>
        <v>144000</v>
      </c>
    </row>
    <row r="1960" spans="1:12" ht="14.25" customHeight="1" x14ac:dyDescent="0.2">
      <c r="A1960" s="33">
        <v>47634</v>
      </c>
      <c r="B1960" s="33"/>
      <c r="C1960" s="2" t="s">
        <v>18</v>
      </c>
      <c r="D1960" s="2" t="s">
        <v>26</v>
      </c>
      <c r="E1960" s="2" t="s">
        <v>23</v>
      </c>
      <c r="F1960" s="2" t="s">
        <v>20</v>
      </c>
      <c r="G1960" s="2" t="s">
        <v>27</v>
      </c>
      <c r="H1960" s="2" t="s">
        <v>22</v>
      </c>
      <c r="I1960" s="2">
        <v>60000</v>
      </c>
      <c r="J1960" s="2">
        <v>2</v>
      </c>
      <c r="K1960" s="2" t="s">
        <v>39</v>
      </c>
      <c r="L1960" s="2">
        <f t="shared" si="7"/>
        <v>48000</v>
      </c>
    </row>
    <row r="1961" spans="1:12" ht="14.25" customHeight="1" x14ac:dyDescent="0.2">
      <c r="A1961" s="33">
        <v>47635</v>
      </c>
      <c r="B1961" s="33"/>
      <c r="C1961" s="2" t="s">
        <v>29</v>
      </c>
      <c r="D1961" s="2" t="s">
        <v>26</v>
      </c>
      <c r="E1961" s="2" t="s">
        <v>13</v>
      </c>
      <c r="F1961" s="2" t="s">
        <v>14</v>
      </c>
      <c r="G1961" s="2" t="s">
        <v>30</v>
      </c>
      <c r="H1961" s="2" t="s">
        <v>31</v>
      </c>
      <c r="I1961" s="2">
        <v>300000</v>
      </c>
      <c r="J1961" s="2">
        <v>5</v>
      </c>
      <c r="K1961" s="2" t="s">
        <v>24</v>
      </c>
      <c r="L1961" s="2">
        <f t="shared" si="7"/>
        <v>240000</v>
      </c>
    </row>
    <row r="1962" spans="1:12" ht="14.25" customHeight="1" x14ac:dyDescent="0.2">
      <c r="A1962" s="33">
        <v>47636</v>
      </c>
      <c r="B1962" s="33"/>
      <c r="C1962" s="2" t="s">
        <v>29</v>
      </c>
      <c r="D1962" s="2" t="s">
        <v>26</v>
      </c>
      <c r="E1962" s="2" t="s">
        <v>13</v>
      </c>
      <c r="F1962" s="2" t="s">
        <v>20</v>
      </c>
      <c r="G1962" s="2" t="s">
        <v>30</v>
      </c>
      <c r="H1962" s="2" t="s">
        <v>31</v>
      </c>
      <c r="I1962" s="2">
        <v>300000</v>
      </c>
      <c r="J1962" s="2">
        <v>9</v>
      </c>
      <c r="K1962" s="2" t="s">
        <v>37</v>
      </c>
      <c r="L1962" s="2">
        <f t="shared" si="7"/>
        <v>240000</v>
      </c>
    </row>
    <row r="1963" spans="1:12" ht="14.25" customHeight="1" x14ac:dyDescent="0.2">
      <c r="A1963" s="33">
        <v>47637</v>
      </c>
      <c r="B1963" s="33"/>
      <c r="C1963" s="2" t="s">
        <v>25</v>
      </c>
      <c r="D1963" s="2" t="s">
        <v>32</v>
      </c>
      <c r="E1963" s="2" t="s">
        <v>13</v>
      </c>
      <c r="F1963" s="2" t="s">
        <v>14</v>
      </c>
      <c r="G1963" s="2" t="s">
        <v>41</v>
      </c>
      <c r="H1963" s="2" t="s">
        <v>22</v>
      </c>
      <c r="I1963" s="2">
        <v>220000</v>
      </c>
      <c r="J1963" s="2">
        <v>1</v>
      </c>
      <c r="K1963" s="2" t="s">
        <v>37</v>
      </c>
      <c r="L1963" s="2">
        <f t="shared" si="7"/>
        <v>176000</v>
      </c>
    </row>
    <row r="1964" spans="1:12" ht="14.25" customHeight="1" x14ac:dyDescent="0.2">
      <c r="A1964" s="33">
        <v>47638</v>
      </c>
      <c r="B1964" s="33"/>
      <c r="C1964" s="2" t="s">
        <v>11</v>
      </c>
      <c r="D1964" s="2" t="s">
        <v>32</v>
      </c>
      <c r="E1964" s="2" t="s">
        <v>23</v>
      </c>
      <c r="F1964" s="2" t="s">
        <v>20</v>
      </c>
      <c r="G1964" s="2" t="s">
        <v>21</v>
      </c>
      <c r="H1964" s="2" t="s">
        <v>22</v>
      </c>
      <c r="I1964" s="2">
        <v>30000</v>
      </c>
      <c r="J1964" s="2">
        <v>5</v>
      </c>
      <c r="K1964" s="2" t="s">
        <v>37</v>
      </c>
      <c r="L1964" s="2">
        <f t="shared" si="7"/>
        <v>24000</v>
      </c>
    </row>
    <row r="1965" spans="1:12" ht="14.25" customHeight="1" x14ac:dyDescent="0.2">
      <c r="A1965" s="33">
        <v>47639</v>
      </c>
      <c r="B1965" s="33"/>
      <c r="C1965" s="2" t="s">
        <v>25</v>
      </c>
      <c r="D1965" s="2" t="s">
        <v>12</v>
      </c>
      <c r="E1965" s="2" t="s">
        <v>23</v>
      </c>
      <c r="F1965" s="2" t="s">
        <v>14</v>
      </c>
      <c r="G1965" s="2" t="s">
        <v>33</v>
      </c>
      <c r="H1965" s="2" t="s">
        <v>22</v>
      </c>
      <c r="I1965" s="2">
        <v>180000</v>
      </c>
      <c r="J1965" s="2">
        <v>1</v>
      </c>
      <c r="K1965" s="2" t="s">
        <v>17</v>
      </c>
      <c r="L1965" s="2">
        <f t="shared" si="7"/>
        <v>144000</v>
      </c>
    </row>
    <row r="1966" spans="1:12" ht="14.25" customHeight="1" x14ac:dyDescent="0.2">
      <c r="A1966" s="33">
        <v>47640</v>
      </c>
      <c r="B1966" s="33"/>
      <c r="C1966" s="2" t="s">
        <v>29</v>
      </c>
      <c r="D1966" s="2" t="s">
        <v>26</v>
      </c>
      <c r="E1966" s="2" t="s">
        <v>13</v>
      </c>
      <c r="F1966" s="2" t="s">
        <v>14</v>
      </c>
      <c r="G1966" s="2" t="s">
        <v>30</v>
      </c>
      <c r="H1966" s="2" t="s">
        <v>31</v>
      </c>
      <c r="I1966" s="2">
        <v>300000</v>
      </c>
      <c r="J1966" s="2">
        <v>6</v>
      </c>
      <c r="K1966" s="2" t="s">
        <v>37</v>
      </c>
      <c r="L1966" s="2">
        <f t="shared" si="7"/>
        <v>240000</v>
      </c>
    </row>
    <row r="1967" spans="1:12" ht="14.25" customHeight="1" x14ac:dyDescent="0.2">
      <c r="A1967" s="33">
        <v>47641</v>
      </c>
      <c r="B1967" s="33"/>
      <c r="C1967" s="2" t="s">
        <v>11</v>
      </c>
      <c r="D1967" s="2" t="s">
        <v>26</v>
      </c>
      <c r="E1967" s="2" t="s">
        <v>13</v>
      </c>
      <c r="F1967" s="2" t="s">
        <v>20</v>
      </c>
      <c r="G1967" s="2" t="s">
        <v>41</v>
      </c>
      <c r="H1967" s="2" t="s">
        <v>22</v>
      </c>
      <c r="I1967" s="2">
        <v>220000</v>
      </c>
      <c r="J1967" s="2">
        <v>3</v>
      </c>
      <c r="K1967" s="2" t="s">
        <v>39</v>
      </c>
      <c r="L1967" s="2">
        <f t="shared" si="7"/>
        <v>176000</v>
      </c>
    </row>
    <row r="1968" spans="1:12" ht="14.25" customHeight="1" x14ac:dyDescent="0.2">
      <c r="A1968" s="33">
        <v>47642</v>
      </c>
      <c r="B1968" s="33"/>
      <c r="C1968" s="2" t="s">
        <v>29</v>
      </c>
      <c r="D1968" s="2" t="s">
        <v>12</v>
      </c>
      <c r="E1968" s="2" t="s">
        <v>13</v>
      </c>
      <c r="F1968" s="2" t="s">
        <v>20</v>
      </c>
      <c r="G1968" s="2" t="s">
        <v>34</v>
      </c>
      <c r="H1968" s="2" t="s">
        <v>16</v>
      </c>
      <c r="I1968" s="2">
        <v>320000</v>
      </c>
      <c r="J1968" s="2">
        <v>5</v>
      </c>
      <c r="K1968" s="2" t="s">
        <v>35</v>
      </c>
      <c r="L1968" s="2">
        <f t="shared" si="7"/>
        <v>256000</v>
      </c>
    </row>
    <row r="1969" spans="1:12" ht="14.25" customHeight="1" x14ac:dyDescent="0.2">
      <c r="A1969" s="33">
        <v>47643</v>
      </c>
      <c r="B1969" s="33"/>
      <c r="C1969" s="2" t="s">
        <v>25</v>
      </c>
      <c r="D1969" s="2" t="s">
        <v>26</v>
      </c>
      <c r="E1969" s="2" t="s">
        <v>13</v>
      </c>
      <c r="F1969" s="2" t="s">
        <v>14</v>
      </c>
      <c r="G1969" s="2" t="s">
        <v>36</v>
      </c>
      <c r="H1969" s="2" t="s">
        <v>31</v>
      </c>
      <c r="I1969" s="2">
        <v>150000</v>
      </c>
      <c r="J1969" s="2">
        <v>2</v>
      </c>
      <c r="K1969" s="2" t="s">
        <v>35</v>
      </c>
      <c r="L1969" s="2">
        <f t="shared" si="7"/>
        <v>120000</v>
      </c>
    </row>
    <row r="1970" spans="1:12" ht="14.25" customHeight="1" x14ac:dyDescent="0.2">
      <c r="A1970" s="33">
        <v>47644</v>
      </c>
      <c r="B1970" s="33"/>
      <c r="C1970" s="2" t="s">
        <v>11</v>
      </c>
      <c r="D1970" s="2" t="s">
        <v>12</v>
      </c>
      <c r="E1970" s="2" t="s">
        <v>13</v>
      </c>
      <c r="F1970" s="2" t="s">
        <v>14</v>
      </c>
      <c r="G1970" s="2" t="s">
        <v>33</v>
      </c>
      <c r="H1970" s="2" t="s">
        <v>22</v>
      </c>
      <c r="I1970" s="2">
        <v>180000</v>
      </c>
      <c r="J1970" s="2">
        <v>1</v>
      </c>
      <c r="K1970" s="2" t="s">
        <v>24</v>
      </c>
      <c r="L1970" s="2">
        <f t="shared" si="7"/>
        <v>144000</v>
      </c>
    </row>
    <row r="1971" spans="1:12" ht="14.25" customHeight="1" x14ac:dyDescent="0.2">
      <c r="A1971" s="33">
        <v>47645</v>
      </c>
      <c r="B1971" s="33"/>
      <c r="C1971" s="2" t="s">
        <v>11</v>
      </c>
      <c r="D1971" s="2" t="s">
        <v>19</v>
      </c>
      <c r="E1971" s="2" t="s">
        <v>23</v>
      </c>
      <c r="F1971" s="2" t="s">
        <v>20</v>
      </c>
      <c r="G1971" s="2" t="s">
        <v>21</v>
      </c>
      <c r="H1971" s="2" t="s">
        <v>22</v>
      </c>
      <c r="I1971" s="2">
        <v>30000</v>
      </c>
      <c r="J1971" s="2">
        <v>10</v>
      </c>
      <c r="K1971" s="2" t="s">
        <v>37</v>
      </c>
      <c r="L1971" s="2">
        <f t="shared" si="7"/>
        <v>24000</v>
      </c>
    </row>
    <row r="1972" spans="1:12" ht="14.25" customHeight="1" x14ac:dyDescent="0.2">
      <c r="A1972" s="33">
        <v>47646</v>
      </c>
      <c r="B1972" s="33"/>
      <c r="C1972" s="2" t="s">
        <v>29</v>
      </c>
      <c r="D1972" s="2" t="s">
        <v>19</v>
      </c>
      <c r="E1972" s="2" t="s">
        <v>13</v>
      </c>
      <c r="F1972" s="2" t="s">
        <v>20</v>
      </c>
      <c r="G1972" s="2" t="s">
        <v>36</v>
      </c>
      <c r="H1972" s="2" t="s">
        <v>31</v>
      </c>
      <c r="I1972" s="2">
        <v>150000</v>
      </c>
      <c r="J1972" s="2">
        <v>4</v>
      </c>
      <c r="K1972" s="2" t="s">
        <v>24</v>
      </c>
      <c r="L1972" s="2">
        <f t="shared" si="7"/>
        <v>120000</v>
      </c>
    </row>
    <row r="1973" spans="1:12" ht="14.25" customHeight="1" x14ac:dyDescent="0.2">
      <c r="A1973" s="33">
        <v>47647</v>
      </c>
      <c r="B1973" s="33"/>
      <c r="C1973" s="2" t="s">
        <v>29</v>
      </c>
      <c r="D1973" s="2" t="s">
        <v>26</v>
      </c>
      <c r="E1973" s="2" t="s">
        <v>13</v>
      </c>
      <c r="F1973" s="2" t="s">
        <v>14</v>
      </c>
      <c r="G1973" s="2" t="s">
        <v>21</v>
      </c>
      <c r="H1973" s="2" t="s">
        <v>22</v>
      </c>
      <c r="I1973" s="2">
        <v>30000</v>
      </c>
      <c r="J1973" s="2">
        <v>1</v>
      </c>
      <c r="K1973" s="2" t="s">
        <v>24</v>
      </c>
      <c r="L1973" s="2">
        <f t="shared" si="7"/>
        <v>24000</v>
      </c>
    </row>
    <row r="1974" spans="1:12" ht="14.25" customHeight="1" x14ac:dyDescent="0.2">
      <c r="A1974" s="33">
        <v>47648</v>
      </c>
      <c r="B1974" s="33"/>
      <c r="C1974" s="2" t="s">
        <v>29</v>
      </c>
      <c r="D1974" s="2" t="s">
        <v>19</v>
      </c>
      <c r="E1974" s="2" t="s">
        <v>13</v>
      </c>
      <c r="F1974" s="2" t="s">
        <v>14</v>
      </c>
      <c r="G1974" s="2" t="s">
        <v>21</v>
      </c>
      <c r="H1974" s="2" t="s">
        <v>22</v>
      </c>
      <c r="I1974" s="2">
        <v>30000</v>
      </c>
      <c r="J1974" s="2">
        <v>6</v>
      </c>
      <c r="K1974" s="2" t="s">
        <v>35</v>
      </c>
      <c r="L1974" s="2">
        <f t="shared" si="7"/>
        <v>24000</v>
      </c>
    </row>
    <row r="1975" spans="1:12" ht="14.25" customHeight="1" x14ac:dyDescent="0.2">
      <c r="A1975" s="33">
        <v>47649</v>
      </c>
      <c r="B1975" s="33"/>
      <c r="C1975" s="2" t="s">
        <v>25</v>
      </c>
      <c r="D1975" s="2" t="s">
        <v>12</v>
      </c>
      <c r="E1975" s="2" t="s">
        <v>23</v>
      </c>
      <c r="F1975" s="2" t="s">
        <v>14</v>
      </c>
      <c r="G1975" s="2" t="s">
        <v>33</v>
      </c>
      <c r="H1975" s="2" t="s">
        <v>22</v>
      </c>
      <c r="I1975" s="2">
        <v>180000</v>
      </c>
      <c r="J1975" s="2">
        <v>7</v>
      </c>
      <c r="K1975" s="2" t="s">
        <v>17</v>
      </c>
      <c r="L1975" s="2">
        <f t="shared" si="7"/>
        <v>144000</v>
      </c>
    </row>
    <row r="1976" spans="1:12" ht="14.25" customHeight="1" x14ac:dyDescent="0.2">
      <c r="A1976" s="33">
        <v>47650</v>
      </c>
      <c r="B1976" s="33"/>
      <c r="C1976" s="2" t="s">
        <v>25</v>
      </c>
      <c r="D1976" s="2" t="s">
        <v>32</v>
      </c>
      <c r="E1976" s="2" t="s">
        <v>13</v>
      </c>
      <c r="F1976" s="2" t="s">
        <v>14</v>
      </c>
      <c r="G1976" s="2" t="s">
        <v>27</v>
      </c>
      <c r="H1976" s="2" t="s">
        <v>22</v>
      </c>
      <c r="I1976" s="2">
        <v>60000</v>
      </c>
      <c r="J1976" s="2">
        <v>8</v>
      </c>
      <c r="K1976" s="2" t="s">
        <v>39</v>
      </c>
      <c r="L1976" s="2">
        <f t="shared" si="7"/>
        <v>48000</v>
      </c>
    </row>
    <row r="1977" spans="1:12" ht="14.25" customHeight="1" x14ac:dyDescent="0.2">
      <c r="A1977" s="33">
        <v>47651</v>
      </c>
      <c r="B1977" s="33"/>
      <c r="C1977" s="2" t="s">
        <v>25</v>
      </c>
      <c r="D1977" s="2" t="s">
        <v>19</v>
      </c>
      <c r="E1977" s="2" t="s">
        <v>13</v>
      </c>
      <c r="F1977" s="2" t="s">
        <v>14</v>
      </c>
      <c r="G1977" s="2" t="s">
        <v>27</v>
      </c>
      <c r="H1977" s="2" t="s">
        <v>22</v>
      </c>
      <c r="I1977" s="2">
        <v>60000</v>
      </c>
      <c r="J1977" s="2">
        <v>2</v>
      </c>
      <c r="K1977" s="2" t="s">
        <v>37</v>
      </c>
      <c r="L1977" s="2">
        <f t="shared" si="7"/>
        <v>48000</v>
      </c>
    </row>
    <row r="1978" spans="1:12" ht="14.25" customHeight="1" x14ac:dyDescent="0.2">
      <c r="A1978" s="33">
        <v>47652</v>
      </c>
      <c r="B1978" s="33"/>
      <c r="C1978" s="2" t="s">
        <v>25</v>
      </c>
      <c r="D1978" s="2" t="s">
        <v>26</v>
      </c>
      <c r="E1978" s="2" t="s">
        <v>13</v>
      </c>
      <c r="F1978" s="2" t="s">
        <v>20</v>
      </c>
      <c r="G1978" s="2" t="s">
        <v>15</v>
      </c>
      <c r="H1978" s="2" t="s">
        <v>16</v>
      </c>
      <c r="I1978" s="2">
        <v>85000</v>
      </c>
      <c r="J1978" s="2">
        <v>1</v>
      </c>
      <c r="K1978" s="2" t="s">
        <v>35</v>
      </c>
      <c r="L1978" s="2">
        <f t="shared" si="7"/>
        <v>68000</v>
      </c>
    </row>
    <row r="1979" spans="1:12" ht="14.25" customHeight="1" x14ac:dyDescent="0.2">
      <c r="A1979" s="33">
        <v>47653</v>
      </c>
      <c r="B1979" s="33"/>
      <c r="C1979" s="2" t="s">
        <v>29</v>
      </c>
      <c r="D1979" s="2" t="s">
        <v>26</v>
      </c>
      <c r="E1979" s="2" t="s">
        <v>23</v>
      </c>
      <c r="F1979" s="2" t="s">
        <v>14</v>
      </c>
      <c r="G1979" s="2" t="s">
        <v>21</v>
      </c>
      <c r="H1979" s="2" t="s">
        <v>22</v>
      </c>
      <c r="I1979" s="2">
        <v>30000</v>
      </c>
      <c r="J1979" s="2">
        <v>8</v>
      </c>
      <c r="K1979" s="2" t="s">
        <v>37</v>
      </c>
      <c r="L1979" s="2">
        <f t="shared" si="7"/>
        <v>24000</v>
      </c>
    </row>
    <row r="1980" spans="1:12" ht="14.25" customHeight="1" x14ac:dyDescent="0.2">
      <c r="A1980" s="33">
        <v>47654</v>
      </c>
      <c r="B1980" s="33"/>
      <c r="C1980" s="2" t="s">
        <v>29</v>
      </c>
      <c r="D1980" s="2" t="s">
        <v>32</v>
      </c>
      <c r="E1980" s="2" t="s">
        <v>13</v>
      </c>
      <c r="F1980" s="2" t="s">
        <v>20</v>
      </c>
      <c r="G1980" s="2" t="s">
        <v>27</v>
      </c>
      <c r="H1980" s="2" t="s">
        <v>22</v>
      </c>
      <c r="I1980" s="2">
        <v>60000</v>
      </c>
      <c r="J1980" s="2">
        <v>10</v>
      </c>
      <c r="K1980" s="2" t="s">
        <v>37</v>
      </c>
      <c r="L1980" s="2">
        <f t="shared" si="7"/>
        <v>48000</v>
      </c>
    </row>
    <row r="1981" spans="1:12" ht="14.25" customHeight="1" x14ac:dyDescent="0.2">
      <c r="A1981" s="33">
        <v>47655</v>
      </c>
      <c r="B1981" s="33"/>
      <c r="C1981" s="2" t="s">
        <v>11</v>
      </c>
      <c r="D1981" s="2" t="s">
        <v>12</v>
      </c>
      <c r="E1981" s="2" t="s">
        <v>23</v>
      </c>
      <c r="F1981" s="2" t="s">
        <v>20</v>
      </c>
      <c r="G1981" s="2" t="s">
        <v>36</v>
      </c>
      <c r="H1981" s="2" t="s">
        <v>31</v>
      </c>
      <c r="I1981" s="2">
        <v>150000</v>
      </c>
      <c r="J1981" s="2">
        <v>1</v>
      </c>
      <c r="K1981" s="2" t="s">
        <v>17</v>
      </c>
      <c r="L1981" s="2">
        <f t="shared" si="7"/>
        <v>120000</v>
      </c>
    </row>
    <row r="1982" spans="1:12" ht="14.25" customHeight="1" x14ac:dyDescent="0.2">
      <c r="A1982" s="33">
        <v>47656</v>
      </c>
      <c r="B1982" s="33"/>
      <c r="C1982" s="2" t="s">
        <v>25</v>
      </c>
      <c r="D1982" s="2" t="s">
        <v>12</v>
      </c>
      <c r="E1982" s="2" t="s">
        <v>23</v>
      </c>
      <c r="F1982" s="2" t="s">
        <v>20</v>
      </c>
      <c r="G1982" s="2" t="s">
        <v>27</v>
      </c>
      <c r="H1982" s="2" t="s">
        <v>22</v>
      </c>
      <c r="I1982" s="2">
        <v>60000</v>
      </c>
      <c r="J1982" s="2">
        <v>9</v>
      </c>
      <c r="K1982" s="2" t="s">
        <v>39</v>
      </c>
      <c r="L1982" s="2">
        <f t="shared" si="7"/>
        <v>48000</v>
      </c>
    </row>
    <row r="1983" spans="1:12" ht="14.25" customHeight="1" x14ac:dyDescent="0.2">
      <c r="A1983" s="33">
        <v>47657</v>
      </c>
      <c r="B1983" s="33"/>
      <c r="C1983" s="2" t="s">
        <v>29</v>
      </c>
      <c r="D1983" s="2" t="s">
        <v>32</v>
      </c>
      <c r="E1983" s="2" t="s">
        <v>13</v>
      </c>
      <c r="F1983" s="2" t="s">
        <v>14</v>
      </c>
      <c r="G1983" s="2" t="s">
        <v>27</v>
      </c>
      <c r="H1983" s="2" t="s">
        <v>22</v>
      </c>
      <c r="I1983" s="2">
        <v>60000</v>
      </c>
      <c r="J1983" s="2">
        <v>5</v>
      </c>
      <c r="K1983" s="2" t="s">
        <v>39</v>
      </c>
      <c r="L1983" s="2">
        <f t="shared" si="7"/>
        <v>48000</v>
      </c>
    </row>
    <row r="1984" spans="1:12" ht="14.25" customHeight="1" x14ac:dyDescent="0.2">
      <c r="A1984" s="33">
        <v>47658</v>
      </c>
      <c r="B1984" s="33"/>
      <c r="C1984" s="2" t="s">
        <v>18</v>
      </c>
      <c r="D1984" s="2" t="s">
        <v>12</v>
      </c>
      <c r="E1984" s="2" t="s">
        <v>13</v>
      </c>
      <c r="F1984" s="2" t="s">
        <v>20</v>
      </c>
      <c r="G1984" s="2" t="s">
        <v>41</v>
      </c>
      <c r="H1984" s="2" t="s">
        <v>22</v>
      </c>
      <c r="I1984" s="2">
        <v>220000</v>
      </c>
      <c r="J1984" s="2">
        <v>8</v>
      </c>
      <c r="K1984" s="2" t="s">
        <v>17</v>
      </c>
      <c r="L1984" s="2">
        <f t="shared" si="7"/>
        <v>176000</v>
      </c>
    </row>
    <row r="1985" spans="1:12" ht="14.25" customHeight="1" x14ac:dyDescent="0.2">
      <c r="A1985" s="33">
        <v>47659</v>
      </c>
      <c r="B1985" s="33"/>
      <c r="C1985" s="2" t="s">
        <v>11</v>
      </c>
      <c r="D1985" s="2" t="s">
        <v>12</v>
      </c>
      <c r="E1985" s="2" t="s">
        <v>13</v>
      </c>
      <c r="F1985" s="2" t="s">
        <v>20</v>
      </c>
      <c r="G1985" s="2" t="s">
        <v>15</v>
      </c>
      <c r="H1985" s="2" t="s">
        <v>16</v>
      </c>
      <c r="I1985" s="2">
        <v>85000</v>
      </c>
      <c r="J1985" s="2">
        <v>2</v>
      </c>
      <c r="K1985" s="2" t="s">
        <v>37</v>
      </c>
      <c r="L1985" s="2">
        <f t="shared" si="7"/>
        <v>68000</v>
      </c>
    </row>
    <row r="1986" spans="1:12" ht="14.25" customHeight="1" x14ac:dyDescent="0.2">
      <c r="A1986" s="33">
        <v>47660</v>
      </c>
      <c r="B1986" s="33"/>
      <c r="C1986" s="2" t="s">
        <v>25</v>
      </c>
      <c r="D1986" s="2" t="s">
        <v>32</v>
      </c>
      <c r="E1986" s="2" t="s">
        <v>13</v>
      </c>
      <c r="F1986" s="2" t="s">
        <v>20</v>
      </c>
      <c r="G1986" s="2" t="s">
        <v>34</v>
      </c>
      <c r="H1986" s="2" t="s">
        <v>16</v>
      </c>
      <c r="I1986" s="2">
        <v>320000</v>
      </c>
      <c r="J1986" s="2">
        <v>7</v>
      </c>
      <c r="K1986" s="2" t="s">
        <v>37</v>
      </c>
      <c r="L1986" s="2">
        <f t="shared" si="7"/>
        <v>256000</v>
      </c>
    </row>
    <row r="1987" spans="1:12" ht="14.25" customHeight="1" x14ac:dyDescent="0.2">
      <c r="A1987" s="33">
        <v>47661</v>
      </c>
      <c r="B1987" s="33"/>
      <c r="C1987" s="2" t="s">
        <v>25</v>
      </c>
      <c r="D1987" s="2" t="s">
        <v>32</v>
      </c>
      <c r="E1987" s="2" t="s">
        <v>13</v>
      </c>
      <c r="F1987" s="2" t="s">
        <v>14</v>
      </c>
      <c r="G1987" s="2" t="s">
        <v>40</v>
      </c>
      <c r="H1987" s="2" t="s">
        <v>31</v>
      </c>
      <c r="I1987" s="2">
        <v>250000</v>
      </c>
      <c r="J1987" s="2">
        <v>4</v>
      </c>
      <c r="K1987" s="2" t="s">
        <v>17</v>
      </c>
      <c r="L1987" s="2">
        <f t="shared" si="7"/>
        <v>200000</v>
      </c>
    </row>
    <row r="1988" spans="1:12" ht="14.25" customHeight="1" x14ac:dyDescent="0.2">
      <c r="A1988" s="33">
        <v>47662</v>
      </c>
      <c r="B1988" s="33"/>
      <c r="C1988" s="2" t="s">
        <v>18</v>
      </c>
      <c r="D1988" s="2" t="s">
        <v>12</v>
      </c>
      <c r="E1988" s="2" t="s">
        <v>23</v>
      </c>
      <c r="F1988" s="2" t="s">
        <v>20</v>
      </c>
      <c r="G1988" s="2" t="s">
        <v>36</v>
      </c>
      <c r="H1988" s="2" t="s">
        <v>31</v>
      </c>
      <c r="I1988" s="2">
        <v>150000</v>
      </c>
      <c r="J1988" s="2">
        <v>6</v>
      </c>
      <c r="K1988" s="2" t="s">
        <v>24</v>
      </c>
      <c r="L1988" s="2">
        <f t="shared" si="7"/>
        <v>120000</v>
      </c>
    </row>
    <row r="1989" spans="1:12" ht="14.25" customHeight="1" x14ac:dyDescent="0.2">
      <c r="A1989" s="33">
        <v>47663</v>
      </c>
      <c r="B1989" s="33"/>
      <c r="C1989" s="2" t="s">
        <v>29</v>
      </c>
      <c r="D1989" s="2" t="s">
        <v>32</v>
      </c>
      <c r="E1989" s="2" t="s">
        <v>13</v>
      </c>
      <c r="F1989" s="2" t="s">
        <v>14</v>
      </c>
      <c r="G1989" s="2" t="s">
        <v>30</v>
      </c>
      <c r="H1989" s="2" t="s">
        <v>31</v>
      </c>
      <c r="I1989" s="2">
        <v>300000</v>
      </c>
      <c r="J1989" s="2">
        <v>8</v>
      </c>
      <c r="K1989" s="2" t="s">
        <v>24</v>
      </c>
      <c r="L1989" s="2">
        <f t="shared" si="7"/>
        <v>240000</v>
      </c>
    </row>
    <row r="1990" spans="1:12" ht="14.25" customHeight="1" x14ac:dyDescent="0.2">
      <c r="A1990" s="33">
        <v>47664</v>
      </c>
      <c r="B1990" s="33"/>
      <c r="C1990" s="2" t="s">
        <v>11</v>
      </c>
      <c r="D1990" s="2" t="s">
        <v>19</v>
      </c>
      <c r="E1990" s="2" t="s">
        <v>13</v>
      </c>
      <c r="F1990" s="2" t="s">
        <v>20</v>
      </c>
      <c r="G1990" s="2" t="s">
        <v>30</v>
      </c>
      <c r="H1990" s="2" t="s">
        <v>31</v>
      </c>
      <c r="I1990" s="2">
        <v>300000</v>
      </c>
      <c r="J1990" s="2">
        <v>10</v>
      </c>
      <c r="K1990" s="2" t="s">
        <v>17</v>
      </c>
      <c r="L1990" s="2">
        <f t="shared" si="7"/>
        <v>240000</v>
      </c>
    </row>
    <row r="1991" spans="1:12" ht="14.25" customHeight="1" x14ac:dyDescent="0.2">
      <c r="A1991" s="33">
        <v>47665</v>
      </c>
      <c r="B1991" s="33"/>
      <c r="C1991" s="2" t="s">
        <v>29</v>
      </c>
      <c r="D1991" s="2" t="s">
        <v>26</v>
      </c>
      <c r="E1991" s="2" t="s">
        <v>23</v>
      </c>
      <c r="F1991" s="2" t="s">
        <v>20</v>
      </c>
      <c r="G1991" s="2" t="s">
        <v>34</v>
      </c>
      <c r="H1991" s="2" t="s">
        <v>16</v>
      </c>
      <c r="I1991" s="2">
        <v>320000</v>
      </c>
      <c r="J1991" s="2">
        <v>1</v>
      </c>
      <c r="K1991" s="2" t="s">
        <v>28</v>
      </c>
      <c r="L1991" s="2">
        <f t="shared" si="7"/>
        <v>256000</v>
      </c>
    </row>
    <row r="1992" spans="1:12" ht="14.25" customHeight="1" x14ac:dyDescent="0.2">
      <c r="A1992" s="33">
        <v>47666</v>
      </c>
      <c r="B1992" s="33"/>
      <c r="C1992" s="2" t="s">
        <v>25</v>
      </c>
      <c r="D1992" s="2" t="s">
        <v>19</v>
      </c>
      <c r="E1992" s="2" t="s">
        <v>23</v>
      </c>
      <c r="F1992" s="2" t="s">
        <v>20</v>
      </c>
      <c r="G1992" s="2" t="s">
        <v>34</v>
      </c>
      <c r="H1992" s="2" t="s">
        <v>16</v>
      </c>
      <c r="I1992" s="2">
        <v>320000</v>
      </c>
      <c r="J1992" s="2">
        <v>3</v>
      </c>
      <c r="K1992" s="2" t="s">
        <v>28</v>
      </c>
      <c r="L1992" s="2">
        <f t="shared" si="7"/>
        <v>256000</v>
      </c>
    </row>
    <row r="1993" spans="1:12" ht="14.25" customHeight="1" x14ac:dyDescent="0.2">
      <c r="A1993" s="33">
        <v>47667</v>
      </c>
      <c r="B1993" s="33"/>
      <c r="C1993" s="2" t="s">
        <v>11</v>
      </c>
      <c r="D1993" s="2" t="s">
        <v>12</v>
      </c>
      <c r="E1993" s="2" t="s">
        <v>23</v>
      </c>
      <c r="F1993" s="2" t="s">
        <v>14</v>
      </c>
      <c r="G1993" s="2" t="s">
        <v>36</v>
      </c>
      <c r="H1993" s="2" t="s">
        <v>31</v>
      </c>
      <c r="I1993" s="2">
        <v>150000</v>
      </c>
      <c r="J1993" s="2">
        <v>6</v>
      </c>
      <c r="K1993" s="2" t="s">
        <v>35</v>
      </c>
      <c r="L1993" s="2">
        <f t="shared" si="7"/>
        <v>120000</v>
      </c>
    </row>
    <row r="1994" spans="1:12" ht="14.25" customHeight="1" x14ac:dyDescent="0.2">
      <c r="A1994" s="33">
        <v>47668</v>
      </c>
      <c r="B1994" s="33"/>
      <c r="C1994" s="2" t="s">
        <v>18</v>
      </c>
      <c r="D1994" s="2" t="s">
        <v>19</v>
      </c>
      <c r="E1994" s="2" t="s">
        <v>13</v>
      </c>
      <c r="F1994" s="2" t="s">
        <v>14</v>
      </c>
      <c r="G1994" s="2" t="s">
        <v>33</v>
      </c>
      <c r="H1994" s="2" t="s">
        <v>22</v>
      </c>
      <c r="I1994" s="2">
        <v>180000</v>
      </c>
      <c r="J1994" s="2">
        <v>9</v>
      </c>
      <c r="K1994" s="2" t="s">
        <v>39</v>
      </c>
      <c r="L1994" s="2">
        <f t="shared" si="7"/>
        <v>144000</v>
      </c>
    </row>
    <row r="1995" spans="1:12" ht="14.25" customHeight="1" x14ac:dyDescent="0.2">
      <c r="A1995" s="33">
        <v>47669</v>
      </c>
      <c r="B1995" s="33"/>
      <c r="C1995" s="2" t="s">
        <v>25</v>
      </c>
      <c r="D1995" s="2" t="s">
        <v>32</v>
      </c>
      <c r="E1995" s="2" t="s">
        <v>13</v>
      </c>
      <c r="F1995" s="2" t="s">
        <v>14</v>
      </c>
      <c r="G1995" s="2" t="s">
        <v>27</v>
      </c>
      <c r="H1995" s="2" t="s">
        <v>22</v>
      </c>
      <c r="I1995" s="2">
        <v>60000</v>
      </c>
      <c r="J1995" s="2">
        <v>2</v>
      </c>
      <c r="K1995" s="2" t="s">
        <v>35</v>
      </c>
      <c r="L1995" s="2">
        <f t="shared" si="7"/>
        <v>48000</v>
      </c>
    </row>
    <row r="1996" spans="1:12" ht="14.25" customHeight="1" x14ac:dyDescent="0.2">
      <c r="A1996" s="33">
        <v>47670</v>
      </c>
      <c r="B1996" s="33"/>
      <c r="C1996" s="2" t="s">
        <v>18</v>
      </c>
      <c r="D1996" s="2" t="s">
        <v>26</v>
      </c>
      <c r="E1996" s="2" t="s">
        <v>13</v>
      </c>
      <c r="F1996" s="2" t="s">
        <v>20</v>
      </c>
      <c r="G1996" s="2" t="s">
        <v>36</v>
      </c>
      <c r="H1996" s="2" t="s">
        <v>31</v>
      </c>
      <c r="I1996" s="2">
        <v>150000</v>
      </c>
      <c r="J1996" s="2">
        <v>5</v>
      </c>
      <c r="K1996" s="2" t="s">
        <v>35</v>
      </c>
      <c r="L1996" s="2">
        <f t="shared" si="7"/>
        <v>120000</v>
      </c>
    </row>
    <row r="1997" spans="1:12" ht="14.25" customHeight="1" x14ac:dyDescent="0.2">
      <c r="A1997" s="33">
        <v>47671</v>
      </c>
      <c r="B1997" s="33"/>
      <c r="C1997" s="2" t="s">
        <v>18</v>
      </c>
      <c r="D1997" s="2" t="s">
        <v>26</v>
      </c>
      <c r="E1997" s="2" t="s">
        <v>13</v>
      </c>
      <c r="F1997" s="2" t="s">
        <v>20</v>
      </c>
      <c r="G1997" s="2" t="s">
        <v>33</v>
      </c>
      <c r="H1997" s="2" t="s">
        <v>22</v>
      </c>
      <c r="I1997" s="2">
        <v>180000</v>
      </c>
      <c r="J1997" s="2">
        <v>10</v>
      </c>
      <c r="K1997" s="2" t="s">
        <v>35</v>
      </c>
      <c r="L1997" s="2">
        <f t="shared" si="7"/>
        <v>144000</v>
      </c>
    </row>
    <row r="1998" spans="1:12" ht="14.25" customHeight="1" x14ac:dyDescent="0.2">
      <c r="A1998" s="33">
        <v>47672</v>
      </c>
      <c r="B1998" s="33"/>
      <c r="C1998" s="2" t="s">
        <v>11</v>
      </c>
      <c r="D1998" s="2" t="s">
        <v>12</v>
      </c>
      <c r="E1998" s="2" t="s">
        <v>13</v>
      </c>
      <c r="F1998" s="2" t="s">
        <v>14</v>
      </c>
      <c r="G1998" s="2" t="s">
        <v>15</v>
      </c>
      <c r="H1998" s="2" t="s">
        <v>16</v>
      </c>
      <c r="I1998" s="2">
        <v>85000</v>
      </c>
      <c r="J1998" s="2">
        <v>7</v>
      </c>
      <c r="K1998" s="2" t="s">
        <v>37</v>
      </c>
      <c r="L1998" s="2">
        <f t="shared" si="7"/>
        <v>68000</v>
      </c>
    </row>
    <row r="1999" spans="1:12" ht="14.25" customHeight="1" x14ac:dyDescent="0.2">
      <c r="A1999" s="33">
        <v>47673</v>
      </c>
      <c r="B1999" s="33"/>
      <c r="C1999" s="2" t="s">
        <v>18</v>
      </c>
      <c r="D1999" s="2" t="s">
        <v>32</v>
      </c>
      <c r="E1999" s="2" t="s">
        <v>23</v>
      </c>
      <c r="F1999" s="2" t="s">
        <v>20</v>
      </c>
      <c r="G1999" s="2" t="s">
        <v>38</v>
      </c>
      <c r="H1999" s="2" t="s">
        <v>31</v>
      </c>
      <c r="I1999" s="2">
        <v>420000</v>
      </c>
      <c r="J1999" s="2">
        <v>3</v>
      </c>
      <c r="K1999" s="2" t="s">
        <v>24</v>
      </c>
      <c r="L1999" s="2">
        <f t="shared" si="7"/>
        <v>336000</v>
      </c>
    </row>
    <row r="2000" spans="1:12" ht="14.25" customHeight="1" x14ac:dyDescent="0.2">
      <c r="A2000" s="33">
        <v>47674</v>
      </c>
      <c r="B2000" s="33"/>
      <c r="C2000" s="2" t="s">
        <v>18</v>
      </c>
      <c r="D2000" s="2" t="s">
        <v>32</v>
      </c>
      <c r="E2000" s="2" t="s">
        <v>23</v>
      </c>
      <c r="F2000" s="2" t="s">
        <v>14</v>
      </c>
      <c r="G2000" s="2" t="s">
        <v>30</v>
      </c>
      <c r="H2000" s="2" t="s">
        <v>31</v>
      </c>
      <c r="I2000" s="2">
        <v>300000</v>
      </c>
      <c r="J2000" s="2">
        <v>2</v>
      </c>
      <c r="K2000" s="2" t="s">
        <v>37</v>
      </c>
      <c r="L2000" s="2">
        <f t="shared" si="7"/>
        <v>240000</v>
      </c>
    </row>
    <row r="2001" spans="1:12" ht="14.25" customHeight="1" x14ac:dyDescent="0.2">
      <c r="A2001" s="33">
        <v>47675</v>
      </c>
      <c r="B2001" s="33"/>
      <c r="C2001" s="2" t="s">
        <v>18</v>
      </c>
      <c r="D2001" s="2" t="s">
        <v>19</v>
      </c>
      <c r="E2001" s="2" t="s">
        <v>23</v>
      </c>
      <c r="F2001" s="2" t="s">
        <v>14</v>
      </c>
      <c r="G2001" s="2" t="s">
        <v>40</v>
      </c>
      <c r="H2001" s="2" t="s">
        <v>31</v>
      </c>
      <c r="I2001" s="2">
        <v>250000</v>
      </c>
      <c r="J2001" s="2">
        <v>3</v>
      </c>
      <c r="K2001" s="2" t="s">
        <v>37</v>
      </c>
      <c r="L2001" s="2">
        <f t="shared" si="7"/>
        <v>200000</v>
      </c>
    </row>
    <row r="2002" spans="1:12" ht="14.25" customHeight="1" x14ac:dyDescent="0.2">
      <c r="A2002" s="33">
        <v>47676</v>
      </c>
      <c r="B2002" s="33"/>
      <c r="C2002" s="2" t="s">
        <v>18</v>
      </c>
      <c r="D2002" s="2" t="s">
        <v>12</v>
      </c>
      <c r="E2002" s="2" t="s">
        <v>13</v>
      </c>
      <c r="F2002" s="2" t="s">
        <v>20</v>
      </c>
      <c r="G2002" s="2" t="s">
        <v>36</v>
      </c>
      <c r="H2002" s="2" t="s">
        <v>31</v>
      </c>
      <c r="I2002" s="2">
        <v>150000</v>
      </c>
      <c r="J2002" s="2">
        <v>7</v>
      </c>
      <c r="K2002" s="2" t="s">
        <v>24</v>
      </c>
      <c r="L2002" s="2">
        <f t="shared" si="7"/>
        <v>120000</v>
      </c>
    </row>
    <row r="2003" spans="1:12" ht="14.25" customHeight="1" x14ac:dyDescent="0.2">
      <c r="A2003" s="33">
        <v>47677</v>
      </c>
      <c r="B2003" s="33"/>
      <c r="C2003" s="2" t="s">
        <v>11</v>
      </c>
      <c r="D2003" s="2" t="s">
        <v>12</v>
      </c>
      <c r="E2003" s="2" t="s">
        <v>23</v>
      </c>
      <c r="F2003" s="2" t="s">
        <v>14</v>
      </c>
      <c r="G2003" s="2" t="s">
        <v>38</v>
      </c>
      <c r="H2003" s="2" t="s">
        <v>31</v>
      </c>
      <c r="I2003" s="2">
        <v>420000</v>
      </c>
      <c r="J2003" s="2">
        <v>7</v>
      </c>
      <c r="K2003" s="2" t="s">
        <v>35</v>
      </c>
      <c r="L2003" s="2">
        <f t="shared" si="7"/>
        <v>336000</v>
      </c>
    </row>
    <row r="2004" spans="1:12" ht="14.25" customHeight="1" x14ac:dyDescent="0.2">
      <c r="A2004" s="33">
        <v>47678</v>
      </c>
      <c r="B2004" s="33"/>
      <c r="C2004" s="2" t="s">
        <v>25</v>
      </c>
      <c r="D2004" s="2" t="s">
        <v>19</v>
      </c>
      <c r="E2004" s="2" t="s">
        <v>13</v>
      </c>
      <c r="F2004" s="2" t="s">
        <v>20</v>
      </c>
      <c r="G2004" s="2" t="s">
        <v>33</v>
      </c>
      <c r="H2004" s="2" t="s">
        <v>22</v>
      </c>
      <c r="I2004" s="2">
        <v>180000</v>
      </c>
      <c r="J2004" s="2">
        <v>7</v>
      </c>
      <c r="K2004" s="2" t="s">
        <v>28</v>
      </c>
      <c r="L2004" s="2">
        <f t="shared" si="7"/>
        <v>144000</v>
      </c>
    </row>
    <row r="2005" spans="1:12" ht="14.25" customHeight="1" x14ac:dyDescent="0.2">
      <c r="A2005" s="33">
        <v>47679</v>
      </c>
      <c r="B2005" s="33"/>
      <c r="C2005" s="2" t="s">
        <v>11</v>
      </c>
      <c r="D2005" s="2" t="s">
        <v>12</v>
      </c>
      <c r="E2005" s="2" t="s">
        <v>13</v>
      </c>
      <c r="F2005" s="2" t="s">
        <v>20</v>
      </c>
      <c r="G2005" s="2" t="s">
        <v>34</v>
      </c>
      <c r="H2005" s="2" t="s">
        <v>16</v>
      </c>
      <c r="I2005" s="2">
        <v>320000</v>
      </c>
      <c r="J2005" s="2">
        <v>2</v>
      </c>
      <c r="K2005" s="2" t="s">
        <v>39</v>
      </c>
      <c r="L2005" s="2">
        <f t="shared" si="7"/>
        <v>256000</v>
      </c>
    </row>
    <row r="2006" spans="1:12" ht="14.25" customHeight="1" x14ac:dyDescent="0.2">
      <c r="A2006" s="33">
        <v>47680</v>
      </c>
      <c r="B2006" s="33"/>
      <c r="C2006" s="2" t="s">
        <v>29</v>
      </c>
      <c r="D2006" s="2" t="s">
        <v>12</v>
      </c>
      <c r="E2006" s="2" t="s">
        <v>23</v>
      </c>
      <c r="F2006" s="2" t="s">
        <v>20</v>
      </c>
      <c r="G2006" s="2" t="s">
        <v>34</v>
      </c>
      <c r="H2006" s="2" t="s">
        <v>16</v>
      </c>
      <c r="I2006" s="2">
        <v>320000</v>
      </c>
      <c r="J2006" s="2">
        <v>6</v>
      </c>
      <c r="K2006" s="2" t="s">
        <v>39</v>
      </c>
      <c r="L2006" s="2">
        <f t="shared" si="7"/>
        <v>256000</v>
      </c>
    </row>
    <row r="2007" spans="1:12" ht="14.25" customHeight="1" x14ac:dyDescent="0.2">
      <c r="A2007" s="33">
        <v>47681</v>
      </c>
      <c r="B2007" s="33"/>
      <c r="C2007" s="2" t="s">
        <v>18</v>
      </c>
      <c r="D2007" s="2" t="s">
        <v>26</v>
      </c>
      <c r="E2007" s="2" t="s">
        <v>23</v>
      </c>
      <c r="F2007" s="2" t="s">
        <v>14</v>
      </c>
      <c r="G2007" s="2" t="s">
        <v>21</v>
      </c>
      <c r="H2007" s="2" t="s">
        <v>22</v>
      </c>
      <c r="I2007" s="2">
        <v>30000</v>
      </c>
      <c r="J2007" s="2">
        <v>3</v>
      </c>
      <c r="K2007" s="2" t="s">
        <v>37</v>
      </c>
      <c r="L2007" s="2">
        <f t="shared" si="7"/>
        <v>24000</v>
      </c>
    </row>
    <row r="2008" spans="1:12" ht="14.25" customHeight="1" x14ac:dyDescent="0.2">
      <c r="A2008" s="33">
        <v>47682</v>
      </c>
      <c r="B2008" s="33"/>
      <c r="C2008" s="2" t="s">
        <v>29</v>
      </c>
      <c r="D2008" s="2" t="s">
        <v>12</v>
      </c>
      <c r="E2008" s="2" t="s">
        <v>13</v>
      </c>
      <c r="F2008" s="2" t="s">
        <v>14</v>
      </c>
      <c r="G2008" s="2" t="s">
        <v>38</v>
      </c>
      <c r="H2008" s="2" t="s">
        <v>31</v>
      </c>
      <c r="I2008" s="2">
        <v>420000</v>
      </c>
      <c r="J2008" s="2">
        <v>3</v>
      </c>
      <c r="K2008" s="2" t="s">
        <v>17</v>
      </c>
      <c r="L2008" s="2">
        <f t="shared" si="7"/>
        <v>336000</v>
      </c>
    </row>
    <row r="2009" spans="1:12" ht="14.25" customHeight="1" x14ac:dyDescent="0.2">
      <c r="A2009" s="33">
        <v>47683</v>
      </c>
      <c r="B2009" s="33"/>
      <c r="C2009" s="2" t="s">
        <v>25</v>
      </c>
      <c r="D2009" s="2" t="s">
        <v>19</v>
      </c>
      <c r="E2009" s="2" t="s">
        <v>13</v>
      </c>
      <c r="F2009" s="2" t="s">
        <v>20</v>
      </c>
      <c r="G2009" s="2" t="s">
        <v>21</v>
      </c>
      <c r="H2009" s="2" t="s">
        <v>22</v>
      </c>
      <c r="I2009" s="2">
        <v>30000</v>
      </c>
      <c r="J2009" s="2">
        <v>9</v>
      </c>
      <c r="K2009" s="2" t="s">
        <v>35</v>
      </c>
      <c r="L2009" s="2">
        <f t="shared" si="7"/>
        <v>24000</v>
      </c>
    </row>
    <row r="2010" spans="1:12" ht="14.25" customHeight="1" x14ac:dyDescent="0.2">
      <c r="A2010" s="33">
        <v>47684</v>
      </c>
      <c r="B2010" s="33"/>
      <c r="C2010" s="2" t="s">
        <v>18</v>
      </c>
      <c r="D2010" s="2" t="s">
        <v>12</v>
      </c>
      <c r="E2010" s="2" t="s">
        <v>23</v>
      </c>
      <c r="F2010" s="2" t="s">
        <v>20</v>
      </c>
      <c r="G2010" s="2" t="s">
        <v>34</v>
      </c>
      <c r="H2010" s="2" t="s">
        <v>16</v>
      </c>
      <c r="I2010" s="2">
        <v>320000</v>
      </c>
      <c r="J2010" s="2">
        <v>4</v>
      </c>
      <c r="K2010" s="2" t="s">
        <v>17</v>
      </c>
      <c r="L2010" s="2">
        <f t="shared" si="7"/>
        <v>256000</v>
      </c>
    </row>
    <row r="2011" spans="1:12" ht="14.25" customHeight="1" x14ac:dyDescent="0.2">
      <c r="A2011" s="33">
        <v>47685</v>
      </c>
      <c r="B2011" s="33"/>
      <c r="C2011" s="2" t="s">
        <v>29</v>
      </c>
      <c r="D2011" s="2" t="s">
        <v>32</v>
      </c>
      <c r="E2011" s="2" t="s">
        <v>23</v>
      </c>
      <c r="F2011" s="2" t="s">
        <v>20</v>
      </c>
      <c r="G2011" s="2" t="s">
        <v>36</v>
      </c>
      <c r="H2011" s="2" t="s">
        <v>31</v>
      </c>
      <c r="I2011" s="2">
        <v>150000</v>
      </c>
      <c r="J2011" s="2">
        <v>5</v>
      </c>
      <c r="K2011" s="2" t="s">
        <v>24</v>
      </c>
      <c r="L2011" s="2">
        <f t="shared" si="7"/>
        <v>120000</v>
      </c>
    </row>
    <row r="2012" spans="1:12" ht="14.25" customHeight="1" x14ac:dyDescent="0.2">
      <c r="A2012" s="33">
        <v>47686</v>
      </c>
      <c r="B2012" s="33"/>
      <c r="C2012" s="2" t="s">
        <v>25</v>
      </c>
      <c r="D2012" s="2" t="s">
        <v>12</v>
      </c>
      <c r="E2012" s="2" t="s">
        <v>23</v>
      </c>
      <c r="F2012" s="2" t="s">
        <v>20</v>
      </c>
      <c r="G2012" s="2" t="s">
        <v>15</v>
      </c>
      <c r="H2012" s="2" t="s">
        <v>16</v>
      </c>
      <c r="I2012" s="2">
        <v>85000</v>
      </c>
      <c r="J2012" s="2">
        <v>8</v>
      </c>
      <c r="K2012" s="2" t="s">
        <v>35</v>
      </c>
      <c r="L2012" s="2">
        <f t="shared" si="7"/>
        <v>68000</v>
      </c>
    </row>
    <row r="2013" spans="1:12" ht="14.25" customHeight="1" x14ac:dyDescent="0.2">
      <c r="A2013" s="33">
        <v>47687</v>
      </c>
      <c r="B2013" s="33"/>
      <c r="C2013" s="2" t="s">
        <v>29</v>
      </c>
      <c r="D2013" s="2" t="s">
        <v>32</v>
      </c>
      <c r="E2013" s="2" t="s">
        <v>13</v>
      </c>
      <c r="F2013" s="2" t="s">
        <v>20</v>
      </c>
      <c r="G2013" s="2" t="s">
        <v>27</v>
      </c>
      <c r="H2013" s="2" t="s">
        <v>22</v>
      </c>
      <c r="I2013" s="2">
        <v>60000</v>
      </c>
      <c r="J2013" s="2">
        <v>1</v>
      </c>
      <c r="K2013" s="2" t="s">
        <v>17</v>
      </c>
      <c r="L2013" s="2">
        <f t="shared" si="7"/>
        <v>48000</v>
      </c>
    </row>
    <row r="2014" spans="1:12" ht="14.25" customHeight="1" x14ac:dyDescent="0.2">
      <c r="A2014" s="33">
        <v>47688</v>
      </c>
      <c r="B2014" s="33"/>
      <c r="C2014" s="2" t="s">
        <v>25</v>
      </c>
      <c r="D2014" s="2" t="s">
        <v>19</v>
      </c>
      <c r="E2014" s="2" t="s">
        <v>13</v>
      </c>
      <c r="F2014" s="2" t="s">
        <v>14</v>
      </c>
      <c r="G2014" s="2" t="s">
        <v>41</v>
      </c>
      <c r="H2014" s="2" t="s">
        <v>22</v>
      </c>
      <c r="I2014" s="2">
        <v>220000</v>
      </c>
      <c r="J2014" s="2">
        <v>3</v>
      </c>
      <c r="K2014" s="2" t="s">
        <v>28</v>
      </c>
      <c r="L2014" s="2">
        <f t="shared" si="7"/>
        <v>176000</v>
      </c>
    </row>
    <row r="2015" spans="1:12" ht="14.25" customHeight="1" x14ac:dyDescent="0.2">
      <c r="A2015" s="33">
        <v>47689</v>
      </c>
      <c r="B2015" s="33"/>
      <c r="C2015" s="2" t="s">
        <v>11</v>
      </c>
      <c r="D2015" s="2" t="s">
        <v>32</v>
      </c>
      <c r="E2015" s="2" t="s">
        <v>23</v>
      </c>
      <c r="F2015" s="2" t="s">
        <v>14</v>
      </c>
      <c r="G2015" s="2" t="s">
        <v>33</v>
      </c>
      <c r="H2015" s="2" t="s">
        <v>22</v>
      </c>
      <c r="I2015" s="2">
        <v>180000</v>
      </c>
      <c r="J2015" s="2">
        <v>2</v>
      </c>
      <c r="K2015" s="2" t="s">
        <v>37</v>
      </c>
      <c r="L2015" s="2">
        <f t="shared" si="7"/>
        <v>144000</v>
      </c>
    </row>
    <row r="2016" spans="1:12" ht="14.25" customHeight="1" x14ac:dyDescent="0.2">
      <c r="A2016" s="33">
        <v>47690</v>
      </c>
      <c r="B2016" s="33"/>
      <c r="C2016" s="2" t="s">
        <v>25</v>
      </c>
      <c r="D2016" s="2" t="s">
        <v>12</v>
      </c>
      <c r="E2016" s="2" t="s">
        <v>23</v>
      </c>
      <c r="F2016" s="2" t="s">
        <v>14</v>
      </c>
      <c r="G2016" s="2" t="s">
        <v>40</v>
      </c>
      <c r="H2016" s="2" t="s">
        <v>31</v>
      </c>
      <c r="I2016" s="2">
        <v>250000</v>
      </c>
      <c r="J2016" s="2">
        <v>9</v>
      </c>
      <c r="K2016" s="2" t="s">
        <v>24</v>
      </c>
      <c r="L2016" s="2">
        <f t="shared" si="7"/>
        <v>200000</v>
      </c>
    </row>
    <row r="2017" spans="1:12" ht="14.25" customHeight="1" x14ac:dyDescent="0.2">
      <c r="A2017" s="33">
        <v>47691</v>
      </c>
      <c r="B2017" s="33"/>
      <c r="C2017" s="2" t="s">
        <v>11</v>
      </c>
      <c r="D2017" s="2" t="s">
        <v>12</v>
      </c>
      <c r="E2017" s="2" t="s">
        <v>23</v>
      </c>
      <c r="F2017" s="2" t="s">
        <v>14</v>
      </c>
      <c r="G2017" s="2" t="s">
        <v>30</v>
      </c>
      <c r="H2017" s="2" t="s">
        <v>31</v>
      </c>
      <c r="I2017" s="2">
        <v>300000</v>
      </c>
      <c r="J2017" s="2">
        <v>8</v>
      </c>
      <c r="K2017" s="2" t="s">
        <v>37</v>
      </c>
      <c r="L2017" s="2">
        <f t="shared" si="7"/>
        <v>240000</v>
      </c>
    </row>
    <row r="2018" spans="1:12" ht="14.25" customHeight="1" x14ac:dyDescent="0.2">
      <c r="A2018" s="33">
        <v>47692</v>
      </c>
      <c r="B2018" s="33"/>
      <c r="C2018" s="2" t="s">
        <v>11</v>
      </c>
      <c r="D2018" s="2" t="s">
        <v>19</v>
      </c>
      <c r="E2018" s="2" t="s">
        <v>13</v>
      </c>
      <c r="F2018" s="2" t="s">
        <v>14</v>
      </c>
      <c r="G2018" s="2" t="s">
        <v>36</v>
      </c>
      <c r="H2018" s="2" t="s">
        <v>31</v>
      </c>
      <c r="I2018" s="2">
        <v>150000</v>
      </c>
      <c r="J2018" s="2">
        <v>6</v>
      </c>
      <c r="K2018" s="2" t="s">
        <v>17</v>
      </c>
      <c r="L2018" s="2">
        <f t="shared" si="7"/>
        <v>120000</v>
      </c>
    </row>
    <row r="2019" spans="1:12" ht="14.25" customHeight="1" x14ac:dyDescent="0.2">
      <c r="A2019" s="33">
        <v>47693</v>
      </c>
      <c r="B2019" s="33"/>
      <c r="C2019" s="2" t="s">
        <v>29</v>
      </c>
      <c r="D2019" s="2" t="s">
        <v>32</v>
      </c>
      <c r="E2019" s="2" t="s">
        <v>23</v>
      </c>
      <c r="F2019" s="2" t="s">
        <v>20</v>
      </c>
      <c r="G2019" s="2" t="s">
        <v>15</v>
      </c>
      <c r="H2019" s="2" t="s">
        <v>16</v>
      </c>
      <c r="I2019" s="2">
        <v>85000</v>
      </c>
      <c r="J2019" s="2">
        <v>9</v>
      </c>
      <c r="K2019" s="2" t="s">
        <v>28</v>
      </c>
      <c r="L2019" s="2">
        <f t="shared" si="7"/>
        <v>68000</v>
      </c>
    </row>
    <row r="2020" spans="1:12" ht="14.25" customHeight="1" x14ac:dyDescent="0.2">
      <c r="A2020" s="33">
        <v>47694</v>
      </c>
      <c r="B2020" s="33"/>
      <c r="C2020" s="2" t="s">
        <v>29</v>
      </c>
      <c r="D2020" s="2" t="s">
        <v>26</v>
      </c>
      <c r="E2020" s="2" t="s">
        <v>23</v>
      </c>
      <c r="F2020" s="2" t="s">
        <v>14</v>
      </c>
      <c r="G2020" s="2" t="s">
        <v>27</v>
      </c>
      <c r="H2020" s="2" t="s">
        <v>22</v>
      </c>
      <c r="I2020" s="2">
        <v>60000</v>
      </c>
      <c r="J2020" s="2">
        <v>3</v>
      </c>
      <c r="K2020" s="2" t="s">
        <v>24</v>
      </c>
      <c r="L2020" s="2">
        <f t="shared" si="7"/>
        <v>48000</v>
      </c>
    </row>
    <row r="2021" spans="1:12" ht="14.25" customHeight="1" x14ac:dyDescent="0.2">
      <c r="A2021" s="33">
        <v>47695</v>
      </c>
      <c r="B2021" s="33"/>
      <c r="C2021" s="2" t="s">
        <v>25</v>
      </c>
      <c r="D2021" s="2" t="s">
        <v>32</v>
      </c>
      <c r="E2021" s="2" t="s">
        <v>13</v>
      </c>
      <c r="F2021" s="2" t="s">
        <v>20</v>
      </c>
      <c r="G2021" s="2" t="s">
        <v>38</v>
      </c>
      <c r="H2021" s="2" t="s">
        <v>31</v>
      </c>
      <c r="I2021" s="2">
        <v>420000</v>
      </c>
      <c r="J2021" s="2">
        <v>7</v>
      </c>
      <c r="K2021" s="2" t="s">
        <v>35</v>
      </c>
      <c r="L2021" s="2">
        <f t="shared" si="7"/>
        <v>336000</v>
      </c>
    </row>
    <row r="2022" spans="1:12" ht="14.25" customHeight="1" x14ac:dyDescent="0.2">
      <c r="A2022" s="33">
        <v>47696</v>
      </c>
      <c r="B2022" s="33"/>
      <c r="C2022" s="2" t="s">
        <v>25</v>
      </c>
      <c r="D2022" s="2" t="s">
        <v>12</v>
      </c>
      <c r="E2022" s="2" t="s">
        <v>23</v>
      </c>
      <c r="F2022" s="2" t="s">
        <v>14</v>
      </c>
      <c r="G2022" s="2" t="s">
        <v>15</v>
      </c>
      <c r="H2022" s="2" t="s">
        <v>16</v>
      </c>
      <c r="I2022" s="2">
        <v>85000</v>
      </c>
      <c r="J2022" s="2">
        <v>5</v>
      </c>
      <c r="K2022" s="2" t="s">
        <v>24</v>
      </c>
      <c r="L2022" s="2">
        <f t="shared" si="7"/>
        <v>68000</v>
      </c>
    </row>
    <row r="2023" spans="1:12" ht="14.25" customHeight="1" x14ac:dyDescent="0.2">
      <c r="A2023" s="33">
        <v>47697</v>
      </c>
      <c r="B2023" s="33"/>
      <c r="C2023" s="2" t="s">
        <v>18</v>
      </c>
      <c r="D2023" s="2" t="s">
        <v>12</v>
      </c>
      <c r="E2023" s="2" t="s">
        <v>23</v>
      </c>
      <c r="F2023" s="2" t="s">
        <v>14</v>
      </c>
      <c r="G2023" s="2" t="s">
        <v>27</v>
      </c>
      <c r="H2023" s="2" t="s">
        <v>22</v>
      </c>
      <c r="I2023" s="2">
        <v>60000</v>
      </c>
      <c r="J2023" s="2">
        <v>7</v>
      </c>
      <c r="K2023" s="2" t="s">
        <v>24</v>
      </c>
      <c r="L2023" s="2">
        <f t="shared" si="7"/>
        <v>48000</v>
      </c>
    </row>
    <row r="2024" spans="1:12" ht="14.25" customHeight="1" x14ac:dyDescent="0.2">
      <c r="A2024" s="33">
        <v>47698</v>
      </c>
      <c r="B2024" s="33"/>
      <c r="C2024" s="2" t="s">
        <v>18</v>
      </c>
      <c r="D2024" s="2" t="s">
        <v>32</v>
      </c>
      <c r="E2024" s="2" t="s">
        <v>13</v>
      </c>
      <c r="F2024" s="2" t="s">
        <v>14</v>
      </c>
      <c r="G2024" s="2" t="s">
        <v>33</v>
      </c>
      <c r="H2024" s="2" t="s">
        <v>22</v>
      </c>
      <c r="I2024" s="2">
        <v>180000</v>
      </c>
      <c r="J2024" s="2">
        <v>2</v>
      </c>
      <c r="K2024" s="2" t="s">
        <v>35</v>
      </c>
      <c r="L2024" s="2">
        <f t="shared" si="7"/>
        <v>144000</v>
      </c>
    </row>
    <row r="2025" spans="1:12" ht="14.25" customHeight="1" x14ac:dyDescent="0.2">
      <c r="A2025" s="33">
        <v>47699</v>
      </c>
      <c r="B2025" s="33"/>
      <c r="C2025" s="2" t="s">
        <v>11</v>
      </c>
      <c r="D2025" s="2" t="s">
        <v>12</v>
      </c>
      <c r="E2025" s="2" t="s">
        <v>23</v>
      </c>
      <c r="F2025" s="2" t="s">
        <v>20</v>
      </c>
      <c r="G2025" s="2" t="s">
        <v>40</v>
      </c>
      <c r="H2025" s="2" t="s">
        <v>31</v>
      </c>
      <c r="I2025" s="2">
        <v>250000</v>
      </c>
      <c r="J2025" s="2">
        <v>3</v>
      </c>
      <c r="K2025" s="2" t="s">
        <v>37</v>
      </c>
      <c r="L2025" s="2">
        <f t="shared" si="7"/>
        <v>200000</v>
      </c>
    </row>
    <row r="2026" spans="1:12" ht="14.25" customHeight="1" x14ac:dyDescent="0.2">
      <c r="A2026" s="33">
        <v>47700</v>
      </c>
      <c r="B2026" s="33"/>
      <c r="C2026" s="2" t="s">
        <v>18</v>
      </c>
      <c r="D2026" s="2" t="s">
        <v>26</v>
      </c>
      <c r="E2026" s="2" t="s">
        <v>23</v>
      </c>
      <c r="F2026" s="2" t="s">
        <v>14</v>
      </c>
      <c r="G2026" s="2" t="s">
        <v>33</v>
      </c>
      <c r="H2026" s="2" t="s">
        <v>22</v>
      </c>
      <c r="I2026" s="2">
        <v>180000</v>
      </c>
      <c r="J2026" s="2">
        <v>6</v>
      </c>
      <c r="K2026" s="2" t="s">
        <v>39</v>
      </c>
      <c r="L2026" s="2">
        <f t="shared" si="7"/>
        <v>144000</v>
      </c>
    </row>
    <row r="2027" spans="1:12" ht="14.25" customHeight="1" x14ac:dyDescent="0.2">
      <c r="A2027" s="33">
        <v>47701</v>
      </c>
      <c r="B2027" s="33"/>
      <c r="C2027" s="2" t="s">
        <v>18</v>
      </c>
      <c r="D2027" s="2" t="s">
        <v>32</v>
      </c>
      <c r="E2027" s="2" t="s">
        <v>13</v>
      </c>
      <c r="F2027" s="2" t="s">
        <v>20</v>
      </c>
      <c r="G2027" s="2" t="s">
        <v>15</v>
      </c>
      <c r="H2027" s="2" t="s">
        <v>16</v>
      </c>
      <c r="I2027" s="2">
        <v>85000</v>
      </c>
      <c r="J2027" s="2">
        <v>2</v>
      </c>
      <c r="K2027" s="2" t="s">
        <v>39</v>
      </c>
      <c r="L2027" s="2">
        <f t="shared" si="7"/>
        <v>68000</v>
      </c>
    </row>
    <row r="2028" spans="1:12" ht="14.25" customHeight="1" x14ac:dyDescent="0.2">
      <c r="A2028" s="33">
        <v>47702</v>
      </c>
      <c r="B2028" s="33"/>
      <c r="C2028" s="2" t="s">
        <v>29</v>
      </c>
      <c r="D2028" s="2" t="s">
        <v>32</v>
      </c>
      <c r="E2028" s="2" t="s">
        <v>23</v>
      </c>
      <c r="F2028" s="2" t="s">
        <v>20</v>
      </c>
      <c r="G2028" s="2" t="s">
        <v>40</v>
      </c>
      <c r="H2028" s="2" t="s">
        <v>31</v>
      </c>
      <c r="I2028" s="2">
        <v>250000</v>
      </c>
      <c r="J2028" s="2">
        <v>5</v>
      </c>
      <c r="K2028" s="2" t="s">
        <v>28</v>
      </c>
      <c r="L2028" s="2">
        <f t="shared" si="7"/>
        <v>200000</v>
      </c>
    </row>
    <row r="2029" spans="1:12" ht="14.25" customHeight="1" x14ac:dyDescent="0.2">
      <c r="A2029" s="33">
        <v>47703</v>
      </c>
      <c r="B2029" s="33"/>
      <c r="C2029" s="2" t="s">
        <v>11</v>
      </c>
      <c r="D2029" s="2" t="s">
        <v>12</v>
      </c>
      <c r="E2029" s="2" t="s">
        <v>23</v>
      </c>
      <c r="F2029" s="2" t="s">
        <v>20</v>
      </c>
      <c r="G2029" s="2" t="s">
        <v>41</v>
      </c>
      <c r="H2029" s="2" t="s">
        <v>22</v>
      </c>
      <c r="I2029" s="2">
        <v>220000</v>
      </c>
      <c r="J2029" s="2">
        <v>2</v>
      </c>
      <c r="K2029" s="2" t="s">
        <v>37</v>
      </c>
      <c r="L2029" s="2">
        <f t="shared" si="7"/>
        <v>176000</v>
      </c>
    </row>
    <row r="2030" spans="1:12" ht="14.25" customHeight="1" x14ac:dyDescent="0.2">
      <c r="A2030" s="33">
        <v>47704</v>
      </c>
      <c r="B2030" s="33"/>
      <c r="C2030" s="2" t="s">
        <v>25</v>
      </c>
      <c r="D2030" s="2" t="s">
        <v>32</v>
      </c>
      <c r="E2030" s="2" t="s">
        <v>13</v>
      </c>
      <c r="F2030" s="2" t="s">
        <v>14</v>
      </c>
      <c r="G2030" s="2" t="s">
        <v>21</v>
      </c>
      <c r="H2030" s="2" t="s">
        <v>22</v>
      </c>
      <c r="I2030" s="2">
        <v>30000</v>
      </c>
      <c r="J2030" s="2">
        <v>2</v>
      </c>
      <c r="K2030" s="2" t="s">
        <v>24</v>
      </c>
      <c r="L2030" s="2">
        <f t="shared" si="7"/>
        <v>24000</v>
      </c>
    </row>
    <row r="2031" spans="1:12" ht="14.25" customHeight="1" x14ac:dyDescent="0.2">
      <c r="A2031" s="33">
        <v>47705</v>
      </c>
      <c r="B2031" s="33"/>
      <c r="C2031" s="2" t="s">
        <v>18</v>
      </c>
      <c r="D2031" s="2" t="s">
        <v>26</v>
      </c>
      <c r="E2031" s="2" t="s">
        <v>23</v>
      </c>
      <c r="F2031" s="2" t="s">
        <v>20</v>
      </c>
      <c r="G2031" s="2" t="s">
        <v>38</v>
      </c>
      <c r="H2031" s="2" t="s">
        <v>31</v>
      </c>
      <c r="I2031" s="2">
        <v>420000</v>
      </c>
      <c r="J2031" s="2">
        <v>10</v>
      </c>
      <c r="K2031" s="2" t="s">
        <v>37</v>
      </c>
      <c r="L2031" s="2">
        <f t="shared" si="7"/>
        <v>336000</v>
      </c>
    </row>
    <row r="2032" spans="1:12" ht="14.25" customHeight="1" x14ac:dyDescent="0.2">
      <c r="A2032" s="33">
        <v>47706</v>
      </c>
      <c r="B2032" s="33"/>
      <c r="C2032" s="2" t="s">
        <v>29</v>
      </c>
      <c r="D2032" s="2" t="s">
        <v>32</v>
      </c>
      <c r="E2032" s="2" t="s">
        <v>23</v>
      </c>
      <c r="F2032" s="2" t="s">
        <v>14</v>
      </c>
      <c r="G2032" s="2" t="s">
        <v>41</v>
      </c>
      <c r="H2032" s="2" t="s">
        <v>22</v>
      </c>
      <c r="I2032" s="2">
        <v>220000</v>
      </c>
      <c r="J2032" s="2">
        <v>2</v>
      </c>
      <c r="K2032" s="2" t="s">
        <v>35</v>
      </c>
      <c r="L2032" s="2">
        <f t="shared" si="7"/>
        <v>176000</v>
      </c>
    </row>
    <row r="2033" spans="1:12" ht="14.25" customHeight="1" x14ac:dyDescent="0.2">
      <c r="A2033" s="33">
        <v>47707</v>
      </c>
      <c r="B2033" s="33"/>
      <c r="C2033" s="2" t="s">
        <v>25</v>
      </c>
      <c r="D2033" s="2" t="s">
        <v>26</v>
      </c>
      <c r="E2033" s="2" t="s">
        <v>23</v>
      </c>
      <c r="F2033" s="2" t="s">
        <v>20</v>
      </c>
      <c r="G2033" s="2" t="s">
        <v>41</v>
      </c>
      <c r="H2033" s="2" t="s">
        <v>22</v>
      </c>
      <c r="I2033" s="2">
        <v>220000</v>
      </c>
      <c r="J2033" s="2">
        <v>10</v>
      </c>
      <c r="K2033" s="2" t="s">
        <v>24</v>
      </c>
      <c r="L2033" s="2">
        <f t="shared" si="7"/>
        <v>176000</v>
      </c>
    </row>
    <row r="2034" spans="1:12" ht="14.25" customHeight="1" x14ac:dyDescent="0.2">
      <c r="A2034" s="33">
        <v>47708</v>
      </c>
      <c r="B2034" s="33"/>
      <c r="C2034" s="2" t="s">
        <v>11</v>
      </c>
      <c r="D2034" s="2" t="s">
        <v>19</v>
      </c>
      <c r="E2034" s="2" t="s">
        <v>23</v>
      </c>
      <c r="F2034" s="2" t="s">
        <v>20</v>
      </c>
      <c r="G2034" s="2" t="s">
        <v>34</v>
      </c>
      <c r="H2034" s="2" t="s">
        <v>16</v>
      </c>
      <c r="I2034" s="2">
        <v>320000</v>
      </c>
      <c r="J2034" s="2">
        <v>6</v>
      </c>
      <c r="K2034" s="2" t="s">
        <v>35</v>
      </c>
      <c r="L2034" s="2">
        <f t="shared" si="7"/>
        <v>256000</v>
      </c>
    </row>
    <row r="2035" spans="1:12" ht="14.25" customHeight="1" x14ac:dyDescent="0.2">
      <c r="A2035" s="33">
        <v>47709</v>
      </c>
      <c r="B2035" s="33"/>
      <c r="C2035" s="2" t="s">
        <v>29</v>
      </c>
      <c r="D2035" s="2" t="s">
        <v>12</v>
      </c>
      <c r="E2035" s="2" t="s">
        <v>23</v>
      </c>
      <c r="F2035" s="2" t="s">
        <v>20</v>
      </c>
      <c r="G2035" s="2" t="s">
        <v>38</v>
      </c>
      <c r="H2035" s="2" t="s">
        <v>31</v>
      </c>
      <c r="I2035" s="2">
        <v>420000</v>
      </c>
      <c r="J2035" s="2">
        <v>8</v>
      </c>
      <c r="K2035" s="2" t="s">
        <v>35</v>
      </c>
      <c r="L2035" s="2">
        <f t="shared" si="7"/>
        <v>336000</v>
      </c>
    </row>
    <row r="2036" spans="1:12" ht="14.25" customHeight="1" x14ac:dyDescent="0.2">
      <c r="A2036" s="33">
        <v>47710</v>
      </c>
      <c r="B2036" s="33"/>
      <c r="C2036" s="2" t="s">
        <v>18</v>
      </c>
      <c r="D2036" s="2" t="s">
        <v>32</v>
      </c>
      <c r="E2036" s="2" t="s">
        <v>13</v>
      </c>
      <c r="F2036" s="2" t="s">
        <v>20</v>
      </c>
      <c r="G2036" s="2" t="s">
        <v>41</v>
      </c>
      <c r="H2036" s="2" t="s">
        <v>22</v>
      </c>
      <c r="I2036" s="2">
        <v>220000</v>
      </c>
      <c r="J2036" s="2">
        <v>9</v>
      </c>
      <c r="K2036" s="2" t="s">
        <v>35</v>
      </c>
      <c r="L2036" s="2">
        <f t="shared" si="7"/>
        <v>176000</v>
      </c>
    </row>
    <row r="2037" spans="1:12" ht="14.25" customHeight="1" x14ac:dyDescent="0.2">
      <c r="A2037" s="33">
        <v>47711</v>
      </c>
      <c r="B2037" s="33"/>
      <c r="C2037" s="2" t="s">
        <v>29</v>
      </c>
      <c r="D2037" s="2" t="s">
        <v>19</v>
      </c>
      <c r="E2037" s="2" t="s">
        <v>23</v>
      </c>
      <c r="F2037" s="2" t="s">
        <v>14</v>
      </c>
      <c r="G2037" s="2" t="s">
        <v>41</v>
      </c>
      <c r="H2037" s="2" t="s">
        <v>22</v>
      </c>
      <c r="I2037" s="2">
        <v>220000</v>
      </c>
      <c r="J2037" s="2">
        <v>2</v>
      </c>
      <c r="K2037" s="2" t="s">
        <v>39</v>
      </c>
      <c r="L2037" s="2">
        <f t="shared" si="7"/>
        <v>176000</v>
      </c>
    </row>
    <row r="2038" spans="1:12" ht="14.25" customHeight="1" x14ac:dyDescent="0.2">
      <c r="A2038" s="33">
        <v>47712</v>
      </c>
      <c r="B2038" s="33"/>
      <c r="C2038" s="2" t="s">
        <v>25</v>
      </c>
      <c r="D2038" s="2" t="s">
        <v>32</v>
      </c>
      <c r="E2038" s="2" t="s">
        <v>13</v>
      </c>
      <c r="F2038" s="2" t="s">
        <v>14</v>
      </c>
      <c r="G2038" s="2" t="s">
        <v>36</v>
      </c>
      <c r="H2038" s="2" t="s">
        <v>31</v>
      </c>
      <c r="I2038" s="2">
        <v>150000</v>
      </c>
      <c r="J2038" s="2">
        <v>4</v>
      </c>
      <c r="K2038" s="2" t="s">
        <v>37</v>
      </c>
      <c r="L2038" s="2">
        <f t="shared" si="7"/>
        <v>120000</v>
      </c>
    </row>
    <row r="2039" spans="1:12" ht="14.25" customHeight="1" x14ac:dyDescent="0.2">
      <c r="A2039" s="33">
        <v>47713</v>
      </c>
      <c r="B2039" s="33"/>
      <c r="C2039" s="2" t="s">
        <v>18</v>
      </c>
      <c r="D2039" s="2" t="s">
        <v>26</v>
      </c>
      <c r="E2039" s="2" t="s">
        <v>13</v>
      </c>
      <c r="F2039" s="2" t="s">
        <v>20</v>
      </c>
      <c r="G2039" s="2" t="s">
        <v>30</v>
      </c>
      <c r="H2039" s="2" t="s">
        <v>31</v>
      </c>
      <c r="I2039" s="2">
        <v>300000</v>
      </c>
      <c r="J2039" s="2">
        <v>7</v>
      </c>
      <c r="K2039" s="2" t="s">
        <v>39</v>
      </c>
      <c r="L2039" s="2">
        <f t="shared" si="7"/>
        <v>240000</v>
      </c>
    </row>
    <row r="2040" spans="1:12" ht="14.25" customHeight="1" x14ac:dyDescent="0.2">
      <c r="A2040" s="33">
        <v>47714</v>
      </c>
      <c r="B2040" s="33"/>
      <c r="C2040" s="2" t="s">
        <v>25</v>
      </c>
      <c r="D2040" s="2" t="s">
        <v>19</v>
      </c>
      <c r="E2040" s="2" t="s">
        <v>23</v>
      </c>
      <c r="F2040" s="2" t="s">
        <v>14</v>
      </c>
      <c r="G2040" s="2" t="s">
        <v>38</v>
      </c>
      <c r="H2040" s="2" t="s">
        <v>31</v>
      </c>
      <c r="I2040" s="2">
        <v>420000</v>
      </c>
      <c r="J2040" s="2">
        <v>4</v>
      </c>
      <c r="K2040" s="2" t="s">
        <v>39</v>
      </c>
      <c r="L2040" s="2">
        <f t="shared" si="7"/>
        <v>336000</v>
      </c>
    </row>
    <row r="2041" spans="1:12" ht="14.25" customHeight="1" x14ac:dyDescent="0.2">
      <c r="A2041" s="33">
        <v>47715</v>
      </c>
      <c r="B2041" s="33"/>
      <c r="C2041" s="2" t="s">
        <v>11</v>
      </c>
      <c r="D2041" s="2" t="s">
        <v>26</v>
      </c>
      <c r="E2041" s="2" t="s">
        <v>23</v>
      </c>
      <c r="F2041" s="2" t="s">
        <v>20</v>
      </c>
      <c r="G2041" s="2" t="s">
        <v>27</v>
      </c>
      <c r="H2041" s="2" t="s">
        <v>22</v>
      </c>
      <c r="I2041" s="2">
        <v>60000</v>
      </c>
      <c r="J2041" s="2">
        <v>4</v>
      </c>
      <c r="K2041" s="2" t="s">
        <v>37</v>
      </c>
      <c r="L2041" s="2">
        <f t="shared" si="7"/>
        <v>48000</v>
      </c>
    </row>
    <row r="2042" spans="1:12" ht="14.25" customHeight="1" x14ac:dyDescent="0.2">
      <c r="A2042" s="33">
        <v>47716</v>
      </c>
      <c r="B2042" s="33"/>
      <c r="C2042" s="2" t="s">
        <v>29</v>
      </c>
      <c r="D2042" s="2" t="s">
        <v>26</v>
      </c>
      <c r="E2042" s="2" t="s">
        <v>13</v>
      </c>
      <c r="F2042" s="2" t="s">
        <v>14</v>
      </c>
      <c r="G2042" s="2" t="s">
        <v>33</v>
      </c>
      <c r="H2042" s="2" t="s">
        <v>22</v>
      </c>
      <c r="I2042" s="2">
        <v>180000</v>
      </c>
      <c r="J2042" s="2">
        <v>6</v>
      </c>
      <c r="K2042" s="2" t="s">
        <v>17</v>
      </c>
      <c r="L2042" s="2">
        <f t="shared" ref="L2042:L2099" si="8">I2042-I2042*0.2</f>
        <v>144000</v>
      </c>
    </row>
    <row r="2043" spans="1:12" ht="14.25" customHeight="1" x14ac:dyDescent="0.2">
      <c r="A2043" s="33">
        <v>47717</v>
      </c>
      <c r="B2043" s="33"/>
      <c r="C2043" s="2" t="s">
        <v>25</v>
      </c>
      <c r="D2043" s="2" t="s">
        <v>26</v>
      </c>
      <c r="E2043" s="2" t="s">
        <v>23</v>
      </c>
      <c r="F2043" s="2" t="s">
        <v>14</v>
      </c>
      <c r="G2043" s="2" t="s">
        <v>30</v>
      </c>
      <c r="H2043" s="2" t="s">
        <v>31</v>
      </c>
      <c r="I2043" s="2">
        <v>300000</v>
      </c>
      <c r="J2043" s="2">
        <v>8</v>
      </c>
      <c r="K2043" s="2" t="s">
        <v>35</v>
      </c>
      <c r="L2043" s="2">
        <f t="shared" si="8"/>
        <v>240000</v>
      </c>
    </row>
    <row r="2044" spans="1:12" ht="14.25" customHeight="1" x14ac:dyDescent="0.2">
      <c r="A2044" s="33">
        <v>47718</v>
      </c>
      <c r="B2044" s="33"/>
      <c r="C2044" s="2" t="s">
        <v>11</v>
      </c>
      <c r="D2044" s="2" t="s">
        <v>12</v>
      </c>
      <c r="E2044" s="2" t="s">
        <v>13</v>
      </c>
      <c r="F2044" s="2" t="s">
        <v>20</v>
      </c>
      <c r="G2044" s="2" t="s">
        <v>34</v>
      </c>
      <c r="H2044" s="2" t="s">
        <v>16</v>
      </c>
      <c r="I2044" s="2">
        <v>320000</v>
      </c>
      <c r="J2044" s="2">
        <v>10</v>
      </c>
      <c r="K2044" s="2" t="s">
        <v>17</v>
      </c>
      <c r="L2044" s="2">
        <f t="shared" si="8"/>
        <v>256000</v>
      </c>
    </row>
    <row r="2045" spans="1:12" ht="14.25" customHeight="1" x14ac:dyDescent="0.2">
      <c r="A2045" s="33">
        <v>47719</v>
      </c>
      <c r="B2045" s="33"/>
      <c r="C2045" s="2" t="s">
        <v>11</v>
      </c>
      <c r="D2045" s="2" t="s">
        <v>19</v>
      </c>
      <c r="E2045" s="2" t="s">
        <v>13</v>
      </c>
      <c r="F2045" s="2" t="s">
        <v>20</v>
      </c>
      <c r="G2045" s="2" t="s">
        <v>21</v>
      </c>
      <c r="H2045" s="2" t="s">
        <v>22</v>
      </c>
      <c r="I2045" s="2">
        <v>30000</v>
      </c>
      <c r="J2045" s="2">
        <v>1</v>
      </c>
      <c r="K2045" s="2" t="s">
        <v>17</v>
      </c>
      <c r="L2045" s="2">
        <f t="shared" si="8"/>
        <v>24000</v>
      </c>
    </row>
    <row r="2046" spans="1:12" ht="14.25" customHeight="1" x14ac:dyDescent="0.2">
      <c r="A2046" s="33">
        <v>47720</v>
      </c>
      <c r="B2046" s="33"/>
      <c r="C2046" s="2" t="s">
        <v>18</v>
      </c>
      <c r="D2046" s="2" t="s">
        <v>19</v>
      </c>
      <c r="E2046" s="2" t="s">
        <v>23</v>
      </c>
      <c r="F2046" s="2" t="s">
        <v>20</v>
      </c>
      <c r="G2046" s="2" t="s">
        <v>15</v>
      </c>
      <c r="H2046" s="2" t="s">
        <v>16</v>
      </c>
      <c r="I2046" s="2">
        <v>85000</v>
      </c>
      <c r="J2046" s="2">
        <v>2</v>
      </c>
      <c r="K2046" s="2" t="s">
        <v>35</v>
      </c>
      <c r="L2046" s="2">
        <f t="shared" si="8"/>
        <v>68000</v>
      </c>
    </row>
    <row r="2047" spans="1:12" ht="14.25" customHeight="1" x14ac:dyDescent="0.2">
      <c r="A2047" s="33">
        <v>47721</v>
      </c>
      <c r="B2047" s="33"/>
      <c r="C2047" s="2" t="s">
        <v>11</v>
      </c>
      <c r="D2047" s="2" t="s">
        <v>12</v>
      </c>
      <c r="E2047" s="2" t="s">
        <v>23</v>
      </c>
      <c r="F2047" s="2" t="s">
        <v>14</v>
      </c>
      <c r="G2047" s="2" t="s">
        <v>15</v>
      </c>
      <c r="H2047" s="2" t="s">
        <v>16</v>
      </c>
      <c r="I2047" s="2">
        <v>85000</v>
      </c>
      <c r="J2047" s="2">
        <v>5</v>
      </c>
      <c r="K2047" s="2" t="s">
        <v>37</v>
      </c>
      <c r="L2047" s="2">
        <f t="shared" si="8"/>
        <v>68000</v>
      </c>
    </row>
    <row r="2048" spans="1:12" ht="14.25" customHeight="1" x14ac:dyDescent="0.2">
      <c r="A2048" s="33">
        <v>47722</v>
      </c>
      <c r="B2048" s="33"/>
      <c r="C2048" s="2" t="s">
        <v>25</v>
      </c>
      <c r="D2048" s="2" t="s">
        <v>12</v>
      </c>
      <c r="E2048" s="2" t="s">
        <v>13</v>
      </c>
      <c r="F2048" s="2" t="s">
        <v>20</v>
      </c>
      <c r="G2048" s="2" t="s">
        <v>40</v>
      </c>
      <c r="H2048" s="2" t="s">
        <v>31</v>
      </c>
      <c r="I2048" s="2">
        <v>250000</v>
      </c>
      <c r="J2048" s="2">
        <v>8</v>
      </c>
      <c r="K2048" s="2" t="s">
        <v>37</v>
      </c>
      <c r="L2048" s="2">
        <f t="shared" si="8"/>
        <v>200000</v>
      </c>
    </row>
    <row r="2049" spans="1:12" ht="14.25" customHeight="1" x14ac:dyDescent="0.2">
      <c r="A2049" s="33">
        <v>47723</v>
      </c>
      <c r="B2049" s="33"/>
      <c r="C2049" s="2" t="s">
        <v>29</v>
      </c>
      <c r="D2049" s="2" t="s">
        <v>26</v>
      </c>
      <c r="E2049" s="2" t="s">
        <v>23</v>
      </c>
      <c r="F2049" s="2" t="s">
        <v>14</v>
      </c>
      <c r="G2049" s="2" t="s">
        <v>30</v>
      </c>
      <c r="H2049" s="2" t="s">
        <v>31</v>
      </c>
      <c r="I2049" s="2">
        <v>300000</v>
      </c>
      <c r="J2049" s="2">
        <v>8</v>
      </c>
      <c r="K2049" s="2" t="s">
        <v>35</v>
      </c>
      <c r="L2049" s="2">
        <f t="shared" si="8"/>
        <v>240000</v>
      </c>
    </row>
    <row r="2050" spans="1:12" ht="14.25" customHeight="1" x14ac:dyDescent="0.2">
      <c r="A2050" s="33">
        <v>47724</v>
      </c>
      <c r="B2050" s="33"/>
      <c r="C2050" s="2" t="s">
        <v>11</v>
      </c>
      <c r="D2050" s="2" t="s">
        <v>19</v>
      </c>
      <c r="E2050" s="2" t="s">
        <v>23</v>
      </c>
      <c r="F2050" s="2" t="s">
        <v>20</v>
      </c>
      <c r="G2050" s="2" t="s">
        <v>33</v>
      </c>
      <c r="H2050" s="2" t="s">
        <v>22</v>
      </c>
      <c r="I2050" s="2">
        <v>180000</v>
      </c>
      <c r="J2050" s="2">
        <v>9</v>
      </c>
      <c r="K2050" s="2" t="s">
        <v>28</v>
      </c>
      <c r="L2050" s="2">
        <f t="shared" si="8"/>
        <v>144000</v>
      </c>
    </row>
    <row r="2051" spans="1:12" ht="14.25" customHeight="1" x14ac:dyDescent="0.2">
      <c r="A2051" s="33">
        <v>47725</v>
      </c>
      <c r="B2051" s="33"/>
      <c r="C2051" s="2" t="s">
        <v>29</v>
      </c>
      <c r="D2051" s="2" t="s">
        <v>32</v>
      </c>
      <c r="E2051" s="2" t="s">
        <v>23</v>
      </c>
      <c r="F2051" s="2" t="s">
        <v>14</v>
      </c>
      <c r="G2051" s="2" t="s">
        <v>27</v>
      </c>
      <c r="H2051" s="2" t="s">
        <v>22</v>
      </c>
      <c r="I2051" s="2">
        <v>60000</v>
      </c>
      <c r="J2051" s="2">
        <v>4</v>
      </c>
      <c r="K2051" s="2" t="s">
        <v>35</v>
      </c>
      <c r="L2051" s="2">
        <f t="shared" si="8"/>
        <v>48000</v>
      </c>
    </row>
    <row r="2052" spans="1:12" ht="14.25" customHeight="1" x14ac:dyDescent="0.2">
      <c r="A2052" s="33">
        <v>47726</v>
      </c>
      <c r="B2052" s="33"/>
      <c r="C2052" s="2" t="s">
        <v>25</v>
      </c>
      <c r="D2052" s="2" t="s">
        <v>12</v>
      </c>
      <c r="E2052" s="2" t="s">
        <v>13</v>
      </c>
      <c r="F2052" s="2" t="s">
        <v>20</v>
      </c>
      <c r="G2052" s="2" t="s">
        <v>27</v>
      </c>
      <c r="H2052" s="2" t="s">
        <v>22</v>
      </c>
      <c r="I2052" s="2">
        <v>60000</v>
      </c>
      <c r="J2052" s="2">
        <v>3</v>
      </c>
      <c r="K2052" s="2" t="s">
        <v>35</v>
      </c>
      <c r="L2052" s="2">
        <f t="shared" si="8"/>
        <v>48000</v>
      </c>
    </row>
    <row r="2053" spans="1:12" ht="14.25" customHeight="1" x14ac:dyDescent="0.2">
      <c r="A2053" s="33">
        <v>47727</v>
      </c>
      <c r="B2053" s="33"/>
      <c r="C2053" s="2" t="s">
        <v>25</v>
      </c>
      <c r="D2053" s="2" t="s">
        <v>12</v>
      </c>
      <c r="E2053" s="2" t="s">
        <v>13</v>
      </c>
      <c r="F2053" s="2" t="s">
        <v>14</v>
      </c>
      <c r="G2053" s="2" t="s">
        <v>41</v>
      </c>
      <c r="H2053" s="2" t="s">
        <v>22</v>
      </c>
      <c r="I2053" s="2">
        <v>220000</v>
      </c>
      <c r="J2053" s="2">
        <v>6</v>
      </c>
      <c r="K2053" s="2" t="s">
        <v>37</v>
      </c>
      <c r="L2053" s="2">
        <f t="shared" si="8"/>
        <v>176000</v>
      </c>
    </row>
    <row r="2054" spans="1:12" ht="14.25" customHeight="1" x14ac:dyDescent="0.2">
      <c r="A2054" s="33">
        <v>47728</v>
      </c>
      <c r="B2054" s="33"/>
      <c r="C2054" s="2" t="s">
        <v>18</v>
      </c>
      <c r="D2054" s="2" t="s">
        <v>26</v>
      </c>
      <c r="E2054" s="2" t="s">
        <v>13</v>
      </c>
      <c r="F2054" s="2" t="s">
        <v>20</v>
      </c>
      <c r="G2054" s="2" t="s">
        <v>34</v>
      </c>
      <c r="H2054" s="2" t="s">
        <v>16</v>
      </c>
      <c r="I2054" s="2">
        <v>320000</v>
      </c>
      <c r="J2054" s="2">
        <v>9</v>
      </c>
      <c r="K2054" s="2" t="s">
        <v>35</v>
      </c>
      <c r="L2054" s="2">
        <f t="shared" si="8"/>
        <v>256000</v>
      </c>
    </row>
    <row r="2055" spans="1:12" ht="14.25" customHeight="1" x14ac:dyDescent="0.2">
      <c r="A2055" s="33">
        <v>47729</v>
      </c>
      <c r="B2055" s="33"/>
      <c r="C2055" s="2" t="s">
        <v>25</v>
      </c>
      <c r="D2055" s="2" t="s">
        <v>26</v>
      </c>
      <c r="E2055" s="2" t="s">
        <v>13</v>
      </c>
      <c r="F2055" s="2" t="s">
        <v>20</v>
      </c>
      <c r="G2055" s="2" t="s">
        <v>38</v>
      </c>
      <c r="H2055" s="2" t="s">
        <v>31</v>
      </c>
      <c r="I2055" s="2">
        <v>420000</v>
      </c>
      <c r="J2055" s="2">
        <v>3</v>
      </c>
      <c r="K2055" s="2" t="s">
        <v>24</v>
      </c>
      <c r="L2055" s="2">
        <f t="shared" si="8"/>
        <v>336000</v>
      </c>
    </row>
    <row r="2056" spans="1:12" ht="14.25" customHeight="1" x14ac:dyDescent="0.2">
      <c r="A2056" s="33">
        <v>47730</v>
      </c>
      <c r="B2056" s="33"/>
      <c r="C2056" s="2" t="s">
        <v>18</v>
      </c>
      <c r="D2056" s="2" t="s">
        <v>32</v>
      </c>
      <c r="E2056" s="2" t="s">
        <v>23</v>
      </c>
      <c r="F2056" s="2" t="s">
        <v>20</v>
      </c>
      <c r="G2056" s="2" t="s">
        <v>33</v>
      </c>
      <c r="H2056" s="2" t="s">
        <v>22</v>
      </c>
      <c r="I2056" s="2">
        <v>180000</v>
      </c>
      <c r="J2056" s="2">
        <v>9</v>
      </c>
      <c r="K2056" s="2" t="s">
        <v>17</v>
      </c>
      <c r="L2056" s="2">
        <f t="shared" si="8"/>
        <v>144000</v>
      </c>
    </row>
    <row r="2057" spans="1:12" ht="14.25" customHeight="1" x14ac:dyDescent="0.2">
      <c r="A2057" s="33">
        <v>47731</v>
      </c>
      <c r="B2057" s="33"/>
      <c r="C2057" s="2" t="s">
        <v>25</v>
      </c>
      <c r="D2057" s="2" t="s">
        <v>32</v>
      </c>
      <c r="E2057" s="2" t="s">
        <v>23</v>
      </c>
      <c r="F2057" s="2" t="s">
        <v>20</v>
      </c>
      <c r="G2057" s="2" t="s">
        <v>27</v>
      </c>
      <c r="H2057" s="2" t="s">
        <v>22</v>
      </c>
      <c r="I2057" s="2">
        <v>60000</v>
      </c>
      <c r="J2057" s="2">
        <v>1</v>
      </c>
      <c r="K2057" s="2" t="s">
        <v>17</v>
      </c>
      <c r="L2057" s="2">
        <f t="shared" si="8"/>
        <v>48000</v>
      </c>
    </row>
    <row r="2058" spans="1:12" ht="14.25" customHeight="1" x14ac:dyDescent="0.2">
      <c r="A2058" s="33">
        <v>47732</v>
      </c>
      <c r="B2058" s="33"/>
      <c r="C2058" s="2" t="s">
        <v>11</v>
      </c>
      <c r="D2058" s="2" t="s">
        <v>26</v>
      </c>
      <c r="E2058" s="2" t="s">
        <v>23</v>
      </c>
      <c r="F2058" s="2" t="s">
        <v>20</v>
      </c>
      <c r="G2058" s="2" t="s">
        <v>40</v>
      </c>
      <c r="H2058" s="2" t="s">
        <v>31</v>
      </c>
      <c r="I2058" s="2">
        <v>250000</v>
      </c>
      <c r="J2058" s="2">
        <v>5</v>
      </c>
      <c r="K2058" s="2" t="s">
        <v>35</v>
      </c>
      <c r="L2058" s="2">
        <f t="shared" si="8"/>
        <v>200000</v>
      </c>
    </row>
    <row r="2059" spans="1:12" ht="14.25" customHeight="1" x14ac:dyDescent="0.2">
      <c r="A2059" s="33">
        <v>47733</v>
      </c>
      <c r="B2059" s="33"/>
      <c r="C2059" s="2" t="s">
        <v>11</v>
      </c>
      <c r="D2059" s="2" t="s">
        <v>12</v>
      </c>
      <c r="E2059" s="2" t="s">
        <v>23</v>
      </c>
      <c r="F2059" s="2" t="s">
        <v>20</v>
      </c>
      <c r="G2059" s="2" t="s">
        <v>21</v>
      </c>
      <c r="H2059" s="2" t="s">
        <v>22</v>
      </c>
      <c r="I2059" s="2">
        <v>30000</v>
      </c>
      <c r="J2059" s="2">
        <v>8</v>
      </c>
      <c r="K2059" s="2" t="s">
        <v>17</v>
      </c>
      <c r="L2059" s="2">
        <f t="shared" si="8"/>
        <v>24000</v>
      </c>
    </row>
    <row r="2060" spans="1:12" ht="14.25" customHeight="1" x14ac:dyDescent="0.2">
      <c r="A2060" s="33">
        <v>47734</v>
      </c>
      <c r="B2060" s="33"/>
      <c r="C2060" s="2" t="s">
        <v>29</v>
      </c>
      <c r="D2060" s="2" t="s">
        <v>12</v>
      </c>
      <c r="E2060" s="2" t="s">
        <v>13</v>
      </c>
      <c r="F2060" s="2" t="s">
        <v>14</v>
      </c>
      <c r="G2060" s="2" t="s">
        <v>33</v>
      </c>
      <c r="H2060" s="2" t="s">
        <v>22</v>
      </c>
      <c r="I2060" s="2">
        <v>180000</v>
      </c>
      <c r="J2060" s="2">
        <v>6</v>
      </c>
      <c r="K2060" s="2" t="s">
        <v>17</v>
      </c>
      <c r="L2060" s="2">
        <f t="shared" si="8"/>
        <v>144000</v>
      </c>
    </row>
    <row r="2061" spans="1:12" ht="14.25" customHeight="1" x14ac:dyDescent="0.2">
      <c r="A2061" s="33">
        <v>47735</v>
      </c>
      <c r="B2061" s="33"/>
      <c r="C2061" s="2" t="s">
        <v>18</v>
      </c>
      <c r="D2061" s="2" t="s">
        <v>26</v>
      </c>
      <c r="E2061" s="2" t="s">
        <v>13</v>
      </c>
      <c r="F2061" s="2" t="s">
        <v>20</v>
      </c>
      <c r="G2061" s="2" t="s">
        <v>27</v>
      </c>
      <c r="H2061" s="2" t="s">
        <v>22</v>
      </c>
      <c r="I2061" s="2">
        <v>60000</v>
      </c>
      <c r="J2061" s="2">
        <v>1</v>
      </c>
      <c r="K2061" s="2" t="s">
        <v>28</v>
      </c>
      <c r="L2061" s="2">
        <f t="shared" si="8"/>
        <v>48000</v>
      </c>
    </row>
    <row r="2062" spans="1:12" ht="14.25" customHeight="1" x14ac:dyDescent="0.2">
      <c r="A2062" s="33">
        <v>47736</v>
      </c>
      <c r="B2062" s="33"/>
      <c r="C2062" s="2" t="s">
        <v>18</v>
      </c>
      <c r="D2062" s="2" t="s">
        <v>26</v>
      </c>
      <c r="E2062" s="2" t="s">
        <v>13</v>
      </c>
      <c r="F2062" s="2" t="s">
        <v>14</v>
      </c>
      <c r="G2062" s="2" t="s">
        <v>36</v>
      </c>
      <c r="H2062" s="2" t="s">
        <v>31</v>
      </c>
      <c r="I2062" s="2">
        <v>150000</v>
      </c>
      <c r="J2062" s="2">
        <v>5</v>
      </c>
      <c r="K2062" s="2" t="s">
        <v>39</v>
      </c>
      <c r="L2062" s="2">
        <f t="shared" si="8"/>
        <v>120000</v>
      </c>
    </row>
    <row r="2063" spans="1:12" ht="14.25" customHeight="1" x14ac:dyDescent="0.2">
      <c r="A2063" s="33">
        <v>47737</v>
      </c>
      <c r="B2063" s="33"/>
      <c r="C2063" s="2" t="s">
        <v>29</v>
      </c>
      <c r="D2063" s="2" t="s">
        <v>19</v>
      </c>
      <c r="E2063" s="2" t="s">
        <v>23</v>
      </c>
      <c r="F2063" s="2" t="s">
        <v>20</v>
      </c>
      <c r="G2063" s="2" t="s">
        <v>15</v>
      </c>
      <c r="H2063" s="2" t="s">
        <v>16</v>
      </c>
      <c r="I2063" s="2">
        <v>85000</v>
      </c>
      <c r="J2063" s="2">
        <v>1</v>
      </c>
      <c r="K2063" s="2" t="s">
        <v>39</v>
      </c>
      <c r="L2063" s="2">
        <f t="shared" si="8"/>
        <v>68000</v>
      </c>
    </row>
    <row r="2064" spans="1:12" ht="14.25" customHeight="1" x14ac:dyDescent="0.2">
      <c r="A2064" s="33">
        <v>47738</v>
      </c>
      <c r="B2064" s="33"/>
      <c r="C2064" s="2" t="s">
        <v>25</v>
      </c>
      <c r="D2064" s="2" t="s">
        <v>19</v>
      </c>
      <c r="E2064" s="2" t="s">
        <v>23</v>
      </c>
      <c r="F2064" s="2" t="s">
        <v>20</v>
      </c>
      <c r="G2064" s="2" t="s">
        <v>36</v>
      </c>
      <c r="H2064" s="2" t="s">
        <v>31</v>
      </c>
      <c r="I2064" s="2">
        <v>150000</v>
      </c>
      <c r="J2064" s="2">
        <v>7</v>
      </c>
      <c r="K2064" s="2" t="s">
        <v>35</v>
      </c>
      <c r="L2064" s="2">
        <f t="shared" si="8"/>
        <v>120000</v>
      </c>
    </row>
    <row r="2065" spans="1:12" ht="14.25" customHeight="1" x14ac:dyDescent="0.2">
      <c r="A2065" s="33">
        <v>47739</v>
      </c>
      <c r="B2065" s="33"/>
      <c r="C2065" s="2" t="s">
        <v>29</v>
      </c>
      <c r="D2065" s="2" t="s">
        <v>26</v>
      </c>
      <c r="E2065" s="2" t="s">
        <v>23</v>
      </c>
      <c r="F2065" s="2" t="s">
        <v>20</v>
      </c>
      <c r="G2065" s="2" t="s">
        <v>33</v>
      </c>
      <c r="H2065" s="2" t="s">
        <v>22</v>
      </c>
      <c r="I2065" s="2">
        <v>180000</v>
      </c>
      <c r="J2065" s="2">
        <v>4</v>
      </c>
      <c r="K2065" s="2" t="s">
        <v>17</v>
      </c>
      <c r="L2065" s="2">
        <f t="shared" si="8"/>
        <v>144000</v>
      </c>
    </row>
    <row r="2066" spans="1:12" ht="14.25" customHeight="1" x14ac:dyDescent="0.2">
      <c r="A2066" s="33">
        <v>47740</v>
      </c>
      <c r="B2066" s="33"/>
      <c r="C2066" s="2" t="s">
        <v>29</v>
      </c>
      <c r="D2066" s="2" t="s">
        <v>26</v>
      </c>
      <c r="E2066" s="2" t="s">
        <v>23</v>
      </c>
      <c r="F2066" s="2" t="s">
        <v>20</v>
      </c>
      <c r="G2066" s="2" t="s">
        <v>15</v>
      </c>
      <c r="H2066" s="2" t="s">
        <v>16</v>
      </c>
      <c r="I2066" s="2">
        <v>85000</v>
      </c>
      <c r="J2066" s="2">
        <v>8</v>
      </c>
      <c r="K2066" s="2" t="s">
        <v>17</v>
      </c>
      <c r="L2066" s="2">
        <f t="shared" si="8"/>
        <v>68000</v>
      </c>
    </row>
    <row r="2067" spans="1:12" ht="14.25" customHeight="1" x14ac:dyDescent="0.2">
      <c r="A2067" s="33">
        <v>47741</v>
      </c>
      <c r="B2067" s="33"/>
      <c r="C2067" s="2" t="s">
        <v>29</v>
      </c>
      <c r="D2067" s="2" t="s">
        <v>32</v>
      </c>
      <c r="E2067" s="2" t="s">
        <v>23</v>
      </c>
      <c r="F2067" s="2" t="s">
        <v>20</v>
      </c>
      <c r="G2067" s="2" t="s">
        <v>34</v>
      </c>
      <c r="H2067" s="2" t="s">
        <v>16</v>
      </c>
      <c r="I2067" s="2">
        <v>320000</v>
      </c>
      <c r="J2067" s="2">
        <v>4</v>
      </c>
      <c r="K2067" s="2" t="s">
        <v>24</v>
      </c>
      <c r="L2067" s="2">
        <f t="shared" si="8"/>
        <v>256000</v>
      </c>
    </row>
    <row r="2068" spans="1:12" ht="14.25" customHeight="1" x14ac:dyDescent="0.2">
      <c r="A2068" s="33">
        <v>47742</v>
      </c>
      <c r="B2068" s="33"/>
      <c r="C2068" s="2" t="s">
        <v>11</v>
      </c>
      <c r="D2068" s="2" t="s">
        <v>26</v>
      </c>
      <c r="E2068" s="2" t="s">
        <v>13</v>
      </c>
      <c r="F2068" s="2" t="s">
        <v>20</v>
      </c>
      <c r="G2068" s="2" t="s">
        <v>40</v>
      </c>
      <c r="H2068" s="2" t="s">
        <v>31</v>
      </c>
      <c r="I2068" s="2">
        <v>250000</v>
      </c>
      <c r="J2068" s="2">
        <v>6</v>
      </c>
      <c r="K2068" s="2" t="s">
        <v>35</v>
      </c>
      <c r="L2068" s="2">
        <f t="shared" si="8"/>
        <v>200000</v>
      </c>
    </row>
    <row r="2069" spans="1:12" ht="14.25" customHeight="1" x14ac:dyDescent="0.2">
      <c r="A2069" s="33">
        <v>47743</v>
      </c>
      <c r="B2069" s="33"/>
      <c r="C2069" s="2" t="s">
        <v>11</v>
      </c>
      <c r="D2069" s="2" t="s">
        <v>26</v>
      </c>
      <c r="E2069" s="2" t="s">
        <v>13</v>
      </c>
      <c r="F2069" s="2" t="s">
        <v>20</v>
      </c>
      <c r="G2069" s="2" t="s">
        <v>41</v>
      </c>
      <c r="H2069" s="2" t="s">
        <v>22</v>
      </c>
      <c r="I2069" s="2">
        <v>220000</v>
      </c>
      <c r="J2069" s="2">
        <v>5</v>
      </c>
      <c r="K2069" s="2" t="s">
        <v>28</v>
      </c>
      <c r="L2069" s="2">
        <f t="shared" si="8"/>
        <v>176000</v>
      </c>
    </row>
    <row r="2070" spans="1:12" ht="14.25" customHeight="1" x14ac:dyDescent="0.2">
      <c r="A2070" s="33">
        <v>47744</v>
      </c>
      <c r="B2070" s="33"/>
      <c r="C2070" s="2" t="s">
        <v>25</v>
      </c>
      <c r="D2070" s="2" t="s">
        <v>19</v>
      </c>
      <c r="E2070" s="2" t="s">
        <v>23</v>
      </c>
      <c r="F2070" s="2" t="s">
        <v>20</v>
      </c>
      <c r="G2070" s="2" t="s">
        <v>30</v>
      </c>
      <c r="H2070" s="2" t="s">
        <v>31</v>
      </c>
      <c r="I2070" s="2">
        <v>300000</v>
      </c>
      <c r="J2070" s="2">
        <v>8</v>
      </c>
      <c r="K2070" s="2" t="s">
        <v>37</v>
      </c>
      <c r="L2070" s="2">
        <f t="shared" si="8"/>
        <v>240000</v>
      </c>
    </row>
    <row r="2071" spans="1:12" ht="14.25" customHeight="1" x14ac:dyDescent="0.2">
      <c r="A2071" s="33">
        <v>47745</v>
      </c>
      <c r="B2071" s="33"/>
      <c r="C2071" s="2" t="s">
        <v>25</v>
      </c>
      <c r="D2071" s="2" t="s">
        <v>32</v>
      </c>
      <c r="E2071" s="2" t="s">
        <v>13</v>
      </c>
      <c r="F2071" s="2" t="s">
        <v>20</v>
      </c>
      <c r="G2071" s="2" t="s">
        <v>27</v>
      </c>
      <c r="H2071" s="2" t="s">
        <v>22</v>
      </c>
      <c r="I2071" s="2">
        <v>60000</v>
      </c>
      <c r="J2071" s="2">
        <v>10</v>
      </c>
      <c r="K2071" s="2" t="s">
        <v>28</v>
      </c>
      <c r="L2071" s="2">
        <f t="shared" si="8"/>
        <v>48000</v>
      </c>
    </row>
    <row r="2072" spans="1:12" ht="14.25" customHeight="1" x14ac:dyDescent="0.2">
      <c r="A2072" s="33">
        <v>47746</v>
      </c>
      <c r="B2072" s="33"/>
      <c r="C2072" s="2" t="s">
        <v>25</v>
      </c>
      <c r="D2072" s="2" t="s">
        <v>19</v>
      </c>
      <c r="E2072" s="2" t="s">
        <v>13</v>
      </c>
      <c r="F2072" s="2" t="s">
        <v>20</v>
      </c>
      <c r="G2072" s="2" t="s">
        <v>33</v>
      </c>
      <c r="H2072" s="2" t="s">
        <v>22</v>
      </c>
      <c r="I2072" s="2">
        <v>180000</v>
      </c>
      <c r="J2072" s="2">
        <v>6</v>
      </c>
      <c r="K2072" s="2" t="s">
        <v>39</v>
      </c>
      <c r="L2072" s="2">
        <f t="shared" si="8"/>
        <v>144000</v>
      </c>
    </row>
    <row r="2073" spans="1:12" ht="14.25" customHeight="1" x14ac:dyDescent="0.2">
      <c r="A2073" s="33">
        <v>47747</v>
      </c>
      <c r="B2073" s="33"/>
      <c r="C2073" s="2" t="s">
        <v>25</v>
      </c>
      <c r="D2073" s="2" t="s">
        <v>26</v>
      </c>
      <c r="E2073" s="2" t="s">
        <v>23</v>
      </c>
      <c r="F2073" s="2" t="s">
        <v>20</v>
      </c>
      <c r="G2073" s="2" t="s">
        <v>27</v>
      </c>
      <c r="H2073" s="2" t="s">
        <v>22</v>
      </c>
      <c r="I2073" s="2">
        <v>60000</v>
      </c>
      <c r="J2073" s="2">
        <v>3</v>
      </c>
      <c r="K2073" s="2" t="s">
        <v>37</v>
      </c>
      <c r="L2073" s="2">
        <f t="shared" si="8"/>
        <v>48000</v>
      </c>
    </row>
    <row r="2074" spans="1:12" ht="14.25" customHeight="1" x14ac:dyDescent="0.2">
      <c r="A2074" s="33">
        <v>47748</v>
      </c>
      <c r="B2074" s="33"/>
      <c r="C2074" s="2" t="s">
        <v>25</v>
      </c>
      <c r="D2074" s="2" t="s">
        <v>26</v>
      </c>
      <c r="E2074" s="2" t="s">
        <v>13</v>
      </c>
      <c r="F2074" s="2" t="s">
        <v>20</v>
      </c>
      <c r="G2074" s="2" t="s">
        <v>21</v>
      </c>
      <c r="H2074" s="2" t="s">
        <v>22</v>
      </c>
      <c r="I2074" s="2">
        <v>30000</v>
      </c>
      <c r="J2074" s="2">
        <v>4</v>
      </c>
      <c r="K2074" s="2" t="s">
        <v>24</v>
      </c>
      <c r="L2074" s="2">
        <f t="shared" si="8"/>
        <v>24000</v>
      </c>
    </row>
    <row r="2075" spans="1:12" ht="14.25" customHeight="1" x14ac:dyDescent="0.2">
      <c r="A2075" s="33">
        <v>47749</v>
      </c>
      <c r="B2075" s="33"/>
      <c r="C2075" s="2" t="s">
        <v>18</v>
      </c>
      <c r="D2075" s="2" t="s">
        <v>12</v>
      </c>
      <c r="E2075" s="2" t="s">
        <v>23</v>
      </c>
      <c r="F2075" s="2" t="s">
        <v>20</v>
      </c>
      <c r="G2075" s="2" t="s">
        <v>27</v>
      </c>
      <c r="H2075" s="2" t="s">
        <v>22</v>
      </c>
      <c r="I2075" s="2">
        <v>60000</v>
      </c>
      <c r="J2075" s="2">
        <v>4</v>
      </c>
      <c r="K2075" s="2" t="s">
        <v>37</v>
      </c>
      <c r="L2075" s="2">
        <f t="shared" si="8"/>
        <v>48000</v>
      </c>
    </row>
    <row r="2076" spans="1:12" ht="14.25" customHeight="1" x14ac:dyDescent="0.2">
      <c r="A2076" s="33">
        <v>47750</v>
      </c>
      <c r="B2076" s="33"/>
      <c r="C2076" s="2" t="s">
        <v>11</v>
      </c>
      <c r="D2076" s="2" t="s">
        <v>26</v>
      </c>
      <c r="E2076" s="2" t="s">
        <v>23</v>
      </c>
      <c r="F2076" s="2" t="s">
        <v>20</v>
      </c>
      <c r="G2076" s="2" t="s">
        <v>33</v>
      </c>
      <c r="H2076" s="2" t="s">
        <v>22</v>
      </c>
      <c r="I2076" s="2">
        <v>180000</v>
      </c>
      <c r="J2076" s="2">
        <v>5</v>
      </c>
      <c r="K2076" s="2" t="s">
        <v>28</v>
      </c>
      <c r="L2076" s="2">
        <f t="shared" si="8"/>
        <v>144000</v>
      </c>
    </row>
    <row r="2077" spans="1:12" ht="14.25" customHeight="1" x14ac:dyDescent="0.2">
      <c r="A2077" s="33">
        <v>47751</v>
      </c>
      <c r="B2077" s="33"/>
      <c r="C2077" s="2" t="s">
        <v>29</v>
      </c>
      <c r="D2077" s="2" t="s">
        <v>12</v>
      </c>
      <c r="E2077" s="2" t="s">
        <v>13</v>
      </c>
      <c r="F2077" s="2" t="s">
        <v>20</v>
      </c>
      <c r="G2077" s="2" t="s">
        <v>15</v>
      </c>
      <c r="H2077" s="2" t="s">
        <v>16</v>
      </c>
      <c r="I2077" s="2">
        <v>85000</v>
      </c>
      <c r="J2077" s="2">
        <v>9</v>
      </c>
      <c r="K2077" s="2" t="s">
        <v>24</v>
      </c>
      <c r="L2077" s="2">
        <f t="shared" si="8"/>
        <v>68000</v>
      </c>
    </row>
    <row r="2078" spans="1:12" ht="14.25" customHeight="1" x14ac:dyDescent="0.2">
      <c r="A2078" s="33">
        <v>47752</v>
      </c>
      <c r="B2078" s="33"/>
      <c r="C2078" s="2" t="s">
        <v>11</v>
      </c>
      <c r="D2078" s="2" t="s">
        <v>32</v>
      </c>
      <c r="E2078" s="2" t="s">
        <v>13</v>
      </c>
      <c r="F2078" s="2" t="s">
        <v>20</v>
      </c>
      <c r="G2078" s="2" t="s">
        <v>15</v>
      </c>
      <c r="H2078" s="2" t="s">
        <v>16</v>
      </c>
      <c r="I2078" s="2">
        <v>85000</v>
      </c>
      <c r="J2078" s="2">
        <v>9</v>
      </c>
      <c r="K2078" s="2" t="s">
        <v>37</v>
      </c>
      <c r="L2078" s="2">
        <f t="shared" si="8"/>
        <v>68000</v>
      </c>
    </row>
    <row r="2079" spans="1:12" ht="14.25" customHeight="1" x14ac:dyDescent="0.2">
      <c r="A2079" s="33">
        <v>47753</v>
      </c>
      <c r="B2079" s="33"/>
      <c r="C2079" s="2" t="s">
        <v>29</v>
      </c>
      <c r="D2079" s="2" t="s">
        <v>12</v>
      </c>
      <c r="E2079" s="2" t="s">
        <v>23</v>
      </c>
      <c r="F2079" s="2" t="s">
        <v>20</v>
      </c>
      <c r="G2079" s="2" t="s">
        <v>33</v>
      </c>
      <c r="H2079" s="2" t="s">
        <v>22</v>
      </c>
      <c r="I2079" s="2">
        <v>180000</v>
      </c>
      <c r="J2079" s="2">
        <v>8</v>
      </c>
      <c r="K2079" s="2" t="s">
        <v>39</v>
      </c>
      <c r="L2079" s="2">
        <f t="shared" si="8"/>
        <v>144000</v>
      </c>
    </row>
    <row r="2080" spans="1:12" ht="14.25" customHeight="1" x14ac:dyDescent="0.2">
      <c r="A2080" s="33">
        <v>47754</v>
      </c>
      <c r="B2080" s="33"/>
      <c r="C2080" s="2" t="s">
        <v>29</v>
      </c>
      <c r="D2080" s="2" t="s">
        <v>19</v>
      </c>
      <c r="E2080" s="2" t="s">
        <v>23</v>
      </c>
      <c r="F2080" s="2" t="s">
        <v>20</v>
      </c>
      <c r="G2080" s="2" t="s">
        <v>36</v>
      </c>
      <c r="H2080" s="2" t="s">
        <v>31</v>
      </c>
      <c r="I2080" s="2">
        <v>150000</v>
      </c>
      <c r="J2080" s="2">
        <v>2</v>
      </c>
      <c r="K2080" s="2" t="s">
        <v>39</v>
      </c>
      <c r="L2080" s="2">
        <f t="shared" si="8"/>
        <v>120000</v>
      </c>
    </row>
    <row r="2081" spans="1:12" ht="14.25" customHeight="1" x14ac:dyDescent="0.2">
      <c r="A2081" s="33">
        <v>47755</v>
      </c>
      <c r="B2081" s="33"/>
      <c r="C2081" s="2" t="s">
        <v>18</v>
      </c>
      <c r="D2081" s="2" t="s">
        <v>26</v>
      </c>
      <c r="E2081" s="2" t="s">
        <v>23</v>
      </c>
      <c r="F2081" s="2" t="s">
        <v>20</v>
      </c>
      <c r="G2081" s="2" t="s">
        <v>21</v>
      </c>
      <c r="H2081" s="2" t="s">
        <v>22</v>
      </c>
      <c r="I2081" s="2">
        <v>30000</v>
      </c>
      <c r="J2081" s="2">
        <v>3</v>
      </c>
      <c r="K2081" s="2" t="s">
        <v>17</v>
      </c>
      <c r="L2081" s="2">
        <f t="shared" si="8"/>
        <v>24000</v>
      </c>
    </row>
    <row r="2082" spans="1:12" ht="14.25" customHeight="1" x14ac:dyDescent="0.2">
      <c r="A2082" s="33">
        <v>47756</v>
      </c>
      <c r="B2082" s="33"/>
      <c r="C2082" s="2" t="s">
        <v>29</v>
      </c>
      <c r="D2082" s="2" t="s">
        <v>12</v>
      </c>
      <c r="E2082" s="2" t="s">
        <v>23</v>
      </c>
      <c r="F2082" s="2" t="s">
        <v>20</v>
      </c>
      <c r="G2082" s="2" t="s">
        <v>21</v>
      </c>
      <c r="H2082" s="2" t="s">
        <v>22</v>
      </c>
      <c r="I2082" s="2">
        <v>30000</v>
      </c>
      <c r="J2082" s="2">
        <v>5</v>
      </c>
      <c r="K2082" s="2" t="s">
        <v>24</v>
      </c>
      <c r="L2082" s="2">
        <f t="shared" si="8"/>
        <v>24000</v>
      </c>
    </row>
    <row r="2083" spans="1:12" ht="14.25" customHeight="1" x14ac:dyDescent="0.2">
      <c r="A2083" s="33">
        <v>47757</v>
      </c>
      <c r="B2083" s="33"/>
      <c r="C2083" s="2" t="s">
        <v>18</v>
      </c>
      <c r="D2083" s="2" t="s">
        <v>19</v>
      </c>
      <c r="E2083" s="2" t="s">
        <v>23</v>
      </c>
      <c r="F2083" s="2" t="s">
        <v>20</v>
      </c>
      <c r="G2083" s="2" t="s">
        <v>21</v>
      </c>
      <c r="H2083" s="2" t="s">
        <v>22</v>
      </c>
      <c r="I2083" s="2">
        <v>30000</v>
      </c>
      <c r="J2083" s="2">
        <v>7</v>
      </c>
      <c r="K2083" s="2" t="s">
        <v>39</v>
      </c>
      <c r="L2083" s="2">
        <f t="shared" si="8"/>
        <v>24000</v>
      </c>
    </row>
    <row r="2084" spans="1:12" ht="14.25" customHeight="1" x14ac:dyDescent="0.2">
      <c r="A2084" s="33">
        <v>47758</v>
      </c>
      <c r="B2084" s="33"/>
      <c r="C2084" s="2" t="s">
        <v>18</v>
      </c>
      <c r="D2084" s="2" t="s">
        <v>12</v>
      </c>
      <c r="E2084" s="2" t="s">
        <v>13</v>
      </c>
      <c r="F2084" s="2" t="s">
        <v>20</v>
      </c>
      <c r="G2084" s="2" t="s">
        <v>33</v>
      </c>
      <c r="H2084" s="2" t="s">
        <v>22</v>
      </c>
      <c r="I2084" s="2">
        <v>180000</v>
      </c>
      <c r="J2084" s="2">
        <v>4</v>
      </c>
      <c r="K2084" s="2" t="s">
        <v>17</v>
      </c>
      <c r="L2084" s="2">
        <f t="shared" si="8"/>
        <v>144000</v>
      </c>
    </row>
    <row r="2085" spans="1:12" ht="14.25" customHeight="1" x14ac:dyDescent="0.2">
      <c r="A2085" s="33">
        <v>47759</v>
      </c>
      <c r="B2085" s="33"/>
      <c r="C2085" s="2" t="s">
        <v>18</v>
      </c>
      <c r="D2085" s="2" t="s">
        <v>12</v>
      </c>
      <c r="E2085" s="2" t="s">
        <v>23</v>
      </c>
      <c r="F2085" s="2" t="s">
        <v>20</v>
      </c>
      <c r="G2085" s="2" t="s">
        <v>33</v>
      </c>
      <c r="H2085" s="2" t="s">
        <v>22</v>
      </c>
      <c r="I2085" s="2">
        <v>180000</v>
      </c>
      <c r="J2085" s="2">
        <v>1</v>
      </c>
      <c r="K2085" s="2" t="s">
        <v>35</v>
      </c>
      <c r="L2085" s="2">
        <f t="shared" si="8"/>
        <v>144000</v>
      </c>
    </row>
    <row r="2086" spans="1:12" ht="14.25" customHeight="1" x14ac:dyDescent="0.2">
      <c r="A2086" s="33">
        <v>47760</v>
      </c>
      <c r="B2086" s="33"/>
      <c r="C2086" s="2" t="s">
        <v>25</v>
      </c>
      <c r="D2086" s="2" t="s">
        <v>19</v>
      </c>
      <c r="E2086" s="2" t="s">
        <v>13</v>
      </c>
      <c r="F2086" s="2" t="s">
        <v>20</v>
      </c>
      <c r="G2086" s="2" t="s">
        <v>27</v>
      </c>
      <c r="H2086" s="2" t="s">
        <v>22</v>
      </c>
      <c r="I2086" s="2">
        <v>60000</v>
      </c>
      <c r="J2086" s="2">
        <v>10</v>
      </c>
      <c r="K2086" s="2" t="s">
        <v>37</v>
      </c>
      <c r="L2086" s="2">
        <f t="shared" si="8"/>
        <v>48000</v>
      </c>
    </row>
    <row r="2087" spans="1:12" ht="14.25" customHeight="1" x14ac:dyDescent="0.2">
      <c r="A2087" s="33">
        <v>47761</v>
      </c>
      <c r="B2087" s="33"/>
      <c r="C2087" s="2" t="s">
        <v>29</v>
      </c>
      <c r="D2087" s="2" t="s">
        <v>19</v>
      </c>
      <c r="E2087" s="2" t="s">
        <v>13</v>
      </c>
      <c r="F2087" s="2" t="s">
        <v>20</v>
      </c>
      <c r="G2087" s="2" t="s">
        <v>40</v>
      </c>
      <c r="H2087" s="2" t="s">
        <v>31</v>
      </c>
      <c r="I2087" s="2">
        <v>250000</v>
      </c>
      <c r="J2087" s="2">
        <v>8</v>
      </c>
      <c r="K2087" s="2" t="s">
        <v>28</v>
      </c>
      <c r="L2087" s="2">
        <f t="shared" si="8"/>
        <v>200000</v>
      </c>
    </row>
    <row r="2088" spans="1:12" ht="14.25" customHeight="1" x14ac:dyDescent="0.2">
      <c r="A2088" s="33">
        <v>47762</v>
      </c>
      <c r="B2088" s="33"/>
      <c r="C2088" s="2" t="s">
        <v>29</v>
      </c>
      <c r="D2088" s="2" t="s">
        <v>26</v>
      </c>
      <c r="E2088" s="2" t="s">
        <v>13</v>
      </c>
      <c r="F2088" s="2" t="s">
        <v>20</v>
      </c>
      <c r="G2088" s="2" t="s">
        <v>21</v>
      </c>
      <c r="H2088" s="2" t="s">
        <v>22</v>
      </c>
      <c r="I2088" s="2">
        <v>30000</v>
      </c>
      <c r="J2088" s="2">
        <v>8</v>
      </c>
      <c r="K2088" s="2" t="s">
        <v>37</v>
      </c>
      <c r="L2088" s="2">
        <f t="shared" si="8"/>
        <v>24000</v>
      </c>
    </row>
    <row r="2089" spans="1:12" ht="14.25" customHeight="1" x14ac:dyDescent="0.2">
      <c r="A2089" s="33">
        <v>47763</v>
      </c>
      <c r="B2089" s="33"/>
      <c r="C2089" s="2" t="s">
        <v>29</v>
      </c>
      <c r="D2089" s="2" t="s">
        <v>12</v>
      </c>
      <c r="E2089" s="2" t="s">
        <v>23</v>
      </c>
      <c r="F2089" s="2" t="s">
        <v>14</v>
      </c>
      <c r="G2089" s="2" t="s">
        <v>33</v>
      </c>
      <c r="H2089" s="2" t="s">
        <v>22</v>
      </c>
      <c r="I2089" s="2">
        <v>180000</v>
      </c>
      <c r="J2089" s="2">
        <v>4</v>
      </c>
      <c r="K2089" s="2" t="s">
        <v>28</v>
      </c>
      <c r="L2089" s="2">
        <f t="shared" si="8"/>
        <v>144000</v>
      </c>
    </row>
    <row r="2090" spans="1:12" ht="14.25" customHeight="1" x14ac:dyDescent="0.2">
      <c r="A2090" s="33">
        <v>47764</v>
      </c>
      <c r="B2090" s="33"/>
      <c r="C2090" s="2" t="s">
        <v>18</v>
      </c>
      <c r="D2090" s="2" t="s">
        <v>19</v>
      </c>
      <c r="E2090" s="2" t="s">
        <v>23</v>
      </c>
      <c r="F2090" s="2" t="s">
        <v>14</v>
      </c>
      <c r="G2090" s="2" t="s">
        <v>36</v>
      </c>
      <c r="H2090" s="2" t="s">
        <v>31</v>
      </c>
      <c r="I2090" s="2">
        <v>150000</v>
      </c>
      <c r="J2090" s="2">
        <v>1</v>
      </c>
      <c r="K2090" s="2" t="s">
        <v>28</v>
      </c>
      <c r="L2090" s="2">
        <f t="shared" si="8"/>
        <v>120000</v>
      </c>
    </row>
    <row r="2091" spans="1:12" ht="14.25" customHeight="1" x14ac:dyDescent="0.2">
      <c r="A2091" s="33">
        <v>47765</v>
      </c>
      <c r="B2091" s="33"/>
      <c r="C2091" s="2" t="s">
        <v>29</v>
      </c>
      <c r="D2091" s="2" t="s">
        <v>32</v>
      </c>
      <c r="E2091" s="2" t="s">
        <v>13</v>
      </c>
      <c r="F2091" s="2" t="s">
        <v>20</v>
      </c>
      <c r="G2091" s="2" t="s">
        <v>30</v>
      </c>
      <c r="H2091" s="2" t="s">
        <v>31</v>
      </c>
      <c r="I2091" s="2">
        <v>300000</v>
      </c>
      <c r="J2091" s="2">
        <v>3</v>
      </c>
      <c r="K2091" s="2" t="s">
        <v>17</v>
      </c>
      <c r="L2091" s="2">
        <f t="shared" si="8"/>
        <v>240000</v>
      </c>
    </row>
    <row r="2092" spans="1:12" ht="14.25" customHeight="1" x14ac:dyDescent="0.2">
      <c r="A2092" s="33">
        <v>47766</v>
      </c>
      <c r="B2092" s="33"/>
      <c r="C2092" s="2" t="s">
        <v>11</v>
      </c>
      <c r="D2092" s="2" t="s">
        <v>26</v>
      </c>
      <c r="E2092" s="2" t="s">
        <v>13</v>
      </c>
      <c r="F2092" s="2" t="s">
        <v>14</v>
      </c>
      <c r="G2092" s="2" t="s">
        <v>34</v>
      </c>
      <c r="H2092" s="2" t="s">
        <v>16</v>
      </c>
      <c r="I2092" s="2">
        <v>320000</v>
      </c>
      <c r="J2092" s="2">
        <v>5</v>
      </c>
      <c r="K2092" s="2" t="s">
        <v>17</v>
      </c>
      <c r="L2092" s="2">
        <f t="shared" si="8"/>
        <v>256000</v>
      </c>
    </row>
    <row r="2093" spans="1:12" ht="14.25" customHeight="1" x14ac:dyDescent="0.2">
      <c r="A2093" s="33">
        <v>47767</v>
      </c>
      <c r="B2093" s="33"/>
      <c r="C2093" s="2" t="s">
        <v>11</v>
      </c>
      <c r="D2093" s="2" t="s">
        <v>32</v>
      </c>
      <c r="E2093" s="2" t="s">
        <v>23</v>
      </c>
      <c r="F2093" s="2" t="s">
        <v>14</v>
      </c>
      <c r="G2093" s="2" t="s">
        <v>30</v>
      </c>
      <c r="H2093" s="2" t="s">
        <v>31</v>
      </c>
      <c r="I2093" s="2">
        <v>300000</v>
      </c>
      <c r="J2093" s="2">
        <v>1</v>
      </c>
      <c r="K2093" s="2" t="s">
        <v>24</v>
      </c>
      <c r="L2093" s="2">
        <f t="shared" si="8"/>
        <v>240000</v>
      </c>
    </row>
    <row r="2094" spans="1:12" ht="14.25" customHeight="1" x14ac:dyDescent="0.2">
      <c r="A2094" s="33">
        <v>47768</v>
      </c>
      <c r="B2094" s="33"/>
      <c r="C2094" s="2" t="s">
        <v>11</v>
      </c>
      <c r="D2094" s="2" t="s">
        <v>19</v>
      </c>
      <c r="E2094" s="2" t="s">
        <v>23</v>
      </c>
      <c r="F2094" s="2" t="s">
        <v>14</v>
      </c>
      <c r="G2094" s="2" t="s">
        <v>36</v>
      </c>
      <c r="H2094" s="2" t="s">
        <v>31</v>
      </c>
      <c r="I2094" s="2">
        <v>150000</v>
      </c>
      <c r="J2094" s="2">
        <v>4</v>
      </c>
      <c r="K2094" s="2" t="s">
        <v>28</v>
      </c>
      <c r="L2094" s="2">
        <f t="shared" si="8"/>
        <v>120000</v>
      </c>
    </row>
    <row r="2095" spans="1:12" ht="14.25" customHeight="1" x14ac:dyDescent="0.2">
      <c r="A2095" s="33">
        <v>47769</v>
      </c>
      <c r="B2095" s="33"/>
      <c r="C2095" s="2" t="s">
        <v>25</v>
      </c>
      <c r="D2095" s="2" t="s">
        <v>12</v>
      </c>
      <c r="E2095" s="2" t="s">
        <v>23</v>
      </c>
      <c r="F2095" s="2" t="s">
        <v>14</v>
      </c>
      <c r="G2095" s="2" t="s">
        <v>40</v>
      </c>
      <c r="H2095" s="2" t="s">
        <v>31</v>
      </c>
      <c r="I2095" s="2">
        <v>250000</v>
      </c>
      <c r="J2095" s="2">
        <v>2</v>
      </c>
      <c r="K2095" s="2" t="s">
        <v>35</v>
      </c>
      <c r="L2095" s="2">
        <f t="shared" si="8"/>
        <v>200000</v>
      </c>
    </row>
    <row r="2096" spans="1:12" ht="14.25" customHeight="1" x14ac:dyDescent="0.2">
      <c r="A2096" s="33">
        <v>47770</v>
      </c>
      <c r="B2096" s="33"/>
      <c r="C2096" s="2" t="s">
        <v>29</v>
      </c>
      <c r="D2096" s="2" t="s">
        <v>19</v>
      </c>
      <c r="E2096" s="2" t="s">
        <v>13</v>
      </c>
      <c r="F2096" s="2" t="s">
        <v>20</v>
      </c>
      <c r="G2096" s="2" t="s">
        <v>40</v>
      </c>
      <c r="H2096" s="2" t="s">
        <v>31</v>
      </c>
      <c r="I2096" s="2">
        <v>250000</v>
      </c>
      <c r="J2096" s="2">
        <v>10</v>
      </c>
      <c r="K2096" s="2" t="s">
        <v>37</v>
      </c>
      <c r="L2096" s="2">
        <f t="shared" si="8"/>
        <v>200000</v>
      </c>
    </row>
    <row r="2097" spans="1:12" ht="14.25" customHeight="1" x14ac:dyDescent="0.2">
      <c r="A2097" s="33">
        <v>47771</v>
      </c>
      <c r="B2097" s="33"/>
      <c r="C2097" s="2" t="s">
        <v>25</v>
      </c>
      <c r="D2097" s="2" t="s">
        <v>32</v>
      </c>
      <c r="E2097" s="2" t="s">
        <v>23</v>
      </c>
      <c r="F2097" s="2" t="s">
        <v>20</v>
      </c>
      <c r="G2097" s="2" t="s">
        <v>36</v>
      </c>
      <c r="H2097" s="2" t="s">
        <v>31</v>
      </c>
      <c r="I2097" s="2">
        <v>150000</v>
      </c>
      <c r="J2097" s="2">
        <v>2</v>
      </c>
      <c r="K2097" s="2" t="s">
        <v>17</v>
      </c>
      <c r="L2097" s="2">
        <f t="shared" si="8"/>
        <v>120000</v>
      </c>
    </row>
    <row r="2098" spans="1:12" ht="14.25" customHeight="1" x14ac:dyDescent="0.2">
      <c r="A2098" s="33">
        <v>47772</v>
      </c>
      <c r="B2098" s="33"/>
      <c r="C2098" s="2" t="s">
        <v>25</v>
      </c>
      <c r="D2098" s="2" t="s">
        <v>12</v>
      </c>
      <c r="E2098" s="2" t="s">
        <v>13</v>
      </c>
      <c r="F2098" s="2" t="s">
        <v>14</v>
      </c>
      <c r="G2098" s="2" t="s">
        <v>40</v>
      </c>
      <c r="H2098" s="2" t="s">
        <v>31</v>
      </c>
      <c r="I2098" s="2">
        <v>250000</v>
      </c>
      <c r="J2098" s="2">
        <v>9</v>
      </c>
      <c r="K2098" s="2" t="s">
        <v>35</v>
      </c>
      <c r="L2098" s="2">
        <f t="shared" si="8"/>
        <v>200000</v>
      </c>
    </row>
    <row r="2099" spans="1:12" ht="14.25" customHeight="1" x14ac:dyDescent="0.2">
      <c r="A2099" s="33">
        <v>47773</v>
      </c>
      <c r="B2099" s="33"/>
      <c r="C2099" s="2" t="s">
        <v>25</v>
      </c>
      <c r="D2099" s="2" t="s">
        <v>12</v>
      </c>
      <c r="E2099" s="2" t="s">
        <v>13</v>
      </c>
      <c r="F2099" s="2" t="s">
        <v>14</v>
      </c>
      <c r="G2099" s="2" t="s">
        <v>34</v>
      </c>
      <c r="H2099" s="2" t="s">
        <v>16</v>
      </c>
      <c r="I2099" s="2">
        <v>320000</v>
      </c>
      <c r="J2099" s="2">
        <v>4</v>
      </c>
      <c r="K2099" s="2" t="s">
        <v>24</v>
      </c>
      <c r="L2099" s="2">
        <f t="shared" si="8"/>
        <v>256000</v>
      </c>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5F1B2-F719-4241-8492-C88D47BAE4A5}">
  <sheetPr>
    <tabColor theme="9" tint="0.39997558519241921"/>
  </sheetPr>
  <dimension ref="A1:R2099"/>
  <sheetViews>
    <sheetView topLeftCell="N934" workbookViewId="0">
      <selection activeCell="W1617" sqref="W1617"/>
    </sheetView>
  </sheetViews>
  <sheetFormatPr defaultRowHeight="15" x14ac:dyDescent="0.2"/>
  <cols>
    <col min="1" max="1" width="24.75" style="34" customWidth="1"/>
    <col min="2" max="3" width="17.75390625" style="31" customWidth="1"/>
    <col min="4" max="4" width="10.76171875" customWidth="1"/>
    <col min="5" max="5" width="13.85546875" customWidth="1"/>
    <col min="6" max="6" width="16.41015625" customWidth="1"/>
    <col min="7" max="7" width="9.14453125" customWidth="1"/>
    <col min="8" max="8" width="19.234375" customWidth="1"/>
    <col min="9" max="9" width="19.1015625" customWidth="1"/>
    <col min="10" max="10" width="14.9296875" style="16" customWidth="1"/>
    <col min="13" max="13" width="12.5078125" style="13" bestFit="1" customWidth="1"/>
    <col min="14" max="14" width="16.0078125" style="10" customWidth="1"/>
    <col min="15" max="15" width="16.0078125" style="16" customWidth="1"/>
    <col min="16" max="16" width="16.0078125" customWidth="1"/>
    <col min="17" max="17" width="14.2578125" bestFit="1" customWidth="1"/>
    <col min="18" max="18" width="12.5078125" bestFit="1" customWidth="1"/>
  </cols>
  <sheetData>
    <row r="1" spans="1:18" x14ac:dyDescent="0.2">
      <c r="A1" s="32" t="s">
        <v>0</v>
      </c>
      <c r="B1" s="29" t="s">
        <v>47</v>
      </c>
      <c r="C1" s="29" t="s">
        <v>58</v>
      </c>
      <c r="D1" s="1" t="s">
        <v>1</v>
      </c>
      <c r="E1" s="1" t="s">
        <v>2</v>
      </c>
      <c r="F1" s="1" t="s">
        <v>3</v>
      </c>
      <c r="G1" s="1" t="s">
        <v>4</v>
      </c>
      <c r="H1" s="1" t="s">
        <v>5</v>
      </c>
      <c r="I1" s="1" t="s">
        <v>6</v>
      </c>
      <c r="J1" s="14" t="s">
        <v>7</v>
      </c>
      <c r="K1" s="1" t="s">
        <v>8</v>
      </c>
      <c r="L1" s="1" t="s">
        <v>9</v>
      </c>
      <c r="M1" s="11" t="s">
        <v>10</v>
      </c>
      <c r="N1" s="9" t="s">
        <v>42</v>
      </c>
      <c r="O1" s="17" t="s">
        <v>48</v>
      </c>
      <c r="P1" s="28" t="s">
        <v>43</v>
      </c>
    </row>
    <row r="2" spans="1:18" x14ac:dyDescent="0.2">
      <c r="A2" s="33">
        <v>45676</v>
      </c>
      <c r="B2" s="30">
        <f t="shared" ref="B2:B65" si="0">MONTH(A2)</f>
        <v>1</v>
      </c>
      <c r="C2" s="30" t="str">
        <f>_xlfn.IFS(Table_13[[#This Row],[Month]]=1,"JAN",Table_13[[#This Row],[Month]]=2,"FEB",B2=3,"MAR",B2=4,"APR",B2=5,"MAY",B2=6,"JUN",B2=7,"JUL",B2=8,"AUG",Table_13[[#This Row],[Month]]=9,"SEPT",B2=10,"OCT",B2=11,"NOV",B2=12,"DEC")</f>
        <v>JAN</v>
      </c>
      <c r="D2" s="3" t="s">
        <v>11</v>
      </c>
      <c r="E2" s="2" t="s">
        <v>12</v>
      </c>
      <c r="F2" s="2" t="s">
        <v>13</v>
      </c>
      <c r="G2" s="3" t="s">
        <v>14</v>
      </c>
      <c r="H2" s="2" t="s">
        <v>15</v>
      </c>
      <c r="I2" s="2" t="s">
        <v>16</v>
      </c>
      <c r="J2" s="15">
        <v>85000</v>
      </c>
      <c r="K2" s="2">
        <v>1</v>
      </c>
      <c r="L2" s="2" t="s">
        <v>17</v>
      </c>
      <c r="M2" s="12">
        <f t="shared" ref="M2:M256" si="1">J2-J2*0.2</f>
        <v>68000</v>
      </c>
      <c r="N2" s="10">
        <f>PRODUCT(Table_13[[#This Row],[Unit Price]],Table_13[[#This Row],[Quantity]])</f>
        <v>85000</v>
      </c>
      <c r="O2" s="16">
        <f>PRODUCT(Table_13[[#This Row],[Cost Price]],Table_13[[#This Row],[Quantity]])</f>
        <v>68000</v>
      </c>
      <c r="P2" s="27">
        <f>N2-O2</f>
        <v>17000</v>
      </c>
    </row>
    <row r="3" spans="1:18" x14ac:dyDescent="0.2">
      <c r="A3" s="33">
        <v>45677</v>
      </c>
      <c r="B3" s="30">
        <f t="shared" si="0"/>
        <v>1</v>
      </c>
      <c r="C3" s="30" t="str">
        <f>_xlfn.IFS(Table_13[[#This Row],[Month]]=1,"JAN",Table_13[[#This Row],[Month]]=2,"FEB",B3=3,"MAR",B3=4,"APR",B3=5,"MAY",B3=6,"JUN",B3=7,"JUL",B3=8,"AUG",Table_13[[#This Row],[Month]]=9,"SEPT",B3=10,"OCT",B3=11,"NOV",B3=12,"DEC")</f>
        <v>JAN</v>
      </c>
      <c r="D3" s="2" t="s">
        <v>18</v>
      </c>
      <c r="E3" s="2" t="s">
        <v>19</v>
      </c>
      <c r="F3" s="2" t="s">
        <v>13</v>
      </c>
      <c r="G3" s="2" t="s">
        <v>20</v>
      </c>
      <c r="H3" s="2" t="s">
        <v>21</v>
      </c>
      <c r="I3" s="2" t="s">
        <v>22</v>
      </c>
      <c r="J3" s="15">
        <v>30000</v>
      </c>
      <c r="K3" s="2">
        <v>8</v>
      </c>
      <c r="L3" s="2" t="s">
        <v>17</v>
      </c>
      <c r="M3" s="12">
        <f t="shared" si="1"/>
        <v>24000</v>
      </c>
      <c r="N3" s="10">
        <f>PRODUCT(Table_13[[#This Row],[Unit Price]],Table_13[[#This Row],[Quantity]])</f>
        <v>240000</v>
      </c>
      <c r="O3" s="16">
        <f>PRODUCT(Table_13[[#This Row],[Cost Price]],Table_13[[#This Row],[Quantity]])</f>
        <v>192000</v>
      </c>
      <c r="P3" s="27">
        <f t="shared" ref="P3:P65" si="2">N3-O3</f>
        <v>48000</v>
      </c>
      <c r="Q3" s="27"/>
    </row>
    <row r="4" spans="1:18" x14ac:dyDescent="0.2">
      <c r="A4" s="33">
        <v>45678</v>
      </c>
      <c r="B4" s="30">
        <f t="shared" si="0"/>
        <v>1</v>
      </c>
      <c r="C4" s="30" t="str">
        <f>_xlfn.IFS(Table_13[[#This Row],[Month]]=1,"JAN",Table_13[[#This Row],[Month]]=2,"FEB",B4=3,"MAR",B4=4,"APR",B4=5,"MAY",B4=6,"JUN",B4=7,"JUL",B4=8,"AUG",Table_13[[#This Row],[Month]]=9,"SEPT",B4=10,"OCT",B4=11,"NOV",B4=12,"DEC")</f>
        <v>JAN</v>
      </c>
      <c r="D4" s="2" t="s">
        <v>18</v>
      </c>
      <c r="E4" s="2" t="s">
        <v>12</v>
      </c>
      <c r="F4" s="2" t="s">
        <v>23</v>
      </c>
      <c r="G4" s="2" t="s">
        <v>14</v>
      </c>
      <c r="H4" s="2" t="s">
        <v>15</v>
      </c>
      <c r="I4" s="2" t="s">
        <v>16</v>
      </c>
      <c r="J4" s="15">
        <v>85000</v>
      </c>
      <c r="K4" s="2">
        <v>2</v>
      </c>
      <c r="L4" s="2" t="s">
        <v>24</v>
      </c>
      <c r="M4" s="12">
        <f t="shared" si="1"/>
        <v>68000</v>
      </c>
      <c r="N4" s="10">
        <f>PRODUCT(Table_13[[#This Row],[Unit Price]],Table_13[[#This Row],[Quantity]])</f>
        <v>170000</v>
      </c>
      <c r="O4" s="16">
        <f>PRODUCT(Table_13[[#This Row],[Cost Price]],Table_13[[#This Row],[Quantity]])</f>
        <v>136000</v>
      </c>
      <c r="P4" s="27">
        <f t="shared" si="2"/>
        <v>34000</v>
      </c>
      <c r="R4" s="27"/>
    </row>
    <row r="5" spans="1:18" x14ac:dyDescent="0.2">
      <c r="A5" s="33">
        <v>45679</v>
      </c>
      <c r="B5" s="30">
        <f t="shared" si="0"/>
        <v>1</v>
      </c>
      <c r="C5" s="30" t="str">
        <f>_xlfn.IFS(Table_13[[#This Row],[Month]]=1,"JAN",Table_13[[#This Row],[Month]]=2,"FEB",B5=3,"MAR",B5=4,"APR",B5=5,"MAY",B5=6,"JUN",B5=7,"JUL",B5=8,"AUG",Table_13[[#This Row],[Month]]=9,"SEPT",B5=10,"OCT",B5=11,"NOV",B5=12,"DEC")</f>
        <v>JAN</v>
      </c>
      <c r="D5" s="2" t="s">
        <v>25</v>
      </c>
      <c r="E5" s="2" t="s">
        <v>26</v>
      </c>
      <c r="F5" s="2" t="s">
        <v>13</v>
      </c>
      <c r="G5" s="2" t="s">
        <v>14</v>
      </c>
      <c r="H5" s="2" t="s">
        <v>27</v>
      </c>
      <c r="I5" s="2" t="s">
        <v>22</v>
      </c>
      <c r="J5" s="15">
        <v>60000</v>
      </c>
      <c r="K5" s="2">
        <v>2</v>
      </c>
      <c r="L5" s="2" t="s">
        <v>28</v>
      </c>
      <c r="M5" s="12">
        <f t="shared" si="1"/>
        <v>48000</v>
      </c>
      <c r="N5" s="10">
        <f>PRODUCT(Table_13[[#This Row],[Unit Price]],Table_13[[#This Row],[Quantity]])</f>
        <v>120000</v>
      </c>
      <c r="O5" s="16">
        <f>PRODUCT(Table_13[[#This Row],[Cost Price]],Table_13[[#This Row],[Quantity]])</f>
        <v>96000</v>
      </c>
      <c r="P5" s="27">
        <f t="shared" si="2"/>
        <v>24000</v>
      </c>
    </row>
    <row r="6" spans="1:18" x14ac:dyDescent="0.2">
      <c r="A6" s="33">
        <v>45680</v>
      </c>
      <c r="B6" s="30">
        <f t="shared" si="0"/>
        <v>1</v>
      </c>
      <c r="C6" s="30" t="str">
        <f>_xlfn.IFS(Table_13[[#This Row],[Month]]=1,"JAN",Table_13[[#This Row],[Month]]=2,"FEB",B6=3,"MAR",B6=4,"APR",B6=5,"MAY",B6=6,"JUN",B6=7,"JUL",B6=8,"AUG",Table_13[[#This Row],[Month]]=9,"SEPT",B6=10,"OCT",B6=11,"NOV",B6=12,"DEC")</f>
        <v>JAN</v>
      </c>
      <c r="D6" s="2" t="s">
        <v>29</v>
      </c>
      <c r="E6" s="2" t="s">
        <v>26</v>
      </c>
      <c r="F6" s="2" t="s">
        <v>23</v>
      </c>
      <c r="G6" s="2" t="s">
        <v>14</v>
      </c>
      <c r="H6" s="2" t="s">
        <v>30</v>
      </c>
      <c r="I6" s="2" t="s">
        <v>31</v>
      </c>
      <c r="J6" s="15">
        <v>300000</v>
      </c>
      <c r="K6" s="2">
        <v>2</v>
      </c>
      <c r="L6" s="2" t="s">
        <v>17</v>
      </c>
      <c r="M6" s="12">
        <f t="shared" si="1"/>
        <v>240000</v>
      </c>
      <c r="N6" s="10">
        <f>PRODUCT(Table_13[[#This Row],[Unit Price]],Table_13[[#This Row],[Quantity]])</f>
        <v>600000</v>
      </c>
      <c r="O6" s="16">
        <f>PRODUCT(Table_13[[#This Row],[Cost Price]],Table_13[[#This Row],[Quantity]])</f>
        <v>480000</v>
      </c>
      <c r="P6" s="27">
        <f t="shared" si="2"/>
        <v>120000</v>
      </c>
    </row>
    <row r="7" spans="1:18" x14ac:dyDescent="0.2">
      <c r="A7" s="33">
        <v>45681</v>
      </c>
      <c r="B7" s="30">
        <f t="shared" si="0"/>
        <v>1</v>
      </c>
      <c r="C7" s="30" t="str">
        <f>_xlfn.IFS(Table_13[[#This Row],[Month]]=1,"JAN",Table_13[[#This Row],[Month]]=2,"FEB",B7=3,"MAR",B7=4,"APR",B7=5,"MAY",B7=6,"JUN",B7=7,"JUL",B7=8,"AUG",Table_13[[#This Row],[Month]]=9,"SEPT",B7=10,"OCT",B7=11,"NOV",B7=12,"DEC")</f>
        <v>JAN</v>
      </c>
      <c r="D7" s="2" t="s">
        <v>25</v>
      </c>
      <c r="E7" s="2" t="s">
        <v>32</v>
      </c>
      <c r="F7" s="2" t="s">
        <v>13</v>
      </c>
      <c r="G7" s="2" t="s">
        <v>14</v>
      </c>
      <c r="H7" s="2" t="s">
        <v>33</v>
      </c>
      <c r="I7" s="2" t="s">
        <v>22</v>
      </c>
      <c r="J7" s="15">
        <v>180000</v>
      </c>
      <c r="K7" s="2">
        <v>10</v>
      </c>
      <c r="L7" s="2" t="s">
        <v>17</v>
      </c>
      <c r="M7" s="12">
        <f t="shared" si="1"/>
        <v>144000</v>
      </c>
      <c r="N7" s="10">
        <f>PRODUCT(Table_13[[#This Row],[Unit Price]],Table_13[[#This Row],[Quantity]])</f>
        <v>1800000</v>
      </c>
      <c r="O7" s="16">
        <f>PRODUCT(Table_13[[#This Row],[Cost Price]],Table_13[[#This Row],[Quantity]])</f>
        <v>1440000</v>
      </c>
      <c r="P7" s="27">
        <f t="shared" si="2"/>
        <v>360000</v>
      </c>
    </row>
    <row r="8" spans="1:18" x14ac:dyDescent="0.2">
      <c r="A8" s="33">
        <v>45682</v>
      </c>
      <c r="B8" s="30">
        <f t="shared" si="0"/>
        <v>1</v>
      </c>
      <c r="C8" s="30" t="str">
        <f>_xlfn.IFS(Table_13[[#This Row],[Month]]=1,"JAN",Table_13[[#This Row],[Month]]=2,"FEB",B8=3,"MAR",B8=4,"APR",B8=5,"MAY",B8=6,"JUN",B8=7,"JUL",B8=8,"AUG",Table_13[[#This Row],[Month]]=9,"SEPT",B8=10,"OCT",B8=11,"NOV",B8=12,"DEC")</f>
        <v>JAN</v>
      </c>
      <c r="D8" s="2" t="s">
        <v>25</v>
      </c>
      <c r="E8" s="2" t="s">
        <v>32</v>
      </c>
      <c r="F8" s="2" t="s">
        <v>23</v>
      </c>
      <c r="G8" s="2" t="s">
        <v>14</v>
      </c>
      <c r="H8" s="2" t="s">
        <v>34</v>
      </c>
      <c r="I8" s="2" t="s">
        <v>16</v>
      </c>
      <c r="J8" s="15">
        <v>320000</v>
      </c>
      <c r="K8" s="2">
        <v>4</v>
      </c>
      <c r="L8" s="2" t="s">
        <v>28</v>
      </c>
      <c r="M8" s="12">
        <f t="shared" si="1"/>
        <v>256000</v>
      </c>
      <c r="N8" s="10">
        <f>PRODUCT(Table_13[[#This Row],[Unit Price]],Table_13[[#This Row],[Quantity]])</f>
        <v>1280000</v>
      </c>
      <c r="O8" s="16">
        <f>PRODUCT(Table_13[[#This Row],[Cost Price]],Table_13[[#This Row],[Quantity]])</f>
        <v>1024000</v>
      </c>
      <c r="P8" s="27">
        <f t="shared" si="2"/>
        <v>256000</v>
      </c>
    </row>
    <row r="9" spans="1:18" x14ac:dyDescent="0.2">
      <c r="A9" s="33">
        <v>45683</v>
      </c>
      <c r="B9" s="30">
        <f t="shared" si="0"/>
        <v>1</v>
      </c>
      <c r="C9" s="30" t="str">
        <f>_xlfn.IFS(Table_13[[#This Row],[Month]]=1,"JAN",Table_13[[#This Row],[Month]]=2,"FEB",B9=3,"MAR",B9=4,"APR",B9=5,"MAY",B9=6,"JUN",B9=7,"JUL",B9=8,"AUG",Table_13[[#This Row],[Month]]=9,"SEPT",B9=10,"OCT",B9=11,"NOV",B9=12,"DEC")</f>
        <v>JAN</v>
      </c>
      <c r="D9" s="2" t="s">
        <v>25</v>
      </c>
      <c r="E9" s="2" t="s">
        <v>26</v>
      </c>
      <c r="F9" s="2" t="s">
        <v>13</v>
      </c>
      <c r="G9" s="2" t="s">
        <v>14</v>
      </c>
      <c r="H9" s="2" t="s">
        <v>34</v>
      </c>
      <c r="I9" s="2" t="s">
        <v>16</v>
      </c>
      <c r="J9" s="15">
        <v>320000</v>
      </c>
      <c r="K9" s="2">
        <v>1</v>
      </c>
      <c r="L9" s="2" t="s">
        <v>35</v>
      </c>
      <c r="M9" s="12">
        <f t="shared" si="1"/>
        <v>256000</v>
      </c>
      <c r="N9" s="10">
        <f>PRODUCT(Table_13[[#This Row],[Unit Price]],Table_13[[#This Row],[Quantity]])</f>
        <v>320000</v>
      </c>
      <c r="O9" s="16">
        <f>PRODUCT(Table_13[[#This Row],[Cost Price]],Table_13[[#This Row],[Quantity]])</f>
        <v>256000</v>
      </c>
      <c r="P9" s="27">
        <f t="shared" si="2"/>
        <v>64000</v>
      </c>
    </row>
    <row r="10" spans="1:18" x14ac:dyDescent="0.2">
      <c r="A10" s="33">
        <v>45684</v>
      </c>
      <c r="B10" s="30">
        <f t="shared" si="0"/>
        <v>1</v>
      </c>
      <c r="C10" s="30" t="str">
        <f>_xlfn.IFS(Table_13[[#This Row],[Month]]=1,"JAN",Table_13[[#This Row],[Month]]=2,"FEB",B10=3,"MAR",B10=4,"APR",B10=5,"MAY",B10=6,"JUN",B10=7,"JUL",B10=8,"AUG",Table_13[[#This Row],[Month]]=9,"SEPT",B10=10,"OCT",B10=11,"NOV",B10=12,"DEC")</f>
        <v>JAN</v>
      </c>
      <c r="D10" s="2" t="s">
        <v>18</v>
      </c>
      <c r="E10" s="2" t="s">
        <v>19</v>
      </c>
      <c r="F10" s="2" t="s">
        <v>13</v>
      </c>
      <c r="G10" s="2" t="s">
        <v>20</v>
      </c>
      <c r="H10" s="2" t="s">
        <v>34</v>
      </c>
      <c r="I10" s="2" t="s">
        <v>16</v>
      </c>
      <c r="J10" s="15">
        <v>320000</v>
      </c>
      <c r="K10" s="2">
        <v>9</v>
      </c>
      <c r="L10" s="2" t="s">
        <v>28</v>
      </c>
      <c r="M10" s="12">
        <f t="shared" si="1"/>
        <v>256000</v>
      </c>
      <c r="N10" s="10">
        <f>PRODUCT(Table_13[[#This Row],[Unit Price]],Table_13[[#This Row],[Quantity]])</f>
        <v>2880000</v>
      </c>
      <c r="O10" s="16">
        <f>PRODUCT(Table_13[[#This Row],[Cost Price]],Table_13[[#This Row],[Quantity]])</f>
        <v>2304000</v>
      </c>
      <c r="P10" s="27">
        <f t="shared" si="2"/>
        <v>576000</v>
      </c>
    </row>
    <row r="11" spans="1:18" x14ac:dyDescent="0.2">
      <c r="A11" s="33">
        <v>45685</v>
      </c>
      <c r="B11" s="30">
        <f t="shared" si="0"/>
        <v>1</v>
      </c>
      <c r="C11" s="30" t="str">
        <f>_xlfn.IFS(Table_13[[#This Row],[Month]]=1,"JAN",Table_13[[#This Row],[Month]]=2,"FEB",B11=3,"MAR",B11=4,"APR",B11=5,"MAY",B11=6,"JUN",B11=7,"JUL",B11=8,"AUG",Table_13[[#This Row],[Month]]=9,"SEPT",B11=10,"OCT",B11=11,"NOV",B11=12,"DEC")</f>
        <v>JAN</v>
      </c>
      <c r="D11" s="2" t="s">
        <v>25</v>
      </c>
      <c r="E11" s="2" t="s">
        <v>19</v>
      </c>
      <c r="F11" s="2" t="s">
        <v>13</v>
      </c>
      <c r="G11" s="2" t="s">
        <v>14</v>
      </c>
      <c r="H11" s="2" t="s">
        <v>34</v>
      </c>
      <c r="I11" s="2" t="s">
        <v>16</v>
      </c>
      <c r="J11" s="15">
        <v>320000</v>
      </c>
      <c r="K11" s="2">
        <v>3</v>
      </c>
      <c r="L11" s="2" t="s">
        <v>28</v>
      </c>
      <c r="M11" s="12">
        <f t="shared" si="1"/>
        <v>256000</v>
      </c>
      <c r="N11" s="10">
        <f>PRODUCT(Table_13[[#This Row],[Unit Price]],Table_13[[#This Row],[Quantity]])</f>
        <v>960000</v>
      </c>
      <c r="O11" s="16">
        <f>PRODUCT(Table_13[[#This Row],[Cost Price]],Table_13[[#This Row],[Quantity]])</f>
        <v>768000</v>
      </c>
      <c r="P11" s="27">
        <f t="shared" si="2"/>
        <v>192000</v>
      </c>
    </row>
    <row r="12" spans="1:18" x14ac:dyDescent="0.2">
      <c r="A12" s="33">
        <v>45686</v>
      </c>
      <c r="B12" s="30">
        <f t="shared" si="0"/>
        <v>1</v>
      </c>
      <c r="C12" s="30" t="str">
        <f>_xlfn.IFS(Table_13[[#This Row],[Month]]=1,"JAN",Table_13[[#This Row],[Month]]=2,"FEB",B12=3,"MAR",B12=4,"APR",B12=5,"MAY",B12=6,"JUN",B12=7,"JUL",B12=8,"AUG",Table_13[[#This Row],[Month]]=9,"SEPT",B12=10,"OCT",B12=11,"NOV",B12=12,"DEC")</f>
        <v>JAN</v>
      </c>
      <c r="D12" s="2" t="s">
        <v>25</v>
      </c>
      <c r="E12" s="2" t="s">
        <v>12</v>
      </c>
      <c r="F12" s="2" t="s">
        <v>13</v>
      </c>
      <c r="G12" s="2" t="s">
        <v>14</v>
      </c>
      <c r="H12" s="2" t="s">
        <v>36</v>
      </c>
      <c r="I12" s="2" t="s">
        <v>31</v>
      </c>
      <c r="J12" s="15">
        <v>150000</v>
      </c>
      <c r="K12" s="2">
        <v>4</v>
      </c>
      <c r="L12" s="2" t="s">
        <v>35</v>
      </c>
      <c r="M12" s="12">
        <f t="shared" si="1"/>
        <v>120000</v>
      </c>
      <c r="N12" s="10">
        <f>PRODUCT(Table_13[[#This Row],[Unit Price]],Table_13[[#This Row],[Quantity]])</f>
        <v>600000</v>
      </c>
      <c r="O12" s="16">
        <f>PRODUCT(Table_13[[#This Row],[Cost Price]],Table_13[[#This Row],[Quantity]])</f>
        <v>480000</v>
      </c>
      <c r="P12" s="27">
        <f t="shared" si="2"/>
        <v>120000</v>
      </c>
    </row>
    <row r="13" spans="1:18" x14ac:dyDescent="0.2">
      <c r="A13" s="33">
        <v>45687</v>
      </c>
      <c r="B13" s="30">
        <f t="shared" si="0"/>
        <v>1</v>
      </c>
      <c r="C13" s="30" t="str">
        <f>_xlfn.IFS(Table_13[[#This Row],[Month]]=1,"JAN",Table_13[[#This Row],[Month]]=2,"FEB",B13=3,"MAR",B13=4,"APR",B13=5,"MAY",B13=6,"JUN",B13=7,"JUL",B13=8,"AUG",Table_13[[#This Row],[Month]]=9,"SEPT",B13=10,"OCT",B13=11,"NOV",B13=12,"DEC")</f>
        <v>JAN</v>
      </c>
      <c r="D13" s="2" t="s">
        <v>11</v>
      </c>
      <c r="E13" s="2" t="s">
        <v>26</v>
      </c>
      <c r="F13" s="2" t="s">
        <v>23</v>
      </c>
      <c r="G13" s="2" t="s">
        <v>14</v>
      </c>
      <c r="H13" s="2" t="s">
        <v>34</v>
      </c>
      <c r="I13" s="2" t="s">
        <v>16</v>
      </c>
      <c r="J13" s="15">
        <v>320000</v>
      </c>
      <c r="K13" s="2">
        <v>7</v>
      </c>
      <c r="L13" s="2" t="s">
        <v>35</v>
      </c>
      <c r="M13" s="12">
        <f t="shared" si="1"/>
        <v>256000</v>
      </c>
      <c r="N13" s="10">
        <f>PRODUCT(Table_13[[#This Row],[Unit Price]],Table_13[[#This Row],[Quantity]])</f>
        <v>2240000</v>
      </c>
      <c r="O13" s="16">
        <f>PRODUCT(Table_13[[#This Row],[Cost Price]],Table_13[[#This Row],[Quantity]])</f>
        <v>1792000</v>
      </c>
      <c r="P13" s="27">
        <f t="shared" si="2"/>
        <v>448000</v>
      </c>
    </row>
    <row r="14" spans="1:18" x14ac:dyDescent="0.2">
      <c r="A14" s="33">
        <v>45688</v>
      </c>
      <c r="B14" s="30">
        <f t="shared" si="0"/>
        <v>1</v>
      </c>
      <c r="C14" s="30" t="str">
        <f>_xlfn.IFS(Table_13[[#This Row],[Month]]=1,"JAN",Table_13[[#This Row],[Month]]=2,"FEB",B14=3,"MAR",B14=4,"APR",B14=5,"MAY",B14=6,"JUN",B14=7,"JUL",B14=8,"AUG",Table_13[[#This Row],[Month]]=9,"SEPT",B14=10,"OCT",B14=11,"NOV",B14=12,"DEC")</f>
        <v>JAN</v>
      </c>
      <c r="D14" s="2" t="s">
        <v>25</v>
      </c>
      <c r="E14" s="2" t="s">
        <v>12</v>
      </c>
      <c r="F14" s="2" t="s">
        <v>13</v>
      </c>
      <c r="G14" s="2" t="s">
        <v>20</v>
      </c>
      <c r="H14" s="2" t="s">
        <v>36</v>
      </c>
      <c r="I14" s="2" t="s">
        <v>31</v>
      </c>
      <c r="J14" s="15">
        <v>150000</v>
      </c>
      <c r="K14" s="2">
        <v>2</v>
      </c>
      <c r="L14" s="2" t="s">
        <v>37</v>
      </c>
      <c r="M14" s="12">
        <f t="shared" si="1"/>
        <v>120000</v>
      </c>
      <c r="N14" s="10">
        <f>PRODUCT(Table_13[[#This Row],[Unit Price]],Table_13[[#This Row],[Quantity]])</f>
        <v>300000</v>
      </c>
      <c r="O14" s="16">
        <f>PRODUCT(Table_13[[#This Row],[Cost Price]],Table_13[[#This Row],[Quantity]])</f>
        <v>240000</v>
      </c>
      <c r="P14" s="27">
        <f t="shared" si="2"/>
        <v>60000</v>
      </c>
    </row>
    <row r="15" spans="1:18" x14ac:dyDescent="0.2">
      <c r="A15" s="33">
        <v>45689</v>
      </c>
      <c r="B15" s="30">
        <f t="shared" si="0"/>
        <v>2</v>
      </c>
      <c r="C15" s="30" t="str">
        <f>_xlfn.IFS(Table_13[[#This Row],[Month]]=1,"JAN",Table_13[[#This Row],[Month]]=2,"FEB",B15=3,"MAR",B15=4,"APR",B15=5,"MAY",B15=6,"JUN",B15=7,"JUL",B15=8,"AUG",Table_13[[#This Row],[Month]]=9,"SEPT",B15=10,"OCT",B15=11,"NOV",B15=12,"DEC")</f>
        <v>FEB</v>
      </c>
      <c r="D15" s="2" t="s">
        <v>11</v>
      </c>
      <c r="E15" s="2" t="s">
        <v>19</v>
      </c>
      <c r="F15" s="2" t="s">
        <v>13</v>
      </c>
      <c r="G15" s="2" t="s">
        <v>14</v>
      </c>
      <c r="H15" s="2" t="s">
        <v>38</v>
      </c>
      <c r="I15" s="2" t="s">
        <v>31</v>
      </c>
      <c r="J15" s="15">
        <v>420000</v>
      </c>
      <c r="K15" s="2">
        <v>9</v>
      </c>
      <c r="L15" s="2" t="s">
        <v>28</v>
      </c>
      <c r="M15" s="12">
        <f t="shared" si="1"/>
        <v>336000</v>
      </c>
      <c r="N15" s="10">
        <f>PRODUCT(Table_13[[#This Row],[Unit Price]],Table_13[[#This Row],[Quantity]])</f>
        <v>3780000</v>
      </c>
      <c r="O15" s="16">
        <f>PRODUCT(Table_13[[#This Row],[Cost Price]],Table_13[[#This Row],[Quantity]])</f>
        <v>3024000</v>
      </c>
      <c r="P15" s="27">
        <f t="shared" si="2"/>
        <v>756000</v>
      </c>
    </row>
    <row r="16" spans="1:18" x14ac:dyDescent="0.2">
      <c r="A16" s="33">
        <v>45690</v>
      </c>
      <c r="B16" s="30">
        <f t="shared" si="0"/>
        <v>2</v>
      </c>
      <c r="C16" s="30" t="str">
        <f>_xlfn.IFS(Table_13[[#This Row],[Month]]=1,"JAN",Table_13[[#This Row],[Month]]=2,"FEB",B16=3,"MAR",B16=4,"APR",B16=5,"MAY",B16=6,"JUN",B16=7,"JUL",B16=8,"AUG",Table_13[[#This Row],[Month]]=9,"SEPT",B16=10,"OCT",B16=11,"NOV",B16=12,"DEC")</f>
        <v>FEB</v>
      </c>
      <c r="D16" s="2" t="s">
        <v>29</v>
      </c>
      <c r="E16" s="2" t="s">
        <v>19</v>
      </c>
      <c r="F16" s="2" t="s">
        <v>13</v>
      </c>
      <c r="G16" s="2" t="s">
        <v>14</v>
      </c>
      <c r="H16" s="2" t="s">
        <v>38</v>
      </c>
      <c r="I16" s="2" t="s">
        <v>31</v>
      </c>
      <c r="J16" s="15">
        <v>420000</v>
      </c>
      <c r="K16" s="2">
        <v>5</v>
      </c>
      <c r="L16" s="2" t="s">
        <v>39</v>
      </c>
      <c r="M16" s="12">
        <f t="shared" si="1"/>
        <v>336000</v>
      </c>
      <c r="N16" s="10">
        <f>PRODUCT(Table_13[[#This Row],[Unit Price]],Table_13[[#This Row],[Quantity]])</f>
        <v>2100000</v>
      </c>
      <c r="O16" s="16">
        <f>PRODUCT(Table_13[[#This Row],[Cost Price]],Table_13[[#This Row],[Quantity]])</f>
        <v>1680000</v>
      </c>
      <c r="P16" s="27">
        <f t="shared" si="2"/>
        <v>420000</v>
      </c>
    </row>
    <row r="17" spans="1:16" x14ac:dyDescent="0.2">
      <c r="A17" s="33">
        <v>45691</v>
      </c>
      <c r="B17" s="30">
        <f t="shared" si="0"/>
        <v>2</v>
      </c>
      <c r="C17" s="30" t="str">
        <f>_xlfn.IFS(Table_13[[#This Row],[Month]]=1,"JAN",Table_13[[#This Row],[Month]]=2,"FEB",B17=3,"MAR",B17=4,"APR",B17=5,"MAY",B17=6,"JUN",B17=7,"JUL",B17=8,"AUG",Table_13[[#This Row],[Month]]=9,"SEPT",B17=10,"OCT",B17=11,"NOV",B17=12,"DEC")</f>
        <v>FEB</v>
      </c>
      <c r="D17" s="2" t="s">
        <v>11</v>
      </c>
      <c r="E17" s="2" t="s">
        <v>26</v>
      </c>
      <c r="F17" s="2" t="s">
        <v>23</v>
      </c>
      <c r="G17" s="2" t="s">
        <v>20</v>
      </c>
      <c r="H17" s="2" t="s">
        <v>40</v>
      </c>
      <c r="I17" s="2" t="s">
        <v>31</v>
      </c>
      <c r="J17" s="15">
        <v>250000</v>
      </c>
      <c r="K17" s="2">
        <v>4</v>
      </c>
      <c r="L17" s="2" t="s">
        <v>35</v>
      </c>
      <c r="M17" s="12">
        <f t="shared" si="1"/>
        <v>200000</v>
      </c>
      <c r="N17" s="10">
        <f>PRODUCT(Table_13[[#This Row],[Unit Price]],Table_13[[#This Row],[Quantity]])</f>
        <v>1000000</v>
      </c>
      <c r="O17" s="16">
        <f>PRODUCT(Table_13[[#This Row],[Cost Price]],Table_13[[#This Row],[Quantity]])</f>
        <v>800000</v>
      </c>
      <c r="P17" s="27">
        <f t="shared" si="2"/>
        <v>200000</v>
      </c>
    </row>
    <row r="18" spans="1:16" x14ac:dyDescent="0.2">
      <c r="A18" s="33">
        <v>45692</v>
      </c>
      <c r="B18" s="30">
        <f t="shared" si="0"/>
        <v>2</v>
      </c>
      <c r="C18" s="30" t="str">
        <f>_xlfn.IFS(Table_13[[#This Row],[Month]]=1,"JAN",Table_13[[#This Row],[Month]]=2,"FEB",B18=3,"MAR",B18=4,"APR",B18=5,"MAY",B18=6,"JUN",B18=7,"JUL",B18=8,"AUG",Table_13[[#This Row],[Month]]=9,"SEPT",B18=10,"OCT",B18=11,"NOV",B18=12,"DEC")</f>
        <v>FEB</v>
      </c>
      <c r="D18" s="2" t="s">
        <v>11</v>
      </c>
      <c r="E18" s="2" t="s">
        <v>19</v>
      </c>
      <c r="F18" s="2" t="s">
        <v>13</v>
      </c>
      <c r="G18" s="2" t="s">
        <v>14</v>
      </c>
      <c r="H18" s="2" t="s">
        <v>41</v>
      </c>
      <c r="I18" s="2" t="s">
        <v>22</v>
      </c>
      <c r="J18" s="15">
        <v>220000</v>
      </c>
      <c r="K18" s="2">
        <v>2</v>
      </c>
      <c r="L18" s="2" t="s">
        <v>35</v>
      </c>
      <c r="M18" s="12">
        <f t="shared" si="1"/>
        <v>176000</v>
      </c>
      <c r="N18" s="10">
        <f>PRODUCT(Table_13[[#This Row],[Unit Price]],Table_13[[#This Row],[Quantity]])</f>
        <v>440000</v>
      </c>
      <c r="O18" s="16">
        <f>PRODUCT(Table_13[[#This Row],[Cost Price]],Table_13[[#This Row],[Quantity]])</f>
        <v>352000</v>
      </c>
      <c r="P18" s="27">
        <f t="shared" si="2"/>
        <v>88000</v>
      </c>
    </row>
    <row r="19" spans="1:16" x14ac:dyDescent="0.2">
      <c r="A19" s="33">
        <v>45693</v>
      </c>
      <c r="B19" s="30">
        <f t="shared" si="0"/>
        <v>2</v>
      </c>
      <c r="C19" s="30" t="str">
        <f>_xlfn.IFS(Table_13[[#This Row],[Month]]=1,"JAN",Table_13[[#This Row],[Month]]=2,"FEB",B19=3,"MAR",B19=4,"APR",B19=5,"MAY",B19=6,"JUN",B19=7,"JUL",B19=8,"AUG",Table_13[[#This Row],[Month]]=9,"SEPT",B19=10,"OCT",B19=11,"NOV",B19=12,"DEC")</f>
        <v>FEB</v>
      </c>
      <c r="D19" s="2" t="s">
        <v>18</v>
      </c>
      <c r="E19" s="2" t="s">
        <v>26</v>
      </c>
      <c r="F19" s="2" t="s">
        <v>13</v>
      </c>
      <c r="G19" s="2" t="s">
        <v>20</v>
      </c>
      <c r="H19" s="2" t="s">
        <v>36</v>
      </c>
      <c r="I19" s="2" t="s">
        <v>31</v>
      </c>
      <c r="J19" s="15">
        <v>150000</v>
      </c>
      <c r="K19" s="2">
        <v>7</v>
      </c>
      <c r="L19" s="2" t="s">
        <v>28</v>
      </c>
      <c r="M19" s="12">
        <f t="shared" si="1"/>
        <v>120000</v>
      </c>
      <c r="N19" s="10">
        <f>PRODUCT(Table_13[[#This Row],[Unit Price]],Table_13[[#This Row],[Quantity]])</f>
        <v>1050000</v>
      </c>
      <c r="O19" s="16">
        <f>PRODUCT(Table_13[[#This Row],[Cost Price]],Table_13[[#This Row],[Quantity]])</f>
        <v>840000</v>
      </c>
      <c r="P19" s="27">
        <f t="shared" si="2"/>
        <v>210000</v>
      </c>
    </row>
    <row r="20" spans="1:16" x14ac:dyDescent="0.2">
      <c r="A20" s="33">
        <v>45694</v>
      </c>
      <c r="B20" s="30">
        <f t="shared" si="0"/>
        <v>2</v>
      </c>
      <c r="C20" s="30" t="str">
        <f>_xlfn.IFS(Table_13[[#This Row],[Month]]=1,"JAN",Table_13[[#This Row],[Month]]=2,"FEB",B20=3,"MAR",B20=4,"APR",B20=5,"MAY",B20=6,"JUN",B20=7,"JUL",B20=8,"AUG",Table_13[[#This Row],[Month]]=9,"SEPT",B20=10,"OCT",B20=11,"NOV",B20=12,"DEC")</f>
        <v>FEB</v>
      </c>
      <c r="D20" s="2" t="s">
        <v>25</v>
      </c>
      <c r="E20" s="2" t="s">
        <v>32</v>
      </c>
      <c r="F20" s="2" t="s">
        <v>23</v>
      </c>
      <c r="G20" s="2" t="s">
        <v>20</v>
      </c>
      <c r="H20" s="2" t="s">
        <v>30</v>
      </c>
      <c r="I20" s="2" t="s">
        <v>31</v>
      </c>
      <c r="J20" s="15">
        <v>300000</v>
      </c>
      <c r="K20" s="2">
        <v>5</v>
      </c>
      <c r="L20" s="2" t="s">
        <v>35</v>
      </c>
      <c r="M20" s="12">
        <f t="shared" si="1"/>
        <v>240000</v>
      </c>
      <c r="N20" s="10">
        <f>PRODUCT(Table_13[[#This Row],[Unit Price]],Table_13[[#This Row],[Quantity]])</f>
        <v>1500000</v>
      </c>
      <c r="O20" s="16">
        <f>PRODUCT(Table_13[[#This Row],[Cost Price]],Table_13[[#This Row],[Quantity]])</f>
        <v>1200000</v>
      </c>
      <c r="P20" s="27">
        <f t="shared" si="2"/>
        <v>300000</v>
      </c>
    </row>
    <row r="21" spans="1:16" x14ac:dyDescent="0.2">
      <c r="A21" s="33">
        <v>45695</v>
      </c>
      <c r="B21" s="30">
        <f t="shared" si="0"/>
        <v>2</v>
      </c>
      <c r="C21" s="30" t="str">
        <f>_xlfn.IFS(Table_13[[#This Row],[Month]]=1,"JAN",Table_13[[#This Row],[Month]]=2,"FEB",B21=3,"MAR",B21=4,"APR",B21=5,"MAY",B21=6,"JUN",B21=7,"JUL",B21=8,"AUG",Table_13[[#This Row],[Month]]=9,"SEPT",B21=10,"OCT",B21=11,"NOV",B21=12,"DEC")</f>
        <v>FEB</v>
      </c>
      <c r="D21" s="2" t="s">
        <v>29</v>
      </c>
      <c r="E21" s="2" t="s">
        <v>26</v>
      </c>
      <c r="F21" s="2" t="s">
        <v>13</v>
      </c>
      <c r="G21" s="2" t="s">
        <v>14</v>
      </c>
      <c r="H21" s="2" t="s">
        <v>36</v>
      </c>
      <c r="I21" s="2" t="s">
        <v>31</v>
      </c>
      <c r="J21" s="15">
        <v>150000</v>
      </c>
      <c r="K21" s="2">
        <v>4</v>
      </c>
      <c r="L21" s="2" t="s">
        <v>35</v>
      </c>
      <c r="M21" s="12">
        <f t="shared" si="1"/>
        <v>120000</v>
      </c>
      <c r="N21" s="10">
        <f>PRODUCT(Table_13[[#This Row],[Unit Price]],Table_13[[#This Row],[Quantity]])</f>
        <v>600000</v>
      </c>
      <c r="O21" s="16">
        <f>PRODUCT(Table_13[[#This Row],[Cost Price]],Table_13[[#This Row],[Quantity]])</f>
        <v>480000</v>
      </c>
      <c r="P21" s="27">
        <f t="shared" si="2"/>
        <v>120000</v>
      </c>
    </row>
    <row r="22" spans="1:16" x14ac:dyDescent="0.2">
      <c r="A22" s="33">
        <v>45696</v>
      </c>
      <c r="B22" s="30">
        <f t="shared" si="0"/>
        <v>2</v>
      </c>
      <c r="C22" s="30" t="str">
        <f>_xlfn.IFS(Table_13[[#This Row],[Month]]=1,"JAN",Table_13[[#This Row],[Month]]=2,"FEB",B22=3,"MAR",B22=4,"APR",B22=5,"MAY",B22=6,"JUN",B22=7,"JUL",B22=8,"AUG",Table_13[[#This Row],[Month]]=9,"SEPT",B22=10,"OCT",B22=11,"NOV",B22=12,"DEC")</f>
        <v>FEB</v>
      </c>
      <c r="D22" s="2" t="s">
        <v>29</v>
      </c>
      <c r="E22" s="2" t="s">
        <v>26</v>
      </c>
      <c r="F22" s="2" t="s">
        <v>23</v>
      </c>
      <c r="G22" s="2" t="s">
        <v>20</v>
      </c>
      <c r="H22" s="2" t="s">
        <v>15</v>
      </c>
      <c r="I22" s="2" t="s">
        <v>16</v>
      </c>
      <c r="J22" s="15">
        <v>85000</v>
      </c>
      <c r="K22" s="2">
        <v>1</v>
      </c>
      <c r="L22" s="2" t="s">
        <v>39</v>
      </c>
      <c r="M22" s="12">
        <f t="shared" si="1"/>
        <v>68000</v>
      </c>
      <c r="N22" s="10">
        <f>PRODUCT(Table_13[[#This Row],[Unit Price]],Table_13[[#This Row],[Quantity]])</f>
        <v>85000</v>
      </c>
      <c r="O22" s="16">
        <f>PRODUCT(Table_13[[#This Row],[Cost Price]],Table_13[[#This Row],[Quantity]])</f>
        <v>68000</v>
      </c>
      <c r="P22" s="27">
        <f t="shared" si="2"/>
        <v>17000</v>
      </c>
    </row>
    <row r="23" spans="1:16" x14ac:dyDescent="0.2">
      <c r="A23" s="33">
        <v>45697</v>
      </c>
      <c r="B23" s="30">
        <f t="shared" si="0"/>
        <v>2</v>
      </c>
      <c r="C23" s="30" t="str">
        <f>_xlfn.IFS(Table_13[[#This Row],[Month]]=1,"JAN",Table_13[[#This Row],[Month]]=2,"FEB",B23=3,"MAR",B23=4,"APR",B23=5,"MAY",B23=6,"JUN",B23=7,"JUL",B23=8,"AUG",Table_13[[#This Row],[Month]]=9,"SEPT",B23=10,"OCT",B23=11,"NOV",B23=12,"DEC")</f>
        <v>FEB</v>
      </c>
      <c r="D23" s="2" t="s">
        <v>18</v>
      </c>
      <c r="E23" s="2" t="s">
        <v>12</v>
      </c>
      <c r="F23" s="2" t="s">
        <v>13</v>
      </c>
      <c r="G23" s="2" t="s">
        <v>20</v>
      </c>
      <c r="H23" s="2" t="s">
        <v>15</v>
      </c>
      <c r="I23" s="2" t="s">
        <v>16</v>
      </c>
      <c r="J23" s="15">
        <v>85000</v>
      </c>
      <c r="K23" s="2">
        <v>9</v>
      </c>
      <c r="L23" s="2" t="s">
        <v>24</v>
      </c>
      <c r="M23" s="12">
        <f t="shared" si="1"/>
        <v>68000</v>
      </c>
      <c r="N23" s="10">
        <f>PRODUCT(Table_13[[#This Row],[Unit Price]],Table_13[[#This Row],[Quantity]])</f>
        <v>765000</v>
      </c>
      <c r="O23" s="16">
        <f>PRODUCT(Table_13[[#This Row],[Cost Price]],Table_13[[#This Row],[Quantity]])</f>
        <v>612000</v>
      </c>
      <c r="P23" s="27">
        <f t="shared" si="2"/>
        <v>153000</v>
      </c>
    </row>
    <row r="24" spans="1:16" x14ac:dyDescent="0.2">
      <c r="A24" s="33">
        <v>45698</v>
      </c>
      <c r="B24" s="30">
        <f t="shared" si="0"/>
        <v>2</v>
      </c>
      <c r="C24" s="30" t="str">
        <f>_xlfn.IFS(Table_13[[#This Row],[Month]]=1,"JAN",Table_13[[#This Row],[Month]]=2,"FEB",B24=3,"MAR",B24=4,"APR",B24=5,"MAY",B24=6,"JUN",B24=7,"JUL",B24=8,"AUG",Table_13[[#This Row],[Month]]=9,"SEPT",B24=10,"OCT",B24=11,"NOV",B24=12,"DEC")</f>
        <v>FEB</v>
      </c>
      <c r="D24" s="2" t="s">
        <v>18</v>
      </c>
      <c r="E24" s="2" t="s">
        <v>19</v>
      </c>
      <c r="F24" s="2" t="s">
        <v>13</v>
      </c>
      <c r="G24" s="2" t="s">
        <v>20</v>
      </c>
      <c r="H24" s="2" t="s">
        <v>38</v>
      </c>
      <c r="I24" s="2" t="s">
        <v>31</v>
      </c>
      <c r="J24" s="15">
        <v>420000</v>
      </c>
      <c r="K24" s="2">
        <v>8</v>
      </c>
      <c r="L24" s="2" t="s">
        <v>39</v>
      </c>
      <c r="M24" s="12">
        <f t="shared" si="1"/>
        <v>336000</v>
      </c>
      <c r="N24" s="10">
        <f>PRODUCT(Table_13[[#This Row],[Unit Price]],Table_13[[#This Row],[Quantity]])</f>
        <v>3360000</v>
      </c>
      <c r="O24" s="16">
        <f>PRODUCT(Table_13[[#This Row],[Cost Price]],Table_13[[#This Row],[Quantity]])</f>
        <v>2688000</v>
      </c>
      <c r="P24" s="27">
        <f t="shared" si="2"/>
        <v>672000</v>
      </c>
    </row>
    <row r="25" spans="1:16" x14ac:dyDescent="0.2">
      <c r="A25" s="33">
        <v>45699</v>
      </c>
      <c r="B25" s="30">
        <f t="shared" si="0"/>
        <v>2</v>
      </c>
      <c r="C25" s="30" t="str">
        <f>_xlfn.IFS(Table_13[[#This Row],[Month]]=1,"JAN",Table_13[[#This Row],[Month]]=2,"FEB",B25=3,"MAR",B25=4,"APR",B25=5,"MAY",B25=6,"JUN",B25=7,"JUL",B25=8,"AUG",Table_13[[#This Row],[Month]]=9,"SEPT",B25=10,"OCT",B25=11,"NOV",B25=12,"DEC")</f>
        <v>FEB</v>
      </c>
      <c r="D25" s="2" t="s">
        <v>29</v>
      </c>
      <c r="E25" s="2" t="s">
        <v>19</v>
      </c>
      <c r="F25" s="2" t="s">
        <v>23</v>
      </c>
      <c r="G25" s="2" t="s">
        <v>14</v>
      </c>
      <c r="H25" s="2" t="s">
        <v>38</v>
      </c>
      <c r="I25" s="2" t="s">
        <v>31</v>
      </c>
      <c r="J25" s="15">
        <v>420000</v>
      </c>
      <c r="K25" s="2">
        <v>10</v>
      </c>
      <c r="L25" s="2" t="s">
        <v>39</v>
      </c>
      <c r="M25" s="12">
        <f t="shared" si="1"/>
        <v>336000</v>
      </c>
      <c r="N25" s="10">
        <f>PRODUCT(Table_13[[#This Row],[Unit Price]],Table_13[[#This Row],[Quantity]])</f>
        <v>4200000</v>
      </c>
      <c r="O25" s="16">
        <f>PRODUCT(Table_13[[#This Row],[Cost Price]],Table_13[[#This Row],[Quantity]])</f>
        <v>3360000</v>
      </c>
      <c r="P25" s="27">
        <f t="shared" si="2"/>
        <v>840000</v>
      </c>
    </row>
    <row r="26" spans="1:16" x14ac:dyDescent="0.2">
      <c r="A26" s="33">
        <v>45700</v>
      </c>
      <c r="B26" s="30">
        <f t="shared" si="0"/>
        <v>2</v>
      </c>
      <c r="C26" s="30" t="str">
        <f>_xlfn.IFS(Table_13[[#This Row],[Month]]=1,"JAN",Table_13[[#This Row],[Month]]=2,"FEB",B26=3,"MAR",B26=4,"APR",B26=5,"MAY",B26=6,"JUN",B26=7,"JUL",B26=8,"AUG",Table_13[[#This Row],[Month]]=9,"SEPT",B26=10,"OCT",B26=11,"NOV",B26=12,"DEC")</f>
        <v>FEB</v>
      </c>
      <c r="D26" s="2" t="s">
        <v>18</v>
      </c>
      <c r="E26" s="2" t="s">
        <v>12</v>
      </c>
      <c r="F26" s="2" t="s">
        <v>13</v>
      </c>
      <c r="G26" s="2" t="s">
        <v>20</v>
      </c>
      <c r="H26" s="2" t="s">
        <v>40</v>
      </c>
      <c r="I26" s="2" t="s">
        <v>31</v>
      </c>
      <c r="J26" s="15">
        <v>250000</v>
      </c>
      <c r="K26" s="2">
        <v>5</v>
      </c>
      <c r="L26" s="2" t="s">
        <v>37</v>
      </c>
      <c r="M26" s="12">
        <f t="shared" si="1"/>
        <v>200000</v>
      </c>
      <c r="N26" s="10">
        <f>PRODUCT(Table_13[[#This Row],[Unit Price]],Table_13[[#This Row],[Quantity]])</f>
        <v>1250000</v>
      </c>
      <c r="O26" s="16">
        <f>PRODUCT(Table_13[[#This Row],[Cost Price]],Table_13[[#This Row],[Quantity]])</f>
        <v>1000000</v>
      </c>
      <c r="P26" s="27">
        <f t="shared" si="2"/>
        <v>250000</v>
      </c>
    </row>
    <row r="27" spans="1:16" x14ac:dyDescent="0.2">
      <c r="A27" s="33">
        <v>45701</v>
      </c>
      <c r="B27" s="30">
        <f t="shared" si="0"/>
        <v>2</v>
      </c>
      <c r="C27" s="30" t="str">
        <f>_xlfn.IFS(Table_13[[#This Row],[Month]]=1,"JAN",Table_13[[#This Row],[Month]]=2,"FEB",B27=3,"MAR",B27=4,"APR",B27=5,"MAY",B27=6,"JUN",B27=7,"JUL",B27=8,"AUG",Table_13[[#This Row],[Month]]=9,"SEPT",B27=10,"OCT",B27=11,"NOV",B27=12,"DEC")</f>
        <v>FEB</v>
      </c>
      <c r="D27" s="2" t="s">
        <v>29</v>
      </c>
      <c r="E27" s="2" t="s">
        <v>19</v>
      </c>
      <c r="F27" s="2" t="s">
        <v>23</v>
      </c>
      <c r="G27" s="2" t="s">
        <v>20</v>
      </c>
      <c r="H27" s="2" t="s">
        <v>41</v>
      </c>
      <c r="I27" s="2" t="s">
        <v>22</v>
      </c>
      <c r="J27" s="15">
        <v>220000</v>
      </c>
      <c r="K27" s="2">
        <v>4</v>
      </c>
      <c r="L27" s="2" t="s">
        <v>39</v>
      </c>
      <c r="M27" s="12">
        <f t="shared" si="1"/>
        <v>176000</v>
      </c>
      <c r="N27" s="10">
        <f>PRODUCT(Table_13[[#This Row],[Unit Price]],Table_13[[#This Row],[Quantity]])</f>
        <v>880000</v>
      </c>
      <c r="O27" s="16">
        <f>PRODUCT(Table_13[[#This Row],[Cost Price]],Table_13[[#This Row],[Quantity]])</f>
        <v>704000</v>
      </c>
      <c r="P27" s="27">
        <f t="shared" si="2"/>
        <v>176000</v>
      </c>
    </row>
    <row r="28" spans="1:16" x14ac:dyDescent="0.2">
      <c r="A28" s="33">
        <v>45702</v>
      </c>
      <c r="B28" s="30">
        <f t="shared" si="0"/>
        <v>2</v>
      </c>
      <c r="C28" s="30" t="str">
        <f>_xlfn.IFS(Table_13[[#This Row],[Month]]=1,"JAN",Table_13[[#This Row],[Month]]=2,"FEB",B28=3,"MAR",B28=4,"APR",B28=5,"MAY",B28=6,"JUN",B28=7,"JUL",B28=8,"AUG",Table_13[[#This Row],[Month]]=9,"SEPT",B28=10,"OCT",B28=11,"NOV",B28=12,"DEC")</f>
        <v>FEB</v>
      </c>
      <c r="D28" s="2" t="s">
        <v>11</v>
      </c>
      <c r="E28" s="2" t="s">
        <v>32</v>
      </c>
      <c r="F28" s="2" t="s">
        <v>23</v>
      </c>
      <c r="G28" s="2" t="s">
        <v>14</v>
      </c>
      <c r="H28" s="2" t="s">
        <v>36</v>
      </c>
      <c r="I28" s="2" t="s">
        <v>31</v>
      </c>
      <c r="J28" s="15">
        <v>150000</v>
      </c>
      <c r="K28" s="2">
        <v>7</v>
      </c>
      <c r="L28" s="2" t="s">
        <v>28</v>
      </c>
      <c r="M28" s="12">
        <f t="shared" si="1"/>
        <v>120000</v>
      </c>
      <c r="N28" s="10">
        <f>PRODUCT(Table_13[[#This Row],[Unit Price]],Table_13[[#This Row],[Quantity]])</f>
        <v>1050000</v>
      </c>
      <c r="O28" s="16">
        <f>PRODUCT(Table_13[[#This Row],[Cost Price]],Table_13[[#This Row],[Quantity]])</f>
        <v>840000</v>
      </c>
      <c r="P28" s="27">
        <f t="shared" si="2"/>
        <v>210000</v>
      </c>
    </row>
    <row r="29" spans="1:16" x14ac:dyDescent="0.2">
      <c r="A29" s="33">
        <v>45703</v>
      </c>
      <c r="B29" s="30">
        <f t="shared" si="0"/>
        <v>2</v>
      </c>
      <c r="C29" s="30" t="str">
        <f>_xlfn.IFS(Table_13[[#This Row],[Month]]=1,"JAN",Table_13[[#This Row],[Month]]=2,"FEB",B29=3,"MAR",B29=4,"APR",B29=5,"MAY",B29=6,"JUN",B29=7,"JUL",B29=8,"AUG",Table_13[[#This Row],[Month]]=9,"SEPT",B29=10,"OCT",B29=11,"NOV",B29=12,"DEC")</f>
        <v>FEB</v>
      </c>
      <c r="D29" s="2" t="s">
        <v>25</v>
      </c>
      <c r="E29" s="2" t="s">
        <v>26</v>
      </c>
      <c r="F29" s="2" t="s">
        <v>13</v>
      </c>
      <c r="G29" s="2" t="s">
        <v>14</v>
      </c>
      <c r="H29" s="2" t="s">
        <v>15</v>
      </c>
      <c r="I29" s="2" t="s">
        <v>16</v>
      </c>
      <c r="J29" s="15">
        <v>85000</v>
      </c>
      <c r="K29" s="2">
        <v>3</v>
      </c>
      <c r="L29" s="2" t="s">
        <v>35</v>
      </c>
      <c r="M29" s="12">
        <f t="shared" si="1"/>
        <v>68000</v>
      </c>
      <c r="N29" s="10">
        <f>PRODUCT(Table_13[[#This Row],[Unit Price]],Table_13[[#This Row],[Quantity]])</f>
        <v>255000</v>
      </c>
      <c r="O29" s="16">
        <f>PRODUCT(Table_13[[#This Row],[Cost Price]],Table_13[[#This Row],[Quantity]])</f>
        <v>204000</v>
      </c>
      <c r="P29" s="27">
        <f t="shared" si="2"/>
        <v>51000</v>
      </c>
    </row>
    <row r="30" spans="1:16" x14ac:dyDescent="0.2">
      <c r="A30" s="33">
        <v>45704</v>
      </c>
      <c r="B30" s="30">
        <f t="shared" si="0"/>
        <v>2</v>
      </c>
      <c r="C30" s="30" t="str">
        <f>_xlfn.IFS(Table_13[[#This Row],[Month]]=1,"JAN",Table_13[[#This Row],[Month]]=2,"FEB",B30=3,"MAR",B30=4,"APR",B30=5,"MAY",B30=6,"JUN",B30=7,"JUL",B30=8,"AUG",Table_13[[#This Row],[Month]]=9,"SEPT",B30=10,"OCT",B30=11,"NOV",B30=12,"DEC")</f>
        <v>FEB</v>
      </c>
      <c r="D30" s="2" t="s">
        <v>18</v>
      </c>
      <c r="E30" s="2" t="s">
        <v>12</v>
      </c>
      <c r="F30" s="2" t="s">
        <v>13</v>
      </c>
      <c r="G30" s="2" t="s">
        <v>20</v>
      </c>
      <c r="H30" s="2" t="s">
        <v>30</v>
      </c>
      <c r="I30" s="2" t="s">
        <v>31</v>
      </c>
      <c r="J30" s="15">
        <v>300000</v>
      </c>
      <c r="K30" s="2">
        <v>8</v>
      </c>
      <c r="L30" s="2" t="s">
        <v>39</v>
      </c>
      <c r="M30" s="12">
        <f t="shared" si="1"/>
        <v>240000</v>
      </c>
      <c r="N30" s="10">
        <f>PRODUCT(Table_13[[#This Row],[Unit Price]],Table_13[[#This Row],[Quantity]])</f>
        <v>2400000</v>
      </c>
      <c r="O30" s="16">
        <f>PRODUCT(Table_13[[#This Row],[Cost Price]],Table_13[[#This Row],[Quantity]])</f>
        <v>1920000</v>
      </c>
      <c r="P30" s="27">
        <f t="shared" si="2"/>
        <v>480000</v>
      </c>
    </row>
    <row r="31" spans="1:16" x14ac:dyDescent="0.2">
      <c r="A31" s="33">
        <v>45705</v>
      </c>
      <c r="B31" s="30">
        <f t="shared" si="0"/>
        <v>2</v>
      </c>
      <c r="C31" s="30" t="str">
        <f>_xlfn.IFS(Table_13[[#This Row],[Month]]=1,"JAN",Table_13[[#This Row],[Month]]=2,"FEB",B31=3,"MAR",B31=4,"APR",B31=5,"MAY",B31=6,"JUN",B31=7,"JUL",B31=8,"AUG",Table_13[[#This Row],[Month]]=9,"SEPT",B31=10,"OCT",B31=11,"NOV",B31=12,"DEC")</f>
        <v>FEB</v>
      </c>
      <c r="D31" s="2" t="s">
        <v>11</v>
      </c>
      <c r="E31" s="2" t="s">
        <v>19</v>
      </c>
      <c r="F31" s="2" t="s">
        <v>23</v>
      </c>
      <c r="G31" s="2" t="s">
        <v>14</v>
      </c>
      <c r="H31" s="2" t="s">
        <v>41</v>
      </c>
      <c r="I31" s="2" t="s">
        <v>22</v>
      </c>
      <c r="J31" s="15">
        <v>220000</v>
      </c>
      <c r="K31" s="2">
        <v>1</v>
      </c>
      <c r="L31" s="2" t="s">
        <v>24</v>
      </c>
      <c r="M31" s="12">
        <f t="shared" si="1"/>
        <v>176000</v>
      </c>
      <c r="N31" s="10">
        <f>PRODUCT(Table_13[[#This Row],[Unit Price]],Table_13[[#This Row],[Quantity]])</f>
        <v>220000</v>
      </c>
      <c r="O31" s="16">
        <f>PRODUCT(Table_13[[#This Row],[Cost Price]],Table_13[[#This Row],[Quantity]])</f>
        <v>176000</v>
      </c>
      <c r="P31" s="27">
        <f t="shared" si="2"/>
        <v>44000</v>
      </c>
    </row>
    <row r="32" spans="1:16" x14ac:dyDescent="0.2">
      <c r="A32" s="33">
        <v>45706</v>
      </c>
      <c r="B32" s="30">
        <f t="shared" si="0"/>
        <v>2</v>
      </c>
      <c r="C32" s="30" t="str">
        <f>_xlfn.IFS(Table_13[[#This Row],[Month]]=1,"JAN",Table_13[[#This Row],[Month]]=2,"FEB",B32=3,"MAR",B32=4,"APR",B32=5,"MAY",B32=6,"JUN",B32=7,"JUL",B32=8,"AUG",Table_13[[#This Row],[Month]]=9,"SEPT",B32=10,"OCT",B32=11,"NOV",B32=12,"DEC")</f>
        <v>FEB</v>
      </c>
      <c r="D32" s="2" t="s">
        <v>25</v>
      </c>
      <c r="E32" s="2" t="s">
        <v>32</v>
      </c>
      <c r="F32" s="2" t="s">
        <v>23</v>
      </c>
      <c r="G32" s="2" t="s">
        <v>14</v>
      </c>
      <c r="H32" s="2" t="s">
        <v>34</v>
      </c>
      <c r="I32" s="2" t="s">
        <v>16</v>
      </c>
      <c r="J32" s="15">
        <v>320000</v>
      </c>
      <c r="K32" s="2">
        <v>7</v>
      </c>
      <c r="L32" s="2" t="s">
        <v>39</v>
      </c>
      <c r="M32" s="12">
        <f t="shared" si="1"/>
        <v>256000</v>
      </c>
      <c r="N32" s="10">
        <f>PRODUCT(Table_13[[#This Row],[Unit Price]],Table_13[[#This Row],[Quantity]])</f>
        <v>2240000</v>
      </c>
      <c r="O32" s="16">
        <f>PRODUCT(Table_13[[#This Row],[Cost Price]],Table_13[[#This Row],[Quantity]])</f>
        <v>1792000</v>
      </c>
      <c r="P32" s="27">
        <f t="shared" si="2"/>
        <v>448000</v>
      </c>
    </row>
    <row r="33" spans="1:16" x14ac:dyDescent="0.2">
      <c r="A33" s="33">
        <v>45707</v>
      </c>
      <c r="B33" s="30">
        <f t="shared" si="0"/>
        <v>2</v>
      </c>
      <c r="C33" s="30" t="str">
        <f>_xlfn.IFS(Table_13[[#This Row],[Month]]=1,"JAN",Table_13[[#This Row],[Month]]=2,"FEB",B33=3,"MAR",B33=4,"APR",B33=5,"MAY",B33=6,"JUN",B33=7,"JUL",B33=8,"AUG",Table_13[[#This Row],[Month]]=9,"SEPT",B33=10,"OCT",B33=11,"NOV",B33=12,"DEC")</f>
        <v>FEB</v>
      </c>
      <c r="D33" s="2" t="s">
        <v>11</v>
      </c>
      <c r="E33" s="2" t="s">
        <v>32</v>
      </c>
      <c r="F33" s="2" t="s">
        <v>13</v>
      </c>
      <c r="G33" s="2" t="s">
        <v>20</v>
      </c>
      <c r="H33" s="2" t="s">
        <v>36</v>
      </c>
      <c r="I33" s="2" t="s">
        <v>31</v>
      </c>
      <c r="J33" s="15">
        <v>150000</v>
      </c>
      <c r="K33" s="2">
        <v>1</v>
      </c>
      <c r="L33" s="2" t="s">
        <v>17</v>
      </c>
      <c r="M33" s="12">
        <f t="shared" si="1"/>
        <v>120000</v>
      </c>
      <c r="N33" s="10">
        <f>PRODUCT(Table_13[[#This Row],[Unit Price]],Table_13[[#This Row],[Quantity]])</f>
        <v>150000</v>
      </c>
      <c r="O33" s="16">
        <f>PRODUCT(Table_13[[#This Row],[Cost Price]],Table_13[[#This Row],[Quantity]])</f>
        <v>120000</v>
      </c>
      <c r="P33" s="27">
        <f t="shared" si="2"/>
        <v>30000</v>
      </c>
    </row>
    <row r="34" spans="1:16" x14ac:dyDescent="0.2">
      <c r="A34" s="33">
        <v>45708</v>
      </c>
      <c r="B34" s="30">
        <f t="shared" si="0"/>
        <v>2</v>
      </c>
      <c r="C34" s="30" t="str">
        <f>_xlfn.IFS(Table_13[[#This Row],[Month]]=1,"JAN",Table_13[[#This Row],[Month]]=2,"FEB",B34=3,"MAR",B34=4,"APR",B34=5,"MAY",B34=6,"JUN",B34=7,"JUL",B34=8,"AUG",Table_13[[#This Row],[Month]]=9,"SEPT",B34=10,"OCT",B34=11,"NOV",B34=12,"DEC")</f>
        <v>FEB</v>
      </c>
      <c r="D34" s="2" t="s">
        <v>18</v>
      </c>
      <c r="E34" s="2" t="s">
        <v>26</v>
      </c>
      <c r="F34" s="2" t="s">
        <v>13</v>
      </c>
      <c r="G34" s="2" t="s">
        <v>14</v>
      </c>
      <c r="H34" s="2" t="s">
        <v>33</v>
      </c>
      <c r="I34" s="2" t="s">
        <v>22</v>
      </c>
      <c r="J34" s="15">
        <v>180000</v>
      </c>
      <c r="K34" s="2">
        <v>9</v>
      </c>
      <c r="L34" s="2" t="s">
        <v>39</v>
      </c>
      <c r="M34" s="12">
        <f t="shared" si="1"/>
        <v>144000</v>
      </c>
      <c r="N34" s="10">
        <f>PRODUCT(Table_13[[#This Row],[Unit Price]],Table_13[[#This Row],[Quantity]])</f>
        <v>1620000</v>
      </c>
      <c r="O34" s="16">
        <f>PRODUCT(Table_13[[#This Row],[Cost Price]],Table_13[[#This Row],[Quantity]])</f>
        <v>1296000</v>
      </c>
      <c r="P34" s="27">
        <f t="shared" si="2"/>
        <v>324000</v>
      </c>
    </row>
    <row r="35" spans="1:16" x14ac:dyDescent="0.2">
      <c r="A35" s="33">
        <v>45709</v>
      </c>
      <c r="B35" s="30">
        <f t="shared" si="0"/>
        <v>2</v>
      </c>
      <c r="C35" s="30" t="str">
        <f>_xlfn.IFS(Table_13[[#This Row],[Month]]=1,"JAN",Table_13[[#This Row],[Month]]=2,"FEB",B35=3,"MAR",B35=4,"APR",B35=5,"MAY",B35=6,"JUN",B35=7,"JUL",B35=8,"AUG",Table_13[[#This Row],[Month]]=9,"SEPT",B35=10,"OCT",B35=11,"NOV",B35=12,"DEC")</f>
        <v>FEB</v>
      </c>
      <c r="D35" s="2" t="s">
        <v>25</v>
      </c>
      <c r="E35" s="2" t="s">
        <v>26</v>
      </c>
      <c r="F35" s="2" t="s">
        <v>13</v>
      </c>
      <c r="G35" s="2" t="s">
        <v>14</v>
      </c>
      <c r="H35" s="2" t="s">
        <v>34</v>
      </c>
      <c r="I35" s="2" t="s">
        <v>16</v>
      </c>
      <c r="J35" s="15">
        <v>320000</v>
      </c>
      <c r="K35" s="2">
        <v>5</v>
      </c>
      <c r="L35" s="2" t="s">
        <v>39</v>
      </c>
      <c r="M35" s="12">
        <f t="shared" si="1"/>
        <v>256000</v>
      </c>
      <c r="N35" s="10">
        <f>PRODUCT(Table_13[[#This Row],[Unit Price]],Table_13[[#This Row],[Quantity]])</f>
        <v>1600000</v>
      </c>
      <c r="O35" s="16">
        <f>PRODUCT(Table_13[[#This Row],[Cost Price]],Table_13[[#This Row],[Quantity]])</f>
        <v>1280000</v>
      </c>
      <c r="P35" s="27">
        <f t="shared" si="2"/>
        <v>320000</v>
      </c>
    </row>
    <row r="36" spans="1:16" x14ac:dyDescent="0.2">
      <c r="A36" s="33">
        <v>45710</v>
      </c>
      <c r="B36" s="30">
        <f t="shared" si="0"/>
        <v>2</v>
      </c>
      <c r="C36" s="30" t="str">
        <f>_xlfn.IFS(Table_13[[#This Row],[Month]]=1,"JAN",Table_13[[#This Row],[Month]]=2,"FEB",B36=3,"MAR",B36=4,"APR",B36=5,"MAY",B36=6,"JUN",B36=7,"JUL",B36=8,"AUG",Table_13[[#This Row],[Month]]=9,"SEPT",B36=10,"OCT",B36=11,"NOV",B36=12,"DEC")</f>
        <v>FEB</v>
      </c>
      <c r="D36" s="2" t="s">
        <v>25</v>
      </c>
      <c r="E36" s="2" t="s">
        <v>26</v>
      </c>
      <c r="F36" s="2" t="s">
        <v>23</v>
      </c>
      <c r="G36" s="2" t="s">
        <v>20</v>
      </c>
      <c r="H36" s="2" t="s">
        <v>36</v>
      </c>
      <c r="I36" s="2" t="s">
        <v>31</v>
      </c>
      <c r="J36" s="15">
        <v>150000</v>
      </c>
      <c r="K36" s="2">
        <v>8</v>
      </c>
      <c r="L36" s="2" t="s">
        <v>37</v>
      </c>
      <c r="M36" s="12">
        <f t="shared" si="1"/>
        <v>120000</v>
      </c>
      <c r="N36" s="10">
        <f>PRODUCT(Table_13[[#This Row],[Unit Price]],Table_13[[#This Row],[Quantity]])</f>
        <v>1200000</v>
      </c>
      <c r="O36" s="16">
        <f>PRODUCT(Table_13[[#This Row],[Cost Price]],Table_13[[#This Row],[Quantity]])</f>
        <v>960000</v>
      </c>
      <c r="P36" s="27">
        <f t="shared" si="2"/>
        <v>240000</v>
      </c>
    </row>
    <row r="37" spans="1:16" x14ac:dyDescent="0.2">
      <c r="A37" s="33">
        <v>45711</v>
      </c>
      <c r="B37" s="30">
        <f t="shared" si="0"/>
        <v>2</v>
      </c>
      <c r="C37" s="30" t="str">
        <f>_xlfn.IFS(Table_13[[#This Row],[Month]]=1,"JAN",Table_13[[#This Row],[Month]]=2,"FEB",B37=3,"MAR",B37=4,"APR",B37=5,"MAY",B37=6,"JUN",B37=7,"JUL",B37=8,"AUG",Table_13[[#This Row],[Month]]=9,"SEPT",B37=10,"OCT",B37=11,"NOV",B37=12,"DEC")</f>
        <v>FEB</v>
      </c>
      <c r="D37" s="2" t="s">
        <v>11</v>
      </c>
      <c r="E37" s="2" t="s">
        <v>12</v>
      </c>
      <c r="F37" s="2" t="s">
        <v>23</v>
      </c>
      <c r="G37" s="2" t="s">
        <v>20</v>
      </c>
      <c r="H37" s="2" t="s">
        <v>15</v>
      </c>
      <c r="I37" s="2" t="s">
        <v>16</v>
      </c>
      <c r="J37" s="15">
        <v>85000</v>
      </c>
      <c r="K37" s="2">
        <v>7</v>
      </c>
      <c r="L37" s="2" t="s">
        <v>24</v>
      </c>
      <c r="M37" s="12">
        <f t="shared" si="1"/>
        <v>68000</v>
      </c>
      <c r="N37" s="10">
        <f>PRODUCT(Table_13[[#This Row],[Unit Price]],Table_13[[#This Row],[Quantity]])</f>
        <v>595000</v>
      </c>
      <c r="O37" s="16">
        <f>PRODUCT(Table_13[[#This Row],[Cost Price]],Table_13[[#This Row],[Quantity]])</f>
        <v>476000</v>
      </c>
      <c r="P37" s="27">
        <f t="shared" si="2"/>
        <v>119000</v>
      </c>
    </row>
    <row r="38" spans="1:16" x14ac:dyDescent="0.2">
      <c r="A38" s="33">
        <v>45712</v>
      </c>
      <c r="B38" s="30">
        <f t="shared" si="0"/>
        <v>2</v>
      </c>
      <c r="C38" s="30" t="str">
        <f>_xlfn.IFS(Table_13[[#This Row],[Month]]=1,"JAN",Table_13[[#This Row],[Month]]=2,"FEB",B38=3,"MAR",B38=4,"APR",B38=5,"MAY",B38=6,"JUN",B38=7,"JUL",B38=8,"AUG",Table_13[[#This Row],[Month]]=9,"SEPT",B38=10,"OCT",B38=11,"NOV",B38=12,"DEC")</f>
        <v>FEB</v>
      </c>
      <c r="D38" s="2" t="s">
        <v>25</v>
      </c>
      <c r="E38" s="2" t="s">
        <v>32</v>
      </c>
      <c r="F38" s="2" t="s">
        <v>23</v>
      </c>
      <c r="G38" s="2" t="s">
        <v>14</v>
      </c>
      <c r="H38" s="2" t="s">
        <v>34</v>
      </c>
      <c r="I38" s="2" t="s">
        <v>16</v>
      </c>
      <c r="J38" s="15">
        <v>320000</v>
      </c>
      <c r="K38" s="2">
        <v>6</v>
      </c>
      <c r="L38" s="2" t="s">
        <v>24</v>
      </c>
      <c r="M38" s="12">
        <f t="shared" si="1"/>
        <v>256000</v>
      </c>
      <c r="N38" s="10">
        <f>PRODUCT(Table_13[[#This Row],[Unit Price]],Table_13[[#This Row],[Quantity]])</f>
        <v>1920000</v>
      </c>
      <c r="O38" s="16">
        <f>PRODUCT(Table_13[[#This Row],[Cost Price]],Table_13[[#This Row],[Quantity]])</f>
        <v>1536000</v>
      </c>
      <c r="P38" s="27">
        <f t="shared" si="2"/>
        <v>384000</v>
      </c>
    </row>
    <row r="39" spans="1:16" x14ac:dyDescent="0.2">
      <c r="A39" s="33">
        <v>45713</v>
      </c>
      <c r="B39" s="30">
        <f t="shared" si="0"/>
        <v>2</v>
      </c>
      <c r="C39" s="30" t="str">
        <f>_xlfn.IFS(Table_13[[#This Row],[Month]]=1,"JAN",Table_13[[#This Row],[Month]]=2,"FEB",B39=3,"MAR",B39=4,"APR",B39=5,"MAY",B39=6,"JUN",B39=7,"JUL",B39=8,"AUG",Table_13[[#This Row],[Month]]=9,"SEPT",B39=10,"OCT",B39=11,"NOV",B39=12,"DEC")</f>
        <v>FEB</v>
      </c>
      <c r="D39" s="2" t="s">
        <v>11</v>
      </c>
      <c r="E39" s="2" t="s">
        <v>26</v>
      </c>
      <c r="F39" s="2" t="s">
        <v>13</v>
      </c>
      <c r="G39" s="2" t="s">
        <v>20</v>
      </c>
      <c r="H39" s="2" t="s">
        <v>38</v>
      </c>
      <c r="I39" s="2" t="s">
        <v>31</v>
      </c>
      <c r="J39" s="15">
        <v>420000</v>
      </c>
      <c r="K39" s="2">
        <v>8</v>
      </c>
      <c r="L39" s="2" t="s">
        <v>37</v>
      </c>
      <c r="M39" s="12">
        <f t="shared" si="1"/>
        <v>336000</v>
      </c>
      <c r="N39" s="10">
        <f>PRODUCT(Table_13[[#This Row],[Unit Price]],Table_13[[#This Row],[Quantity]])</f>
        <v>3360000</v>
      </c>
      <c r="O39" s="16">
        <f>PRODUCT(Table_13[[#This Row],[Cost Price]],Table_13[[#This Row],[Quantity]])</f>
        <v>2688000</v>
      </c>
      <c r="P39" s="27">
        <f t="shared" si="2"/>
        <v>672000</v>
      </c>
    </row>
    <row r="40" spans="1:16" x14ac:dyDescent="0.2">
      <c r="A40" s="33">
        <v>45714</v>
      </c>
      <c r="B40" s="30">
        <f t="shared" si="0"/>
        <v>2</v>
      </c>
      <c r="C40" s="30" t="str">
        <f>_xlfn.IFS(Table_13[[#This Row],[Month]]=1,"JAN",Table_13[[#This Row],[Month]]=2,"FEB",B40=3,"MAR",B40=4,"APR",B40=5,"MAY",B40=6,"JUN",B40=7,"JUL",B40=8,"AUG",Table_13[[#This Row],[Month]]=9,"SEPT",B40=10,"OCT",B40=11,"NOV",B40=12,"DEC")</f>
        <v>FEB</v>
      </c>
      <c r="D40" s="2" t="s">
        <v>25</v>
      </c>
      <c r="E40" s="2" t="s">
        <v>12</v>
      </c>
      <c r="F40" s="2" t="s">
        <v>23</v>
      </c>
      <c r="G40" s="2" t="s">
        <v>14</v>
      </c>
      <c r="H40" s="2" t="s">
        <v>30</v>
      </c>
      <c r="I40" s="2" t="s">
        <v>31</v>
      </c>
      <c r="J40" s="15">
        <v>300000</v>
      </c>
      <c r="K40" s="2">
        <v>7</v>
      </c>
      <c r="L40" s="2" t="s">
        <v>35</v>
      </c>
      <c r="M40" s="12">
        <f t="shared" si="1"/>
        <v>240000</v>
      </c>
      <c r="N40" s="10">
        <f>PRODUCT(Table_13[[#This Row],[Unit Price]],Table_13[[#This Row],[Quantity]])</f>
        <v>2100000</v>
      </c>
      <c r="O40" s="16">
        <f>PRODUCT(Table_13[[#This Row],[Cost Price]],Table_13[[#This Row],[Quantity]])</f>
        <v>1680000</v>
      </c>
      <c r="P40" s="27">
        <f t="shared" si="2"/>
        <v>420000</v>
      </c>
    </row>
    <row r="41" spans="1:16" x14ac:dyDescent="0.2">
      <c r="A41" s="33">
        <v>45715</v>
      </c>
      <c r="B41" s="30">
        <f t="shared" si="0"/>
        <v>2</v>
      </c>
      <c r="C41" s="30" t="str">
        <f>_xlfn.IFS(Table_13[[#This Row],[Month]]=1,"JAN",Table_13[[#This Row],[Month]]=2,"FEB",B41=3,"MAR",B41=4,"APR",B41=5,"MAY",B41=6,"JUN",B41=7,"JUL",B41=8,"AUG",Table_13[[#This Row],[Month]]=9,"SEPT",B41=10,"OCT",B41=11,"NOV",B41=12,"DEC")</f>
        <v>FEB</v>
      </c>
      <c r="D41" s="2" t="s">
        <v>11</v>
      </c>
      <c r="E41" s="2" t="s">
        <v>12</v>
      </c>
      <c r="F41" s="2" t="s">
        <v>13</v>
      </c>
      <c r="G41" s="2" t="s">
        <v>14</v>
      </c>
      <c r="H41" s="2" t="s">
        <v>21</v>
      </c>
      <c r="I41" s="2" t="s">
        <v>22</v>
      </c>
      <c r="J41" s="15">
        <v>30000</v>
      </c>
      <c r="K41" s="2">
        <v>6</v>
      </c>
      <c r="L41" s="2" t="s">
        <v>24</v>
      </c>
      <c r="M41" s="12">
        <f t="shared" si="1"/>
        <v>24000</v>
      </c>
      <c r="N41" s="10">
        <f>PRODUCT(Table_13[[#This Row],[Unit Price]],Table_13[[#This Row],[Quantity]])</f>
        <v>180000</v>
      </c>
      <c r="O41" s="16">
        <f>PRODUCT(Table_13[[#This Row],[Cost Price]],Table_13[[#This Row],[Quantity]])</f>
        <v>144000</v>
      </c>
      <c r="P41" s="27">
        <f t="shared" si="2"/>
        <v>36000</v>
      </c>
    </row>
    <row r="42" spans="1:16" x14ac:dyDescent="0.2">
      <c r="A42" s="33">
        <v>45716</v>
      </c>
      <c r="B42" s="30">
        <f t="shared" si="0"/>
        <v>2</v>
      </c>
      <c r="C42" s="30" t="str">
        <f>_xlfn.IFS(Table_13[[#This Row],[Month]]=1,"JAN",Table_13[[#This Row],[Month]]=2,"FEB",B42=3,"MAR",B42=4,"APR",B42=5,"MAY",B42=6,"JUN",B42=7,"JUL",B42=8,"AUG",Table_13[[#This Row],[Month]]=9,"SEPT",B42=10,"OCT",B42=11,"NOV",B42=12,"DEC")</f>
        <v>FEB</v>
      </c>
      <c r="D42" s="2" t="s">
        <v>11</v>
      </c>
      <c r="E42" s="2" t="s">
        <v>12</v>
      </c>
      <c r="F42" s="2" t="s">
        <v>23</v>
      </c>
      <c r="G42" s="2" t="s">
        <v>20</v>
      </c>
      <c r="H42" s="2" t="s">
        <v>41</v>
      </c>
      <c r="I42" s="2" t="s">
        <v>22</v>
      </c>
      <c r="J42" s="15">
        <v>220000</v>
      </c>
      <c r="K42" s="2">
        <v>2</v>
      </c>
      <c r="L42" s="2" t="s">
        <v>35</v>
      </c>
      <c r="M42" s="12">
        <f t="shared" si="1"/>
        <v>176000</v>
      </c>
      <c r="N42" s="10">
        <f>PRODUCT(Table_13[[#This Row],[Unit Price]],Table_13[[#This Row],[Quantity]])</f>
        <v>440000</v>
      </c>
      <c r="O42" s="16">
        <f>PRODUCT(Table_13[[#This Row],[Cost Price]],Table_13[[#This Row],[Quantity]])</f>
        <v>352000</v>
      </c>
      <c r="P42" s="27">
        <f t="shared" si="2"/>
        <v>88000</v>
      </c>
    </row>
    <row r="43" spans="1:16" x14ac:dyDescent="0.2">
      <c r="A43" s="33">
        <v>45717</v>
      </c>
      <c r="B43" s="30">
        <f t="shared" si="0"/>
        <v>3</v>
      </c>
      <c r="C43" s="30" t="str">
        <f>_xlfn.IFS(Table_13[[#This Row],[Month]]=1,"JAN",Table_13[[#This Row],[Month]]=2,"FEB",B43=3,"MAR",B43=4,"APR",B43=5,"MAY",B43=6,"JUN",B43=7,"JUL",B43=8,"AUG",Table_13[[#This Row],[Month]]=9,"SEPT",B43=10,"OCT",B43=11,"NOV",B43=12,"DEC")</f>
        <v>MAR</v>
      </c>
      <c r="D43" s="2" t="s">
        <v>11</v>
      </c>
      <c r="E43" s="2" t="s">
        <v>32</v>
      </c>
      <c r="F43" s="2" t="s">
        <v>13</v>
      </c>
      <c r="G43" s="2" t="s">
        <v>14</v>
      </c>
      <c r="H43" s="2" t="s">
        <v>36</v>
      </c>
      <c r="I43" s="2" t="s">
        <v>31</v>
      </c>
      <c r="J43" s="15">
        <v>150000</v>
      </c>
      <c r="K43" s="2">
        <v>1</v>
      </c>
      <c r="L43" s="2" t="s">
        <v>24</v>
      </c>
      <c r="M43" s="12">
        <f t="shared" si="1"/>
        <v>120000</v>
      </c>
      <c r="N43" s="10">
        <f>PRODUCT(Table_13[[#This Row],[Unit Price]],Table_13[[#This Row],[Quantity]])</f>
        <v>150000</v>
      </c>
      <c r="O43" s="16">
        <f>PRODUCT(Table_13[[#This Row],[Cost Price]],Table_13[[#This Row],[Quantity]])</f>
        <v>120000</v>
      </c>
      <c r="P43" s="27">
        <f t="shared" si="2"/>
        <v>30000</v>
      </c>
    </row>
    <row r="44" spans="1:16" x14ac:dyDescent="0.2">
      <c r="A44" s="33">
        <v>45718</v>
      </c>
      <c r="B44" s="30">
        <f t="shared" si="0"/>
        <v>3</v>
      </c>
      <c r="C44" s="30" t="str">
        <f>_xlfn.IFS(Table_13[[#This Row],[Month]]=1,"JAN",Table_13[[#This Row],[Month]]=2,"FEB",B44=3,"MAR",B44=4,"APR",B44=5,"MAY",B44=6,"JUN",B44=7,"JUL",B44=8,"AUG",Table_13[[#This Row],[Month]]=9,"SEPT",B44=10,"OCT",B44=11,"NOV",B44=12,"DEC")</f>
        <v>MAR</v>
      </c>
      <c r="D44" s="2" t="s">
        <v>29</v>
      </c>
      <c r="E44" s="2" t="s">
        <v>19</v>
      </c>
      <c r="F44" s="2" t="s">
        <v>13</v>
      </c>
      <c r="G44" s="2" t="s">
        <v>20</v>
      </c>
      <c r="H44" s="2" t="s">
        <v>34</v>
      </c>
      <c r="I44" s="2" t="s">
        <v>16</v>
      </c>
      <c r="J44" s="15">
        <v>320000</v>
      </c>
      <c r="K44" s="2">
        <v>1</v>
      </c>
      <c r="L44" s="2" t="s">
        <v>39</v>
      </c>
      <c r="M44" s="12">
        <f t="shared" si="1"/>
        <v>256000</v>
      </c>
      <c r="N44" s="10">
        <f>PRODUCT(Table_13[[#This Row],[Unit Price]],Table_13[[#This Row],[Quantity]])</f>
        <v>320000</v>
      </c>
      <c r="O44" s="16">
        <f>PRODUCT(Table_13[[#This Row],[Cost Price]],Table_13[[#This Row],[Quantity]])</f>
        <v>256000</v>
      </c>
      <c r="P44" s="27">
        <f t="shared" si="2"/>
        <v>64000</v>
      </c>
    </row>
    <row r="45" spans="1:16" x14ac:dyDescent="0.2">
      <c r="A45" s="33">
        <v>45719</v>
      </c>
      <c r="B45" s="30">
        <f t="shared" si="0"/>
        <v>3</v>
      </c>
      <c r="C45" s="30" t="str">
        <f>_xlfn.IFS(Table_13[[#This Row],[Month]]=1,"JAN",Table_13[[#This Row],[Month]]=2,"FEB",B45=3,"MAR",B45=4,"APR",B45=5,"MAY",B45=6,"JUN",B45=7,"JUL",B45=8,"AUG",Table_13[[#This Row],[Month]]=9,"SEPT",B45=10,"OCT",B45=11,"NOV",B45=12,"DEC")</f>
        <v>MAR</v>
      </c>
      <c r="D45" s="2" t="s">
        <v>29</v>
      </c>
      <c r="E45" s="2" t="s">
        <v>32</v>
      </c>
      <c r="F45" s="2" t="s">
        <v>23</v>
      </c>
      <c r="G45" s="2" t="s">
        <v>20</v>
      </c>
      <c r="H45" s="2" t="s">
        <v>21</v>
      </c>
      <c r="I45" s="2" t="s">
        <v>22</v>
      </c>
      <c r="J45" s="15">
        <v>30000</v>
      </c>
      <c r="K45" s="2">
        <v>3</v>
      </c>
      <c r="L45" s="2" t="s">
        <v>24</v>
      </c>
      <c r="M45" s="12">
        <f t="shared" si="1"/>
        <v>24000</v>
      </c>
      <c r="N45" s="10">
        <f>PRODUCT(Table_13[[#This Row],[Unit Price]],Table_13[[#This Row],[Quantity]])</f>
        <v>90000</v>
      </c>
      <c r="O45" s="16">
        <f>PRODUCT(Table_13[[#This Row],[Cost Price]],Table_13[[#This Row],[Quantity]])</f>
        <v>72000</v>
      </c>
      <c r="P45" s="27">
        <f t="shared" si="2"/>
        <v>18000</v>
      </c>
    </row>
    <row r="46" spans="1:16" x14ac:dyDescent="0.2">
      <c r="A46" s="33">
        <v>45720</v>
      </c>
      <c r="B46" s="30">
        <f t="shared" si="0"/>
        <v>3</v>
      </c>
      <c r="C46" s="30" t="str">
        <f>_xlfn.IFS(Table_13[[#This Row],[Month]]=1,"JAN",Table_13[[#This Row],[Month]]=2,"FEB",B46=3,"MAR",B46=4,"APR",B46=5,"MAY",B46=6,"JUN",B46=7,"JUL",B46=8,"AUG",Table_13[[#This Row],[Month]]=9,"SEPT",B46=10,"OCT",B46=11,"NOV",B46=12,"DEC")</f>
        <v>MAR</v>
      </c>
      <c r="D46" s="2" t="s">
        <v>11</v>
      </c>
      <c r="E46" s="2" t="s">
        <v>12</v>
      </c>
      <c r="F46" s="2" t="s">
        <v>23</v>
      </c>
      <c r="G46" s="2" t="s">
        <v>14</v>
      </c>
      <c r="H46" s="2" t="s">
        <v>27</v>
      </c>
      <c r="I46" s="2" t="s">
        <v>22</v>
      </c>
      <c r="J46" s="15">
        <v>60000</v>
      </c>
      <c r="K46" s="2">
        <v>5</v>
      </c>
      <c r="L46" s="2" t="s">
        <v>28</v>
      </c>
      <c r="M46" s="12">
        <f t="shared" si="1"/>
        <v>48000</v>
      </c>
      <c r="N46" s="10">
        <f>PRODUCT(Table_13[[#This Row],[Unit Price]],Table_13[[#This Row],[Quantity]])</f>
        <v>300000</v>
      </c>
      <c r="O46" s="16">
        <f>PRODUCT(Table_13[[#This Row],[Cost Price]],Table_13[[#This Row],[Quantity]])</f>
        <v>240000</v>
      </c>
      <c r="P46" s="27">
        <f t="shared" si="2"/>
        <v>60000</v>
      </c>
    </row>
    <row r="47" spans="1:16" x14ac:dyDescent="0.2">
      <c r="A47" s="33">
        <v>45721</v>
      </c>
      <c r="B47" s="30">
        <f t="shared" si="0"/>
        <v>3</v>
      </c>
      <c r="C47" s="30" t="str">
        <f>_xlfn.IFS(Table_13[[#This Row],[Month]]=1,"JAN",Table_13[[#This Row],[Month]]=2,"FEB",B47=3,"MAR",B47=4,"APR",B47=5,"MAY",B47=6,"JUN",B47=7,"JUL",B47=8,"AUG",Table_13[[#This Row],[Month]]=9,"SEPT",B47=10,"OCT",B47=11,"NOV",B47=12,"DEC")</f>
        <v>MAR</v>
      </c>
      <c r="D47" s="2" t="s">
        <v>18</v>
      </c>
      <c r="E47" s="2" t="s">
        <v>26</v>
      </c>
      <c r="F47" s="2" t="s">
        <v>23</v>
      </c>
      <c r="G47" s="2" t="s">
        <v>14</v>
      </c>
      <c r="H47" s="2" t="s">
        <v>36</v>
      </c>
      <c r="I47" s="2" t="s">
        <v>31</v>
      </c>
      <c r="J47" s="15">
        <v>150000</v>
      </c>
      <c r="K47" s="2">
        <v>3</v>
      </c>
      <c r="L47" s="2" t="s">
        <v>28</v>
      </c>
      <c r="M47" s="12">
        <f t="shared" si="1"/>
        <v>120000</v>
      </c>
      <c r="N47" s="10">
        <f>PRODUCT(Table_13[[#This Row],[Unit Price]],Table_13[[#This Row],[Quantity]])</f>
        <v>450000</v>
      </c>
      <c r="O47" s="16">
        <f>PRODUCT(Table_13[[#This Row],[Cost Price]],Table_13[[#This Row],[Quantity]])</f>
        <v>360000</v>
      </c>
      <c r="P47" s="27">
        <f t="shared" si="2"/>
        <v>90000</v>
      </c>
    </row>
    <row r="48" spans="1:16" x14ac:dyDescent="0.2">
      <c r="A48" s="33">
        <v>45722</v>
      </c>
      <c r="B48" s="30">
        <f t="shared" si="0"/>
        <v>3</v>
      </c>
      <c r="C48" s="30" t="str">
        <f>_xlfn.IFS(Table_13[[#This Row],[Month]]=1,"JAN",Table_13[[#This Row],[Month]]=2,"FEB",B48=3,"MAR",B48=4,"APR",B48=5,"MAY",B48=6,"JUN",B48=7,"JUL",B48=8,"AUG",Table_13[[#This Row],[Month]]=9,"SEPT",B48=10,"OCT",B48=11,"NOV",B48=12,"DEC")</f>
        <v>MAR</v>
      </c>
      <c r="D48" s="2" t="s">
        <v>18</v>
      </c>
      <c r="E48" s="2" t="s">
        <v>19</v>
      </c>
      <c r="F48" s="2" t="s">
        <v>13</v>
      </c>
      <c r="G48" s="2" t="s">
        <v>14</v>
      </c>
      <c r="H48" s="2" t="s">
        <v>34</v>
      </c>
      <c r="I48" s="2" t="s">
        <v>16</v>
      </c>
      <c r="J48" s="15">
        <v>320000</v>
      </c>
      <c r="K48" s="2">
        <v>10</v>
      </c>
      <c r="L48" s="2" t="s">
        <v>28</v>
      </c>
      <c r="M48" s="12">
        <f t="shared" si="1"/>
        <v>256000</v>
      </c>
      <c r="N48" s="10">
        <f>PRODUCT(Table_13[[#This Row],[Unit Price]],Table_13[[#This Row],[Quantity]])</f>
        <v>3200000</v>
      </c>
      <c r="O48" s="16">
        <f>PRODUCT(Table_13[[#This Row],[Cost Price]],Table_13[[#This Row],[Quantity]])</f>
        <v>2560000</v>
      </c>
      <c r="P48" s="27">
        <f t="shared" si="2"/>
        <v>640000</v>
      </c>
    </row>
    <row r="49" spans="1:16" x14ac:dyDescent="0.2">
      <c r="A49" s="33">
        <v>45723</v>
      </c>
      <c r="B49" s="30">
        <f t="shared" si="0"/>
        <v>3</v>
      </c>
      <c r="C49" s="30" t="str">
        <f>_xlfn.IFS(Table_13[[#This Row],[Month]]=1,"JAN",Table_13[[#This Row],[Month]]=2,"FEB",B49=3,"MAR",B49=4,"APR",B49=5,"MAY",B49=6,"JUN",B49=7,"JUL",B49=8,"AUG",Table_13[[#This Row],[Month]]=9,"SEPT",B49=10,"OCT",B49=11,"NOV",B49=12,"DEC")</f>
        <v>MAR</v>
      </c>
      <c r="D49" s="2" t="s">
        <v>18</v>
      </c>
      <c r="E49" s="2" t="s">
        <v>12</v>
      </c>
      <c r="F49" s="2" t="s">
        <v>23</v>
      </c>
      <c r="G49" s="2" t="s">
        <v>14</v>
      </c>
      <c r="H49" s="2" t="s">
        <v>41</v>
      </c>
      <c r="I49" s="2" t="s">
        <v>22</v>
      </c>
      <c r="J49" s="15">
        <v>220000</v>
      </c>
      <c r="K49" s="2">
        <v>6</v>
      </c>
      <c r="L49" s="2" t="s">
        <v>17</v>
      </c>
      <c r="M49" s="12">
        <f t="shared" si="1"/>
        <v>176000</v>
      </c>
      <c r="N49" s="10">
        <f>PRODUCT(Table_13[[#This Row],[Unit Price]],Table_13[[#This Row],[Quantity]])</f>
        <v>1320000</v>
      </c>
      <c r="O49" s="16">
        <f>PRODUCT(Table_13[[#This Row],[Cost Price]],Table_13[[#This Row],[Quantity]])</f>
        <v>1056000</v>
      </c>
      <c r="P49" s="27">
        <f t="shared" si="2"/>
        <v>264000</v>
      </c>
    </row>
    <row r="50" spans="1:16" x14ac:dyDescent="0.2">
      <c r="A50" s="33">
        <v>45724</v>
      </c>
      <c r="B50" s="30">
        <f t="shared" si="0"/>
        <v>3</v>
      </c>
      <c r="C50" s="30" t="str">
        <f>_xlfn.IFS(Table_13[[#This Row],[Month]]=1,"JAN",Table_13[[#This Row],[Month]]=2,"FEB",B50=3,"MAR",B50=4,"APR",B50=5,"MAY",B50=6,"JUN",B50=7,"JUL",B50=8,"AUG",Table_13[[#This Row],[Month]]=9,"SEPT",B50=10,"OCT",B50=11,"NOV",B50=12,"DEC")</f>
        <v>MAR</v>
      </c>
      <c r="D50" s="2" t="s">
        <v>11</v>
      </c>
      <c r="E50" s="2" t="s">
        <v>32</v>
      </c>
      <c r="F50" s="2" t="s">
        <v>23</v>
      </c>
      <c r="G50" s="2" t="s">
        <v>14</v>
      </c>
      <c r="H50" s="2" t="s">
        <v>33</v>
      </c>
      <c r="I50" s="2" t="s">
        <v>22</v>
      </c>
      <c r="J50" s="15">
        <v>180000</v>
      </c>
      <c r="K50" s="2">
        <v>8</v>
      </c>
      <c r="L50" s="2" t="s">
        <v>28</v>
      </c>
      <c r="M50" s="12">
        <f t="shared" si="1"/>
        <v>144000</v>
      </c>
      <c r="N50" s="10">
        <f>PRODUCT(Table_13[[#This Row],[Unit Price]],Table_13[[#This Row],[Quantity]])</f>
        <v>1440000</v>
      </c>
      <c r="O50" s="16">
        <f>PRODUCT(Table_13[[#This Row],[Cost Price]],Table_13[[#This Row],[Quantity]])</f>
        <v>1152000</v>
      </c>
      <c r="P50" s="27">
        <f t="shared" si="2"/>
        <v>288000</v>
      </c>
    </row>
    <row r="51" spans="1:16" x14ac:dyDescent="0.2">
      <c r="A51" s="33">
        <v>45725</v>
      </c>
      <c r="B51" s="30">
        <f t="shared" si="0"/>
        <v>3</v>
      </c>
      <c r="C51" s="30" t="str">
        <f>_xlfn.IFS(Table_13[[#This Row],[Month]]=1,"JAN",Table_13[[#This Row],[Month]]=2,"FEB",B51=3,"MAR",B51=4,"APR",B51=5,"MAY",B51=6,"JUN",B51=7,"JUL",B51=8,"AUG",Table_13[[#This Row],[Month]]=9,"SEPT",B51=10,"OCT",B51=11,"NOV",B51=12,"DEC")</f>
        <v>MAR</v>
      </c>
      <c r="D51" s="2" t="s">
        <v>11</v>
      </c>
      <c r="E51" s="2" t="s">
        <v>26</v>
      </c>
      <c r="F51" s="2" t="s">
        <v>13</v>
      </c>
      <c r="G51" s="2" t="s">
        <v>20</v>
      </c>
      <c r="H51" s="2" t="s">
        <v>34</v>
      </c>
      <c r="I51" s="2" t="s">
        <v>16</v>
      </c>
      <c r="J51" s="15">
        <v>320000</v>
      </c>
      <c r="K51" s="2">
        <v>2</v>
      </c>
      <c r="L51" s="2" t="s">
        <v>24</v>
      </c>
      <c r="M51" s="12">
        <f t="shared" si="1"/>
        <v>256000</v>
      </c>
      <c r="N51" s="10">
        <f>PRODUCT(Table_13[[#This Row],[Unit Price]],Table_13[[#This Row],[Quantity]])</f>
        <v>640000</v>
      </c>
      <c r="O51" s="16">
        <f>PRODUCT(Table_13[[#This Row],[Cost Price]],Table_13[[#This Row],[Quantity]])</f>
        <v>512000</v>
      </c>
      <c r="P51" s="27">
        <f t="shared" si="2"/>
        <v>128000</v>
      </c>
    </row>
    <row r="52" spans="1:16" x14ac:dyDescent="0.2">
      <c r="A52" s="33">
        <v>45726</v>
      </c>
      <c r="B52" s="30">
        <f t="shared" si="0"/>
        <v>3</v>
      </c>
      <c r="C52" s="30" t="str">
        <f>_xlfn.IFS(Table_13[[#This Row],[Month]]=1,"JAN",Table_13[[#This Row],[Month]]=2,"FEB",B52=3,"MAR",B52=4,"APR",B52=5,"MAY",B52=6,"JUN",B52=7,"JUL",B52=8,"AUG",Table_13[[#This Row],[Month]]=9,"SEPT",B52=10,"OCT",B52=11,"NOV",B52=12,"DEC")</f>
        <v>MAR</v>
      </c>
      <c r="D52" s="2" t="s">
        <v>11</v>
      </c>
      <c r="E52" s="2" t="s">
        <v>19</v>
      </c>
      <c r="F52" s="2" t="s">
        <v>13</v>
      </c>
      <c r="G52" s="2" t="s">
        <v>20</v>
      </c>
      <c r="H52" s="2" t="s">
        <v>30</v>
      </c>
      <c r="I52" s="2" t="s">
        <v>31</v>
      </c>
      <c r="J52" s="15">
        <v>300000</v>
      </c>
      <c r="K52" s="2">
        <v>9</v>
      </c>
      <c r="L52" s="2" t="s">
        <v>35</v>
      </c>
      <c r="M52" s="12">
        <f t="shared" si="1"/>
        <v>240000</v>
      </c>
      <c r="N52" s="10">
        <f>PRODUCT(Table_13[[#This Row],[Unit Price]],Table_13[[#This Row],[Quantity]])</f>
        <v>2700000</v>
      </c>
      <c r="O52" s="16">
        <f>PRODUCT(Table_13[[#This Row],[Cost Price]],Table_13[[#This Row],[Quantity]])</f>
        <v>2160000</v>
      </c>
      <c r="P52" s="27">
        <f t="shared" si="2"/>
        <v>540000</v>
      </c>
    </row>
    <row r="53" spans="1:16" x14ac:dyDescent="0.2">
      <c r="A53" s="33">
        <v>45727</v>
      </c>
      <c r="B53" s="30">
        <f t="shared" si="0"/>
        <v>3</v>
      </c>
      <c r="C53" s="30" t="str">
        <f>_xlfn.IFS(Table_13[[#This Row],[Month]]=1,"JAN",Table_13[[#This Row],[Month]]=2,"FEB",B53=3,"MAR",B53=4,"APR",B53=5,"MAY",B53=6,"JUN",B53=7,"JUL",B53=8,"AUG",Table_13[[#This Row],[Month]]=9,"SEPT",B53=10,"OCT",B53=11,"NOV",B53=12,"DEC")</f>
        <v>MAR</v>
      </c>
      <c r="D53" s="2" t="s">
        <v>29</v>
      </c>
      <c r="E53" s="2" t="s">
        <v>26</v>
      </c>
      <c r="F53" s="2" t="s">
        <v>13</v>
      </c>
      <c r="G53" s="2" t="s">
        <v>20</v>
      </c>
      <c r="H53" s="2" t="s">
        <v>38</v>
      </c>
      <c r="I53" s="2" t="s">
        <v>31</v>
      </c>
      <c r="J53" s="15">
        <v>420000</v>
      </c>
      <c r="K53" s="2">
        <v>1</v>
      </c>
      <c r="L53" s="2" t="s">
        <v>35</v>
      </c>
      <c r="M53" s="12">
        <f t="shared" si="1"/>
        <v>336000</v>
      </c>
      <c r="N53" s="10">
        <f>PRODUCT(Table_13[[#This Row],[Unit Price]],Table_13[[#This Row],[Quantity]])</f>
        <v>420000</v>
      </c>
      <c r="O53" s="16">
        <f>PRODUCT(Table_13[[#This Row],[Cost Price]],Table_13[[#This Row],[Quantity]])</f>
        <v>336000</v>
      </c>
      <c r="P53" s="27">
        <f t="shared" si="2"/>
        <v>84000</v>
      </c>
    </row>
    <row r="54" spans="1:16" x14ac:dyDescent="0.2">
      <c r="A54" s="33">
        <v>45728</v>
      </c>
      <c r="B54" s="30">
        <f t="shared" si="0"/>
        <v>3</v>
      </c>
      <c r="C54" s="30" t="str">
        <f>_xlfn.IFS(Table_13[[#This Row],[Month]]=1,"JAN",Table_13[[#This Row],[Month]]=2,"FEB",B54=3,"MAR",B54=4,"APR",B54=5,"MAY",B54=6,"JUN",B54=7,"JUL",B54=8,"AUG",Table_13[[#This Row],[Month]]=9,"SEPT",B54=10,"OCT",B54=11,"NOV",B54=12,"DEC")</f>
        <v>MAR</v>
      </c>
      <c r="D54" s="2" t="s">
        <v>18</v>
      </c>
      <c r="E54" s="2" t="s">
        <v>26</v>
      </c>
      <c r="F54" s="2" t="s">
        <v>13</v>
      </c>
      <c r="G54" s="2" t="s">
        <v>14</v>
      </c>
      <c r="H54" s="2" t="s">
        <v>27</v>
      </c>
      <c r="I54" s="2" t="s">
        <v>22</v>
      </c>
      <c r="J54" s="15">
        <v>60000</v>
      </c>
      <c r="K54" s="2">
        <v>1</v>
      </c>
      <c r="L54" s="2" t="s">
        <v>28</v>
      </c>
      <c r="M54" s="12">
        <f t="shared" si="1"/>
        <v>48000</v>
      </c>
      <c r="N54" s="10">
        <f>PRODUCT(Table_13[[#This Row],[Unit Price]],Table_13[[#This Row],[Quantity]])</f>
        <v>60000</v>
      </c>
      <c r="O54" s="16">
        <f>PRODUCT(Table_13[[#This Row],[Cost Price]],Table_13[[#This Row],[Quantity]])</f>
        <v>48000</v>
      </c>
      <c r="P54" s="27">
        <f t="shared" si="2"/>
        <v>12000</v>
      </c>
    </row>
    <row r="55" spans="1:16" x14ac:dyDescent="0.2">
      <c r="A55" s="33">
        <v>45729</v>
      </c>
      <c r="B55" s="30">
        <f t="shared" si="0"/>
        <v>3</v>
      </c>
      <c r="C55" s="30" t="str">
        <f>_xlfn.IFS(Table_13[[#This Row],[Month]]=1,"JAN",Table_13[[#This Row],[Month]]=2,"FEB",B55=3,"MAR",B55=4,"APR",B55=5,"MAY",B55=6,"JUN",B55=7,"JUL",B55=8,"AUG",Table_13[[#This Row],[Month]]=9,"SEPT",B55=10,"OCT",B55=11,"NOV",B55=12,"DEC")</f>
        <v>MAR</v>
      </c>
      <c r="D55" s="2" t="s">
        <v>18</v>
      </c>
      <c r="E55" s="2" t="s">
        <v>19</v>
      </c>
      <c r="F55" s="2" t="s">
        <v>23</v>
      </c>
      <c r="G55" s="2" t="s">
        <v>20</v>
      </c>
      <c r="H55" s="2" t="s">
        <v>30</v>
      </c>
      <c r="I55" s="2" t="s">
        <v>31</v>
      </c>
      <c r="J55" s="15">
        <v>300000</v>
      </c>
      <c r="K55" s="2">
        <v>9</v>
      </c>
      <c r="L55" s="2" t="s">
        <v>35</v>
      </c>
      <c r="M55" s="12">
        <f t="shared" si="1"/>
        <v>240000</v>
      </c>
      <c r="N55" s="10">
        <f>PRODUCT(Table_13[[#This Row],[Unit Price]],Table_13[[#This Row],[Quantity]])</f>
        <v>2700000</v>
      </c>
      <c r="O55" s="16">
        <f>PRODUCT(Table_13[[#This Row],[Cost Price]],Table_13[[#This Row],[Quantity]])</f>
        <v>2160000</v>
      </c>
      <c r="P55" s="27">
        <f t="shared" si="2"/>
        <v>540000</v>
      </c>
    </row>
    <row r="56" spans="1:16" x14ac:dyDescent="0.2">
      <c r="A56" s="33">
        <v>45730</v>
      </c>
      <c r="B56" s="30">
        <f t="shared" si="0"/>
        <v>3</v>
      </c>
      <c r="C56" s="30" t="str">
        <f>_xlfn.IFS(Table_13[[#This Row],[Month]]=1,"JAN",Table_13[[#This Row],[Month]]=2,"FEB",B56=3,"MAR",B56=4,"APR",B56=5,"MAY",B56=6,"JUN",B56=7,"JUL",B56=8,"AUG",Table_13[[#This Row],[Month]]=9,"SEPT",B56=10,"OCT",B56=11,"NOV",B56=12,"DEC")</f>
        <v>MAR</v>
      </c>
      <c r="D56" s="2" t="s">
        <v>11</v>
      </c>
      <c r="E56" s="2" t="s">
        <v>26</v>
      </c>
      <c r="F56" s="2" t="s">
        <v>23</v>
      </c>
      <c r="G56" s="2" t="s">
        <v>14</v>
      </c>
      <c r="H56" s="2" t="s">
        <v>38</v>
      </c>
      <c r="I56" s="2" t="s">
        <v>31</v>
      </c>
      <c r="J56" s="15">
        <v>420000</v>
      </c>
      <c r="K56" s="2">
        <v>9</v>
      </c>
      <c r="L56" s="2" t="s">
        <v>24</v>
      </c>
      <c r="M56" s="12">
        <f t="shared" si="1"/>
        <v>336000</v>
      </c>
      <c r="N56" s="10">
        <f>PRODUCT(Table_13[[#This Row],[Unit Price]],Table_13[[#This Row],[Quantity]])</f>
        <v>3780000</v>
      </c>
      <c r="O56" s="16">
        <f>PRODUCT(Table_13[[#This Row],[Cost Price]],Table_13[[#This Row],[Quantity]])</f>
        <v>3024000</v>
      </c>
      <c r="P56" s="27">
        <f t="shared" si="2"/>
        <v>756000</v>
      </c>
    </row>
    <row r="57" spans="1:16" x14ac:dyDescent="0.2">
      <c r="A57" s="33">
        <v>45731</v>
      </c>
      <c r="B57" s="30">
        <f t="shared" si="0"/>
        <v>3</v>
      </c>
      <c r="C57" s="30" t="str">
        <f>_xlfn.IFS(Table_13[[#This Row],[Month]]=1,"JAN",Table_13[[#This Row],[Month]]=2,"FEB",B57=3,"MAR",B57=4,"APR",B57=5,"MAY",B57=6,"JUN",B57=7,"JUL",B57=8,"AUG",Table_13[[#This Row],[Month]]=9,"SEPT",B57=10,"OCT",B57=11,"NOV",B57=12,"DEC")</f>
        <v>MAR</v>
      </c>
      <c r="D57" s="2" t="s">
        <v>18</v>
      </c>
      <c r="E57" s="2" t="s">
        <v>19</v>
      </c>
      <c r="F57" s="2" t="s">
        <v>13</v>
      </c>
      <c r="G57" s="2" t="s">
        <v>14</v>
      </c>
      <c r="H57" s="2" t="s">
        <v>41</v>
      </c>
      <c r="I57" s="2" t="s">
        <v>22</v>
      </c>
      <c r="J57" s="15">
        <v>220000</v>
      </c>
      <c r="K57" s="2">
        <v>8</v>
      </c>
      <c r="L57" s="2" t="s">
        <v>37</v>
      </c>
      <c r="M57" s="12">
        <f t="shared" si="1"/>
        <v>176000</v>
      </c>
      <c r="N57" s="10">
        <f>PRODUCT(Table_13[[#This Row],[Unit Price]],Table_13[[#This Row],[Quantity]])</f>
        <v>1760000</v>
      </c>
      <c r="O57" s="16">
        <f>PRODUCT(Table_13[[#This Row],[Cost Price]],Table_13[[#This Row],[Quantity]])</f>
        <v>1408000</v>
      </c>
      <c r="P57" s="27">
        <f t="shared" si="2"/>
        <v>352000</v>
      </c>
    </row>
    <row r="58" spans="1:16" x14ac:dyDescent="0.2">
      <c r="A58" s="33">
        <v>45732</v>
      </c>
      <c r="B58" s="30">
        <f t="shared" si="0"/>
        <v>3</v>
      </c>
      <c r="C58" s="30" t="str">
        <f>_xlfn.IFS(Table_13[[#This Row],[Month]]=1,"JAN",Table_13[[#This Row],[Month]]=2,"FEB",B58=3,"MAR",B58=4,"APR",B58=5,"MAY",B58=6,"JUN",B58=7,"JUL",B58=8,"AUG",Table_13[[#This Row],[Month]]=9,"SEPT",B58=10,"OCT",B58=11,"NOV",B58=12,"DEC")</f>
        <v>MAR</v>
      </c>
      <c r="D58" s="2" t="s">
        <v>25</v>
      </c>
      <c r="E58" s="2" t="s">
        <v>12</v>
      </c>
      <c r="F58" s="2" t="s">
        <v>13</v>
      </c>
      <c r="G58" s="2" t="s">
        <v>14</v>
      </c>
      <c r="H58" s="2" t="s">
        <v>15</v>
      </c>
      <c r="I58" s="2" t="s">
        <v>16</v>
      </c>
      <c r="J58" s="15">
        <v>85000</v>
      </c>
      <c r="K58" s="2">
        <v>10</v>
      </c>
      <c r="L58" s="2" t="s">
        <v>35</v>
      </c>
      <c r="M58" s="12">
        <f t="shared" si="1"/>
        <v>68000</v>
      </c>
      <c r="N58" s="10">
        <f>PRODUCT(Table_13[[#This Row],[Unit Price]],Table_13[[#This Row],[Quantity]])</f>
        <v>850000</v>
      </c>
      <c r="O58" s="16">
        <f>PRODUCT(Table_13[[#This Row],[Cost Price]],Table_13[[#This Row],[Quantity]])</f>
        <v>680000</v>
      </c>
      <c r="P58" s="27">
        <f t="shared" si="2"/>
        <v>170000</v>
      </c>
    </row>
    <row r="59" spans="1:16" x14ac:dyDescent="0.2">
      <c r="A59" s="33">
        <v>45733</v>
      </c>
      <c r="B59" s="30">
        <f t="shared" si="0"/>
        <v>3</v>
      </c>
      <c r="C59" s="30" t="str">
        <f>_xlfn.IFS(Table_13[[#This Row],[Month]]=1,"JAN",Table_13[[#This Row],[Month]]=2,"FEB",B59=3,"MAR",B59=4,"APR",B59=5,"MAY",B59=6,"JUN",B59=7,"JUL",B59=8,"AUG",Table_13[[#This Row],[Month]]=9,"SEPT",B59=10,"OCT",B59=11,"NOV",B59=12,"DEC")</f>
        <v>MAR</v>
      </c>
      <c r="D59" s="2" t="s">
        <v>11</v>
      </c>
      <c r="E59" s="2" t="s">
        <v>26</v>
      </c>
      <c r="F59" s="2" t="s">
        <v>23</v>
      </c>
      <c r="G59" s="2" t="s">
        <v>14</v>
      </c>
      <c r="H59" s="2" t="s">
        <v>36</v>
      </c>
      <c r="I59" s="2" t="s">
        <v>31</v>
      </c>
      <c r="J59" s="15">
        <v>150000</v>
      </c>
      <c r="K59" s="2">
        <v>4</v>
      </c>
      <c r="L59" s="2" t="s">
        <v>17</v>
      </c>
      <c r="M59" s="12">
        <f t="shared" si="1"/>
        <v>120000</v>
      </c>
      <c r="N59" s="10">
        <f>PRODUCT(Table_13[[#This Row],[Unit Price]],Table_13[[#This Row],[Quantity]])</f>
        <v>600000</v>
      </c>
      <c r="O59" s="16">
        <f>PRODUCT(Table_13[[#This Row],[Cost Price]],Table_13[[#This Row],[Quantity]])</f>
        <v>480000</v>
      </c>
      <c r="P59" s="27">
        <f t="shared" si="2"/>
        <v>120000</v>
      </c>
    </row>
    <row r="60" spans="1:16" x14ac:dyDescent="0.2">
      <c r="A60" s="33">
        <v>45734</v>
      </c>
      <c r="B60" s="30">
        <f t="shared" si="0"/>
        <v>3</v>
      </c>
      <c r="C60" s="30" t="str">
        <f>_xlfn.IFS(Table_13[[#This Row],[Month]]=1,"JAN",Table_13[[#This Row],[Month]]=2,"FEB",B60=3,"MAR",B60=4,"APR",B60=5,"MAY",B60=6,"JUN",B60=7,"JUL",B60=8,"AUG",Table_13[[#This Row],[Month]]=9,"SEPT",B60=10,"OCT",B60=11,"NOV",B60=12,"DEC")</f>
        <v>MAR</v>
      </c>
      <c r="D60" s="2" t="s">
        <v>18</v>
      </c>
      <c r="E60" s="2" t="s">
        <v>19</v>
      </c>
      <c r="F60" s="2" t="s">
        <v>23</v>
      </c>
      <c r="G60" s="2" t="s">
        <v>20</v>
      </c>
      <c r="H60" s="2" t="s">
        <v>40</v>
      </c>
      <c r="I60" s="2" t="s">
        <v>31</v>
      </c>
      <c r="J60" s="15">
        <v>250000</v>
      </c>
      <c r="K60" s="2">
        <v>1</v>
      </c>
      <c r="L60" s="2" t="s">
        <v>28</v>
      </c>
      <c r="M60" s="12">
        <f t="shared" si="1"/>
        <v>200000</v>
      </c>
      <c r="N60" s="10">
        <f>PRODUCT(Table_13[[#This Row],[Unit Price]],Table_13[[#This Row],[Quantity]])</f>
        <v>250000</v>
      </c>
      <c r="O60" s="16">
        <f>PRODUCT(Table_13[[#This Row],[Cost Price]],Table_13[[#This Row],[Quantity]])</f>
        <v>200000</v>
      </c>
      <c r="P60" s="27">
        <f t="shared" si="2"/>
        <v>50000</v>
      </c>
    </row>
    <row r="61" spans="1:16" x14ac:dyDescent="0.2">
      <c r="A61" s="33">
        <v>45735</v>
      </c>
      <c r="B61" s="30">
        <f t="shared" si="0"/>
        <v>3</v>
      </c>
      <c r="C61" s="30" t="str">
        <f>_xlfn.IFS(Table_13[[#This Row],[Month]]=1,"JAN",Table_13[[#This Row],[Month]]=2,"FEB",B61=3,"MAR",B61=4,"APR",B61=5,"MAY",B61=6,"JUN",B61=7,"JUL",B61=8,"AUG",Table_13[[#This Row],[Month]]=9,"SEPT",B61=10,"OCT",B61=11,"NOV",B61=12,"DEC")</f>
        <v>MAR</v>
      </c>
      <c r="D61" s="2" t="s">
        <v>25</v>
      </c>
      <c r="E61" s="2" t="s">
        <v>19</v>
      </c>
      <c r="F61" s="2" t="s">
        <v>13</v>
      </c>
      <c r="G61" s="2" t="s">
        <v>14</v>
      </c>
      <c r="H61" s="2" t="s">
        <v>21</v>
      </c>
      <c r="I61" s="2" t="s">
        <v>22</v>
      </c>
      <c r="J61" s="15">
        <v>30000</v>
      </c>
      <c r="K61" s="2">
        <v>10</v>
      </c>
      <c r="L61" s="2" t="s">
        <v>28</v>
      </c>
      <c r="M61" s="12">
        <f t="shared" si="1"/>
        <v>24000</v>
      </c>
      <c r="N61" s="10">
        <f>PRODUCT(Table_13[[#This Row],[Unit Price]],Table_13[[#This Row],[Quantity]])</f>
        <v>300000</v>
      </c>
      <c r="O61" s="16">
        <f>PRODUCT(Table_13[[#This Row],[Cost Price]],Table_13[[#This Row],[Quantity]])</f>
        <v>240000</v>
      </c>
      <c r="P61" s="27">
        <f t="shared" si="2"/>
        <v>60000</v>
      </c>
    </row>
    <row r="62" spans="1:16" x14ac:dyDescent="0.2">
      <c r="A62" s="33">
        <v>45736</v>
      </c>
      <c r="B62" s="30">
        <f t="shared" si="0"/>
        <v>3</v>
      </c>
      <c r="C62" s="30" t="str">
        <f>_xlfn.IFS(Table_13[[#This Row],[Month]]=1,"JAN",Table_13[[#This Row],[Month]]=2,"FEB",B62=3,"MAR",B62=4,"APR",B62=5,"MAY",B62=6,"JUN",B62=7,"JUL",B62=8,"AUG",Table_13[[#This Row],[Month]]=9,"SEPT",B62=10,"OCT",B62=11,"NOV",B62=12,"DEC")</f>
        <v>MAR</v>
      </c>
      <c r="D62" s="2" t="s">
        <v>25</v>
      </c>
      <c r="E62" s="2" t="s">
        <v>19</v>
      </c>
      <c r="F62" s="2" t="s">
        <v>23</v>
      </c>
      <c r="G62" s="2" t="s">
        <v>14</v>
      </c>
      <c r="H62" s="2" t="s">
        <v>38</v>
      </c>
      <c r="I62" s="2" t="s">
        <v>31</v>
      </c>
      <c r="J62" s="15">
        <v>420000</v>
      </c>
      <c r="K62" s="2">
        <v>4</v>
      </c>
      <c r="L62" s="2" t="s">
        <v>24</v>
      </c>
      <c r="M62" s="12">
        <f t="shared" si="1"/>
        <v>336000</v>
      </c>
      <c r="N62" s="10">
        <f>PRODUCT(Table_13[[#This Row],[Unit Price]],Table_13[[#This Row],[Quantity]])</f>
        <v>1680000</v>
      </c>
      <c r="O62" s="16">
        <f>PRODUCT(Table_13[[#This Row],[Cost Price]],Table_13[[#This Row],[Quantity]])</f>
        <v>1344000</v>
      </c>
      <c r="P62" s="27">
        <f t="shared" si="2"/>
        <v>336000</v>
      </c>
    </row>
    <row r="63" spans="1:16" x14ac:dyDescent="0.2">
      <c r="A63" s="33">
        <v>45737</v>
      </c>
      <c r="B63" s="30">
        <f t="shared" si="0"/>
        <v>3</v>
      </c>
      <c r="C63" s="30" t="str">
        <f>_xlfn.IFS(Table_13[[#This Row],[Month]]=1,"JAN",Table_13[[#This Row],[Month]]=2,"FEB",B63=3,"MAR",B63=4,"APR",B63=5,"MAY",B63=6,"JUN",B63=7,"JUL",B63=8,"AUG",Table_13[[#This Row],[Month]]=9,"SEPT",B63=10,"OCT",B63=11,"NOV",B63=12,"DEC")</f>
        <v>MAR</v>
      </c>
      <c r="D63" s="2" t="s">
        <v>18</v>
      </c>
      <c r="E63" s="2" t="s">
        <v>19</v>
      </c>
      <c r="F63" s="2" t="s">
        <v>13</v>
      </c>
      <c r="G63" s="2" t="s">
        <v>20</v>
      </c>
      <c r="H63" s="2" t="s">
        <v>15</v>
      </c>
      <c r="I63" s="2" t="s">
        <v>16</v>
      </c>
      <c r="J63" s="15">
        <v>85000</v>
      </c>
      <c r="K63" s="2">
        <v>2</v>
      </c>
      <c r="L63" s="2" t="s">
        <v>35</v>
      </c>
      <c r="M63" s="12">
        <f t="shared" si="1"/>
        <v>68000</v>
      </c>
      <c r="N63" s="10">
        <f>PRODUCT(Table_13[[#This Row],[Unit Price]],Table_13[[#This Row],[Quantity]])</f>
        <v>170000</v>
      </c>
      <c r="O63" s="16">
        <f>PRODUCT(Table_13[[#This Row],[Cost Price]],Table_13[[#This Row],[Quantity]])</f>
        <v>136000</v>
      </c>
      <c r="P63" s="27">
        <f t="shared" si="2"/>
        <v>34000</v>
      </c>
    </row>
    <row r="64" spans="1:16" x14ac:dyDescent="0.2">
      <c r="A64" s="33">
        <v>45738</v>
      </c>
      <c r="B64" s="30">
        <f t="shared" si="0"/>
        <v>3</v>
      </c>
      <c r="C64" s="30" t="str">
        <f>_xlfn.IFS(Table_13[[#This Row],[Month]]=1,"JAN",Table_13[[#This Row],[Month]]=2,"FEB",B64=3,"MAR",B64=4,"APR",B64=5,"MAY",B64=6,"JUN",B64=7,"JUL",B64=8,"AUG",Table_13[[#This Row],[Month]]=9,"SEPT",B64=10,"OCT",B64=11,"NOV",B64=12,"DEC")</f>
        <v>MAR</v>
      </c>
      <c r="D64" s="2" t="s">
        <v>18</v>
      </c>
      <c r="E64" s="2" t="s">
        <v>19</v>
      </c>
      <c r="F64" s="2" t="s">
        <v>13</v>
      </c>
      <c r="G64" s="2" t="s">
        <v>14</v>
      </c>
      <c r="H64" s="2" t="s">
        <v>41</v>
      </c>
      <c r="I64" s="2" t="s">
        <v>22</v>
      </c>
      <c r="J64" s="15">
        <v>220000</v>
      </c>
      <c r="K64" s="2">
        <v>1</v>
      </c>
      <c r="L64" s="2" t="s">
        <v>28</v>
      </c>
      <c r="M64" s="12">
        <f t="shared" si="1"/>
        <v>176000</v>
      </c>
      <c r="N64" s="10">
        <f>PRODUCT(Table_13[[#This Row],[Unit Price]],Table_13[[#This Row],[Quantity]])</f>
        <v>220000</v>
      </c>
      <c r="O64" s="16">
        <f>PRODUCT(Table_13[[#This Row],[Cost Price]],Table_13[[#This Row],[Quantity]])</f>
        <v>176000</v>
      </c>
      <c r="P64" s="27">
        <f t="shared" si="2"/>
        <v>44000</v>
      </c>
    </row>
    <row r="65" spans="1:16" x14ac:dyDescent="0.2">
      <c r="A65" s="33">
        <v>45739</v>
      </c>
      <c r="B65" s="30">
        <f t="shared" si="0"/>
        <v>3</v>
      </c>
      <c r="C65" s="30" t="str">
        <f>_xlfn.IFS(Table_13[[#This Row],[Month]]=1,"JAN",Table_13[[#This Row],[Month]]=2,"FEB",B65=3,"MAR",B65=4,"APR",B65=5,"MAY",B65=6,"JUN",B65=7,"JUL",B65=8,"AUG",Table_13[[#This Row],[Month]]=9,"SEPT",B65=10,"OCT",B65=11,"NOV",B65=12,"DEC")</f>
        <v>MAR</v>
      </c>
      <c r="D65" s="2" t="s">
        <v>11</v>
      </c>
      <c r="E65" s="2" t="s">
        <v>12</v>
      </c>
      <c r="F65" s="2" t="s">
        <v>13</v>
      </c>
      <c r="G65" s="2" t="s">
        <v>20</v>
      </c>
      <c r="H65" s="2" t="s">
        <v>33</v>
      </c>
      <c r="I65" s="2" t="s">
        <v>22</v>
      </c>
      <c r="J65" s="15">
        <v>180000</v>
      </c>
      <c r="K65" s="2">
        <v>9</v>
      </c>
      <c r="L65" s="2" t="s">
        <v>39</v>
      </c>
      <c r="M65" s="12">
        <f t="shared" si="1"/>
        <v>144000</v>
      </c>
      <c r="N65" s="10">
        <f>PRODUCT(Table_13[[#This Row],[Unit Price]],Table_13[[#This Row],[Quantity]])</f>
        <v>1620000</v>
      </c>
      <c r="O65" s="16">
        <f>PRODUCT(Table_13[[#This Row],[Cost Price]],Table_13[[#This Row],[Quantity]])</f>
        <v>1296000</v>
      </c>
      <c r="P65" s="27">
        <f t="shared" si="2"/>
        <v>324000</v>
      </c>
    </row>
    <row r="66" spans="1:16" x14ac:dyDescent="0.2">
      <c r="A66" s="33">
        <v>45740</v>
      </c>
      <c r="B66" s="30">
        <f t="shared" ref="B66:B129" si="3">MONTH(A66)</f>
        <v>3</v>
      </c>
      <c r="C66" s="30" t="str">
        <f>_xlfn.IFS(Table_13[[#This Row],[Month]]=1,"JAN",Table_13[[#This Row],[Month]]=2,"FEB",B66=3,"MAR",B66=4,"APR",B66=5,"MAY",B66=6,"JUN",B66=7,"JUL",B66=8,"AUG",Table_13[[#This Row],[Month]]=9,"SEPT",B66=10,"OCT",B66=11,"NOV",B66=12,"DEC")</f>
        <v>MAR</v>
      </c>
      <c r="D66" s="2" t="s">
        <v>11</v>
      </c>
      <c r="E66" s="2" t="s">
        <v>26</v>
      </c>
      <c r="F66" s="2" t="s">
        <v>13</v>
      </c>
      <c r="G66" s="2" t="s">
        <v>20</v>
      </c>
      <c r="H66" s="2" t="s">
        <v>40</v>
      </c>
      <c r="I66" s="2" t="s">
        <v>31</v>
      </c>
      <c r="J66" s="15">
        <v>250000</v>
      </c>
      <c r="K66" s="2">
        <v>6</v>
      </c>
      <c r="L66" s="2" t="s">
        <v>17</v>
      </c>
      <c r="M66" s="12">
        <f t="shared" si="1"/>
        <v>200000</v>
      </c>
      <c r="N66" s="10">
        <f>PRODUCT(Table_13[[#This Row],[Unit Price]],Table_13[[#This Row],[Quantity]])</f>
        <v>1500000</v>
      </c>
      <c r="O66" s="16">
        <f>PRODUCT(Table_13[[#This Row],[Cost Price]],Table_13[[#This Row],[Quantity]])</f>
        <v>1200000</v>
      </c>
      <c r="P66" s="27">
        <f t="shared" ref="P66:P129" si="4">N66-O66</f>
        <v>300000</v>
      </c>
    </row>
    <row r="67" spans="1:16" x14ac:dyDescent="0.2">
      <c r="A67" s="33">
        <v>45741</v>
      </c>
      <c r="B67" s="30">
        <f t="shared" si="3"/>
        <v>3</v>
      </c>
      <c r="C67" s="30" t="str">
        <f>_xlfn.IFS(Table_13[[#This Row],[Month]]=1,"JAN",Table_13[[#This Row],[Month]]=2,"FEB",B67=3,"MAR",B67=4,"APR",B67=5,"MAY",B67=6,"JUN",B67=7,"JUL",B67=8,"AUG",Table_13[[#This Row],[Month]]=9,"SEPT",B67=10,"OCT",B67=11,"NOV",B67=12,"DEC")</f>
        <v>MAR</v>
      </c>
      <c r="D67" s="2" t="s">
        <v>11</v>
      </c>
      <c r="E67" s="2" t="s">
        <v>12</v>
      </c>
      <c r="F67" s="2" t="s">
        <v>13</v>
      </c>
      <c r="G67" s="2" t="s">
        <v>20</v>
      </c>
      <c r="H67" s="2" t="s">
        <v>33</v>
      </c>
      <c r="I67" s="2" t="s">
        <v>22</v>
      </c>
      <c r="J67" s="15">
        <v>180000</v>
      </c>
      <c r="K67" s="2">
        <v>3</v>
      </c>
      <c r="L67" s="2" t="s">
        <v>39</v>
      </c>
      <c r="M67" s="12">
        <f t="shared" si="1"/>
        <v>144000</v>
      </c>
      <c r="N67" s="10">
        <f>PRODUCT(Table_13[[#This Row],[Unit Price]],Table_13[[#This Row],[Quantity]])</f>
        <v>540000</v>
      </c>
      <c r="O67" s="16">
        <f>PRODUCT(Table_13[[#This Row],[Cost Price]],Table_13[[#This Row],[Quantity]])</f>
        <v>432000</v>
      </c>
      <c r="P67" s="27">
        <f t="shared" si="4"/>
        <v>108000</v>
      </c>
    </row>
    <row r="68" spans="1:16" x14ac:dyDescent="0.2">
      <c r="A68" s="33">
        <v>45742</v>
      </c>
      <c r="B68" s="30">
        <f t="shared" si="3"/>
        <v>3</v>
      </c>
      <c r="C68" s="30" t="str">
        <f>_xlfn.IFS(Table_13[[#This Row],[Month]]=1,"JAN",Table_13[[#This Row],[Month]]=2,"FEB",B68=3,"MAR",B68=4,"APR",B68=5,"MAY",B68=6,"JUN",B68=7,"JUL",B68=8,"AUG",Table_13[[#This Row],[Month]]=9,"SEPT",B68=10,"OCT",B68=11,"NOV",B68=12,"DEC")</f>
        <v>MAR</v>
      </c>
      <c r="D68" s="2" t="s">
        <v>25</v>
      </c>
      <c r="E68" s="2" t="s">
        <v>12</v>
      </c>
      <c r="F68" s="2" t="s">
        <v>23</v>
      </c>
      <c r="G68" s="2" t="s">
        <v>14</v>
      </c>
      <c r="H68" s="2" t="s">
        <v>27</v>
      </c>
      <c r="I68" s="2" t="s">
        <v>22</v>
      </c>
      <c r="J68" s="15">
        <v>60000</v>
      </c>
      <c r="K68" s="2">
        <v>8</v>
      </c>
      <c r="L68" s="2" t="s">
        <v>35</v>
      </c>
      <c r="M68" s="12">
        <f t="shared" si="1"/>
        <v>48000</v>
      </c>
      <c r="N68" s="10">
        <f>PRODUCT(Table_13[[#This Row],[Unit Price]],Table_13[[#This Row],[Quantity]])</f>
        <v>480000</v>
      </c>
      <c r="O68" s="16">
        <f>PRODUCT(Table_13[[#This Row],[Cost Price]],Table_13[[#This Row],[Quantity]])</f>
        <v>384000</v>
      </c>
      <c r="P68" s="27">
        <f t="shared" si="4"/>
        <v>96000</v>
      </c>
    </row>
    <row r="69" spans="1:16" x14ac:dyDescent="0.2">
      <c r="A69" s="33">
        <v>45743</v>
      </c>
      <c r="B69" s="30">
        <f t="shared" si="3"/>
        <v>3</v>
      </c>
      <c r="C69" s="30" t="str">
        <f>_xlfn.IFS(Table_13[[#This Row],[Month]]=1,"JAN",Table_13[[#This Row],[Month]]=2,"FEB",B69=3,"MAR",B69=4,"APR",B69=5,"MAY",B69=6,"JUN",B69=7,"JUL",B69=8,"AUG",Table_13[[#This Row],[Month]]=9,"SEPT",B69=10,"OCT",B69=11,"NOV",B69=12,"DEC")</f>
        <v>MAR</v>
      </c>
      <c r="D69" s="2" t="s">
        <v>29</v>
      </c>
      <c r="E69" s="2" t="s">
        <v>12</v>
      </c>
      <c r="F69" s="2" t="s">
        <v>13</v>
      </c>
      <c r="G69" s="2" t="s">
        <v>14</v>
      </c>
      <c r="H69" s="2" t="s">
        <v>27</v>
      </c>
      <c r="I69" s="2" t="s">
        <v>22</v>
      </c>
      <c r="J69" s="15">
        <v>60000</v>
      </c>
      <c r="K69" s="2">
        <v>3</v>
      </c>
      <c r="L69" s="2" t="s">
        <v>17</v>
      </c>
      <c r="M69" s="12">
        <f t="shared" si="1"/>
        <v>48000</v>
      </c>
      <c r="N69" s="10">
        <f>PRODUCT(Table_13[[#This Row],[Unit Price]],Table_13[[#This Row],[Quantity]])</f>
        <v>180000</v>
      </c>
      <c r="O69" s="16">
        <f>PRODUCT(Table_13[[#This Row],[Cost Price]],Table_13[[#This Row],[Quantity]])</f>
        <v>144000</v>
      </c>
      <c r="P69" s="27">
        <f t="shared" si="4"/>
        <v>36000</v>
      </c>
    </row>
    <row r="70" spans="1:16" x14ac:dyDescent="0.2">
      <c r="A70" s="33">
        <v>45744</v>
      </c>
      <c r="B70" s="30">
        <f t="shared" si="3"/>
        <v>3</v>
      </c>
      <c r="C70" s="30" t="str">
        <f>_xlfn.IFS(Table_13[[#This Row],[Month]]=1,"JAN",Table_13[[#This Row],[Month]]=2,"FEB",B70=3,"MAR",B70=4,"APR",B70=5,"MAY",B70=6,"JUN",B70=7,"JUL",B70=8,"AUG",Table_13[[#This Row],[Month]]=9,"SEPT",B70=10,"OCT",B70=11,"NOV",B70=12,"DEC")</f>
        <v>MAR</v>
      </c>
      <c r="D70" s="2" t="s">
        <v>11</v>
      </c>
      <c r="E70" s="2" t="s">
        <v>26</v>
      </c>
      <c r="F70" s="2" t="s">
        <v>23</v>
      </c>
      <c r="G70" s="2" t="s">
        <v>14</v>
      </c>
      <c r="H70" s="2" t="s">
        <v>21</v>
      </c>
      <c r="I70" s="2" t="s">
        <v>22</v>
      </c>
      <c r="J70" s="15">
        <v>30000</v>
      </c>
      <c r="K70" s="2">
        <v>8</v>
      </c>
      <c r="L70" s="2" t="s">
        <v>28</v>
      </c>
      <c r="M70" s="12">
        <f t="shared" si="1"/>
        <v>24000</v>
      </c>
      <c r="N70" s="10">
        <f>PRODUCT(Table_13[[#This Row],[Unit Price]],Table_13[[#This Row],[Quantity]])</f>
        <v>240000</v>
      </c>
      <c r="O70" s="16">
        <f>PRODUCT(Table_13[[#This Row],[Cost Price]],Table_13[[#This Row],[Quantity]])</f>
        <v>192000</v>
      </c>
      <c r="P70" s="27">
        <f t="shared" si="4"/>
        <v>48000</v>
      </c>
    </row>
    <row r="71" spans="1:16" x14ac:dyDescent="0.2">
      <c r="A71" s="33">
        <v>45745</v>
      </c>
      <c r="B71" s="30">
        <f t="shared" si="3"/>
        <v>3</v>
      </c>
      <c r="C71" s="30" t="str">
        <f>_xlfn.IFS(Table_13[[#This Row],[Month]]=1,"JAN",Table_13[[#This Row],[Month]]=2,"FEB",B71=3,"MAR",B71=4,"APR",B71=5,"MAY",B71=6,"JUN",B71=7,"JUL",B71=8,"AUG",Table_13[[#This Row],[Month]]=9,"SEPT",B71=10,"OCT",B71=11,"NOV",B71=12,"DEC")</f>
        <v>MAR</v>
      </c>
      <c r="D71" s="2" t="s">
        <v>25</v>
      </c>
      <c r="E71" s="2" t="s">
        <v>19</v>
      </c>
      <c r="F71" s="2" t="s">
        <v>13</v>
      </c>
      <c r="G71" s="2" t="s">
        <v>20</v>
      </c>
      <c r="H71" s="2" t="s">
        <v>27</v>
      </c>
      <c r="I71" s="2" t="s">
        <v>22</v>
      </c>
      <c r="J71" s="15">
        <v>60000</v>
      </c>
      <c r="K71" s="2">
        <v>4</v>
      </c>
      <c r="L71" s="2" t="s">
        <v>39</v>
      </c>
      <c r="M71" s="12">
        <f t="shared" si="1"/>
        <v>48000</v>
      </c>
      <c r="N71" s="10">
        <f>PRODUCT(Table_13[[#This Row],[Unit Price]],Table_13[[#This Row],[Quantity]])</f>
        <v>240000</v>
      </c>
      <c r="O71" s="16">
        <f>PRODUCT(Table_13[[#This Row],[Cost Price]],Table_13[[#This Row],[Quantity]])</f>
        <v>192000</v>
      </c>
      <c r="P71" s="27">
        <f t="shared" si="4"/>
        <v>48000</v>
      </c>
    </row>
    <row r="72" spans="1:16" x14ac:dyDescent="0.2">
      <c r="A72" s="33">
        <v>45746</v>
      </c>
      <c r="B72" s="30">
        <f t="shared" si="3"/>
        <v>3</v>
      </c>
      <c r="C72" s="30" t="str">
        <f>_xlfn.IFS(Table_13[[#This Row],[Month]]=1,"JAN",Table_13[[#This Row],[Month]]=2,"FEB",B72=3,"MAR",B72=4,"APR",B72=5,"MAY",B72=6,"JUN",B72=7,"JUL",B72=8,"AUG",Table_13[[#This Row],[Month]]=9,"SEPT",B72=10,"OCT",B72=11,"NOV",B72=12,"DEC")</f>
        <v>MAR</v>
      </c>
      <c r="D72" s="2" t="s">
        <v>25</v>
      </c>
      <c r="E72" s="2" t="s">
        <v>12</v>
      </c>
      <c r="F72" s="2" t="s">
        <v>23</v>
      </c>
      <c r="G72" s="2" t="s">
        <v>20</v>
      </c>
      <c r="H72" s="2" t="s">
        <v>21</v>
      </c>
      <c r="I72" s="2" t="s">
        <v>22</v>
      </c>
      <c r="J72" s="15">
        <v>30000</v>
      </c>
      <c r="K72" s="2">
        <v>3</v>
      </c>
      <c r="L72" s="2" t="s">
        <v>24</v>
      </c>
      <c r="M72" s="12">
        <f t="shared" si="1"/>
        <v>24000</v>
      </c>
      <c r="N72" s="10">
        <f>PRODUCT(Table_13[[#This Row],[Unit Price]],Table_13[[#This Row],[Quantity]])</f>
        <v>90000</v>
      </c>
      <c r="O72" s="16">
        <f>PRODUCT(Table_13[[#This Row],[Cost Price]],Table_13[[#This Row],[Quantity]])</f>
        <v>72000</v>
      </c>
      <c r="P72" s="27">
        <f t="shared" si="4"/>
        <v>18000</v>
      </c>
    </row>
    <row r="73" spans="1:16" x14ac:dyDescent="0.2">
      <c r="A73" s="33">
        <v>45747</v>
      </c>
      <c r="B73" s="30">
        <f t="shared" si="3"/>
        <v>3</v>
      </c>
      <c r="C73" s="30" t="str">
        <f>_xlfn.IFS(Table_13[[#This Row],[Month]]=1,"JAN",Table_13[[#This Row],[Month]]=2,"FEB",B73=3,"MAR",B73=4,"APR",B73=5,"MAY",B73=6,"JUN",B73=7,"JUL",B73=8,"AUG",Table_13[[#This Row],[Month]]=9,"SEPT",B73=10,"OCT",B73=11,"NOV",B73=12,"DEC")</f>
        <v>MAR</v>
      </c>
      <c r="D73" s="2" t="s">
        <v>18</v>
      </c>
      <c r="E73" s="2" t="s">
        <v>26</v>
      </c>
      <c r="F73" s="2" t="s">
        <v>13</v>
      </c>
      <c r="G73" s="2" t="s">
        <v>14</v>
      </c>
      <c r="H73" s="2" t="s">
        <v>33</v>
      </c>
      <c r="I73" s="2" t="s">
        <v>22</v>
      </c>
      <c r="J73" s="15">
        <v>180000</v>
      </c>
      <c r="K73" s="2">
        <v>5</v>
      </c>
      <c r="L73" s="2" t="s">
        <v>28</v>
      </c>
      <c r="M73" s="12">
        <f t="shared" si="1"/>
        <v>144000</v>
      </c>
      <c r="N73" s="10">
        <f>PRODUCT(Table_13[[#This Row],[Unit Price]],Table_13[[#This Row],[Quantity]])</f>
        <v>900000</v>
      </c>
      <c r="O73" s="16">
        <f>PRODUCT(Table_13[[#This Row],[Cost Price]],Table_13[[#This Row],[Quantity]])</f>
        <v>720000</v>
      </c>
      <c r="P73" s="27">
        <f t="shared" si="4"/>
        <v>180000</v>
      </c>
    </row>
    <row r="74" spans="1:16" x14ac:dyDescent="0.2">
      <c r="A74" s="33">
        <v>45748</v>
      </c>
      <c r="B74" s="30">
        <f t="shared" si="3"/>
        <v>4</v>
      </c>
      <c r="C74" s="30" t="str">
        <f>_xlfn.IFS(Table_13[[#This Row],[Month]]=1,"JAN",Table_13[[#This Row],[Month]]=2,"FEB",B74=3,"MAR",B74=4,"APR",B74=5,"MAY",B74=6,"JUN",B74=7,"JUL",B74=8,"AUG",Table_13[[#This Row],[Month]]=9,"SEPT",B74=10,"OCT",B74=11,"NOV",B74=12,"DEC")</f>
        <v>APR</v>
      </c>
      <c r="D74" s="2" t="s">
        <v>29</v>
      </c>
      <c r="E74" s="2" t="s">
        <v>12</v>
      </c>
      <c r="F74" s="2" t="s">
        <v>13</v>
      </c>
      <c r="G74" s="2" t="s">
        <v>20</v>
      </c>
      <c r="H74" s="2" t="s">
        <v>41</v>
      </c>
      <c r="I74" s="2" t="s">
        <v>22</v>
      </c>
      <c r="J74" s="15">
        <v>220000</v>
      </c>
      <c r="K74" s="2">
        <v>3</v>
      </c>
      <c r="L74" s="2" t="s">
        <v>39</v>
      </c>
      <c r="M74" s="12">
        <f t="shared" si="1"/>
        <v>176000</v>
      </c>
      <c r="N74" s="10">
        <f>PRODUCT(Table_13[[#This Row],[Unit Price]],Table_13[[#This Row],[Quantity]])</f>
        <v>660000</v>
      </c>
      <c r="O74" s="16">
        <f>PRODUCT(Table_13[[#This Row],[Cost Price]],Table_13[[#This Row],[Quantity]])</f>
        <v>528000</v>
      </c>
      <c r="P74" s="27">
        <f t="shared" si="4"/>
        <v>132000</v>
      </c>
    </row>
    <row r="75" spans="1:16" x14ac:dyDescent="0.2">
      <c r="A75" s="33">
        <v>45749</v>
      </c>
      <c r="B75" s="30">
        <f t="shared" si="3"/>
        <v>4</v>
      </c>
      <c r="C75" s="30" t="str">
        <f>_xlfn.IFS(Table_13[[#This Row],[Month]]=1,"JAN",Table_13[[#This Row],[Month]]=2,"FEB",B75=3,"MAR",B75=4,"APR",B75=5,"MAY",B75=6,"JUN",B75=7,"JUL",B75=8,"AUG",Table_13[[#This Row],[Month]]=9,"SEPT",B75=10,"OCT",B75=11,"NOV",B75=12,"DEC")</f>
        <v>APR</v>
      </c>
      <c r="D75" s="2" t="s">
        <v>11</v>
      </c>
      <c r="E75" s="2" t="s">
        <v>19</v>
      </c>
      <c r="F75" s="2" t="s">
        <v>13</v>
      </c>
      <c r="G75" s="2" t="s">
        <v>14</v>
      </c>
      <c r="H75" s="2" t="s">
        <v>27</v>
      </c>
      <c r="I75" s="2" t="s">
        <v>22</v>
      </c>
      <c r="J75" s="15">
        <v>60000</v>
      </c>
      <c r="K75" s="2">
        <v>4</v>
      </c>
      <c r="L75" s="2" t="s">
        <v>37</v>
      </c>
      <c r="M75" s="12">
        <f t="shared" si="1"/>
        <v>48000</v>
      </c>
      <c r="N75" s="10">
        <f>PRODUCT(Table_13[[#This Row],[Unit Price]],Table_13[[#This Row],[Quantity]])</f>
        <v>240000</v>
      </c>
      <c r="O75" s="16">
        <f>PRODUCT(Table_13[[#This Row],[Cost Price]],Table_13[[#This Row],[Quantity]])</f>
        <v>192000</v>
      </c>
      <c r="P75" s="27">
        <f t="shared" si="4"/>
        <v>48000</v>
      </c>
    </row>
    <row r="76" spans="1:16" x14ac:dyDescent="0.2">
      <c r="A76" s="33">
        <v>45750</v>
      </c>
      <c r="B76" s="30">
        <f t="shared" si="3"/>
        <v>4</v>
      </c>
      <c r="C76" s="30" t="str">
        <f>_xlfn.IFS(Table_13[[#This Row],[Month]]=1,"JAN",Table_13[[#This Row],[Month]]=2,"FEB",B76=3,"MAR",B76=4,"APR",B76=5,"MAY",B76=6,"JUN",B76=7,"JUL",B76=8,"AUG",Table_13[[#This Row],[Month]]=9,"SEPT",B76=10,"OCT",B76=11,"NOV",B76=12,"DEC")</f>
        <v>APR</v>
      </c>
      <c r="D76" s="2" t="s">
        <v>29</v>
      </c>
      <c r="E76" s="2" t="s">
        <v>12</v>
      </c>
      <c r="F76" s="2" t="s">
        <v>23</v>
      </c>
      <c r="G76" s="2" t="s">
        <v>14</v>
      </c>
      <c r="H76" s="2" t="s">
        <v>15</v>
      </c>
      <c r="I76" s="2" t="s">
        <v>16</v>
      </c>
      <c r="J76" s="15">
        <v>85000</v>
      </c>
      <c r="K76" s="2">
        <v>1</v>
      </c>
      <c r="L76" s="2" t="s">
        <v>37</v>
      </c>
      <c r="M76" s="12">
        <f t="shared" si="1"/>
        <v>68000</v>
      </c>
      <c r="N76" s="10">
        <f>PRODUCT(Table_13[[#This Row],[Unit Price]],Table_13[[#This Row],[Quantity]])</f>
        <v>85000</v>
      </c>
      <c r="O76" s="16">
        <f>PRODUCT(Table_13[[#This Row],[Cost Price]],Table_13[[#This Row],[Quantity]])</f>
        <v>68000</v>
      </c>
      <c r="P76" s="27">
        <f t="shared" si="4"/>
        <v>17000</v>
      </c>
    </row>
    <row r="77" spans="1:16" x14ac:dyDescent="0.2">
      <c r="A77" s="33">
        <v>45751</v>
      </c>
      <c r="B77" s="30">
        <f t="shared" si="3"/>
        <v>4</v>
      </c>
      <c r="C77" s="30" t="str">
        <f>_xlfn.IFS(Table_13[[#This Row],[Month]]=1,"JAN",Table_13[[#This Row],[Month]]=2,"FEB",B77=3,"MAR",B77=4,"APR",B77=5,"MAY",B77=6,"JUN",B77=7,"JUL",B77=8,"AUG",Table_13[[#This Row],[Month]]=9,"SEPT",B77=10,"OCT",B77=11,"NOV",B77=12,"DEC")</f>
        <v>APR</v>
      </c>
      <c r="D77" s="2" t="s">
        <v>18</v>
      </c>
      <c r="E77" s="2" t="s">
        <v>12</v>
      </c>
      <c r="F77" s="2" t="s">
        <v>13</v>
      </c>
      <c r="G77" s="2" t="s">
        <v>14</v>
      </c>
      <c r="H77" s="2" t="s">
        <v>21</v>
      </c>
      <c r="I77" s="2" t="s">
        <v>22</v>
      </c>
      <c r="J77" s="15">
        <v>30000</v>
      </c>
      <c r="K77" s="2">
        <v>5</v>
      </c>
      <c r="L77" s="2" t="s">
        <v>24</v>
      </c>
      <c r="M77" s="12">
        <f t="shared" si="1"/>
        <v>24000</v>
      </c>
      <c r="N77" s="10">
        <f>PRODUCT(Table_13[[#This Row],[Unit Price]],Table_13[[#This Row],[Quantity]])</f>
        <v>150000</v>
      </c>
      <c r="O77" s="16">
        <f>PRODUCT(Table_13[[#This Row],[Cost Price]],Table_13[[#This Row],[Quantity]])</f>
        <v>120000</v>
      </c>
      <c r="P77" s="27">
        <f t="shared" si="4"/>
        <v>30000</v>
      </c>
    </row>
    <row r="78" spans="1:16" x14ac:dyDescent="0.2">
      <c r="A78" s="33">
        <v>45752</v>
      </c>
      <c r="B78" s="30">
        <f t="shared" si="3"/>
        <v>4</v>
      </c>
      <c r="C78" s="30" t="str">
        <f>_xlfn.IFS(Table_13[[#This Row],[Month]]=1,"JAN",Table_13[[#This Row],[Month]]=2,"FEB",B78=3,"MAR",B78=4,"APR",B78=5,"MAY",B78=6,"JUN",B78=7,"JUL",B78=8,"AUG",Table_13[[#This Row],[Month]]=9,"SEPT",B78=10,"OCT",B78=11,"NOV",B78=12,"DEC")</f>
        <v>APR</v>
      </c>
      <c r="D78" s="2" t="s">
        <v>18</v>
      </c>
      <c r="E78" s="2" t="s">
        <v>32</v>
      </c>
      <c r="F78" s="2" t="s">
        <v>13</v>
      </c>
      <c r="G78" s="2" t="s">
        <v>20</v>
      </c>
      <c r="H78" s="2" t="s">
        <v>27</v>
      </c>
      <c r="I78" s="2" t="s">
        <v>22</v>
      </c>
      <c r="J78" s="15">
        <v>60000</v>
      </c>
      <c r="K78" s="2">
        <v>3</v>
      </c>
      <c r="L78" s="2" t="s">
        <v>37</v>
      </c>
      <c r="M78" s="12">
        <f t="shared" si="1"/>
        <v>48000</v>
      </c>
      <c r="N78" s="10">
        <f>PRODUCT(Table_13[[#This Row],[Unit Price]],Table_13[[#This Row],[Quantity]])</f>
        <v>180000</v>
      </c>
      <c r="O78" s="16">
        <f>PRODUCT(Table_13[[#This Row],[Cost Price]],Table_13[[#This Row],[Quantity]])</f>
        <v>144000</v>
      </c>
      <c r="P78" s="27">
        <f t="shared" si="4"/>
        <v>36000</v>
      </c>
    </row>
    <row r="79" spans="1:16" x14ac:dyDescent="0.2">
      <c r="A79" s="33">
        <v>45753</v>
      </c>
      <c r="B79" s="30">
        <f t="shared" si="3"/>
        <v>4</v>
      </c>
      <c r="C79" s="30" t="str">
        <f>_xlfn.IFS(Table_13[[#This Row],[Month]]=1,"JAN",Table_13[[#This Row],[Month]]=2,"FEB",B79=3,"MAR",B79=4,"APR",B79=5,"MAY",B79=6,"JUN",B79=7,"JUL",B79=8,"AUG",Table_13[[#This Row],[Month]]=9,"SEPT",B79=10,"OCT",B79=11,"NOV",B79=12,"DEC")</f>
        <v>APR</v>
      </c>
      <c r="D79" s="2" t="s">
        <v>11</v>
      </c>
      <c r="E79" s="2" t="s">
        <v>32</v>
      </c>
      <c r="F79" s="2" t="s">
        <v>13</v>
      </c>
      <c r="G79" s="2" t="s">
        <v>14</v>
      </c>
      <c r="H79" s="2" t="s">
        <v>27</v>
      </c>
      <c r="I79" s="2" t="s">
        <v>22</v>
      </c>
      <c r="J79" s="15">
        <v>60000</v>
      </c>
      <c r="K79" s="2">
        <v>6</v>
      </c>
      <c r="L79" s="2" t="s">
        <v>17</v>
      </c>
      <c r="M79" s="12">
        <f t="shared" si="1"/>
        <v>48000</v>
      </c>
      <c r="N79" s="10">
        <f>PRODUCT(Table_13[[#This Row],[Unit Price]],Table_13[[#This Row],[Quantity]])</f>
        <v>360000</v>
      </c>
      <c r="O79" s="16">
        <f>PRODUCT(Table_13[[#This Row],[Cost Price]],Table_13[[#This Row],[Quantity]])</f>
        <v>288000</v>
      </c>
      <c r="P79" s="27">
        <f t="shared" si="4"/>
        <v>72000</v>
      </c>
    </row>
    <row r="80" spans="1:16" x14ac:dyDescent="0.2">
      <c r="A80" s="33">
        <v>45754</v>
      </c>
      <c r="B80" s="30">
        <f t="shared" si="3"/>
        <v>4</v>
      </c>
      <c r="C80" s="30" t="str">
        <f>_xlfn.IFS(Table_13[[#This Row],[Month]]=1,"JAN",Table_13[[#This Row],[Month]]=2,"FEB",B80=3,"MAR",B80=4,"APR",B80=5,"MAY",B80=6,"JUN",B80=7,"JUL",B80=8,"AUG",Table_13[[#This Row],[Month]]=9,"SEPT",B80=10,"OCT",B80=11,"NOV",B80=12,"DEC")</f>
        <v>APR</v>
      </c>
      <c r="D80" s="2" t="s">
        <v>25</v>
      </c>
      <c r="E80" s="2" t="s">
        <v>26</v>
      </c>
      <c r="F80" s="2" t="s">
        <v>23</v>
      </c>
      <c r="G80" s="2" t="s">
        <v>14</v>
      </c>
      <c r="H80" s="2" t="s">
        <v>30</v>
      </c>
      <c r="I80" s="2" t="s">
        <v>31</v>
      </c>
      <c r="J80" s="15">
        <v>300000</v>
      </c>
      <c r="K80" s="2">
        <v>2</v>
      </c>
      <c r="L80" s="2" t="s">
        <v>17</v>
      </c>
      <c r="M80" s="12">
        <f t="shared" si="1"/>
        <v>240000</v>
      </c>
      <c r="N80" s="10">
        <f>PRODUCT(Table_13[[#This Row],[Unit Price]],Table_13[[#This Row],[Quantity]])</f>
        <v>600000</v>
      </c>
      <c r="O80" s="16">
        <f>PRODUCT(Table_13[[#This Row],[Cost Price]],Table_13[[#This Row],[Quantity]])</f>
        <v>480000</v>
      </c>
      <c r="P80" s="27">
        <f t="shared" si="4"/>
        <v>120000</v>
      </c>
    </row>
    <row r="81" spans="1:16" x14ac:dyDescent="0.2">
      <c r="A81" s="33">
        <v>45755</v>
      </c>
      <c r="B81" s="30">
        <f t="shared" si="3"/>
        <v>4</v>
      </c>
      <c r="C81" s="30" t="str">
        <f>_xlfn.IFS(Table_13[[#This Row],[Month]]=1,"JAN",Table_13[[#This Row],[Month]]=2,"FEB",B81=3,"MAR",B81=4,"APR",B81=5,"MAY",B81=6,"JUN",B81=7,"JUL",B81=8,"AUG",Table_13[[#This Row],[Month]]=9,"SEPT",B81=10,"OCT",B81=11,"NOV",B81=12,"DEC")</f>
        <v>APR</v>
      </c>
      <c r="D81" s="2" t="s">
        <v>11</v>
      </c>
      <c r="E81" s="2" t="s">
        <v>26</v>
      </c>
      <c r="F81" s="2" t="s">
        <v>13</v>
      </c>
      <c r="G81" s="2" t="s">
        <v>14</v>
      </c>
      <c r="H81" s="2" t="s">
        <v>36</v>
      </c>
      <c r="I81" s="2" t="s">
        <v>31</v>
      </c>
      <c r="J81" s="15">
        <v>150000</v>
      </c>
      <c r="K81" s="2">
        <v>7</v>
      </c>
      <c r="L81" s="2" t="s">
        <v>24</v>
      </c>
      <c r="M81" s="12">
        <f t="shared" si="1"/>
        <v>120000</v>
      </c>
      <c r="N81" s="10">
        <f>PRODUCT(Table_13[[#This Row],[Unit Price]],Table_13[[#This Row],[Quantity]])</f>
        <v>1050000</v>
      </c>
      <c r="O81" s="16">
        <f>PRODUCT(Table_13[[#This Row],[Cost Price]],Table_13[[#This Row],[Quantity]])</f>
        <v>840000</v>
      </c>
      <c r="P81" s="27">
        <f t="shared" si="4"/>
        <v>210000</v>
      </c>
    </row>
    <row r="82" spans="1:16" x14ac:dyDescent="0.2">
      <c r="A82" s="33">
        <v>45756</v>
      </c>
      <c r="B82" s="30">
        <f t="shared" si="3"/>
        <v>4</v>
      </c>
      <c r="C82" s="30" t="str">
        <f>_xlfn.IFS(Table_13[[#This Row],[Month]]=1,"JAN",Table_13[[#This Row],[Month]]=2,"FEB",B82=3,"MAR",B82=4,"APR",B82=5,"MAY",B82=6,"JUN",B82=7,"JUL",B82=8,"AUG",Table_13[[#This Row],[Month]]=9,"SEPT",B82=10,"OCT",B82=11,"NOV",B82=12,"DEC")</f>
        <v>APR</v>
      </c>
      <c r="D82" s="2" t="s">
        <v>29</v>
      </c>
      <c r="E82" s="2" t="s">
        <v>26</v>
      </c>
      <c r="F82" s="2" t="s">
        <v>23</v>
      </c>
      <c r="G82" s="2" t="s">
        <v>20</v>
      </c>
      <c r="H82" s="2" t="s">
        <v>41</v>
      </c>
      <c r="I82" s="2" t="s">
        <v>22</v>
      </c>
      <c r="J82" s="15">
        <v>220000</v>
      </c>
      <c r="K82" s="2">
        <v>3</v>
      </c>
      <c r="L82" s="2" t="s">
        <v>28</v>
      </c>
      <c r="M82" s="12">
        <f t="shared" si="1"/>
        <v>176000</v>
      </c>
      <c r="N82" s="10">
        <f>PRODUCT(Table_13[[#This Row],[Unit Price]],Table_13[[#This Row],[Quantity]])</f>
        <v>660000</v>
      </c>
      <c r="O82" s="16">
        <f>PRODUCT(Table_13[[#This Row],[Cost Price]],Table_13[[#This Row],[Quantity]])</f>
        <v>528000</v>
      </c>
      <c r="P82" s="27">
        <f t="shared" si="4"/>
        <v>132000</v>
      </c>
    </row>
    <row r="83" spans="1:16" x14ac:dyDescent="0.2">
      <c r="A83" s="33">
        <v>45757</v>
      </c>
      <c r="B83" s="30">
        <f t="shared" si="3"/>
        <v>4</v>
      </c>
      <c r="C83" s="30" t="str">
        <f>_xlfn.IFS(Table_13[[#This Row],[Month]]=1,"JAN",Table_13[[#This Row],[Month]]=2,"FEB",B83=3,"MAR",B83=4,"APR",B83=5,"MAY",B83=6,"JUN",B83=7,"JUL",B83=8,"AUG",Table_13[[#This Row],[Month]]=9,"SEPT",B83=10,"OCT",B83=11,"NOV",B83=12,"DEC")</f>
        <v>APR</v>
      </c>
      <c r="D83" s="2" t="s">
        <v>11</v>
      </c>
      <c r="E83" s="2" t="s">
        <v>26</v>
      </c>
      <c r="F83" s="2" t="s">
        <v>13</v>
      </c>
      <c r="G83" s="2" t="s">
        <v>20</v>
      </c>
      <c r="H83" s="2" t="s">
        <v>27</v>
      </c>
      <c r="I83" s="2" t="s">
        <v>22</v>
      </c>
      <c r="J83" s="15">
        <v>60000</v>
      </c>
      <c r="K83" s="2">
        <v>9</v>
      </c>
      <c r="L83" s="2" t="s">
        <v>35</v>
      </c>
      <c r="M83" s="12">
        <f t="shared" si="1"/>
        <v>48000</v>
      </c>
      <c r="N83" s="10">
        <f>PRODUCT(Table_13[[#This Row],[Unit Price]],Table_13[[#This Row],[Quantity]])</f>
        <v>540000</v>
      </c>
      <c r="O83" s="16">
        <f>PRODUCT(Table_13[[#This Row],[Cost Price]],Table_13[[#This Row],[Quantity]])</f>
        <v>432000</v>
      </c>
      <c r="P83" s="27">
        <f t="shared" si="4"/>
        <v>108000</v>
      </c>
    </row>
    <row r="84" spans="1:16" x14ac:dyDescent="0.2">
      <c r="A84" s="33">
        <v>45758</v>
      </c>
      <c r="B84" s="30">
        <f t="shared" si="3"/>
        <v>4</v>
      </c>
      <c r="C84" s="30" t="str">
        <f>_xlfn.IFS(Table_13[[#This Row],[Month]]=1,"JAN",Table_13[[#This Row],[Month]]=2,"FEB",B84=3,"MAR",B84=4,"APR",B84=5,"MAY",B84=6,"JUN",B84=7,"JUL",B84=8,"AUG",Table_13[[#This Row],[Month]]=9,"SEPT",B84=10,"OCT",B84=11,"NOV",B84=12,"DEC")</f>
        <v>APR</v>
      </c>
      <c r="D84" s="2" t="s">
        <v>11</v>
      </c>
      <c r="E84" s="2" t="s">
        <v>19</v>
      </c>
      <c r="F84" s="2" t="s">
        <v>23</v>
      </c>
      <c r="G84" s="2" t="s">
        <v>20</v>
      </c>
      <c r="H84" s="2" t="s">
        <v>34</v>
      </c>
      <c r="I84" s="2" t="s">
        <v>16</v>
      </c>
      <c r="J84" s="15">
        <v>320000</v>
      </c>
      <c r="K84" s="2">
        <v>2</v>
      </c>
      <c r="L84" s="2" t="s">
        <v>28</v>
      </c>
      <c r="M84" s="12">
        <f t="shared" si="1"/>
        <v>256000</v>
      </c>
      <c r="N84" s="10">
        <f>PRODUCT(Table_13[[#This Row],[Unit Price]],Table_13[[#This Row],[Quantity]])</f>
        <v>640000</v>
      </c>
      <c r="O84" s="16">
        <f>PRODUCT(Table_13[[#This Row],[Cost Price]],Table_13[[#This Row],[Quantity]])</f>
        <v>512000</v>
      </c>
      <c r="P84" s="27">
        <f t="shared" si="4"/>
        <v>128000</v>
      </c>
    </row>
    <row r="85" spans="1:16" x14ac:dyDescent="0.2">
      <c r="A85" s="33">
        <v>45759</v>
      </c>
      <c r="B85" s="30">
        <f t="shared" si="3"/>
        <v>4</v>
      </c>
      <c r="C85" s="30" t="str">
        <f>_xlfn.IFS(Table_13[[#This Row],[Month]]=1,"JAN",Table_13[[#This Row],[Month]]=2,"FEB",B85=3,"MAR",B85=4,"APR",B85=5,"MAY",B85=6,"JUN",B85=7,"JUL",B85=8,"AUG",Table_13[[#This Row],[Month]]=9,"SEPT",B85=10,"OCT",B85=11,"NOV",B85=12,"DEC")</f>
        <v>APR</v>
      </c>
      <c r="D85" s="2" t="s">
        <v>11</v>
      </c>
      <c r="E85" s="2" t="s">
        <v>26</v>
      </c>
      <c r="F85" s="2" t="s">
        <v>23</v>
      </c>
      <c r="G85" s="2" t="s">
        <v>14</v>
      </c>
      <c r="H85" s="2" t="s">
        <v>41</v>
      </c>
      <c r="I85" s="2" t="s">
        <v>22</v>
      </c>
      <c r="J85" s="15">
        <v>220000</v>
      </c>
      <c r="K85" s="2">
        <v>5</v>
      </c>
      <c r="L85" s="2" t="s">
        <v>17</v>
      </c>
      <c r="M85" s="12">
        <f t="shared" si="1"/>
        <v>176000</v>
      </c>
      <c r="N85" s="10">
        <f>PRODUCT(Table_13[[#This Row],[Unit Price]],Table_13[[#This Row],[Quantity]])</f>
        <v>1100000</v>
      </c>
      <c r="O85" s="16">
        <f>PRODUCT(Table_13[[#This Row],[Cost Price]],Table_13[[#This Row],[Quantity]])</f>
        <v>880000</v>
      </c>
      <c r="P85" s="27">
        <f t="shared" si="4"/>
        <v>220000</v>
      </c>
    </row>
    <row r="86" spans="1:16" x14ac:dyDescent="0.2">
      <c r="A86" s="33">
        <v>45760</v>
      </c>
      <c r="B86" s="30">
        <f t="shared" si="3"/>
        <v>4</v>
      </c>
      <c r="C86" s="30" t="str">
        <f>_xlfn.IFS(Table_13[[#This Row],[Month]]=1,"JAN",Table_13[[#This Row],[Month]]=2,"FEB",B86=3,"MAR",B86=4,"APR",B86=5,"MAY",B86=6,"JUN",B86=7,"JUL",B86=8,"AUG",Table_13[[#This Row],[Month]]=9,"SEPT",B86=10,"OCT",B86=11,"NOV",B86=12,"DEC")</f>
        <v>APR</v>
      </c>
      <c r="D86" s="2" t="s">
        <v>11</v>
      </c>
      <c r="E86" s="2" t="s">
        <v>12</v>
      </c>
      <c r="F86" s="2" t="s">
        <v>23</v>
      </c>
      <c r="G86" s="2" t="s">
        <v>14</v>
      </c>
      <c r="H86" s="2" t="s">
        <v>36</v>
      </c>
      <c r="I86" s="2" t="s">
        <v>31</v>
      </c>
      <c r="J86" s="15">
        <v>150000</v>
      </c>
      <c r="K86" s="2">
        <v>1</v>
      </c>
      <c r="L86" s="2" t="s">
        <v>39</v>
      </c>
      <c r="M86" s="12">
        <f t="shared" si="1"/>
        <v>120000</v>
      </c>
      <c r="N86" s="10">
        <f>PRODUCT(Table_13[[#This Row],[Unit Price]],Table_13[[#This Row],[Quantity]])</f>
        <v>150000</v>
      </c>
      <c r="O86" s="16">
        <f>PRODUCT(Table_13[[#This Row],[Cost Price]],Table_13[[#This Row],[Quantity]])</f>
        <v>120000</v>
      </c>
      <c r="P86" s="27">
        <f t="shared" si="4"/>
        <v>30000</v>
      </c>
    </row>
    <row r="87" spans="1:16" x14ac:dyDescent="0.2">
      <c r="A87" s="33">
        <v>45761</v>
      </c>
      <c r="B87" s="30">
        <f t="shared" si="3"/>
        <v>4</v>
      </c>
      <c r="C87" s="30" t="str">
        <f>_xlfn.IFS(Table_13[[#This Row],[Month]]=1,"JAN",Table_13[[#This Row],[Month]]=2,"FEB",B87=3,"MAR",B87=4,"APR",B87=5,"MAY",B87=6,"JUN",B87=7,"JUL",B87=8,"AUG",Table_13[[#This Row],[Month]]=9,"SEPT",B87=10,"OCT",B87=11,"NOV",B87=12,"DEC")</f>
        <v>APR</v>
      </c>
      <c r="D87" s="2" t="s">
        <v>25</v>
      </c>
      <c r="E87" s="2" t="s">
        <v>19</v>
      </c>
      <c r="F87" s="2" t="s">
        <v>13</v>
      </c>
      <c r="G87" s="2" t="s">
        <v>20</v>
      </c>
      <c r="H87" s="2" t="s">
        <v>30</v>
      </c>
      <c r="I87" s="2" t="s">
        <v>31</v>
      </c>
      <c r="J87" s="15">
        <v>300000</v>
      </c>
      <c r="K87" s="2">
        <v>8</v>
      </c>
      <c r="L87" s="2" t="s">
        <v>17</v>
      </c>
      <c r="M87" s="12">
        <f t="shared" si="1"/>
        <v>240000</v>
      </c>
      <c r="N87" s="10">
        <f>PRODUCT(Table_13[[#This Row],[Unit Price]],Table_13[[#This Row],[Quantity]])</f>
        <v>2400000</v>
      </c>
      <c r="O87" s="16">
        <f>PRODUCT(Table_13[[#This Row],[Cost Price]],Table_13[[#This Row],[Quantity]])</f>
        <v>1920000</v>
      </c>
      <c r="P87" s="27">
        <f t="shared" si="4"/>
        <v>480000</v>
      </c>
    </row>
    <row r="88" spans="1:16" x14ac:dyDescent="0.2">
      <c r="A88" s="33">
        <v>45762</v>
      </c>
      <c r="B88" s="30">
        <f t="shared" si="3"/>
        <v>4</v>
      </c>
      <c r="C88" s="30" t="str">
        <f>_xlfn.IFS(Table_13[[#This Row],[Month]]=1,"JAN",Table_13[[#This Row],[Month]]=2,"FEB",B88=3,"MAR",B88=4,"APR",B88=5,"MAY",B88=6,"JUN",B88=7,"JUL",B88=8,"AUG",Table_13[[#This Row],[Month]]=9,"SEPT",B88=10,"OCT",B88=11,"NOV",B88=12,"DEC")</f>
        <v>APR</v>
      </c>
      <c r="D88" s="2" t="s">
        <v>18</v>
      </c>
      <c r="E88" s="2" t="s">
        <v>32</v>
      </c>
      <c r="F88" s="2" t="s">
        <v>13</v>
      </c>
      <c r="G88" s="2" t="s">
        <v>14</v>
      </c>
      <c r="H88" s="2" t="s">
        <v>41</v>
      </c>
      <c r="I88" s="2" t="s">
        <v>22</v>
      </c>
      <c r="J88" s="15">
        <v>220000</v>
      </c>
      <c r="K88" s="2">
        <v>3</v>
      </c>
      <c r="L88" s="2" t="s">
        <v>37</v>
      </c>
      <c r="M88" s="12">
        <f t="shared" si="1"/>
        <v>176000</v>
      </c>
      <c r="N88" s="10">
        <f>PRODUCT(Table_13[[#This Row],[Unit Price]],Table_13[[#This Row],[Quantity]])</f>
        <v>660000</v>
      </c>
      <c r="O88" s="16">
        <f>PRODUCT(Table_13[[#This Row],[Cost Price]],Table_13[[#This Row],[Quantity]])</f>
        <v>528000</v>
      </c>
      <c r="P88" s="27">
        <f t="shared" si="4"/>
        <v>132000</v>
      </c>
    </row>
    <row r="89" spans="1:16" x14ac:dyDescent="0.2">
      <c r="A89" s="33">
        <v>45763</v>
      </c>
      <c r="B89" s="30">
        <f t="shared" si="3"/>
        <v>4</v>
      </c>
      <c r="C89" s="30" t="str">
        <f>_xlfn.IFS(Table_13[[#This Row],[Month]]=1,"JAN",Table_13[[#This Row],[Month]]=2,"FEB",B89=3,"MAR",B89=4,"APR",B89=5,"MAY",B89=6,"JUN",B89=7,"JUL",B89=8,"AUG",Table_13[[#This Row],[Month]]=9,"SEPT",B89=10,"OCT",B89=11,"NOV",B89=12,"DEC")</f>
        <v>APR</v>
      </c>
      <c r="D89" s="2" t="s">
        <v>11</v>
      </c>
      <c r="E89" s="2" t="s">
        <v>12</v>
      </c>
      <c r="F89" s="2" t="s">
        <v>13</v>
      </c>
      <c r="G89" s="2" t="s">
        <v>14</v>
      </c>
      <c r="H89" s="2" t="s">
        <v>40</v>
      </c>
      <c r="I89" s="2" t="s">
        <v>31</v>
      </c>
      <c r="J89" s="15">
        <v>250000</v>
      </c>
      <c r="K89" s="2">
        <v>8</v>
      </c>
      <c r="L89" s="2" t="s">
        <v>17</v>
      </c>
      <c r="M89" s="12">
        <f t="shared" si="1"/>
        <v>200000</v>
      </c>
      <c r="N89" s="10">
        <f>PRODUCT(Table_13[[#This Row],[Unit Price]],Table_13[[#This Row],[Quantity]])</f>
        <v>2000000</v>
      </c>
      <c r="O89" s="16">
        <f>PRODUCT(Table_13[[#This Row],[Cost Price]],Table_13[[#This Row],[Quantity]])</f>
        <v>1600000</v>
      </c>
      <c r="P89" s="27">
        <f t="shared" si="4"/>
        <v>400000</v>
      </c>
    </row>
    <row r="90" spans="1:16" x14ac:dyDescent="0.2">
      <c r="A90" s="33">
        <v>45764</v>
      </c>
      <c r="B90" s="30">
        <f t="shared" si="3"/>
        <v>4</v>
      </c>
      <c r="C90" s="30" t="str">
        <f>_xlfn.IFS(Table_13[[#This Row],[Month]]=1,"JAN",Table_13[[#This Row],[Month]]=2,"FEB",B90=3,"MAR",B90=4,"APR",B90=5,"MAY",B90=6,"JUN",B90=7,"JUL",B90=8,"AUG",Table_13[[#This Row],[Month]]=9,"SEPT",B90=10,"OCT",B90=11,"NOV",B90=12,"DEC")</f>
        <v>APR</v>
      </c>
      <c r="D90" s="2" t="s">
        <v>25</v>
      </c>
      <c r="E90" s="2" t="s">
        <v>19</v>
      </c>
      <c r="F90" s="2" t="s">
        <v>23</v>
      </c>
      <c r="G90" s="2" t="s">
        <v>14</v>
      </c>
      <c r="H90" s="2" t="s">
        <v>30</v>
      </c>
      <c r="I90" s="2" t="s">
        <v>31</v>
      </c>
      <c r="J90" s="15">
        <v>300000</v>
      </c>
      <c r="K90" s="2">
        <v>4</v>
      </c>
      <c r="L90" s="2" t="s">
        <v>28</v>
      </c>
      <c r="M90" s="12">
        <f t="shared" si="1"/>
        <v>240000</v>
      </c>
      <c r="N90" s="10">
        <f>PRODUCT(Table_13[[#This Row],[Unit Price]],Table_13[[#This Row],[Quantity]])</f>
        <v>1200000</v>
      </c>
      <c r="O90" s="16">
        <f>PRODUCT(Table_13[[#This Row],[Cost Price]],Table_13[[#This Row],[Quantity]])</f>
        <v>960000</v>
      </c>
      <c r="P90" s="27">
        <f t="shared" si="4"/>
        <v>240000</v>
      </c>
    </row>
    <row r="91" spans="1:16" x14ac:dyDescent="0.2">
      <c r="A91" s="33">
        <v>45765</v>
      </c>
      <c r="B91" s="30">
        <f t="shared" si="3"/>
        <v>4</v>
      </c>
      <c r="C91" s="30" t="str">
        <f>_xlfn.IFS(Table_13[[#This Row],[Month]]=1,"JAN",Table_13[[#This Row],[Month]]=2,"FEB",B91=3,"MAR",B91=4,"APR",B91=5,"MAY",B91=6,"JUN",B91=7,"JUL",B91=8,"AUG",Table_13[[#This Row],[Month]]=9,"SEPT",B91=10,"OCT",B91=11,"NOV",B91=12,"DEC")</f>
        <v>APR</v>
      </c>
      <c r="D91" s="2" t="s">
        <v>25</v>
      </c>
      <c r="E91" s="2" t="s">
        <v>26</v>
      </c>
      <c r="F91" s="2" t="s">
        <v>23</v>
      </c>
      <c r="G91" s="2" t="s">
        <v>20</v>
      </c>
      <c r="H91" s="2" t="s">
        <v>30</v>
      </c>
      <c r="I91" s="2" t="s">
        <v>31</v>
      </c>
      <c r="J91" s="15">
        <v>300000</v>
      </c>
      <c r="K91" s="2">
        <v>1</v>
      </c>
      <c r="L91" s="2" t="s">
        <v>28</v>
      </c>
      <c r="M91" s="12">
        <f t="shared" si="1"/>
        <v>240000</v>
      </c>
      <c r="N91" s="10">
        <f>PRODUCT(Table_13[[#This Row],[Unit Price]],Table_13[[#This Row],[Quantity]])</f>
        <v>300000</v>
      </c>
      <c r="O91" s="16">
        <f>PRODUCT(Table_13[[#This Row],[Cost Price]],Table_13[[#This Row],[Quantity]])</f>
        <v>240000</v>
      </c>
      <c r="P91" s="27">
        <f t="shared" si="4"/>
        <v>60000</v>
      </c>
    </row>
    <row r="92" spans="1:16" x14ac:dyDescent="0.2">
      <c r="A92" s="33">
        <v>45766</v>
      </c>
      <c r="B92" s="30">
        <f t="shared" si="3"/>
        <v>4</v>
      </c>
      <c r="C92" s="30" t="str">
        <f>_xlfn.IFS(Table_13[[#This Row],[Month]]=1,"JAN",Table_13[[#This Row],[Month]]=2,"FEB",B92=3,"MAR",B92=4,"APR",B92=5,"MAY",B92=6,"JUN",B92=7,"JUL",B92=8,"AUG",Table_13[[#This Row],[Month]]=9,"SEPT",B92=10,"OCT",B92=11,"NOV",B92=12,"DEC")</f>
        <v>APR</v>
      </c>
      <c r="D92" s="2" t="s">
        <v>18</v>
      </c>
      <c r="E92" s="2" t="s">
        <v>32</v>
      </c>
      <c r="F92" s="2" t="s">
        <v>13</v>
      </c>
      <c r="G92" s="2" t="s">
        <v>14</v>
      </c>
      <c r="H92" s="2" t="s">
        <v>40</v>
      </c>
      <c r="I92" s="2" t="s">
        <v>31</v>
      </c>
      <c r="J92" s="15">
        <v>250000</v>
      </c>
      <c r="K92" s="2">
        <v>8</v>
      </c>
      <c r="L92" s="2" t="s">
        <v>28</v>
      </c>
      <c r="M92" s="12">
        <f t="shared" si="1"/>
        <v>200000</v>
      </c>
      <c r="N92" s="10">
        <f>PRODUCT(Table_13[[#This Row],[Unit Price]],Table_13[[#This Row],[Quantity]])</f>
        <v>2000000</v>
      </c>
      <c r="O92" s="16">
        <f>PRODUCT(Table_13[[#This Row],[Cost Price]],Table_13[[#This Row],[Quantity]])</f>
        <v>1600000</v>
      </c>
      <c r="P92" s="27">
        <f t="shared" si="4"/>
        <v>400000</v>
      </c>
    </row>
    <row r="93" spans="1:16" x14ac:dyDescent="0.2">
      <c r="A93" s="33">
        <v>45767</v>
      </c>
      <c r="B93" s="30">
        <f t="shared" si="3"/>
        <v>4</v>
      </c>
      <c r="C93" s="30" t="str">
        <f>_xlfn.IFS(Table_13[[#This Row],[Month]]=1,"JAN",Table_13[[#This Row],[Month]]=2,"FEB",B93=3,"MAR",B93=4,"APR",B93=5,"MAY",B93=6,"JUN",B93=7,"JUL",B93=8,"AUG",Table_13[[#This Row],[Month]]=9,"SEPT",B93=10,"OCT",B93=11,"NOV",B93=12,"DEC")</f>
        <v>APR</v>
      </c>
      <c r="D93" s="2" t="s">
        <v>11</v>
      </c>
      <c r="E93" s="2" t="s">
        <v>32</v>
      </c>
      <c r="F93" s="2" t="s">
        <v>23</v>
      </c>
      <c r="G93" s="2" t="s">
        <v>20</v>
      </c>
      <c r="H93" s="2" t="s">
        <v>33</v>
      </c>
      <c r="I93" s="2" t="s">
        <v>22</v>
      </c>
      <c r="J93" s="15">
        <v>180000</v>
      </c>
      <c r="K93" s="2">
        <v>2</v>
      </c>
      <c r="L93" s="2" t="s">
        <v>37</v>
      </c>
      <c r="M93" s="12">
        <f t="shared" si="1"/>
        <v>144000</v>
      </c>
      <c r="N93" s="10">
        <f>PRODUCT(Table_13[[#This Row],[Unit Price]],Table_13[[#This Row],[Quantity]])</f>
        <v>360000</v>
      </c>
      <c r="O93" s="16">
        <f>PRODUCT(Table_13[[#This Row],[Cost Price]],Table_13[[#This Row],[Quantity]])</f>
        <v>288000</v>
      </c>
      <c r="P93" s="27">
        <f t="shared" si="4"/>
        <v>72000</v>
      </c>
    </row>
    <row r="94" spans="1:16" x14ac:dyDescent="0.2">
      <c r="A94" s="33">
        <v>45768</v>
      </c>
      <c r="B94" s="30">
        <f t="shared" si="3"/>
        <v>4</v>
      </c>
      <c r="C94" s="30" t="str">
        <f>_xlfn.IFS(Table_13[[#This Row],[Month]]=1,"JAN",Table_13[[#This Row],[Month]]=2,"FEB",B94=3,"MAR",B94=4,"APR",B94=5,"MAY",B94=6,"JUN",B94=7,"JUL",B94=8,"AUG",Table_13[[#This Row],[Month]]=9,"SEPT",B94=10,"OCT",B94=11,"NOV",B94=12,"DEC")</f>
        <v>APR</v>
      </c>
      <c r="D94" s="2" t="s">
        <v>11</v>
      </c>
      <c r="E94" s="2" t="s">
        <v>32</v>
      </c>
      <c r="F94" s="2" t="s">
        <v>13</v>
      </c>
      <c r="G94" s="2" t="s">
        <v>20</v>
      </c>
      <c r="H94" s="2" t="s">
        <v>33</v>
      </c>
      <c r="I94" s="2" t="s">
        <v>22</v>
      </c>
      <c r="J94" s="15">
        <v>180000</v>
      </c>
      <c r="K94" s="2">
        <v>6</v>
      </c>
      <c r="L94" s="2" t="s">
        <v>28</v>
      </c>
      <c r="M94" s="12">
        <f t="shared" si="1"/>
        <v>144000</v>
      </c>
      <c r="N94" s="10">
        <f>PRODUCT(Table_13[[#This Row],[Unit Price]],Table_13[[#This Row],[Quantity]])</f>
        <v>1080000</v>
      </c>
      <c r="O94" s="16">
        <f>PRODUCT(Table_13[[#This Row],[Cost Price]],Table_13[[#This Row],[Quantity]])</f>
        <v>864000</v>
      </c>
      <c r="P94" s="27">
        <f t="shared" si="4"/>
        <v>216000</v>
      </c>
    </row>
    <row r="95" spans="1:16" x14ac:dyDescent="0.2">
      <c r="A95" s="33">
        <v>45769</v>
      </c>
      <c r="B95" s="30">
        <f t="shared" si="3"/>
        <v>4</v>
      </c>
      <c r="C95" s="30" t="str">
        <f>_xlfn.IFS(Table_13[[#This Row],[Month]]=1,"JAN",Table_13[[#This Row],[Month]]=2,"FEB",B95=3,"MAR",B95=4,"APR",B95=5,"MAY",B95=6,"JUN",B95=7,"JUL",B95=8,"AUG",Table_13[[#This Row],[Month]]=9,"SEPT",B95=10,"OCT",B95=11,"NOV",B95=12,"DEC")</f>
        <v>APR</v>
      </c>
      <c r="D95" s="2" t="s">
        <v>29</v>
      </c>
      <c r="E95" s="2" t="s">
        <v>19</v>
      </c>
      <c r="F95" s="2" t="s">
        <v>23</v>
      </c>
      <c r="G95" s="2" t="s">
        <v>14</v>
      </c>
      <c r="H95" s="2" t="s">
        <v>30</v>
      </c>
      <c r="I95" s="2" t="s">
        <v>31</v>
      </c>
      <c r="J95" s="15">
        <v>300000</v>
      </c>
      <c r="K95" s="2">
        <v>2</v>
      </c>
      <c r="L95" s="2" t="s">
        <v>28</v>
      </c>
      <c r="M95" s="12">
        <f t="shared" si="1"/>
        <v>240000</v>
      </c>
      <c r="N95" s="10">
        <f>PRODUCT(Table_13[[#This Row],[Unit Price]],Table_13[[#This Row],[Quantity]])</f>
        <v>600000</v>
      </c>
      <c r="O95" s="16">
        <f>PRODUCT(Table_13[[#This Row],[Cost Price]],Table_13[[#This Row],[Quantity]])</f>
        <v>480000</v>
      </c>
      <c r="P95" s="27">
        <f t="shared" si="4"/>
        <v>120000</v>
      </c>
    </row>
    <row r="96" spans="1:16" x14ac:dyDescent="0.2">
      <c r="A96" s="33">
        <v>45770</v>
      </c>
      <c r="B96" s="30">
        <f t="shared" si="3"/>
        <v>4</v>
      </c>
      <c r="C96" s="30" t="str">
        <f>_xlfn.IFS(Table_13[[#This Row],[Month]]=1,"JAN",Table_13[[#This Row],[Month]]=2,"FEB",B96=3,"MAR",B96=4,"APR",B96=5,"MAY",B96=6,"JUN",B96=7,"JUL",B96=8,"AUG",Table_13[[#This Row],[Month]]=9,"SEPT",B96=10,"OCT",B96=11,"NOV",B96=12,"DEC")</f>
        <v>APR</v>
      </c>
      <c r="D96" s="2" t="s">
        <v>18</v>
      </c>
      <c r="E96" s="2" t="s">
        <v>12</v>
      </c>
      <c r="F96" s="2" t="s">
        <v>23</v>
      </c>
      <c r="G96" s="2" t="s">
        <v>20</v>
      </c>
      <c r="H96" s="2" t="s">
        <v>36</v>
      </c>
      <c r="I96" s="2" t="s">
        <v>31</v>
      </c>
      <c r="J96" s="15">
        <v>150000</v>
      </c>
      <c r="K96" s="2">
        <v>6</v>
      </c>
      <c r="L96" s="2" t="s">
        <v>17</v>
      </c>
      <c r="M96" s="12">
        <f t="shared" si="1"/>
        <v>120000</v>
      </c>
      <c r="N96" s="10">
        <f>PRODUCT(Table_13[[#This Row],[Unit Price]],Table_13[[#This Row],[Quantity]])</f>
        <v>900000</v>
      </c>
      <c r="O96" s="16">
        <f>PRODUCT(Table_13[[#This Row],[Cost Price]],Table_13[[#This Row],[Quantity]])</f>
        <v>720000</v>
      </c>
      <c r="P96" s="27">
        <f t="shared" si="4"/>
        <v>180000</v>
      </c>
    </row>
    <row r="97" spans="1:16" x14ac:dyDescent="0.2">
      <c r="A97" s="33">
        <v>45771</v>
      </c>
      <c r="B97" s="30">
        <f t="shared" si="3"/>
        <v>4</v>
      </c>
      <c r="C97" s="30" t="str">
        <f>_xlfn.IFS(Table_13[[#This Row],[Month]]=1,"JAN",Table_13[[#This Row],[Month]]=2,"FEB",B97=3,"MAR",B97=4,"APR",B97=5,"MAY",B97=6,"JUN",B97=7,"JUL",B97=8,"AUG",Table_13[[#This Row],[Month]]=9,"SEPT",B97=10,"OCT",B97=11,"NOV",B97=12,"DEC")</f>
        <v>APR</v>
      </c>
      <c r="D97" s="2" t="s">
        <v>25</v>
      </c>
      <c r="E97" s="2" t="s">
        <v>19</v>
      </c>
      <c r="F97" s="2" t="s">
        <v>23</v>
      </c>
      <c r="G97" s="2" t="s">
        <v>20</v>
      </c>
      <c r="H97" s="2" t="s">
        <v>38</v>
      </c>
      <c r="I97" s="2" t="s">
        <v>31</v>
      </c>
      <c r="J97" s="15">
        <v>420000</v>
      </c>
      <c r="K97" s="2">
        <v>10</v>
      </c>
      <c r="L97" s="2" t="s">
        <v>17</v>
      </c>
      <c r="M97" s="12">
        <f t="shared" si="1"/>
        <v>336000</v>
      </c>
      <c r="N97" s="10">
        <f>PRODUCT(Table_13[[#This Row],[Unit Price]],Table_13[[#This Row],[Quantity]])</f>
        <v>4200000</v>
      </c>
      <c r="O97" s="16">
        <f>PRODUCT(Table_13[[#This Row],[Cost Price]],Table_13[[#This Row],[Quantity]])</f>
        <v>3360000</v>
      </c>
      <c r="P97" s="27">
        <f t="shared" si="4"/>
        <v>840000</v>
      </c>
    </row>
    <row r="98" spans="1:16" x14ac:dyDescent="0.2">
      <c r="A98" s="33">
        <v>45772</v>
      </c>
      <c r="B98" s="30">
        <f t="shared" si="3"/>
        <v>4</v>
      </c>
      <c r="C98" s="30" t="str">
        <f>_xlfn.IFS(Table_13[[#This Row],[Month]]=1,"JAN",Table_13[[#This Row],[Month]]=2,"FEB",B98=3,"MAR",B98=4,"APR",B98=5,"MAY",B98=6,"JUN",B98=7,"JUL",B98=8,"AUG",Table_13[[#This Row],[Month]]=9,"SEPT",B98=10,"OCT",B98=11,"NOV",B98=12,"DEC")</f>
        <v>APR</v>
      </c>
      <c r="D98" s="2" t="s">
        <v>18</v>
      </c>
      <c r="E98" s="2" t="s">
        <v>26</v>
      </c>
      <c r="F98" s="2" t="s">
        <v>13</v>
      </c>
      <c r="G98" s="2" t="s">
        <v>14</v>
      </c>
      <c r="H98" s="2" t="s">
        <v>38</v>
      </c>
      <c r="I98" s="2" t="s">
        <v>31</v>
      </c>
      <c r="J98" s="15">
        <v>420000</v>
      </c>
      <c r="K98" s="2">
        <v>8</v>
      </c>
      <c r="L98" s="2" t="s">
        <v>28</v>
      </c>
      <c r="M98" s="12">
        <f t="shared" si="1"/>
        <v>336000</v>
      </c>
      <c r="N98" s="10">
        <f>PRODUCT(Table_13[[#This Row],[Unit Price]],Table_13[[#This Row],[Quantity]])</f>
        <v>3360000</v>
      </c>
      <c r="O98" s="16">
        <f>PRODUCT(Table_13[[#This Row],[Cost Price]],Table_13[[#This Row],[Quantity]])</f>
        <v>2688000</v>
      </c>
      <c r="P98" s="27">
        <f t="shared" si="4"/>
        <v>672000</v>
      </c>
    </row>
    <row r="99" spans="1:16" x14ac:dyDescent="0.2">
      <c r="A99" s="33">
        <v>45773</v>
      </c>
      <c r="B99" s="30">
        <f t="shared" si="3"/>
        <v>4</v>
      </c>
      <c r="C99" s="30" t="str">
        <f>_xlfn.IFS(Table_13[[#This Row],[Month]]=1,"JAN",Table_13[[#This Row],[Month]]=2,"FEB",B99=3,"MAR",B99=4,"APR",B99=5,"MAY",B99=6,"JUN",B99=7,"JUL",B99=8,"AUG",Table_13[[#This Row],[Month]]=9,"SEPT",B99=10,"OCT",B99=11,"NOV",B99=12,"DEC")</f>
        <v>APR</v>
      </c>
      <c r="D99" s="2" t="s">
        <v>25</v>
      </c>
      <c r="E99" s="2" t="s">
        <v>19</v>
      </c>
      <c r="F99" s="2" t="s">
        <v>13</v>
      </c>
      <c r="G99" s="2" t="s">
        <v>20</v>
      </c>
      <c r="H99" s="2" t="s">
        <v>33</v>
      </c>
      <c r="I99" s="2" t="s">
        <v>22</v>
      </c>
      <c r="J99" s="15">
        <v>180000</v>
      </c>
      <c r="K99" s="2">
        <v>8</v>
      </c>
      <c r="L99" s="2" t="s">
        <v>17</v>
      </c>
      <c r="M99" s="12">
        <f t="shared" si="1"/>
        <v>144000</v>
      </c>
      <c r="N99" s="10">
        <f>PRODUCT(Table_13[[#This Row],[Unit Price]],Table_13[[#This Row],[Quantity]])</f>
        <v>1440000</v>
      </c>
      <c r="O99" s="16">
        <f>PRODUCT(Table_13[[#This Row],[Cost Price]],Table_13[[#This Row],[Quantity]])</f>
        <v>1152000</v>
      </c>
      <c r="P99" s="27">
        <f t="shared" si="4"/>
        <v>288000</v>
      </c>
    </row>
    <row r="100" spans="1:16" x14ac:dyDescent="0.2">
      <c r="A100" s="33">
        <v>45774</v>
      </c>
      <c r="B100" s="30">
        <f t="shared" si="3"/>
        <v>4</v>
      </c>
      <c r="C100" s="30" t="str">
        <f>_xlfn.IFS(Table_13[[#This Row],[Month]]=1,"JAN",Table_13[[#This Row],[Month]]=2,"FEB",B100=3,"MAR",B100=4,"APR",B100=5,"MAY",B100=6,"JUN",B100=7,"JUL",B100=8,"AUG",Table_13[[#This Row],[Month]]=9,"SEPT",B100=10,"OCT",B100=11,"NOV",B100=12,"DEC")</f>
        <v>APR</v>
      </c>
      <c r="D100" s="2" t="s">
        <v>25</v>
      </c>
      <c r="E100" s="2" t="s">
        <v>26</v>
      </c>
      <c r="F100" s="2" t="s">
        <v>13</v>
      </c>
      <c r="G100" s="2" t="s">
        <v>20</v>
      </c>
      <c r="H100" s="2" t="s">
        <v>30</v>
      </c>
      <c r="I100" s="2" t="s">
        <v>31</v>
      </c>
      <c r="J100" s="15">
        <v>300000</v>
      </c>
      <c r="K100" s="2">
        <v>4</v>
      </c>
      <c r="L100" s="2" t="s">
        <v>37</v>
      </c>
      <c r="M100" s="12">
        <f t="shared" si="1"/>
        <v>240000</v>
      </c>
      <c r="N100" s="10">
        <f>PRODUCT(Table_13[[#This Row],[Unit Price]],Table_13[[#This Row],[Quantity]])</f>
        <v>1200000</v>
      </c>
      <c r="O100" s="16">
        <f>PRODUCT(Table_13[[#This Row],[Cost Price]],Table_13[[#This Row],[Quantity]])</f>
        <v>960000</v>
      </c>
      <c r="P100" s="27">
        <f t="shared" si="4"/>
        <v>240000</v>
      </c>
    </row>
    <row r="101" spans="1:16" x14ac:dyDescent="0.2">
      <c r="A101" s="33">
        <v>45775</v>
      </c>
      <c r="B101" s="30">
        <f t="shared" si="3"/>
        <v>4</v>
      </c>
      <c r="C101" s="30" t="str">
        <f>_xlfn.IFS(Table_13[[#This Row],[Month]]=1,"JAN",Table_13[[#This Row],[Month]]=2,"FEB",B101=3,"MAR",B101=4,"APR",B101=5,"MAY",B101=6,"JUN",B101=7,"JUL",B101=8,"AUG",Table_13[[#This Row],[Month]]=9,"SEPT",B101=10,"OCT",B101=11,"NOV",B101=12,"DEC")</f>
        <v>APR</v>
      </c>
      <c r="D101" s="2" t="s">
        <v>25</v>
      </c>
      <c r="E101" s="2" t="s">
        <v>26</v>
      </c>
      <c r="F101" s="2" t="s">
        <v>13</v>
      </c>
      <c r="G101" s="2" t="s">
        <v>20</v>
      </c>
      <c r="H101" s="2" t="s">
        <v>38</v>
      </c>
      <c r="I101" s="2" t="s">
        <v>31</v>
      </c>
      <c r="J101" s="15">
        <v>420000</v>
      </c>
      <c r="K101" s="2">
        <v>1</v>
      </c>
      <c r="L101" s="2" t="s">
        <v>35</v>
      </c>
      <c r="M101" s="12">
        <f t="shared" si="1"/>
        <v>336000</v>
      </c>
      <c r="N101" s="10">
        <f>PRODUCT(Table_13[[#This Row],[Unit Price]],Table_13[[#This Row],[Quantity]])</f>
        <v>420000</v>
      </c>
      <c r="O101" s="16">
        <f>PRODUCT(Table_13[[#This Row],[Cost Price]],Table_13[[#This Row],[Quantity]])</f>
        <v>336000</v>
      </c>
      <c r="P101" s="27">
        <f t="shared" si="4"/>
        <v>84000</v>
      </c>
    </row>
    <row r="102" spans="1:16" x14ac:dyDescent="0.2">
      <c r="A102" s="33">
        <v>45776</v>
      </c>
      <c r="B102" s="30">
        <f t="shared" si="3"/>
        <v>4</v>
      </c>
      <c r="C102" s="30" t="str">
        <f>_xlfn.IFS(Table_13[[#This Row],[Month]]=1,"JAN",Table_13[[#This Row],[Month]]=2,"FEB",B102=3,"MAR",B102=4,"APR",B102=5,"MAY",B102=6,"JUN",B102=7,"JUL",B102=8,"AUG",Table_13[[#This Row],[Month]]=9,"SEPT",B102=10,"OCT",B102=11,"NOV",B102=12,"DEC")</f>
        <v>APR</v>
      </c>
      <c r="D102" s="2" t="s">
        <v>11</v>
      </c>
      <c r="E102" s="2" t="s">
        <v>26</v>
      </c>
      <c r="F102" s="2" t="s">
        <v>23</v>
      </c>
      <c r="G102" s="2" t="s">
        <v>14</v>
      </c>
      <c r="H102" s="2" t="s">
        <v>21</v>
      </c>
      <c r="I102" s="2" t="s">
        <v>22</v>
      </c>
      <c r="J102" s="15">
        <v>30000</v>
      </c>
      <c r="K102" s="2">
        <v>7</v>
      </c>
      <c r="L102" s="2" t="s">
        <v>28</v>
      </c>
      <c r="M102" s="12">
        <f t="shared" si="1"/>
        <v>24000</v>
      </c>
      <c r="N102" s="10">
        <f>PRODUCT(Table_13[[#This Row],[Unit Price]],Table_13[[#This Row],[Quantity]])</f>
        <v>210000</v>
      </c>
      <c r="O102" s="16">
        <f>PRODUCT(Table_13[[#This Row],[Cost Price]],Table_13[[#This Row],[Quantity]])</f>
        <v>168000</v>
      </c>
      <c r="P102" s="27">
        <f t="shared" si="4"/>
        <v>42000</v>
      </c>
    </row>
    <row r="103" spans="1:16" x14ac:dyDescent="0.2">
      <c r="A103" s="33">
        <v>45777</v>
      </c>
      <c r="B103" s="30">
        <f t="shared" si="3"/>
        <v>4</v>
      </c>
      <c r="C103" s="30" t="str">
        <f>_xlfn.IFS(Table_13[[#This Row],[Month]]=1,"JAN",Table_13[[#This Row],[Month]]=2,"FEB",B103=3,"MAR",B103=4,"APR",B103=5,"MAY",B103=6,"JUN",B103=7,"JUL",B103=8,"AUG",Table_13[[#This Row],[Month]]=9,"SEPT",B103=10,"OCT",B103=11,"NOV",B103=12,"DEC")</f>
        <v>APR</v>
      </c>
      <c r="D103" s="2" t="s">
        <v>25</v>
      </c>
      <c r="E103" s="2" t="s">
        <v>12</v>
      </c>
      <c r="F103" s="2" t="s">
        <v>13</v>
      </c>
      <c r="G103" s="2" t="s">
        <v>14</v>
      </c>
      <c r="H103" s="2" t="s">
        <v>38</v>
      </c>
      <c r="I103" s="2" t="s">
        <v>31</v>
      </c>
      <c r="J103" s="15">
        <v>420000</v>
      </c>
      <c r="K103" s="2">
        <v>3</v>
      </c>
      <c r="L103" s="2" t="s">
        <v>28</v>
      </c>
      <c r="M103" s="12">
        <f t="shared" si="1"/>
        <v>336000</v>
      </c>
      <c r="N103" s="10">
        <f>PRODUCT(Table_13[[#This Row],[Unit Price]],Table_13[[#This Row],[Quantity]])</f>
        <v>1260000</v>
      </c>
      <c r="O103" s="16">
        <f>PRODUCT(Table_13[[#This Row],[Cost Price]],Table_13[[#This Row],[Quantity]])</f>
        <v>1008000</v>
      </c>
      <c r="P103" s="27">
        <f t="shared" si="4"/>
        <v>252000</v>
      </c>
    </row>
    <row r="104" spans="1:16" x14ac:dyDescent="0.2">
      <c r="A104" s="33">
        <v>45778</v>
      </c>
      <c r="B104" s="30">
        <f t="shared" si="3"/>
        <v>5</v>
      </c>
      <c r="C104" s="30" t="str">
        <f>_xlfn.IFS(Table_13[[#This Row],[Month]]=1,"JAN",Table_13[[#This Row],[Month]]=2,"FEB",B104=3,"MAR",B104=4,"APR",B104=5,"MAY",B104=6,"JUN",B104=7,"JUL",B104=8,"AUG",Table_13[[#This Row],[Month]]=9,"SEPT",B104=10,"OCT",B104=11,"NOV",B104=12,"DEC")</f>
        <v>MAY</v>
      </c>
      <c r="D104" s="2" t="s">
        <v>25</v>
      </c>
      <c r="E104" s="2" t="s">
        <v>12</v>
      </c>
      <c r="F104" s="2" t="s">
        <v>13</v>
      </c>
      <c r="G104" s="2" t="s">
        <v>20</v>
      </c>
      <c r="H104" s="2" t="s">
        <v>27</v>
      </c>
      <c r="I104" s="2" t="s">
        <v>22</v>
      </c>
      <c r="J104" s="15">
        <v>60000</v>
      </c>
      <c r="K104" s="2">
        <v>5</v>
      </c>
      <c r="L104" s="2" t="s">
        <v>39</v>
      </c>
      <c r="M104" s="12">
        <f t="shared" si="1"/>
        <v>48000</v>
      </c>
      <c r="N104" s="10">
        <f>PRODUCT(Table_13[[#This Row],[Unit Price]],Table_13[[#This Row],[Quantity]])</f>
        <v>300000</v>
      </c>
      <c r="O104" s="16">
        <f>PRODUCT(Table_13[[#This Row],[Cost Price]],Table_13[[#This Row],[Quantity]])</f>
        <v>240000</v>
      </c>
      <c r="P104" s="27">
        <f t="shared" si="4"/>
        <v>60000</v>
      </c>
    </row>
    <row r="105" spans="1:16" x14ac:dyDescent="0.2">
      <c r="A105" s="33">
        <v>45779</v>
      </c>
      <c r="B105" s="30">
        <f t="shared" si="3"/>
        <v>5</v>
      </c>
      <c r="C105" s="30" t="str">
        <f>_xlfn.IFS(Table_13[[#This Row],[Month]]=1,"JAN",Table_13[[#This Row],[Month]]=2,"FEB",B105=3,"MAR",B105=4,"APR",B105=5,"MAY",B105=6,"JUN",B105=7,"JUL",B105=8,"AUG",Table_13[[#This Row],[Month]]=9,"SEPT",B105=10,"OCT",B105=11,"NOV",B105=12,"DEC")</f>
        <v>MAY</v>
      </c>
      <c r="D105" s="2" t="s">
        <v>11</v>
      </c>
      <c r="E105" s="2" t="s">
        <v>32</v>
      </c>
      <c r="F105" s="2" t="s">
        <v>23</v>
      </c>
      <c r="G105" s="2" t="s">
        <v>14</v>
      </c>
      <c r="H105" s="2" t="s">
        <v>30</v>
      </c>
      <c r="I105" s="2" t="s">
        <v>31</v>
      </c>
      <c r="J105" s="15">
        <v>300000</v>
      </c>
      <c r="K105" s="2">
        <v>9</v>
      </c>
      <c r="L105" s="2" t="s">
        <v>39</v>
      </c>
      <c r="M105" s="12">
        <f t="shared" si="1"/>
        <v>240000</v>
      </c>
      <c r="N105" s="10">
        <f>PRODUCT(Table_13[[#This Row],[Unit Price]],Table_13[[#This Row],[Quantity]])</f>
        <v>2700000</v>
      </c>
      <c r="O105" s="16">
        <f>PRODUCT(Table_13[[#This Row],[Cost Price]],Table_13[[#This Row],[Quantity]])</f>
        <v>2160000</v>
      </c>
      <c r="P105" s="27">
        <f t="shared" si="4"/>
        <v>540000</v>
      </c>
    </row>
    <row r="106" spans="1:16" x14ac:dyDescent="0.2">
      <c r="A106" s="33">
        <v>45780</v>
      </c>
      <c r="B106" s="30">
        <f t="shared" si="3"/>
        <v>5</v>
      </c>
      <c r="C106" s="30" t="str">
        <f>_xlfn.IFS(Table_13[[#This Row],[Month]]=1,"JAN",Table_13[[#This Row],[Month]]=2,"FEB",B106=3,"MAR",B106=4,"APR",B106=5,"MAY",B106=6,"JUN",B106=7,"JUL",B106=8,"AUG",Table_13[[#This Row],[Month]]=9,"SEPT",B106=10,"OCT",B106=11,"NOV",B106=12,"DEC")</f>
        <v>MAY</v>
      </c>
      <c r="D106" s="2" t="s">
        <v>18</v>
      </c>
      <c r="E106" s="2" t="s">
        <v>26</v>
      </c>
      <c r="F106" s="2" t="s">
        <v>13</v>
      </c>
      <c r="G106" s="2" t="s">
        <v>20</v>
      </c>
      <c r="H106" s="2" t="s">
        <v>34</v>
      </c>
      <c r="I106" s="2" t="s">
        <v>16</v>
      </c>
      <c r="J106" s="15">
        <v>320000</v>
      </c>
      <c r="K106" s="2">
        <v>4</v>
      </c>
      <c r="L106" s="2" t="s">
        <v>35</v>
      </c>
      <c r="M106" s="12">
        <f t="shared" si="1"/>
        <v>256000</v>
      </c>
      <c r="N106" s="10">
        <f>PRODUCT(Table_13[[#This Row],[Unit Price]],Table_13[[#This Row],[Quantity]])</f>
        <v>1280000</v>
      </c>
      <c r="O106" s="16">
        <f>PRODUCT(Table_13[[#This Row],[Cost Price]],Table_13[[#This Row],[Quantity]])</f>
        <v>1024000</v>
      </c>
      <c r="P106" s="27">
        <f t="shared" si="4"/>
        <v>256000</v>
      </c>
    </row>
    <row r="107" spans="1:16" x14ac:dyDescent="0.2">
      <c r="A107" s="33">
        <v>45781</v>
      </c>
      <c r="B107" s="30">
        <f t="shared" si="3"/>
        <v>5</v>
      </c>
      <c r="C107" s="30" t="str">
        <f>_xlfn.IFS(Table_13[[#This Row],[Month]]=1,"JAN",Table_13[[#This Row],[Month]]=2,"FEB",B107=3,"MAR",B107=4,"APR",B107=5,"MAY",B107=6,"JUN",B107=7,"JUL",B107=8,"AUG",Table_13[[#This Row],[Month]]=9,"SEPT",B107=10,"OCT",B107=11,"NOV",B107=12,"DEC")</f>
        <v>MAY</v>
      </c>
      <c r="D107" s="2" t="s">
        <v>29</v>
      </c>
      <c r="E107" s="2" t="s">
        <v>19</v>
      </c>
      <c r="F107" s="2" t="s">
        <v>13</v>
      </c>
      <c r="G107" s="2" t="s">
        <v>20</v>
      </c>
      <c r="H107" s="2" t="s">
        <v>33</v>
      </c>
      <c r="I107" s="2" t="s">
        <v>22</v>
      </c>
      <c r="J107" s="15">
        <v>180000</v>
      </c>
      <c r="K107" s="2">
        <v>2</v>
      </c>
      <c r="L107" s="2" t="s">
        <v>39</v>
      </c>
      <c r="M107" s="12">
        <f t="shared" si="1"/>
        <v>144000</v>
      </c>
      <c r="N107" s="10">
        <f>PRODUCT(Table_13[[#This Row],[Unit Price]],Table_13[[#This Row],[Quantity]])</f>
        <v>360000</v>
      </c>
      <c r="O107" s="16">
        <f>PRODUCT(Table_13[[#This Row],[Cost Price]],Table_13[[#This Row],[Quantity]])</f>
        <v>288000</v>
      </c>
      <c r="P107" s="27">
        <f t="shared" si="4"/>
        <v>72000</v>
      </c>
    </row>
    <row r="108" spans="1:16" x14ac:dyDescent="0.2">
      <c r="A108" s="33">
        <v>45782</v>
      </c>
      <c r="B108" s="30">
        <f t="shared" si="3"/>
        <v>5</v>
      </c>
      <c r="C108" s="30" t="str">
        <f>_xlfn.IFS(Table_13[[#This Row],[Month]]=1,"JAN",Table_13[[#This Row],[Month]]=2,"FEB",B108=3,"MAR",B108=4,"APR",B108=5,"MAY",B108=6,"JUN",B108=7,"JUL",B108=8,"AUG",Table_13[[#This Row],[Month]]=9,"SEPT",B108=10,"OCT",B108=11,"NOV",B108=12,"DEC")</f>
        <v>MAY</v>
      </c>
      <c r="D108" s="2" t="s">
        <v>18</v>
      </c>
      <c r="E108" s="2" t="s">
        <v>19</v>
      </c>
      <c r="F108" s="2" t="s">
        <v>13</v>
      </c>
      <c r="G108" s="2" t="s">
        <v>14</v>
      </c>
      <c r="H108" s="2" t="s">
        <v>15</v>
      </c>
      <c r="I108" s="2" t="s">
        <v>16</v>
      </c>
      <c r="J108" s="15">
        <v>85000</v>
      </c>
      <c r="K108" s="2">
        <v>1</v>
      </c>
      <c r="L108" s="2" t="s">
        <v>35</v>
      </c>
      <c r="M108" s="12">
        <f t="shared" si="1"/>
        <v>68000</v>
      </c>
      <c r="N108" s="10">
        <f>PRODUCT(Table_13[[#This Row],[Unit Price]],Table_13[[#This Row],[Quantity]])</f>
        <v>85000</v>
      </c>
      <c r="O108" s="16">
        <f>PRODUCT(Table_13[[#This Row],[Cost Price]],Table_13[[#This Row],[Quantity]])</f>
        <v>68000</v>
      </c>
      <c r="P108" s="27">
        <f t="shared" si="4"/>
        <v>17000</v>
      </c>
    </row>
    <row r="109" spans="1:16" x14ac:dyDescent="0.2">
      <c r="A109" s="33">
        <v>45783</v>
      </c>
      <c r="B109" s="30">
        <f t="shared" si="3"/>
        <v>5</v>
      </c>
      <c r="C109" s="30" t="str">
        <f>_xlfn.IFS(Table_13[[#This Row],[Month]]=1,"JAN",Table_13[[#This Row],[Month]]=2,"FEB",B109=3,"MAR",B109=4,"APR",B109=5,"MAY",B109=6,"JUN",B109=7,"JUL",B109=8,"AUG",Table_13[[#This Row],[Month]]=9,"SEPT",B109=10,"OCT",B109=11,"NOV",B109=12,"DEC")</f>
        <v>MAY</v>
      </c>
      <c r="D109" s="2" t="s">
        <v>29</v>
      </c>
      <c r="E109" s="2" t="s">
        <v>26</v>
      </c>
      <c r="F109" s="2" t="s">
        <v>23</v>
      </c>
      <c r="G109" s="2" t="s">
        <v>20</v>
      </c>
      <c r="H109" s="2" t="s">
        <v>34</v>
      </c>
      <c r="I109" s="2" t="s">
        <v>16</v>
      </c>
      <c r="J109" s="15">
        <v>320000</v>
      </c>
      <c r="K109" s="2">
        <v>7</v>
      </c>
      <c r="L109" s="2" t="s">
        <v>35</v>
      </c>
      <c r="M109" s="12">
        <f t="shared" si="1"/>
        <v>256000</v>
      </c>
      <c r="N109" s="10">
        <f>PRODUCT(Table_13[[#This Row],[Unit Price]],Table_13[[#This Row],[Quantity]])</f>
        <v>2240000</v>
      </c>
      <c r="O109" s="16">
        <f>PRODUCT(Table_13[[#This Row],[Cost Price]],Table_13[[#This Row],[Quantity]])</f>
        <v>1792000</v>
      </c>
      <c r="P109" s="27">
        <f t="shared" si="4"/>
        <v>448000</v>
      </c>
    </row>
    <row r="110" spans="1:16" x14ac:dyDescent="0.2">
      <c r="A110" s="33">
        <v>45784</v>
      </c>
      <c r="B110" s="30">
        <f t="shared" si="3"/>
        <v>5</v>
      </c>
      <c r="C110" s="30" t="str">
        <f>_xlfn.IFS(Table_13[[#This Row],[Month]]=1,"JAN",Table_13[[#This Row],[Month]]=2,"FEB",B110=3,"MAR",B110=4,"APR",B110=5,"MAY",B110=6,"JUN",B110=7,"JUL",B110=8,"AUG",Table_13[[#This Row],[Month]]=9,"SEPT",B110=10,"OCT",B110=11,"NOV",B110=12,"DEC")</f>
        <v>MAY</v>
      </c>
      <c r="D110" s="2" t="s">
        <v>18</v>
      </c>
      <c r="E110" s="2" t="s">
        <v>32</v>
      </c>
      <c r="F110" s="2" t="s">
        <v>23</v>
      </c>
      <c r="G110" s="2" t="s">
        <v>14</v>
      </c>
      <c r="H110" s="2" t="s">
        <v>27</v>
      </c>
      <c r="I110" s="2" t="s">
        <v>22</v>
      </c>
      <c r="J110" s="15">
        <v>60000</v>
      </c>
      <c r="K110" s="2">
        <v>9</v>
      </c>
      <c r="L110" s="2" t="s">
        <v>17</v>
      </c>
      <c r="M110" s="12">
        <f t="shared" si="1"/>
        <v>48000</v>
      </c>
      <c r="N110" s="10">
        <f>PRODUCT(Table_13[[#This Row],[Unit Price]],Table_13[[#This Row],[Quantity]])</f>
        <v>540000</v>
      </c>
      <c r="O110" s="16">
        <f>PRODUCT(Table_13[[#This Row],[Cost Price]],Table_13[[#This Row],[Quantity]])</f>
        <v>432000</v>
      </c>
      <c r="P110" s="27">
        <f t="shared" si="4"/>
        <v>108000</v>
      </c>
    </row>
    <row r="111" spans="1:16" x14ac:dyDescent="0.2">
      <c r="A111" s="33">
        <v>45785</v>
      </c>
      <c r="B111" s="30">
        <f t="shared" si="3"/>
        <v>5</v>
      </c>
      <c r="C111" s="30" t="str">
        <f>_xlfn.IFS(Table_13[[#This Row],[Month]]=1,"JAN",Table_13[[#This Row],[Month]]=2,"FEB",B111=3,"MAR",B111=4,"APR",B111=5,"MAY",B111=6,"JUN",B111=7,"JUL",B111=8,"AUG",Table_13[[#This Row],[Month]]=9,"SEPT",B111=10,"OCT",B111=11,"NOV",B111=12,"DEC")</f>
        <v>MAY</v>
      </c>
      <c r="D111" s="2" t="s">
        <v>29</v>
      </c>
      <c r="E111" s="2" t="s">
        <v>32</v>
      </c>
      <c r="F111" s="2" t="s">
        <v>23</v>
      </c>
      <c r="G111" s="2" t="s">
        <v>20</v>
      </c>
      <c r="H111" s="2" t="s">
        <v>15</v>
      </c>
      <c r="I111" s="2" t="s">
        <v>16</v>
      </c>
      <c r="J111" s="15">
        <v>85000</v>
      </c>
      <c r="K111" s="2">
        <v>1</v>
      </c>
      <c r="L111" s="2" t="s">
        <v>24</v>
      </c>
      <c r="M111" s="12">
        <f t="shared" si="1"/>
        <v>68000</v>
      </c>
      <c r="N111" s="10">
        <f>PRODUCT(Table_13[[#This Row],[Unit Price]],Table_13[[#This Row],[Quantity]])</f>
        <v>85000</v>
      </c>
      <c r="O111" s="16">
        <f>PRODUCT(Table_13[[#This Row],[Cost Price]],Table_13[[#This Row],[Quantity]])</f>
        <v>68000</v>
      </c>
      <c r="P111" s="27">
        <f t="shared" si="4"/>
        <v>17000</v>
      </c>
    </row>
    <row r="112" spans="1:16" x14ac:dyDescent="0.2">
      <c r="A112" s="33">
        <v>45786</v>
      </c>
      <c r="B112" s="30">
        <f t="shared" si="3"/>
        <v>5</v>
      </c>
      <c r="C112" s="30" t="str">
        <f>_xlfn.IFS(Table_13[[#This Row],[Month]]=1,"JAN",Table_13[[#This Row],[Month]]=2,"FEB",B112=3,"MAR",B112=4,"APR",B112=5,"MAY",B112=6,"JUN",B112=7,"JUL",B112=8,"AUG",Table_13[[#This Row],[Month]]=9,"SEPT",B112=10,"OCT",B112=11,"NOV",B112=12,"DEC")</f>
        <v>MAY</v>
      </c>
      <c r="D112" s="2" t="s">
        <v>18</v>
      </c>
      <c r="E112" s="2" t="s">
        <v>19</v>
      </c>
      <c r="F112" s="2" t="s">
        <v>13</v>
      </c>
      <c r="G112" s="2" t="s">
        <v>14</v>
      </c>
      <c r="H112" s="2" t="s">
        <v>30</v>
      </c>
      <c r="I112" s="2" t="s">
        <v>31</v>
      </c>
      <c r="J112" s="15">
        <v>300000</v>
      </c>
      <c r="K112" s="2">
        <v>6</v>
      </c>
      <c r="L112" s="2" t="s">
        <v>39</v>
      </c>
      <c r="M112" s="12">
        <f t="shared" si="1"/>
        <v>240000</v>
      </c>
      <c r="N112" s="10">
        <f>PRODUCT(Table_13[[#This Row],[Unit Price]],Table_13[[#This Row],[Quantity]])</f>
        <v>1800000</v>
      </c>
      <c r="O112" s="16">
        <f>PRODUCT(Table_13[[#This Row],[Cost Price]],Table_13[[#This Row],[Quantity]])</f>
        <v>1440000</v>
      </c>
      <c r="P112" s="27">
        <f t="shared" si="4"/>
        <v>360000</v>
      </c>
    </row>
    <row r="113" spans="1:16" x14ac:dyDescent="0.2">
      <c r="A113" s="33">
        <v>45787</v>
      </c>
      <c r="B113" s="30">
        <f t="shared" si="3"/>
        <v>5</v>
      </c>
      <c r="C113" s="30" t="str">
        <f>_xlfn.IFS(Table_13[[#This Row],[Month]]=1,"JAN",Table_13[[#This Row],[Month]]=2,"FEB",B113=3,"MAR",B113=4,"APR",B113=5,"MAY",B113=6,"JUN",B113=7,"JUL",B113=8,"AUG",Table_13[[#This Row],[Month]]=9,"SEPT",B113=10,"OCT",B113=11,"NOV",B113=12,"DEC")</f>
        <v>MAY</v>
      </c>
      <c r="D113" s="2" t="s">
        <v>29</v>
      </c>
      <c r="E113" s="2" t="s">
        <v>19</v>
      </c>
      <c r="F113" s="2" t="s">
        <v>23</v>
      </c>
      <c r="G113" s="2" t="s">
        <v>14</v>
      </c>
      <c r="H113" s="2" t="s">
        <v>21</v>
      </c>
      <c r="I113" s="2" t="s">
        <v>22</v>
      </c>
      <c r="J113" s="15">
        <v>30000</v>
      </c>
      <c r="K113" s="2">
        <v>5</v>
      </c>
      <c r="L113" s="2" t="s">
        <v>17</v>
      </c>
      <c r="M113" s="12">
        <f t="shared" si="1"/>
        <v>24000</v>
      </c>
      <c r="N113" s="10">
        <f>PRODUCT(Table_13[[#This Row],[Unit Price]],Table_13[[#This Row],[Quantity]])</f>
        <v>150000</v>
      </c>
      <c r="O113" s="16">
        <f>PRODUCT(Table_13[[#This Row],[Cost Price]],Table_13[[#This Row],[Quantity]])</f>
        <v>120000</v>
      </c>
      <c r="P113" s="27">
        <f t="shared" si="4"/>
        <v>30000</v>
      </c>
    </row>
    <row r="114" spans="1:16" x14ac:dyDescent="0.2">
      <c r="A114" s="33">
        <v>45788</v>
      </c>
      <c r="B114" s="30">
        <f t="shared" si="3"/>
        <v>5</v>
      </c>
      <c r="C114" s="30" t="str">
        <f>_xlfn.IFS(Table_13[[#This Row],[Month]]=1,"JAN",Table_13[[#This Row],[Month]]=2,"FEB",B114=3,"MAR",B114=4,"APR",B114=5,"MAY",B114=6,"JUN",B114=7,"JUL",B114=8,"AUG",Table_13[[#This Row],[Month]]=9,"SEPT",B114=10,"OCT",B114=11,"NOV",B114=12,"DEC")</f>
        <v>MAY</v>
      </c>
      <c r="D114" s="2" t="s">
        <v>29</v>
      </c>
      <c r="E114" s="2" t="s">
        <v>12</v>
      </c>
      <c r="F114" s="2" t="s">
        <v>13</v>
      </c>
      <c r="G114" s="2" t="s">
        <v>20</v>
      </c>
      <c r="H114" s="2" t="s">
        <v>36</v>
      </c>
      <c r="I114" s="2" t="s">
        <v>31</v>
      </c>
      <c r="J114" s="15">
        <v>150000</v>
      </c>
      <c r="K114" s="2">
        <v>4</v>
      </c>
      <c r="L114" s="2" t="s">
        <v>37</v>
      </c>
      <c r="M114" s="12">
        <f t="shared" si="1"/>
        <v>120000</v>
      </c>
      <c r="N114" s="10">
        <f>PRODUCT(Table_13[[#This Row],[Unit Price]],Table_13[[#This Row],[Quantity]])</f>
        <v>600000</v>
      </c>
      <c r="O114" s="16">
        <f>PRODUCT(Table_13[[#This Row],[Cost Price]],Table_13[[#This Row],[Quantity]])</f>
        <v>480000</v>
      </c>
      <c r="P114" s="27">
        <f t="shared" si="4"/>
        <v>120000</v>
      </c>
    </row>
    <row r="115" spans="1:16" x14ac:dyDescent="0.2">
      <c r="A115" s="33">
        <v>45789</v>
      </c>
      <c r="B115" s="30">
        <f t="shared" si="3"/>
        <v>5</v>
      </c>
      <c r="C115" s="30" t="str">
        <f>_xlfn.IFS(Table_13[[#This Row],[Month]]=1,"JAN",Table_13[[#This Row],[Month]]=2,"FEB",B115=3,"MAR",B115=4,"APR",B115=5,"MAY",B115=6,"JUN",B115=7,"JUL",B115=8,"AUG",Table_13[[#This Row],[Month]]=9,"SEPT",B115=10,"OCT",B115=11,"NOV",B115=12,"DEC")</f>
        <v>MAY</v>
      </c>
      <c r="D115" s="2" t="s">
        <v>25</v>
      </c>
      <c r="E115" s="2" t="s">
        <v>12</v>
      </c>
      <c r="F115" s="2" t="s">
        <v>23</v>
      </c>
      <c r="G115" s="2" t="s">
        <v>20</v>
      </c>
      <c r="H115" s="2" t="s">
        <v>36</v>
      </c>
      <c r="I115" s="2" t="s">
        <v>31</v>
      </c>
      <c r="J115" s="15">
        <v>150000</v>
      </c>
      <c r="K115" s="2">
        <v>6</v>
      </c>
      <c r="L115" s="2" t="s">
        <v>37</v>
      </c>
      <c r="M115" s="12">
        <f t="shared" si="1"/>
        <v>120000</v>
      </c>
      <c r="N115" s="10">
        <f>PRODUCT(Table_13[[#This Row],[Unit Price]],Table_13[[#This Row],[Quantity]])</f>
        <v>900000</v>
      </c>
      <c r="O115" s="16">
        <f>PRODUCT(Table_13[[#This Row],[Cost Price]],Table_13[[#This Row],[Quantity]])</f>
        <v>720000</v>
      </c>
      <c r="P115" s="27">
        <f t="shared" si="4"/>
        <v>180000</v>
      </c>
    </row>
    <row r="116" spans="1:16" x14ac:dyDescent="0.2">
      <c r="A116" s="33">
        <v>45790</v>
      </c>
      <c r="B116" s="30">
        <f t="shared" si="3"/>
        <v>5</v>
      </c>
      <c r="C116" s="30" t="str">
        <f>_xlfn.IFS(Table_13[[#This Row],[Month]]=1,"JAN",Table_13[[#This Row],[Month]]=2,"FEB",B116=3,"MAR",B116=4,"APR",B116=5,"MAY",B116=6,"JUN",B116=7,"JUL",B116=8,"AUG",Table_13[[#This Row],[Month]]=9,"SEPT",B116=10,"OCT",B116=11,"NOV",B116=12,"DEC")</f>
        <v>MAY</v>
      </c>
      <c r="D116" s="2" t="s">
        <v>29</v>
      </c>
      <c r="E116" s="2" t="s">
        <v>19</v>
      </c>
      <c r="F116" s="2" t="s">
        <v>23</v>
      </c>
      <c r="G116" s="2" t="s">
        <v>20</v>
      </c>
      <c r="H116" s="2" t="s">
        <v>36</v>
      </c>
      <c r="I116" s="2" t="s">
        <v>31</v>
      </c>
      <c r="J116" s="15">
        <v>150000</v>
      </c>
      <c r="K116" s="2">
        <v>8</v>
      </c>
      <c r="L116" s="2" t="s">
        <v>37</v>
      </c>
      <c r="M116" s="12">
        <f t="shared" si="1"/>
        <v>120000</v>
      </c>
      <c r="N116" s="10">
        <f>PRODUCT(Table_13[[#This Row],[Unit Price]],Table_13[[#This Row],[Quantity]])</f>
        <v>1200000</v>
      </c>
      <c r="O116" s="16">
        <f>PRODUCT(Table_13[[#This Row],[Cost Price]],Table_13[[#This Row],[Quantity]])</f>
        <v>960000</v>
      </c>
      <c r="P116" s="27">
        <f t="shared" si="4"/>
        <v>240000</v>
      </c>
    </row>
    <row r="117" spans="1:16" x14ac:dyDescent="0.2">
      <c r="A117" s="33">
        <v>45791</v>
      </c>
      <c r="B117" s="30">
        <f t="shared" si="3"/>
        <v>5</v>
      </c>
      <c r="C117" s="30" t="str">
        <f>_xlfn.IFS(Table_13[[#This Row],[Month]]=1,"JAN",Table_13[[#This Row],[Month]]=2,"FEB",B117=3,"MAR",B117=4,"APR",B117=5,"MAY",B117=6,"JUN",B117=7,"JUL",B117=8,"AUG",Table_13[[#This Row],[Month]]=9,"SEPT",B117=10,"OCT",B117=11,"NOV",B117=12,"DEC")</f>
        <v>MAY</v>
      </c>
      <c r="D117" s="2" t="s">
        <v>25</v>
      </c>
      <c r="E117" s="2" t="s">
        <v>19</v>
      </c>
      <c r="F117" s="2" t="s">
        <v>13</v>
      </c>
      <c r="G117" s="2" t="s">
        <v>20</v>
      </c>
      <c r="H117" s="2" t="s">
        <v>21</v>
      </c>
      <c r="I117" s="2" t="s">
        <v>22</v>
      </c>
      <c r="J117" s="15">
        <v>30000</v>
      </c>
      <c r="K117" s="2">
        <v>6</v>
      </c>
      <c r="L117" s="2" t="s">
        <v>17</v>
      </c>
      <c r="M117" s="12">
        <f t="shared" si="1"/>
        <v>24000</v>
      </c>
      <c r="N117" s="10">
        <f>PRODUCT(Table_13[[#This Row],[Unit Price]],Table_13[[#This Row],[Quantity]])</f>
        <v>180000</v>
      </c>
      <c r="O117" s="16">
        <f>PRODUCT(Table_13[[#This Row],[Cost Price]],Table_13[[#This Row],[Quantity]])</f>
        <v>144000</v>
      </c>
      <c r="P117" s="27">
        <f t="shared" si="4"/>
        <v>36000</v>
      </c>
    </row>
    <row r="118" spans="1:16" x14ac:dyDescent="0.2">
      <c r="A118" s="33">
        <v>45792</v>
      </c>
      <c r="B118" s="30">
        <f t="shared" si="3"/>
        <v>5</v>
      </c>
      <c r="C118" s="30" t="str">
        <f>_xlfn.IFS(Table_13[[#This Row],[Month]]=1,"JAN",Table_13[[#This Row],[Month]]=2,"FEB",B118=3,"MAR",B118=4,"APR",B118=5,"MAY",B118=6,"JUN",B118=7,"JUL",B118=8,"AUG",Table_13[[#This Row],[Month]]=9,"SEPT",B118=10,"OCT",B118=11,"NOV",B118=12,"DEC")</f>
        <v>MAY</v>
      </c>
      <c r="D118" s="2" t="s">
        <v>11</v>
      </c>
      <c r="E118" s="2" t="s">
        <v>19</v>
      </c>
      <c r="F118" s="2" t="s">
        <v>13</v>
      </c>
      <c r="G118" s="2" t="s">
        <v>14</v>
      </c>
      <c r="H118" s="2" t="s">
        <v>40</v>
      </c>
      <c r="I118" s="2" t="s">
        <v>31</v>
      </c>
      <c r="J118" s="15">
        <v>250000</v>
      </c>
      <c r="K118" s="2">
        <v>3</v>
      </c>
      <c r="L118" s="2" t="s">
        <v>35</v>
      </c>
      <c r="M118" s="12">
        <f t="shared" si="1"/>
        <v>200000</v>
      </c>
      <c r="N118" s="10">
        <f>PRODUCT(Table_13[[#This Row],[Unit Price]],Table_13[[#This Row],[Quantity]])</f>
        <v>750000</v>
      </c>
      <c r="O118" s="16">
        <f>PRODUCT(Table_13[[#This Row],[Cost Price]],Table_13[[#This Row],[Quantity]])</f>
        <v>600000</v>
      </c>
      <c r="P118" s="27">
        <f t="shared" si="4"/>
        <v>150000</v>
      </c>
    </row>
    <row r="119" spans="1:16" x14ac:dyDescent="0.2">
      <c r="A119" s="33">
        <v>45793</v>
      </c>
      <c r="B119" s="30">
        <f t="shared" si="3"/>
        <v>5</v>
      </c>
      <c r="C119" s="30" t="str">
        <f>_xlfn.IFS(Table_13[[#This Row],[Month]]=1,"JAN",Table_13[[#This Row],[Month]]=2,"FEB",B119=3,"MAR",B119=4,"APR",B119=5,"MAY",B119=6,"JUN",B119=7,"JUL",B119=8,"AUG",Table_13[[#This Row],[Month]]=9,"SEPT",B119=10,"OCT",B119=11,"NOV",B119=12,"DEC")</f>
        <v>MAY</v>
      </c>
      <c r="D119" s="2" t="s">
        <v>25</v>
      </c>
      <c r="E119" s="2" t="s">
        <v>19</v>
      </c>
      <c r="F119" s="2" t="s">
        <v>23</v>
      </c>
      <c r="G119" s="2" t="s">
        <v>14</v>
      </c>
      <c r="H119" s="2" t="s">
        <v>36</v>
      </c>
      <c r="I119" s="2" t="s">
        <v>31</v>
      </c>
      <c r="J119" s="15">
        <v>150000</v>
      </c>
      <c r="K119" s="2">
        <v>5</v>
      </c>
      <c r="L119" s="2" t="s">
        <v>17</v>
      </c>
      <c r="M119" s="12">
        <f t="shared" si="1"/>
        <v>120000</v>
      </c>
      <c r="N119" s="10">
        <f>PRODUCT(Table_13[[#This Row],[Unit Price]],Table_13[[#This Row],[Quantity]])</f>
        <v>750000</v>
      </c>
      <c r="O119" s="16">
        <f>PRODUCT(Table_13[[#This Row],[Cost Price]],Table_13[[#This Row],[Quantity]])</f>
        <v>600000</v>
      </c>
      <c r="P119" s="27">
        <f t="shared" si="4"/>
        <v>150000</v>
      </c>
    </row>
    <row r="120" spans="1:16" x14ac:dyDescent="0.2">
      <c r="A120" s="33">
        <v>45794</v>
      </c>
      <c r="B120" s="30">
        <f t="shared" si="3"/>
        <v>5</v>
      </c>
      <c r="C120" s="30" t="str">
        <f>_xlfn.IFS(Table_13[[#This Row],[Month]]=1,"JAN",Table_13[[#This Row],[Month]]=2,"FEB",B120=3,"MAR",B120=4,"APR",B120=5,"MAY",B120=6,"JUN",B120=7,"JUL",B120=8,"AUG",Table_13[[#This Row],[Month]]=9,"SEPT",B120=10,"OCT",B120=11,"NOV",B120=12,"DEC")</f>
        <v>MAY</v>
      </c>
      <c r="D120" s="2" t="s">
        <v>11</v>
      </c>
      <c r="E120" s="2" t="s">
        <v>19</v>
      </c>
      <c r="F120" s="2" t="s">
        <v>13</v>
      </c>
      <c r="G120" s="2" t="s">
        <v>14</v>
      </c>
      <c r="H120" s="2" t="s">
        <v>41</v>
      </c>
      <c r="I120" s="2" t="s">
        <v>22</v>
      </c>
      <c r="J120" s="15">
        <v>220000</v>
      </c>
      <c r="K120" s="2">
        <v>1</v>
      </c>
      <c r="L120" s="2" t="s">
        <v>37</v>
      </c>
      <c r="M120" s="12">
        <f t="shared" si="1"/>
        <v>176000</v>
      </c>
      <c r="N120" s="10">
        <f>PRODUCT(Table_13[[#This Row],[Unit Price]],Table_13[[#This Row],[Quantity]])</f>
        <v>220000</v>
      </c>
      <c r="O120" s="16">
        <f>PRODUCT(Table_13[[#This Row],[Cost Price]],Table_13[[#This Row],[Quantity]])</f>
        <v>176000</v>
      </c>
      <c r="P120" s="27">
        <f t="shared" si="4"/>
        <v>44000</v>
      </c>
    </row>
    <row r="121" spans="1:16" x14ac:dyDescent="0.2">
      <c r="A121" s="33">
        <v>45795</v>
      </c>
      <c r="B121" s="30">
        <f t="shared" si="3"/>
        <v>5</v>
      </c>
      <c r="C121" s="30" t="str">
        <f>_xlfn.IFS(Table_13[[#This Row],[Month]]=1,"JAN",Table_13[[#This Row],[Month]]=2,"FEB",B121=3,"MAR",B121=4,"APR",B121=5,"MAY",B121=6,"JUN",B121=7,"JUL",B121=8,"AUG",Table_13[[#This Row],[Month]]=9,"SEPT",B121=10,"OCT",B121=11,"NOV",B121=12,"DEC")</f>
        <v>MAY</v>
      </c>
      <c r="D121" s="2" t="s">
        <v>29</v>
      </c>
      <c r="E121" s="2" t="s">
        <v>19</v>
      </c>
      <c r="F121" s="2" t="s">
        <v>13</v>
      </c>
      <c r="G121" s="2" t="s">
        <v>20</v>
      </c>
      <c r="H121" s="2" t="s">
        <v>34</v>
      </c>
      <c r="I121" s="2" t="s">
        <v>16</v>
      </c>
      <c r="J121" s="15">
        <v>320000</v>
      </c>
      <c r="K121" s="2">
        <v>10</v>
      </c>
      <c r="L121" s="2" t="s">
        <v>35</v>
      </c>
      <c r="M121" s="12">
        <f t="shared" si="1"/>
        <v>256000</v>
      </c>
      <c r="N121" s="10">
        <f>PRODUCT(Table_13[[#This Row],[Unit Price]],Table_13[[#This Row],[Quantity]])</f>
        <v>3200000</v>
      </c>
      <c r="O121" s="16">
        <f>PRODUCT(Table_13[[#This Row],[Cost Price]],Table_13[[#This Row],[Quantity]])</f>
        <v>2560000</v>
      </c>
      <c r="P121" s="27">
        <f t="shared" si="4"/>
        <v>640000</v>
      </c>
    </row>
    <row r="122" spans="1:16" x14ac:dyDescent="0.2">
      <c r="A122" s="33">
        <v>45796</v>
      </c>
      <c r="B122" s="30">
        <f t="shared" si="3"/>
        <v>5</v>
      </c>
      <c r="C122" s="30" t="str">
        <f>_xlfn.IFS(Table_13[[#This Row],[Month]]=1,"JAN",Table_13[[#This Row],[Month]]=2,"FEB",B122=3,"MAR",B122=4,"APR",B122=5,"MAY",B122=6,"JUN",B122=7,"JUL",B122=8,"AUG",Table_13[[#This Row],[Month]]=9,"SEPT",B122=10,"OCT",B122=11,"NOV",B122=12,"DEC")</f>
        <v>MAY</v>
      </c>
      <c r="D122" s="2" t="s">
        <v>25</v>
      </c>
      <c r="E122" s="2" t="s">
        <v>12</v>
      </c>
      <c r="F122" s="2" t="s">
        <v>23</v>
      </c>
      <c r="G122" s="2" t="s">
        <v>20</v>
      </c>
      <c r="H122" s="2" t="s">
        <v>27</v>
      </c>
      <c r="I122" s="2" t="s">
        <v>22</v>
      </c>
      <c r="J122" s="15">
        <v>60000</v>
      </c>
      <c r="K122" s="2">
        <v>5</v>
      </c>
      <c r="L122" s="2" t="s">
        <v>24</v>
      </c>
      <c r="M122" s="12">
        <f t="shared" si="1"/>
        <v>48000</v>
      </c>
      <c r="N122" s="10">
        <f>PRODUCT(Table_13[[#This Row],[Unit Price]],Table_13[[#This Row],[Quantity]])</f>
        <v>300000</v>
      </c>
      <c r="O122" s="16">
        <f>PRODUCT(Table_13[[#This Row],[Cost Price]],Table_13[[#This Row],[Quantity]])</f>
        <v>240000</v>
      </c>
      <c r="P122" s="27">
        <f t="shared" si="4"/>
        <v>60000</v>
      </c>
    </row>
    <row r="123" spans="1:16" x14ac:dyDescent="0.2">
      <c r="A123" s="33">
        <v>45797</v>
      </c>
      <c r="B123" s="30">
        <f t="shared" si="3"/>
        <v>5</v>
      </c>
      <c r="C123" s="30" t="str">
        <f>_xlfn.IFS(Table_13[[#This Row],[Month]]=1,"JAN",Table_13[[#This Row],[Month]]=2,"FEB",B123=3,"MAR",B123=4,"APR",B123=5,"MAY",B123=6,"JUN",B123=7,"JUL",B123=8,"AUG",Table_13[[#This Row],[Month]]=9,"SEPT",B123=10,"OCT",B123=11,"NOV",B123=12,"DEC")</f>
        <v>MAY</v>
      </c>
      <c r="D123" s="2" t="s">
        <v>18</v>
      </c>
      <c r="E123" s="2" t="s">
        <v>32</v>
      </c>
      <c r="F123" s="2" t="s">
        <v>13</v>
      </c>
      <c r="G123" s="2" t="s">
        <v>20</v>
      </c>
      <c r="H123" s="2" t="s">
        <v>36</v>
      </c>
      <c r="I123" s="2" t="s">
        <v>31</v>
      </c>
      <c r="J123" s="15">
        <v>150000</v>
      </c>
      <c r="K123" s="2">
        <v>7</v>
      </c>
      <c r="L123" s="2" t="s">
        <v>39</v>
      </c>
      <c r="M123" s="12">
        <f t="shared" si="1"/>
        <v>120000</v>
      </c>
      <c r="N123" s="10">
        <f>PRODUCT(Table_13[[#This Row],[Unit Price]],Table_13[[#This Row],[Quantity]])</f>
        <v>1050000</v>
      </c>
      <c r="O123" s="16">
        <f>PRODUCT(Table_13[[#This Row],[Cost Price]],Table_13[[#This Row],[Quantity]])</f>
        <v>840000</v>
      </c>
      <c r="P123" s="27">
        <f t="shared" si="4"/>
        <v>210000</v>
      </c>
    </row>
    <row r="124" spans="1:16" x14ac:dyDescent="0.2">
      <c r="A124" s="33">
        <v>45798</v>
      </c>
      <c r="B124" s="30">
        <f t="shared" si="3"/>
        <v>5</v>
      </c>
      <c r="C124" s="30" t="str">
        <f>_xlfn.IFS(Table_13[[#This Row],[Month]]=1,"JAN",Table_13[[#This Row],[Month]]=2,"FEB",B124=3,"MAR",B124=4,"APR",B124=5,"MAY",B124=6,"JUN",B124=7,"JUL",B124=8,"AUG",Table_13[[#This Row],[Month]]=9,"SEPT",B124=10,"OCT",B124=11,"NOV",B124=12,"DEC")</f>
        <v>MAY</v>
      </c>
      <c r="D124" s="2" t="s">
        <v>29</v>
      </c>
      <c r="E124" s="2" t="s">
        <v>26</v>
      </c>
      <c r="F124" s="2" t="s">
        <v>13</v>
      </c>
      <c r="G124" s="2" t="s">
        <v>14</v>
      </c>
      <c r="H124" s="2" t="s">
        <v>27</v>
      </c>
      <c r="I124" s="2" t="s">
        <v>22</v>
      </c>
      <c r="J124" s="15">
        <v>60000</v>
      </c>
      <c r="K124" s="2">
        <v>7</v>
      </c>
      <c r="L124" s="2" t="s">
        <v>28</v>
      </c>
      <c r="M124" s="12">
        <f t="shared" si="1"/>
        <v>48000</v>
      </c>
      <c r="N124" s="10">
        <f>PRODUCT(Table_13[[#This Row],[Unit Price]],Table_13[[#This Row],[Quantity]])</f>
        <v>420000</v>
      </c>
      <c r="O124" s="16">
        <f>PRODUCT(Table_13[[#This Row],[Cost Price]],Table_13[[#This Row],[Quantity]])</f>
        <v>336000</v>
      </c>
      <c r="P124" s="27">
        <f t="shared" si="4"/>
        <v>84000</v>
      </c>
    </row>
    <row r="125" spans="1:16" x14ac:dyDescent="0.2">
      <c r="A125" s="33">
        <v>45799</v>
      </c>
      <c r="B125" s="30">
        <f t="shared" si="3"/>
        <v>5</v>
      </c>
      <c r="C125" s="30" t="str">
        <f>_xlfn.IFS(Table_13[[#This Row],[Month]]=1,"JAN",Table_13[[#This Row],[Month]]=2,"FEB",B125=3,"MAR",B125=4,"APR",B125=5,"MAY",B125=6,"JUN",B125=7,"JUL",B125=8,"AUG",Table_13[[#This Row],[Month]]=9,"SEPT",B125=10,"OCT",B125=11,"NOV",B125=12,"DEC")</f>
        <v>MAY</v>
      </c>
      <c r="D125" s="2" t="s">
        <v>29</v>
      </c>
      <c r="E125" s="2" t="s">
        <v>12</v>
      </c>
      <c r="F125" s="2" t="s">
        <v>23</v>
      </c>
      <c r="G125" s="2" t="s">
        <v>20</v>
      </c>
      <c r="H125" s="2" t="s">
        <v>41</v>
      </c>
      <c r="I125" s="2" t="s">
        <v>22</v>
      </c>
      <c r="J125" s="15">
        <v>220000</v>
      </c>
      <c r="K125" s="2">
        <v>4</v>
      </c>
      <c r="L125" s="2" t="s">
        <v>35</v>
      </c>
      <c r="M125" s="12">
        <f t="shared" si="1"/>
        <v>176000</v>
      </c>
      <c r="N125" s="10">
        <f>PRODUCT(Table_13[[#This Row],[Unit Price]],Table_13[[#This Row],[Quantity]])</f>
        <v>880000</v>
      </c>
      <c r="O125" s="16">
        <f>PRODUCT(Table_13[[#This Row],[Cost Price]],Table_13[[#This Row],[Quantity]])</f>
        <v>704000</v>
      </c>
      <c r="P125" s="27">
        <f t="shared" si="4"/>
        <v>176000</v>
      </c>
    </row>
    <row r="126" spans="1:16" x14ac:dyDescent="0.2">
      <c r="A126" s="33">
        <v>45800</v>
      </c>
      <c r="B126" s="30">
        <f t="shared" si="3"/>
        <v>5</v>
      </c>
      <c r="C126" s="30" t="str">
        <f>_xlfn.IFS(Table_13[[#This Row],[Month]]=1,"JAN",Table_13[[#This Row],[Month]]=2,"FEB",B126=3,"MAR",B126=4,"APR",B126=5,"MAY",B126=6,"JUN",B126=7,"JUL",B126=8,"AUG",Table_13[[#This Row],[Month]]=9,"SEPT",B126=10,"OCT",B126=11,"NOV",B126=12,"DEC")</f>
        <v>MAY</v>
      </c>
      <c r="D126" s="2" t="s">
        <v>18</v>
      </c>
      <c r="E126" s="2" t="s">
        <v>26</v>
      </c>
      <c r="F126" s="2" t="s">
        <v>23</v>
      </c>
      <c r="G126" s="2" t="s">
        <v>20</v>
      </c>
      <c r="H126" s="2" t="s">
        <v>40</v>
      </c>
      <c r="I126" s="2" t="s">
        <v>31</v>
      </c>
      <c r="J126" s="15">
        <v>250000</v>
      </c>
      <c r="K126" s="2">
        <v>6</v>
      </c>
      <c r="L126" s="2" t="s">
        <v>24</v>
      </c>
      <c r="M126" s="12">
        <f t="shared" si="1"/>
        <v>200000</v>
      </c>
      <c r="N126" s="10">
        <f>PRODUCT(Table_13[[#This Row],[Unit Price]],Table_13[[#This Row],[Quantity]])</f>
        <v>1500000</v>
      </c>
      <c r="O126" s="16">
        <f>PRODUCT(Table_13[[#This Row],[Cost Price]],Table_13[[#This Row],[Quantity]])</f>
        <v>1200000</v>
      </c>
      <c r="P126" s="27">
        <f t="shared" si="4"/>
        <v>300000</v>
      </c>
    </row>
    <row r="127" spans="1:16" x14ac:dyDescent="0.2">
      <c r="A127" s="33">
        <v>45801</v>
      </c>
      <c r="B127" s="30">
        <f t="shared" si="3"/>
        <v>5</v>
      </c>
      <c r="C127" s="30" t="str">
        <f>_xlfn.IFS(Table_13[[#This Row],[Month]]=1,"JAN",Table_13[[#This Row],[Month]]=2,"FEB",B127=3,"MAR",B127=4,"APR",B127=5,"MAY",B127=6,"JUN",B127=7,"JUL",B127=8,"AUG",Table_13[[#This Row],[Month]]=9,"SEPT",B127=10,"OCT",B127=11,"NOV",B127=12,"DEC")</f>
        <v>MAY</v>
      </c>
      <c r="D127" s="2" t="s">
        <v>29</v>
      </c>
      <c r="E127" s="2" t="s">
        <v>12</v>
      </c>
      <c r="F127" s="2" t="s">
        <v>23</v>
      </c>
      <c r="G127" s="2" t="s">
        <v>14</v>
      </c>
      <c r="H127" s="2" t="s">
        <v>38</v>
      </c>
      <c r="I127" s="2" t="s">
        <v>31</v>
      </c>
      <c r="J127" s="15">
        <v>420000</v>
      </c>
      <c r="K127" s="2">
        <v>10</v>
      </c>
      <c r="L127" s="2" t="s">
        <v>17</v>
      </c>
      <c r="M127" s="12">
        <f t="shared" si="1"/>
        <v>336000</v>
      </c>
      <c r="N127" s="10">
        <f>PRODUCT(Table_13[[#This Row],[Unit Price]],Table_13[[#This Row],[Quantity]])</f>
        <v>4200000</v>
      </c>
      <c r="O127" s="16">
        <f>PRODUCT(Table_13[[#This Row],[Cost Price]],Table_13[[#This Row],[Quantity]])</f>
        <v>3360000</v>
      </c>
      <c r="P127" s="27">
        <f t="shared" si="4"/>
        <v>840000</v>
      </c>
    </row>
    <row r="128" spans="1:16" x14ac:dyDescent="0.2">
      <c r="A128" s="33">
        <v>45802</v>
      </c>
      <c r="B128" s="30">
        <f t="shared" si="3"/>
        <v>5</v>
      </c>
      <c r="C128" s="30" t="str">
        <f>_xlfn.IFS(Table_13[[#This Row],[Month]]=1,"JAN",Table_13[[#This Row],[Month]]=2,"FEB",B128=3,"MAR",B128=4,"APR",B128=5,"MAY",B128=6,"JUN",B128=7,"JUL",B128=8,"AUG",Table_13[[#This Row],[Month]]=9,"SEPT",B128=10,"OCT",B128=11,"NOV",B128=12,"DEC")</f>
        <v>MAY</v>
      </c>
      <c r="D128" s="2" t="s">
        <v>18</v>
      </c>
      <c r="E128" s="2" t="s">
        <v>12</v>
      </c>
      <c r="F128" s="2" t="s">
        <v>13</v>
      </c>
      <c r="G128" s="2" t="s">
        <v>14</v>
      </c>
      <c r="H128" s="2" t="s">
        <v>21</v>
      </c>
      <c r="I128" s="2" t="s">
        <v>22</v>
      </c>
      <c r="J128" s="15">
        <v>30000</v>
      </c>
      <c r="K128" s="2">
        <v>9</v>
      </c>
      <c r="L128" s="2" t="s">
        <v>39</v>
      </c>
      <c r="M128" s="12">
        <f t="shared" si="1"/>
        <v>24000</v>
      </c>
      <c r="N128" s="10">
        <f>PRODUCT(Table_13[[#This Row],[Unit Price]],Table_13[[#This Row],[Quantity]])</f>
        <v>270000</v>
      </c>
      <c r="O128" s="16">
        <f>PRODUCT(Table_13[[#This Row],[Cost Price]],Table_13[[#This Row],[Quantity]])</f>
        <v>216000</v>
      </c>
      <c r="P128" s="27">
        <f t="shared" si="4"/>
        <v>54000</v>
      </c>
    </row>
    <row r="129" spans="1:16" x14ac:dyDescent="0.2">
      <c r="A129" s="33">
        <v>45803</v>
      </c>
      <c r="B129" s="30">
        <f t="shared" si="3"/>
        <v>5</v>
      </c>
      <c r="C129" s="30" t="str">
        <f>_xlfn.IFS(Table_13[[#This Row],[Month]]=1,"JAN",Table_13[[#This Row],[Month]]=2,"FEB",B129=3,"MAR",B129=4,"APR",B129=5,"MAY",B129=6,"JUN",B129=7,"JUL",B129=8,"AUG",Table_13[[#This Row],[Month]]=9,"SEPT",B129=10,"OCT",B129=11,"NOV",B129=12,"DEC")</f>
        <v>MAY</v>
      </c>
      <c r="D129" s="2" t="s">
        <v>11</v>
      </c>
      <c r="E129" s="2" t="s">
        <v>26</v>
      </c>
      <c r="F129" s="2" t="s">
        <v>13</v>
      </c>
      <c r="G129" s="2" t="s">
        <v>20</v>
      </c>
      <c r="H129" s="2" t="s">
        <v>33</v>
      </c>
      <c r="I129" s="2" t="s">
        <v>22</v>
      </c>
      <c r="J129" s="15">
        <v>180000</v>
      </c>
      <c r="K129" s="2">
        <v>8</v>
      </c>
      <c r="L129" s="2" t="s">
        <v>28</v>
      </c>
      <c r="M129" s="12">
        <f t="shared" si="1"/>
        <v>144000</v>
      </c>
      <c r="N129" s="10">
        <f>PRODUCT(Table_13[[#This Row],[Unit Price]],Table_13[[#This Row],[Quantity]])</f>
        <v>1440000</v>
      </c>
      <c r="O129" s="16">
        <f>PRODUCT(Table_13[[#This Row],[Cost Price]],Table_13[[#This Row],[Quantity]])</f>
        <v>1152000</v>
      </c>
      <c r="P129" s="27">
        <f t="shared" si="4"/>
        <v>288000</v>
      </c>
    </row>
    <row r="130" spans="1:16" x14ac:dyDescent="0.2">
      <c r="A130" s="33">
        <v>45804</v>
      </c>
      <c r="B130" s="30">
        <f t="shared" ref="B130:B193" si="5">MONTH(A130)</f>
        <v>5</v>
      </c>
      <c r="C130" s="30" t="str">
        <f>_xlfn.IFS(Table_13[[#This Row],[Month]]=1,"JAN",Table_13[[#This Row],[Month]]=2,"FEB",B130=3,"MAR",B130=4,"APR",B130=5,"MAY",B130=6,"JUN",B130=7,"JUL",B130=8,"AUG",Table_13[[#This Row],[Month]]=9,"SEPT",B130=10,"OCT",B130=11,"NOV",B130=12,"DEC")</f>
        <v>MAY</v>
      </c>
      <c r="D130" s="2" t="s">
        <v>29</v>
      </c>
      <c r="E130" s="2" t="s">
        <v>19</v>
      </c>
      <c r="F130" s="2" t="s">
        <v>13</v>
      </c>
      <c r="G130" s="2" t="s">
        <v>14</v>
      </c>
      <c r="H130" s="2" t="s">
        <v>38</v>
      </c>
      <c r="I130" s="2" t="s">
        <v>31</v>
      </c>
      <c r="J130" s="15">
        <v>420000</v>
      </c>
      <c r="K130" s="2">
        <v>5</v>
      </c>
      <c r="L130" s="2" t="s">
        <v>37</v>
      </c>
      <c r="M130" s="12">
        <f t="shared" si="1"/>
        <v>336000</v>
      </c>
      <c r="N130" s="10">
        <f>PRODUCT(Table_13[[#This Row],[Unit Price]],Table_13[[#This Row],[Quantity]])</f>
        <v>2100000</v>
      </c>
      <c r="O130" s="16">
        <f>PRODUCT(Table_13[[#This Row],[Cost Price]],Table_13[[#This Row],[Quantity]])</f>
        <v>1680000</v>
      </c>
      <c r="P130" s="27">
        <f t="shared" ref="P130:P193" si="6">N130-O130</f>
        <v>420000</v>
      </c>
    </row>
    <row r="131" spans="1:16" x14ac:dyDescent="0.2">
      <c r="A131" s="33">
        <v>45805</v>
      </c>
      <c r="B131" s="30">
        <f t="shared" si="5"/>
        <v>5</v>
      </c>
      <c r="C131" s="30" t="str">
        <f>_xlfn.IFS(Table_13[[#This Row],[Month]]=1,"JAN",Table_13[[#This Row],[Month]]=2,"FEB",B131=3,"MAR",B131=4,"APR",B131=5,"MAY",B131=6,"JUN",B131=7,"JUL",B131=8,"AUG",Table_13[[#This Row],[Month]]=9,"SEPT",B131=10,"OCT",B131=11,"NOV",B131=12,"DEC")</f>
        <v>MAY</v>
      </c>
      <c r="D131" s="2" t="s">
        <v>11</v>
      </c>
      <c r="E131" s="2" t="s">
        <v>12</v>
      </c>
      <c r="F131" s="2" t="s">
        <v>23</v>
      </c>
      <c r="G131" s="2" t="s">
        <v>14</v>
      </c>
      <c r="H131" s="2" t="s">
        <v>27</v>
      </c>
      <c r="I131" s="2" t="s">
        <v>22</v>
      </c>
      <c r="J131" s="15">
        <v>60000</v>
      </c>
      <c r="K131" s="2">
        <v>9</v>
      </c>
      <c r="L131" s="2" t="s">
        <v>17</v>
      </c>
      <c r="M131" s="12">
        <f t="shared" si="1"/>
        <v>48000</v>
      </c>
      <c r="N131" s="10">
        <f>PRODUCT(Table_13[[#This Row],[Unit Price]],Table_13[[#This Row],[Quantity]])</f>
        <v>540000</v>
      </c>
      <c r="O131" s="16">
        <f>PRODUCT(Table_13[[#This Row],[Cost Price]],Table_13[[#This Row],[Quantity]])</f>
        <v>432000</v>
      </c>
      <c r="P131" s="27">
        <f t="shared" si="6"/>
        <v>108000</v>
      </c>
    </row>
    <row r="132" spans="1:16" x14ac:dyDescent="0.2">
      <c r="A132" s="33">
        <v>45806</v>
      </c>
      <c r="B132" s="30">
        <f t="shared" si="5"/>
        <v>5</v>
      </c>
      <c r="C132" s="30" t="str">
        <f>_xlfn.IFS(Table_13[[#This Row],[Month]]=1,"JAN",Table_13[[#This Row],[Month]]=2,"FEB",B132=3,"MAR",B132=4,"APR",B132=5,"MAY",B132=6,"JUN",B132=7,"JUL",B132=8,"AUG",Table_13[[#This Row],[Month]]=9,"SEPT",B132=10,"OCT",B132=11,"NOV",B132=12,"DEC")</f>
        <v>MAY</v>
      </c>
      <c r="D132" s="2" t="s">
        <v>25</v>
      </c>
      <c r="E132" s="2" t="s">
        <v>26</v>
      </c>
      <c r="F132" s="2" t="s">
        <v>23</v>
      </c>
      <c r="G132" s="2" t="s">
        <v>20</v>
      </c>
      <c r="H132" s="2" t="s">
        <v>15</v>
      </c>
      <c r="I132" s="2" t="s">
        <v>16</v>
      </c>
      <c r="J132" s="15">
        <v>85000</v>
      </c>
      <c r="K132" s="2">
        <v>5</v>
      </c>
      <c r="L132" s="2" t="s">
        <v>24</v>
      </c>
      <c r="M132" s="12">
        <f t="shared" si="1"/>
        <v>68000</v>
      </c>
      <c r="N132" s="10">
        <f>PRODUCT(Table_13[[#This Row],[Unit Price]],Table_13[[#This Row],[Quantity]])</f>
        <v>425000</v>
      </c>
      <c r="O132" s="16">
        <f>PRODUCT(Table_13[[#This Row],[Cost Price]],Table_13[[#This Row],[Quantity]])</f>
        <v>340000</v>
      </c>
      <c r="P132" s="27">
        <f t="shared" si="6"/>
        <v>85000</v>
      </c>
    </row>
    <row r="133" spans="1:16" x14ac:dyDescent="0.2">
      <c r="A133" s="33">
        <v>45807</v>
      </c>
      <c r="B133" s="30">
        <f t="shared" si="5"/>
        <v>5</v>
      </c>
      <c r="C133" s="30" t="str">
        <f>_xlfn.IFS(Table_13[[#This Row],[Month]]=1,"JAN",Table_13[[#This Row],[Month]]=2,"FEB",B133=3,"MAR",B133=4,"APR",B133=5,"MAY",B133=6,"JUN",B133=7,"JUL",B133=8,"AUG",Table_13[[#This Row],[Month]]=9,"SEPT",B133=10,"OCT",B133=11,"NOV",B133=12,"DEC")</f>
        <v>MAY</v>
      </c>
      <c r="D133" s="2" t="s">
        <v>25</v>
      </c>
      <c r="E133" s="2" t="s">
        <v>26</v>
      </c>
      <c r="F133" s="2" t="s">
        <v>23</v>
      </c>
      <c r="G133" s="2" t="s">
        <v>14</v>
      </c>
      <c r="H133" s="2" t="s">
        <v>15</v>
      </c>
      <c r="I133" s="2" t="s">
        <v>16</v>
      </c>
      <c r="J133" s="15">
        <v>85000</v>
      </c>
      <c r="K133" s="2">
        <v>1</v>
      </c>
      <c r="L133" s="2" t="s">
        <v>28</v>
      </c>
      <c r="M133" s="12">
        <f t="shared" si="1"/>
        <v>68000</v>
      </c>
      <c r="N133" s="10">
        <f>PRODUCT(Table_13[[#This Row],[Unit Price]],Table_13[[#This Row],[Quantity]])</f>
        <v>85000</v>
      </c>
      <c r="O133" s="16">
        <f>PRODUCT(Table_13[[#This Row],[Cost Price]],Table_13[[#This Row],[Quantity]])</f>
        <v>68000</v>
      </c>
      <c r="P133" s="27">
        <f t="shared" si="6"/>
        <v>17000</v>
      </c>
    </row>
    <row r="134" spans="1:16" x14ac:dyDescent="0.2">
      <c r="A134" s="33">
        <v>45808</v>
      </c>
      <c r="B134" s="30">
        <f t="shared" si="5"/>
        <v>5</v>
      </c>
      <c r="C134" s="30" t="str">
        <f>_xlfn.IFS(Table_13[[#This Row],[Month]]=1,"JAN",Table_13[[#This Row],[Month]]=2,"FEB",B134=3,"MAR",B134=4,"APR",B134=5,"MAY",B134=6,"JUN",B134=7,"JUL",B134=8,"AUG",Table_13[[#This Row],[Month]]=9,"SEPT",B134=10,"OCT",B134=11,"NOV",B134=12,"DEC")</f>
        <v>MAY</v>
      </c>
      <c r="D134" s="2" t="s">
        <v>18</v>
      </c>
      <c r="E134" s="2" t="s">
        <v>19</v>
      </c>
      <c r="F134" s="2" t="s">
        <v>13</v>
      </c>
      <c r="G134" s="2" t="s">
        <v>20</v>
      </c>
      <c r="H134" s="2" t="s">
        <v>27</v>
      </c>
      <c r="I134" s="2" t="s">
        <v>22</v>
      </c>
      <c r="J134" s="15">
        <v>60000</v>
      </c>
      <c r="K134" s="2">
        <v>8</v>
      </c>
      <c r="L134" s="2" t="s">
        <v>35</v>
      </c>
      <c r="M134" s="12">
        <f t="shared" si="1"/>
        <v>48000</v>
      </c>
      <c r="N134" s="10">
        <f>PRODUCT(Table_13[[#This Row],[Unit Price]],Table_13[[#This Row],[Quantity]])</f>
        <v>480000</v>
      </c>
      <c r="O134" s="16">
        <f>PRODUCT(Table_13[[#This Row],[Cost Price]],Table_13[[#This Row],[Quantity]])</f>
        <v>384000</v>
      </c>
      <c r="P134" s="27">
        <f t="shared" si="6"/>
        <v>96000</v>
      </c>
    </row>
    <row r="135" spans="1:16" x14ac:dyDescent="0.2">
      <c r="A135" s="33">
        <v>45809</v>
      </c>
      <c r="B135" s="30">
        <f t="shared" si="5"/>
        <v>6</v>
      </c>
      <c r="C135" s="30" t="str">
        <f>_xlfn.IFS(Table_13[[#This Row],[Month]]=1,"JAN",Table_13[[#This Row],[Month]]=2,"FEB",B135=3,"MAR",B135=4,"APR",B135=5,"MAY",B135=6,"JUN",B135=7,"JUL",B135=8,"AUG",Table_13[[#This Row],[Month]]=9,"SEPT",B135=10,"OCT",B135=11,"NOV",B135=12,"DEC")</f>
        <v>JUN</v>
      </c>
      <c r="D135" s="2" t="s">
        <v>11</v>
      </c>
      <c r="E135" s="2" t="s">
        <v>26</v>
      </c>
      <c r="F135" s="2" t="s">
        <v>23</v>
      </c>
      <c r="G135" s="2" t="s">
        <v>14</v>
      </c>
      <c r="H135" s="2" t="s">
        <v>36</v>
      </c>
      <c r="I135" s="2" t="s">
        <v>31</v>
      </c>
      <c r="J135" s="15">
        <v>150000</v>
      </c>
      <c r="K135" s="2">
        <v>5</v>
      </c>
      <c r="L135" s="2" t="s">
        <v>37</v>
      </c>
      <c r="M135" s="12">
        <f t="shared" si="1"/>
        <v>120000</v>
      </c>
      <c r="N135" s="10">
        <f>PRODUCT(Table_13[[#This Row],[Unit Price]],Table_13[[#This Row],[Quantity]])</f>
        <v>750000</v>
      </c>
      <c r="O135" s="16">
        <f>PRODUCT(Table_13[[#This Row],[Cost Price]],Table_13[[#This Row],[Quantity]])</f>
        <v>600000</v>
      </c>
      <c r="P135" s="27">
        <f t="shared" si="6"/>
        <v>150000</v>
      </c>
    </row>
    <row r="136" spans="1:16" x14ac:dyDescent="0.2">
      <c r="A136" s="33">
        <v>45810</v>
      </c>
      <c r="B136" s="30">
        <f t="shared" si="5"/>
        <v>6</v>
      </c>
      <c r="C136" s="30" t="str">
        <f>_xlfn.IFS(Table_13[[#This Row],[Month]]=1,"JAN",Table_13[[#This Row],[Month]]=2,"FEB",B136=3,"MAR",B136=4,"APR",B136=5,"MAY",B136=6,"JUN",B136=7,"JUL",B136=8,"AUG",Table_13[[#This Row],[Month]]=9,"SEPT",B136=10,"OCT",B136=11,"NOV",B136=12,"DEC")</f>
        <v>JUN</v>
      </c>
      <c r="D136" s="2" t="s">
        <v>11</v>
      </c>
      <c r="E136" s="2" t="s">
        <v>32</v>
      </c>
      <c r="F136" s="2" t="s">
        <v>13</v>
      </c>
      <c r="G136" s="2" t="s">
        <v>14</v>
      </c>
      <c r="H136" s="2" t="s">
        <v>34</v>
      </c>
      <c r="I136" s="2" t="s">
        <v>16</v>
      </c>
      <c r="J136" s="15">
        <v>320000</v>
      </c>
      <c r="K136" s="2">
        <v>10</v>
      </c>
      <c r="L136" s="2" t="s">
        <v>35</v>
      </c>
      <c r="M136" s="12">
        <f t="shared" si="1"/>
        <v>256000</v>
      </c>
      <c r="N136" s="10">
        <f>PRODUCT(Table_13[[#This Row],[Unit Price]],Table_13[[#This Row],[Quantity]])</f>
        <v>3200000</v>
      </c>
      <c r="O136" s="16">
        <f>PRODUCT(Table_13[[#This Row],[Cost Price]],Table_13[[#This Row],[Quantity]])</f>
        <v>2560000</v>
      </c>
      <c r="P136" s="27">
        <f t="shared" si="6"/>
        <v>640000</v>
      </c>
    </row>
    <row r="137" spans="1:16" x14ac:dyDescent="0.2">
      <c r="A137" s="33">
        <v>45811</v>
      </c>
      <c r="B137" s="30">
        <f t="shared" si="5"/>
        <v>6</v>
      </c>
      <c r="C137" s="30" t="str">
        <f>_xlfn.IFS(Table_13[[#This Row],[Month]]=1,"JAN",Table_13[[#This Row],[Month]]=2,"FEB",B137=3,"MAR",B137=4,"APR",B137=5,"MAY",B137=6,"JUN",B137=7,"JUL",B137=8,"AUG",Table_13[[#This Row],[Month]]=9,"SEPT",B137=10,"OCT",B137=11,"NOV",B137=12,"DEC")</f>
        <v>JUN</v>
      </c>
      <c r="D137" s="2" t="s">
        <v>11</v>
      </c>
      <c r="E137" s="2" t="s">
        <v>32</v>
      </c>
      <c r="F137" s="2" t="s">
        <v>23</v>
      </c>
      <c r="G137" s="2" t="s">
        <v>14</v>
      </c>
      <c r="H137" s="2" t="s">
        <v>40</v>
      </c>
      <c r="I137" s="2" t="s">
        <v>31</v>
      </c>
      <c r="J137" s="15">
        <v>250000</v>
      </c>
      <c r="K137" s="2">
        <v>6</v>
      </c>
      <c r="L137" s="2" t="s">
        <v>39</v>
      </c>
      <c r="M137" s="12">
        <f t="shared" si="1"/>
        <v>200000</v>
      </c>
      <c r="N137" s="10">
        <f>PRODUCT(Table_13[[#This Row],[Unit Price]],Table_13[[#This Row],[Quantity]])</f>
        <v>1500000</v>
      </c>
      <c r="O137" s="16">
        <f>PRODUCT(Table_13[[#This Row],[Cost Price]],Table_13[[#This Row],[Quantity]])</f>
        <v>1200000</v>
      </c>
      <c r="P137" s="27">
        <f t="shared" si="6"/>
        <v>300000</v>
      </c>
    </row>
    <row r="138" spans="1:16" x14ac:dyDescent="0.2">
      <c r="A138" s="33">
        <v>45812</v>
      </c>
      <c r="B138" s="30">
        <f t="shared" si="5"/>
        <v>6</v>
      </c>
      <c r="C138" s="30" t="str">
        <f>_xlfn.IFS(Table_13[[#This Row],[Month]]=1,"JAN",Table_13[[#This Row],[Month]]=2,"FEB",B138=3,"MAR",B138=4,"APR",B138=5,"MAY",B138=6,"JUN",B138=7,"JUL",B138=8,"AUG",Table_13[[#This Row],[Month]]=9,"SEPT",B138=10,"OCT",B138=11,"NOV",B138=12,"DEC")</f>
        <v>JUN</v>
      </c>
      <c r="D138" s="2" t="s">
        <v>25</v>
      </c>
      <c r="E138" s="2" t="s">
        <v>26</v>
      </c>
      <c r="F138" s="2" t="s">
        <v>23</v>
      </c>
      <c r="G138" s="2" t="s">
        <v>14</v>
      </c>
      <c r="H138" s="2" t="s">
        <v>36</v>
      </c>
      <c r="I138" s="2" t="s">
        <v>31</v>
      </c>
      <c r="J138" s="15">
        <v>150000</v>
      </c>
      <c r="K138" s="2">
        <v>3</v>
      </c>
      <c r="L138" s="2" t="s">
        <v>17</v>
      </c>
      <c r="M138" s="12">
        <f t="shared" si="1"/>
        <v>120000</v>
      </c>
      <c r="N138" s="10">
        <f>PRODUCT(Table_13[[#This Row],[Unit Price]],Table_13[[#This Row],[Quantity]])</f>
        <v>450000</v>
      </c>
      <c r="O138" s="16">
        <f>PRODUCT(Table_13[[#This Row],[Cost Price]],Table_13[[#This Row],[Quantity]])</f>
        <v>360000</v>
      </c>
      <c r="P138" s="27">
        <f t="shared" si="6"/>
        <v>90000</v>
      </c>
    </row>
    <row r="139" spans="1:16" x14ac:dyDescent="0.2">
      <c r="A139" s="33">
        <v>45813</v>
      </c>
      <c r="B139" s="30">
        <f t="shared" si="5"/>
        <v>6</v>
      </c>
      <c r="C139" s="30" t="str">
        <f>_xlfn.IFS(Table_13[[#This Row],[Month]]=1,"JAN",Table_13[[#This Row],[Month]]=2,"FEB",B139=3,"MAR",B139=4,"APR",B139=5,"MAY",B139=6,"JUN",B139=7,"JUL",B139=8,"AUG",Table_13[[#This Row],[Month]]=9,"SEPT",B139=10,"OCT",B139=11,"NOV",B139=12,"DEC")</f>
        <v>JUN</v>
      </c>
      <c r="D139" s="2" t="s">
        <v>11</v>
      </c>
      <c r="E139" s="2" t="s">
        <v>19</v>
      </c>
      <c r="F139" s="2" t="s">
        <v>23</v>
      </c>
      <c r="G139" s="2" t="s">
        <v>14</v>
      </c>
      <c r="H139" s="2" t="s">
        <v>27</v>
      </c>
      <c r="I139" s="2" t="s">
        <v>22</v>
      </c>
      <c r="J139" s="15">
        <v>60000</v>
      </c>
      <c r="K139" s="2">
        <v>10</v>
      </c>
      <c r="L139" s="2" t="s">
        <v>37</v>
      </c>
      <c r="M139" s="12">
        <f t="shared" si="1"/>
        <v>48000</v>
      </c>
      <c r="N139" s="10">
        <f>PRODUCT(Table_13[[#This Row],[Unit Price]],Table_13[[#This Row],[Quantity]])</f>
        <v>600000</v>
      </c>
      <c r="O139" s="16">
        <f>PRODUCT(Table_13[[#This Row],[Cost Price]],Table_13[[#This Row],[Quantity]])</f>
        <v>480000</v>
      </c>
      <c r="P139" s="27">
        <f t="shared" si="6"/>
        <v>120000</v>
      </c>
    </row>
    <row r="140" spans="1:16" x14ac:dyDescent="0.2">
      <c r="A140" s="33">
        <v>45814</v>
      </c>
      <c r="B140" s="30">
        <f t="shared" si="5"/>
        <v>6</v>
      </c>
      <c r="C140" s="30" t="str">
        <f>_xlfn.IFS(Table_13[[#This Row],[Month]]=1,"JAN",Table_13[[#This Row],[Month]]=2,"FEB",B140=3,"MAR",B140=4,"APR",B140=5,"MAY",B140=6,"JUN",B140=7,"JUL",B140=8,"AUG",Table_13[[#This Row],[Month]]=9,"SEPT",B140=10,"OCT",B140=11,"NOV",B140=12,"DEC")</f>
        <v>JUN</v>
      </c>
      <c r="D140" s="2" t="s">
        <v>29</v>
      </c>
      <c r="E140" s="2" t="s">
        <v>26</v>
      </c>
      <c r="F140" s="2" t="s">
        <v>13</v>
      </c>
      <c r="G140" s="2" t="s">
        <v>14</v>
      </c>
      <c r="H140" s="2" t="s">
        <v>36</v>
      </c>
      <c r="I140" s="2" t="s">
        <v>31</v>
      </c>
      <c r="J140" s="15">
        <v>150000</v>
      </c>
      <c r="K140" s="2">
        <v>8</v>
      </c>
      <c r="L140" s="2" t="s">
        <v>28</v>
      </c>
      <c r="M140" s="12">
        <f t="shared" si="1"/>
        <v>120000</v>
      </c>
      <c r="N140" s="10">
        <f>PRODUCT(Table_13[[#This Row],[Unit Price]],Table_13[[#This Row],[Quantity]])</f>
        <v>1200000</v>
      </c>
      <c r="O140" s="16">
        <f>PRODUCT(Table_13[[#This Row],[Cost Price]],Table_13[[#This Row],[Quantity]])</f>
        <v>960000</v>
      </c>
      <c r="P140" s="27">
        <f t="shared" si="6"/>
        <v>240000</v>
      </c>
    </row>
    <row r="141" spans="1:16" x14ac:dyDescent="0.2">
      <c r="A141" s="33">
        <v>45815</v>
      </c>
      <c r="B141" s="30">
        <f t="shared" si="5"/>
        <v>6</v>
      </c>
      <c r="C141" s="30" t="str">
        <f>_xlfn.IFS(Table_13[[#This Row],[Month]]=1,"JAN",Table_13[[#This Row],[Month]]=2,"FEB",B141=3,"MAR",B141=4,"APR",B141=5,"MAY",B141=6,"JUN",B141=7,"JUL",B141=8,"AUG",Table_13[[#This Row],[Month]]=9,"SEPT",B141=10,"OCT",B141=11,"NOV",B141=12,"DEC")</f>
        <v>JUN</v>
      </c>
      <c r="D141" s="2" t="s">
        <v>25</v>
      </c>
      <c r="E141" s="2" t="s">
        <v>12</v>
      </c>
      <c r="F141" s="2" t="s">
        <v>13</v>
      </c>
      <c r="G141" s="2" t="s">
        <v>14</v>
      </c>
      <c r="H141" s="2" t="s">
        <v>40</v>
      </c>
      <c r="I141" s="2" t="s">
        <v>31</v>
      </c>
      <c r="J141" s="15">
        <v>250000</v>
      </c>
      <c r="K141" s="2">
        <v>7</v>
      </c>
      <c r="L141" s="2" t="s">
        <v>37</v>
      </c>
      <c r="M141" s="12">
        <f t="shared" si="1"/>
        <v>200000</v>
      </c>
      <c r="N141" s="10">
        <f>PRODUCT(Table_13[[#This Row],[Unit Price]],Table_13[[#This Row],[Quantity]])</f>
        <v>1750000</v>
      </c>
      <c r="O141" s="16">
        <f>PRODUCT(Table_13[[#This Row],[Cost Price]],Table_13[[#This Row],[Quantity]])</f>
        <v>1400000</v>
      </c>
      <c r="P141" s="27">
        <f t="shared" si="6"/>
        <v>350000</v>
      </c>
    </row>
    <row r="142" spans="1:16" x14ac:dyDescent="0.2">
      <c r="A142" s="33">
        <v>45816</v>
      </c>
      <c r="B142" s="30">
        <f t="shared" si="5"/>
        <v>6</v>
      </c>
      <c r="C142" s="30" t="str">
        <f>_xlfn.IFS(Table_13[[#This Row],[Month]]=1,"JAN",Table_13[[#This Row],[Month]]=2,"FEB",B142=3,"MAR",B142=4,"APR",B142=5,"MAY",B142=6,"JUN",B142=7,"JUL",B142=8,"AUG",Table_13[[#This Row],[Month]]=9,"SEPT",B142=10,"OCT",B142=11,"NOV",B142=12,"DEC")</f>
        <v>JUN</v>
      </c>
      <c r="D142" s="2" t="s">
        <v>25</v>
      </c>
      <c r="E142" s="2" t="s">
        <v>32</v>
      </c>
      <c r="F142" s="2" t="s">
        <v>23</v>
      </c>
      <c r="G142" s="2" t="s">
        <v>14</v>
      </c>
      <c r="H142" s="2" t="s">
        <v>15</v>
      </c>
      <c r="I142" s="2" t="s">
        <v>16</v>
      </c>
      <c r="J142" s="15">
        <v>85000</v>
      </c>
      <c r="K142" s="2">
        <v>6</v>
      </c>
      <c r="L142" s="2" t="s">
        <v>35</v>
      </c>
      <c r="M142" s="12">
        <f t="shared" si="1"/>
        <v>68000</v>
      </c>
      <c r="N142" s="10">
        <f>PRODUCT(Table_13[[#This Row],[Unit Price]],Table_13[[#This Row],[Quantity]])</f>
        <v>510000</v>
      </c>
      <c r="O142" s="16">
        <f>PRODUCT(Table_13[[#This Row],[Cost Price]],Table_13[[#This Row],[Quantity]])</f>
        <v>408000</v>
      </c>
      <c r="P142" s="27">
        <f t="shared" si="6"/>
        <v>102000</v>
      </c>
    </row>
    <row r="143" spans="1:16" x14ac:dyDescent="0.2">
      <c r="A143" s="33">
        <v>45817</v>
      </c>
      <c r="B143" s="30">
        <f t="shared" si="5"/>
        <v>6</v>
      </c>
      <c r="C143" s="30" t="str">
        <f>_xlfn.IFS(Table_13[[#This Row],[Month]]=1,"JAN",Table_13[[#This Row],[Month]]=2,"FEB",B143=3,"MAR",B143=4,"APR",B143=5,"MAY",B143=6,"JUN",B143=7,"JUL",B143=8,"AUG",Table_13[[#This Row],[Month]]=9,"SEPT",B143=10,"OCT",B143=11,"NOV",B143=12,"DEC")</f>
        <v>JUN</v>
      </c>
      <c r="D143" s="2" t="s">
        <v>29</v>
      </c>
      <c r="E143" s="2" t="s">
        <v>12</v>
      </c>
      <c r="F143" s="2" t="s">
        <v>23</v>
      </c>
      <c r="G143" s="2" t="s">
        <v>14</v>
      </c>
      <c r="H143" s="2" t="s">
        <v>33</v>
      </c>
      <c r="I143" s="2" t="s">
        <v>22</v>
      </c>
      <c r="J143" s="15">
        <v>180000</v>
      </c>
      <c r="K143" s="2">
        <v>9</v>
      </c>
      <c r="L143" s="2" t="s">
        <v>37</v>
      </c>
      <c r="M143" s="12">
        <f t="shared" si="1"/>
        <v>144000</v>
      </c>
      <c r="N143" s="10">
        <f>PRODUCT(Table_13[[#This Row],[Unit Price]],Table_13[[#This Row],[Quantity]])</f>
        <v>1620000</v>
      </c>
      <c r="O143" s="16">
        <f>PRODUCT(Table_13[[#This Row],[Cost Price]],Table_13[[#This Row],[Quantity]])</f>
        <v>1296000</v>
      </c>
      <c r="P143" s="27">
        <f t="shared" si="6"/>
        <v>324000</v>
      </c>
    </row>
    <row r="144" spans="1:16" x14ac:dyDescent="0.2">
      <c r="A144" s="33">
        <v>45818</v>
      </c>
      <c r="B144" s="30">
        <f t="shared" si="5"/>
        <v>6</v>
      </c>
      <c r="C144" s="30" t="str">
        <f>_xlfn.IFS(Table_13[[#This Row],[Month]]=1,"JAN",Table_13[[#This Row],[Month]]=2,"FEB",B144=3,"MAR",B144=4,"APR",B144=5,"MAY",B144=6,"JUN",B144=7,"JUL",B144=8,"AUG",Table_13[[#This Row],[Month]]=9,"SEPT",B144=10,"OCT",B144=11,"NOV",B144=12,"DEC")</f>
        <v>JUN</v>
      </c>
      <c r="D144" s="2" t="s">
        <v>11</v>
      </c>
      <c r="E144" s="2" t="s">
        <v>32</v>
      </c>
      <c r="F144" s="2" t="s">
        <v>23</v>
      </c>
      <c r="G144" s="2" t="s">
        <v>14</v>
      </c>
      <c r="H144" s="2" t="s">
        <v>21</v>
      </c>
      <c r="I144" s="2" t="s">
        <v>22</v>
      </c>
      <c r="J144" s="15">
        <v>30000</v>
      </c>
      <c r="K144" s="2">
        <v>8</v>
      </c>
      <c r="L144" s="2" t="s">
        <v>37</v>
      </c>
      <c r="M144" s="12">
        <f t="shared" si="1"/>
        <v>24000</v>
      </c>
      <c r="N144" s="10">
        <f>PRODUCT(Table_13[[#This Row],[Unit Price]],Table_13[[#This Row],[Quantity]])</f>
        <v>240000</v>
      </c>
      <c r="O144" s="16">
        <f>PRODUCT(Table_13[[#This Row],[Cost Price]],Table_13[[#This Row],[Quantity]])</f>
        <v>192000</v>
      </c>
      <c r="P144" s="27">
        <f t="shared" si="6"/>
        <v>48000</v>
      </c>
    </row>
    <row r="145" spans="1:16" x14ac:dyDescent="0.2">
      <c r="A145" s="33">
        <v>45819</v>
      </c>
      <c r="B145" s="30">
        <f t="shared" si="5"/>
        <v>6</v>
      </c>
      <c r="C145" s="30" t="str">
        <f>_xlfn.IFS(Table_13[[#This Row],[Month]]=1,"JAN",Table_13[[#This Row],[Month]]=2,"FEB",B145=3,"MAR",B145=4,"APR",B145=5,"MAY",B145=6,"JUN",B145=7,"JUL",B145=8,"AUG",Table_13[[#This Row],[Month]]=9,"SEPT",B145=10,"OCT",B145=11,"NOV",B145=12,"DEC")</f>
        <v>JUN</v>
      </c>
      <c r="D145" s="2" t="s">
        <v>25</v>
      </c>
      <c r="E145" s="2" t="s">
        <v>12</v>
      </c>
      <c r="F145" s="2" t="s">
        <v>23</v>
      </c>
      <c r="G145" s="2" t="s">
        <v>20</v>
      </c>
      <c r="H145" s="2" t="s">
        <v>15</v>
      </c>
      <c r="I145" s="2" t="s">
        <v>16</v>
      </c>
      <c r="J145" s="15">
        <v>85000</v>
      </c>
      <c r="K145" s="2">
        <v>1</v>
      </c>
      <c r="L145" s="2" t="s">
        <v>24</v>
      </c>
      <c r="M145" s="12">
        <f t="shared" si="1"/>
        <v>68000</v>
      </c>
      <c r="N145" s="10">
        <f>PRODUCT(Table_13[[#This Row],[Unit Price]],Table_13[[#This Row],[Quantity]])</f>
        <v>85000</v>
      </c>
      <c r="O145" s="16">
        <f>PRODUCT(Table_13[[#This Row],[Cost Price]],Table_13[[#This Row],[Quantity]])</f>
        <v>68000</v>
      </c>
      <c r="P145" s="27">
        <f t="shared" si="6"/>
        <v>17000</v>
      </c>
    </row>
    <row r="146" spans="1:16" x14ac:dyDescent="0.2">
      <c r="A146" s="33">
        <v>45820</v>
      </c>
      <c r="B146" s="30">
        <f t="shared" si="5"/>
        <v>6</v>
      </c>
      <c r="C146" s="30" t="str">
        <f>_xlfn.IFS(Table_13[[#This Row],[Month]]=1,"JAN",Table_13[[#This Row],[Month]]=2,"FEB",B146=3,"MAR",B146=4,"APR",B146=5,"MAY",B146=6,"JUN",B146=7,"JUL",B146=8,"AUG",Table_13[[#This Row],[Month]]=9,"SEPT",B146=10,"OCT",B146=11,"NOV",B146=12,"DEC")</f>
        <v>JUN</v>
      </c>
      <c r="D146" s="2" t="s">
        <v>11</v>
      </c>
      <c r="E146" s="2" t="s">
        <v>32</v>
      </c>
      <c r="F146" s="2" t="s">
        <v>23</v>
      </c>
      <c r="G146" s="2" t="s">
        <v>14</v>
      </c>
      <c r="H146" s="2" t="s">
        <v>21</v>
      </c>
      <c r="I146" s="2" t="s">
        <v>22</v>
      </c>
      <c r="J146" s="15">
        <v>30000</v>
      </c>
      <c r="K146" s="2">
        <v>8</v>
      </c>
      <c r="L146" s="2" t="s">
        <v>39</v>
      </c>
      <c r="M146" s="12">
        <f t="shared" si="1"/>
        <v>24000</v>
      </c>
      <c r="N146" s="10">
        <f>PRODUCT(Table_13[[#This Row],[Unit Price]],Table_13[[#This Row],[Quantity]])</f>
        <v>240000</v>
      </c>
      <c r="O146" s="16">
        <f>PRODUCT(Table_13[[#This Row],[Cost Price]],Table_13[[#This Row],[Quantity]])</f>
        <v>192000</v>
      </c>
      <c r="P146" s="27">
        <f t="shared" si="6"/>
        <v>48000</v>
      </c>
    </row>
    <row r="147" spans="1:16" x14ac:dyDescent="0.2">
      <c r="A147" s="33">
        <v>45821</v>
      </c>
      <c r="B147" s="30">
        <f t="shared" si="5"/>
        <v>6</v>
      </c>
      <c r="C147" s="30" t="str">
        <f>_xlfn.IFS(Table_13[[#This Row],[Month]]=1,"JAN",Table_13[[#This Row],[Month]]=2,"FEB",B147=3,"MAR",B147=4,"APR",B147=5,"MAY",B147=6,"JUN",B147=7,"JUL",B147=8,"AUG",Table_13[[#This Row],[Month]]=9,"SEPT",B147=10,"OCT",B147=11,"NOV",B147=12,"DEC")</f>
        <v>JUN</v>
      </c>
      <c r="D147" s="2" t="s">
        <v>29</v>
      </c>
      <c r="E147" s="2" t="s">
        <v>26</v>
      </c>
      <c r="F147" s="2" t="s">
        <v>13</v>
      </c>
      <c r="G147" s="2" t="s">
        <v>14</v>
      </c>
      <c r="H147" s="2" t="s">
        <v>34</v>
      </c>
      <c r="I147" s="2" t="s">
        <v>16</v>
      </c>
      <c r="J147" s="15">
        <v>320000</v>
      </c>
      <c r="K147" s="2">
        <v>2</v>
      </c>
      <c r="L147" s="2" t="s">
        <v>37</v>
      </c>
      <c r="M147" s="12">
        <f t="shared" si="1"/>
        <v>256000</v>
      </c>
      <c r="N147" s="10">
        <f>PRODUCT(Table_13[[#This Row],[Unit Price]],Table_13[[#This Row],[Quantity]])</f>
        <v>640000</v>
      </c>
      <c r="O147" s="16">
        <f>PRODUCT(Table_13[[#This Row],[Cost Price]],Table_13[[#This Row],[Quantity]])</f>
        <v>512000</v>
      </c>
      <c r="P147" s="27">
        <f t="shared" si="6"/>
        <v>128000</v>
      </c>
    </row>
    <row r="148" spans="1:16" x14ac:dyDescent="0.2">
      <c r="A148" s="33">
        <v>45822</v>
      </c>
      <c r="B148" s="30">
        <f t="shared" si="5"/>
        <v>6</v>
      </c>
      <c r="C148" s="30" t="str">
        <f>_xlfn.IFS(Table_13[[#This Row],[Month]]=1,"JAN",Table_13[[#This Row],[Month]]=2,"FEB",B148=3,"MAR",B148=4,"APR",B148=5,"MAY",B148=6,"JUN",B148=7,"JUL",B148=8,"AUG",Table_13[[#This Row],[Month]]=9,"SEPT",B148=10,"OCT",B148=11,"NOV",B148=12,"DEC")</f>
        <v>JUN</v>
      </c>
      <c r="D148" s="2" t="s">
        <v>18</v>
      </c>
      <c r="E148" s="2" t="s">
        <v>12</v>
      </c>
      <c r="F148" s="2" t="s">
        <v>13</v>
      </c>
      <c r="G148" s="2" t="s">
        <v>14</v>
      </c>
      <c r="H148" s="2" t="s">
        <v>36</v>
      </c>
      <c r="I148" s="2" t="s">
        <v>31</v>
      </c>
      <c r="J148" s="15">
        <v>150000</v>
      </c>
      <c r="K148" s="2">
        <v>5</v>
      </c>
      <c r="L148" s="2" t="s">
        <v>37</v>
      </c>
      <c r="M148" s="12">
        <f t="shared" si="1"/>
        <v>120000</v>
      </c>
      <c r="N148" s="10">
        <f>PRODUCT(Table_13[[#This Row],[Unit Price]],Table_13[[#This Row],[Quantity]])</f>
        <v>750000</v>
      </c>
      <c r="O148" s="16">
        <f>PRODUCT(Table_13[[#This Row],[Cost Price]],Table_13[[#This Row],[Quantity]])</f>
        <v>600000</v>
      </c>
      <c r="P148" s="27">
        <f t="shared" si="6"/>
        <v>150000</v>
      </c>
    </row>
    <row r="149" spans="1:16" x14ac:dyDescent="0.2">
      <c r="A149" s="33">
        <v>45823</v>
      </c>
      <c r="B149" s="30">
        <f t="shared" si="5"/>
        <v>6</v>
      </c>
      <c r="C149" s="30" t="str">
        <f>_xlfn.IFS(Table_13[[#This Row],[Month]]=1,"JAN",Table_13[[#This Row],[Month]]=2,"FEB",B149=3,"MAR",B149=4,"APR",B149=5,"MAY",B149=6,"JUN",B149=7,"JUL",B149=8,"AUG",Table_13[[#This Row],[Month]]=9,"SEPT",B149=10,"OCT",B149=11,"NOV",B149=12,"DEC")</f>
        <v>JUN</v>
      </c>
      <c r="D149" s="2" t="s">
        <v>18</v>
      </c>
      <c r="E149" s="2" t="s">
        <v>26</v>
      </c>
      <c r="F149" s="2" t="s">
        <v>23</v>
      </c>
      <c r="G149" s="2" t="s">
        <v>14</v>
      </c>
      <c r="H149" s="2" t="s">
        <v>40</v>
      </c>
      <c r="I149" s="2" t="s">
        <v>31</v>
      </c>
      <c r="J149" s="15">
        <v>250000</v>
      </c>
      <c r="K149" s="2">
        <v>5</v>
      </c>
      <c r="L149" s="2" t="s">
        <v>39</v>
      </c>
      <c r="M149" s="12">
        <f t="shared" si="1"/>
        <v>200000</v>
      </c>
      <c r="N149" s="10">
        <f>PRODUCT(Table_13[[#This Row],[Unit Price]],Table_13[[#This Row],[Quantity]])</f>
        <v>1250000</v>
      </c>
      <c r="O149" s="16">
        <f>PRODUCT(Table_13[[#This Row],[Cost Price]],Table_13[[#This Row],[Quantity]])</f>
        <v>1000000</v>
      </c>
      <c r="P149" s="27">
        <f t="shared" si="6"/>
        <v>250000</v>
      </c>
    </row>
    <row r="150" spans="1:16" x14ac:dyDescent="0.2">
      <c r="A150" s="33">
        <v>45824</v>
      </c>
      <c r="B150" s="30">
        <f t="shared" si="5"/>
        <v>6</v>
      </c>
      <c r="C150" s="30" t="str">
        <f>_xlfn.IFS(Table_13[[#This Row],[Month]]=1,"JAN",Table_13[[#This Row],[Month]]=2,"FEB",B150=3,"MAR",B150=4,"APR",B150=5,"MAY",B150=6,"JUN",B150=7,"JUL",B150=8,"AUG",Table_13[[#This Row],[Month]]=9,"SEPT",B150=10,"OCT",B150=11,"NOV",B150=12,"DEC")</f>
        <v>JUN</v>
      </c>
      <c r="D150" s="2" t="s">
        <v>29</v>
      </c>
      <c r="E150" s="2" t="s">
        <v>32</v>
      </c>
      <c r="F150" s="2" t="s">
        <v>23</v>
      </c>
      <c r="G150" s="2" t="s">
        <v>14</v>
      </c>
      <c r="H150" s="2" t="s">
        <v>41</v>
      </c>
      <c r="I150" s="2" t="s">
        <v>22</v>
      </c>
      <c r="J150" s="15">
        <v>220000</v>
      </c>
      <c r="K150" s="2">
        <v>10</v>
      </c>
      <c r="L150" s="2" t="s">
        <v>24</v>
      </c>
      <c r="M150" s="12">
        <f t="shared" si="1"/>
        <v>176000</v>
      </c>
      <c r="N150" s="10">
        <f>PRODUCT(Table_13[[#This Row],[Unit Price]],Table_13[[#This Row],[Quantity]])</f>
        <v>2200000</v>
      </c>
      <c r="O150" s="16">
        <f>PRODUCT(Table_13[[#This Row],[Cost Price]],Table_13[[#This Row],[Quantity]])</f>
        <v>1760000</v>
      </c>
      <c r="P150" s="27">
        <f t="shared" si="6"/>
        <v>440000</v>
      </c>
    </row>
    <row r="151" spans="1:16" x14ac:dyDescent="0.2">
      <c r="A151" s="33">
        <v>45825</v>
      </c>
      <c r="B151" s="30">
        <f t="shared" si="5"/>
        <v>6</v>
      </c>
      <c r="C151" s="30" t="str">
        <f>_xlfn.IFS(Table_13[[#This Row],[Month]]=1,"JAN",Table_13[[#This Row],[Month]]=2,"FEB",B151=3,"MAR",B151=4,"APR",B151=5,"MAY",B151=6,"JUN",B151=7,"JUL",B151=8,"AUG",Table_13[[#This Row],[Month]]=9,"SEPT",B151=10,"OCT",B151=11,"NOV",B151=12,"DEC")</f>
        <v>JUN</v>
      </c>
      <c r="D151" s="2" t="s">
        <v>29</v>
      </c>
      <c r="E151" s="2" t="s">
        <v>26</v>
      </c>
      <c r="F151" s="2" t="s">
        <v>23</v>
      </c>
      <c r="G151" s="2" t="s">
        <v>14</v>
      </c>
      <c r="H151" s="2" t="s">
        <v>27</v>
      </c>
      <c r="I151" s="2" t="s">
        <v>22</v>
      </c>
      <c r="J151" s="15">
        <v>60000</v>
      </c>
      <c r="K151" s="2">
        <v>2</v>
      </c>
      <c r="L151" s="2" t="s">
        <v>35</v>
      </c>
      <c r="M151" s="12">
        <f t="shared" si="1"/>
        <v>48000</v>
      </c>
      <c r="N151" s="10">
        <f>PRODUCT(Table_13[[#This Row],[Unit Price]],Table_13[[#This Row],[Quantity]])</f>
        <v>120000</v>
      </c>
      <c r="O151" s="16">
        <f>PRODUCT(Table_13[[#This Row],[Cost Price]],Table_13[[#This Row],[Quantity]])</f>
        <v>96000</v>
      </c>
      <c r="P151" s="27">
        <f t="shared" si="6"/>
        <v>24000</v>
      </c>
    </row>
    <row r="152" spans="1:16" x14ac:dyDescent="0.2">
      <c r="A152" s="33">
        <v>45826</v>
      </c>
      <c r="B152" s="30">
        <f t="shared" si="5"/>
        <v>6</v>
      </c>
      <c r="C152" s="30" t="str">
        <f>_xlfn.IFS(Table_13[[#This Row],[Month]]=1,"JAN",Table_13[[#This Row],[Month]]=2,"FEB",B152=3,"MAR",B152=4,"APR",B152=5,"MAY",B152=6,"JUN",B152=7,"JUL",B152=8,"AUG",Table_13[[#This Row],[Month]]=9,"SEPT",B152=10,"OCT",B152=11,"NOV",B152=12,"DEC")</f>
        <v>JUN</v>
      </c>
      <c r="D152" s="2" t="s">
        <v>29</v>
      </c>
      <c r="E152" s="2" t="s">
        <v>26</v>
      </c>
      <c r="F152" s="2" t="s">
        <v>23</v>
      </c>
      <c r="G152" s="2" t="s">
        <v>20</v>
      </c>
      <c r="H152" s="2" t="s">
        <v>40</v>
      </c>
      <c r="I152" s="2" t="s">
        <v>31</v>
      </c>
      <c r="J152" s="15">
        <v>250000</v>
      </c>
      <c r="K152" s="2">
        <v>1</v>
      </c>
      <c r="L152" s="2" t="s">
        <v>37</v>
      </c>
      <c r="M152" s="12">
        <f t="shared" si="1"/>
        <v>200000</v>
      </c>
      <c r="N152" s="10">
        <f>PRODUCT(Table_13[[#This Row],[Unit Price]],Table_13[[#This Row],[Quantity]])</f>
        <v>250000</v>
      </c>
      <c r="O152" s="16">
        <f>PRODUCT(Table_13[[#This Row],[Cost Price]],Table_13[[#This Row],[Quantity]])</f>
        <v>200000</v>
      </c>
      <c r="P152" s="27">
        <f t="shared" si="6"/>
        <v>50000</v>
      </c>
    </row>
    <row r="153" spans="1:16" x14ac:dyDescent="0.2">
      <c r="A153" s="33">
        <v>45827</v>
      </c>
      <c r="B153" s="30">
        <f t="shared" si="5"/>
        <v>6</v>
      </c>
      <c r="C153" s="30" t="str">
        <f>_xlfn.IFS(Table_13[[#This Row],[Month]]=1,"JAN",Table_13[[#This Row],[Month]]=2,"FEB",B153=3,"MAR",B153=4,"APR",B153=5,"MAY",B153=6,"JUN",B153=7,"JUL",B153=8,"AUG",Table_13[[#This Row],[Month]]=9,"SEPT",B153=10,"OCT",B153=11,"NOV",B153=12,"DEC")</f>
        <v>JUN</v>
      </c>
      <c r="D153" s="2" t="s">
        <v>11</v>
      </c>
      <c r="E153" s="2" t="s">
        <v>12</v>
      </c>
      <c r="F153" s="2" t="s">
        <v>13</v>
      </c>
      <c r="G153" s="2" t="s">
        <v>14</v>
      </c>
      <c r="H153" s="2" t="s">
        <v>33</v>
      </c>
      <c r="I153" s="2" t="s">
        <v>22</v>
      </c>
      <c r="J153" s="15">
        <v>180000</v>
      </c>
      <c r="K153" s="2">
        <v>8</v>
      </c>
      <c r="L153" s="2" t="s">
        <v>39</v>
      </c>
      <c r="M153" s="12">
        <f t="shared" si="1"/>
        <v>144000</v>
      </c>
      <c r="N153" s="10">
        <f>PRODUCT(Table_13[[#This Row],[Unit Price]],Table_13[[#This Row],[Quantity]])</f>
        <v>1440000</v>
      </c>
      <c r="O153" s="16">
        <f>PRODUCT(Table_13[[#This Row],[Cost Price]],Table_13[[#This Row],[Quantity]])</f>
        <v>1152000</v>
      </c>
      <c r="P153" s="27">
        <f t="shared" si="6"/>
        <v>288000</v>
      </c>
    </row>
    <row r="154" spans="1:16" x14ac:dyDescent="0.2">
      <c r="A154" s="33">
        <v>45828</v>
      </c>
      <c r="B154" s="30">
        <f t="shared" si="5"/>
        <v>6</v>
      </c>
      <c r="C154" s="30" t="str">
        <f>_xlfn.IFS(Table_13[[#This Row],[Month]]=1,"JAN",Table_13[[#This Row],[Month]]=2,"FEB",B154=3,"MAR",B154=4,"APR",B154=5,"MAY",B154=6,"JUN",B154=7,"JUL",B154=8,"AUG",Table_13[[#This Row],[Month]]=9,"SEPT",B154=10,"OCT",B154=11,"NOV",B154=12,"DEC")</f>
        <v>JUN</v>
      </c>
      <c r="D154" s="2" t="s">
        <v>29</v>
      </c>
      <c r="E154" s="2" t="s">
        <v>19</v>
      </c>
      <c r="F154" s="2" t="s">
        <v>13</v>
      </c>
      <c r="G154" s="2" t="s">
        <v>14</v>
      </c>
      <c r="H154" s="2" t="s">
        <v>36</v>
      </c>
      <c r="I154" s="2" t="s">
        <v>31</v>
      </c>
      <c r="J154" s="15">
        <v>150000</v>
      </c>
      <c r="K154" s="2">
        <v>1</v>
      </c>
      <c r="L154" s="2" t="s">
        <v>17</v>
      </c>
      <c r="M154" s="12">
        <f t="shared" si="1"/>
        <v>120000</v>
      </c>
      <c r="N154" s="10">
        <f>PRODUCT(Table_13[[#This Row],[Unit Price]],Table_13[[#This Row],[Quantity]])</f>
        <v>150000</v>
      </c>
      <c r="O154" s="16">
        <f>PRODUCT(Table_13[[#This Row],[Cost Price]],Table_13[[#This Row],[Quantity]])</f>
        <v>120000</v>
      </c>
      <c r="P154" s="27">
        <f t="shared" si="6"/>
        <v>30000</v>
      </c>
    </row>
    <row r="155" spans="1:16" x14ac:dyDescent="0.2">
      <c r="A155" s="33">
        <v>45829</v>
      </c>
      <c r="B155" s="30">
        <f t="shared" si="5"/>
        <v>6</v>
      </c>
      <c r="C155" s="30" t="str">
        <f>_xlfn.IFS(Table_13[[#This Row],[Month]]=1,"JAN",Table_13[[#This Row],[Month]]=2,"FEB",B155=3,"MAR",B155=4,"APR",B155=5,"MAY",B155=6,"JUN",B155=7,"JUL",B155=8,"AUG",Table_13[[#This Row],[Month]]=9,"SEPT",B155=10,"OCT",B155=11,"NOV",B155=12,"DEC")</f>
        <v>JUN</v>
      </c>
      <c r="D155" s="2" t="s">
        <v>29</v>
      </c>
      <c r="E155" s="2" t="s">
        <v>32</v>
      </c>
      <c r="F155" s="2" t="s">
        <v>13</v>
      </c>
      <c r="G155" s="2" t="s">
        <v>14</v>
      </c>
      <c r="H155" s="2" t="s">
        <v>21</v>
      </c>
      <c r="I155" s="2" t="s">
        <v>22</v>
      </c>
      <c r="J155" s="15">
        <v>30000</v>
      </c>
      <c r="K155" s="2">
        <v>6</v>
      </c>
      <c r="L155" s="2" t="s">
        <v>24</v>
      </c>
      <c r="M155" s="12">
        <f t="shared" si="1"/>
        <v>24000</v>
      </c>
      <c r="N155" s="10">
        <f>PRODUCT(Table_13[[#This Row],[Unit Price]],Table_13[[#This Row],[Quantity]])</f>
        <v>180000</v>
      </c>
      <c r="O155" s="16">
        <f>PRODUCT(Table_13[[#This Row],[Cost Price]],Table_13[[#This Row],[Quantity]])</f>
        <v>144000</v>
      </c>
      <c r="P155" s="27">
        <f t="shared" si="6"/>
        <v>36000</v>
      </c>
    </row>
    <row r="156" spans="1:16" x14ac:dyDescent="0.2">
      <c r="A156" s="33">
        <v>45830</v>
      </c>
      <c r="B156" s="30">
        <f t="shared" si="5"/>
        <v>6</v>
      </c>
      <c r="C156" s="30" t="str">
        <f>_xlfn.IFS(Table_13[[#This Row],[Month]]=1,"JAN",Table_13[[#This Row],[Month]]=2,"FEB",B156=3,"MAR",B156=4,"APR",B156=5,"MAY",B156=6,"JUN",B156=7,"JUL",B156=8,"AUG",Table_13[[#This Row],[Month]]=9,"SEPT",B156=10,"OCT",B156=11,"NOV",B156=12,"DEC")</f>
        <v>JUN</v>
      </c>
      <c r="D156" s="2" t="s">
        <v>11</v>
      </c>
      <c r="E156" s="2" t="s">
        <v>12</v>
      </c>
      <c r="F156" s="2" t="s">
        <v>23</v>
      </c>
      <c r="G156" s="2" t="s">
        <v>14</v>
      </c>
      <c r="H156" s="2" t="s">
        <v>41</v>
      </c>
      <c r="I156" s="2" t="s">
        <v>22</v>
      </c>
      <c r="J156" s="15">
        <v>220000</v>
      </c>
      <c r="K156" s="2">
        <v>10</v>
      </c>
      <c r="L156" s="2" t="s">
        <v>39</v>
      </c>
      <c r="M156" s="12">
        <f t="shared" si="1"/>
        <v>176000</v>
      </c>
      <c r="N156" s="10">
        <f>PRODUCT(Table_13[[#This Row],[Unit Price]],Table_13[[#This Row],[Quantity]])</f>
        <v>2200000</v>
      </c>
      <c r="O156" s="16">
        <f>PRODUCT(Table_13[[#This Row],[Cost Price]],Table_13[[#This Row],[Quantity]])</f>
        <v>1760000</v>
      </c>
      <c r="P156" s="27">
        <f t="shared" si="6"/>
        <v>440000</v>
      </c>
    </row>
    <row r="157" spans="1:16" x14ac:dyDescent="0.2">
      <c r="A157" s="33">
        <v>45831</v>
      </c>
      <c r="B157" s="30">
        <f t="shared" si="5"/>
        <v>6</v>
      </c>
      <c r="C157" s="30" t="str">
        <f>_xlfn.IFS(Table_13[[#This Row],[Month]]=1,"JAN",Table_13[[#This Row],[Month]]=2,"FEB",B157=3,"MAR",B157=4,"APR",B157=5,"MAY",B157=6,"JUN",B157=7,"JUL",B157=8,"AUG",Table_13[[#This Row],[Month]]=9,"SEPT",B157=10,"OCT",B157=11,"NOV",B157=12,"DEC")</f>
        <v>JUN</v>
      </c>
      <c r="D157" s="2" t="s">
        <v>11</v>
      </c>
      <c r="E157" s="2" t="s">
        <v>12</v>
      </c>
      <c r="F157" s="2" t="s">
        <v>13</v>
      </c>
      <c r="G157" s="2" t="s">
        <v>20</v>
      </c>
      <c r="H157" s="2" t="s">
        <v>38</v>
      </c>
      <c r="I157" s="2" t="s">
        <v>31</v>
      </c>
      <c r="J157" s="15">
        <v>420000</v>
      </c>
      <c r="K157" s="2">
        <v>1</v>
      </c>
      <c r="L157" s="2" t="s">
        <v>24</v>
      </c>
      <c r="M157" s="12">
        <f t="shared" si="1"/>
        <v>336000</v>
      </c>
      <c r="N157" s="10">
        <f>PRODUCT(Table_13[[#This Row],[Unit Price]],Table_13[[#This Row],[Quantity]])</f>
        <v>420000</v>
      </c>
      <c r="O157" s="16">
        <f>PRODUCT(Table_13[[#This Row],[Cost Price]],Table_13[[#This Row],[Quantity]])</f>
        <v>336000</v>
      </c>
      <c r="P157" s="27">
        <f t="shared" si="6"/>
        <v>84000</v>
      </c>
    </row>
    <row r="158" spans="1:16" x14ac:dyDescent="0.2">
      <c r="A158" s="33">
        <v>45832</v>
      </c>
      <c r="B158" s="30">
        <f t="shared" si="5"/>
        <v>6</v>
      </c>
      <c r="C158" s="30" t="str">
        <f>_xlfn.IFS(Table_13[[#This Row],[Month]]=1,"JAN",Table_13[[#This Row],[Month]]=2,"FEB",B158=3,"MAR",B158=4,"APR",B158=5,"MAY",B158=6,"JUN",B158=7,"JUL",B158=8,"AUG",Table_13[[#This Row],[Month]]=9,"SEPT",B158=10,"OCT",B158=11,"NOV",B158=12,"DEC")</f>
        <v>JUN</v>
      </c>
      <c r="D158" s="2" t="s">
        <v>11</v>
      </c>
      <c r="E158" s="2" t="s">
        <v>19</v>
      </c>
      <c r="F158" s="2" t="s">
        <v>23</v>
      </c>
      <c r="G158" s="2" t="s">
        <v>20</v>
      </c>
      <c r="H158" s="2" t="s">
        <v>30</v>
      </c>
      <c r="I158" s="2" t="s">
        <v>31</v>
      </c>
      <c r="J158" s="15">
        <v>300000</v>
      </c>
      <c r="K158" s="2">
        <v>8</v>
      </c>
      <c r="L158" s="2" t="s">
        <v>24</v>
      </c>
      <c r="M158" s="12">
        <f t="shared" si="1"/>
        <v>240000</v>
      </c>
      <c r="N158" s="10">
        <f>PRODUCT(Table_13[[#This Row],[Unit Price]],Table_13[[#This Row],[Quantity]])</f>
        <v>2400000</v>
      </c>
      <c r="O158" s="16">
        <f>PRODUCT(Table_13[[#This Row],[Cost Price]],Table_13[[#This Row],[Quantity]])</f>
        <v>1920000</v>
      </c>
      <c r="P158" s="27">
        <f t="shared" si="6"/>
        <v>480000</v>
      </c>
    </row>
    <row r="159" spans="1:16" x14ac:dyDescent="0.2">
      <c r="A159" s="33">
        <v>45833</v>
      </c>
      <c r="B159" s="30">
        <f t="shared" si="5"/>
        <v>6</v>
      </c>
      <c r="C159" s="30" t="str">
        <f>_xlfn.IFS(Table_13[[#This Row],[Month]]=1,"JAN",Table_13[[#This Row],[Month]]=2,"FEB",B159=3,"MAR",B159=4,"APR",B159=5,"MAY",B159=6,"JUN",B159=7,"JUL",B159=8,"AUG",Table_13[[#This Row],[Month]]=9,"SEPT",B159=10,"OCT",B159=11,"NOV",B159=12,"DEC")</f>
        <v>JUN</v>
      </c>
      <c r="D159" s="2" t="s">
        <v>29</v>
      </c>
      <c r="E159" s="2" t="s">
        <v>32</v>
      </c>
      <c r="F159" s="2" t="s">
        <v>23</v>
      </c>
      <c r="G159" s="2" t="s">
        <v>14</v>
      </c>
      <c r="H159" s="2" t="s">
        <v>40</v>
      </c>
      <c r="I159" s="2" t="s">
        <v>31</v>
      </c>
      <c r="J159" s="15">
        <v>250000</v>
      </c>
      <c r="K159" s="2">
        <v>3</v>
      </c>
      <c r="L159" s="2" t="s">
        <v>17</v>
      </c>
      <c r="M159" s="12">
        <f t="shared" si="1"/>
        <v>200000</v>
      </c>
      <c r="N159" s="10">
        <f>PRODUCT(Table_13[[#This Row],[Unit Price]],Table_13[[#This Row],[Quantity]])</f>
        <v>750000</v>
      </c>
      <c r="O159" s="16">
        <f>PRODUCT(Table_13[[#This Row],[Cost Price]],Table_13[[#This Row],[Quantity]])</f>
        <v>600000</v>
      </c>
      <c r="P159" s="27">
        <f t="shared" si="6"/>
        <v>150000</v>
      </c>
    </row>
    <row r="160" spans="1:16" x14ac:dyDescent="0.2">
      <c r="A160" s="33">
        <v>45834</v>
      </c>
      <c r="B160" s="30">
        <f t="shared" si="5"/>
        <v>6</v>
      </c>
      <c r="C160" s="30" t="str">
        <f>_xlfn.IFS(Table_13[[#This Row],[Month]]=1,"JAN",Table_13[[#This Row],[Month]]=2,"FEB",B160=3,"MAR",B160=4,"APR",B160=5,"MAY",B160=6,"JUN",B160=7,"JUL",B160=8,"AUG",Table_13[[#This Row],[Month]]=9,"SEPT",B160=10,"OCT",B160=11,"NOV",B160=12,"DEC")</f>
        <v>JUN</v>
      </c>
      <c r="D160" s="2" t="s">
        <v>11</v>
      </c>
      <c r="E160" s="2" t="s">
        <v>32</v>
      </c>
      <c r="F160" s="2" t="s">
        <v>23</v>
      </c>
      <c r="G160" s="2" t="s">
        <v>14</v>
      </c>
      <c r="H160" s="2" t="s">
        <v>30</v>
      </c>
      <c r="I160" s="2" t="s">
        <v>31</v>
      </c>
      <c r="J160" s="15">
        <v>300000</v>
      </c>
      <c r="K160" s="2">
        <v>4</v>
      </c>
      <c r="L160" s="2" t="s">
        <v>35</v>
      </c>
      <c r="M160" s="12">
        <f t="shared" si="1"/>
        <v>240000</v>
      </c>
      <c r="N160" s="10">
        <f>PRODUCT(Table_13[[#This Row],[Unit Price]],Table_13[[#This Row],[Quantity]])</f>
        <v>1200000</v>
      </c>
      <c r="O160" s="16">
        <f>PRODUCT(Table_13[[#This Row],[Cost Price]],Table_13[[#This Row],[Quantity]])</f>
        <v>960000</v>
      </c>
      <c r="P160" s="27">
        <f t="shared" si="6"/>
        <v>240000</v>
      </c>
    </row>
    <row r="161" spans="1:16" x14ac:dyDescent="0.2">
      <c r="A161" s="33">
        <v>45835</v>
      </c>
      <c r="B161" s="30">
        <f t="shared" si="5"/>
        <v>6</v>
      </c>
      <c r="C161" s="30" t="str">
        <f>_xlfn.IFS(Table_13[[#This Row],[Month]]=1,"JAN",Table_13[[#This Row],[Month]]=2,"FEB",B161=3,"MAR",B161=4,"APR",B161=5,"MAY",B161=6,"JUN",B161=7,"JUL",B161=8,"AUG",Table_13[[#This Row],[Month]]=9,"SEPT",B161=10,"OCT",B161=11,"NOV",B161=12,"DEC")</f>
        <v>JUN</v>
      </c>
      <c r="D161" s="2" t="s">
        <v>11</v>
      </c>
      <c r="E161" s="2" t="s">
        <v>26</v>
      </c>
      <c r="F161" s="2" t="s">
        <v>13</v>
      </c>
      <c r="G161" s="2" t="s">
        <v>14</v>
      </c>
      <c r="H161" s="2" t="s">
        <v>36</v>
      </c>
      <c r="I161" s="2" t="s">
        <v>31</v>
      </c>
      <c r="J161" s="15">
        <v>150000</v>
      </c>
      <c r="K161" s="2">
        <v>6</v>
      </c>
      <c r="L161" s="2" t="s">
        <v>35</v>
      </c>
      <c r="M161" s="12">
        <f t="shared" si="1"/>
        <v>120000</v>
      </c>
      <c r="N161" s="10">
        <f>PRODUCT(Table_13[[#This Row],[Unit Price]],Table_13[[#This Row],[Quantity]])</f>
        <v>900000</v>
      </c>
      <c r="O161" s="16">
        <f>PRODUCT(Table_13[[#This Row],[Cost Price]],Table_13[[#This Row],[Quantity]])</f>
        <v>720000</v>
      </c>
      <c r="P161" s="27">
        <f t="shared" si="6"/>
        <v>180000</v>
      </c>
    </row>
    <row r="162" spans="1:16" x14ac:dyDescent="0.2">
      <c r="A162" s="33">
        <v>45836</v>
      </c>
      <c r="B162" s="30">
        <f t="shared" si="5"/>
        <v>6</v>
      </c>
      <c r="C162" s="30" t="str">
        <f>_xlfn.IFS(Table_13[[#This Row],[Month]]=1,"JAN",Table_13[[#This Row],[Month]]=2,"FEB",B162=3,"MAR",B162=4,"APR",B162=5,"MAY",B162=6,"JUN",B162=7,"JUL",B162=8,"AUG",Table_13[[#This Row],[Month]]=9,"SEPT",B162=10,"OCT",B162=11,"NOV",B162=12,"DEC")</f>
        <v>JUN</v>
      </c>
      <c r="D162" s="2" t="s">
        <v>11</v>
      </c>
      <c r="E162" s="2" t="s">
        <v>32</v>
      </c>
      <c r="F162" s="2" t="s">
        <v>13</v>
      </c>
      <c r="G162" s="2" t="s">
        <v>14</v>
      </c>
      <c r="H162" s="2" t="s">
        <v>38</v>
      </c>
      <c r="I162" s="2" t="s">
        <v>31</v>
      </c>
      <c r="J162" s="15">
        <v>420000</v>
      </c>
      <c r="K162" s="2">
        <v>2</v>
      </c>
      <c r="L162" s="2" t="s">
        <v>17</v>
      </c>
      <c r="M162" s="12">
        <f t="shared" si="1"/>
        <v>336000</v>
      </c>
      <c r="N162" s="10">
        <f>PRODUCT(Table_13[[#This Row],[Unit Price]],Table_13[[#This Row],[Quantity]])</f>
        <v>840000</v>
      </c>
      <c r="O162" s="16">
        <f>PRODUCT(Table_13[[#This Row],[Cost Price]],Table_13[[#This Row],[Quantity]])</f>
        <v>672000</v>
      </c>
      <c r="P162" s="27">
        <f t="shared" si="6"/>
        <v>168000</v>
      </c>
    </row>
    <row r="163" spans="1:16" x14ac:dyDescent="0.2">
      <c r="A163" s="33">
        <v>45837</v>
      </c>
      <c r="B163" s="30">
        <f t="shared" si="5"/>
        <v>6</v>
      </c>
      <c r="C163" s="30" t="str">
        <f>_xlfn.IFS(Table_13[[#This Row],[Month]]=1,"JAN",Table_13[[#This Row],[Month]]=2,"FEB",B163=3,"MAR",B163=4,"APR",B163=5,"MAY",B163=6,"JUN",B163=7,"JUL",B163=8,"AUG",Table_13[[#This Row],[Month]]=9,"SEPT",B163=10,"OCT",B163=11,"NOV",B163=12,"DEC")</f>
        <v>JUN</v>
      </c>
      <c r="D163" s="2" t="s">
        <v>25</v>
      </c>
      <c r="E163" s="2" t="s">
        <v>19</v>
      </c>
      <c r="F163" s="2" t="s">
        <v>13</v>
      </c>
      <c r="G163" s="2" t="s">
        <v>14</v>
      </c>
      <c r="H163" s="2" t="s">
        <v>41</v>
      </c>
      <c r="I163" s="2" t="s">
        <v>22</v>
      </c>
      <c r="J163" s="15">
        <v>220000</v>
      </c>
      <c r="K163" s="2">
        <v>1</v>
      </c>
      <c r="L163" s="2" t="s">
        <v>24</v>
      </c>
      <c r="M163" s="12">
        <f t="shared" si="1"/>
        <v>176000</v>
      </c>
      <c r="N163" s="10">
        <f>PRODUCT(Table_13[[#This Row],[Unit Price]],Table_13[[#This Row],[Quantity]])</f>
        <v>220000</v>
      </c>
      <c r="O163" s="16">
        <f>PRODUCT(Table_13[[#This Row],[Cost Price]],Table_13[[#This Row],[Quantity]])</f>
        <v>176000</v>
      </c>
      <c r="P163" s="27">
        <f t="shared" si="6"/>
        <v>44000</v>
      </c>
    </row>
    <row r="164" spans="1:16" x14ac:dyDescent="0.2">
      <c r="A164" s="33">
        <v>45838</v>
      </c>
      <c r="B164" s="30">
        <f t="shared" si="5"/>
        <v>6</v>
      </c>
      <c r="C164" s="30" t="str">
        <f>_xlfn.IFS(Table_13[[#This Row],[Month]]=1,"JAN",Table_13[[#This Row],[Month]]=2,"FEB",B164=3,"MAR",B164=4,"APR",B164=5,"MAY",B164=6,"JUN",B164=7,"JUL",B164=8,"AUG",Table_13[[#This Row],[Month]]=9,"SEPT",B164=10,"OCT",B164=11,"NOV",B164=12,"DEC")</f>
        <v>JUN</v>
      </c>
      <c r="D164" s="2" t="s">
        <v>25</v>
      </c>
      <c r="E164" s="2" t="s">
        <v>32</v>
      </c>
      <c r="F164" s="2" t="s">
        <v>13</v>
      </c>
      <c r="G164" s="2" t="s">
        <v>20</v>
      </c>
      <c r="H164" s="2" t="s">
        <v>41</v>
      </c>
      <c r="I164" s="2" t="s">
        <v>22</v>
      </c>
      <c r="J164" s="15">
        <v>220000</v>
      </c>
      <c r="K164" s="2">
        <v>8</v>
      </c>
      <c r="L164" s="2" t="s">
        <v>37</v>
      </c>
      <c r="M164" s="12">
        <f t="shared" si="1"/>
        <v>176000</v>
      </c>
      <c r="N164" s="10">
        <f>PRODUCT(Table_13[[#This Row],[Unit Price]],Table_13[[#This Row],[Quantity]])</f>
        <v>1760000</v>
      </c>
      <c r="O164" s="16">
        <f>PRODUCT(Table_13[[#This Row],[Cost Price]],Table_13[[#This Row],[Quantity]])</f>
        <v>1408000</v>
      </c>
      <c r="P164" s="27">
        <f t="shared" si="6"/>
        <v>352000</v>
      </c>
    </row>
    <row r="165" spans="1:16" x14ac:dyDescent="0.2">
      <c r="A165" s="33">
        <v>45839</v>
      </c>
      <c r="B165" s="30">
        <f t="shared" si="5"/>
        <v>7</v>
      </c>
      <c r="C165" s="30" t="str">
        <f>_xlfn.IFS(Table_13[[#This Row],[Month]]=1,"JAN",Table_13[[#This Row],[Month]]=2,"FEB",B165=3,"MAR",B165=4,"APR",B165=5,"MAY",B165=6,"JUN",B165=7,"JUL",B165=8,"AUG",Table_13[[#This Row],[Month]]=9,"SEPT",B165=10,"OCT",B165=11,"NOV",B165=12,"DEC")</f>
        <v>JUL</v>
      </c>
      <c r="D165" s="2" t="s">
        <v>29</v>
      </c>
      <c r="E165" s="2" t="s">
        <v>26</v>
      </c>
      <c r="F165" s="2" t="s">
        <v>13</v>
      </c>
      <c r="G165" s="2" t="s">
        <v>20</v>
      </c>
      <c r="H165" s="2" t="s">
        <v>21</v>
      </c>
      <c r="I165" s="2" t="s">
        <v>22</v>
      </c>
      <c r="J165" s="15">
        <v>30000</v>
      </c>
      <c r="K165" s="2">
        <v>10</v>
      </c>
      <c r="L165" s="2" t="s">
        <v>39</v>
      </c>
      <c r="M165" s="12">
        <f t="shared" si="1"/>
        <v>24000</v>
      </c>
      <c r="N165" s="10">
        <f>PRODUCT(Table_13[[#This Row],[Unit Price]],Table_13[[#This Row],[Quantity]])</f>
        <v>300000</v>
      </c>
      <c r="O165" s="16">
        <f>PRODUCT(Table_13[[#This Row],[Cost Price]],Table_13[[#This Row],[Quantity]])</f>
        <v>240000</v>
      </c>
      <c r="P165" s="27">
        <f t="shared" si="6"/>
        <v>60000</v>
      </c>
    </row>
    <row r="166" spans="1:16" x14ac:dyDescent="0.2">
      <c r="A166" s="33">
        <v>45840</v>
      </c>
      <c r="B166" s="30">
        <f t="shared" si="5"/>
        <v>7</v>
      </c>
      <c r="C166" s="30" t="str">
        <f>_xlfn.IFS(Table_13[[#This Row],[Month]]=1,"JAN",Table_13[[#This Row],[Month]]=2,"FEB",B166=3,"MAR",B166=4,"APR",B166=5,"MAY",B166=6,"JUN",B166=7,"JUL",B166=8,"AUG",Table_13[[#This Row],[Month]]=9,"SEPT",B166=10,"OCT",B166=11,"NOV",B166=12,"DEC")</f>
        <v>JUL</v>
      </c>
      <c r="D166" s="2" t="s">
        <v>29</v>
      </c>
      <c r="E166" s="2" t="s">
        <v>19</v>
      </c>
      <c r="F166" s="2" t="s">
        <v>23</v>
      </c>
      <c r="G166" s="2" t="s">
        <v>14</v>
      </c>
      <c r="H166" s="2" t="s">
        <v>21</v>
      </c>
      <c r="I166" s="2" t="s">
        <v>22</v>
      </c>
      <c r="J166" s="15">
        <v>30000</v>
      </c>
      <c r="K166" s="2">
        <v>4</v>
      </c>
      <c r="L166" s="2" t="s">
        <v>39</v>
      </c>
      <c r="M166" s="12">
        <f t="shared" si="1"/>
        <v>24000</v>
      </c>
      <c r="N166" s="10">
        <f>PRODUCT(Table_13[[#This Row],[Unit Price]],Table_13[[#This Row],[Quantity]])</f>
        <v>120000</v>
      </c>
      <c r="O166" s="16">
        <f>PRODUCT(Table_13[[#This Row],[Cost Price]],Table_13[[#This Row],[Quantity]])</f>
        <v>96000</v>
      </c>
      <c r="P166" s="27">
        <f t="shared" si="6"/>
        <v>24000</v>
      </c>
    </row>
    <row r="167" spans="1:16" x14ac:dyDescent="0.2">
      <c r="A167" s="33">
        <v>45841</v>
      </c>
      <c r="B167" s="30">
        <f t="shared" si="5"/>
        <v>7</v>
      </c>
      <c r="C167" s="30" t="str">
        <f>_xlfn.IFS(Table_13[[#This Row],[Month]]=1,"JAN",Table_13[[#This Row],[Month]]=2,"FEB",B167=3,"MAR",B167=4,"APR",B167=5,"MAY",B167=6,"JUN",B167=7,"JUL",B167=8,"AUG",Table_13[[#This Row],[Month]]=9,"SEPT",B167=10,"OCT",B167=11,"NOV",B167=12,"DEC")</f>
        <v>JUL</v>
      </c>
      <c r="D167" s="2" t="s">
        <v>11</v>
      </c>
      <c r="E167" s="2" t="s">
        <v>12</v>
      </c>
      <c r="F167" s="2" t="s">
        <v>23</v>
      </c>
      <c r="G167" s="2" t="s">
        <v>14</v>
      </c>
      <c r="H167" s="2" t="s">
        <v>33</v>
      </c>
      <c r="I167" s="2" t="s">
        <v>22</v>
      </c>
      <c r="J167" s="15">
        <v>180000</v>
      </c>
      <c r="K167" s="2">
        <v>6</v>
      </c>
      <c r="L167" s="2" t="s">
        <v>17</v>
      </c>
      <c r="M167" s="12">
        <f t="shared" si="1"/>
        <v>144000</v>
      </c>
      <c r="N167" s="10">
        <f>PRODUCT(Table_13[[#This Row],[Unit Price]],Table_13[[#This Row],[Quantity]])</f>
        <v>1080000</v>
      </c>
      <c r="O167" s="16">
        <f>PRODUCT(Table_13[[#This Row],[Cost Price]],Table_13[[#This Row],[Quantity]])</f>
        <v>864000</v>
      </c>
      <c r="P167" s="27">
        <f t="shared" si="6"/>
        <v>216000</v>
      </c>
    </row>
    <row r="168" spans="1:16" x14ac:dyDescent="0.2">
      <c r="A168" s="33">
        <v>45842</v>
      </c>
      <c r="B168" s="30">
        <f t="shared" si="5"/>
        <v>7</v>
      </c>
      <c r="C168" s="30" t="str">
        <f>_xlfn.IFS(Table_13[[#This Row],[Month]]=1,"JAN",Table_13[[#This Row],[Month]]=2,"FEB",B168=3,"MAR",B168=4,"APR",B168=5,"MAY",B168=6,"JUN",B168=7,"JUL",B168=8,"AUG",Table_13[[#This Row],[Month]]=9,"SEPT",B168=10,"OCT",B168=11,"NOV",B168=12,"DEC")</f>
        <v>JUL</v>
      </c>
      <c r="D168" s="2" t="s">
        <v>11</v>
      </c>
      <c r="E168" s="2" t="s">
        <v>32</v>
      </c>
      <c r="F168" s="2" t="s">
        <v>23</v>
      </c>
      <c r="G168" s="2" t="s">
        <v>14</v>
      </c>
      <c r="H168" s="2" t="s">
        <v>30</v>
      </c>
      <c r="I168" s="2" t="s">
        <v>31</v>
      </c>
      <c r="J168" s="15">
        <v>300000</v>
      </c>
      <c r="K168" s="2">
        <v>2</v>
      </c>
      <c r="L168" s="2" t="s">
        <v>39</v>
      </c>
      <c r="M168" s="12">
        <f t="shared" si="1"/>
        <v>240000</v>
      </c>
      <c r="N168" s="10">
        <f>PRODUCT(Table_13[[#This Row],[Unit Price]],Table_13[[#This Row],[Quantity]])</f>
        <v>600000</v>
      </c>
      <c r="O168" s="16">
        <f>PRODUCT(Table_13[[#This Row],[Cost Price]],Table_13[[#This Row],[Quantity]])</f>
        <v>480000</v>
      </c>
      <c r="P168" s="27">
        <f t="shared" si="6"/>
        <v>120000</v>
      </c>
    </row>
    <row r="169" spans="1:16" x14ac:dyDescent="0.2">
      <c r="A169" s="33">
        <v>45843</v>
      </c>
      <c r="B169" s="30">
        <f t="shared" si="5"/>
        <v>7</v>
      </c>
      <c r="C169" s="30" t="str">
        <f>_xlfn.IFS(Table_13[[#This Row],[Month]]=1,"JAN",Table_13[[#This Row],[Month]]=2,"FEB",B169=3,"MAR",B169=4,"APR",B169=5,"MAY",B169=6,"JUN",B169=7,"JUL",B169=8,"AUG",Table_13[[#This Row],[Month]]=9,"SEPT",B169=10,"OCT",B169=11,"NOV",B169=12,"DEC")</f>
        <v>JUL</v>
      </c>
      <c r="D169" s="2" t="s">
        <v>18</v>
      </c>
      <c r="E169" s="2" t="s">
        <v>19</v>
      </c>
      <c r="F169" s="2" t="s">
        <v>13</v>
      </c>
      <c r="G169" s="2" t="s">
        <v>14</v>
      </c>
      <c r="H169" s="2" t="s">
        <v>36</v>
      </c>
      <c r="I169" s="2" t="s">
        <v>31</v>
      </c>
      <c r="J169" s="15">
        <v>150000</v>
      </c>
      <c r="K169" s="2">
        <v>9</v>
      </c>
      <c r="L169" s="2" t="s">
        <v>17</v>
      </c>
      <c r="M169" s="12">
        <f t="shared" si="1"/>
        <v>120000</v>
      </c>
      <c r="N169" s="10">
        <f>PRODUCT(Table_13[[#This Row],[Unit Price]],Table_13[[#This Row],[Quantity]])</f>
        <v>1350000</v>
      </c>
      <c r="O169" s="16">
        <f>PRODUCT(Table_13[[#This Row],[Cost Price]],Table_13[[#This Row],[Quantity]])</f>
        <v>1080000</v>
      </c>
      <c r="P169" s="27">
        <f t="shared" si="6"/>
        <v>270000</v>
      </c>
    </row>
    <row r="170" spans="1:16" x14ac:dyDescent="0.2">
      <c r="A170" s="33">
        <v>45844</v>
      </c>
      <c r="B170" s="30">
        <f t="shared" si="5"/>
        <v>7</v>
      </c>
      <c r="C170" s="30" t="str">
        <f>_xlfn.IFS(Table_13[[#This Row],[Month]]=1,"JAN",Table_13[[#This Row],[Month]]=2,"FEB",B170=3,"MAR",B170=4,"APR",B170=5,"MAY",B170=6,"JUN",B170=7,"JUL",B170=8,"AUG",Table_13[[#This Row],[Month]]=9,"SEPT",B170=10,"OCT",B170=11,"NOV",B170=12,"DEC")</f>
        <v>JUL</v>
      </c>
      <c r="D170" s="2" t="s">
        <v>29</v>
      </c>
      <c r="E170" s="2" t="s">
        <v>12</v>
      </c>
      <c r="F170" s="2" t="s">
        <v>13</v>
      </c>
      <c r="G170" s="2" t="s">
        <v>20</v>
      </c>
      <c r="H170" s="2" t="s">
        <v>36</v>
      </c>
      <c r="I170" s="2" t="s">
        <v>31</v>
      </c>
      <c r="J170" s="15">
        <v>150000</v>
      </c>
      <c r="K170" s="2">
        <v>9</v>
      </c>
      <c r="L170" s="2" t="s">
        <v>24</v>
      </c>
      <c r="M170" s="12">
        <f t="shared" si="1"/>
        <v>120000</v>
      </c>
      <c r="N170" s="10">
        <f>PRODUCT(Table_13[[#This Row],[Unit Price]],Table_13[[#This Row],[Quantity]])</f>
        <v>1350000</v>
      </c>
      <c r="O170" s="16">
        <f>PRODUCT(Table_13[[#This Row],[Cost Price]],Table_13[[#This Row],[Quantity]])</f>
        <v>1080000</v>
      </c>
      <c r="P170" s="27">
        <f t="shared" si="6"/>
        <v>270000</v>
      </c>
    </row>
    <row r="171" spans="1:16" x14ac:dyDescent="0.2">
      <c r="A171" s="33">
        <v>45845</v>
      </c>
      <c r="B171" s="30">
        <f t="shared" si="5"/>
        <v>7</v>
      </c>
      <c r="C171" s="30" t="str">
        <f>_xlfn.IFS(Table_13[[#This Row],[Month]]=1,"JAN",Table_13[[#This Row],[Month]]=2,"FEB",B171=3,"MAR",B171=4,"APR",B171=5,"MAY",B171=6,"JUN",B171=7,"JUL",B171=8,"AUG",Table_13[[#This Row],[Month]]=9,"SEPT",B171=10,"OCT",B171=11,"NOV",B171=12,"DEC")</f>
        <v>JUL</v>
      </c>
      <c r="D171" s="2" t="s">
        <v>11</v>
      </c>
      <c r="E171" s="2" t="s">
        <v>12</v>
      </c>
      <c r="F171" s="2" t="s">
        <v>13</v>
      </c>
      <c r="G171" s="2" t="s">
        <v>14</v>
      </c>
      <c r="H171" s="2" t="s">
        <v>21</v>
      </c>
      <c r="I171" s="2" t="s">
        <v>22</v>
      </c>
      <c r="J171" s="15">
        <v>30000</v>
      </c>
      <c r="K171" s="2">
        <v>4</v>
      </c>
      <c r="L171" s="2" t="s">
        <v>17</v>
      </c>
      <c r="M171" s="12">
        <f t="shared" si="1"/>
        <v>24000</v>
      </c>
      <c r="N171" s="10">
        <f>PRODUCT(Table_13[[#This Row],[Unit Price]],Table_13[[#This Row],[Quantity]])</f>
        <v>120000</v>
      </c>
      <c r="O171" s="16">
        <f>PRODUCT(Table_13[[#This Row],[Cost Price]],Table_13[[#This Row],[Quantity]])</f>
        <v>96000</v>
      </c>
      <c r="P171" s="27">
        <f t="shared" si="6"/>
        <v>24000</v>
      </c>
    </row>
    <row r="172" spans="1:16" x14ac:dyDescent="0.2">
      <c r="A172" s="33">
        <v>45846</v>
      </c>
      <c r="B172" s="30">
        <f t="shared" si="5"/>
        <v>7</v>
      </c>
      <c r="C172" s="30" t="str">
        <f>_xlfn.IFS(Table_13[[#This Row],[Month]]=1,"JAN",Table_13[[#This Row],[Month]]=2,"FEB",B172=3,"MAR",B172=4,"APR",B172=5,"MAY",B172=6,"JUN",B172=7,"JUL",B172=8,"AUG",Table_13[[#This Row],[Month]]=9,"SEPT",B172=10,"OCT",B172=11,"NOV",B172=12,"DEC")</f>
        <v>JUL</v>
      </c>
      <c r="D172" s="2" t="s">
        <v>18</v>
      </c>
      <c r="E172" s="2" t="s">
        <v>26</v>
      </c>
      <c r="F172" s="2" t="s">
        <v>23</v>
      </c>
      <c r="G172" s="2" t="s">
        <v>14</v>
      </c>
      <c r="H172" s="2" t="s">
        <v>27</v>
      </c>
      <c r="I172" s="2" t="s">
        <v>22</v>
      </c>
      <c r="J172" s="15">
        <v>60000</v>
      </c>
      <c r="K172" s="2">
        <v>9</v>
      </c>
      <c r="L172" s="2" t="s">
        <v>28</v>
      </c>
      <c r="M172" s="12">
        <f t="shared" si="1"/>
        <v>48000</v>
      </c>
      <c r="N172" s="10">
        <f>PRODUCT(Table_13[[#This Row],[Unit Price]],Table_13[[#This Row],[Quantity]])</f>
        <v>540000</v>
      </c>
      <c r="O172" s="16">
        <f>PRODUCT(Table_13[[#This Row],[Cost Price]],Table_13[[#This Row],[Quantity]])</f>
        <v>432000</v>
      </c>
      <c r="P172" s="27">
        <f t="shared" si="6"/>
        <v>108000</v>
      </c>
    </row>
    <row r="173" spans="1:16" x14ac:dyDescent="0.2">
      <c r="A173" s="33">
        <v>45847</v>
      </c>
      <c r="B173" s="30">
        <f t="shared" si="5"/>
        <v>7</v>
      </c>
      <c r="C173" s="30" t="str">
        <f>_xlfn.IFS(Table_13[[#This Row],[Month]]=1,"JAN",Table_13[[#This Row],[Month]]=2,"FEB",B173=3,"MAR",B173=4,"APR",B173=5,"MAY",B173=6,"JUN",B173=7,"JUL",B173=8,"AUG",Table_13[[#This Row],[Month]]=9,"SEPT",B173=10,"OCT",B173=11,"NOV",B173=12,"DEC")</f>
        <v>JUL</v>
      </c>
      <c r="D173" s="2" t="s">
        <v>25</v>
      </c>
      <c r="E173" s="2" t="s">
        <v>19</v>
      </c>
      <c r="F173" s="2" t="s">
        <v>13</v>
      </c>
      <c r="G173" s="2" t="s">
        <v>20</v>
      </c>
      <c r="H173" s="2" t="s">
        <v>30</v>
      </c>
      <c r="I173" s="2" t="s">
        <v>31</v>
      </c>
      <c r="J173" s="15">
        <v>300000</v>
      </c>
      <c r="K173" s="2">
        <v>9</v>
      </c>
      <c r="L173" s="2" t="s">
        <v>28</v>
      </c>
      <c r="M173" s="12">
        <f t="shared" si="1"/>
        <v>240000</v>
      </c>
      <c r="N173" s="10">
        <f>PRODUCT(Table_13[[#This Row],[Unit Price]],Table_13[[#This Row],[Quantity]])</f>
        <v>2700000</v>
      </c>
      <c r="O173" s="16">
        <f>PRODUCT(Table_13[[#This Row],[Cost Price]],Table_13[[#This Row],[Quantity]])</f>
        <v>2160000</v>
      </c>
      <c r="P173" s="27">
        <f t="shared" si="6"/>
        <v>540000</v>
      </c>
    </row>
    <row r="174" spans="1:16" x14ac:dyDescent="0.2">
      <c r="A174" s="33">
        <v>45848</v>
      </c>
      <c r="B174" s="30">
        <f t="shared" si="5"/>
        <v>7</v>
      </c>
      <c r="C174" s="30" t="str">
        <f>_xlfn.IFS(Table_13[[#This Row],[Month]]=1,"JAN",Table_13[[#This Row],[Month]]=2,"FEB",B174=3,"MAR",B174=4,"APR",B174=5,"MAY",B174=6,"JUN",B174=7,"JUL",B174=8,"AUG",Table_13[[#This Row],[Month]]=9,"SEPT",B174=10,"OCT",B174=11,"NOV",B174=12,"DEC")</f>
        <v>JUL</v>
      </c>
      <c r="D174" s="2" t="s">
        <v>29</v>
      </c>
      <c r="E174" s="2" t="s">
        <v>32</v>
      </c>
      <c r="F174" s="2" t="s">
        <v>13</v>
      </c>
      <c r="G174" s="2" t="s">
        <v>14</v>
      </c>
      <c r="H174" s="2" t="s">
        <v>34</v>
      </c>
      <c r="I174" s="2" t="s">
        <v>16</v>
      </c>
      <c r="J174" s="15">
        <v>320000</v>
      </c>
      <c r="K174" s="2">
        <v>3</v>
      </c>
      <c r="L174" s="2" t="s">
        <v>39</v>
      </c>
      <c r="M174" s="12">
        <f t="shared" si="1"/>
        <v>256000</v>
      </c>
      <c r="N174" s="10">
        <f>PRODUCT(Table_13[[#This Row],[Unit Price]],Table_13[[#This Row],[Quantity]])</f>
        <v>960000</v>
      </c>
      <c r="O174" s="16">
        <f>PRODUCT(Table_13[[#This Row],[Cost Price]],Table_13[[#This Row],[Quantity]])</f>
        <v>768000</v>
      </c>
      <c r="P174" s="27">
        <f t="shared" si="6"/>
        <v>192000</v>
      </c>
    </row>
    <row r="175" spans="1:16" x14ac:dyDescent="0.2">
      <c r="A175" s="33">
        <v>45849</v>
      </c>
      <c r="B175" s="30">
        <f t="shared" si="5"/>
        <v>7</v>
      </c>
      <c r="C175" s="30" t="str">
        <f>_xlfn.IFS(Table_13[[#This Row],[Month]]=1,"JAN",Table_13[[#This Row],[Month]]=2,"FEB",B175=3,"MAR",B175=4,"APR",B175=5,"MAY",B175=6,"JUN",B175=7,"JUL",B175=8,"AUG",Table_13[[#This Row],[Month]]=9,"SEPT",B175=10,"OCT",B175=11,"NOV",B175=12,"DEC")</f>
        <v>JUL</v>
      </c>
      <c r="D175" s="2" t="s">
        <v>11</v>
      </c>
      <c r="E175" s="2" t="s">
        <v>12</v>
      </c>
      <c r="F175" s="2" t="s">
        <v>13</v>
      </c>
      <c r="G175" s="2" t="s">
        <v>14</v>
      </c>
      <c r="H175" s="2" t="s">
        <v>36</v>
      </c>
      <c r="I175" s="2" t="s">
        <v>31</v>
      </c>
      <c r="J175" s="15">
        <v>150000</v>
      </c>
      <c r="K175" s="2">
        <v>1</v>
      </c>
      <c r="L175" s="2" t="s">
        <v>17</v>
      </c>
      <c r="M175" s="12">
        <f t="shared" si="1"/>
        <v>120000</v>
      </c>
      <c r="N175" s="10">
        <f>PRODUCT(Table_13[[#This Row],[Unit Price]],Table_13[[#This Row],[Quantity]])</f>
        <v>150000</v>
      </c>
      <c r="O175" s="16">
        <f>PRODUCT(Table_13[[#This Row],[Cost Price]],Table_13[[#This Row],[Quantity]])</f>
        <v>120000</v>
      </c>
      <c r="P175" s="27">
        <f t="shared" si="6"/>
        <v>30000</v>
      </c>
    </row>
    <row r="176" spans="1:16" x14ac:dyDescent="0.2">
      <c r="A176" s="33">
        <v>45850</v>
      </c>
      <c r="B176" s="30">
        <f t="shared" si="5"/>
        <v>7</v>
      </c>
      <c r="C176" s="30" t="str">
        <f>_xlfn.IFS(Table_13[[#This Row],[Month]]=1,"JAN",Table_13[[#This Row],[Month]]=2,"FEB",B176=3,"MAR",B176=4,"APR",B176=5,"MAY",B176=6,"JUN",B176=7,"JUL",B176=8,"AUG",Table_13[[#This Row],[Month]]=9,"SEPT",B176=10,"OCT",B176=11,"NOV",B176=12,"DEC")</f>
        <v>JUL</v>
      </c>
      <c r="D176" s="2" t="s">
        <v>29</v>
      </c>
      <c r="E176" s="2" t="s">
        <v>19</v>
      </c>
      <c r="F176" s="2" t="s">
        <v>23</v>
      </c>
      <c r="G176" s="2" t="s">
        <v>14</v>
      </c>
      <c r="H176" s="2" t="s">
        <v>30</v>
      </c>
      <c r="I176" s="2" t="s">
        <v>31</v>
      </c>
      <c r="J176" s="15">
        <v>300000</v>
      </c>
      <c r="K176" s="2">
        <v>9</v>
      </c>
      <c r="L176" s="2" t="s">
        <v>28</v>
      </c>
      <c r="M176" s="12">
        <f t="shared" si="1"/>
        <v>240000</v>
      </c>
      <c r="N176" s="10">
        <f>PRODUCT(Table_13[[#This Row],[Unit Price]],Table_13[[#This Row],[Quantity]])</f>
        <v>2700000</v>
      </c>
      <c r="O176" s="16">
        <f>PRODUCT(Table_13[[#This Row],[Cost Price]],Table_13[[#This Row],[Quantity]])</f>
        <v>2160000</v>
      </c>
      <c r="P176" s="27">
        <f t="shared" si="6"/>
        <v>540000</v>
      </c>
    </row>
    <row r="177" spans="1:16" x14ac:dyDescent="0.2">
      <c r="A177" s="33">
        <v>45851</v>
      </c>
      <c r="B177" s="30">
        <f t="shared" si="5"/>
        <v>7</v>
      </c>
      <c r="C177" s="30" t="str">
        <f>_xlfn.IFS(Table_13[[#This Row],[Month]]=1,"JAN",Table_13[[#This Row],[Month]]=2,"FEB",B177=3,"MAR",B177=4,"APR",B177=5,"MAY",B177=6,"JUN",B177=7,"JUL",B177=8,"AUG",Table_13[[#This Row],[Month]]=9,"SEPT",B177=10,"OCT",B177=11,"NOV",B177=12,"DEC")</f>
        <v>JUL</v>
      </c>
      <c r="D177" s="2" t="s">
        <v>18</v>
      </c>
      <c r="E177" s="2" t="s">
        <v>19</v>
      </c>
      <c r="F177" s="2" t="s">
        <v>13</v>
      </c>
      <c r="G177" s="2" t="s">
        <v>14</v>
      </c>
      <c r="H177" s="2" t="s">
        <v>41</v>
      </c>
      <c r="I177" s="2" t="s">
        <v>22</v>
      </c>
      <c r="J177" s="15">
        <v>220000</v>
      </c>
      <c r="K177" s="2">
        <v>3</v>
      </c>
      <c r="L177" s="2" t="s">
        <v>24</v>
      </c>
      <c r="M177" s="12">
        <f t="shared" si="1"/>
        <v>176000</v>
      </c>
      <c r="N177" s="10">
        <f>PRODUCT(Table_13[[#This Row],[Unit Price]],Table_13[[#This Row],[Quantity]])</f>
        <v>660000</v>
      </c>
      <c r="O177" s="16">
        <f>PRODUCT(Table_13[[#This Row],[Cost Price]],Table_13[[#This Row],[Quantity]])</f>
        <v>528000</v>
      </c>
      <c r="P177" s="27">
        <f t="shared" si="6"/>
        <v>132000</v>
      </c>
    </row>
    <row r="178" spans="1:16" x14ac:dyDescent="0.2">
      <c r="A178" s="33">
        <v>45852</v>
      </c>
      <c r="B178" s="30">
        <f t="shared" si="5"/>
        <v>7</v>
      </c>
      <c r="C178" s="30" t="str">
        <f>_xlfn.IFS(Table_13[[#This Row],[Month]]=1,"JAN",Table_13[[#This Row],[Month]]=2,"FEB",B178=3,"MAR",B178=4,"APR",B178=5,"MAY",B178=6,"JUN",B178=7,"JUL",B178=8,"AUG",Table_13[[#This Row],[Month]]=9,"SEPT",B178=10,"OCT",B178=11,"NOV",B178=12,"DEC")</f>
        <v>JUL</v>
      </c>
      <c r="D178" s="2" t="s">
        <v>11</v>
      </c>
      <c r="E178" s="2" t="s">
        <v>26</v>
      </c>
      <c r="F178" s="2" t="s">
        <v>23</v>
      </c>
      <c r="G178" s="2" t="s">
        <v>14</v>
      </c>
      <c r="H178" s="2" t="s">
        <v>41</v>
      </c>
      <c r="I178" s="2" t="s">
        <v>22</v>
      </c>
      <c r="J178" s="15">
        <v>220000</v>
      </c>
      <c r="K178" s="2">
        <v>9</v>
      </c>
      <c r="L178" s="2" t="s">
        <v>39</v>
      </c>
      <c r="M178" s="12">
        <f t="shared" si="1"/>
        <v>176000</v>
      </c>
      <c r="N178" s="10">
        <f>PRODUCT(Table_13[[#This Row],[Unit Price]],Table_13[[#This Row],[Quantity]])</f>
        <v>1980000</v>
      </c>
      <c r="O178" s="16">
        <f>PRODUCT(Table_13[[#This Row],[Cost Price]],Table_13[[#This Row],[Quantity]])</f>
        <v>1584000</v>
      </c>
      <c r="P178" s="27">
        <f t="shared" si="6"/>
        <v>396000</v>
      </c>
    </row>
    <row r="179" spans="1:16" x14ac:dyDescent="0.2">
      <c r="A179" s="33">
        <v>45853</v>
      </c>
      <c r="B179" s="30">
        <f t="shared" si="5"/>
        <v>7</v>
      </c>
      <c r="C179" s="30" t="str">
        <f>_xlfn.IFS(Table_13[[#This Row],[Month]]=1,"JAN",Table_13[[#This Row],[Month]]=2,"FEB",B179=3,"MAR",B179=4,"APR",B179=5,"MAY",B179=6,"JUN",B179=7,"JUL",B179=8,"AUG",Table_13[[#This Row],[Month]]=9,"SEPT",B179=10,"OCT",B179=11,"NOV",B179=12,"DEC")</f>
        <v>JUL</v>
      </c>
      <c r="D179" s="2" t="s">
        <v>18</v>
      </c>
      <c r="E179" s="2" t="s">
        <v>26</v>
      </c>
      <c r="F179" s="2" t="s">
        <v>23</v>
      </c>
      <c r="G179" s="2" t="s">
        <v>20</v>
      </c>
      <c r="H179" s="2" t="s">
        <v>27</v>
      </c>
      <c r="I179" s="2" t="s">
        <v>22</v>
      </c>
      <c r="J179" s="15">
        <v>60000</v>
      </c>
      <c r="K179" s="2">
        <v>6</v>
      </c>
      <c r="L179" s="2" t="s">
        <v>39</v>
      </c>
      <c r="M179" s="12">
        <f t="shared" si="1"/>
        <v>48000</v>
      </c>
      <c r="N179" s="10">
        <f>PRODUCT(Table_13[[#This Row],[Unit Price]],Table_13[[#This Row],[Quantity]])</f>
        <v>360000</v>
      </c>
      <c r="O179" s="16">
        <f>PRODUCT(Table_13[[#This Row],[Cost Price]],Table_13[[#This Row],[Quantity]])</f>
        <v>288000</v>
      </c>
      <c r="P179" s="27">
        <f t="shared" si="6"/>
        <v>72000</v>
      </c>
    </row>
    <row r="180" spans="1:16" x14ac:dyDescent="0.2">
      <c r="A180" s="33">
        <v>45854</v>
      </c>
      <c r="B180" s="30">
        <f t="shared" si="5"/>
        <v>7</v>
      </c>
      <c r="C180" s="30" t="str">
        <f>_xlfn.IFS(Table_13[[#This Row],[Month]]=1,"JAN",Table_13[[#This Row],[Month]]=2,"FEB",B180=3,"MAR",B180=4,"APR",B180=5,"MAY",B180=6,"JUN",B180=7,"JUL",B180=8,"AUG",Table_13[[#This Row],[Month]]=9,"SEPT",B180=10,"OCT",B180=11,"NOV",B180=12,"DEC")</f>
        <v>JUL</v>
      </c>
      <c r="D180" s="2" t="s">
        <v>29</v>
      </c>
      <c r="E180" s="2" t="s">
        <v>26</v>
      </c>
      <c r="F180" s="2" t="s">
        <v>13</v>
      </c>
      <c r="G180" s="2" t="s">
        <v>20</v>
      </c>
      <c r="H180" s="2" t="s">
        <v>21</v>
      </c>
      <c r="I180" s="2" t="s">
        <v>22</v>
      </c>
      <c r="J180" s="15">
        <v>30000</v>
      </c>
      <c r="K180" s="2">
        <v>10</v>
      </c>
      <c r="L180" s="2" t="s">
        <v>35</v>
      </c>
      <c r="M180" s="12">
        <f t="shared" si="1"/>
        <v>24000</v>
      </c>
      <c r="N180" s="10">
        <f>PRODUCT(Table_13[[#This Row],[Unit Price]],Table_13[[#This Row],[Quantity]])</f>
        <v>300000</v>
      </c>
      <c r="O180" s="16">
        <f>PRODUCT(Table_13[[#This Row],[Cost Price]],Table_13[[#This Row],[Quantity]])</f>
        <v>240000</v>
      </c>
      <c r="P180" s="27">
        <f t="shared" si="6"/>
        <v>60000</v>
      </c>
    </row>
    <row r="181" spans="1:16" x14ac:dyDescent="0.2">
      <c r="A181" s="33">
        <v>45855</v>
      </c>
      <c r="B181" s="30">
        <f t="shared" si="5"/>
        <v>7</v>
      </c>
      <c r="C181" s="30" t="str">
        <f>_xlfn.IFS(Table_13[[#This Row],[Month]]=1,"JAN",Table_13[[#This Row],[Month]]=2,"FEB",B181=3,"MAR",B181=4,"APR",B181=5,"MAY",B181=6,"JUN",B181=7,"JUL",B181=8,"AUG",Table_13[[#This Row],[Month]]=9,"SEPT",B181=10,"OCT",B181=11,"NOV",B181=12,"DEC")</f>
        <v>JUL</v>
      </c>
      <c r="D181" s="2" t="s">
        <v>25</v>
      </c>
      <c r="E181" s="2" t="s">
        <v>26</v>
      </c>
      <c r="F181" s="2" t="s">
        <v>23</v>
      </c>
      <c r="G181" s="2" t="s">
        <v>20</v>
      </c>
      <c r="H181" s="2" t="s">
        <v>38</v>
      </c>
      <c r="I181" s="2" t="s">
        <v>31</v>
      </c>
      <c r="J181" s="15">
        <v>420000</v>
      </c>
      <c r="K181" s="2">
        <v>8</v>
      </c>
      <c r="L181" s="2" t="s">
        <v>39</v>
      </c>
      <c r="M181" s="12">
        <f t="shared" si="1"/>
        <v>336000</v>
      </c>
      <c r="N181" s="10">
        <f>PRODUCT(Table_13[[#This Row],[Unit Price]],Table_13[[#This Row],[Quantity]])</f>
        <v>3360000</v>
      </c>
      <c r="O181" s="16">
        <f>PRODUCT(Table_13[[#This Row],[Cost Price]],Table_13[[#This Row],[Quantity]])</f>
        <v>2688000</v>
      </c>
      <c r="P181" s="27">
        <f t="shared" si="6"/>
        <v>672000</v>
      </c>
    </row>
    <row r="182" spans="1:16" x14ac:dyDescent="0.2">
      <c r="A182" s="33">
        <v>45856</v>
      </c>
      <c r="B182" s="30">
        <f t="shared" si="5"/>
        <v>7</v>
      </c>
      <c r="C182" s="30" t="str">
        <f>_xlfn.IFS(Table_13[[#This Row],[Month]]=1,"JAN",Table_13[[#This Row],[Month]]=2,"FEB",B182=3,"MAR",B182=4,"APR",B182=5,"MAY",B182=6,"JUN",B182=7,"JUL",B182=8,"AUG",Table_13[[#This Row],[Month]]=9,"SEPT",B182=10,"OCT",B182=11,"NOV",B182=12,"DEC")</f>
        <v>JUL</v>
      </c>
      <c r="D182" s="2" t="s">
        <v>25</v>
      </c>
      <c r="E182" s="2" t="s">
        <v>26</v>
      </c>
      <c r="F182" s="2" t="s">
        <v>23</v>
      </c>
      <c r="G182" s="2" t="s">
        <v>14</v>
      </c>
      <c r="H182" s="2" t="s">
        <v>27</v>
      </c>
      <c r="I182" s="2" t="s">
        <v>22</v>
      </c>
      <c r="J182" s="15">
        <v>60000</v>
      </c>
      <c r="K182" s="2">
        <v>9</v>
      </c>
      <c r="L182" s="2" t="s">
        <v>17</v>
      </c>
      <c r="M182" s="12">
        <f t="shared" si="1"/>
        <v>48000</v>
      </c>
      <c r="N182" s="10">
        <f>PRODUCT(Table_13[[#This Row],[Unit Price]],Table_13[[#This Row],[Quantity]])</f>
        <v>540000</v>
      </c>
      <c r="O182" s="16">
        <f>PRODUCT(Table_13[[#This Row],[Cost Price]],Table_13[[#This Row],[Quantity]])</f>
        <v>432000</v>
      </c>
      <c r="P182" s="27">
        <f t="shared" si="6"/>
        <v>108000</v>
      </c>
    </row>
    <row r="183" spans="1:16" x14ac:dyDescent="0.2">
      <c r="A183" s="33">
        <v>45857</v>
      </c>
      <c r="B183" s="30">
        <f t="shared" si="5"/>
        <v>7</v>
      </c>
      <c r="C183" s="30" t="str">
        <f>_xlfn.IFS(Table_13[[#This Row],[Month]]=1,"JAN",Table_13[[#This Row],[Month]]=2,"FEB",B183=3,"MAR",B183=4,"APR",B183=5,"MAY",B183=6,"JUN",B183=7,"JUL",B183=8,"AUG",Table_13[[#This Row],[Month]]=9,"SEPT",B183=10,"OCT",B183=11,"NOV",B183=12,"DEC")</f>
        <v>JUL</v>
      </c>
      <c r="D183" s="2" t="s">
        <v>18</v>
      </c>
      <c r="E183" s="2" t="s">
        <v>26</v>
      </c>
      <c r="F183" s="2" t="s">
        <v>23</v>
      </c>
      <c r="G183" s="2" t="s">
        <v>14</v>
      </c>
      <c r="H183" s="2" t="s">
        <v>40</v>
      </c>
      <c r="I183" s="2" t="s">
        <v>31</v>
      </c>
      <c r="J183" s="15">
        <v>250000</v>
      </c>
      <c r="K183" s="2">
        <v>1</v>
      </c>
      <c r="L183" s="2" t="s">
        <v>35</v>
      </c>
      <c r="M183" s="12">
        <f t="shared" si="1"/>
        <v>200000</v>
      </c>
      <c r="N183" s="10">
        <f>PRODUCT(Table_13[[#This Row],[Unit Price]],Table_13[[#This Row],[Quantity]])</f>
        <v>250000</v>
      </c>
      <c r="O183" s="16">
        <f>PRODUCT(Table_13[[#This Row],[Cost Price]],Table_13[[#This Row],[Quantity]])</f>
        <v>200000</v>
      </c>
      <c r="P183" s="27">
        <f t="shared" si="6"/>
        <v>50000</v>
      </c>
    </row>
    <row r="184" spans="1:16" x14ac:dyDescent="0.2">
      <c r="A184" s="33">
        <v>45858</v>
      </c>
      <c r="B184" s="30">
        <f t="shared" si="5"/>
        <v>7</v>
      </c>
      <c r="C184" s="30" t="str">
        <f>_xlfn.IFS(Table_13[[#This Row],[Month]]=1,"JAN",Table_13[[#This Row],[Month]]=2,"FEB",B184=3,"MAR",B184=4,"APR",B184=5,"MAY",B184=6,"JUN",B184=7,"JUL",B184=8,"AUG",Table_13[[#This Row],[Month]]=9,"SEPT",B184=10,"OCT",B184=11,"NOV",B184=12,"DEC")</f>
        <v>JUL</v>
      </c>
      <c r="D184" s="2" t="s">
        <v>25</v>
      </c>
      <c r="E184" s="2" t="s">
        <v>26</v>
      </c>
      <c r="F184" s="2" t="s">
        <v>13</v>
      </c>
      <c r="G184" s="2" t="s">
        <v>14</v>
      </c>
      <c r="H184" s="2" t="s">
        <v>27</v>
      </c>
      <c r="I184" s="2" t="s">
        <v>22</v>
      </c>
      <c r="J184" s="15">
        <v>60000</v>
      </c>
      <c r="K184" s="2">
        <v>1</v>
      </c>
      <c r="L184" s="2" t="s">
        <v>39</v>
      </c>
      <c r="M184" s="12">
        <f t="shared" si="1"/>
        <v>48000</v>
      </c>
      <c r="N184" s="10">
        <f>PRODUCT(Table_13[[#This Row],[Unit Price]],Table_13[[#This Row],[Quantity]])</f>
        <v>60000</v>
      </c>
      <c r="O184" s="16">
        <f>PRODUCT(Table_13[[#This Row],[Cost Price]],Table_13[[#This Row],[Quantity]])</f>
        <v>48000</v>
      </c>
      <c r="P184" s="27">
        <f t="shared" si="6"/>
        <v>12000</v>
      </c>
    </row>
    <row r="185" spans="1:16" x14ac:dyDescent="0.2">
      <c r="A185" s="33">
        <v>45859</v>
      </c>
      <c r="B185" s="30">
        <f t="shared" si="5"/>
        <v>7</v>
      </c>
      <c r="C185" s="30" t="str">
        <f>_xlfn.IFS(Table_13[[#This Row],[Month]]=1,"JAN",Table_13[[#This Row],[Month]]=2,"FEB",B185=3,"MAR",B185=4,"APR",B185=5,"MAY",B185=6,"JUN",B185=7,"JUL",B185=8,"AUG",Table_13[[#This Row],[Month]]=9,"SEPT",B185=10,"OCT",B185=11,"NOV",B185=12,"DEC")</f>
        <v>JUL</v>
      </c>
      <c r="D185" s="2" t="s">
        <v>25</v>
      </c>
      <c r="E185" s="2" t="s">
        <v>32</v>
      </c>
      <c r="F185" s="2" t="s">
        <v>13</v>
      </c>
      <c r="G185" s="2" t="s">
        <v>14</v>
      </c>
      <c r="H185" s="2" t="s">
        <v>38</v>
      </c>
      <c r="I185" s="2" t="s">
        <v>31</v>
      </c>
      <c r="J185" s="15">
        <v>420000</v>
      </c>
      <c r="K185" s="2">
        <v>8</v>
      </c>
      <c r="L185" s="2" t="s">
        <v>39</v>
      </c>
      <c r="M185" s="12">
        <f t="shared" si="1"/>
        <v>336000</v>
      </c>
      <c r="N185" s="10">
        <f>PRODUCT(Table_13[[#This Row],[Unit Price]],Table_13[[#This Row],[Quantity]])</f>
        <v>3360000</v>
      </c>
      <c r="O185" s="16">
        <f>PRODUCT(Table_13[[#This Row],[Cost Price]],Table_13[[#This Row],[Quantity]])</f>
        <v>2688000</v>
      </c>
      <c r="P185" s="27">
        <f t="shared" si="6"/>
        <v>672000</v>
      </c>
    </row>
    <row r="186" spans="1:16" x14ac:dyDescent="0.2">
      <c r="A186" s="33">
        <v>45860</v>
      </c>
      <c r="B186" s="30">
        <f t="shared" si="5"/>
        <v>7</v>
      </c>
      <c r="C186" s="30" t="str">
        <f>_xlfn.IFS(Table_13[[#This Row],[Month]]=1,"JAN",Table_13[[#This Row],[Month]]=2,"FEB",B186=3,"MAR",B186=4,"APR",B186=5,"MAY",B186=6,"JUN",B186=7,"JUL",B186=8,"AUG",Table_13[[#This Row],[Month]]=9,"SEPT",B186=10,"OCT",B186=11,"NOV",B186=12,"DEC")</f>
        <v>JUL</v>
      </c>
      <c r="D186" s="2" t="s">
        <v>25</v>
      </c>
      <c r="E186" s="2" t="s">
        <v>12</v>
      </c>
      <c r="F186" s="2" t="s">
        <v>23</v>
      </c>
      <c r="G186" s="2" t="s">
        <v>20</v>
      </c>
      <c r="H186" s="2" t="s">
        <v>33</v>
      </c>
      <c r="I186" s="2" t="s">
        <v>22</v>
      </c>
      <c r="J186" s="15">
        <v>180000</v>
      </c>
      <c r="K186" s="2">
        <v>4</v>
      </c>
      <c r="L186" s="2" t="s">
        <v>39</v>
      </c>
      <c r="M186" s="12">
        <f t="shared" si="1"/>
        <v>144000</v>
      </c>
      <c r="N186" s="10">
        <f>PRODUCT(Table_13[[#This Row],[Unit Price]],Table_13[[#This Row],[Quantity]])</f>
        <v>720000</v>
      </c>
      <c r="O186" s="16">
        <f>PRODUCT(Table_13[[#This Row],[Cost Price]],Table_13[[#This Row],[Quantity]])</f>
        <v>576000</v>
      </c>
      <c r="P186" s="27">
        <f t="shared" si="6"/>
        <v>144000</v>
      </c>
    </row>
    <row r="187" spans="1:16" x14ac:dyDescent="0.2">
      <c r="A187" s="33">
        <v>45861</v>
      </c>
      <c r="B187" s="30">
        <f t="shared" si="5"/>
        <v>7</v>
      </c>
      <c r="C187" s="30" t="str">
        <f>_xlfn.IFS(Table_13[[#This Row],[Month]]=1,"JAN",Table_13[[#This Row],[Month]]=2,"FEB",B187=3,"MAR",B187=4,"APR",B187=5,"MAY",B187=6,"JUN",B187=7,"JUL",B187=8,"AUG",Table_13[[#This Row],[Month]]=9,"SEPT",B187=10,"OCT",B187=11,"NOV",B187=12,"DEC")</f>
        <v>JUL</v>
      </c>
      <c r="D187" s="2" t="s">
        <v>18</v>
      </c>
      <c r="E187" s="2" t="s">
        <v>26</v>
      </c>
      <c r="F187" s="2" t="s">
        <v>13</v>
      </c>
      <c r="G187" s="2" t="s">
        <v>20</v>
      </c>
      <c r="H187" s="2" t="s">
        <v>33</v>
      </c>
      <c r="I187" s="2" t="s">
        <v>22</v>
      </c>
      <c r="J187" s="15">
        <v>180000</v>
      </c>
      <c r="K187" s="2">
        <v>7</v>
      </c>
      <c r="L187" s="2" t="s">
        <v>39</v>
      </c>
      <c r="M187" s="12">
        <f t="shared" si="1"/>
        <v>144000</v>
      </c>
      <c r="N187" s="10">
        <f>PRODUCT(Table_13[[#This Row],[Unit Price]],Table_13[[#This Row],[Quantity]])</f>
        <v>1260000</v>
      </c>
      <c r="O187" s="16">
        <f>PRODUCT(Table_13[[#This Row],[Cost Price]],Table_13[[#This Row],[Quantity]])</f>
        <v>1008000</v>
      </c>
      <c r="P187" s="27">
        <f t="shared" si="6"/>
        <v>252000</v>
      </c>
    </row>
    <row r="188" spans="1:16" x14ac:dyDescent="0.2">
      <c r="A188" s="33">
        <v>45862</v>
      </c>
      <c r="B188" s="30">
        <f t="shared" si="5"/>
        <v>7</v>
      </c>
      <c r="C188" s="30" t="str">
        <f>_xlfn.IFS(Table_13[[#This Row],[Month]]=1,"JAN",Table_13[[#This Row],[Month]]=2,"FEB",B188=3,"MAR",B188=4,"APR",B188=5,"MAY",B188=6,"JUN",B188=7,"JUL",B188=8,"AUG",Table_13[[#This Row],[Month]]=9,"SEPT",B188=10,"OCT",B188=11,"NOV",B188=12,"DEC")</f>
        <v>JUL</v>
      </c>
      <c r="D188" s="2" t="s">
        <v>29</v>
      </c>
      <c r="E188" s="2" t="s">
        <v>26</v>
      </c>
      <c r="F188" s="2" t="s">
        <v>13</v>
      </c>
      <c r="G188" s="2" t="s">
        <v>14</v>
      </c>
      <c r="H188" s="2" t="s">
        <v>21</v>
      </c>
      <c r="I188" s="2" t="s">
        <v>22</v>
      </c>
      <c r="J188" s="15">
        <v>30000</v>
      </c>
      <c r="K188" s="2">
        <v>6</v>
      </c>
      <c r="L188" s="2" t="s">
        <v>37</v>
      </c>
      <c r="M188" s="12">
        <f t="shared" si="1"/>
        <v>24000</v>
      </c>
      <c r="N188" s="10">
        <f>PRODUCT(Table_13[[#This Row],[Unit Price]],Table_13[[#This Row],[Quantity]])</f>
        <v>180000</v>
      </c>
      <c r="O188" s="16">
        <f>PRODUCT(Table_13[[#This Row],[Cost Price]],Table_13[[#This Row],[Quantity]])</f>
        <v>144000</v>
      </c>
      <c r="P188" s="27">
        <f t="shared" si="6"/>
        <v>36000</v>
      </c>
    </row>
    <row r="189" spans="1:16" x14ac:dyDescent="0.2">
      <c r="A189" s="33">
        <v>45863</v>
      </c>
      <c r="B189" s="30">
        <f t="shared" si="5"/>
        <v>7</v>
      </c>
      <c r="C189" s="30" t="str">
        <f>_xlfn.IFS(Table_13[[#This Row],[Month]]=1,"JAN",Table_13[[#This Row],[Month]]=2,"FEB",B189=3,"MAR",B189=4,"APR",B189=5,"MAY",B189=6,"JUN",B189=7,"JUL",B189=8,"AUG",Table_13[[#This Row],[Month]]=9,"SEPT",B189=10,"OCT",B189=11,"NOV",B189=12,"DEC")</f>
        <v>JUL</v>
      </c>
      <c r="D189" s="2" t="s">
        <v>18</v>
      </c>
      <c r="E189" s="2" t="s">
        <v>12</v>
      </c>
      <c r="F189" s="2" t="s">
        <v>13</v>
      </c>
      <c r="G189" s="2" t="s">
        <v>14</v>
      </c>
      <c r="H189" s="2" t="s">
        <v>33</v>
      </c>
      <c r="I189" s="2" t="s">
        <v>22</v>
      </c>
      <c r="J189" s="15">
        <v>180000</v>
      </c>
      <c r="K189" s="2">
        <v>4</v>
      </c>
      <c r="L189" s="2" t="s">
        <v>24</v>
      </c>
      <c r="M189" s="12">
        <f t="shared" si="1"/>
        <v>144000</v>
      </c>
      <c r="N189" s="10">
        <f>PRODUCT(Table_13[[#This Row],[Unit Price]],Table_13[[#This Row],[Quantity]])</f>
        <v>720000</v>
      </c>
      <c r="O189" s="16">
        <f>PRODUCT(Table_13[[#This Row],[Cost Price]],Table_13[[#This Row],[Quantity]])</f>
        <v>576000</v>
      </c>
      <c r="P189" s="27">
        <f t="shared" si="6"/>
        <v>144000</v>
      </c>
    </row>
    <row r="190" spans="1:16" x14ac:dyDescent="0.2">
      <c r="A190" s="33">
        <v>45864</v>
      </c>
      <c r="B190" s="30">
        <f t="shared" si="5"/>
        <v>7</v>
      </c>
      <c r="C190" s="30" t="str">
        <f>_xlfn.IFS(Table_13[[#This Row],[Month]]=1,"JAN",Table_13[[#This Row],[Month]]=2,"FEB",B190=3,"MAR",B190=4,"APR",B190=5,"MAY",B190=6,"JUN",B190=7,"JUL",B190=8,"AUG",Table_13[[#This Row],[Month]]=9,"SEPT",B190=10,"OCT",B190=11,"NOV",B190=12,"DEC")</f>
        <v>JUL</v>
      </c>
      <c r="D190" s="2" t="s">
        <v>18</v>
      </c>
      <c r="E190" s="2" t="s">
        <v>32</v>
      </c>
      <c r="F190" s="2" t="s">
        <v>23</v>
      </c>
      <c r="G190" s="2" t="s">
        <v>20</v>
      </c>
      <c r="H190" s="2" t="s">
        <v>30</v>
      </c>
      <c r="I190" s="2" t="s">
        <v>31</v>
      </c>
      <c r="J190" s="15">
        <v>300000</v>
      </c>
      <c r="K190" s="2">
        <v>3</v>
      </c>
      <c r="L190" s="2" t="s">
        <v>28</v>
      </c>
      <c r="M190" s="12">
        <f t="shared" si="1"/>
        <v>240000</v>
      </c>
      <c r="N190" s="10">
        <f>PRODUCT(Table_13[[#This Row],[Unit Price]],Table_13[[#This Row],[Quantity]])</f>
        <v>900000</v>
      </c>
      <c r="O190" s="16">
        <f>PRODUCT(Table_13[[#This Row],[Cost Price]],Table_13[[#This Row],[Quantity]])</f>
        <v>720000</v>
      </c>
      <c r="P190" s="27">
        <f t="shared" si="6"/>
        <v>180000</v>
      </c>
    </row>
    <row r="191" spans="1:16" x14ac:dyDescent="0.2">
      <c r="A191" s="33">
        <v>45865</v>
      </c>
      <c r="B191" s="30">
        <f t="shared" si="5"/>
        <v>7</v>
      </c>
      <c r="C191" s="30" t="str">
        <f>_xlfn.IFS(Table_13[[#This Row],[Month]]=1,"JAN",Table_13[[#This Row],[Month]]=2,"FEB",B191=3,"MAR",B191=4,"APR",B191=5,"MAY",B191=6,"JUN",B191=7,"JUL",B191=8,"AUG",Table_13[[#This Row],[Month]]=9,"SEPT",B191=10,"OCT",B191=11,"NOV",B191=12,"DEC")</f>
        <v>JUL</v>
      </c>
      <c r="D191" s="2" t="s">
        <v>11</v>
      </c>
      <c r="E191" s="2" t="s">
        <v>19</v>
      </c>
      <c r="F191" s="2" t="s">
        <v>13</v>
      </c>
      <c r="G191" s="2" t="s">
        <v>14</v>
      </c>
      <c r="H191" s="2" t="s">
        <v>27</v>
      </c>
      <c r="I191" s="2" t="s">
        <v>22</v>
      </c>
      <c r="J191" s="15">
        <v>60000</v>
      </c>
      <c r="K191" s="2">
        <v>3</v>
      </c>
      <c r="L191" s="2" t="s">
        <v>17</v>
      </c>
      <c r="M191" s="12">
        <f t="shared" si="1"/>
        <v>48000</v>
      </c>
      <c r="N191" s="10">
        <f>PRODUCT(Table_13[[#This Row],[Unit Price]],Table_13[[#This Row],[Quantity]])</f>
        <v>180000</v>
      </c>
      <c r="O191" s="16">
        <f>PRODUCT(Table_13[[#This Row],[Cost Price]],Table_13[[#This Row],[Quantity]])</f>
        <v>144000</v>
      </c>
      <c r="P191" s="27">
        <f t="shared" si="6"/>
        <v>36000</v>
      </c>
    </row>
    <row r="192" spans="1:16" x14ac:dyDescent="0.2">
      <c r="A192" s="33">
        <v>45866</v>
      </c>
      <c r="B192" s="30">
        <f t="shared" si="5"/>
        <v>7</v>
      </c>
      <c r="C192" s="30" t="str">
        <f>_xlfn.IFS(Table_13[[#This Row],[Month]]=1,"JAN",Table_13[[#This Row],[Month]]=2,"FEB",B192=3,"MAR",B192=4,"APR",B192=5,"MAY",B192=6,"JUN",B192=7,"JUL",B192=8,"AUG",Table_13[[#This Row],[Month]]=9,"SEPT",B192=10,"OCT",B192=11,"NOV",B192=12,"DEC")</f>
        <v>JUL</v>
      </c>
      <c r="D192" s="2" t="s">
        <v>18</v>
      </c>
      <c r="E192" s="2" t="s">
        <v>12</v>
      </c>
      <c r="F192" s="2" t="s">
        <v>23</v>
      </c>
      <c r="G192" s="2" t="s">
        <v>14</v>
      </c>
      <c r="H192" s="2" t="s">
        <v>41</v>
      </c>
      <c r="I192" s="2" t="s">
        <v>22</v>
      </c>
      <c r="J192" s="15">
        <v>220000</v>
      </c>
      <c r="K192" s="2">
        <v>1</v>
      </c>
      <c r="L192" s="2" t="s">
        <v>28</v>
      </c>
      <c r="M192" s="12">
        <f t="shared" si="1"/>
        <v>176000</v>
      </c>
      <c r="N192" s="10">
        <f>PRODUCT(Table_13[[#This Row],[Unit Price]],Table_13[[#This Row],[Quantity]])</f>
        <v>220000</v>
      </c>
      <c r="O192" s="16">
        <f>PRODUCT(Table_13[[#This Row],[Cost Price]],Table_13[[#This Row],[Quantity]])</f>
        <v>176000</v>
      </c>
      <c r="P192" s="27">
        <f t="shared" si="6"/>
        <v>44000</v>
      </c>
    </row>
    <row r="193" spans="1:16" x14ac:dyDescent="0.2">
      <c r="A193" s="33">
        <v>45867</v>
      </c>
      <c r="B193" s="30">
        <f t="shared" si="5"/>
        <v>7</v>
      </c>
      <c r="C193" s="30" t="str">
        <f>_xlfn.IFS(Table_13[[#This Row],[Month]]=1,"JAN",Table_13[[#This Row],[Month]]=2,"FEB",B193=3,"MAR",B193=4,"APR",B193=5,"MAY",B193=6,"JUN",B193=7,"JUL",B193=8,"AUG",Table_13[[#This Row],[Month]]=9,"SEPT",B193=10,"OCT",B193=11,"NOV",B193=12,"DEC")</f>
        <v>JUL</v>
      </c>
      <c r="D193" s="2" t="s">
        <v>29</v>
      </c>
      <c r="E193" s="2" t="s">
        <v>19</v>
      </c>
      <c r="F193" s="2" t="s">
        <v>13</v>
      </c>
      <c r="G193" s="2" t="s">
        <v>14</v>
      </c>
      <c r="H193" s="2" t="s">
        <v>30</v>
      </c>
      <c r="I193" s="2" t="s">
        <v>31</v>
      </c>
      <c r="J193" s="15">
        <v>300000</v>
      </c>
      <c r="K193" s="2">
        <v>2</v>
      </c>
      <c r="L193" s="2" t="s">
        <v>24</v>
      </c>
      <c r="M193" s="12">
        <f t="shared" si="1"/>
        <v>240000</v>
      </c>
      <c r="N193" s="10">
        <f>PRODUCT(Table_13[[#This Row],[Unit Price]],Table_13[[#This Row],[Quantity]])</f>
        <v>600000</v>
      </c>
      <c r="O193" s="16">
        <f>PRODUCT(Table_13[[#This Row],[Cost Price]],Table_13[[#This Row],[Quantity]])</f>
        <v>480000</v>
      </c>
      <c r="P193" s="27">
        <f t="shared" si="6"/>
        <v>120000</v>
      </c>
    </row>
    <row r="194" spans="1:16" x14ac:dyDescent="0.2">
      <c r="A194" s="33">
        <v>45868</v>
      </c>
      <c r="B194" s="30">
        <f t="shared" ref="B194:B257" si="7">MONTH(A194)</f>
        <v>7</v>
      </c>
      <c r="C194" s="30" t="str">
        <f>_xlfn.IFS(Table_13[[#This Row],[Month]]=1,"JAN",Table_13[[#This Row],[Month]]=2,"FEB",B194=3,"MAR",B194=4,"APR",B194=5,"MAY",B194=6,"JUN",B194=7,"JUL",B194=8,"AUG",Table_13[[#This Row],[Month]]=9,"SEPT",B194=10,"OCT",B194=11,"NOV",B194=12,"DEC")</f>
        <v>JUL</v>
      </c>
      <c r="D194" s="2" t="s">
        <v>25</v>
      </c>
      <c r="E194" s="2" t="s">
        <v>26</v>
      </c>
      <c r="F194" s="2" t="s">
        <v>13</v>
      </c>
      <c r="G194" s="2" t="s">
        <v>14</v>
      </c>
      <c r="H194" s="2" t="s">
        <v>36</v>
      </c>
      <c r="I194" s="2" t="s">
        <v>31</v>
      </c>
      <c r="J194" s="15">
        <v>150000</v>
      </c>
      <c r="K194" s="2">
        <v>3</v>
      </c>
      <c r="L194" s="2" t="s">
        <v>24</v>
      </c>
      <c r="M194" s="12">
        <f t="shared" si="1"/>
        <v>120000</v>
      </c>
      <c r="N194" s="10">
        <f>PRODUCT(Table_13[[#This Row],[Unit Price]],Table_13[[#This Row],[Quantity]])</f>
        <v>450000</v>
      </c>
      <c r="O194" s="16">
        <f>PRODUCT(Table_13[[#This Row],[Cost Price]],Table_13[[#This Row],[Quantity]])</f>
        <v>360000</v>
      </c>
      <c r="P194" s="27">
        <f t="shared" ref="P194:P257" si="8">N194-O194</f>
        <v>90000</v>
      </c>
    </row>
    <row r="195" spans="1:16" x14ac:dyDescent="0.2">
      <c r="A195" s="33">
        <v>45869</v>
      </c>
      <c r="B195" s="30">
        <f t="shared" si="7"/>
        <v>7</v>
      </c>
      <c r="C195" s="30" t="str">
        <f>_xlfn.IFS(Table_13[[#This Row],[Month]]=1,"JAN",Table_13[[#This Row],[Month]]=2,"FEB",B195=3,"MAR",B195=4,"APR",B195=5,"MAY",B195=6,"JUN",B195=7,"JUL",B195=8,"AUG",Table_13[[#This Row],[Month]]=9,"SEPT",B195=10,"OCT",B195=11,"NOV",B195=12,"DEC")</f>
        <v>JUL</v>
      </c>
      <c r="D195" s="2" t="s">
        <v>29</v>
      </c>
      <c r="E195" s="2" t="s">
        <v>19</v>
      </c>
      <c r="F195" s="2" t="s">
        <v>23</v>
      </c>
      <c r="G195" s="2" t="s">
        <v>14</v>
      </c>
      <c r="H195" s="2" t="s">
        <v>15</v>
      </c>
      <c r="I195" s="2" t="s">
        <v>16</v>
      </c>
      <c r="J195" s="15">
        <v>85000</v>
      </c>
      <c r="K195" s="2">
        <v>1</v>
      </c>
      <c r="L195" s="2" t="s">
        <v>24</v>
      </c>
      <c r="M195" s="12">
        <f t="shared" si="1"/>
        <v>68000</v>
      </c>
      <c r="N195" s="10">
        <f>PRODUCT(Table_13[[#This Row],[Unit Price]],Table_13[[#This Row],[Quantity]])</f>
        <v>85000</v>
      </c>
      <c r="O195" s="16">
        <f>PRODUCT(Table_13[[#This Row],[Cost Price]],Table_13[[#This Row],[Quantity]])</f>
        <v>68000</v>
      </c>
      <c r="P195" s="27">
        <f t="shared" si="8"/>
        <v>17000</v>
      </c>
    </row>
    <row r="196" spans="1:16" x14ac:dyDescent="0.2">
      <c r="A196" s="33">
        <v>45870</v>
      </c>
      <c r="B196" s="30">
        <f t="shared" si="7"/>
        <v>8</v>
      </c>
      <c r="C196" s="30" t="str">
        <f>_xlfn.IFS(Table_13[[#This Row],[Month]]=1,"JAN",Table_13[[#This Row],[Month]]=2,"FEB",B196=3,"MAR",B196=4,"APR",B196=5,"MAY",B196=6,"JUN",B196=7,"JUL",B196=8,"AUG",Table_13[[#This Row],[Month]]=9,"SEPT",B196=10,"OCT",B196=11,"NOV",B196=12,"DEC")</f>
        <v>AUG</v>
      </c>
      <c r="D196" s="2" t="s">
        <v>25</v>
      </c>
      <c r="E196" s="2" t="s">
        <v>19</v>
      </c>
      <c r="F196" s="2" t="s">
        <v>13</v>
      </c>
      <c r="G196" s="2" t="s">
        <v>20</v>
      </c>
      <c r="H196" s="2" t="s">
        <v>21</v>
      </c>
      <c r="I196" s="2" t="s">
        <v>22</v>
      </c>
      <c r="J196" s="15">
        <v>30000</v>
      </c>
      <c r="K196" s="2">
        <v>6</v>
      </c>
      <c r="L196" s="2" t="s">
        <v>17</v>
      </c>
      <c r="M196" s="12">
        <f t="shared" si="1"/>
        <v>24000</v>
      </c>
      <c r="N196" s="10">
        <f>PRODUCT(Table_13[[#This Row],[Unit Price]],Table_13[[#This Row],[Quantity]])</f>
        <v>180000</v>
      </c>
      <c r="O196" s="16">
        <f>PRODUCT(Table_13[[#This Row],[Cost Price]],Table_13[[#This Row],[Quantity]])</f>
        <v>144000</v>
      </c>
      <c r="P196" s="27">
        <f t="shared" si="8"/>
        <v>36000</v>
      </c>
    </row>
    <row r="197" spans="1:16" x14ac:dyDescent="0.2">
      <c r="A197" s="33">
        <v>45871</v>
      </c>
      <c r="B197" s="30">
        <f t="shared" si="7"/>
        <v>8</v>
      </c>
      <c r="C197" s="30" t="str">
        <f>_xlfn.IFS(Table_13[[#This Row],[Month]]=1,"JAN",Table_13[[#This Row],[Month]]=2,"FEB",B197=3,"MAR",B197=4,"APR",B197=5,"MAY",B197=6,"JUN",B197=7,"JUL",B197=8,"AUG",Table_13[[#This Row],[Month]]=9,"SEPT",B197=10,"OCT",B197=11,"NOV",B197=12,"DEC")</f>
        <v>AUG</v>
      </c>
      <c r="D197" s="2" t="s">
        <v>11</v>
      </c>
      <c r="E197" s="2" t="s">
        <v>26</v>
      </c>
      <c r="F197" s="2" t="s">
        <v>23</v>
      </c>
      <c r="G197" s="2" t="s">
        <v>14</v>
      </c>
      <c r="H197" s="2" t="s">
        <v>36</v>
      </c>
      <c r="I197" s="2" t="s">
        <v>31</v>
      </c>
      <c r="J197" s="15">
        <v>150000</v>
      </c>
      <c r="K197" s="2">
        <v>5</v>
      </c>
      <c r="L197" s="2" t="s">
        <v>28</v>
      </c>
      <c r="M197" s="12">
        <f t="shared" si="1"/>
        <v>120000</v>
      </c>
      <c r="N197" s="10">
        <f>PRODUCT(Table_13[[#This Row],[Unit Price]],Table_13[[#This Row],[Quantity]])</f>
        <v>750000</v>
      </c>
      <c r="O197" s="16">
        <f>PRODUCT(Table_13[[#This Row],[Cost Price]],Table_13[[#This Row],[Quantity]])</f>
        <v>600000</v>
      </c>
      <c r="P197" s="27">
        <f t="shared" si="8"/>
        <v>150000</v>
      </c>
    </row>
    <row r="198" spans="1:16" x14ac:dyDescent="0.2">
      <c r="A198" s="33">
        <v>45872</v>
      </c>
      <c r="B198" s="30">
        <f t="shared" si="7"/>
        <v>8</v>
      </c>
      <c r="C198" s="30" t="str">
        <f>_xlfn.IFS(Table_13[[#This Row],[Month]]=1,"JAN",Table_13[[#This Row],[Month]]=2,"FEB",B198=3,"MAR",B198=4,"APR",B198=5,"MAY",B198=6,"JUN",B198=7,"JUL",B198=8,"AUG",Table_13[[#This Row],[Month]]=9,"SEPT",B198=10,"OCT",B198=11,"NOV",B198=12,"DEC")</f>
        <v>AUG</v>
      </c>
      <c r="D198" s="2" t="s">
        <v>11</v>
      </c>
      <c r="E198" s="2" t="s">
        <v>19</v>
      </c>
      <c r="F198" s="2" t="s">
        <v>13</v>
      </c>
      <c r="G198" s="2" t="s">
        <v>20</v>
      </c>
      <c r="H198" s="2" t="s">
        <v>21</v>
      </c>
      <c r="I198" s="2" t="s">
        <v>22</v>
      </c>
      <c r="J198" s="15">
        <v>30000</v>
      </c>
      <c r="K198" s="2">
        <v>5</v>
      </c>
      <c r="L198" s="2" t="s">
        <v>37</v>
      </c>
      <c r="M198" s="12">
        <f t="shared" si="1"/>
        <v>24000</v>
      </c>
      <c r="N198" s="10">
        <f>PRODUCT(Table_13[[#This Row],[Unit Price]],Table_13[[#This Row],[Quantity]])</f>
        <v>150000</v>
      </c>
      <c r="O198" s="16">
        <f>PRODUCT(Table_13[[#This Row],[Cost Price]],Table_13[[#This Row],[Quantity]])</f>
        <v>120000</v>
      </c>
      <c r="P198" s="27">
        <f t="shared" si="8"/>
        <v>30000</v>
      </c>
    </row>
    <row r="199" spans="1:16" x14ac:dyDescent="0.2">
      <c r="A199" s="33">
        <v>45873</v>
      </c>
      <c r="B199" s="30">
        <f t="shared" si="7"/>
        <v>8</v>
      </c>
      <c r="C199" s="30" t="str">
        <f>_xlfn.IFS(Table_13[[#This Row],[Month]]=1,"JAN",Table_13[[#This Row],[Month]]=2,"FEB",B199=3,"MAR",B199=4,"APR",B199=5,"MAY",B199=6,"JUN",B199=7,"JUL",B199=8,"AUG",Table_13[[#This Row],[Month]]=9,"SEPT",B199=10,"OCT",B199=11,"NOV",B199=12,"DEC")</f>
        <v>AUG</v>
      </c>
      <c r="D199" s="2" t="s">
        <v>18</v>
      </c>
      <c r="E199" s="2" t="s">
        <v>19</v>
      </c>
      <c r="F199" s="2" t="s">
        <v>13</v>
      </c>
      <c r="G199" s="2" t="s">
        <v>20</v>
      </c>
      <c r="H199" s="2" t="s">
        <v>33</v>
      </c>
      <c r="I199" s="2" t="s">
        <v>22</v>
      </c>
      <c r="J199" s="15">
        <v>180000</v>
      </c>
      <c r="K199" s="2">
        <v>9</v>
      </c>
      <c r="L199" s="2" t="s">
        <v>39</v>
      </c>
      <c r="M199" s="12">
        <f t="shared" si="1"/>
        <v>144000</v>
      </c>
      <c r="N199" s="10">
        <f>PRODUCT(Table_13[[#This Row],[Unit Price]],Table_13[[#This Row],[Quantity]])</f>
        <v>1620000</v>
      </c>
      <c r="O199" s="16">
        <f>PRODUCT(Table_13[[#This Row],[Cost Price]],Table_13[[#This Row],[Quantity]])</f>
        <v>1296000</v>
      </c>
      <c r="P199" s="27">
        <f t="shared" si="8"/>
        <v>324000</v>
      </c>
    </row>
    <row r="200" spans="1:16" x14ac:dyDescent="0.2">
      <c r="A200" s="33">
        <v>45874</v>
      </c>
      <c r="B200" s="30">
        <f t="shared" si="7"/>
        <v>8</v>
      </c>
      <c r="C200" s="30" t="str">
        <f>_xlfn.IFS(Table_13[[#This Row],[Month]]=1,"JAN",Table_13[[#This Row],[Month]]=2,"FEB",B200=3,"MAR",B200=4,"APR",B200=5,"MAY",B200=6,"JUN",B200=7,"JUL",B200=8,"AUG",Table_13[[#This Row],[Month]]=9,"SEPT",B200=10,"OCT",B200=11,"NOV",B200=12,"DEC")</f>
        <v>AUG</v>
      </c>
      <c r="D200" s="2" t="s">
        <v>29</v>
      </c>
      <c r="E200" s="2" t="s">
        <v>26</v>
      </c>
      <c r="F200" s="2" t="s">
        <v>23</v>
      </c>
      <c r="G200" s="2" t="s">
        <v>20</v>
      </c>
      <c r="H200" s="2" t="s">
        <v>27</v>
      </c>
      <c r="I200" s="2" t="s">
        <v>22</v>
      </c>
      <c r="J200" s="15">
        <v>60000</v>
      </c>
      <c r="K200" s="2">
        <v>6</v>
      </c>
      <c r="L200" s="2" t="s">
        <v>28</v>
      </c>
      <c r="M200" s="12">
        <f t="shared" si="1"/>
        <v>48000</v>
      </c>
      <c r="N200" s="10">
        <f>PRODUCT(Table_13[[#This Row],[Unit Price]],Table_13[[#This Row],[Quantity]])</f>
        <v>360000</v>
      </c>
      <c r="O200" s="16">
        <f>PRODUCT(Table_13[[#This Row],[Cost Price]],Table_13[[#This Row],[Quantity]])</f>
        <v>288000</v>
      </c>
      <c r="P200" s="27">
        <f t="shared" si="8"/>
        <v>72000</v>
      </c>
    </row>
    <row r="201" spans="1:16" x14ac:dyDescent="0.2">
      <c r="A201" s="33">
        <v>45875</v>
      </c>
      <c r="B201" s="30">
        <f t="shared" si="7"/>
        <v>8</v>
      </c>
      <c r="C201" s="30" t="str">
        <f>_xlfn.IFS(Table_13[[#This Row],[Month]]=1,"JAN",Table_13[[#This Row],[Month]]=2,"FEB",B201=3,"MAR",B201=4,"APR",B201=5,"MAY",B201=6,"JUN",B201=7,"JUL",B201=8,"AUG",Table_13[[#This Row],[Month]]=9,"SEPT",B201=10,"OCT",B201=11,"NOV",B201=12,"DEC")</f>
        <v>AUG</v>
      </c>
      <c r="D201" s="2" t="s">
        <v>29</v>
      </c>
      <c r="E201" s="2" t="s">
        <v>19</v>
      </c>
      <c r="F201" s="2" t="s">
        <v>13</v>
      </c>
      <c r="G201" s="2" t="s">
        <v>20</v>
      </c>
      <c r="H201" s="2" t="s">
        <v>40</v>
      </c>
      <c r="I201" s="2" t="s">
        <v>31</v>
      </c>
      <c r="J201" s="15">
        <v>250000</v>
      </c>
      <c r="K201" s="2">
        <v>10</v>
      </c>
      <c r="L201" s="2" t="s">
        <v>24</v>
      </c>
      <c r="M201" s="12">
        <f t="shared" si="1"/>
        <v>200000</v>
      </c>
      <c r="N201" s="10">
        <f>PRODUCT(Table_13[[#This Row],[Unit Price]],Table_13[[#This Row],[Quantity]])</f>
        <v>2500000</v>
      </c>
      <c r="O201" s="16">
        <f>PRODUCT(Table_13[[#This Row],[Cost Price]],Table_13[[#This Row],[Quantity]])</f>
        <v>2000000</v>
      </c>
      <c r="P201" s="27">
        <f t="shared" si="8"/>
        <v>500000</v>
      </c>
    </row>
    <row r="202" spans="1:16" x14ac:dyDescent="0.2">
      <c r="A202" s="33">
        <v>45876</v>
      </c>
      <c r="B202" s="30">
        <f t="shared" si="7"/>
        <v>8</v>
      </c>
      <c r="C202" s="30" t="str">
        <f>_xlfn.IFS(Table_13[[#This Row],[Month]]=1,"JAN",Table_13[[#This Row],[Month]]=2,"FEB",B202=3,"MAR",B202=4,"APR",B202=5,"MAY",B202=6,"JUN",B202=7,"JUL",B202=8,"AUG",Table_13[[#This Row],[Month]]=9,"SEPT",B202=10,"OCT",B202=11,"NOV",B202=12,"DEC")</f>
        <v>AUG</v>
      </c>
      <c r="D202" s="2" t="s">
        <v>25</v>
      </c>
      <c r="E202" s="2" t="s">
        <v>26</v>
      </c>
      <c r="F202" s="2" t="s">
        <v>13</v>
      </c>
      <c r="G202" s="2" t="s">
        <v>20</v>
      </c>
      <c r="H202" s="2" t="s">
        <v>38</v>
      </c>
      <c r="I202" s="2" t="s">
        <v>31</v>
      </c>
      <c r="J202" s="15">
        <v>420000</v>
      </c>
      <c r="K202" s="2">
        <v>3</v>
      </c>
      <c r="L202" s="2" t="s">
        <v>24</v>
      </c>
      <c r="M202" s="12">
        <f t="shared" si="1"/>
        <v>336000</v>
      </c>
      <c r="N202" s="10">
        <f>PRODUCT(Table_13[[#This Row],[Unit Price]],Table_13[[#This Row],[Quantity]])</f>
        <v>1260000</v>
      </c>
      <c r="O202" s="16">
        <f>PRODUCT(Table_13[[#This Row],[Cost Price]],Table_13[[#This Row],[Quantity]])</f>
        <v>1008000</v>
      </c>
      <c r="P202" s="27">
        <f t="shared" si="8"/>
        <v>252000</v>
      </c>
    </row>
    <row r="203" spans="1:16" x14ac:dyDescent="0.2">
      <c r="A203" s="33">
        <v>45877</v>
      </c>
      <c r="B203" s="30">
        <f t="shared" si="7"/>
        <v>8</v>
      </c>
      <c r="C203" s="30" t="str">
        <f>_xlfn.IFS(Table_13[[#This Row],[Month]]=1,"JAN",Table_13[[#This Row],[Month]]=2,"FEB",B203=3,"MAR",B203=4,"APR",B203=5,"MAY",B203=6,"JUN",B203=7,"JUL",B203=8,"AUG",Table_13[[#This Row],[Month]]=9,"SEPT",B203=10,"OCT",B203=11,"NOV",B203=12,"DEC")</f>
        <v>AUG</v>
      </c>
      <c r="D203" s="2" t="s">
        <v>29</v>
      </c>
      <c r="E203" s="2" t="s">
        <v>12</v>
      </c>
      <c r="F203" s="2" t="s">
        <v>23</v>
      </c>
      <c r="G203" s="2" t="s">
        <v>20</v>
      </c>
      <c r="H203" s="2" t="s">
        <v>36</v>
      </c>
      <c r="I203" s="2" t="s">
        <v>31</v>
      </c>
      <c r="J203" s="15">
        <v>150000</v>
      </c>
      <c r="K203" s="2">
        <v>3</v>
      </c>
      <c r="L203" s="2" t="s">
        <v>24</v>
      </c>
      <c r="M203" s="12">
        <f t="shared" si="1"/>
        <v>120000</v>
      </c>
      <c r="N203" s="10">
        <f>PRODUCT(Table_13[[#This Row],[Unit Price]],Table_13[[#This Row],[Quantity]])</f>
        <v>450000</v>
      </c>
      <c r="O203" s="16">
        <f>PRODUCT(Table_13[[#This Row],[Cost Price]],Table_13[[#This Row],[Quantity]])</f>
        <v>360000</v>
      </c>
      <c r="P203" s="27">
        <f t="shared" si="8"/>
        <v>90000</v>
      </c>
    </row>
    <row r="204" spans="1:16" x14ac:dyDescent="0.2">
      <c r="A204" s="33">
        <v>45878</v>
      </c>
      <c r="B204" s="30">
        <f t="shared" si="7"/>
        <v>8</v>
      </c>
      <c r="C204" s="30" t="str">
        <f>_xlfn.IFS(Table_13[[#This Row],[Month]]=1,"JAN",Table_13[[#This Row],[Month]]=2,"FEB",B204=3,"MAR",B204=4,"APR",B204=5,"MAY",B204=6,"JUN",B204=7,"JUL",B204=8,"AUG",Table_13[[#This Row],[Month]]=9,"SEPT",B204=10,"OCT",B204=11,"NOV",B204=12,"DEC")</f>
        <v>AUG</v>
      </c>
      <c r="D204" s="2" t="s">
        <v>25</v>
      </c>
      <c r="E204" s="2" t="s">
        <v>32</v>
      </c>
      <c r="F204" s="2" t="s">
        <v>23</v>
      </c>
      <c r="G204" s="2" t="s">
        <v>20</v>
      </c>
      <c r="H204" s="2" t="s">
        <v>41</v>
      </c>
      <c r="I204" s="2" t="s">
        <v>22</v>
      </c>
      <c r="J204" s="15">
        <v>220000</v>
      </c>
      <c r="K204" s="2">
        <v>4</v>
      </c>
      <c r="L204" s="2" t="s">
        <v>24</v>
      </c>
      <c r="M204" s="12">
        <f t="shared" si="1"/>
        <v>176000</v>
      </c>
      <c r="N204" s="10">
        <f>PRODUCT(Table_13[[#This Row],[Unit Price]],Table_13[[#This Row],[Quantity]])</f>
        <v>880000</v>
      </c>
      <c r="O204" s="16">
        <f>PRODUCT(Table_13[[#This Row],[Cost Price]],Table_13[[#This Row],[Quantity]])</f>
        <v>704000</v>
      </c>
      <c r="P204" s="27">
        <f t="shared" si="8"/>
        <v>176000</v>
      </c>
    </row>
    <row r="205" spans="1:16" x14ac:dyDescent="0.2">
      <c r="A205" s="33">
        <v>45879</v>
      </c>
      <c r="B205" s="30">
        <f t="shared" si="7"/>
        <v>8</v>
      </c>
      <c r="C205" s="30" t="str">
        <f>_xlfn.IFS(Table_13[[#This Row],[Month]]=1,"JAN",Table_13[[#This Row],[Month]]=2,"FEB",B205=3,"MAR",B205=4,"APR",B205=5,"MAY",B205=6,"JUN",B205=7,"JUL",B205=8,"AUG",Table_13[[#This Row],[Month]]=9,"SEPT",B205=10,"OCT",B205=11,"NOV",B205=12,"DEC")</f>
        <v>AUG</v>
      </c>
      <c r="D205" s="2" t="s">
        <v>25</v>
      </c>
      <c r="E205" s="2" t="s">
        <v>19</v>
      </c>
      <c r="F205" s="2" t="s">
        <v>23</v>
      </c>
      <c r="G205" s="2" t="s">
        <v>20</v>
      </c>
      <c r="H205" s="2" t="s">
        <v>15</v>
      </c>
      <c r="I205" s="2" t="s">
        <v>16</v>
      </c>
      <c r="J205" s="15">
        <v>85000</v>
      </c>
      <c r="K205" s="2">
        <v>10</v>
      </c>
      <c r="L205" s="2" t="s">
        <v>24</v>
      </c>
      <c r="M205" s="12">
        <f t="shared" si="1"/>
        <v>68000</v>
      </c>
      <c r="N205" s="10">
        <f>PRODUCT(Table_13[[#This Row],[Unit Price]],Table_13[[#This Row],[Quantity]])</f>
        <v>850000</v>
      </c>
      <c r="O205" s="16">
        <f>PRODUCT(Table_13[[#This Row],[Cost Price]],Table_13[[#This Row],[Quantity]])</f>
        <v>680000</v>
      </c>
      <c r="P205" s="27">
        <f t="shared" si="8"/>
        <v>170000</v>
      </c>
    </row>
    <row r="206" spans="1:16" x14ac:dyDescent="0.2">
      <c r="A206" s="33">
        <v>45880</v>
      </c>
      <c r="B206" s="30">
        <f t="shared" si="7"/>
        <v>8</v>
      </c>
      <c r="C206" s="30" t="str">
        <f>_xlfn.IFS(Table_13[[#This Row],[Month]]=1,"JAN",Table_13[[#This Row],[Month]]=2,"FEB",B206=3,"MAR",B206=4,"APR",B206=5,"MAY",B206=6,"JUN",B206=7,"JUL",B206=8,"AUG",Table_13[[#This Row],[Month]]=9,"SEPT",B206=10,"OCT",B206=11,"NOV",B206=12,"DEC")</f>
        <v>AUG</v>
      </c>
      <c r="D206" s="2" t="s">
        <v>29</v>
      </c>
      <c r="E206" s="2" t="s">
        <v>26</v>
      </c>
      <c r="F206" s="2" t="s">
        <v>13</v>
      </c>
      <c r="G206" s="2" t="s">
        <v>20</v>
      </c>
      <c r="H206" s="2" t="s">
        <v>30</v>
      </c>
      <c r="I206" s="2" t="s">
        <v>31</v>
      </c>
      <c r="J206" s="15">
        <v>300000</v>
      </c>
      <c r="K206" s="2">
        <v>6</v>
      </c>
      <c r="L206" s="2" t="s">
        <v>39</v>
      </c>
      <c r="M206" s="12">
        <f t="shared" si="1"/>
        <v>240000</v>
      </c>
      <c r="N206" s="10">
        <f>PRODUCT(Table_13[[#This Row],[Unit Price]],Table_13[[#This Row],[Quantity]])</f>
        <v>1800000</v>
      </c>
      <c r="O206" s="16">
        <f>PRODUCT(Table_13[[#This Row],[Cost Price]],Table_13[[#This Row],[Quantity]])</f>
        <v>1440000</v>
      </c>
      <c r="P206" s="27">
        <f t="shared" si="8"/>
        <v>360000</v>
      </c>
    </row>
    <row r="207" spans="1:16" x14ac:dyDescent="0.2">
      <c r="A207" s="33">
        <v>45881</v>
      </c>
      <c r="B207" s="30">
        <f t="shared" si="7"/>
        <v>8</v>
      </c>
      <c r="C207" s="30" t="str">
        <f>_xlfn.IFS(Table_13[[#This Row],[Month]]=1,"JAN",Table_13[[#This Row],[Month]]=2,"FEB",B207=3,"MAR",B207=4,"APR",B207=5,"MAY",B207=6,"JUN",B207=7,"JUL",B207=8,"AUG",Table_13[[#This Row],[Month]]=9,"SEPT",B207=10,"OCT",B207=11,"NOV",B207=12,"DEC")</f>
        <v>AUG</v>
      </c>
      <c r="D207" s="2" t="s">
        <v>11</v>
      </c>
      <c r="E207" s="2" t="s">
        <v>12</v>
      </c>
      <c r="F207" s="2" t="s">
        <v>13</v>
      </c>
      <c r="G207" s="2" t="s">
        <v>14</v>
      </c>
      <c r="H207" s="2" t="s">
        <v>30</v>
      </c>
      <c r="I207" s="2" t="s">
        <v>31</v>
      </c>
      <c r="J207" s="15">
        <v>300000</v>
      </c>
      <c r="K207" s="2">
        <v>8</v>
      </c>
      <c r="L207" s="2" t="s">
        <v>37</v>
      </c>
      <c r="M207" s="12">
        <f t="shared" si="1"/>
        <v>240000</v>
      </c>
      <c r="N207" s="10">
        <f>PRODUCT(Table_13[[#This Row],[Unit Price]],Table_13[[#This Row],[Quantity]])</f>
        <v>2400000</v>
      </c>
      <c r="O207" s="16">
        <f>PRODUCT(Table_13[[#This Row],[Cost Price]],Table_13[[#This Row],[Quantity]])</f>
        <v>1920000</v>
      </c>
      <c r="P207" s="27">
        <f t="shared" si="8"/>
        <v>480000</v>
      </c>
    </row>
    <row r="208" spans="1:16" x14ac:dyDescent="0.2">
      <c r="A208" s="33">
        <v>45882</v>
      </c>
      <c r="B208" s="30">
        <f t="shared" si="7"/>
        <v>8</v>
      </c>
      <c r="C208" s="30" t="str">
        <f>_xlfn.IFS(Table_13[[#This Row],[Month]]=1,"JAN",Table_13[[#This Row],[Month]]=2,"FEB",B208=3,"MAR",B208=4,"APR",B208=5,"MAY",B208=6,"JUN",B208=7,"JUL",B208=8,"AUG",Table_13[[#This Row],[Month]]=9,"SEPT",B208=10,"OCT",B208=11,"NOV",B208=12,"DEC")</f>
        <v>AUG</v>
      </c>
      <c r="D208" s="2" t="s">
        <v>25</v>
      </c>
      <c r="E208" s="2" t="s">
        <v>32</v>
      </c>
      <c r="F208" s="2" t="s">
        <v>23</v>
      </c>
      <c r="G208" s="2" t="s">
        <v>20</v>
      </c>
      <c r="H208" s="2" t="s">
        <v>34</v>
      </c>
      <c r="I208" s="2" t="s">
        <v>16</v>
      </c>
      <c r="J208" s="15">
        <v>320000</v>
      </c>
      <c r="K208" s="2">
        <v>4</v>
      </c>
      <c r="L208" s="2" t="s">
        <v>28</v>
      </c>
      <c r="M208" s="12">
        <f t="shared" si="1"/>
        <v>256000</v>
      </c>
      <c r="N208" s="10">
        <f>PRODUCT(Table_13[[#This Row],[Unit Price]],Table_13[[#This Row],[Quantity]])</f>
        <v>1280000</v>
      </c>
      <c r="O208" s="16">
        <f>PRODUCT(Table_13[[#This Row],[Cost Price]],Table_13[[#This Row],[Quantity]])</f>
        <v>1024000</v>
      </c>
      <c r="P208" s="27">
        <f t="shared" si="8"/>
        <v>256000</v>
      </c>
    </row>
    <row r="209" spans="1:16" x14ac:dyDescent="0.2">
      <c r="A209" s="33">
        <v>45883</v>
      </c>
      <c r="B209" s="30">
        <f t="shared" si="7"/>
        <v>8</v>
      </c>
      <c r="C209" s="30" t="str">
        <f>_xlfn.IFS(Table_13[[#This Row],[Month]]=1,"JAN",Table_13[[#This Row],[Month]]=2,"FEB",B209=3,"MAR",B209=4,"APR",B209=5,"MAY",B209=6,"JUN",B209=7,"JUL",B209=8,"AUG",Table_13[[#This Row],[Month]]=9,"SEPT",B209=10,"OCT",B209=11,"NOV",B209=12,"DEC")</f>
        <v>AUG</v>
      </c>
      <c r="D209" s="2" t="s">
        <v>25</v>
      </c>
      <c r="E209" s="2" t="s">
        <v>19</v>
      </c>
      <c r="F209" s="2" t="s">
        <v>23</v>
      </c>
      <c r="G209" s="2" t="s">
        <v>14</v>
      </c>
      <c r="H209" s="2" t="s">
        <v>33</v>
      </c>
      <c r="I209" s="2" t="s">
        <v>22</v>
      </c>
      <c r="J209" s="15">
        <v>180000</v>
      </c>
      <c r="K209" s="2">
        <v>5</v>
      </c>
      <c r="L209" s="2" t="s">
        <v>39</v>
      </c>
      <c r="M209" s="12">
        <f t="shared" si="1"/>
        <v>144000</v>
      </c>
      <c r="N209" s="10">
        <f>PRODUCT(Table_13[[#This Row],[Unit Price]],Table_13[[#This Row],[Quantity]])</f>
        <v>900000</v>
      </c>
      <c r="O209" s="16">
        <f>PRODUCT(Table_13[[#This Row],[Cost Price]],Table_13[[#This Row],[Quantity]])</f>
        <v>720000</v>
      </c>
      <c r="P209" s="27">
        <f t="shared" si="8"/>
        <v>180000</v>
      </c>
    </row>
    <row r="210" spans="1:16" x14ac:dyDescent="0.2">
      <c r="A210" s="33">
        <v>45884</v>
      </c>
      <c r="B210" s="30">
        <f t="shared" si="7"/>
        <v>8</v>
      </c>
      <c r="C210" s="30" t="str">
        <f>_xlfn.IFS(Table_13[[#This Row],[Month]]=1,"JAN",Table_13[[#This Row],[Month]]=2,"FEB",B210=3,"MAR",B210=4,"APR",B210=5,"MAY",B210=6,"JUN",B210=7,"JUL",B210=8,"AUG",Table_13[[#This Row],[Month]]=9,"SEPT",B210=10,"OCT",B210=11,"NOV",B210=12,"DEC")</f>
        <v>AUG</v>
      </c>
      <c r="D210" s="2" t="s">
        <v>11</v>
      </c>
      <c r="E210" s="2" t="s">
        <v>12</v>
      </c>
      <c r="F210" s="2" t="s">
        <v>13</v>
      </c>
      <c r="G210" s="2" t="s">
        <v>20</v>
      </c>
      <c r="H210" s="2" t="s">
        <v>33</v>
      </c>
      <c r="I210" s="2" t="s">
        <v>22</v>
      </c>
      <c r="J210" s="15">
        <v>180000</v>
      </c>
      <c r="K210" s="2">
        <v>6</v>
      </c>
      <c r="L210" s="2" t="s">
        <v>35</v>
      </c>
      <c r="M210" s="12">
        <f t="shared" si="1"/>
        <v>144000</v>
      </c>
      <c r="N210" s="10">
        <f>PRODUCT(Table_13[[#This Row],[Unit Price]],Table_13[[#This Row],[Quantity]])</f>
        <v>1080000</v>
      </c>
      <c r="O210" s="16">
        <f>PRODUCT(Table_13[[#This Row],[Cost Price]],Table_13[[#This Row],[Quantity]])</f>
        <v>864000</v>
      </c>
      <c r="P210" s="27">
        <f t="shared" si="8"/>
        <v>216000</v>
      </c>
    </row>
    <row r="211" spans="1:16" x14ac:dyDescent="0.2">
      <c r="A211" s="33">
        <v>45885</v>
      </c>
      <c r="B211" s="30">
        <f t="shared" si="7"/>
        <v>8</v>
      </c>
      <c r="C211" s="30" t="str">
        <f>_xlfn.IFS(Table_13[[#This Row],[Month]]=1,"JAN",Table_13[[#This Row],[Month]]=2,"FEB",B211=3,"MAR",B211=4,"APR",B211=5,"MAY",B211=6,"JUN",B211=7,"JUL",B211=8,"AUG",Table_13[[#This Row],[Month]]=9,"SEPT",B211=10,"OCT",B211=11,"NOV",B211=12,"DEC")</f>
        <v>AUG</v>
      </c>
      <c r="D211" s="2" t="s">
        <v>18</v>
      </c>
      <c r="E211" s="2" t="s">
        <v>26</v>
      </c>
      <c r="F211" s="2" t="s">
        <v>23</v>
      </c>
      <c r="G211" s="2" t="s">
        <v>20</v>
      </c>
      <c r="H211" s="2" t="s">
        <v>36</v>
      </c>
      <c r="I211" s="2" t="s">
        <v>31</v>
      </c>
      <c r="J211" s="15">
        <v>150000</v>
      </c>
      <c r="K211" s="2">
        <v>9</v>
      </c>
      <c r="L211" s="2" t="s">
        <v>28</v>
      </c>
      <c r="M211" s="12">
        <f t="shared" si="1"/>
        <v>120000</v>
      </c>
      <c r="N211" s="10">
        <f>PRODUCT(Table_13[[#This Row],[Unit Price]],Table_13[[#This Row],[Quantity]])</f>
        <v>1350000</v>
      </c>
      <c r="O211" s="16">
        <f>PRODUCT(Table_13[[#This Row],[Cost Price]],Table_13[[#This Row],[Quantity]])</f>
        <v>1080000</v>
      </c>
      <c r="P211" s="27">
        <f t="shared" si="8"/>
        <v>270000</v>
      </c>
    </row>
    <row r="212" spans="1:16" x14ac:dyDescent="0.2">
      <c r="A212" s="33">
        <v>45886</v>
      </c>
      <c r="B212" s="30">
        <f t="shared" si="7"/>
        <v>8</v>
      </c>
      <c r="C212" s="30" t="str">
        <f>_xlfn.IFS(Table_13[[#This Row],[Month]]=1,"JAN",Table_13[[#This Row],[Month]]=2,"FEB",B212=3,"MAR",B212=4,"APR",B212=5,"MAY",B212=6,"JUN",B212=7,"JUL",B212=8,"AUG",Table_13[[#This Row],[Month]]=9,"SEPT",B212=10,"OCT",B212=11,"NOV",B212=12,"DEC")</f>
        <v>AUG</v>
      </c>
      <c r="D212" s="2" t="s">
        <v>11</v>
      </c>
      <c r="E212" s="2" t="s">
        <v>12</v>
      </c>
      <c r="F212" s="2" t="s">
        <v>13</v>
      </c>
      <c r="G212" s="2" t="s">
        <v>14</v>
      </c>
      <c r="H212" s="2" t="s">
        <v>36</v>
      </c>
      <c r="I212" s="2" t="s">
        <v>31</v>
      </c>
      <c r="J212" s="15">
        <v>150000</v>
      </c>
      <c r="K212" s="2">
        <v>1</v>
      </c>
      <c r="L212" s="2" t="s">
        <v>35</v>
      </c>
      <c r="M212" s="12">
        <f t="shared" si="1"/>
        <v>120000</v>
      </c>
      <c r="N212" s="10">
        <f>PRODUCT(Table_13[[#This Row],[Unit Price]],Table_13[[#This Row],[Quantity]])</f>
        <v>150000</v>
      </c>
      <c r="O212" s="16">
        <f>PRODUCT(Table_13[[#This Row],[Cost Price]],Table_13[[#This Row],[Quantity]])</f>
        <v>120000</v>
      </c>
      <c r="P212" s="27">
        <f t="shared" si="8"/>
        <v>30000</v>
      </c>
    </row>
    <row r="213" spans="1:16" x14ac:dyDescent="0.2">
      <c r="A213" s="33">
        <v>45887</v>
      </c>
      <c r="B213" s="30">
        <f t="shared" si="7"/>
        <v>8</v>
      </c>
      <c r="C213" s="30" t="str">
        <f>_xlfn.IFS(Table_13[[#This Row],[Month]]=1,"JAN",Table_13[[#This Row],[Month]]=2,"FEB",B213=3,"MAR",B213=4,"APR",B213=5,"MAY",B213=6,"JUN",B213=7,"JUL",B213=8,"AUG",Table_13[[#This Row],[Month]]=9,"SEPT",B213=10,"OCT",B213=11,"NOV",B213=12,"DEC")</f>
        <v>AUG</v>
      </c>
      <c r="D213" s="2" t="s">
        <v>18</v>
      </c>
      <c r="E213" s="2" t="s">
        <v>26</v>
      </c>
      <c r="F213" s="2" t="s">
        <v>13</v>
      </c>
      <c r="G213" s="2" t="s">
        <v>14</v>
      </c>
      <c r="H213" s="2" t="s">
        <v>33</v>
      </c>
      <c r="I213" s="2" t="s">
        <v>22</v>
      </c>
      <c r="J213" s="15">
        <v>180000</v>
      </c>
      <c r="K213" s="2">
        <v>8</v>
      </c>
      <c r="L213" s="2" t="s">
        <v>35</v>
      </c>
      <c r="M213" s="12">
        <f t="shared" si="1"/>
        <v>144000</v>
      </c>
      <c r="N213" s="10">
        <f>PRODUCT(Table_13[[#This Row],[Unit Price]],Table_13[[#This Row],[Quantity]])</f>
        <v>1440000</v>
      </c>
      <c r="O213" s="16">
        <f>PRODUCT(Table_13[[#This Row],[Cost Price]],Table_13[[#This Row],[Quantity]])</f>
        <v>1152000</v>
      </c>
      <c r="P213" s="27">
        <f t="shared" si="8"/>
        <v>288000</v>
      </c>
    </row>
    <row r="214" spans="1:16" x14ac:dyDescent="0.2">
      <c r="A214" s="33">
        <v>45888</v>
      </c>
      <c r="B214" s="30">
        <f t="shared" si="7"/>
        <v>8</v>
      </c>
      <c r="C214" s="30" t="str">
        <f>_xlfn.IFS(Table_13[[#This Row],[Month]]=1,"JAN",Table_13[[#This Row],[Month]]=2,"FEB",B214=3,"MAR",B214=4,"APR",B214=5,"MAY",B214=6,"JUN",B214=7,"JUL",B214=8,"AUG",Table_13[[#This Row],[Month]]=9,"SEPT",B214=10,"OCT",B214=11,"NOV",B214=12,"DEC")</f>
        <v>AUG</v>
      </c>
      <c r="D214" s="2" t="s">
        <v>11</v>
      </c>
      <c r="E214" s="2" t="s">
        <v>12</v>
      </c>
      <c r="F214" s="2" t="s">
        <v>13</v>
      </c>
      <c r="G214" s="2" t="s">
        <v>20</v>
      </c>
      <c r="H214" s="2" t="s">
        <v>33</v>
      </c>
      <c r="I214" s="2" t="s">
        <v>22</v>
      </c>
      <c r="J214" s="15">
        <v>180000</v>
      </c>
      <c r="K214" s="2">
        <v>6</v>
      </c>
      <c r="L214" s="2" t="s">
        <v>28</v>
      </c>
      <c r="M214" s="12">
        <f t="shared" si="1"/>
        <v>144000</v>
      </c>
      <c r="N214" s="10">
        <f>PRODUCT(Table_13[[#This Row],[Unit Price]],Table_13[[#This Row],[Quantity]])</f>
        <v>1080000</v>
      </c>
      <c r="O214" s="16">
        <f>PRODUCT(Table_13[[#This Row],[Cost Price]],Table_13[[#This Row],[Quantity]])</f>
        <v>864000</v>
      </c>
      <c r="P214" s="27">
        <f t="shared" si="8"/>
        <v>216000</v>
      </c>
    </row>
    <row r="215" spans="1:16" x14ac:dyDescent="0.2">
      <c r="A215" s="33">
        <v>45889</v>
      </c>
      <c r="B215" s="30">
        <f t="shared" si="7"/>
        <v>8</v>
      </c>
      <c r="C215" s="30" t="str">
        <f>_xlfn.IFS(Table_13[[#This Row],[Month]]=1,"JAN",Table_13[[#This Row],[Month]]=2,"FEB",B215=3,"MAR",B215=4,"APR",B215=5,"MAY",B215=6,"JUN",B215=7,"JUL",B215=8,"AUG",Table_13[[#This Row],[Month]]=9,"SEPT",B215=10,"OCT",B215=11,"NOV",B215=12,"DEC")</f>
        <v>AUG</v>
      </c>
      <c r="D215" s="2" t="s">
        <v>29</v>
      </c>
      <c r="E215" s="2" t="s">
        <v>32</v>
      </c>
      <c r="F215" s="2" t="s">
        <v>23</v>
      </c>
      <c r="G215" s="2" t="s">
        <v>14</v>
      </c>
      <c r="H215" s="2" t="s">
        <v>33</v>
      </c>
      <c r="I215" s="2" t="s">
        <v>22</v>
      </c>
      <c r="J215" s="15">
        <v>180000</v>
      </c>
      <c r="K215" s="2">
        <v>3</v>
      </c>
      <c r="L215" s="2" t="s">
        <v>37</v>
      </c>
      <c r="M215" s="12">
        <f t="shared" si="1"/>
        <v>144000</v>
      </c>
      <c r="N215" s="10">
        <f>PRODUCT(Table_13[[#This Row],[Unit Price]],Table_13[[#This Row],[Quantity]])</f>
        <v>540000</v>
      </c>
      <c r="O215" s="16">
        <f>PRODUCT(Table_13[[#This Row],[Cost Price]],Table_13[[#This Row],[Quantity]])</f>
        <v>432000</v>
      </c>
      <c r="P215" s="27">
        <f t="shared" si="8"/>
        <v>108000</v>
      </c>
    </row>
    <row r="216" spans="1:16" x14ac:dyDescent="0.2">
      <c r="A216" s="33">
        <v>45890</v>
      </c>
      <c r="B216" s="30">
        <f t="shared" si="7"/>
        <v>8</v>
      </c>
      <c r="C216" s="30" t="str">
        <f>_xlfn.IFS(Table_13[[#This Row],[Month]]=1,"JAN",Table_13[[#This Row],[Month]]=2,"FEB",B216=3,"MAR",B216=4,"APR",B216=5,"MAY",B216=6,"JUN",B216=7,"JUL",B216=8,"AUG",Table_13[[#This Row],[Month]]=9,"SEPT",B216=10,"OCT",B216=11,"NOV",B216=12,"DEC")</f>
        <v>AUG</v>
      </c>
      <c r="D216" s="2" t="s">
        <v>29</v>
      </c>
      <c r="E216" s="2" t="s">
        <v>26</v>
      </c>
      <c r="F216" s="2" t="s">
        <v>13</v>
      </c>
      <c r="G216" s="2" t="s">
        <v>14</v>
      </c>
      <c r="H216" s="2" t="s">
        <v>36</v>
      </c>
      <c r="I216" s="2" t="s">
        <v>31</v>
      </c>
      <c r="J216" s="15">
        <v>150000</v>
      </c>
      <c r="K216" s="2">
        <v>10</v>
      </c>
      <c r="L216" s="2" t="s">
        <v>17</v>
      </c>
      <c r="M216" s="12">
        <f t="shared" si="1"/>
        <v>120000</v>
      </c>
      <c r="N216" s="10">
        <f>PRODUCT(Table_13[[#This Row],[Unit Price]],Table_13[[#This Row],[Quantity]])</f>
        <v>1500000</v>
      </c>
      <c r="O216" s="16">
        <f>PRODUCT(Table_13[[#This Row],[Cost Price]],Table_13[[#This Row],[Quantity]])</f>
        <v>1200000</v>
      </c>
      <c r="P216" s="27">
        <f t="shared" si="8"/>
        <v>300000</v>
      </c>
    </row>
    <row r="217" spans="1:16" x14ac:dyDescent="0.2">
      <c r="A217" s="33">
        <v>45891</v>
      </c>
      <c r="B217" s="30">
        <f t="shared" si="7"/>
        <v>8</v>
      </c>
      <c r="C217" s="30" t="str">
        <f>_xlfn.IFS(Table_13[[#This Row],[Month]]=1,"JAN",Table_13[[#This Row],[Month]]=2,"FEB",B217=3,"MAR",B217=4,"APR",B217=5,"MAY",B217=6,"JUN",B217=7,"JUL",B217=8,"AUG",Table_13[[#This Row],[Month]]=9,"SEPT",B217=10,"OCT",B217=11,"NOV",B217=12,"DEC")</f>
        <v>AUG</v>
      </c>
      <c r="D217" s="2" t="s">
        <v>25</v>
      </c>
      <c r="E217" s="2" t="s">
        <v>26</v>
      </c>
      <c r="F217" s="2" t="s">
        <v>13</v>
      </c>
      <c r="G217" s="2" t="s">
        <v>20</v>
      </c>
      <c r="H217" s="2" t="s">
        <v>33</v>
      </c>
      <c r="I217" s="2" t="s">
        <v>22</v>
      </c>
      <c r="J217" s="15">
        <v>180000</v>
      </c>
      <c r="K217" s="2">
        <v>8</v>
      </c>
      <c r="L217" s="2" t="s">
        <v>37</v>
      </c>
      <c r="M217" s="12">
        <f t="shared" si="1"/>
        <v>144000</v>
      </c>
      <c r="N217" s="10">
        <f>PRODUCT(Table_13[[#This Row],[Unit Price]],Table_13[[#This Row],[Quantity]])</f>
        <v>1440000</v>
      </c>
      <c r="O217" s="16">
        <f>PRODUCT(Table_13[[#This Row],[Cost Price]],Table_13[[#This Row],[Quantity]])</f>
        <v>1152000</v>
      </c>
      <c r="P217" s="27">
        <f t="shared" si="8"/>
        <v>288000</v>
      </c>
    </row>
    <row r="218" spans="1:16" x14ac:dyDescent="0.2">
      <c r="A218" s="33">
        <v>45892</v>
      </c>
      <c r="B218" s="30">
        <f t="shared" si="7"/>
        <v>8</v>
      </c>
      <c r="C218" s="30" t="str">
        <f>_xlfn.IFS(Table_13[[#This Row],[Month]]=1,"JAN",Table_13[[#This Row],[Month]]=2,"FEB",B218=3,"MAR",B218=4,"APR",B218=5,"MAY",B218=6,"JUN",B218=7,"JUL",B218=8,"AUG",Table_13[[#This Row],[Month]]=9,"SEPT",B218=10,"OCT",B218=11,"NOV",B218=12,"DEC")</f>
        <v>AUG</v>
      </c>
      <c r="D218" s="2" t="s">
        <v>11</v>
      </c>
      <c r="E218" s="2" t="s">
        <v>26</v>
      </c>
      <c r="F218" s="2" t="s">
        <v>13</v>
      </c>
      <c r="G218" s="2" t="s">
        <v>20</v>
      </c>
      <c r="H218" s="2" t="s">
        <v>30</v>
      </c>
      <c r="I218" s="2" t="s">
        <v>31</v>
      </c>
      <c r="J218" s="15">
        <v>300000</v>
      </c>
      <c r="K218" s="2">
        <v>8</v>
      </c>
      <c r="L218" s="2" t="s">
        <v>28</v>
      </c>
      <c r="M218" s="12">
        <f t="shared" si="1"/>
        <v>240000</v>
      </c>
      <c r="N218" s="10">
        <f>PRODUCT(Table_13[[#This Row],[Unit Price]],Table_13[[#This Row],[Quantity]])</f>
        <v>2400000</v>
      </c>
      <c r="O218" s="16">
        <f>PRODUCT(Table_13[[#This Row],[Cost Price]],Table_13[[#This Row],[Quantity]])</f>
        <v>1920000</v>
      </c>
      <c r="P218" s="27">
        <f t="shared" si="8"/>
        <v>480000</v>
      </c>
    </row>
    <row r="219" spans="1:16" x14ac:dyDescent="0.2">
      <c r="A219" s="33">
        <v>45893</v>
      </c>
      <c r="B219" s="30">
        <f t="shared" si="7"/>
        <v>8</v>
      </c>
      <c r="C219" s="30" t="str">
        <f>_xlfn.IFS(Table_13[[#This Row],[Month]]=1,"JAN",Table_13[[#This Row],[Month]]=2,"FEB",B219=3,"MAR",B219=4,"APR",B219=5,"MAY",B219=6,"JUN",B219=7,"JUL",B219=8,"AUG",Table_13[[#This Row],[Month]]=9,"SEPT",B219=10,"OCT",B219=11,"NOV",B219=12,"DEC")</f>
        <v>AUG</v>
      </c>
      <c r="D219" s="2" t="s">
        <v>11</v>
      </c>
      <c r="E219" s="2" t="s">
        <v>26</v>
      </c>
      <c r="F219" s="2" t="s">
        <v>13</v>
      </c>
      <c r="G219" s="2" t="s">
        <v>20</v>
      </c>
      <c r="H219" s="2" t="s">
        <v>34</v>
      </c>
      <c r="I219" s="2" t="s">
        <v>16</v>
      </c>
      <c r="J219" s="15">
        <v>320000</v>
      </c>
      <c r="K219" s="2">
        <v>9</v>
      </c>
      <c r="L219" s="2" t="s">
        <v>35</v>
      </c>
      <c r="M219" s="12">
        <f t="shared" si="1"/>
        <v>256000</v>
      </c>
      <c r="N219" s="10">
        <f>PRODUCT(Table_13[[#This Row],[Unit Price]],Table_13[[#This Row],[Quantity]])</f>
        <v>2880000</v>
      </c>
      <c r="O219" s="16">
        <f>PRODUCT(Table_13[[#This Row],[Cost Price]],Table_13[[#This Row],[Quantity]])</f>
        <v>2304000</v>
      </c>
      <c r="P219" s="27">
        <f t="shared" si="8"/>
        <v>576000</v>
      </c>
    </row>
    <row r="220" spans="1:16" x14ac:dyDescent="0.2">
      <c r="A220" s="33">
        <v>45894</v>
      </c>
      <c r="B220" s="30">
        <f t="shared" si="7"/>
        <v>8</v>
      </c>
      <c r="C220" s="30" t="str">
        <f>_xlfn.IFS(Table_13[[#This Row],[Month]]=1,"JAN",Table_13[[#This Row],[Month]]=2,"FEB",B220=3,"MAR",B220=4,"APR",B220=5,"MAY",B220=6,"JUN",B220=7,"JUL",B220=8,"AUG",Table_13[[#This Row],[Month]]=9,"SEPT",B220=10,"OCT",B220=11,"NOV",B220=12,"DEC")</f>
        <v>AUG</v>
      </c>
      <c r="D220" s="2" t="s">
        <v>25</v>
      </c>
      <c r="E220" s="2" t="s">
        <v>26</v>
      </c>
      <c r="F220" s="2" t="s">
        <v>13</v>
      </c>
      <c r="G220" s="2" t="s">
        <v>14</v>
      </c>
      <c r="H220" s="2" t="s">
        <v>34</v>
      </c>
      <c r="I220" s="2" t="s">
        <v>16</v>
      </c>
      <c r="J220" s="15">
        <v>320000</v>
      </c>
      <c r="K220" s="2">
        <v>7</v>
      </c>
      <c r="L220" s="2" t="s">
        <v>39</v>
      </c>
      <c r="M220" s="12">
        <f t="shared" si="1"/>
        <v>256000</v>
      </c>
      <c r="N220" s="10">
        <f>PRODUCT(Table_13[[#This Row],[Unit Price]],Table_13[[#This Row],[Quantity]])</f>
        <v>2240000</v>
      </c>
      <c r="O220" s="16">
        <f>PRODUCT(Table_13[[#This Row],[Cost Price]],Table_13[[#This Row],[Quantity]])</f>
        <v>1792000</v>
      </c>
      <c r="P220" s="27">
        <f t="shared" si="8"/>
        <v>448000</v>
      </c>
    </row>
    <row r="221" spans="1:16" x14ac:dyDescent="0.2">
      <c r="A221" s="33">
        <v>45895</v>
      </c>
      <c r="B221" s="30">
        <f t="shared" si="7"/>
        <v>8</v>
      </c>
      <c r="C221" s="30" t="str">
        <f>_xlfn.IFS(Table_13[[#This Row],[Month]]=1,"JAN",Table_13[[#This Row],[Month]]=2,"FEB",B221=3,"MAR",B221=4,"APR",B221=5,"MAY",B221=6,"JUN",B221=7,"JUL",B221=8,"AUG",Table_13[[#This Row],[Month]]=9,"SEPT",B221=10,"OCT",B221=11,"NOV",B221=12,"DEC")</f>
        <v>AUG</v>
      </c>
      <c r="D221" s="2" t="s">
        <v>18</v>
      </c>
      <c r="E221" s="2" t="s">
        <v>32</v>
      </c>
      <c r="F221" s="2" t="s">
        <v>13</v>
      </c>
      <c r="G221" s="2" t="s">
        <v>14</v>
      </c>
      <c r="H221" s="2" t="s">
        <v>36</v>
      </c>
      <c r="I221" s="2" t="s">
        <v>31</v>
      </c>
      <c r="J221" s="15">
        <v>150000</v>
      </c>
      <c r="K221" s="2">
        <v>7</v>
      </c>
      <c r="L221" s="2" t="s">
        <v>24</v>
      </c>
      <c r="M221" s="12">
        <f t="shared" si="1"/>
        <v>120000</v>
      </c>
      <c r="N221" s="10">
        <f>PRODUCT(Table_13[[#This Row],[Unit Price]],Table_13[[#This Row],[Quantity]])</f>
        <v>1050000</v>
      </c>
      <c r="O221" s="16">
        <f>PRODUCT(Table_13[[#This Row],[Cost Price]],Table_13[[#This Row],[Quantity]])</f>
        <v>840000</v>
      </c>
      <c r="P221" s="27">
        <f t="shared" si="8"/>
        <v>210000</v>
      </c>
    </row>
    <row r="222" spans="1:16" x14ac:dyDescent="0.2">
      <c r="A222" s="33">
        <v>45896</v>
      </c>
      <c r="B222" s="30">
        <f t="shared" si="7"/>
        <v>8</v>
      </c>
      <c r="C222" s="30" t="str">
        <f>_xlfn.IFS(Table_13[[#This Row],[Month]]=1,"JAN",Table_13[[#This Row],[Month]]=2,"FEB",B222=3,"MAR",B222=4,"APR",B222=5,"MAY",B222=6,"JUN",B222=7,"JUL",B222=8,"AUG",Table_13[[#This Row],[Month]]=9,"SEPT",B222=10,"OCT",B222=11,"NOV",B222=12,"DEC")</f>
        <v>AUG</v>
      </c>
      <c r="D222" s="2" t="s">
        <v>18</v>
      </c>
      <c r="E222" s="2" t="s">
        <v>32</v>
      </c>
      <c r="F222" s="2" t="s">
        <v>13</v>
      </c>
      <c r="G222" s="2" t="s">
        <v>20</v>
      </c>
      <c r="H222" s="2" t="s">
        <v>41</v>
      </c>
      <c r="I222" s="2" t="s">
        <v>22</v>
      </c>
      <c r="J222" s="15">
        <v>220000</v>
      </c>
      <c r="K222" s="2">
        <v>6</v>
      </c>
      <c r="L222" s="2" t="s">
        <v>39</v>
      </c>
      <c r="M222" s="12">
        <f t="shared" si="1"/>
        <v>176000</v>
      </c>
      <c r="N222" s="10">
        <f>PRODUCT(Table_13[[#This Row],[Unit Price]],Table_13[[#This Row],[Quantity]])</f>
        <v>1320000</v>
      </c>
      <c r="O222" s="16">
        <f>PRODUCT(Table_13[[#This Row],[Cost Price]],Table_13[[#This Row],[Quantity]])</f>
        <v>1056000</v>
      </c>
      <c r="P222" s="27">
        <f t="shared" si="8"/>
        <v>264000</v>
      </c>
    </row>
    <row r="223" spans="1:16" x14ac:dyDescent="0.2">
      <c r="A223" s="33">
        <v>45897</v>
      </c>
      <c r="B223" s="30">
        <f t="shared" si="7"/>
        <v>8</v>
      </c>
      <c r="C223" s="30" t="str">
        <f>_xlfn.IFS(Table_13[[#This Row],[Month]]=1,"JAN",Table_13[[#This Row],[Month]]=2,"FEB",B223=3,"MAR",B223=4,"APR",B223=5,"MAY",B223=6,"JUN",B223=7,"JUL",B223=8,"AUG",Table_13[[#This Row],[Month]]=9,"SEPT",B223=10,"OCT",B223=11,"NOV",B223=12,"DEC")</f>
        <v>AUG</v>
      </c>
      <c r="D223" s="2" t="s">
        <v>29</v>
      </c>
      <c r="E223" s="2" t="s">
        <v>19</v>
      </c>
      <c r="F223" s="2" t="s">
        <v>13</v>
      </c>
      <c r="G223" s="2" t="s">
        <v>14</v>
      </c>
      <c r="H223" s="2" t="s">
        <v>40</v>
      </c>
      <c r="I223" s="2" t="s">
        <v>31</v>
      </c>
      <c r="J223" s="15">
        <v>250000</v>
      </c>
      <c r="K223" s="2">
        <v>1</v>
      </c>
      <c r="L223" s="2" t="s">
        <v>35</v>
      </c>
      <c r="M223" s="12">
        <f t="shared" si="1"/>
        <v>200000</v>
      </c>
      <c r="N223" s="10">
        <f>PRODUCT(Table_13[[#This Row],[Unit Price]],Table_13[[#This Row],[Quantity]])</f>
        <v>250000</v>
      </c>
      <c r="O223" s="16">
        <f>PRODUCT(Table_13[[#This Row],[Cost Price]],Table_13[[#This Row],[Quantity]])</f>
        <v>200000</v>
      </c>
      <c r="P223" s="27">
        <f t="shared" si="8"/>
        <v>50000</v>
      </c>
    </row>
    <row r="224" spans="1:16" x14ac:dyDescent="0.2">
      <c r="A224" s="33">
        <v>45898</v>
      </c>
      <c r="B224" s="30">
        <f t="shared" si="7"/>
        <v>8</v>
      </c>
      <c r="C224" s="30" t="str">
        <f>_xlfn.IFS(Table_13[[#This Row],[Month]]=1,"JAN",Table_13[[#This Row],[Month]]=2,"FEB",B224=3,"MAR",B224=4,"APR",B224=5,"MAY",B224=6,"JUN",B224=7,"JUL",B224=8,"AUG",Table_13[[#This Row],[Month]]=9,"SEPT",B224=10,"OCT",B224=11,"NOV",B224=12,"DEC")</f>
        <v>AUG</v>
      </c>
      <c r="D224" s="2" t="s">
        <v>11</v>
      </c>
      <c r="E224" s="2" t="s">
        <v>19</v>
      </c>
      <c r="F224" s="2" t="s">
        <v>13</v>
      </c>
      <c r="G224" s="2" t="s">
        <v>14</v>
      </c>
      <c r="H224" s="2" t="s">
        <v>27</v>
      </c>
      <c r="I224" s="2" t="s">
        <v>22</v>
      </c>
      <c r="J224" s="15">
        <v>60000</v>
      </c>
      <c r="K224" s="2">
        <v>4</v>
      </c>
      <c r="L224" s="2" t="s">
        <v>24</v>
      </c>
      <c r="M224" s="12">
        <f t="shared" si="1"/>
        <v>48000</v>
      </c>
      <c r="N224" s="10">
        <f>PRODUCT(Table_13[[#This Row],[Unit Price]],Table_13[[#This Row],[Quantity]])</f>
        <v>240000</v>
      </c>
      <c r="O224" s="16">
        <f>PRODUCT(Table_13[[#This Row],[Cost Price]],Table_13[[#This Row],[Quantity]])</f>
        <v>192000</v>
      </c>
      <c r="P224" s="27">
        <f t="shared" si="8"/>
        <v>48000</v>
      </c>
    </row>
    <row r="225" spans="1:16" x14ac:dyDescent="0.2">
      <c r="A225" s="33">
        <v>45899</v>
      </c>
      <c r="B225" s="30">
        <f t="shared" si="7"/>
        <v>8</v>
      </c>
      <c r="C225" s="30" t="str">
        <f>_xlfn.IFS(Table_13[[#This Row],[Month]]=1,"JAN",Table_13[[#This Row],[Month]]=2,"FEB",B225=3,"MAR",B225=4,"APR",B225=5,"MAY",B225=6,"JUN",B225=7,"JUL",B225=8,"AUG",Table_13[[#This Row],[Month]]=9,"SEPT",B225=10,"OCT",B225=11,"NOV",B225=12,"DEC")</f>
        <v>AUG</v>
      </c>
      <c r="D225" s="2" t="s">
        <v>29</v>
      </c>
      <c r="E225" s="2" t="s">
        <v>19</v>
      </c>
      <c r="F225" s="2" t="s">
        <v>13</v>
      </c>
      <c r="G225" s="2" t="s">
        <v>14</v>
      </c>
      <c r="H225" s="2" t="s">
        <v>15</v>
      </c>
      <c r="I225" s="2" t="s">
        <v>16</v>
      </c>
      <c r="J225" s="15">
        <v>85000</v>
      </c>
      <c r="K225" s="2">
        <v>9</v>
      </c>
      <c r="L225" s="2" t="s">
        <v>24</v>
      </c>
      <c r="M225" s="12">
        <f t="shared" si="1"/>
        <v>68000</v>
      </c>
      <c r="N225" s="10">
        <f>PRODUCT(Table_13[[#This Row],[Unit Price]],Table_13[[#This Row],[Quantity]])</f>
        <v>765000</v>
      </c>
      <c r="O225" s="16">
        <f>PRODUCT(Table_13[[#This Row],[Cost Price]],Table_13[[#This Row],[Quantity]])</f>
        <v>612000</v>
      </c>
      <c r="P225" s="27">
        <f t="shared" si="8"/>
        <v>153000</v>
      </c>
    </row>
    <row r="226" spans="1:16" x14ac:dyDescent="0.2">
      <c r="A226" s="33">
        <v>45900</v>
      </c>
      <c r="B226" s="30">
        <f t="shared" si="7"/>
        <v>8</v>
      </c>
      <c r="C226" s="30" t="str">
        <f>_xlfn.IFS(Table_13[[#This Row],[Month]]=1,"JAN",Table_13[[#This Row],[Month]]=2,"FEB",B226=3,"MAR",B226=4,"APR",B226=5,"MAY",B226=6,"JUN",B226=7,"JUL",B226=8,"AUG",Table_13[[#This Row],[Month]]=9,"SEPT",B226=10,"OCT",B226=11,"NOV",B226=12,"DEC")</f>
        <v>AUG</v>
      </c>
      <c r="D226" s="2" t="s">
        <v>11</v>
      </c>
      <c r="E226" s="2" t="s">
        <v>12</v>
      </c>
      <c r="F226" s="2" t="s">
        <v>13</v>
      </c>
      <c r="G226" s="2" t="s">
        <v>14</v>
      </c>
      <c r="H226" s="2" t="s">
        <v>33</v>
      </c>
      <c r="I226" s="2" t="s">
        <v>22</v>
      </c>
      <c r="J226" s="15">
        <v>180000</v>
      </c>
      <c r="K226" s="2">
        <v>5</v>
      </c>
      <c r="L226" s="2" t="s">
        <v>17</v>
      </c>
      <c r="M226" s="12">
        <f t="shared" si="1"/>
        <v>144000</v>
      </c>
      <c r="N226" s="10">
        <f>PRODUCT(Table_13[[#This Row],[Unit Price]],Table_13[[#This Row],[Quantity]])</f>
        <v>900000</v>
      </c>
      <c r="O226" s="16">
        <f>PRODUCT(Table_13[[#This Row],[Cost Price]],Table_13[[#This Row],[Quantity]])</f>
        <v>720000</v>
      </c>
      <c r="P226" s="27">
        <f t="shared" si="8"/>
        <v>180000</v>
      </c>
    </row>
    <row r="227" spans="1:16" x14ac:dyDescent="0.2">
      <c r="A227" s="33">
        <v>45901</v>
      </c>
      <c r="B227" s="30">
        <f t="shared" si="7"/>
        <v>9</v>
      </c>
      <c r="C227" s="30" t="str">
        <f>_xlfn.IFS(Table_13[[#This Row],[Month]]=1,"JAN",Table_13[[#This Row],[Month]]=2,"FEB",B227=3,"MAR",B227=4,"APR",B227=5,"MAY",B227=6,"JUN",B227=7,"JUL",B227=8,"AUG",Table_13[[#This Row],[Month]]=9,"SEPT",B227=10,"OCT",B227=11,"NOV",B227=12,"DEC")</f>
        <v>SEPT</v>
      </c>
      <c r="D227" s="2" t="s">
        <v>11</v>
      </c>
      <c r="E227" s="2" t="s">
        <v>19</v>
      </c>
      <c r="F227" s="2" t="s">
        <v>13</v>
      </c>
      <c r="G227" s="2" t="s">
        <v>20</v>
      </c>
      <c r="H227" s="2" t="s">
        <v>36</v>
      </c>
      <c r="I227" s="2" t="s">
        <v>31</v>
      </c>
      <c r="J227" s="15">
        <v>150000</v>
      </c>
      <c r="K227" s="2">
        <v>4</v>
      </c>
      <c r="L227" s="2" t="s">
        <v>17</v>
      </c>
      <c r="M227" s="12">
        <f t="shared" si="1"/>
        <v>120000</v>
      </c>
      <c r="N227" s="10">
        <f>PRODUCT(Table_13[[#This Row],[Unit Price]],Table_13[[#This Row],[Quantity]])</f>
        <v>600000</v>
      </c>
      <c r="O227" s="16">
        <f>PRODUCT(Table_13[[#This Row],[Cost Price]],Table_13[[#This Row],[Quantity]])</f>
        <v>480000</v>
      </c>
      <c r="P227" s="27">
        <f t="shared" si="8"/>
        <v>120000</v>
      </c>
    </row>
    <row r="228" spans="1:16" x14ac:dyDescent="0.2">
      <c r="A228" s="33">
        <v>45902</v>
      </c>
      <c r="B228" s="30">
        <f t="shared" si="7"/>
        <v>9</v>
      </c>
      <c r="C228" s="30" t="str">
        <f>_xlfn.IFS(Table_13[[#This Row],[Month]]=1,"JAN",Table_13[[#This Row],[Month]]=2,"FEB",B228=3,"MAR",B228=4,"APR",B228=5,"MAY",B228=6,"JUN",B228=7,"JUL",B228=8,"AUG",Table_13[[#This Row],[Month]]=9,"SEPT",B228=10,"OCT",B228=11,"NOV",B228=12,"DEC")</f>
        <v>SEPT</v>
      </c>
      <c r="D228" s="2" t="s">
        <v>29</v>
      </c>
      <c r="E228" s="2" t="s">
        <v>19</v>
      </c>
      <c r="F228" s="2" t="s">
        <v>13</v>
      </c>
      <c r="G228" s="2" t="s">
        <v>14</v>
      </c>
      <c r="H228" s="2" t="s">
        <v>36</v>
      </c>
      <c r="I228" s="2" t="s">
        <v>31</v>
      </c>
      <c r="J228" s="15">
        <v>150000</v>
      </c>
      <c r="K228" s="2">
        <v>4</v>
      </c>
      <c r="L228" s="2" t="s">
        <v>28</v>
      </c>
      <c r="M228" s="12">
        <f t="shared" si="1"/>
        <v>120000</v>
      </c>
      <c r="N228" s="10">
        <f>PRODUCT(Table_13[[#This Row],[Unit Price]],Table_13[[#This Row],[Quantity]])</f>
        <v>600000</v>
      </c>
      <c r="O228" s="16">
        <f>PRODUCT(Table_13[[#This Row],[Cost Price]],Table_13[[#This Row],[Quantity]])</f>
        <v>480000</v>
      </c>
      <c r="P228" s="27">
        <f t="shared" si="8"/>
        <v>120000</v>
      </c>
    </row>
    <row r="229" spans="1:16" x14ac:dyDescent="0.2">
      <c r="A229" s="33">
        <v>45903</v>
      </c>
      <c r="B229" s="30">
        <f t="shared" si="7"/>
        <v>9</v>
      </c>
      <c r="C229" s="30" t="str">
        <f>_xlfn.IFS(Table_13[[#This Row],[Month]]=1,"JAN",Table_13[[#This Row],[Month]]=2,"FEB",B229=3,"MAR",B229=4,"APR",B229=5,"MAY",B229=6,"JUN",B229=7,"JUL",B229=8,"AUG",Table_13[[#This Row],[Month]]=9,"SEPT",B229=10,"OCT",B229=11,"NOV",B229=12,"DEC")</f>
        <v>SEPT</v>
      </c>
      <c r="D229" s="2" t="s">
        <v>18</v>
      </c>
      <c r="E229" s="2" t="s">
        <v>19</v>
      </c>
      <c r="F229" s="2" t="s">
        <v>23</v>
      </c>
      <c r="G229" s="2" t="s">
        <v>14</v>
      </c>
      <c r="H229" s="2" t="s">
        <v>21</v>
      </c>
      <c r="I229" s="2" t="s">
        <v>22</v>
      </c>
      <c r="J229" s="15">
        <v>30000</v>
      </c>
      <c r="K229" s="2">
        <v>2</v>
      </c>
      <c r="L229" s="2" t="s">
        <v>28</v>
      </c>
      <c r="M229" s="12">
        <f t="shared" si="1"/>
        <v>24000</v>
      </c>
      <c r="N229" s="10">
        <f>PRODUCT(Table_13[[#This Row],[Unit Price]],Table_13[[#This Row],[Quantity]])</f>
        <v>60000</v>
      </c>
      <c r="O229" s="16">
        <f>PRODUCT(Table_13[[#This Row],[Cost Price]],Table_13[[#This Row],[Quantity]])</f>
        <v>48000</v>
      </c>
      <c r="P229" s="27">
        <f t="shared" si="8"/>
        <v>12000</v>
      </c>
    </row>
    <row r="230" spans="1:16" x14ac:dyDescent="0.2">
      <c r="A230" s="33">
        <v>45904</v>
      </c>
      <c r="B230" s="30">
        <f t="shared" si="7"/>
        <v>9</v>
      </c>
      <c r="C230" s="30" t="str">
        <f>_xlfn.IFS(Table_13[[#This Row],[Month]]=1,"JAN",Table_13[[#This Row],[Month]]=2,"FEB",B230=3,"MAR",B230=4,"APR",B230=5,"MAY",B230=6,"JUN",B230=7,"JUL",B230=8,"AUG",Table_13[[#This Row],[Month]]=9,"SEPT",B230=10,"OCT",B230=11,"NOV",B230=12,"DEC")</f>
        <v>SEPT</v>
      </c>
      <c r="D230" s="2" t="s">
        <v>25</v>
      </c>
      <c r="E230" s="2" t="s">
        <v>32</v>
      </c>
      <c r="F230" s="2" t="s">
        <v>23</v>
      </c>
      <c r="G230" s="2" t="s">
        <v>14</v>
      </c>
      <c r="H230" s="2" t="s">
        <v>33</v>
      </c>
      <c r="I230" s="2" t="s">
        <v>22</v>
      </c>
      <c r="J230" s="15">
        <v>180000</v>
      </c>
      <c r="K230" s="2">
        <v>6</v>
      </c>
      <c r="L230" s="2" t="s">
        <v>37</v>
      </c>
      <c r="M230" s="12">
        <f t="shared" si="1"/>
        <v>144000</v>
      </c>
      <c r="N230" s="10">
        <f>PRODUCT(Table_13[[#This Row],[Unit Price]],Table_13[[#This Row],[Quantity]])</f>
        <v>1080000</v>
      </c>
      <c r="O230" s="16">
        <f>PRODUCT(Table_13[[#This Row],[Cost Price]],Table_13[[#This Row],[Quantity]])</f>
        <v>864000</v>
      </c>
      <c r="P230" s="27">
        <f t="shared" si="8"/>
        <v>216000</v>
      </c>
    </row>
    <row r="231" spans="1:16" x14ac:dyDescent="0.2">
      <c r="A231" s="33">
        <v>45905</v>
      </c>
      <c r="B231" s="30">
        <f t="shared" si="7"/>
        <v>9</v>
      </c>
      <c r="C231" s="30" t="str">
        <f>_xlfn.IFS(Table_13[[#This Row],[Month]]=1,"JAN",Table_13[[#This Row],[Month]]=2,"FEB",B231=3,"MAR",B231=4,"APR",B231=5,"MAY",B231=6,"JUN",B231=7,"JUL",B231=8,"AUG",Table_13[[#This Row],[Month]]=9,"SEPT",B231=10,"OCT",B231=11,"NOV",B231=12,"DEC")</f>
        <v>SEPT</v>
      </c>
      <c r="D231" s="2" t="s">
        <v>29</v>
      </c>
      <c r="E231" s="2" t="s">
        <v>26</v>
      </c>
      <c r="F231" s="2" t="s">
        <v>23</v>
      </c>
      <c r="G231" s="2" t="s">
        <v>20</v>
      </c>
      <c r="H231" s="2" t="s">
        <v>27</v>
      </c>
      <c r="I231" s="2" t="s">
        <v>22</v>
      </c>
      <c r="J231" s="15">
        <v>60000</v>
      </c>
      <c r="K231" s="2">
        <v>9</v>
      </c>
      <c r="L231" s="2" t="s">
        <v>39</v>
      </c>
      <c r="M231" s="12">
        <f t="shared" si="1"/>
        <v>48000</v>
      </c>
      <c r="N231" s="10">
        <f>PRODUCT(Table_13[[#This Row],[Unit Price]],Table_13[[#This Row],[Quantity]])</f>
        <v>540000</v>
      </c>
      <c r="O231" s="16">
        <f>PRODUCT(Table_13[[#This Row],[Cost Price]],Table_13[[#This Row],[Quantity]])</f>
        <v>432000</v>
      </c>
      <c r="P231" s="27">
        <f t="shared" si="8"/>
        <v>108000</v>
      </c>
    </row>
    <row r="232" spans="1:16" x14ac:dyDescent="0.2">
      <c r="A232" s="33">
        <v>45906</v>
      </c>
      <c r="B232" s="30">
        <f t="shared" si="7"/>
        <v>9</v>
      </c>
      <c r="C232" s="30" t="str">
        <f>_xlfn.IFS(Table_13[[#This Row],[Month]]=1,"JAN",Table_13[[#This Row],[Month]]=2,"FEB",B232=3,"MAR",B232=4,"APR",B232=5,"MAY",B232=6,"JUN",B232=7,"JUL",B232=8,"AUG",Table_13[[#This Row],[Month]]=9,"SEPT",B232=10,"OCT",B232=11,"NOV",B232=12,"DEC")</f>
        <v>SEPT</v>
      </c>
      <c r="D232" s="2" t="s">
        <v>25</v>
      </c>
      <c r="E232" s="2" t="s">
        <v>12</v>
      </c>
      <c r="F232" s="2" t="s">
        <v>13</v>
      </c>
      <c r="G232" s="2" t="s">
        <v>14</v>
      </c>
      <c r="H232" s="2" t="s">
        <v>36</v>
      </c>
      <c r="I232" s="2" t="s">
        <v>31</v>
      </c>
      <c r="J232" s="15">
        <v>150000</v>
      </c>
      <c r="K232" s="2">
        <v>3</v>
      </c>
      <c r="L232" s="2" t="s">
        <v>24</v>
      </c>
      <c r="M232" s="12">
        <f t="shared" si="1"/>
        <v>120000</v>
      </c>
      <c r="N232" s="10">
        <f>PRODUCT(Table_13[[#This Row],[Unit Price]],Table_13[[#This Row],[Quantity]])</f>
        <v>450000</v>
      </c>
      <c r="O232" s="16">
        <f>PRODUCT(Table_13[[#This Row],[Cost Price]],Table_13[[#This Row],[Quantity]])</f>
        <v>360000</v>
      </c>
      <c r="P232" s="27">
        <f t="shared" si="8"/>
        <v>90000</v>
      </c>
    </row>
    <row r="233" spans="1:16" x14ac:dyDescent="0.2">
      <c r="A233" s="33">
        <v>45907</v>
      </c>
      <c r="B233" s="30">
        <f t="shared" si="7"/>
        <v>9</v>
      </c>
      <c r="C233" s="30" t="str">
        <f>_xlfn.IFS(Table_13[[#This Row],[Month]]=1,"JAN",Table_13[[#This Row],[Month]]=2,"FEB",B233=3,"MAR",B233=4,"APR",B233=5,"MAY",B233=6,"JUN",B233=7,"JUL",B233=8,"AUG",Table_13[[#This Row],[Month]]=9,"SEPT",B233=10,"OCT",B233=11,"NOV",B233=12,"DEC")</f>
        <v>SEPT</v>
      </c>
      <c r="D233" s="2" t="s">
        <v>29</v>
      </c>
      <c r="E233" s="2" t="s">
        <v>19</v>
      </c>
      <c r="F233" s="2" t="s">
        <v>13</v>
      </c>
      <c r="G233" s="2" t="s">
        <v>14</v>
      </c>
      <c r="H233" s="2" t="s">
        <v>15</v>
      </c>
      <c r="I233" s="2" t="s">
        <v>16</v>
      </c>
      <c r="J233" s="15">
        <v>85000</v>
      </c>
      <c r="K233" s="2">
        <v>3</v>
      </c>
      <c r="L233" s="2" t="s">
        <v>28</v>
      </c>
      <c r="M233" s="12">
        <f t="shared" si="1"/>
        <v>68000</v>
      </c>
      <c r="N233" s="10">
        <f>PRODUCT(Table_13[[#This Row],[Unit Price]],Table_13[[#This Row],[Quantity]])</f>
        <v>255000</v>
      </c>
      <c r="O233" s="16">
        <f>PRODUCT(Table_13[[#This Row],[Cost Price]],Table_13[[#This Row],[Quantity]])</f>
        <v>204000</v>
      </c>
      <c r="P233" s="27">
        <f t="shared" si="8"/>
        <v>51000</v>
      </c>
    </row>
    <row r="234" spans="1:16" x14ac:dyDescent="0.2">
      <c r="A234" s="33">
        <v>45908</v>
      </c>
      <c r="B234" s="30">
        <f t="shared" si="7"/>
        <v>9</v>
      </c>
      <c r="C234" s="30" t="str">
        <f>_xlfn.IFS(Table_13[[#This Row],[Month]]=1,"JAN",Table_13[[#This Row],[Month]]=2,"FEB",B234=3,"MAR",B234=4,"APR",B234=5,"MAY",B234=6,"JUN",B234=7,"JUL",B234=8,"AUG",Table_13[[#This Row],[Month]]=9,"SEPT",B234=10,"OCT",B234=11,"NOV",B234=12,"DEC")</f>
        <v>SEPT</v>
      </c>
      <c r="D234" s="2" t="s">
        <v>18</v>
      </c>
      <c r="E234" s="2" t="s">
        <v>12</v>
      </c>
      <c r="F234" s="2" t="s">
        <v>23</v>
      </c>
      <c r="G234" s="2" t="s">
        <v>20</v>
      </c>
      <c r="H234" s="2" t="s">
        <v>21</v>
      </c>
      <c r="I234" s="2" t="s">
        <v>22</v>
      </c>
      <c r="J234" s="15">
        <v>30000</v>
      </c>
      <c r="K234" s="2">
        <v>3</v>
      </c>
      <c r="L234" s="2" t="s">
        <v>35</v>
      </c>
      <c r="M234" s="12">
        <f t="shared" si="1"/>
        <v>24000</v>
      </c>
      <c r="N234" s="10">
        <f>PRODUCT(Table_13[[#This Row],[Unit Price]],Table_13[[#This Row],[Quantity]])</f>
        <v>90000</v>
      </c>
      <c r="O234" s="16">
        <f>PRODUCT(Table_13[[#This Row],[Cost Price]],Table_13[[#This Row],[Quantity]])</f>
        <v>72000</v>
      </c>
      <c r="P234" s="27">
        <f t="shared" si="8"/>
        <v>18000</v>
      </c>
    </row>
    <row r="235" spans="1:16" x14ac:dyDescent="0.2">
      <c r="A235" s="33">
        <v>45909</v>
      </c>
      <c r="B235" s="30">
        <f t="shared" si="7"/>
        <v>9</v>
      </c>
      <c r="C235" s="30" t="str">
        <f>_xlfn.IFS(Table_13[[#This Row],[Month]]=1,"JAN",Table_13[[#This Row],[Month]]=2,"FEB",B235=3,"MAR",B235=4,"APR",B235=5,"MAY",B235=6,"JUN",B235=7,"JUL",B235=8,"AUG",Table_13[[#This Row],[Month]]=9,"SEPT",B235=10,"OCT",B235=11,"NOV",B235=12,"DEC")</f>
        <v>SEPT</v>
      </c>
      <c r="D235" s="2" t="s">
        <v>18</v>
      </c>
      <c r="E235" s="2" t="s">
        <v>26</v>
      </c>
      <c r="F235" s="2" t="s">
        <v>23</v>
      </c>
      <c r="G235" s="2" t="s">
        <v>14</v>
      </c>
      <c r="H235" s="2" t="s">
        <v>15</v>
      </c>
      <c r="I235" s="2" t="s">
        <v>16</v>
      </c>
      <c r="J235" s="15">
        <v>85000</v>
      </c>
      <c r="K235" s="2">
        <v>2</v>
      </c>
      <c r="L235" s="2" t="s">
        <v>17</v>
      </c>
      <c r="M235" s="12">
        <f t="shared" si="1"/>
        <v>68000</v>
      </c>
      <c r="N235" s="10">
        <f>PRODUCT(Table_13[[#This Row],[Unit Price]],Table_13[[#This Row],[Quantity]])</f>
        <v>170000</v>
      </c>
      <c r="O235" s="16">
        <f>PRODUCT(Table_13[[#This Row],[Cost Price]],Table_13[[#This Row],[Quantity]])</f>
        <v>136000</v>
      </c>
      <c r="P235" s="27">
        <f t="shared" si="8"/>
        <v>34000</v>
      </c>
    </row>
    <row r="236" spans="1:16" x14ac:dyDescent="0.2">
      <c r="A236" s="33">
        <v>45910</v>
      </c>
      <c r="B236" s="30">
        <f t="shared" si="7"/>
        <v>9</v>
      </c>
      <c r="C236" s="30" t="str">
        <f>_xlfn.IFS(Table_13[[#This Row],[Month]]=1,"JAN",Table_13[[#This Row],[Month]]=2,"FEB",B236=3,"MAR",B236=4,"APR",B236=5,"MAY",B236=6,"JUN",B236=7,"JUL",B236=8,"AUG",Table_13[[#This Row],[Month]]=9,"SEPT",B236=10,"OCT",B236=11,"NOV",B236=12,"DEC")</f>
        <v>SEPT</v>
      </c>
      <c r="D236" s="2" t="s">
        <v>11</v>
      </c>
      <c r="E236" s="2" t="s">
        <v>32</v>
      </c>
      <c r="F236" s="2" t="s">
        <v>23</v>
      </c>
      <c r="G236" s="2" t="s">
        <v>14</v>
      </c>
      <c r="H236" s="2" t="s">
        <v>21</v>
      </c>
      <c r="I236" s="2" t="s">
        <v>22</v>
      </c>
      <c r="J236" s="15">
        <v>30000</v>
      </c>
      <c r="K236" s="2">
        <v>6</v>
      </c>
      <c r="L236" s="2" t="s">
        <v>17</v>
      </c>
      <c r="M236" s="12">
        <f t="shared" si="1"/>
        <v>24000</v>
      </c>
      <c r="N236" s="10">
        <f>PRODUCT(Table_13[[#This Row],[Unit Price]],Table_13[[#This Row],[Quantity]])</f>
        <v>180000</v>
      </c>
      <c r="O236" s="16">
        <f>PRODUCT(Table_13[[#This Row],[Cost Price]],Table_13[[#This Row],[Quantity]])</f>
        <v>144000</v>
      </c>
      <c r="P236" s="27">
        <f t="shared" si="8"/>
        <v>36000</v>
      </c>
    </row>
    <row r="237" spans="1:16" x14ac:dyDescent="0.2">
      <c r="A237" s="33">
        <v>45911</v>
      </c>
      <c r="B237" s="30">
        <f t="shared" si="7"/>
        <v>9</v>
      </c>
      <c r="C237" s="30" t="str">
        <f>_xlfn.IFS(Table_13[[#This Row],[Month]]=1,"JAN",Table_13[[#This Row],[Month]]=2,"FEB",B237=3,"MAR",B237=4,"APR",B237=5,"MAY",B237=6,"JUN",B237=7,"JUL",B237=8,"AUG",Table_13[[#This Row],[Month]]=9,"SEPT",B237=10,"OCT",B237=11,"NOV",B237=12,"DEC")</f>
        <v>SEPT</v>
      </c>
      <c r="D237" s="2" t="s">
        <v>11</v>
      </c>
      <c r="E237" s="2" t="s">
        <v>32</v>
      </c>
      <c r="F237" s="2" t="s">
        <v>23</v>
      </c>
      <c r="G237" s="2" t="s">
        <v>14</v>
      </c>
      <c r="H237" s="2" t="s">
        <v>34</v>
      </c>
      <c r="I237" s="2" t="s">
        <v>16</v>
      </c>
      <c r="J237" s="15">
        <v>320000</v>
      </c>
      <c r="K237" s="2">
        <v>1</v>
      </c>
      <c r="L237" s="2" t="s">
        <v>17</v>
      </c>
      <c r="M237" s="12">
        <f t="shared" si="1"/>
        <v>256000</v>
      </c>
      <c r="N237" s="10">
        <f>PRODUCT(Table_13[[#This Row],[Unit Price]],Table_13[[#This Row],[Quantity]])</f>
        <v>320000</v>
      </c>
      <c r="O237" s="16">
        <f>PRODUCT(Table_13[[#This Row],[Cost Price]],Table_13[[#This Row],[Quantity]])</f>
        <v>256000</v>
      </c>
      <c r="P237" s="27">
        <f t="shared" si="8"/>
        <v>64000</v>
      </c>
    </row>
    <row r="238" spans="1:16" x14ac:dyDescent="0.2">
      <c r="A238" s="33">
        <v>45912</v>
      </c>
      <c r="B238" s="30">
        <f t="shared" si="7"/>
        <v>9</v>
      </c>
      <c r="C238" s="30" t="str">
        <f>_xlfn.IFS(Table_13[[#This Row],[Month]]=1,"JAN",Table_13[[#This Row],[Month]]=2,"FEB",B238=3,"MAR",B238=4,"APR",B238=5,"MAY",B238=6,"JUN",B238=7,"JUL",B238=8,"AUG",Table_13[[#This Row],[Month]]=9,"SEPT",B238=10,"OCT",B238=11,"NOV",B238=12,"DEC")</f>
        <v>SEPT</v>
      </c>
      <c r="D238" s="2" t="s">
        <v>25</v>
      </c>
      <c r="E238" s="2" t="s">
        <v>19</v>
      </c>
      <c r="F238" s="2" t="s">
        <v>13</v>
      </c>
      <c r="G238" s="2" t="s">
        <v>20</v>
      </c>
      <c r="H238" s="2" t="s">
        <v>38</v>
      </c>
      <c r="I238" s="2" t="s">
        <v>31</v>
      </c>
      <c r="J238" s="15">
        <v>420000</v>
      </c>
      <c r="K238" s="2">
        <v>5</v>
      </c>
      <c r="L238" s="2" t="s">
        <v>37</v>
      </c>
      <c r="M238" s="12">
        <f t="shared" si="1"/>
        <v>336000</v>
      </c>
      <c r="N238" s="10">
        <f>PRODUCT(Table_13[[#This Row],[Unit Price]],Table_13[[#This Row],[Quantity]])</f>
        <v>2100000</v>
      </c>
      <c r="O238" s="16">
        <f>PRODUCT(Table_13[[#This Row],[Cost Price]],Table_13[[#This Row],[Quantity]])</f>
        <v>1680000</v>
      </c>
      <c r="P238" s="27">
        <f t="shared" si="8"/>
        <v>420000</v>
      </c>
    </row>
    <row r="239" spans="1:16" x14ac:dyDescent="0.2">
      <c r="A239" s="33">
        <v>45913</v>
      </c>
      <c r="B239" s="30">
        <f t="shared" si="7"/>
        <v>9</v>
      </c>
      <c r="C239" s="30" t="str">
        <f>_xlfn.IFS(Table_13[[#This Row],[Month]]=1,"JAN",Table_13[[#This Row],[Month]]=2,"FEB",B239=3,"MAR",B239=4,"APR",B239=5,"MAY",B239=6,"JUN",B239=7,"JUL",B239=8,"AUG",Table_13[[#This Row],[Month]]=9,"SEPT",B239=10,"OCT",B239=11,"NOV",B239=12,"DEC")</f>
        <v>SEPT</v>
      </c>
      <c r="D239" s="2" t="s">
        <v>11</v>
      </c>
      <c r="E239" s="2" t="s">
        <v>32</v>
      </c>
      <c r="F239" s="2" t="s">
        <v>13</v>
      </c>
      <c r="G239" s="2" t="s">
        <v>20</v>
      </c>
      <c r="H239" s="2" t="s">
        <v>21</v>
      </c>
      <c r="I239" s="2" t="s">
        <v>22</v>
      </c>
      <c r="J239" s="15">
        <v>30000</v>
      </c>
      <c r="K239" s="2">
        <v>9</v>
      </c>
      <c r="L239" s="2" t="s">
        <v>39</v>
      </c>
      <c r="M239" s="12">
        <f t="shared" si="1"/>
        <v>24000</v>
      </c>
      <c r="N239" s="10">
        <f>PRODUCT(Table_13[[#This Row],[Unit Price]],Table_13[[#This Row],[Quantity]])</f>
        <v>270000</v>
      </c>
      <c r="O239" s="16">
        <f>PRODUCT(Table_13[[#This Row],[Cost Price]],Table_13[[#This Row],[Quantity]])</f>
        <v>216000</v>
      </c>
      <c r="P239" s="27">
        <f t="shared" si="8"/>
        <v>54000</v>
      </c>
    </row>
    <row r="240" spans="1:16" x14ac:dyDescent="0.2">
      <c r="A240" s="33">
        <v>45914</v>
      </c>
      <c r="B240" s="30">
        <f t="shared" si="7"/>
        <v>9</v>
      </c>
      <c r="C240" s="30" t="str">
        <f>_xlfn.IFS(Table_13[[#This Row],[Month]]=1,"JAN",Table_13[[#This Row],[Month]]=2,"FEB",B240=3,"MAR",B240=4,"APR",B240=5,"MAY",B240=6,"JUN",B240=7,"JUL",B240=8,"AUG",Table_13[[#This Row],[Month]]=9,"SEPT",B240=10,"OCT",B240=11,"NOV",B240=12,"DEC")</f>
        <v>SEPT</v>
      </c>
      <c r="D240" s="2" t="s">
        <v>25</v>
      </c>
      <c r="E240" s="2" t="s">
        <v>32</v>
      </c>
      <c r="F240" s="2" t="s">
        <v>13</v>
      </c>
      <c r="G240" s="2" t="s">
        <v>14</v>
      </c>
      <c r="H240" s="2" t="s">
        <v>27</v>
      </c>
      <c r="I240" s="2" t="s">
        <v>22</v>
      </c>
      <c r="J240" s="15">
        <v>60000</v>
      </c>
      <c r="K240" s="2">
        <v>8</v>
      </c>
      <c r="L240" s="2" t="s">
        <v>37</v>
      </c>
      <c r="M240" s="12">
        <f t="shared" si="1"/>
        <v>48000</v>
      </c>
      <c r="N240" s="10">
        <f>PRODUCT(Table_13[[#This Row],[Unit Price]],Table_13[[#This Row],[Quantity]])</f>
        <v>480000</v>
      </c>
      <c r="O240" s="16">
        <f>PRODUCT(Table_13[[#This Row],[Cost Price]],Table_13[[#This Row],[Quantity]])</f>
        <v>384000</v>
      </c>
      <c r="P240" s="27">
        <f t="shared" si="8"/>
        <v>96000</v>
      </c>
    </row>
    <row r="241" spans="1:16" x14ac:dyDescent="0.2">
      <c r="A241" s="33">
        <v>45915</v>
      </c>
      <c r="B241" s="30">
        <f t="shared" si="7"/>
        <v>9</v>
      </c>
      <c r="C241" s="30" t="str">
        <f>_xlfn.IFS(Table_13[[#This Row],[Month]]=1,"JAN",Table_13[[#This Row],[Month]]=2,"FEB",B241=3,"MAR",B241=4,"APR",B241=5,"MAY",B241=6,"JUN",B241=7,"JUL",B241=8,"AUG",Table_13[[#This Row],[Month]]=9,"SEPT",B241=10,"OCT",B241=11,"NOV",B241=12,"DEC")</f>
        <v>SEPT</v>
      </c>
      <c r="D241" s="2" t="s">
        <v>11</v>
      </c>
      <c r="E241" s="2" t="s">
        <v>26</v>
      </c>
      <c r="F241" s="2" t="s">
        <v>13</v>
      </c>
      <c r="G241" s="2" t="s">
        <v>14</v>
      </c>
      <c r="H241" s="2" t="s">
        <v>30</v>
      </c>
      <c r="I241" s="2" t="s">
        <v>31</v>
      </c>
      <c r="J241" s="15">
        <v>300000</v>
      </c>
      <c r="K241" s="2">
        <v>2</v>
      </c>
      <c r="L241" s="2" t="s">
        <v>28</v>
      </c>
      <c r="M241" s="12">
        <f t="shared" si="1"/>
        <v>240000</v>
      </c>
      <c r="N241" s="10">
        <f>PRODUCT(Table_13[[#This Row],[Unit Price]],Table_13[[#This Row],[Quantity]])</f>
        <v>600000</v>
      </c>
      <c r="O241" s="16">
        <f>PRODUCT(Table_13[[#This Row],[Cost Price]],Table_13[[#This Row],[Quantity]])</f>
        <v>480000</v>
      </c>
      <c r="P241" s="27">
        <f t="shared" si="8"/>
        <v>120000</v>
      </c>
    </row>
    <row r="242" spans="1:16" x14ac:dyDescent="0.2">
      <c r="A242" s="33">
        <v>45916</v>
      </c>
      <c r="B242" s="30">
        <f t="shared" si="7"/>
        <v>9</v>
      </c>
      <c r="C242" s="30" t="str">
        <f>_xlfn.IFS(Table_13[[#This Row],[Month]]=1,"JAN",Table_13[[#This Row],[Month]]=2,"FEB",B242=3,"MAR",B242=4,"APR",B242=5,"MAY",B242=6,"JUN",B242=7,"JUL",B242=8,"AUG",Table_13[[#This Row],[Month]]=9,"SEPT",B242=10,"OCT",B242=11,"NOV",B242=12,"DEC")</f>
        <v>SEPT</v>
      </c>
      <c r="D242" s="2" t="s">
        <v>25</v>
      </c>
      <c r="E242" s="2" t="s">
        <v>12</v>
      </c>
      <c r="F242" s="2" t="s">
        <v>13</v>
      </c>
      <c r="G242" s="2" t="s">
        <v>14</v>
      </c>
      <c r="H242" s="2" t="s">
        <v>41</v>
      </c>
      <c r="I242" s="2" t="s">
        <v>22</v>
      </c>
      <c r="J242" s="15">
        <v>220000</v>
      </c>
      <c r="K242" s="2">
        <v>7</v>
      </c>
      <c r="L242" s="2" t="s">
        <v>28</v>
      </c>
      <c r="M242" s="12">
        <f t="shared" si="1"/>
        <v>176000</v>
      </c>
      <c r="N242" s="10">
        <f>PRODUCT(Table_13[[#This Row],[Unit Price]],Table_13[[#This Row],[Quantity]])</f>
        <v>1540000</v>
      </c>
      <c r="O242" s="16">
        <f>PRODUCT(Table_13[[#This Row],[Cost Price]],Table_13[[#This Row],[Quantity]])</f>
        <v>1232000</v>
      </c>
      <c r="P242" s="27">
        <f t="shared" si="8"/>
        <v>308000</v>
      </c>
    </row>
    <row r="243" spans="1:16" x14ac:dyDescent="0.2">
      <c r="A243" s="33">
        <v>45917</v>
      </c>
      <c r="B243" s="30">
        <f t="shared" si="7"/>
        <v>9</v>
      </c>
      <c r="C243" s="30" t="str">
        <f>_xlfn.IFS(Table_13[[#This Row],[Month]]=1,"JAN",Table_13[[#This Row],[Month]]=2,"FEB",B243=3,"MAR",B243=4,"APR",B243=5,"MAY",B243=6,"JUN",B243=7,"JUL",B243=8,"AUG",Table_13[[#This Row],[Month]]=9,"SEPT",B243=10,"OCT",B243=11,"NOV",B243=12,"DEC")</f>
        <v>SEPT</v>
      </c>
      <c r="D243" s="2" t="s">
        <v>29</v>
      </c>
      <c r="E243" s="2" t="s">
        <v>19</v>
      </c>
      <c r="F243" s="2" t="s">
        <v>23</v>
      </c>
      <c r="G243" s="2" t="s">
        <v>20</v>
      </c>
      <c r="H243" s="2" t="s">
        <v>30</v>
      </c>
      <c r="I243" s="2" t="s">
        <v>31</v>
      </c>
      <c r="J243" s="15">
        <v>300000</v>
      </c>
      <c r="K243" s="2">
        <v>8</v>
      </c>
      <c r="L243" s="2" t="s">
        <v>17</v>
      </c>
      <c r="M243" s="12">
        <f t="shared" si="1"/>
        <v>240000</v>
      </c>
      <c r="N243" s="10">
        <f>PRODUCT(Table_13[[#This Row],[Unit Price]],Table_13[[#This Row],[Quantity]])</f>
        <v>2400000</v>
      </c>
      <c r="O243" s="16">
        <f>PRODUCT(Table_13[[#This Row],[Cost Price]],Table_13[[#This Row],[Quantity]])</f>
        <v>1920000</v>
      </c>
      <c r="P243" s="27">
        <f t="shared" si="8"/>
        <v>480000</v>
      </c>
    </row>
    <row r="244" spans="1:16" x14ac:dyDescent="0.2">
      <c r="A244" s="33">
        <v>45918</v>
      </c>
      <c r="B244" s="30">
        <f t="shared" si="7"/>
        <v>9</v>
      </c>
      <c r="C244" s="30" t="str">
        <f>_xlfn.IFS(Table_13[[#This Row],[Month]]=1,"JAN",Table_13[[#This Row],[Month]]=2,"FEB",B244=3,"MAR",B244=4,"APR",B244=5,"MAY",B244=6,"JUN",B244=7,"JUL",B244=8,"AUG",Table_13[[#This Row],[Month]]=9,"SEPT",B244=10,"OCT",B244=11,"NOV",B244=12,"DEC")</f>
        <v>SEPT</v>
      </c>
      <c r="D244" s="2" t="s">
        <v>18</v>
      </c>
      <c r="E244" s="2" t="s">
        <v>19</v>
      </c>
      <c r="F244" s="2" t="s">
        <v>23</v>
      </c>
      <c r="G244" s="2" t="s">
        <v>20</v>
      </c>
      <c r="H244" s="2" t="s">
        <v>38</v>
      </c>
      <c r="I244" s="2" t="s">
        <v>31</v>
      </c>
      <c r="J244" s="15">
        <v>420000</v>
      </c>
      <c r="K244" s="2">
        <v>10</v>
      </c>
      <c r="L244" s="2" t="s">
        <v>35</v>
      </c>
      <c r="M244" s="12">
        <f t="shared" si="1"/>
        <v>336000</v>
      </c>
      <c r="N244" s="10">
        <f>PRODUCT(Table_13[[#This Row],[Unit Price]],Table_13[[#This Row],[Quantity]])</f>
        <v>4200000</v>
      </c>
      <c r="O244" s="16">
        <f>PRODUCT(Table_13[[#This Row],[Cost Price]],Table_13[[#This Row],[Quantity]])</f>
        <v>3360000</v>
      </c>
      <c r="P244" s="27">
        <f t="shared" si="8"/>
        <v>840000</v>
      </c>
    </row>
    <row r="245" spans="1:16" x14ac:dyDescent="0.2">
      <c r="A245" s="33">
        <v>45919</v>
      </c>
      <c r="B245" s="30">
        <f t="shared" si="7"/>
        <v>9</v>
      </c>
      <c r="C245" s="30" t="str">
        <f>_xlfn.IFS(Table_13[[#This Row],[Month]]=1,"JAN",Table_13[[#This Row],[Month]]=2,"FEB",B245=3,"MAR",B245=4,"APR",B245=5,"MAY",B245=6,"JUN",B245=7,"JUL",B245=8,"AUG",Table_13[[#This Row],[Month]]=9,"SEPT",B245=10,"OCT",B245=11,"NOV",B245=12,"DEC")</f>
        <v>SEPT</v>
      </c>
      <c r="D245" s="2" t="s">
        <v>18</v>
      </c>
      <c r="E245" s="2" t="s">
        <v>32</v>
      </c>
      <c r="F245" s="2" t="s">
        <v>23</v>
      </c>
      <c r="G245" s="2" t="s">
        <v>14</v>
      </c>
      <c r="H245" s="2" t="s">
        <v>30</v>
      </c>
      <c r="I245" s="2" t="s">
        <v>31</v>
      </c>
      <c r="J245" s="15">
        <v>300000</v>
      </c>
      <c r="K245" s="2">
        <v>2</v>
      </c>
      <c r="L245" s="2" t="s">
        <v>35</v>
      </c>
      <c r="M245" s="12">
        <f t="shared" si="1"/>
        <v>240000</v>
      </c>
      <c r="N245" s="10">
        <f>PRODUCT(Table_13[[#This Row],[Unit Price]],Table_13[[#This Row],[Quantity]])</f>
        <v>600000</v>
      </c>
      <c r="O245" s="16">
        <f>PRODUCT(Table_13[[#This Row],[Cost Price]],Table_13[[#This Row],[Quantity]])</f>
        <v>480000</v>
      </c>
      <c r="P245" s="27">
        <f t="shared" si="8"/>
        <v>120000</v>
      </c>
    </row>
    <row r="246" spans="1:16" x14ac:dyDescent="0.2">
      <c r="A246" s="33">
        <v>45920</v>
      </c>
      <c r="B246" s="30">
        <f t="shared" si="7"/>
        <v>9</v>
      </c>
      <c r="C246" s="30" t="str">
        <f>_xlfn.IFS(Table_13[[#This Row],[Month]]=1,"JAN",Table_13[[#This Row],[Month]]=2,"FEB",B246=3,"MAR",B246=4,"APR",B246=5,"MAY",B246=6,"JUN",B246=7,"JUL",B246=8,"AUG",Table_13[[#This Row],[Month]]=9,"SEPT",B246=10,"OCT",B246=11,"NOV",B246=12,"DEC")</f>
        <v>SEPT</v>
      </c>
      <c r="D246" s="2" t="s">
        <v>18</v>
      </c>
      <c r="E246" s="2" t="s">
        <v>19</v>
      </c>
      <c r="F246" s="2" t="s">
        <v>23</v>
      </c>
      <c r="G246" s="2" t="s">
        <v>14</v>
      </c>
      <c r="H246" s="2" t="s">
        <v>41</v>
      </c>
      <c r="I246" s="2" t="s">
        <v>22</v>
      </c>
      <c r="J246" s="15">
        <v>220000</v>
      </c>
      <c r="K246" s="2">
        <v>3</v>
      </c>
      <c r="L246" s="2" t="s">
        <v>28</v>
      </c>
      <c r="M246" s="12">
        <f t="shared" si="1"/>
        <v>176000</v>
      </c>
      <c r="N246" s="10">
        <f>PRODUCT(Table_13[[#This Row],[Unit Price]],Table_13[[#This Row],[Quantity]])</f>
        <v>660000</v>
      </c>
      <c r="O246" s="16">
        <f>PRODUCT(Table_13[[#This Row],[Cost Price]],Table_13[[#This Row],[Quantity]])</f>
        <v>528000</v>
      </c>
      <c r="P246" s="27">
        <f t="shared" si="8"/>
        <v>132000</v>
      </c>
    </row>
    <row r="247" spans="1:16" x14ac:dyDescent="0.2">
      <c r="A247" s="33">
        <v>45921</v>
      </c>
      <c r="B247" s="30">
        <f t="shared" si="7"/>
        <v>9</v>
      </c>
      <c r="C247" s="30" t="str">
        <f>_xlfn.IFS(Table_13[[#This Row],[Month]]=1,"JAN",Table_13[[#This Row],[Month]]=2,"FEB",B247=3,"MAR",B247=4,"APR",B247=5,"MAY",B247=6,"JUN",B247=7,"JUL",B247=8,"AUG",Table_13[[#This Row],[Month]]=9,"SEPT",B247=10,"OCT",B247=11,"NOV",B247=12,"DEC")</f>
        <v>SEPT</v>
      </c>
      <c r="D247" s="2" t="s">
        <v>18</v>
      </c>
      <c r="E247" s="2" t="s">
        <v>26</v>
      </c>
      <c r="F247" s="2" t="s">
        <v>23</v>
      </c>
      <c r="G247" s="2" t="s">
        <v>20</v>
      </c>
      <c r="H247" s="2" t="s">
        <v>15</v>
      </c>
      <c r="I247" s="2" t="s">
        <v>16</v>
      </c>
      <c r="J247" s="15">
        <v>85000</v>
      </c>
      <c r="K247" s="2">
        <v>6</v>
      </c>
      <c r="L247" s="2" t="s">
        <v>24</v>
      </c>
      <c r="M247" s="12">
        <f t="shared" si="1"/>
        <v>68000</v>
      </c>
      <c r="N247" s="10">
        <f>PRODUCT(Table_13[[#This Row],[Unit Price]],Table_13[[#This Row],[Quantity]])</f>
        <v>510000</v>
      </c>
      <c r="O247" s="16">
        <f>PRODUCT(Table_13[[#This Row],[Cost Price]],Table_13[[#This Row],[Quantity]])</f>
        <v>408000</v>
      </c>
      <c r="P247" s="27">
        <f t="shared" si="8"/>
        <v>102000</v>
      </c>
    </row>
    <row r="248" spans="1:16" x14ac:dyDescent="0.2">
      <c r="A248" s="33">
        <v>45922</v>
      </c>
      <c r="B248" s="30">
        <f t="shared" si="7"/>
        <v>9</v>
      </c>
      <c r="C248" s="30" t="str">
        <f>_xlfn.IFS(Table_13[[#This Row],[Month]]=1,"JAN",Table_13[[#This Row],[Month]]=2,"FEB",B248=3,"MAR",B248=4,"APR",B248=5,"MAY",B248=6,"JUN",B248=7,"JUL",B248=8,"AUG",Table_13[[#This Row],[Month]]=9,"SEPT",B248=10,"OCT",B248=11,"NOV",B248=12,"DEC")</f>
        <v>SEPT</v>
      </c>
      <c r="D248" s="2" t="s">
        <v>29</v>
      </c>
      <c r="E248" s="2" t="s">
        <v>32</v>
      </c>
      <c r="F248" s="2" t="s">
        <v>23</v>
      </c>
      <c r="G248" s="2" t="s">
        <v>14</v>
      </c>
      <c r="H248" s="2" t="s">
        <v>34</v>
      </c>
      <c r="I248" s="2" t="s">
        <v>16</v>
      </c>
      <c r="J248" s="15">
        <v>320000</v>
      </c>
      <c r="K248" s="2">
        <v>10</v>
      </c>
      <c r="L248" s="2" t="s">
        <v>39</v>
      </c>
      <c r="M248" s="12">
        <f t="shared" si="1"/>
        <v>256000</v>
      </c>
      <c r="N248" s="10">
        <f>PRODUCT(Table_13[[#This Row],[Unit Price]],Table_13[[#This Row],[Quantity]])</f>
        <v>3200000</v>
      </c>
      <c r="O248" s="16">
        <f>PRODUCT(Table_13[[#This Row],[Cost Price]],Table_13[[#This Row],[Quantity]])</f>
        <v>2560000</v>
      </c>
      <c r="P248" s="27">
        <f t="shared" si="8"/>
        <v>640000</v>
      </c>
    </row>
    <row r="249" spans="1:16" x14ac:dyDescent="0.2">
      <c r="A249" s="33">
        <v>45923</v>
      </c>
      <c r="B249" s="30">
        <f t="shared" si="7"/>
        <v>9</v>
      </c>
      <c r="C249" s="30" t="str">
        <f>_xlfn.IFS(Table_13[[#This Row],[Month]]=1,"JAN",Table_13[[#This Row],[Month]]=2,"FEB",B249=3,"MAR",B249=4,"APR",B249=5,"MAY",B249=6,"JUN",B249=7,"JUL",B249=8,"AUG",Table_13[[#This Row],[Month]]=9,"SEPT",B249=10,"OCT",B249=11,"NOV",B249=12,"DEC")</f>
        <v>SEPT</v>
      </c>
      <c r="D249" s="2" t="s">
        <v>18</v>
      </c>
      <c r="E249" s="2" t="s">
        <v>12</v>
      </c>
      <c r="F249" s="2" t="s">
        <v>23</v>
      </c>
      <c r="G249" s="2" t="s">
        <v>14</v>
      </c>
      <c r="H249" s="2" t="s">
        <v>30</v>
      </c>
      <c r="I249" s="2" t="s">
        <v>31</v>
      </c>
      <c r="J249" s="15">
        <v>300000</v>
      </c>
      <c r="K249" s="2">
        <v>2</v>
      </c>
      <c r="L249" s="2" t="s">
        <v>24</v>
      </c>
      <c r="M249" s="12">
        <f t="shared" si="1"/>
        <v>240000</v>
      </c>
      <c r="N249" s="10">
        <f>PRODUCT(Table_13[[#This Row],[Unit Price]],Table_13[[#This Row],[Quantity]])</f>
        <v>600000</v>
      </c>
      <c r="O249" s="16">
        <f>PRODUCT(Table_13[[#This Row],[Cost Price]],Table_13[[#This Row],[Quantity]])</f>
        <v>480000</v>
      </c>
      <c r="P249" s="27">
        <f t="shared" si="8"/>
        <v>120000</v>
      </c>
    </row>
    <row r="250" spans="1:16" x14ac:dyDescent="0.2">
      <c r="A250" s="33">
        <v>45924</v>
      </c>
      <c r="B250" s="30">
        <f t="shared" si="7"/>
        <v>9</v>
      </c>
      <c r="C250" s="30" t="str">
        <f>_xlfn.IFS(Table_13[[#This Row],[Month]]=1,"JAN",Table_13[[#This Row],[Month]]=2,"FEB",B250=3,"MAR",B250=4,"APR",B250=5,"MAY",B250=6,"JUN",B250=7,"JUL",B250=8,"AUG",Table_13[[#This Row],[Month]]=9,"SEPT",B250=10,"OCT",B250=11,"NOV",B250=12,"DEC")</f>
        <v>SEPT</v>
      </c>
      <c r="D250" s="2" t="s">
        <v>25</v>
      </c>
      <c r="E250" s="2" t="s">
        <v>12</v>
      </c>
      <c r="F250" s="2" t="s">
        <v>23</v>
      </c>
      <c r="G250" s="2" t="s">
        <v>20</v>
      </c>
      <c r="H250" s="2" t="s">
        <v>21</v>
      </c>
      <c r="I250" s="2" t="s">
        <v>22</v>
      </c>
      <c r="J250" s="15">
        <v>30000</v>
      </c>
      <c r="K250" s="2">
        <v>6</v>
      </c>
      <c r="L250" s="2" t="s">
        <v>39</v>
      </c>
      <c r="M250" s="12">
        <f t="shared" si="1"/>
        <v>24000</v>
      </c>
      <c r="N250" s="10">
        <f>PRODUCT(Table_13[[#This Row],[Unit Price]],Table_13[[#This Row],[Quantity]])</f>
        <v>180000</v>
      </c>
      <c r="O250" s="16">
        <f>PRODUCT(Table_13[[#This Row],[Cost Price]],Table_13[[#This Row],[Quantity]])</f>
        <v>144000</v>
      </c>
      <c r="P250" s="27">
        <f t="shared" si="8"/>
        <v>36000</v>
      </c>
    </row>
    <row r="251" spans="1:16" x14ac:dyDescent="0.2">
      <c r="A251" s="33">
        <v>45925</v>
      </c>
      <c r="B251" s="30">
        <f t="shared" si="7"/>
        <v>9</v>
      </c>
      <c r="C251" s="30" t="str">
        <f>_xlfn.IFS(Table_13[[#This Row],[Month]]=1,"JAN",Table_13[[#This Row],[Month]]=2,"FEB",B251=3,"MAR",B251=4,"APR",B251=5,"MAY",B251=6,"JUN",B251=7,"JUL",B251=8,"AUG",Table_13[[#This Row],[Month]]=9,"SEPT",B251=10,"OCT",B251=11,"NOV",B251=12,"DEC")</f>
        <v>SEPT</v>
      </c>
      <c r="D251" s="2" t="s">
        <v>25</v>
      </c>
      <c r="E251" s="2" t="s">
        <v>12</v>
      </c>
      <c r="F251" s="2" t="s">
        <v>23</v>
      </c>
      <c r="G251" s="2" t="s">
        <v>20</v>
      </c>
      <c r="H251" s="2" t="s">
        <v>27</v>
      </c>
      <c r="I251" s="2" t="s">
        <v>22</v>
      </c>
      <c r="J251" s="15">
        <v>60000</v>
      </c>
      <c r="K251" s="2">
        <v>2</v>
      </c>
      <c r="L251" s="2" t="s">
        <v>28</v>
      </c>
      <c r="M251" s="12">
        <f t="shared" si="1"/>
        <v>48000</v>
      </c>
      <c r="N251" s="10">
        <f>PRODUCT(Table_13[[#This Row],[Unit Price]],Table_13[[#This Row],[Quantity]])</f>
        <v>120000</v>
      </c>
      <c r="O251" s="16">
        <f>PRODUCT(Table_13[[#This Row],[Cost Price]],Table_13[[#This Row],[Quantity]])</f>
        <v>96000</v>
      </c>
      <c r="P251" s="27">
        <f t="shared" si="8"/>
        <v>24000</v>
      </c>
    </row>
    <row r="252" spans="1:16" x14ac:dyDescent="0.2">
      <c r="A252" s="33">
        <v>45926</v>
      </c>
      <c r="B252" s="30">
        <f t="shared" si="7"/>
        <v>9</v>
      </c>
      <c r="C252" s="30" t="str">
        <f>_xlfn.IFS(Table_13[[#This Row],[Month]]=1,"JAN",Table_13[[#This Row],[Month]]=2,"FEB",B252=3,"MAR",B252=4,"APR",B252=5,"MAY",B252=6,"JUN",B252=7,"JUL",B252=8,"AUG",Table_13[[#This Row],[Month]]=9,"SEPT",B252=10,"OCT",B252=11,"NOV",B252=12,"DEC")</f>
        <v>SEPT</v>
      </c>
      <c r="D252" s="2" t="s">
        <v>29</v>
      </c>
      <c r="E252" s="2" t="s">
        <v>26</v>
      </c>
      <c r="F252" s="2" t="s">
        <v>13</v>
      </c>
      <c r="G252" s="2" t="s">
        <v>14</v>
      </c>
      <c r="H252" s="2" t="s">
        <v>41</v>
      </c>
      <c r="I252" s="2" t="s">
        <v>22</v>
      </c>
      <c r="J252" s="15">
        <v>220000</v>
      </c>
      <c r="K252" s="2">
        <v>5</v>
      </c>
      <c r="L252" s="2" t="s">
        <v>17</v>
      </c>
      <c r="M252" s="12">
        <f t="shared" si="1"/>
        <v>176000</v>
      </c>
      <c r="N252" s="10">
        <f>PRODUCT(Table_13[[#This Row],[Unit Price]],Table_13[[#This Row],[Quantity]])</f>
        <v>1100000</v>
      </c>
      <c r="O252" s="16">
        <f>PRODUCT(Table_13[[#This Row],[Cost Price]],Table_13[[#This Row],[Quantity]])</f>
        <v>880000</v>
      </c>
      <c r="P252" s="27">
        <f t="shared" si="8"/>
        <v>220000</v>
      </c>
    </row>
    <row r="253" spans="1:16" x14ac:dyDescent="0.2">
      <c r="A253" s="33">
        <v>45927</v>
      </c>
      <c r="B253" s="30">
        <f t="shared" si="7"/>
        <v>9</v>
      </c>
      <c r="C253" s="30" t="str">
        <f>_xlfn.IFS(Table_13[[#This Row],[Month]]=1,"JAN",Table_13[[#This Row],[Month]]=2,"FEB",B253=3,"MAR",B253=4,"APR",B253=5,"MAY",B253=6,"JUN",B253=7,"JUL",B253=8,"AUG",Table_13[[#This Row],[Month]]=9,"SEPT",B253=10,"OCT",B253=11,"NOV",B253=12,"DEC")</f>
        <v>SEPT</v>
      </c>
      <c r="D253" s="2" t="s">
        <v>11</v>
      </c>
      <c r="E253" s="2" t="s">
        <v>32</v>
      </c>
      <c r="F253" s="2" t="s">
        <v>13</v>
      </c>
      <c r="G253" s="2" t="s">
        <v>20</v>
      </c>
      <c r="H253" s="2" t="s">
        <v>33</v>
      </c>
      <c r="I253" s="2" t="s">
        <v>22</v>
      </c>
      <c r="J253" s="15">
        <v>180000</v>
      </c>
      <c r="K253" s="2">
        <v>6</v>
      </c>
      <c r="L253" s="2" t="s">
        <v>39</v>
      </c>
      <c r="M253" s="12">
        <f t="shared" si="1"/>
        <v>144000</v>
      </c>
      <c r="N253" s="10">
        <f>PRODUCT(Table_13[[#This Row],[Unit Price]],Table_13[[#This Row],[Quantity]])</f>
        <v>1080000</v>
      </c>
      <c r="O253" s="16">
        <f>PRODUCT(Table_13[[#This Row],[Cost Price]],Table_13[[#This Row],[Quantity]])</f>
        <v>864000</v>
      </c>
      <c r="P253" s="27">
        <f t="shared" si="8"/>
        <v>216000</v>
      </c>
    </row>
    <row r="254" spans="1:16" x14ac:dyDescent="0.2">
      <c r="A254" s="33">
        <v>45928</v>
      </c>
      <c r="B254" s="30">
        <f t="shared" si="7"/>
        <v>9</v>
      </c>
      <c r="C254" s="30" t="str">
        <f>_xlfn.IFS(Table_13[[#This Row],[Month]]=1,"JAN",Table_13[[#This Row],[Month]]=2,"FEB",B254=3,"MAR",B254=4,"APR",B254=5,"MAY",B254=6,"JUN",B254=7,"JUL",B254=8,"AUG",Table_13[[#This Row],[Month]]=9,"SEPT",B254=10,"OCT",B254=11,"NOV",B254=12,"DEC")</f>
        <v>SEPT</v>
      </c>
      <c r="D254" s="2" t="s">
        <v>29</v>
      </c>
      <c r="E254" s="2" t="s">
        <v>12</v>
      </c>
      <c r="F254" s="2" t="s">
        <v>13</v>
      </c>
      <c r="G254" s="2" t="s">
        <v>14</v>
      </c>
      <c r="H254" s="2" t="s">
        <v>40</v>
      </c>
      <c r="I254" s="2" t="s">
        <v>31</v>
      </c>
      <c r="J254" s="15">
        <v>250000</v>
      </c>
      <c r="K254" s="2">
        <v>4</v>
      </c>
      <c r="L254" s="2" t="s">
        <v>35</v>
      </c>
      <c r="M254" s="12">
        <f t="shared" si="1"/>
        <v>200000</v>
      </c>
      <c r="N254" s="10">
        <f>PRODUCT(Table_13[[#This Row],[Unit Price]],Table_13[[#This Row],[Quantity]])</f>
        <v>1000000</v>
      </c>
      <c r="O254" s="16">
        <f>PRODUCT(Table_13[[#This Row],[Cost Price]],Table_13[[#This Row],[Quantity]])</f>
        <v>800000</v>
      </c>
      <c r="P254" s="27">
        <f t="shared" si="8"/>
        <v>200000</v>
      </c>
    </row>
    <row r="255" spans="1:16" x14ac:dyDescent="0.2">
      <c r="A255" s="33">
        <v>45929</v>
      </c>
      <c r="B255" s="30">
        <f t="shared" si="7"/>
        <v>9</v>
      </c>
      <c r="C255" s="30" t="str">
        <f>_xlfn.IFS(Table_13[[#This Row],[Month]]=1,"JAN",Table_13[[#This Row],[Month]]=2,"FEB",B255=3,"MAR",B255=4,"APR",B255=5,"MAY",B255=6,"JUN",B255=7,"JUL",B255=8,"AUG",Table_13[[#This Row],[Month]]=9,"SEPT",B255=10,"OCT",B255=11,"NOV",B255=12,"DEC")</f>
        <v>SEPT</v>
      </c>
      <c r="D255" s="2" t="s">
        <v>29</v>
      </c>
      <c r="E255" s="2" t="s">
        <v>26</v>
      </c>
      <c r="F255" s="2" t="s">
        <v>23</v>
      </c>
      <c r="G255" s="2" t="s">
        <v>14</v>
      </c>
      <c r="H255" s="2" t="s">
        <v>15</v>
      </c>
      <c r="I255" s="2" t="s">
        <v>16</v>
      </c>
      <c r="J255" s="15">
        <v>85000</v>
      </c>
      <c r="K255" s="2">
        <v>10</v>
      </c>
      <c r="L255" s="2" t="s">
        <v>24</v>
      </c>
      <c r="M255" s="12">
        <f t="shared" si="1"/>
        <v>68000</v>
      </c>
      <c r="N255" s="10">
        <f>PRODUCT(Table_13[[#This Row],[Unit Price]],Table_13[[#This Row],[Quantity]])</f>
        <v>850000</v>
      </c>
      <c r="O255" s="16">
        <f>PRODUCT(Table_13[[#This Row],[Cost Price]],Table_13[[#This Row],[Quantity]])</f>
        <v>680000</v>
      </c>
      <c r="P255" s="27">
        <f t="shared" si="8"/>
        <v>170000</v>
      </c>
    </row>
    <row r="256" spans="1:16" x14ac:dyDescent="0.2">
      <c r="A256" s="33">
        <v>45930</v>
      </c>
      <c r="B256" s="30">
        <f t="shared" si="7"/>
        <v>9</v>
      </c>
      <c r="C256" s="30" t="str">
        <f>_xlfn.IFS(Table_13[[#This Row],[Month]]=1,"JAN",Table_13[[#This Row],[Month]]=2,"FEB",B256=3,"MAR",B256=4,"APR",B256=5,"MAY",B256=6,"JUN",B256=7,"JUL",B256=8,"AUG",Table_13[[#This Row],[Month]]=9,"SEPT",B256=10,"OCT",B256=11,"NOV",B256=12,"DEC")</f>
        <v>SEPT</v>
      </c>
      <c r="D256" s="2" t="s">
        <v>11</v>
      </c>
      <c r="E256" s="2" t="s">
        <v>19</v>
      </c>
      <c r="F256" s="2" t="s">
        <v>13</v>
      </c>
      <c r="G256" s="2" t="s">
        <v>14</v>
      </c>
      <c r="H256" s="2" t="s">
        <v>30</v>
      </c>
      <c r="I256" s="2" t="s">
        <v>31</v>
      </c>
      <c r="J256" s="15">
        <v>300000</v>
      </c>
      <c r="K256" s="2">
        <v>6</v>
      </c>
      <c r="L256" s="2" t="s">
        <v>24</v>
      </c>
      <c r="M256" s="12">
        <f t="shared" si="1"/>
        <v>240000</v>
      </c>
      <c r="N256" s="10">
        <f>PRODUCT(Table_13[[#This Row],[Unit Price]],Table_13[[#This Row],[Quantity]])</f>
        <v>1800000</v>
      </c>
      <c r="O256" s="16">
        <f>PRODUCT(Table_13[[#This Row],[Cost Price]],Table_13[[#This Row],[Quantity]])</f>
        <v>1440000</v>
      </c>
      <c r="P256" s="27">
        <f t="shared" si="8"/>
        <v>360000</v>
      </c>
    </row>
    <row r="257" spans="1:16" x14ac:dyDescent="0.2">
      <c r="A257" s="33">
        <v>45931</v>
      </c>
      <c r="B257" s="30">
        <f t="shared" si="7"/>
        <v>10</v>
      </c>
      <c r="C257" s="30" t="str">
        <f>_xlfn.IFS(Table_13[[#This Row],[Month]]=1,"JAN",Table_13[[#This Row],[Month]]=2,"FEB",B257=3,"MAR",B257=4,"APR",B257=5,"MAY",B257=6,"JUN",B257=7,"JUL",B257=8,"AUG",Table_13[[#This Row],[Month]]=9,"SEPT",B257=10,"OCT",B257=11,"NOV",B257=12,"DEC")</f>
        <v>OCT</v>
      </c>
      <c r="D257" s="2" t="s">
        <v>29</v>
      </c>
      <c r="E257" s="2" t="s">
        <v>19</v>
      </c>
      <c r="F257" s="2" t="s">
        <v>23</v>
      </c>
      <c r="G257" s="2" t="s">
        <v>20</v>
      </c>
      <c r="H257" s="2" t="s">
        <v>41</v>
      </c>
      <c r="I257" s="2" t="s">
        <v>22</v>
      </c>
      <c r="J257" s="15">
        <v>220000</v>
      </c>
      <c r="K257" s="2">
        <v>3</v>
      </c>
      <c r="L257" s="2" t="s">
        <v>17</v>
      </c>
      <c r="M257" s="12">
        <f t="shared" ref="M257:M511" si="9">J257-J257*0.2</f>
        <v>176000</v>
      </c>
      <c r="N257" s="10">
        <f>PRODUCT(Table_13[[#This Row],[Unit Price]],Table_13[[#This Row],[Quantity]])</f>
        <v>660000</v>
      </c>
      <c r="O257" s="16">
        <f>PRODUCT(Table_13[[#This Row],[Cost Price]],Table_13[[#This Row],[Quantity]])</f>
        <v>528000</v>
      </c>
      <c r="P257" s="27">
        <f t="shared" si="8"/>
        <v>132000</v>
      </c>
    </row>
    <row r="258" spans="1:16" x14ac:dyDescent="0.2">
      <c r="A258" s="33">
        <v>45932</v>
      </c>
      <c r="B258" s="30">
        <f t="shared" ref="B258:B321" si="10">MONTH(A258)</f>
        <v>10</v>
      </c>
      <c r="C258" s="30" t="str">
        <f>_xlfn.IFS(Table_13[[#This Row],[Month]]=1,"JAN",Table_13[[#This Row],[Month]]=2,"FEB",B258=3,"MAR",B258=4,"APR",B258=5,"MAY",B258=6,"JUN",B258=7,"JUL",B258=8,"AUG",Table_13[[#This Row],[Month]]=9,"SEPT",B258=10,"OCT",B258=11,"NOV",B258=12,"DEC")</f>
        <v>OCT</v>
      </c>
      <c r="D258" s="2" t="s">
        <v>29</v>
      </c>
      <c r="E258" s="2" t="s">
        <v>26</v>
      </c>
      <c r="F258" s="2" t="s">
        <v>13</v>
      </c>
      <c r="G258" s="2" t="s">
        <v>20</v>
      </c>
      <c r="H258" s="2" t="s">
        <v>21</v>
      </c>
      <c r="I258" s="2" t="s">
        <v>22</v>
      </c>
      <c r="J258" s="15">
        <v>30000</v>
      </c>
      <c r="K258" s="2">
        <v>8</v>
      </c>
      <c r="L258" s="2" t="s">
        <v>39</v>
      </c>
      <c r="M258" s="12">
        <f t="shared" si="9"/>
        <v>24000</v>
      </c>
      <c r="N258" s="10">
        <f>PRODUCT(Table_13[[#This Row],[Unit Price]],Table_13[[#This Row],[Quantity]])</f>
        <v>240000</v>
      </c>
      <c r="O258" s="16">
        <f>PRODUCT(Table_13[[#This Row],[Cost Price]],Table_13[[#This Row],[Quantity]])</f>
        <v>192000</v>
      </c>
      <c r="P258" s="27">
        <f t="shared" ref="P258:P321" si="11">N258-O258</f>
        <v>48000</v>
      </c>
    </row>
    <row r="259" spans="1:16" x14ac:dyDescent="0.2">
      <c r="A259" s="33">
        <v>45933</v>
      </c>
      <c r="B259" s="30">
        <f t="shared" si="10"/>
        <v>10</v>
      </c>
      <c r="C259" s="30" t="str">
        <f>_xlfn.IFS(Table_13[[#This Row],[Month]]=1,"JAN",Table_13[[#This Row],[Month]]=2,"FEB",B259=3,"MAR",B259=4,"APR",B259=5,"MAY",B259=6,"JUN",B259=7,"JUL",B259=8,"AUG",Table_13[[#This Row],[Month]]=9,"SEPT",B259=10,"OCT",B259=11,"NOV",B259=12,"DEC")</f>
        <v>OCT</v>
      </c>
      <c r="D259" s="2" t="s">
        <v>29</v>
      </c>
      <c r="E259" s="2" t="s">
        <v>12</v>
      </c>
      <c r="F259" s="2" t="s">
        <v>23</v>
      </c>
      <c r="G259" s="2" t="s">
        <v>14</v>
      </c>
      <c r="H259" s="2" t="s">
        <v>15</v>
      </c>
      <c r="I259" s="2" t="s">
        <v>16</v>
      </c>
      <c r="J259" s="15">
        <v>85000</v>
      </c>
      <c r="K259" s="2">
        <v>2</v>
      </c>
      <c r="L259" s="2" t="s">
        <v>17</v>
      </c>
      <c r="M259" s="12">
        <f t="shared" si="9"/>
        <v>68000</v>
      </c>
      <c r="N259" s="10">
        <f>PRODUCT(Table_13[[#This Row],[Unit Price]],Table_13[[#This Row],[Quantity]])</f>
        <v>170000</v>
      </c>
      <c r="O259" s="16">
        <f>PRODUCT(Table_13[[#This Row],[Cost Price]],Table_13[[#This Row],[Quantity]])</f>
        <v>136000</v>
      </c>
      <c r="P259" s="27">
        <f t="shared" si="11"/>
        <v>34000</v>
      </c>
    </row>
    <row r="260" spans="1:16" x14ac:dyDescent="0.2">
      <c r="A260" s="33">
        <v>45934</v>
      </c>
      <c r="B260" s="30">
        <f t="shared" si="10"/>
        <v>10</v>
      </c>
      <c r="C260" s="30" t="str">
        <f>_xlfn.IFS(Table_13[[#This Row],[Month]]=1,"JAN",Table_13[[#This Row],[Month]]=2,"FEB",B260=3,"MAR",B260=4,"APR",B260=5,"MAY",B260=6,"JUN",B260=7,"JUL",B260=8,"AUG",Table_13[[#This Row],[Month]]=9,"SEPT",B260=10,"OCT",B260=11,"NOV",B260=12,"DEC")</f>
        <v>OCT</v>
      </c>
      <c r="D260" s="2" t="s">
        <v>25</v>
      </c>
      <c r="E260" s="2" t="s">
        <v>32</v>
      </c>
      <c r="F260" s="2" t="s">
        <v>13</v>
      </c>
      <c r="G260" s="2" t="s">
        <v>20</v>
      </c>
      <c r="H260" s="2" t="s">
        <v>36</v>
      </c>
      <c r="I260" s="2" t="s">
        <v>31</v>
      </c>
      <c r="J260" s="15">
        <v>150000</v>
      </c>
      <c r="K260" s="2">
        <v>3</v>
      </c>
      <c r="L260" s="2" t="s">
        <v>35</v>
      </c>
      <c r="M260" s="12">
        <f t="shared" si="9"/>
        <v>120000</v>
      </c>
      <c r="N260" s="10">
        <f>PRODUCT(Table_13[[#This Row],[Unit Price]],Table_13[[#This Row],[Quantity]])</f>
        <v>450000</v>
      </c>
      <c r="O260" s="16">
        <f>PRODUCT(Table_13[[#This Row],[Cost Price]],Table_13[[#This Row],[Quantity]])</f>
        <v>360000</v>
      </c>
      <c r="P260" s="27">
        <f t="shared" si="11"/>
        <v>90000</v>
      </c>
    </row>
    <row r="261" spans="1:16" x14ac:dyDescent="0.2">
      <c r="A261" s="33">
        <v>45935</v>
      </c>
      <c r="B261" s="30">
        <f t="shared" si="10"/>
        <v>10</v>
      </c>
      <c r="C261" s="30" t="str">
        <f>_xlfn.IFS(Table_13[[#This Row],[Month]]=1,"JAN",Table_13[[#This Row],[Month]]=2,"FEB",B261=3,"MAR",B261=4,"APR",B261=5,"MAY",B261=6,"JUN",B261=7,"JUL",B261=8,"AUG",Table_13[[#This Row],[Month]]=9,"SEPT",B261=10,"OCT",B261=11,"NOV",B261=12,"DEC")</f>
        <v>OCT</v>
      </c>
      <c r="D261" s="2" t="s">
        <v>18</v>
      </c>
      <c r="E261" s="2" t="s">
        <v>32</v>
      </c>
      <c r="F261" s="2" t="s">
        <v>13</v>
      </c>
      <c r="G261" s="2" t="s">
        <v>20</v>
      </c>
      <c r="H261" s="2" t="s">
        <v>15</v>
      </c>
      <c r="I261" s="2" t="s">
        <v>16</v>
      </c>
      <c r="J261" s="15">
        <v>85000</v>
      </c>
      <c r="K261" s="2">
        <v>1</v>
      </c>
      <c r="L261" s="2" t="s">
        <v>37</v>
      </c>
      <c r="M261" s="12">
        <f t="shared" si="9"/>
        <v>68000</v>
      </c>
      <c r="N261" s="10">
        <f>PRODUCT(Table_13[[#This Row],[Unit Price]],Table_13[[#This Row],[Quantity]])</f>
        <v>85000</v>
      </c>
      <c r="O261" s="16">
        <f>PRODUCT(Table_13[[#This Row],[Cost Price]],Table_13[[#This Row],[Quantity]])</f>
        <v>68000</v>
      </c>
      <c r="P261" s="27">
        <f t="shared" si="11"/>
        <v>17000</v>
      </c>
    </row>
    <row r="262" spans="1:16" x14ac:dyDescent="0.2">
      <c r="A262" s="33">
        <v>45936</v>
      </c>
      <c r="B262" s="30">
        <f t="shared" si="10"/>
        <v>10</v>
      </c>
      <c r="C262" s="30" t="str">
        <f>_xlfn.IFS(Table_13[[#This Row],[Month]]=1,"JAN",Table_13[[#This Row],[Month]]=2,"FEB",B262=3,"MAR",B262=4,"APR",B262=5,"MAY",B262=6,"JUN",B262=7,"JUL",B262=8,"AUG",Table_13[[#This Row],[Month]]=9,"SEPT",B262=10,"OCT",B262=11,"NOV",B262=12,"DEC")</f>
        <v>OCT</v>
      </c>
      <c r="D262" s="2" t="s">
        <v>25</v>
      </c>
      <c r="E262" s="2" t="s">
        <v>12</v>
      </c>
      <c r="F262" s="2" t="s">
        <v>23</v>
      </c>
      <c r="G262" s="2" t="s">
        <v>20</v>
      </c>
      <c r="H262" s="2" t="s">
        <v>40</v>
      </c>
      <c r="I262" s="2" t="s">
        <v>31</v>
      </c>
      <c r="J262" s="15">
        <v>250000</v>
      </c>
      <c r="K262" s="2">
        <v>3</v>
      </c>
      <c r="L262" s="2" t="s">
        <v>39</v>
      </c>
      <c r="M262" s="12">
        <f t="shared" si="9"/>
        <v>200000</v>
      </c>
      <c r="N262" s="10">
        <f>PRODUCT(Table_13[[#This Row],[Unit Price]],Table_13[[#This Row],[Quantity]])</f>
        <v>750000</v>
      </c>
      <c r="O262" s="16">
        <f>PRODUCT(Table_13[[#This Row],[Cost Price]],Table_13[[#This Row],[Quantity]])</f>
        <v>600000</v>
      </c>
      <c r="P262" s="27">
        <f t="shared" si="11"/>
        <v>150000</v>
      </c>
    </row>
    <row r="263" spans="1:16" x14ac:dyDescent="0.2">
      <c r="A263" s="33">
        <v>45937</v>
      </c>
      <c r="B263" s="30">
        <f t="shared" si="10"/>
        <v>10</v>
      </c>
      <c r="C263" s="30" t="str">
        <f>_xlfn.IFS(Table_13[[#This Row],[Month]]=1,"JAN",Table_13[[#This Row],[Month]]=2,"FEB",B263=3,"MAR",B263=4,"APR",B263=5,"MAY",B263=6,"JUN",B263=7,"JUL",B263=8,"AUG",Table_13[[#This Row],[Month]]=9,"SEPT",B263=10,"OCT",B263=11,"NOV",B263=12,"DEC")</f>
        <v>OCT</v>
      </c>
      <c r="D263" s="2" t="s">
        <v>18</v>
      </c>
      <c r="E263" s="2" t="s">
        <v>12</v>
      </c>
      <c r="F263" s="2" t="s">
        <v>23</v>
      </c>
      <c r="G263" s="2" t="s">
        <v>20</v>
      </c>
      <c r="H263" s="2" t="s">
        <v>38</v>
      </c>
      <c r="I263" s="2" t="s">
        <v>31</v>
      </c>
      <c r="J263" s="15">
        <v>420000</v>
      </c>
      <c r="K263" s="2">
        <v>2</v>
      </c>
      <c r="L263" s="2" t="s">
        <v>17</v>
      </c>
      <c r="M263" s="12">
        <f t="shared" si="9"/>
        <v>336000</v>
      </c>
      <c r="N263" s="10">
        <f>PRODUCT(Table_13[[#This Row],[Unit Price]],Table_13[[#This Row],[Quantity]])</f>
        <v>840000</v>
      </c>
      <c r="O263" s="16">
        <f>PRODUCT(Table_13[[#This Row],[Cost Price]],Table_13[[#This Row],[Quantity]])</f>
        <v>672000</v>
      </c>
      <c r="P263" s="27">
        <f t="shared" si="11"/>
        <v>168000</v>
      </c>
    </row>
    <row r="264" spans="1:16" x14ac:dyDescent="0.2">
      <c r="A264" s="33">
        <v>45938</v>
      </c>
      <c r="B264" s="30">
        <f t="shared" si="10"/>
        <v>10</v>
      </c>
      <c r="C264" s="30" t="str">
        <f>_xlfn.IFS(Table_13[[#This Row],[Month]]=1,"JAN",Table_13[[#This Row],[Month]]=2,"FEB",B264=3,"MAR",B264=4,"APR",B264=5,"MAY",B264=6,"JUN",B264=7,"JUL",B264=8,"AUG",Table_13[[#This Row],[Month]]=9,"SEPT",B264=10,"OCT",B264=11,"NOV",B264=12,"DEC")</f>
        <v>OCT</v>
      </c>
      <c r="D264" s="2" t="s">
        <v>11</v>
      </c>
      <c r="E264" s="2" t="s">
        <v>26</v>
      </c>
      <c r="F264" s="2" t="s">
        <v>13</v>
      </c>
      <c r="G264" s="2" t="s">
        <v>14</v>
      </c>
      <c r="H264" s="2" t="s">
        <v>36</v>
      </c>
      <c r="I264" s="2" t="s">
        <v>31</v>
      </c>
      <c r="J264" s="15">
        <v>150000</v>
      </c>
      <c r="K264" s="2">
        <v>9</v>
      </c>
      <c r="L264" s="2" t="s">
        <v>28</v>
      </c>
      <c r="M264" s="12">
        <f t="shared" si="9"/>
        <v>120000</v>
      </c>
      <c r="N264" s="10">
        <f>PRODUCT(Table_13[[#This Row],[Unit Price]],Table_13[[#This Row],[Quantity]])</f>
        <v>1350000</v>
      </c>
      <c r="O264" s="16">
        <f>PRODUCT(Table_13[[#This Row],[Cost Price]],Table_13[[#This Row],[Quantity]])</f>
        <v>1080000</v>
      </c>
      <c r="P264" s="27">
        <f t="shared" si="11"/>
        <v>270000</v>
      </c>
    </row>
    <row r="265" spans="1:16" x14ac:dyDescent="0.2">
      <c r="A265" s="33">
        <v>45939</v>
      </c>
      <c r="B265" s="30">
        <f t="shared" si="10"/>
        <v>10</v>
      </c>
      <c r="C265" s="30" t="str">
        <f>_xlfn.IFS(Table_13[[#This Row],[Month]]=1,"JAN",Table_13[[#This Row],[Month]]=2,"FEB",B265=3,"MAR",B265=4,"APR",B265=5,"MAY",B265=6,"JUN",B265=7,"JUL",B265=8,"AUG",Table_13[[#This Row],[Month]]=9,"SEPT",B265=10,"OCT",B265=11,"NOV",B265=12,"DEC")</f>
        <v>OCT</v>
      </c>
      <c r="D265" s="2" t="s">
        <v>29</v>
      </c>
      <c r="E265" s="2" t="s">
        <v>32</v>
      </c>
      <c r="F265" s="2" t="s">
        <v>13</v>
      </c>
      <c r="G265" s="2" t="s">
        <v>20</v>
      </c>
      <c r="H265" s="2" t="s">
        <v>21</v>
      </c>
      <c r="I265" s="2" t="s">
        <v>22</v>
      </c>
      <c r="J265" s="15">
        <v>30000</v>
      </c>
      <c r="K265" s="2">
        <v>9</v>
      </c>
      <c r="L265" s="2" t="s">
        <v>24</v>
      </c>
      <c r="M265" s="12">
        <f t="shared" si="9"/>
        <v>24000</v>
      </c>
      <c r="N265" s="10">
        <f>PRODUCT(Table_13[[#This Row],[Unit Price]],Table_13[[#This Row],[Quantity]])</f>
        <v>270000</v>
      </c>
      <c r="O265" s="16">
        <f>PRODUCT(Table_13[[#This Row],[Cost Price]],Table_13[[#This Row],[Quantity]])</f>
        <v>216000</v>
      </c>
      <c r="P265" s="27">
        <f t="shared" si="11"/>
        <v>54000</v>
      </c>
    </row>
    <row r="266" spans="1:16" x14ac:dyDescent="0.2">
      <c r="A266" s="33">
        <v>45940</v>
      </c>
      <c r="B266" s="30">
        <f t="shared" si="10"/>
        <v>10</v>
      </c>
      <c r="C266" s="30" t="str">
        <f>_xlfn.IFS(Table_13[[#This Row],[Month]]=1,"JAN",Table_13[[#This Row],[Month]]=2,"FEB",B266=3,"MAR",B266=4,"APR",B266=5,"MAY",B266=6,"JUN",B266=7,"JUL",B266=8,"AUG",Table_13[[#This Row],[Month]]=9,"SEPT",B266=10,"OCT",B266=11,"NOV",B266=12,"DEC")</f>
        <v>OCT</v>
      </c>
      <c r="D266" s="2" t="s">
        <v>18</v>
      </c>
      <c r="E266" s="2" t="s">
        <v>19</v>
      </c>
      <c r="F266" s="2" t="s">
        <v>23</v>
      </c>
      <c r="G266" s="2" t="s">
        <v>20</v>
      </c>
      <c r="H266" s="2" t="s">
        <v>41</v>
      </c>
      <c r="I266" s="2" t="s">
        <v>22</v>
      </c>
      <c r="J266" s="15">
        <v>220000</v>
      </c>
      <c r="K266" s="2">
        <v>6</v>
      </c>
      <c r="L266" s="2" t="s">
        <v>39</v>
      </c>
      <c r="M266" s="12">
        <f t="shared" si="9"/>
        <v>176000</v>
      </c>
      <c r="N266" s="10">
        <f>PRODUCT(Table_13[[#This Row],[Unit Price]],Table_13[[#This Row],[Quantity]])</f>
        <v>1320000</v>
      </c>
      <c r="O266" s="16">
        <f>PRODUCT(Table_13[[#This Row],[Cost Price]],Table_13[[#This Row],[Quantity]])</f>
        <v>1056000</v>
      </c>
      <c r="P266" s="27">
        <f t="shared" si="11"/>
        <v>264000</v>
      </c>
    </row>
    <row r="267" spans="1:16" x14ac:dyDescent="0.2">
      <c r="A267" s="33">
        <v>45941</v>
      </c>
      <c r="B267" s="30">
        <f t="shared" si="10"/>
        <v>10</v>
      </c>
      <c r="C267" s="30" t="str">
        <f>_xlfn.IFS(Table_13[[#This Row],[Month]]=1,"JAN",Table_13[[#This Row],[Month]]=2,"FEB",B267=3,"MAR",B267=4,"APR",B267=5,"MAY",B267=6,"JUN",B267=7,"JUL",B267=8,"AUG",Table_13[[#This Row],[Month]]=9,"SEPT",B267=10,"OCT",B267=11,"NOV",B267=12,"DEC")</f>
        <v>OCT</v>
      </c>
      <c r="D267" s="2" t="s">
        <v>29</v>
      </c>
      <c r="E267" s="2" t="s">
        <v>26</v>
      </c>
      <c r="F267" s="2" t="s">
        <v>23</v>
      </c>
      <c r="G267" s="2" t="s">
        <v>20</v>
      </c>
      <c r="H267" s="2" t="s">
        <v>21</v>
      </c>
      <c r="I267" s="2" t="s">
        <v>22</v>
      </c>
      <c r="J267" s="15">
        <v>30000</v>
      </c>
      <c r="K267" s="2">
        <v>3</v>
      </c>
      <c r="L267" s="2" t="s">
        <v>39</v>
      </c>
      <c r="M267" s="12">
        <f t="shared" si="9"/>
        <v>24000</v>
      </c>
      <c r="N267" s="10">
        <f>PRODUCT(Table_13[[#This Row],[Unit Price]],Table_13[[#This Row],[Quantity]])</f>
        <v>90000</v>
      </c>
      <c r="O267" s="16">
        <f>PRODUCT(Table_13[[#This Row],[Cost Price]],Table_13[[#This Row],[Quantity]])</f>
        <v>72000</v>
      </c>
      <c r="P267" s="27">
        <f t="shared" si="11"/>
        <v>18000</v>
      </c>
    </row>
    <row r="268" spans="1:16" x14ac:dyDescent="0.2">
      <c r="A268" s="33">
        <v>45942</v>
      </c>
      <c r="B268" s="30">
        <f t="shared" si="10"/>
        <v>10</v>
      </c>
      <c r="C268" s="30" t="str">
        <f>_xlfn.IFS(Table_13[[#This Row],[Month]]=1,"JAN",Table_13[[#This Row],[Month]]=2,"FEB",B268=3,"MAR",B268=4,"APR",B268=5,"MAY",B268=6,"JUN",B268=7,"JUL",B268=8,"AUG",Table_13[[#This Row],[Month]]=9,"SEPT",B268=10,"OCT",B268=11,"NOV",B268=12,"DEC")</f>
        <v>OCT</v>
      </c>
      <c r="D268" s="2" t="s">
        <v>11</v>
      </c>
      <c r="E268" s="2" t="s">
        <v>26</v>
      </c>
      <c r="F268" s="2" t="s">
        <v>13</v>
      </c>
      <c r="G268" s="2" t="s">
        <v>14</v>
      </c>
      <c r="H268" s="2" t="s">
        <v>38</v>
      </c>
      <c r="I268" s="2" t="s">
        <v>31</v>
      </c>
      <c r="J268" s="15">
        <v>420000</v>
      </c>
      <c r="K268" s="2">
        <v>10</v>
      </c>
      <c r="L268" s="2" t="s">
        <v>24</v>
      </c>
      <c r="M268" s="12">
        <f t="shared" si="9"/>
        <v>336000</v>
      </c>
      <c r="N268" s="10">
        <f>PRODUCT(Table_13[[#This Row],[Unit Price]],Table_13[[#This Row],[Quantity]])</f>
        <v>4200000</v>
      </c>
      <c r="O268" s="16">
        <f>PRODUCT(Table_13[[#This Row],[Cost Price]],Table_13[[#This Row],[Quantity]])</f>
        <v>3360000</v>
      </c>
      <c r="P268" s="27">
        <f t="shared" si="11"/>
        <v>840000</v>
      </c>
    </row>
    <row r="269" spans="1:16" x14ac:dyDescent="0.2">
      <c r="A269" s="33">
        <v>45943</v>
      </c>
      <c r="B269" s="30">
        <f t="shared" si="10"/>
        <v>10</v>
      </c>
      <c r="C269" s="30" t="str">
        <f>_xlfn.IFS(Table_13[[#This Row],[Month]]=1,"JAN",Table_13[[#This Row],[Month]]=2,"FEB",B269=3,"MAR",B269=4,"APR",B269=5,"MAY",B269=6,"JUN",B269=7,"JUL",B269=8,"AUG",Table_13[[#This Row],[Month]]=9,"SEPT",B269=10,"OCT",B269=11,"NOV",B269=12,"DEC")</f>
        <v>OCT</v>
      </c>
      <c r="D269" s="2" t="s">
        <v>29</v>
      </c>
      <c r="E269" s="2" t="s">
        <v>32</v>
      </c>
      <c r="F269" s="2" t="s">
        <v>23</v>
      </c>
      <c r="G269" s="2" t="s">
        <v>14</v>
      </c>
      <c r="H269" s="2" t="s">
        <v>21</v>
      </c>
      <c r="I269" s="2" t="s">
        <v>22</v>
      </c>
      <c r="J269" s="15">
        <v>30000</v>
      </c>
      <c r="K269" s="2">
        <v>2</v>
      </c>
      <c r="L269" s="2" t="s">
        <v>37</v>
      </c>
      <c r="M269" s="12">
        <f t="shared" si="9"/>
        <v>24000</v>
      </c>
      <c r="N269" s="10">
        <f>PRODUCT(Table_13[[#This Row],[Unit Price]],Table_13[[#This Row],[Quantity]])</f>
        <v>60000</v>
      </c>
      <c r="O269" s="16">
        <f>PRODUCT(Table_13[[#This Row],[Cost Price]],Table_13[[#This Row],[Quantity]])</f>
        <v>48000</v>
      </c>
      <c r="P269" s="27">
        <f t="shared" si="11"/>
        <v>12000</v>
      </c>
    </row>
    <row r="270" spans="1:16" x14ac:dyDescent="0.2">
      <c r="A270" s="33">
        <v>45944</v>
      </c>
      <c r="B270" s="30">
        <f t="shared" si="10"/>
        <v>10</v>
      </c>
      <c r="C270" s="30" t="str">
        <f>_xlfn.IFS(Table_13[[#This Row],[Month]]=1,"JAN",Table_13[[#This Row],[Month]]=2,"FEB",B270=3,"MAR",B270=4,"APR",B270=5,"MAY",B270=6,"JUN",B270=7,"JUL",B270=8,"AUG",Table_13[[#This Row],[Month]]=9,"SEPT",B270=10,"OCT",B270=11,"NOV",B270=12,"DEC")</f>
        <v>OCT</v>
      </c>
      <c r="D270" s="2" t="s">
        <v>18</v>
      </c>
      <c r="E270" s="2" t="s">
        <v>12</v>
      </c>
      <c r="F270" s="2" t="s">
        <v>23</v>
      </c>
      <c r="G270" s="2" t="s">
        <v>20</v>
      </c>
      <c r="H270" s="2" t="s">
        <v>36</v>
      </c>
      <c r="I270" s="2" t="s">
        <v>31</v>
      </c>
      <c r="J270" s="15">
        <v>150000</v>
      </c>
      <c r="K270" s="2">
        <v>5</v>
      </c>
      <c r="L270" s="2" t="s">
        <v>24</v>
      </c>
      <c r="M270" s="12">
        <f t="shared" si="9"/>
        <v>120000</v>
      </c>
      <c r="N270" s="10">
        <f>PRODUCT(Table_13[[#This Row],[Unit Price]],Table_13[[#This Row],[Quantity]])</f>
        <v>750000</v>
      </c>
      <c r="O270" s="16">
        <f>PRODUCT(Table_13[[#This Row],[Cost Price]],Table_13[[#This Row],[Quantity]])</f>
        <v>600000</v>
      </c>
      <c r="P270" s="27">
        <f t="shared" si="11"/>
        <v>150000</v>
      </c>
    </row>
    <row r="271" spans="1:16" x14ac:dyDescent="0.2">
      <c r="A271" s="33">
        <v>45945</v>
      </c>
      <c r="B271" s="30">
        <f t="shared" si="10"/>
        <v>10</v>
      </c>
      <c r="C271" s="30" t="str">
        <f>_xlfn.IFS(Table_13[[#This Row],[Month]]=1,"JAN",Table_13[[#This Row],[Month]]=2,"FEB",B271=3,"MAR",B271=4,"APR",B271=5,"MAY",B271=6,"JUN",B271=7,"JUL",B271=8,"AUG",Table_13[[#This Row],[Month]]=9,"SEPT",B271=10,"OCT",B271=11,"NOV",B271=12,"DEC")</f>
        <v>OCT</v>
      </c>
      <c r="D271" s="2" t="s">
        <v>25</v>
      </c>
      <c r="E271" s="2" t="s">
        <v>32</v>
      </c>
      <c r="F271" s="2" t="s">
        <v>13</v>
      </c>
      <c r="G271" s="2" t="s">
        <v>20</v>
      </c>
      <c r="H271" s="2" t="s">
        <v>36</v>
      </c>
      <c r="I271" s="2" t="s">
        <v>31</v>
      </c>
      <c r="J271" s="15">
        <v>150000</v>
      </c>
      <c r="K271" s="2">
        <v>10</v>
      </c>
      <c r="L271" s="2" t="s">
        <v>37</v>
      </c>
      <c r="M271" s="12">
        <f t="shared" si="9"/>
        <v>120000</v>
      </c>
      <c r="N271" s="10">
        <f>PRODUCT(Table_13[[#This Row],[Unit Price]],Table_13[[#This Row],[Quantity]])</f>
        <v>1500000</v>
      </c>
      <c r="O271" s="16">
        <f>PRODUCT(Table_13[[#This Row],[Cost Price]],Table_13[[#This Row],[Quantity]])</f>
        <v>1200000</v>
      </c>
      <c r="P271" s="27">
        <f t="shared" si="11"/>
        <v>300000</v>
      </c>
    </row>
    <row r="272" spans="1:16" x14ac:dyDescent="0.2">
      <c r="A272" s="33">
        <v>45946</v>
      </c>
      <c r="B272" s="30">
        <f t="shared" si="10"/>
        <v>10</v>
      </c>
      <c r="C272" s="30" t="str">
        <f>_xlfn.IFS(Table_13[[#This Row],[Month]]=1,"JAN",Table_13[[#This Row],[Month]]=2,"FEB",B272=3,"MAR",B272=4,"APR",B272=5,"MAY",B272=6,"JUN",B272=7,"JUL",B272=8,"AUG",Table_13[[#This Row],[Month]]=9,"SEPT",B272=10,"OCT",B272=11,"NOV",B272=12,"DEC")</f>
        <v>OCT</v>
      </c>
      <c r="D272" s="2" t="s">
        <v>11</v>
      </c>
      <c r="E272" s="2" t="s">
        <v>32</v>
      </c>
      <c r="F272" s="2" t="s">
        <v>23</v>
      </c>
      <c r="G272" s="2" t="s">
        <v>14</v>
      </c>
      <c r="H272" s="2" t="s">
        <v>33</v>
      </c>
      <c r="I272" s="2" t="s">
        <v>22</v>
      </c>
      <c r="J272" s="15">
        <v>180000</v>
      </c>
      <c r="K272" s="2">
        <v>3</v>
      </c>
      <c r="L272" s="2" t="s">
        <v>24</v>
      </c>
      <c r="M272" s="12">
        <f t="shared" si="9"/>
        <v>144000</v>
      </c>
      <c r="N272" s="10">
        <f>PRODUCT(Table_13[[#This Row],[Unit Price]],Table_13[[#This Row],[Quantity]])</f>
        <v>540000</v>
      </c>
      <c r="O272" s="16">
        <f>PRODUCT(Table_13[[#This Row],[Cost Price]],Table_13[[#This Row],[Quantity]])</f>
        <v>432000</v>
      </c>
      <c r="P272" s="27">
        <f t="shared" si="11"/>
        <v>108000</v>
      </c>
    </row>
    <row r="273" spans="1:16" x14ac:dyDescent="0.2">
      <c r="A273" s="33">
        <v>45947</v>
      </c>
      <c r="B273" s="30">
        <f t="shared" si="10"/>
        <v>10</v>
      </c>
      <c r="C273" s="30" t="str">
        <f>_xlfn.IFS(Table_13[[#This Row],[Month]]=1,"JAN",Table_13[[#This Row],[Month]]=2,"FEB",B273=3,"MAR",B273=4,"APR",B273=5,"MAY",B273=6,"JUN",B273=7,"JUL",B273=8,"AUG",Table_13[[#This Row],[Month]]=9,"SEPT",B273=10,"OCT",B273=11,"NOV",B273=12,"DEC")</f>
        <v>OCT</v>
      </c>
      <c r="D273" s="2" t="s">
        <v>18</v>
      </c>
      <c r="E273" s="2" t="s">
        <v>26</v>
      </c>
      <c r="F273" s="2" t="s">
        <v>23</v>
      </c>
      <c r="G273" s="2" t="s">
        <v>14</v>
      </c>
      <c r="H273" s="2" t="s">
        <v>21</v>
      </c>
      <c r="I273" s="2" t="s">
        <v>22</v>
      </c>
      <c r="J273" s="15">
        <v>30000</v>
      </c>
      <c r="K273" s="2">
        <v>10</v>
      </c>
      <c r="L273" s="2" t="s">
        <v>28</v>
      </c>
      <c r="M273" s="12">
        <f t="shared" si="9"/>
        <v>24000</v>
      </c>
      <c r="N273" s="10">
        <f>PRODUCT(Table_13[[#This Row],[Unit Price]],Table_13[[#This Row],[Quantity]])</f>
        <v>300000</v>
      </c>
      <c r="O273" s="16">
        <f>PRODUCT(Table_13[[#This Row],[Cost Price]],Table_13[[#This Row],[Quantity]])</f>
        <v>240000</v>
      </c>
      <c r="P273" s="27">
        <f t="shared" si="11"/>
        <v>60000</v>
      </c>
    </row>
    <row r="274" spans="1:16" x14ac:dyDescent="0.2">
      <c r="A274" s="33">
        <v>45948</v>
      </c>
      <c r="B274" s="30">
        <f t="shared" si="10"/>
        <v>10</v>
      </c>
      <c r="C274" s="30" t="str">
        <f>_xlfn.IFS(Table_13[[#This Row],[Month]]=1,"JAN",Table_13[[#This Row],[Month]]=2,"FEB",B274=3,"MAR",B274=4,"APR",B274=5,"MAY",B274=6,"JUN",B274=7,"JUL",B274=8,"AUG",Table_13[[#This Row],[Month]]=9,"SEPT",B274=10,"OCT",B274=11,"NOV",B274=12,"DEC")</f>
        <v>OCT</v>
      </c>
      <c r="D274" s="2" t="s">
        <v>18</v>
      </c>
      <c r="E274" s="2" t="s">
        <v>12</v>
      </c>
      <c r="F274" s="2" t="s">
        <v>13</v>
      </c>
      <c r="G274" s="2" t="s">
        <v>14</v>
      </c>
      <c r="H274" s="2" t="s">
        <v>38</v>
      </c>
      <c r="I274" s="2" t="s">
        <v>31</v>
      </c>
      <c r="J274" s="15">
        <v>420000</v>
      </c>
      <c r="K274" s="2">
        <v>2</v>
      </c>
      <c r="L274" s="2" t="s">
        <v>28</v>
      </c>
      <c r="M274" s="12">
        <f t="shared" si="9"/>
        <v>336000</v>
      </c>
      <c r="N274" s="10">
        <f>PRODUCT(Table_13[[#This Row],[Unit Price]],Table_13[[#This Row],[Quantity]])</f>
        <v>840000</v>
      </c>
      <c r="O274" s="16">
        <f>PRODUCT(Table_13[[#This Row],[Cost Price]],Table_13[[#This Row],[Quantity]])</f>
        <v>672000</v>
      </c>
      <c r="P274" s="27">
        <f t="shared" si="11"/>
        <v>168000</v>
      </c>
    </row>
    <row r="275" spans="1:16" x14ac:dyDescent="0.2">
      <c r="A275" s="33">
        <v>45949</v>
      </c>
      <c r="B275" s="30">
        <f t="shared" si="10"/>
        <v>10</v>
      </c>
      <c r="C275" s="30" t="str">
        <f>_xlfn.IFS(Table_13[[#This Row],[Month]]=1,"JAN",Table_13[[#This Row],[Month]]=2,"FEB",B275=3,"MAR",B275=4,"APR",B275=5,"MAY",B275=6,"JUN",B275=7,"JUL",B275=8,"AUG",Table_13[[#This Row],[Month]]=9,"SEPT",B275=10,"OCT",B275=11,"NOV",B275=12,"DEC")</f>
        <v>OCT</v>
      </c>
      <c r="D275" s="2" t="s">
        <v>25</v>
      </c>
      <c r="E275" s="2" t="s">
        <v>12</v>
      </c>
      <c r="F275" s="2" t="s">
        <v>23</v>
      </c>
      <c r="G275" s="2" t="s">
        <v>14</v>
      </c>
      <c r="H275" s="2" t="s">
        <v>34</v>
      </c>
      <c r="I275" s="2" t="s">
        <v>16</v>
      </c>
      <c r="J275" s="15">
        <v>320000</v>
      </c>
      <c r="K275" s="2">
        <v>1</v>
      </c>
      <c r="L275" s="2" t="s">
        <v>35</v>
      </c>
      <c r="M275" s="12">
        <f t="shared" si="9"/>
        <v>256000</v>
      </c>
      <c r="N275" s="10">
        <f>PRODUCT(Table_13[[#This Row],[Unit Price]],Table_13[[#This Row],[Quantity]])</f>
        <v>320000</v>
      </c>
      <c r="O275" s="16">
        <f>PRODUCT(Table_13[[#This Row],[Cost Price]],Table_13[[#This Row],[Quantity]])</f>
        <v>256000</v>
      </c>
      <c r="P275" s="27">
        <f t="shared" si="11"/>
        <v>64000</v>
      </c>
    </row>
    <row r="276" spans="1:16" x14ac:dyDescent="0.2">
      <c r="A276" s="33">
        <v>45950</v>
      </c>
      <c r="B276" s="30">
        <f t="shared" si="10"/>
        <v>10</v>
      </c>
      <c r="C276" s="30" t="str">
        <f>_xlfn.IFS(Table_13[[#This Row],[Month]]=1,"JAN",Table_13[[#This Row],[Month]]=2,"FEB",B276=3,"MAR",B276=4,"APR",B276=5,"MAY",B276=6,"JUN",B276=7,"JUL",B276=8,"AUG",Table_13[[#This Row],[Month]]=9,"SEPT",B276=10,"OCT",B276=11,"NOV",B276=12,"DEC")</f>
        <v>OCT</v>
      </c>
      <c r="D276" s="2" t="s">
        <v>29</v>
      </c>
      <c r="E276" s="2" t="s">
        <v>19</v>
      </c>
      <c r="F276" s="2" t="s">
        <v>13</v>
      </c>
      <c r="G276" s="2" t="s">
        <v>14</v>
      </c>
      <c r="H276" s="2" t="s">
        <v>36</v>
      </c>
      <c r="I276" s="2" t="s">
        <v>31</v>
      </c>
      <c r="J276" s="15">
        <v>150000</v>
      </c>
      <c r="K276" s="2">
        <v>2</v>
      </c>
      <c r="L276" s="2" t="s">
        <v>28</v>
      </c>
      <c r="M276" s="12">
        <f t="shared" si="9"/>
        <v>120000</v>
      </c>
      <c r="N276" s="10">
        <f>PRODUCT(Table_13[[#This Row],[Unit Price]],Table_13[[#This Row],[Quantity]])</f>
        <v>300000</v>
      </c>
      <c r="O276" s="16">
        <f>PRODUCT(Table_13[[#This Row],[Cost Price]],Table_13[[#This Row],[Quantity]])</f>
        <v>240000</v>
      </c>
      <c r="P276" s="27">
        <f t="shared" si="11"/>
        <v>60000</v>
      </c>
    </row>
    <row r="277" spans="1:16" x14ac:dyDescent="0.2">
      <c r="A277" s="33">
        <v>45951</v>
      </c>
      <c r="B277" s="30">
        <f t="shared" si="10"/>
        <v>10</v>
      </c>
      <c r="C277" s="30" t="str">
        <f>_xlfn.IFS(Table_13[[#This Row],[Month]]=1,"JAN",Table_13[[#This Row],[Month]]=2,"FEB",B277=3,"MAR",B277=4,"APR",B277=5,"MAY",B277=6,"JUN",B277=7,"JUL",B277=8,"AUG",Table_13[[#This Row],[Month]]=9,"SEPT",B277=10,"OCT",B277=11,"NOV",B277=12,"DEC")</f>
        <v>OCT</v>
      </c>
      <c r="D277" s="2" t="s">
        <v>18</v>
      </c>
      <c r="E277" s="2" t="s">
        <v>19</v>
      </c>
      <c r="F277" s="2" t="s">
        <v>23</v>
      </c>
      <c r="G277" s="2" t="s">
        <v>20</v>
      </c>
      <c r="H277" s="2" t="s">
        <v>21</v>
      </c>
      <c r="I277" s="2" t="s">
        <v>22</v>
      </c>
      <c r="J277" s="15">
        <v>30000</v>
      </c>
      <c r="K277" s="2">
        <v>9</v>
      </c>
      <c r="L277" s="2" t="s">
        <v>39</v>
      </c>
      <c r="M277" s="12">
        <f t="shared" si="9"/>
        <v>24000</v>
      </c>
      <c r="N277" s="10">
        <f>PRODUCT(Table_13[[#This Row],[Unit Price]],Table_13[[#This Row],[Quantity]])</f>
        <v>270000</v>
      </c>
      <c r="O277" s="16">
        <f>PRODUCT(Table_13[[#This Row],[Cost Price]],Table_13[[#This Row],[Quantity]])</f>
        <v>216000</v>
      </c>
      <c r="P277" s="27">
        <f t="shared" si="11"/>
        <v>54000</v>
      </c>
    </row>
    <row r="278" spans="1:16" x14ac:dyDescent="0.2">
      <c r="A278" s="33">
        <v>45952</v>
      </c>
      <c r="B278" s="30">
        <f t="shared" si="10"/>
        <v>10</v>
      </c>
      <c r="C278" s="30" t="str">
        <f>_xlfn.IFS(Table_13[[#This Row],[Month]]=1,"JAN",Table_13[[#This Row],[Month]]=2,"FEB",B278=3,"MAR",B278=4,"APR",B278=5,"MAY",B278=6,"JUN",B278=7,"JUL",B278=8,"AUG",Table_13[[#This Row],[Month]]=9,"SEPT",B278=10,"OCT",B278=11,"NOV",B278=12,"DEC")</f>
        <v>OCT</v>
      </c>
      <c r="D278" s="2" t="s">
        <v>11</v>
      </c>
      <c r="E278" s="2" t="s">
        <v>19</v>
      </c>
      <c r="F278" s="2" t="s">
        <v>13</v>
      </c>
      <c r="G278" s="2" t="s">
        <v>14</v>
      </c>
      <c r="H278" s="2" t="s">
        <v>15</v>
      </c>
      <c r="I278" s="2" t="s">
        <v>16</v>
      </c>
      <c r="J278" s="15">
        <v>85000</v>
      </c>
      <c r="K278" s="2">
        <v>7</v>
      </c>
      <c r="L278" s="2" t="s">
        <v>35</v>
      </c>
      <c r="M278" s="12">
        <f t="shared" si="9"/>
        <v>68000</v>
      </c>
      <c r="N278" s="10">
        <f>PRODUCT(Table_13[[#This Row],[Unit Price]],Table_13[[#This Row],[Quantity]])</f>
        <v>595000</v>
      </c>
      <c r="O278" s="16">
        <f>PRODUCT(Table_13[[#This Row],[Cost Price]],Table_13[[#This Row],[Quantity]])</f>
        <v>476000</v>
      </c>
      <c r="P278" s="27">
        <f t="shared" si="11"/>
        <v>119000</v>
      </c>
    </row>
    <row r="279" spans="1:16" x14ac:dyDescent="0.2">
      <c r="A279" s="33">
        <v>45953</v>
      </c>
      <c r="B279" s="30">
        <f t="shared" si="10"/>
        <v>10</v>
      </c>
      <c r="C279" s="30" t="str">
        <f>_xlfn.IFS(Table_13[[#This Row],[Month]]=1,"JAN",Table_13[[#This Row],[Month]]=2,"FEB",B279=3,"MAR",B279=4,"APR",B279=5,"MAY",B279=6,"JUN",B279=7,"JUL",B279=8,"AUG",Table_13[[#This Row],[Month]]=9,"SEPT",B279=10,"OCT",B279=11,"NOV",B279=12,"DEC")</f>
        <v>OCT</v>
      </c>
      <c r="D279" s="2" t="s">
        <v>29</v>
      </c>
      <c r="E279" s="2" t="s">
        <v>12</v>
      </c>
      <c r="F279" s="2" t="s">
        <v>23</v>
      </c>
      <c r="G279" s="2" t="s">
        <v>14</v>
      </c>
      <c r="H279" s="2" t="s">
        <v>36</v>
      </c>
      <c r="I279" s="2" t="s">
        <v>31</v>
      </c>
      <c r="J279" s="15">
        <v>150000</v>
      </c>
      <c r="K279" s="2">
        <v>5</v>
      </c>
      <c r="L279" s="2" t="s">
        <v>24</v>
      </c>
      <c r="M279" s="12">
        <f t="shared" si="9"/>
        <v>120000</v>
      </c>
      <c r="N279" s="10">
        <f>PRODUCT(Table_13[[#This Row],[Unit Price]],Table_13[[#This Row],[Quantity]])</f>
        <v>750000</v>
      </c>
      <c r="O279" s="16">
        <f>PRODUCT(Table_13[[#This Row],[Cost Price]],Table_13[[#This Row],[Quantity]])</f>
        <v>600000</v>
      </c>
      <c r="P279" s="27">
        <f t="shared" si="11"/>
        <v>150000</v>
      </c>
    </row>
    <row r="280" spans="1:16" x14ac:dyDescent="0.2">
      <c r="A280" s="33">
        <v>45954</v>
      </c>
      <c r="B280" s="30">
        <f t="shared" si="10"/>
        <v>10</v>
      </c>
      <c r="C280" s="30" t="str">
        <f>_xlfn.IFS(Table_13[[#This Row],[Month]]=1,"JAN",Table_13[[#This Row],[Month]]=2,"FEB",B280=3,"MAR",B280=4,"APR",B280=5,"MAY",B280=6,"JUN",B280=7,"JUL",B280=8,"AUG",Table_13[[#This Row],[Month]]=9,"SEPT",B280=10,"OCT",B280=11,"NOV",B280=12,"DEC")</f>
        <v>OCT</v>
      </c>
      <c r="D280" s="2" t="s">
        <v>11</v>
      </c>
      <c r="E280" s="2" t="s">
        <v>26</v>
      </c>
      <c r="F280" s="2" t="s">
        <v>13</v>
      </c>
      <c r="G280" s="2" t="s">
        <v>20</v>
      </c>
      <c r="H280" s="2" t="s">
        <v>34</v>
      </c>
      <c r="I280" s="2" t="s">
        <v>16</v>
      </c>
      <c r="J280" s="15">
        <v>320000</v>
      </c>
      <c r="K280" s="2">
        <v>9</v>
      </c>
      <c r="L280" s="2" t="s">
        <v>17</v>
      </c>
      <c r="M280" s="12">
        <f t="shared" si="9"/>
        <v>256000</v>
      </c>
      <c r="N280" s="10">
        <f>PRODUCT(Table_13[[#This Row],[Unit Price]],Table_13[[#This Row],[Quantity]])</f>
        <v>2880000</v>
      </c>
      <c r="O280" s="16">
        <f>PRODUCT(Table_13[[#This Row],[Cost Price]],Table_13[[#This Row],[Quantity]])</f>
        <v>2304000</v>
      </c>
      <c r="P280" s="27">
        <f t="shared" si="11"/>
        <v>576000</v>
      </c>
    </row>
    <row r="281" spans="1:16" x14ac:dyDescent="0.2">
      <c r="A281" s="33">
        <v>45955</v>
      </c>
      <c r="B281" s="30">
        <f t="shared" si="10"/>
        <v>10</v>
      </c>
      <c r="C281" s="30" t="str">
        <f>_xlfn.IFS(Table_13[[#This Row],[Month]]=1,"JAN",Table_13[[#This Row],[Month]]=2,"FEB",B281=3,"MAR",B281=4,"APR",B281=5,"MAY",B281=6,"JUN",B281=7,"JUL",B281=8,"AUG",Table_13[[#This Row],[Month]]=9,"SEPT",B281=10,"OCT",B281=11,"NOV",B281=12,"DEC")</f>
        <v>OCT</v>
      </c>
      <c r="D281" s="2" t="s">
        <v>29</v>
      </c>
      <c r="E281" s="2" t="s">
        <v>19</v>
      </c>
      <c r="F281" s="2" t="s">
        <v>13</v>
      </c>
      <c r="G281" s="2" t="s">
        <v>14</v>
      </c>
      <c r="H281" s="2" t="s">
        <v>34</v>
      </c>
      <c r="I281" s="2" t="s">
        <v>16</v>
      </c>
      <c r="J281" s="15">
        <v>320000</v>
      </c>
      <c r="K281" s="2">
        <v>10</v>
      </c>
      <c r="L281" s="2" t="s">
        <v>35</v>
      </c>
      <c r="M281" s="12">
        <f t="shared" si="9"/>
        <v>256000</v>
      </c>
      <c r="N281" s="10">
        <f>PRODUCT(Table_13[[#This Row],[Unit Price]],Table_13[[#This Row],[Quantity]])</f>
        <v>3200000</v>
      </c>
      <c r="O281" s="16">
        <f>PRODUCT(Table_13[[#This Row],[Cost Price]],Table_13[[#This Row],[Quantity]])</f>
        <v>2560000</v>
      </c>
      <c r="P281" s="27">
        <f t="shared" si="11"/>
        <v>640000</v>
      </c>
    </row>
    <row r="282" spans="1:16" x14ac:dyDescent="0.2">
      <c r="A282" s="33">
        <v>45956</v>
      </c>
      <c r="B282" s="30">
        <f t="shared" si="10"/>
        <v>10</v>
      </c>
      <c r="C282" s="30" t="str">
        <f>_xlfn.IFS(Table_13[[#This Row],[Month]]=1,"JAN",Table_13[[#This Row],[Month]]=2,"FEB",B282=3,"MAR",B282=4,"APR",B282=5,"MAY",B282=6,"JUN",B282=7,"JUL",B282=8,"AUG",Table_13[[#This Row],[Month]]=9,"SEPT",B282=10,"OCT",B282=11,"NOV",B282=12,"DEC")</f>
        <v>OCT</v>
      </c>
      <c r="D282" s="2" t="s">
        <v>29</v>
      </c>
      <c r="E282" s="2" t="s">
        <v>26</v>
      </c>
      <c r="F282" s="2" t="s">
        <v>23</v>
      </c>
      <c r="G282" s="2" t="s">
        <v>14</v>
      </c>
      <c r="H282" s="2" t="s">
        <v>15</v>
      </c>
      <c r="I282" s="2" t="s">
        <v>16</v>
      </c>
      <c r="J282" s="15">
        <v>85000</v>
      </c>
      <c r="K282" s="2">
        <v>7</v>
      </c>
      <c r="L282" s="2" t="s">
        <v>35</v>
      </c>
      <c r="M282" s="12">
        <f t="shared" si="9"/>
        <v>68000</v>
      </c>
      <c r="N282" s="10">
        <f>PRODUCT(Table_13[[#This Row],[Unit Price]],Table_13[[#This Row],[Quantity]])</f>
        <v>595000</v>
      </c>
      <c r="O282" s="16">
        <f>PRODUCT(Table_13[[#This Row],[Cost Price]],Table_13[[#This Row],[Quantity]])</f>
        <v>476000</v>
      </c>
      <c r="P282" s="27">
        <f t="shared" si="11"/>
        <v>119000</v>
      </c>
    </row>
    <row r="283" spans="1:16" x14ac:dyDescent="0.2">
      <c r="A283" s="33">
        <v>45957</v>
      </c>
      <c r="B283" s="30">
        <f t="shared" si="10"/>
        <v>10</v>
      </c>
      <c r="C283" s="30" t="str">
        <f>_xlfn.IFS(Table_13[[#This Row],[Month]]=1,"JAN",Table_13[[#This Row],[Month]]=2,"FEB",B283=3,"MAR",B283=4,"APR",B283=5,"MAY",B283=6,"JUN",B283=7,"JUL",B283=8,"AUG",Table_13[[#This Row],[Month]]=9,"SEPT",B283=10,"OCT",B283=11,"NOV",B283=12,"DEC")</f>
        <v>OCT</v>
      </c>
      <c r="D283" s="2" t="s">
        <v>25</v>
      </c>
      <c r="E283" s="2" t="s">
        <v>26</v>
      </c>
      <c r="F283" s="2" t="s">
        <v>13</v>
      </c>
      <c r="G283" s="2" t="s">
        <v>14</v>
      </c>
      <c r="H283" s="2" t="s">
        <v>27</v>
      </c>
      <c r="I283" s="2" t="s">
        <v>22</v>
      </c>
      <c r="J283" s="15">
        <v>60000</v>
      </c>
      <c r="K283" s="2">
        <v>4</v>
      </c>
      <c r="L283" s="2" t="s">
        <v>35</v>
      </c>
      <c r="M283" s="12">
        <f t="shared" si="9"/>
        <v>48000</v>
      </c>
      <c r="N283" s="10">
        <f>PRODUCT(Table_13[[#This Row],[Unit Price]],Table_13[[#This Row],[Quantity]])</f>
        <v>240000</v>
      </c>
      <c r="O283" s="16">
        <f>PRODUCT(Table_13[[#This Row],[Cost Price]],Table_13[[#This Row],[Quantity]])</f>
        <v>192000</v>
      </c>
      <c r="P283" s="27">
        <f t="shared" si="11"/>
        <v>48000</v>
      </c>
    </row>
    <row r="284" spans="1:16" x14ac:dyDescent="0.2">
      <c r="A284" s="33">
        <v>45958</v>
      </c>
      <c r="B284" s="30">
        <f t="shared" si="10"/>
        <v>10</v>
      </c>
      <c r="C284" s="30" t="str">
        <f>_xlfn.IFS(Table_13[[#This Row],[Month]]=1,"JAN",Table_13[[#This Row],[Month]]=2,"FEB",B284=3,"MAR",B284=4,"APR",B284=5,"MAY",B284=6,"JUN",B284=7,"JUL",B284=8,"AUG",Table_13[[#This Row],[Month]]=9,"SEPT",B284=10,"OCT",B284=11,"NOV",B284=12,"DEC")</f>
        <v>OCT</v>
      </c>
      <c r="D284" s="2" t="s">
        <v>18</v>
      </c>
      <c r="E284" s="2" t="s">
        <v>26</v>
      </c>
      <c r="F284" s="2" t="s">
        <v>13</v>
      </c>
      <c r="G284" s="2" t="s">
        <v>20</v>
      </c>
      <c r="H284" s="2" t="s">
        <v>27</v>
      </c>
      <c r="I284" s="2" t="s">
        <v>22</v>
      </c>
      <c r="J284" s="15">
        <v>60000</v>
      </c>
      <c r="K284" s="2">
        <v>7</v>
      </c>
      <c r="L284" s="2" t="s">
        <v>24</v>
      </c>
      <c r="M284" s="12">
        <f t="shared" si="9"/>
        <v>48000</v>
      </c>
      <c r="N284" s="10">
        <f>PRODUCT(Table_13[[#This Row],[Unit Price]],Table_13[[#This Row],[Quantity]])</f>
        <v>420000</v>
      </c>
      <c r="O284" s="16">
        <f>PRODUCT(Table_13[[#This Row],[Cost Price]],Table_13[[#This Row],[Quantity]])</f>
        <v>336000</v>
      </c>
      <c r="P284" s="27">
        <f t="shared" si="11"/>
        <v>84000</v>
      </c>
    </row>
    <row r="285" spans="1:16" x14ac:dyDescent="0.2">
      <c r="A285" s="33">
        <v>45959</v>
      </c>
      <c r="B285" s="30">
        <f t="shared" si="10"/>
        <v>10</v>
      </c>
      <c r="C285" s="30" t="str">
        <f>_xlfn.IFS(Table_13[[#This Row],[Month]]=1,"JAN",Table_13[[#This Row],[Month]]=2,"FEB",B285=3,"MAR",B285=4,"APR",B285=5,"MAY",B285=6,"JUN",B285=7,"JUL",B285=8,"AUG",Table_13[[#This Row],[Month]]=9,"SEPT",B285=10,"OCT",B285=11,"NOV",B285=12,"DEC")</f>
        <v>OCT</v>
      </c>
      <c r="D285" s="2" t="s">
        <v>25</v>
      </c>
      <c r="E285" s="2" t="s">
        <v>19</v>
      </c>
      <c r="F285" s="2" t="s">
        <v>23</v>
      </c>
      <c r="G285" s="2" t="s">
        <v>14</v>
      </c>
      <c r="H285" s="2" t="s">
        <v>36</v>
      </c>
      <c r="I285" s="2" t="s">
        <v>31</v>
      </c>
      <c r="J285" s="15">
        <v>150000</v>
      </c>
      <c r="K285" s="2">
        <v>7</v>
      </c>
      <c r="L285" s="2" t="s">
        <v>39</v>
      </c>
      <c r="M285" s="12">
        <f t="shared" si="9"/>
        <v>120000</v>
      </c>
      <c r="N285" s="10">
        <f>PRODUCT(Table_13[[#This Row],[Unit Price]],Table_13[[#This Row],[Quantity]])</f>
        <v>1050000</v>
      </c>
      <c r="O285" s="16">
        <f>PRODUCT(Table_13[[#This Row],[Cost Price]],Table_13[[#This Row],[Quantity]])</f>
        <v>840000</v>
      </c>
      <c r="P285" s="27">
        <f t="shared" si="11"/>
        <v>210000</v>
      </c>
    </row>
    <row r="286" spans="1:16" x14ac:dyDescent="0.2">
      <c r="A286" s="33">
        <v>45960</v>
      </c>
      <c r="B286" s="30">
        <f t="shared" si="10"/>
        <v>10</v>
      </c>
      <c r="C286" s="30" t="str">
        <f>_xlfn.IFS(Table_13[[#This Row],[Month]]=1,"JAN",Table_13[[#This Row],[Month]]=2,"FEB",B286=3,"MAR",B286=4,"APR",B286=5,"MAY",B286=6,"JUN",B286=7,"JUL",B286=8,"AUG",Table_13[[#This Row],[Month]]=9,"SEPT",B286=10,"OCT",B286=11,"NOV",B286=12,"DEC")</f>
        <v>OCT</v>
      </c>
      <c r="D286" s="2" t="s">
        <v>11</v>
      </c>
      <c r="E286" s="2" t="s">
        <v>19</v>
      </c>
      <c r="F286" s="2" t="s">
        <v>13</v>
      </c>
      <c r="G286" s="2" t="s">
        <v>14</v>
      </c>
      <c r="H286" s="2" t="s">
        <v>15</v>
      </c>
      <c r="I286" s="2" t="s">
        <v>16</v>
      </c>
      <c r="J286" s="15">
        <v>85000</v>
      </c>
      <c r="K286" s="2">
        <v>3</v>
      </c>
      <c r="L286" s="2" t="s">
        <v>24</v>
      </c>
      <c r="M286" s="12">
        <f t="shared" si="9"/>
        <v>68000</v>
      </c>
      <c r="N286" s="10">
        <f>PRODUCT(Table_13[[#This Row],[Unit Price]],Table_13[[#This Row],[Quantity]])</f>
        <v>255000</v>
      </c>
      <c r="O286" s="16">
        <f>PRODUCT(Table_13[[#This Row],[Cost Price]],Table_13[[#This Row],[Quantity]])</f>
        <v>204000</v>
      </c>
      <c r="P286" s="27">
        <f t="shared" si="11"/>
        <v>51000</v>
      </c>
    </row>
    <row r="287" spans="1:16" x14ac:dyDescent="0.2">
      <c r="A287" s="33">
        <v>45961</v>
      </c>
      <c r="B287" s="30">
        <f t="shared" si="10"/>
        <v>10</v>
      </c>
      <c r="C287" s="30" t="str">
        <f>_xlfn.IFS(Table_13[[#This Row],[Month]]=1,"JAN",Table_13[[#This Row],[Month]]=2,"FEB",B287=3,"MAR",B287=4,"APR",B287=5,"MAY",B287=6,"JUN",B287=7,"JUL",B287=8,"AUG",Table_13[[#This Row],[Month]]=9,"SEPT",B287=10,"OCT",B287=11,"NOV",B287=12,"DEC")</f>
        <v>OCT</v>
      </c>
      <c r="D287" s="2" t="s">
        <v>25</v>
      </c>
      <c r="E287" s="2" t="s">
        <v>32</v>
      </c>
      <c r="F287" s="2" t="s">
        <v>13</v>
      </c>
      <c r="G287" s="2" t="s">
        <v>14</v>
      </c>
      <c r="H287" s="2" t="s">
        <v>15</v>
      </c>
      <c r="I287" s="2" t="s">
        <v>16</v>
      </c>
      <c r="J287" s="15">
        <v>85000</v>
      </c>
      <c r="K287" s="2">
        <v>10</v>
      </c>
      <c r="L287" s="2" t="s">
        <v>28</v>
      </c>
      <c r="M287" s="12">
        <f t="shared" si="9"/>
        <v>68000</v>
      </c>
      <c r="N287" s="10">
        <f>PRODUCT(Table_13[[#This Row],[Unit Price]],Table_13[[#This Row],[Quantity]])</f>
        <v>850000</v>
      </c>
      <c r="O287" s="16">
        <f>PRODUCT(Table_13[[#This Row],[Cost Price]],Table_13[[#This Row],[Quantity]])</f>
        <v>680000</v>
      </c>
      <c r="P287" s="27">
        <f t="shared" si="11"/>
        <v>170000</v>
      </c>
    </row>
    <row r="288" spans="1:16" x14ac:dyDescent="0.2">
      <c r="A288" s="33">
        <v>45962</v>
      </c>
      <c r="B288" s="30">
        <f t="shared" si="10"/>
        <v>11</v>
      </c>
      <c r="C288" s="30" t="str">
        <f>_xlfn.IFS(Table_13[[#This Row],[Month]]=1,"JAN",Table_13[[#This Row],[Month]]=2,"FEB",B288=3,"MAR",B288=4,"APR",B288=5,"MAY",B288=6,"JUN",B288=7,"JUL",B288=8,"AUG",Table_13[[#This Row],[Month]]=9,"SEPT",B288=10,"OCT",B288=11,"NOV",B288=12,"DEC")</f>
        <v>NOV</v>
      </c>
      <c r="D288" s="2" t="s">
        <v>18</v>
      </c>
      <c r="E288" s="2" t="s">
        <v>19</v>
      </c>
      <c r="F288" s="2" t="s">
        <v>23</v>
      </c>
      <c r="G288" s="2" t="s">
        <v>20</v>
      </c>
      <c r="H288" s="2" t="s">
        <v>30</v>
      </c>
      <c r="I288" s="2" t="s">
        <v>31</v>
      </c>
      <c r="J288" s="15">
        <v>300000</v>
      </c>
      <c r="K288" s="2">
        <v>10</v>
      </c>
      <c r="L288" s="2" t="s">
        <v>24</v>
      </c>
      <c r="M288" s="12">
        <f t="shared" si="9"/>
        <v>240000</v>
      </c>
      <c r="N288" s="10">
        <f>PRODUCT(Table_13[[#This Row],[Unit Price]],Table_13[[#This Row],[Quantity]])</f>
        <v>3000000</v>
      </c>
      <c r="O288" s="16">
        <f>PRODUCT(Table_13[[#This Row],[Cost Price]],Table_13[[#This Row],[Quantity]])</f>
        <v>2400000</v>
      </c>
      <c r="P288" s="27">
        <f t="shared" si="11"/>
        <v>600000</v>
      </c>
    </row>
    <row r="289" spans="1:16" x14ac:dyDescent="0.2">
      <c r="A289" s="33">
        <v>45963</v>
      </c>
      <c r="B289" s="30">
        <f t="shared" si="10"/>
        <v>11</v>
      </c>
      <c r="C289" s="30" t="str">
        <f>_xlfn.IFS(Table_13[[#This Row],[Month]]=1,"JAN",Table_13[[#This Row],[Month]]=2,"FEB",B289=3,"MAR",B289=4,"APR",B289=5,"MAY",B289=6,"JUN",B289=7,"JUL",B289=8,"AUG",Table_13[[#This Row],[Month]]=9,"SEPT",B289=10,"OCT",B289=11,"NOV",B289=12,"DEC")</f>
        <v>NOV</v>
      </c>
      <c r="D289" s="2" t="s">
        <v>25</v>
      </c>
      <c r="E289" s="2" t="s">
        <v>32</v>
      </c>
      <c r="F289" s="2" t="s">
        <v>13</v>
      </c>
      <c r="G289" s="2" t="s">
        <v>20</v>
      </c>
      <c r="H289" s="2" t="s">
        <v>27</v>
      </c>
      <c r="I289" s="2" t="s">
        <v>22</v>
      </c>
      <c r="J289" s="15">
        <v>60000</v>
      </c>
      <c r="K289" s="2">
        <v>3</v>
      </c>
      <c r="L289" s="2" t="s">
        <v>17</v>
      </c>
      <c r="M289" s="12">
        <f t="shared" si="9"/>
        <v>48000</v>
      </c>
      <c r="N289" s="10">
        <f>PRODUCT(Table_13[[#This Row],[Unit Price]],Table_13[[#This Row],[Quantity]])</f>
        <v>180000</v>
      </c>
      <c r="O289" s="16">
        <f>PRODUCT(Table_13[[#This Row],[Cost Price]],Table_13[[#This Row],[Quantity]])</f>
        <v>144000</v>
      </c>
      <c r="P289" s="27">
        <f t="shared" si="11"/>
        <v>36000</v>
      </c>
    </row>
    <row r="290" spans="1:16" x14ac:dyDescent="0.2">
      <c r="A290" s="33">
        <v>45964</v>
      </c>
      <c r="B290" s="30">
        <f t="shared" si="10"/>
        <v>11</v>
      </c>
      <c r="C290" s="30" t="str">
        <f>_xlfn.IFS(Table_13[[#This Row],[Month]]=1,"JAN",Table_13[[#This Row],[Month]]=2,"FEB",B290=3,"MAR",B290=4,"APR",B290=5,"MAY",B290=6,"JUN",B290=7,"JUL",B290=8,"AUG",Table_13[[#This Row],[Month]]=9,"SEPT",B290=10,"OCT",B290=11,"NOV",B290=12,"DEC")</f>
        <v>NOV</v>
      </c>
      <c r="D290" s="2" t="s">
        <v>18</v>
      </c>
      <c r="E290" s="2" t="s">
        <v>12</v>
      </c>
      <c r="F290" s="2" t="s">
        <v>23</v>
      </c>
      <c r="G290" s="2" t="s">
        <v>14</v>
      </c>
      <c r="H290" s="2" t="s">
        <v>27</v>
      </c>
      <c r="I290" s="2" t="s">
        <v>22</v>
      </c>
      <c r="J290" s="15">
        <v>60000</v>
      </c>
      <c r="K290" s="2">
        <v>3</v>
      </c>
      <c r="L290" s="2" t="s">
        <v>24</v>
      </c>
      <c r="M290" s="12">
        <f t="shared" si="9"/>
        <v>48000</v>
      </c>
      <c r="N290" s="10">
        <f>PRODUCT(Table_13[[#This Row],[Unit Price]],Table_13[[#This Row],[Quantity]])</f>
        <v>180000</v>
      </c>
      <c r="O290" s="16">
        <f>PRODUCT(Table_13[[#This Row],[Cost Price]],Table_13[[#This Row],[Quantity]])</f>
        <v>144000</v>
      </c>
      <c r="P290" s="27">
        <f t="shared" si="11"/>
        <v>36000</v>
      </c>
    </row>
    <row r="291" spans="1:16" x14ac:dyDescent="0.2">
      <c r="A291" s="33">
        <v>45965</v>
      </c>
      <c r="B291" s="30">
        <f t="shared" si="10"/>
        <v>11</v>
      </c>
      <c r="C291" s="30" t="str">
        <f>_xlfn.IFS(Table_13[[#This Row],[Month]]=1,"JAN",Table_13[[#This Row],[Month]]=2,"FEB",B291=3,"MAR",B291=4,"APR",B291=5,"MAY",B291=6,"JUN",B291=7,"JUL",B291=8,"AUG",Table_13[[#This Row],[Month]]=9,"SEPT",B291=10,"OCT",B291=11,"NOV",B291=12,"DEC")</f>
        <v>NOV</v>
      </c>
      <c r="D291" s="2" t="s">
        <v>11</v>
      </c>
      <c r="E291" s="2" t="s">
        <v>19</v>
      </c>
      <c r="F291" s="2" t="s">
        <v>13</v>
      </c>
      <c r="G291" s="2" t="s">
        <v>14</v>
      </c>
      <c r="H291" s="2" t="s">
        <v>15</v>
      </c>
      <c r="I291" s="2" t="s">
        <v>16</v>
      </c>
      <c r="J291" s="15">
        <v>85000</v>
      </c>
      <c r="K291" s="2">
        <v>6</v>
      </c>
      <c r="L291" s="2" t="s">
        <v>24</v>
      </c>
      <c r="M291" s="12">
        <f t="shared" si="9"/>
        <v>68000</v>
      </c>
      <c r="N291" s="10">
        <f>PRODUCT(Table_13[[#This Row],[Unit Price]],Table_13[[#This Row],[Quantity]])</f>
        <v>510000</v>
      </c>
      <c r="O291" s="16">
        <f>PRODUCT(Table_13[[#This Row],[Cost Price]],Table_13[[#This Row],[Quantity]])</f>
        <v>408000</v>
      </c>
      <c r="P291" s="27">
        <f t="shared" si="11"/>
        <v>102000</v>
      </c>
    </row>
    <row r="292" spans="1:16" x14ac:dyDescent="0.2">
      <c r="A292" s="33">
        <v>45966</v>
      </c>
      <c r="B292" s="30">
        <f t="shared" si="10"/>
        <v>11</v>
      </c>
      <c r="C292" s="30" t="str">
        <f>_xlfn.IFS(Table_13[[#This Row],[Month]]=1,"JAN",Table_13[[#This Row],[Month]]=2,"FEB",B292=3,"MAR",B292=4,"APR",B292=5,"MAY",B292=6,"JUN",B292=7,"JUL",B292=8,"AUG",Table_13[[#This Row],[Month]]=9,"SEPT",B292=10,"OCT",B292=11,"NOV",B292=12,"DEC")</f>
        <v>NOV</v>
      </c>
      <c r="D292" s="2" t="s">
        <v>18</v>
      </c>
      <c r="E292" s="2" t="s">
        <v>26</v>
      </c>
      <c r="F292" s="2" t="s">
        <v>23</v>
      </c>
      <c r="G292" s="2" t="s">
        <v>20</v>
      </c>
      <c r="H292" s="2" t="s">
        <v>38</v>
      </c>
      <c r="I292" s="2" t="s">
        <v>31</v>
      </c>
      <c r="J292" s="15">
        <v>420000</v>
      </c>
      <c r="K292" s="2">
        <v>2</v>
      </c>
      <c r="L292" s="2" t="s">
        <v>37</v>
      </c>
      <c r="M292" s="12">
        <f t="shared" si="9"/>
        <v>336000</v>
      </c>
      <c r="N292" s="10">
        <f>PRODUCT(Table_13[[#This Row],[Unit Price]],Table_13[[#This Row],[Quantity]])</f>
        <v>840000</v>
      </c>
      <c r="O292" s="16">
        <f>PRODUCT(Table_13[[#This Row],[Cost Price]],Table_13[[#This Row],[Quantity]])</f>
        <v>672000</v>
      </c>
      <c r="P292" s="27">
        <f t="shared" si="11"/>
        <v>168000</v>
      </c>
    </row>
    <row r="293" spans="1:16" x14ac:dyDescent="0.2">
      <c r="A293" s="33">
        <v>45967</v>
      </c>
      <c r="B293" s="30">
        <f t="shared" si="10"/>
        <v>11</v>
      </c>
      <c r="C293" s="30" t="str">
        <f>_xlfn.IFS(Table_13[[#This Row],[Month]]=1,"JAN",Table_13[[#This Row],[Month]]=2,"FEB",B293=3,"MAR",B293=4,"APR",B293=5,"MAY",B293=6,"JUN",B293=7,"JUL",B293=8,"AUG",Table_13[[#This Row],[Month]]=9,"SEPT",B293=10,"OCT",B293=11,"NOV",B293=12,"DEC")</f>
        <v>NOV</v>
      </c>
      <c r="D293" s="2" t="s">
        <v>29</v>
      </c>
      <c r="E293" s="2" t="s">
        <v>32</v>
      </c>
      <c r="F293" s="2" t="s">
        <v>13</v>
      </c>
      <c r="G293" s="2" t="s">
        <v>20</v>
      </c>
      <c r="H293" s="2" t="s">
        <v>40</v>
      </c>
      <c r="I293" s="2" t="s">
        <v>31</v>
      </c>
      <c r="J293" s="15">
        <v>250000</v>
      </c>
      <c r="K293" s="2">
        <v>6</v>
      </c>
      <c r="L293" s="2" t="s">
        <v>39</v>
      </c>
      <c r="M293" s="12">
        <f t="shared" si="9"/>
        <v>200000</v>
      </c>
      <c r="N293" s="10">
        <f>PRODUCT(Table_13[[#This Row],[Unit Price]],Table_13[[#This Row],[Quantity]])</f>
        <v>1500000</v>
      </c>
      <c r="O293" s="16">
        <f>PRODUCT(Table_13[[#This Row],[Cost Price]],Table_13[[#This Row],[Quantity]])</f>
        <v>1200000</v>
      </c>
      <c r="P293" s="27">
        <f t="shared" si="11"/>
        <v>300000</v>
      </c>
    </row>
    <row r="294" spans="1:16" x14ac:dyDescent="0.2">
      <c r="A294" s="33">
        <v>45968</v>
      </c>
      <c r="B294" s="30">
        <f t="shared" si="10"/>
        <v>11</v>
      </c>
      <c r="C294" s="30" t="str">
        <f>_xlfn.IFS(Table_13[[#This Row],[Month]]=1,"JAN",Table_13[[#This Row],[Month]]=2,"FEB",B294=3,"MAR",B294=4,"APR",B294=5,"MAY",B294=6,"JUN",B294=7,"JUL",B294=8,"AUG",Table_13[[#This Row],[Month]]=9,"SEPT",B294=10,"OCT",B294=11,"NOV",B294=12,"DEC")</f>
        <v>NOV</v>
      </c>
      <c r="D294" s="2" t="s">
        <v>29</v>
      </c>
      <c r="E294" s="2" t="s">
        <v>12</v>
      </c>
      <c r="F294" s="2" t="s">
        <v>13</v>
      </c>
      <c r="G294" s="2" t="s">
        <v>14</v>
      </c>
      <c r="H294" s="2" t="s">
        <v>36</v>
      </c>
      <c r="I294" s="2" t="s">
        <v>31</v>
      </c>
      <c r="J294" s="15">
        <v>150000</v>
      </c>
      <c r="K294" s="2">
        <v>8</v>
      </c>
      <c r="L294" s="2" t="s">
        <v>24</v>
      </c>
      <c r="M294" s="12">
        <f t="shared" si="9"/>
        <v>120000</v>
      </c>
      <c r="N294" s="10">
        <f>PRODUCT(Table_13[[#This Row],[Unit Price]],Table_13[[#This Row],[Quantity]])</f>
        <v>1200000</v>
      </c>
      <c r="O294" s="16">
        <f>PRODUCT(Table_13[[#This Row],[Cost Price]],Table_13[[#This Row],[Quantity]])</f>
        <v>960000</v>
      </c>
      <c r="P294" s="27">
        <f t="shared" si="11"/>
        <v>240000</v>
      </c>
    </row>
    <row r="295" spans="1:16" x14ac:dyDescent="0.2">
      <c r="A295" s="33">
        <v>45969</v>
      </c>
      <c r="B295" s="30">
        <f t="shared" si="10"/>
        <v>11</v>
      </c>
      <c r="C295" s="30" t="str">
        <f>_xlfn.IFS(Table_13[[#This Row],[Month]]=1,"JAN",Table_13[[#This Row],[Month]]=2,"FEB",B295=3,"MAR",B295=4,"APR",B295=5,"MAY",B295=6,"JUN",B295=7,"JUL",B295=8,"AUG",Table_13[[#This Row],[Month]]=9,"SEPT",B295=10,"OCT",B295=11,"NOV",B295=12,"DEC")</f>
        <v>NOV</v>
      </c>
      <c r="D295" s="2" t="s">
        <v>18</v>
      </c>
      <c r="E295" s="2" t="s">
        <v>26</v>
      </c>
      <c r="F295" s="2" t="s">
        <v>23</v>
      </c>
      <c r="G295" s="2" t="s">
        <v>14</v>
      </c>
      <c r="H295" s="2" t="s">
        <v>36</v>
      </c>
      <c r="I295" s="2" t="s">
        <v>31</v>
      </c>
      <c r="J295" s="15">
        <v>150000</v>
      </c>
      <c r="K295" s="2">
        <v>10</v>
      </c>
      <c r="L295" s="2" t="s">
        <v>24</v>
      </c>
      <c r="M295" s="12">
        <f t="shared" si="9"/>
        <v>120000</v>
      </c>
      <c r="N295" s="10">
        <f>PRODUCT(Table_13[[#This Row],[Unit Price]],Table_13[[#This Row],[Quantity]])</f>
        <v>1500000</v>
      </c>
      <c r="O295" s="16">
        <f>PRODUCT(Table_13[[#This Row],[Cost Price]],Table_13[[#This Row],[Quantity]])</f>
        <v>1200000</v>
      </c>
      <c r="P295" s="27">
        <f t="shared" si="11"/>
        <v>300000</v>
      </c>
    </row>
    <row r="296" spans="1:16" x14ac:dyDescent="0.2">
      <c r="A296" s="33">
        <v>45970</v>
      </c>
      <c r="B296" s="30">
        <f t="shared" si="10"/>
        <v>11</v>
      </c>
      <c r="C296" s="30" t="str">
        <f>_xlfn.IFS(Table_13[[#This Row],[Month]]=1,"JAN",Table_13[[#This Row],[Month]]=2,"FEB",B296=3,"MAR",B296=4,"APR",B296=5,"MAY",B296=6,"JUN",B296=7,"JUL",B296=8,"AUG",Table_13[[#This Row],[Month]]=9,"SEPT",B296=10,"OCT",B296=11,"NOV",B296=12,"DEC")</f>
        <v>NOV</v>
      </c>
      <c r="D296" s="2" t="s">
        <v>18</v>
      </c>
      <c r="E296" s="2" t="s">
        <v>26</v>
      </c>
      <c r="F296" s="2" t="s">
        <v>13</v>
      </c>
      <c r="G296" s="2" t="s">
        <v>14</v>
      </c>
      <c r="H296" s="2" t="s">
        <v>40</v>
      </c>
      <c r="I296" s="2" t="s">
        <v>31</v>
      </c>
      <c r="J296" s="15">
        <v>250000</v>
      </c>
      <c r="K296" s="2">
        <v>5</v>
      </c>
      <c r="L296" s="2" t="s">
        <v>39</v>
      </c>
      <c r="M296" s="12">
        <f t="shared" si="9"/>
        <v>200000</v>
      </c>
      <c r="N296" s="10">
        <f>PRODUCT(Table_13[[#This Row],[Unit Price]],Table_13[[#This Row],[Quantity]])</f>
        <v>1250000</v>
      </c>
      <c r="O296" s="16">
        <f>PRODUCT(Table_13[[#This Row],[Cost Price]],Table_13[[#This Row],[Quantity]])</f>
        <v>1000000</v>
      </c>
      <c r="P296" s="27">
        <f t="shared" si="11"/>
        <v>250000</v>
      </c>
    </row>
    <row r="297" spans="1:16" x14ac:dyDescent="0.2">
      <c r="A297" s="33">
        <v>45971</v>
      </c>
      <c r="B297" s="30">
        <f t="shared" si="10"/>
        <v>11</v>
      </c>
      <c r="C297" s="30" t="str">
        <f>_xlfn.IFS(Table_13[[#This Row],[Month]]=1,"JAN",Table_13[[#This Row],[Month]]=2,"FEB",B297=3,"MAR",B297=4,"APR",B297=5,"MAY",B297=6,"JUN",B297=7,"JUL",B297=8,"AUG",Table_13[[#This Row],[Month]]=9,"SEPT",B297=10,"OCT",B297=11,"NOV",B297=12,"DEC")</f>
        <v>NOV</v>
      </c>
      <c r="D297" s="2" t="s">
        <v>11</v>
      </c>
      <c r="E297" s="2" t="s">
        <v>26</v>
      </c>
      <c r="F297" s="2" t="s">
        <v>13</v>
      </c>
      <c r="G297" s="2" t="s">
        <v>20</v>
      </c>
      <c r="H297" s="2" t="s">
        <v>34</v>
      </c>
      <c r="I297" s="2" t="s">
        <v>16</v>
      </c>
      <c r="J297" s="15">
        <v>320000</v>
      </c>
      <c r="K297" s="2">
        <v>9</v>
      </c>
      <c r="L297" s="2" t="s">
        <v>17</v>
      </c>
      <c r="M297" s="12">
        <f t="shared" si="9"/>
        <v>256000</v>
      </c>
      <c r="N297" s="10">
        <f>PRODUCT(Table_13[[#This Row],[Unit Price]],Table_13[[#This Row],[Quantity]])</f>
        <v>2880000</v>
      </c>
      <c r="O297" s="16">
        <f>PRODUCT(Table_13[[#This Row],[Cost Price]],Table_13[[#This Row],[Quantity]])</f>
        <v>2304000</v>
      </c>
      <c r="P297" s="27">
        <f t="shared" si="11"/>
        <v>576000</v>
      </c>
    </row>
    <row r="298" spans="1:16" x14ac:dyDescent="0.2">
      <c r="A298" s="33">
        <v>45972</v>
      </c>
      <c r="B298" s="30">
        <f t="shared" si="10"/>
        <v>11</v>
      </c>
      <c r="C298" s="30" t="str">
        <f>_xlfn.IFS(Table_13[[#This Row],[Month]]=1,"JAN",Table_13[[#This Row],[Month]]=2,"FEB",B298=3,"MAR",B298=4,"APR",B298=5,"MAY",B298=6,"JUN",B298=7,"JUL",B298=8,"AUG",Table_13[[#This Row],[Month]]=9,"SEPT",B298=10,"OCT",B298=11,"NOV",B298=12,"DEC")</f>
        <v>NOV</v>
      </c>
      <c r="D298" s="2" t="s">
        <v>11</v>
      </c>
      <c r="E298" s="2" t="s">
        <v>12</v>
      </c>
      <c r="F298" s="2" t="s">
        <v>23</v>
      </c>
      <c r="G298" s="2" t="s">
        <v>20</v>
      </c>
      <c r="H298" s="2" t="s">
        <v>33</v>
      </c>
      <c r="I298" s="2" t="s">
        <v>22</v>
      </c>
      <c r="J298" s="15">
        <v>180000</v>
      </c>
      <c r="K298" s="2">
        <v>10</v>
      </c>
      <c r="L298" s="2" t="s">
        <v>39</v>
      </c>
      <c r="M298" s="12">
        <f t="shared" si="9"/>
        <v>144000</v>
      </c>
      <c r="N298" s="10">
        <f>PRODUCT(Table_13[[#This Row],[Unit Price]],Table_13[[#This Row],[Quantity]])</f>
        <v>1800000</v>
      </c>
      <c r="O298" s="16">
        <f>PRODUCT(Table_13[[#This Row],[Cost Price]],Table_13[[#This Row],[Quantity]])</f>
        <v>1440000</v>
      </c>
      <c r="P298" s="27">
        <f t="shared" si="11"/>
        <v>360000</v>
      </c>
    </row>
    <row r="299" spans="1:16" x14ac:dyDescent="0.2">
      <c r="A299" s="33">
        <v>45973</v>
      </c>
      <c r="B299" s="30">
        <f t="shared" si="10"/>
        <v>11</v>
      </c>
      <c r="C299" s="30" t="str">
        <f>_xlfn.IFS(Table_13[[#This Row],[Month]]=1,"JAN",Table_13[[#This Row],[Month]]=2,"FEB",B299=3,"MAR",B299=4,"APR",B299=5,"MAY",B299=6,"JUN",B299=7,"JUL",B299=8,"AUG",Table_13[[#This Row],[Month]]=9,"SEPT",B299=10,"OCT",B299=11,"NOV",B299=12,"DEC")</f>
        <v>NOV</v>
      </c>
      <c r="D299" s="2" t="s">
        <v>11</v>
      </c>
      <c r="E299" s="2" t="s">
        <v>26</v>
      </c>
      <c r="F299" s="2" t="s">
        <v>23</v>
      </c>
      <c r="G299" s="2" t="s">
        <v>20</v>
      </c>
      <c r="H299" s="2" t="s">
        <v>27</v>
      </c>
      <c r="I299" s="2" t="s">
        <v>22</v>
      </c>
      <c r="J299" s="15">
        <v>60000</v>
      </c>
      <c r="K299" s="2">
        <v>6</v>
      </c>
      <c r="L299" s="2" t="s">
        <v>37</v>
      </c>
      <c r="M299" s="12">
        <f t="shared" si="9"/>
        <v>48000</v>
      </c>
      <c r="N299" s="10">
        <f>PRODUCT(Table_13[[#This Row],[Unit Price]],Table_13[[#This Row],[Quantity]])</f>
        <v>360000</v>
      </c>
      <c r="O299" s="16">
        <f>PRODUCT(Table_13[[#This Row],[Cost Price]],Table_13[[#This Row],[Quantity]])</f>
        <v>288000</v>
      </c>
      <c r="P299" s="27">
        <f t="shared" si="11"/>
        <v>72000</v>
      </c>
    </row>
    <row r="300" spans="1:16" x14ac:dyDescent="0.2">
      <c r="A300" s="33">
        <v>45974</v>
      </c>
      <c r="B300" s="30">
        <f t="shared" si="10"/>
        <v>11</v>
      </c>
      <c r="C300" s="30" t="str">
        <f>_xlfn.IFS(Table_13[[#This Row],[Month]]=1,"JAN",Table_13[[#This Row],[Month]]=2,"FEB",B300=3,"MAR",B300=4,"APR",B300=5,"MAY",B300=6,"JUN",B300=7,"JUL",B300=8,"AUG",Table_13[[#This Row],[Month]]=9,"SEPT",B300=10,"OCT",B300=11,"NOV",B300=12,"DEC")</f>
        <v>NOV</v>
      </c>
      <c r="D300" s="2" t="s">
        <v>11</v>
      </c>
      <c r="E300" s="2" t="s">
        <v>26</v>
      </c>
      <c r="F300" s="2" t="s">
        <v>23</v>
      </c>
      <c r="G300" s="2" t="s">
        <v>14</v>
      </c>
      <c r="H300" s="2" t="s">
        <v>36</v>
      </c>
      <c r="I300" s="2" t="s">
        <v>31</v>
      </c>
      <c r="J300" s="15">
        <v>150000</v>
      </c>
      <c r="K300" s="2">
        <v>10</v>
      </c>
      <c r="L300" s="2" t="s">
        <v>28</v>
      </c>
      <c r="M300" s="12">
        <f t="shared" si="9"/>
        <v>120000</v>
      </c>
      <c r="N300" s="10">
        <f>PRODUCT(Table_13[[#This Row],[Unit Price]],Table_13[[#This Row],[Quantity]])</f>
        <v>1500000</v>
      </c>
      <c r="O300" s="16">
        <f>PRODUCT(Table_13[[#This Row],[Cost Price]],Table_13[[#This Row],[Quantity]])</f>
        <v>1200000</v>
      </c>
      <c r="P300" s="27">
        <f t="shared" si="11"/>
        <v>300000</v>
      </c>
    </row>
    <row r="301" spans="1:16" x14ac:dyDescent="0.2">
      <c r="A301" s="33">
        <v>45975</v>
      </c>
      <c r="B301" s="30">
        <f t="shared" si="10"/>
        <v>11</v>
      </c>
      <c r="C301" s="30" t="str">
        <f>_xlfn.IFS(Table_13[[#This Row],[Month]]=1,"JAN",Table_13[[#This Row],[Month]]=2,"FEB",B301=3,"MAR",B301=4,"APR",B301=5,"MAY",B301=6,"JUN",B301=7,"JUL",B301=8,"AUG",Table_13[[#This Row],[Month]]=9,"SEPT",B301=10,"OCT",B301=11,"NOV",B301=12,"DEC")</f>
        <v>NOV</v>
      </c>
      <c r="D301" s="2" t="s">
        <v>18</v>
      </c>
      <c r="E301" s="2" t="s">
        <v>12</v>
      </c>
      <c r="F301" s="2" t="s">
        <v>13</v>
      </c>
      <c r="G301" s="2" t="s">
        <v>14</v>
      </c>
      <c r="H301" s="2" t="s">
        <v>40</v>
      </c>
      <c r="I301" s="2" t="s">
        <v>31</v>
      </c>
      <c r="J301" s="15">
        <v>250000</v>
      </c>
      <c r="K301" s="2">
        <v>5</v>
      </c>
      <c r="L301" s="2" t="s">
        <v>37</v>
      </c>
      <c r="M301" s="12">
        <f t="shared" si="9"/>
        <v>200000</v>
      </c>
      <c r="N301" s="10">
        <f>PRODUCT(Table_13[[#This Row],[Unit Price]],Table_13[[#This Row],[Quantity]])</f>
        <v>1250000</v>
      </c>
      <c r="O301" s="16">
        <f>PRODUCT(Table_13[[#This Row],[Cost Price]],Table_13[[#This Row],[Quantity]])</f>
        <v>1000000</v>
      </c>
      <c r="P301" s="27">
        <f t="shared" si="11"/>
        <v>250000</v>
      </c>
    </row>
    <row r="302" spans="1:16" x14ac:dyDescent="0.2">
      <c r="A302" s="33">
        <v>45976</v>
      </c>
      <c r="B302" s="30">
        <f t="shared" si="10"/>
        <v>11</v>
      </c>
      <c r="C302" s="30" t="str">
        <f>_xlfn.IFS(Table_13[[#This Row],[Month]]=1,"JAN",Table_13[[#This Row],[Month]]=2,"FEB",B302=3,"MAR",B302=4,"APR",B302=5,"MAY",B302=6,"JUN",B302=7,"JUL",B302=8,"AUG",Table_13[[#This Row],[Month]]=9,"SEPT",B302=10,"OCT",B302=11,"NOV",B302=12,"DEC")</f>
        <v>NOV</v>
      </c>
      <c r="D302" s="2" t="s">
        <v>11</v>
      </c>
      <c r="E302" s="2" t="s">
        <v>26</v>
      </c>
      <c r="F302" s="2" t="s">
        <v>13</v>
      </c>
      <c r="G302" s="2" t="s">
        <v>14</v>
      </c>
      <c r="H302" s="2" t="s">
        <v>33</v>
      </c>
      <c r="I302" s="2" t="s">
        <v>22</v>
      </c>
      <c r="J302" s="15">
        <v>180000</v>
      </c>
      <c r="K302" s="2">
        <v>3</v>
      </c>
      <c r="L302" s="2" t="s">
        <v>17</v>
      </c>
      <c r="M302" s="12">
        <f t="shared" si="9"/>
        <v>144000</v>
      </c>
      <c r="N302" s="10">
        <f>PRODUCT(Table_13[[#This Row],[Unit Price]],Table_13[[#This Row],[Quantity]])</f>
        <v>540000</v>
      </c>
      <c r="O302" s="16">
        <f>PRODUCT(Table_13[[#This Row],[Cost Price]],Table_13[[#This Row],[Quantity]])</f>
        <v>432000</v>
      </c>
      <c r="P302" s="27">
        <f t="shared" si="11"/>
        <v>108000</v>
      </c>
    </row>
    <row r="303" spans="1:16" x14ac:dyDescent="0.2">
      <c r="A303" s="33">
        <v>45977</v>
      </c>
      <c r="B303" s="30">
        <f t="shared" si="10"/>
        <v>11</v>
      </c>
      <c r="C303" s="30" t="str">
        <f>_xlfn.IFS(Table_13[[#This Row],[Month]]=1,"JAN",Table_13[[#This Row],[Month]]=2,"FEB",B303=3,"MAR",B303=4,"APR",B303=5,"MAY",B303=6,"JUN",B303=7,"JUL",B303=8,"AUG",Table_13[[#This Row],[Month]]=9,"SEPT",B303=10,"OCT",B303=11,"NOV",B303=12,"DEC")</f>
        <v>NOV</v>
      </c>
      <c r="D303" s="2" t="s">
        <v>11</v>
      </c>
      <c r="E303" s="2" t="s">
        <v>26</v>
      </c>
      <c r="F303" s="2" t="s">
        <v>23</v>
      </c>
      <c r="G303" s="2" t="s">
        <v>20</v>
      </c>
      <c r="H303" s="2" t="s">
        <v>34</v>
      </c>
      <c r="I303" s="2" t="s">
        <v>16</v>
      </c>
      <c r="J303" s="15">
        <v>320000</v>
      </c>
      <c r="K303" s="2">
        <v>5</v>
      </c>
      <c r="L303" s="2" t="s">
        <v>37</v>
      </c>
      <c r="M303" s="12">
        <f t="shared" si="9"/>
        <v>256000</v>
      </c>
      <c r="N303" s="10">
        <f>PRODUCT(Table_13[[#This Row],[Unit Price]],Table_13[[#This Row],[Quantity]])</f>
        <v>1600000</v>
      </c>
      <c r="O303" s="16">
        <f>PRODUCT(Table_13[[#This Row],[Cost Price]],Table_13[[#This Row],[Quantity]])</f>
        <v>1280000</v>
      </c>
      <c r="P303" s="27">
        <f t="shared" si="11"/>
        <v>320000</v>
      </c>
    </row>
    <row r="304" spans="1:16" x14ac:dyDescent="0.2">
      <c r="A304" s="33">
        <v>45978</v>
      </c>
      <c r="B304" s="30">
        <f t="shared" si="10"/>
        <v>11</v>
      </c>
      <c r="C304" s="30" t="str">
        <f>_xlfn.IFS(Table_13[[#This Row],[Month]]=1,"JAN",Table_13[[#This Row],[Month]]=2,"FEB",B304=3,"MAR",B304=4,"APR",B304=5,"MAY",B304=6,"JUN",B304=7,"JUL",B304=8,"AUG",Table_13[[#This Row],[Month]]=9,"SEPT",B304=10,"OCT",B304=11,"NOV",B304=12,"DEC")</f>
        <v>NOV</v>
      </c>
      <c r="D304" s="2" t="s">
        <v>25</v>
      </c>
      <c r="E304" s="2" t="s">
        <v>12</v>
      </c>
      <c r="F304" s="2" t="s">
        <v>13</v>
      </c>
      <c r="G304" s="2" t="s">
        <v>20</v>
      </c>
      <c r="H304" s="2" t="s">
        <v>34</v>
      </c>
      <c r="I304" s="2" t="s">
        <v>16</v>
      </c>
      <c r="J304" s="15">
        <v>320000</v>
      </c>
      <c r="K304" s="2">
        <v>10</v>
      </c>
      <c r="L304" s="2" t="s">
        <v>24</v>
      </c>
      <c r="M304" s="12">
        <f t="shared" si="9"/>
        <v>256000</v>
      </c>
      <c r="N304" s="10">
        <f>PRODUCT(Table_13[[#This Row],[Unit Price]],Table_13[[#This Row],[Quantity]])</f>
        <v>3200000</v>
      </c>
      <c r="O304" s="16">
        <f>PRODUCT(Table_13[[#This Row],[Cost Price]],Table_13[[#This Row],[Quantity]])</f>
        <v>2560000</v>
      </c>
      <c r="P304" s="27">
        <f t="shared" si="11"/>
        <v>640000</v>
      </c>
    </row>
    <row r="305" spans="1:16" x14ac:dyDescent="0.2">
      <c r="A305" s="33">
        <v>45979</v>
      </c>
      <c r="B305" s="30">
        <f t="shared" si="10"/>
        <v>11</v>
      </c>
      <c r="C305" s="30" t="str">
        <f>_xlfn.IFS(Table_13[[#This Row],[Month]]=1,"JAN",Table_13[[#This Row],[Month]]=2,"FEB",B305=3,"MAR",B305=4,"APR",B305=5,"MAY",B305=6,"JUN",B305=7,"JUL",B305=8,"AUG",Table_13[[#This Row],[Month]]=9,"SEPT",B305=10,"OCT",B305=11,"NOV",B305=12,"DEC")</f>
        <v>NOV</v>
      </c>
      <c r="D305" s="2" t="s">
        <v>18</v>
      </c>
      <c r="E305" s="2" t="s">
        <v>12</v>
      </c>
      <c r="F305" s="2" t="s">
        <v>23</v>
      </c>
      <c r="G305" s="2" t="s">
        <v>14</v>
      </c>
      <c r="H305" s="2" t="s">
        <v>21</v>
      </c>
      <c r="I305" s="2" t="s">
        <v>22</v>
      </c>
      <c r="J305" s="15">
        <v>30000</v>
      </c>
      <c r="K305" s="2">
        <v>5</v>
      </c>
      <c r="L305" s="2" t="s">
        <v>17</v>
      </c>
      <c r="M305" s="12">
        <f t="shared" si="9"/>
        <v>24000</v>
      </c>
      <c r="N305" s="10">
        <f>PRODUCT(Table_13[[#This Row],[Unit Price]],Table_13[[#This Row],[Quantity]])</f>
        <v>150000</v>
      </c>
      <c r="O305" s="16">
        <f>PRODUCT(Table_13[[#This Row],[Cost Price]],Table_13[[#This Row],[Quantity]])</f>
        <v>120000</v>
      </c>
      <c r="P305" s="27">
        <f t="shared" si="11"/>
        <v>30000</v>
      </c>
    </row>
    <row r="306" spans="1:16" x14ac:dyDescent="0.2">
      <c r="A306" s="33">
        <v>45980</v>
      </c>
      <c r="B306" s="30">
        <f t="shared" si="10"/>
        <v>11</v>
      </c>
      <c r="C306" s="30" t="str">
        <f>_xlfn.IFS(Table_13[[#This Row],[Month]]=1,"JAN",Table_13[[#This Row],[Month]]=2,"FEB",B306=3,"MAR",B306=4,"APR",B306=5,"MAY",B306=6,"JUN",B306=7,"JUL",B306=8,"AUG",Table_13[[#This Row],[Month]]=9,"SEPT",B306=10,"OCT",B306=11,"NOV",B306=12,"DEC")</f>
        <v>NOV</v>
      </c>
      <c r="D306" s="2" t="s">
        <v>29</v>
      </c>
      <c r="E306" s="2" t="s">
        <v>12</v>
      </c>
      <c r="F306" s="2" t="s">
        <v>23</v>
      </c>
      <c r="G306" s="2" t="s">
        <v>20</v>
      </c>
      <c r="H306" s="2" t="s">
        <v>38</v>
      </c>
      <c r="I306" s="2" t="s">
        <v>31</v>
      </c>
      <c r="J306" s="15">
        <v>420000</v>
      </c>
      <c r="K306" s="2">
        <v>3</v>
      </c>
      <c r="L306" s="2" t="s">
        <v>17</v>
      </c>
      <c r="M306" s="12">
        <f t="shared" si="9"/>
        <v>336000</v>
      </c>
      <c r="N306" s="10">
        <f>PRODUCT(Table_13[[#This Row],[Unit Price]],Table_13[[#This Row],[Quantity]])</f>
        <v>1260000</v>
      </c>
      <c r="O306" s="16">
        <f>PRODUCT(Table_13[[#This Row],[Cost Price]],Table_13[[#This Row],[Quantity]])</f>
        <v>1008000</v>
      </c>
      <c r="P306" s="27">
        <f t="shared" si="11"/>
        <v>252000</v>
      </c>
    </row>
    <row r="307" spans="1:16" x14ac:dyDescent="0.2">
      <c r="A307" s="33">
        <v>45981</v>
      </c>
      <c r="B307" s="30">
        <f t="shared" si="10"/>
        <v>11</v>
      </c>
      <c r="C307" s="30" t="str">
        <f>_xlfn.IFS(Table_13[[#This Row],[Month]]=1,"JAN",Table_13[[#This Row],[Month]]=2,"FEB",B307=3,"MAR",B307=4,"APR",B307=5,"MAY",B307=6,"JUN",B307=7,"JUL",B307=8,"AUG",Table_13[[#This Row],[Month]]=9,"SEPT",B307=10,"OCT",B307=11,"NOV",B307=12,"DEC")</f>
        <v>NOV</v>
      </c>
      <c r="D307" s="2" t="s">
        <v>18</v>
      </c>
      <c r="E307" s="2" t="s">
        <v>26</v>
      </c>
      <c r="F307" s="2" t="s">
        <v>13</v>
      </c>
      <c r="G307" s="2" t="s">
        <v>14</v>
      </c>
      <c r="H307" s="2" t="s">
        <v>21</v>
      </c>
      <c r="I307" s="2" t="s">
        <v>22</v>
      </c>
      <c r="J307" s="15">
        <v>30000</v>
      </c>
      <c r="K307" s="2">
        <v>4</v>
      </c>
      <c r="L307" s="2" t="s">
        <v>35</v>
      </c>
      <c r="M307" s="12">
        <f t="shared" si="9"/>
        <v>24000</v>
      </c>
      <c r="N307" s="10">
        <f>PRODUCT(Table_13[[#This Row],[Unit Price]],Table_13[[#This Row],[Quantity]])</f>
        <v>120000</v>
      </c>
      <c r="O307" s="16">
        <f>PRODUCT(Table_13[[#This Row],[Cost Price]],Table_13[[#This Row],[Quantity]])</f>
        <v>96000</v>
      </c>
      <c r="P307" s="27">
        <f t="shared" si="11"/>
        <v>24000</v>
      </c>
    </row>
    <row r="308" spans="1:16" x14ac:dyDescent="0.2">
      <c r="A308" s="33">
        <v>45982</v>
      </c>
      <c r="B308" s="30">
        <f t="shared" si="10"/>
        <v>11</v>
      </c>
      <c r="C308" s="30" t="str">
        <f>_xlfn.IFS(Table_13[[#This Row],[Month]]=1,"JAN",Table_13[[#This Row],[Month]]=2,"FEB",B308=3,"MAR",B308=4,"APR",B308=5,"MAY",B308=6,"JUN",B308=7,"JUL",B308=8,"AUG",Table_13[[#This Row],[Month]]=9,"SEPT",B308=10,"OCT",B308=11,"NOV",B308=12,"DEC")</f>
        <v>NOV</v>
      </c>
      <c r="D308" s="2" t="s">
        <v>18</v>
      </c>
      <c r="E308" s="2" t="s">
        <v>12</v>
      </c>
      <c r="F308" s="2" t="s">
        <v>13</v>
      </c>
      <c r="G308" s="2" t="s">
        <v>14</v>
      </c>
      <c r="H308" s="2" t="s">
        <v>33</v>
      </c>
      <c r="I308" s="2" t="s">
        <v>22</v>
      </c>
      <c r="J308" s="15">
        <v>180000</v>
      </c>
      <c r="K308" s="2">
        <v>4</v>
      </c>
      <c r="L308" s="2" t="s">
        <v>17</v>
      </c>
      <c r="M308" s="12">
        <f t="shared" si="9"/>
        <v>144000</v>
      </c>
      <c r="N308" s="10">
        <f>PRODUCT(Table_13[[#This Row],[Unit Price]],Table_13[[#This Row],[Quantity]])</f>
        <v>720000</v>
      </c>
      <c r="O308" s="16">
        <f>PRODUCT(Table_13[[#This Row],[Cost Price]],Table_13[[#This Row],[Quantity]])</f>
        <v>576000</v>
      </c>
      <c r="P308" s="27">
        <f t="shared" si="11"/>
        <v>144000</v>
      </c>
    </row>
    <row r="309" spans="1:16" x14ac:dyDescent="0.2">
      <c r="A309" s="33">
        <v>45983</v>
      </c>
      <c r="B309" s="30">
        <f t="shared" si="10"/>
        <v>11</v>
      </c>
      <c r="C309" s="30" t="str">
        <f>_xlfn.IFS(Table_13[[#This Row],[Month]]=1,"JAN",Table_13[[#This Row],[Month]]=2,"FEB",B309=3,"MAR",B309=4,"APR",B309=5,"MAY",B309=6,"JUN",B309=7,"JUL",B309=8,"AUG",Table_13[[#This Row],[Month]]=9,"SEPT",B309=10,"OCT",B309=11,"NOV",B309=12,"DEC")</f>
        <v>NOV</v>
      </c>
      <c r="D309" s="2" t="s">
        <v>18</v>
      </c>
      <c r="E309" s="2" t="s">
        <v>19</v>
      </c>
      <c r="F309" s="2" t="s">
        <v>13</v>
      </c>
      <c r="G309" s="2" t="s">
        <v>14</v>
      </c>
      <c r="H309" s="2" t="s">
        <v>40</v>
      </c>
      <c r="I309" s="2" t="s">
        <v>31</v>
      </c>
      <c r="J309" s="15">
        <v>250000</v>
      </c>
      <c r="K309" s="2">
        <v>5</v>
      </c>
      <c r="L309" s="2" t="s">
        <v>39</v>
      </c>
      <c r="M309" s="12">
        <f t="shared" si="9"/>
        <v>200000</v>
      </c>
      <c r="N309" s="10">
        <f>PRODUCT(Table_13[[#This Row],[Unit Price]],Table_13[[#This Row],[Quantity]])</f>
        <v>1250000</v>
      </c>
      <c r="O309" s="16">
        <f>PRODUCT(Table_13[[#This Row],[Cost Price]],Table_13[[#This Row],[Quantity]])</f>
        <v>1000000</v>
      </c>
      <c r="P309" s="27">
        <f t="shared" si="11"/>
        <v>250000</v>
      </c>
    </row>
    <row r="310" spans="1:16" x14ac:dyDescent="0.2">
      <c r="A310" s="33">
        <v>45984</v>
      </c>
      <c r="B310" s="30">
        <f t="shared" si="10"/>
        <v>11</v>
      </c>
      <c r="C310" s="30" t="str">
        <f>_xlfn.IFS(Table_13[[#This Row],[Month]]=1,"JAN",Table_13[[#This Row],[Month]]=2,"FEB",B310=3,"MAR",B310=4,"APR",B310=5,"MAY",B310=6,"JUN",B310=7,"JUL",B310=8,"AUG",Table_13[[#This Row],[Month]]=9,"SEPT",B310=10,"OCT",B310=11,"NOV",B310=12,"DEC")</f>
        <v>NOV</v>
      </c>
      <c r="D310" s="2" t="s">
        <v>11</v>
      </c>
      <c r="E310" s="2" t="s">
        <v>32</v>
      </c>
      <c r="F310" s="2" t="s">
        <v>23</v>
      </c>
      <c r="G310" s="2" t="s">
        <v>20</v>
      </c>
      <c r="H310" s="2" t="s">
        <v>33</v>
      </c>
      <c r="I310" s="2" t="s">
        <v>22</v>
      </c>
      <c r="J310" s="15">
        <v>180000</v>
      </c>
      <c r="K310" s="2">
        <v>3</v>
      </c>
      <c r="L310" s="2" t="s">
        <v>35</v>
      </c>
      <c r="M310" s="12">
        <f t="shared" si="9"/>
        <v>144000</v>
      </c>
      <c r="N310" s="10">
        <f>PRODUCT(Table_13[[#This Row],[Unit Price]],Table_13[[#This Row],[Quantity]])</f>
        <v>540000</v>
      </c>
      <c r="O310" s="16">
        <f>PRODUCT(Table_13[[#This Row],[Cost Price]],Table_13[[#This Row],[Quantity]])</f>
        <v>432000</v>
      </c>
      <c r="P310" s="27">
        <f t="shared" si="11"/>
        <v>108000</v>
      </c>
    </row>
    <row r="311" spans="1:16" x14ac:dyDescent="0.2">
      <c r="A311" s="33">
        <v>45985</v>
      </c>
      <c r="B311" s="30">
        <f t="shared" si="10"/>
        <v>11</v>
      </c>
      <c r="C311" s="30" t="str">
        <f>_xlfn.IFS(Table_13[[#This Row],[Month]]=1,"JAN",Table_13[[#This Row],[Month]]=2,"FEB",B311=3,"MAR",B311=4,"APR",B311=5,"MAY",B311=6,"JUN",B311=7,"JUL",B311=8,"AUG",Table_13[[#This Row],[Month]]=9,"SEPT",B311=10,"OCT",B311=11,"NOV",B311=12,"DEC")</f>
        <v>NOV</v>
      </c>
      <c r="D311" s="2" t="s">
        <v>18</v>
      </c>
      <c r="E311" s="2" t="s">
        <v>12</v>
      </c>
      <c r="F311" s="2" t="s">
        <v>13</v>
      </c>
      <c r="G311" s="2" t="s">
        <v>14</v>
      </c>
      <c r="H311" s="2" t="s">
        <v>30</v>
      </c>
      <c r="I311" s="2" t="s">
        <v>31</v>
      </c>
      <c r="J311" s="15">
        <v>300000</v>
      </c>
      <c r="K311" s="2">
        <v>5</v>
      </c>
      <c r="L311" s="2" t="s">
        <v>39</v>
      </c>
      <c r="M311" s="12">
        <f t="shared" si="9"/>
        <v>240000</v>
      </c>
      <c r="N311" s="10">
        <f>PRODUCT(Table_13[[#This Row],[Unit Price]],Table_13[[#This Row],[Quantity]])</f>
        <v>1500000</v>
      </c>
      <c r="O311" s="16">
        <f>PRODUCT(Table_13[[#This Row],[Cost Price]],Table_13[[#This Row],[Quantity]])</f>
        <v>1200000</v>
      </c>
      <c r="P311" s="27">
        <f t="shared" si="11"/>
        <v>300000</v>
      </c>
    </row>
    <row r="312" spans="1:16" x14ac:dyDescent="0.2">
      <c r="A312" s="33">
        <v>45986</v>
      </c>
      <c r="B312" s="30">
        <f t="shared" si="10"/>
        <v>11</v>
      </c>
      <c r="C312" s="30" t="str">
        <f>_xlfn.IFS(Table_13[[#This Row],[Month]]=1,"JAN",Table_13[[#This Row],[Month]]=2,"FEB",B312=3,"MAR",B312=4,"APR",B312=5,"MAY",B312=6,"JUN",B312=7,"JUL",B312=8,"AUG",Table_13[[#This Row],[Month]]=9,"SEPT",B312=10,"OCT",B312=11,"NOV",B312=12,"DEC")</f>
        <v>NOV</v>
      </c>
      <c r="D312" s="2" t="s">
        <v>11</v>
      </c>
      <c r="E312" s="2" t="s">
        <v>26</v>
      </c>
      <c r="F312" s="2" t="s">
        <v>13</v>
      </c>
      <c r="G312" s="2" t="s">
        <v>20</v>
      </c>
      <c r="H312" s="2" t="s">
        <v>15</v>
      </c>
      <c r="I312" s="2" t="s">
        <v>16</v>
      </c>
      <c r="J312" s="15">
        <v>85000</v>
      </c>
      <c r="K312" s="2">
        <v>8</v>
      </c>
      <c r="L312" s="2" t="s">
        <v>35</v>
      </c>
      <c r="M312" s="12">
        <f t="shared" si="9"/>
        <v>68000</v>
      </c>
      <c r="N312" s="10">
        <f>PRODUCT(Table_13[[#This Row],[Unit Price]],Table_13[[#This Row],[Quantity]])</f>
        <v>680000</v>
      </c>
      <c r="O312" s="16">
        <f>PRODUCT(Table_13[[#This Row],[Cost Price]],Table_13[[#This Row],[Quantity]])</f>
        <v>544000</v>
      </c>
      <c r="P312" s="27">
        <f t="shared" si="11"/>
        <v>136000</v>
      </c>
    </row>
    <row r="313" spans="1:16" x14ac:dyDescent="0.2">
      <c r="A313" s="33">
        <v>45987</v>
      </c>
      <c r="B313" s="30">
        <f t="shared" si="10"/>
        <v>11</v>
      </c>
      <c r="C313" s="30" t="str">
        <f>_xlfn.IFS(Table_13[[#This Row],[Month]]=1,"JAN",Table_13[[#This Row],[Month]]=2,"FEB",B313=3,"MAR",B313=4,"APR",B313=5,"MAY",B313=6,"JUN",B313=7,"JUL",B313=8,"AUG",Table_13[[#This Row],[Month]]=9,"SEPT",B313=10,"OCT",B313=11,"NOV",B313=12,"DEC")</f>
        <v>NOV</v>
      </c>
      <c r="D313" s="2" t="s">
        <v>18</v>
      </c>
      <c r="E313" s="2" t="s">
        <v>19</v>
      </c>
      <c r="F313" s="2" t="s">
        <v>23</v>
      </c>
      <c r="G313" s="2" t="s">
        <v>14</v>
      </c>
      <c r="H313" s="2" t="s">
        <v>33</v>
      </c>
      <c r="I313" s="2" t="s">
        <v>22</v>
      </c>
      <c r="J313" s="15">
        <v>180000</v>
      </c>
      <c r="K313" s="2">
        <v>6</v>
      </c>
      <c r="L313" s="2" t="s">
        <v>39</v>
      </c>
      <c r="M313" s="12">
        <f t="shared" si="9"/>
        <v>144000</v>
      </c>
      <c r="N313" s="10">
        <f>PRODUCT(Table_13[[#This Row],[Unit Price]],Table_13[[#This Row],[Quantity]])</f>
        <v>1080000</v>
      </c>
      <c r="O313" s="16">
        <f>PRODUCT(Table_13[[#This Row],[Cost Price]],Table_13[[#This Row],[Quantity]])</f>
        <v>864000</v>
      </c>
      <c r="P313" s="27">
        <f t="shared" si="11"/>
        <v>216000</v>
      </c>
    </row>
    <row r="314" spans="1:16" x14ac:dyDescent="0.2">
      <c r="A314" s="33">
        <v>45988</v>
      </c>
      <c r="B314" s="30">
        <f t="shared" si="10"/>
        <v>11</v>
      </c>
      <c r="C314" s="30" t="str">
        <f>_xlfn.IFS(Table_13[[#This Row],[Month]]=1,"JAN",Table_13[[#This Row],[Month]]=2,"FEB",B314=3,"MAR",B314=4,"APR",B314=5,"MAY",B314=6,"JUN",B314=7,"JUL",B314=8,"AUG",Table_13[[#This Row],[Month]]=9,"SEPT",B314=10,"OCT",B314=11,"NOV",B314=12,"DEC")</f>
        <v>NOV</v>
      </c>
      <c r="D314" s="2" t="s">
        <v>18</v>
      </c>
      <c r="E314" s="2" t="s">
        <v>19</v>
      </c>
      <c r="F314" s="2" t="s">
        <v>23</v>
      </c>
      <c r="G314" s="2" t="s">
        <v>14</v>
      </c>
      <c r="H314" s="2" t="s">
        <v>38</v>
      </c>
      <c r="I314" s="2" t="s">
        <v>31</v>
      </c>
      <c r="J314" s="15">
        <v>420000</v>
      </c>
      <c r="K314" s="2">
        <v>7</v>
      </c>
      <c r="L314" s="2" t="s">
        <v>37</v>
      </c>
      <c r="M314" s="12">
        <f t="shared" si="9"/>
        <v>336000</v>
      </c>
      <c r="N314" s="10">
        <f>PRODUCT(Table_13[[#This Row],[Unit Price]],Table_13[[#This Row],[Quantity]])</f>
        <v>2940000</v>
      </c>
      <c r="O314" s="16">
        <f>PRODUCT(Table_13[[#This Row],[Cost Price]],Table_13[[#This Row],[Quantity]])</f>
        <v>2352000</v>
      </c>
      <c r="P314" s="27">
        <f t="shared" si="11"/>
        <v>588000</v>
      </c>
    </row>
    <row r="315" spans="1:16" x14ac:dyDescent="0.2">
      <c r="A315" s="33">
        <v>45989</v>
      </c>
      <c r="B315" s="30">
        <f t="shared" si="10"/>
        <v>11</v>
      </c>
      <c r="C315" s="30" t="str">
        <f>_xlfn.IFS(Table_13[[#This Row],[Month]]=1,"JAN",Table_13[[#This Row],[Month]]=2,"FEB",B315=3,"MAR",B315=4,"APR",B315=5,"MAY",B315=6,"JUN",B315=7,"JUL",B315=8,"AUG",Table_13[[#This Row],[Month]]=9,"SEPT",B315=10,"OCT",B315=11,"NOV",B315=12,"DEC")</f>
        <v>NOV</v>
      </c>
      <c r="D315" s="2" t="s">
        <v>25</v>
      </c>
      <c r="E315" s="2" t="s">
        <v>26</v>
      </c>
      <c r="F315" s="2" t="s">
        <v>23</v>
      </c>
      <c r="G315" s="2" t="s">
        <v>14</v>
      </c>
      <c r="H315" s="2" t="s">
        <v>36</v>
      </c>
      <c r="I315" s="2" t="s">
        <v>31</v>
      </c>
      <c r="J315" s="15">
        <v>150000</v>
      </c>
      <c r="K315" s="2">
        <v>8</v>
      </c>
      <c r="L315" s="2" t="s">
        <v>17</v>
      </c>
      <c r="M315" s="12">
        <f t="shared" si="9"/>
        <v>120000</v>
      </c>
      <c r="N315" s="10">
        <f>PRODUCT(Table_13[[#This Row],[Unit Price]],Table_13[[#This Row],[Quantity]])</f>
        <v>1200000</v>
      </c>
      <c r="O315" s="16">
        <f>PRODUCT(Table_13[[#This Row],[Cost Price]],Table_13[[#This Row],[Quantity]])</f>
        <v>960000</v>
      </c>
      <c r="P315" s="27">
        <f t="shared" si="11"/>
        <v>240000</v>
      </c>
    </row>
    <row r="316" spans="1:16" x14ac:dyDescent="0.2">
      <c r="A316" s="33">
        <v>45990</v>
      </c>
      <c r="B316" s="30">
        <f t="shared" si="10"/>
        <v>11</v>
      </c>
      <c r="C316" s="30" t="str">
        <f>_xlfn.IFS(Table_13[[#This Row],[Month]]=1,"JAN",Table_13[[#This Row],[Month]]=2,"FEB",B316=3,"MAR",B316=4,"APR",B316=5,"MAY",B316=6,"JUN",B316=7,"JUL",B316=8,"AUG",Table_13[[#This Row],[Month]]=9,"SEPT",B316=10,"OCT",B316=11,"NOV",B316=12,"DEC")</f>
        <v>NOV</v>
      </c>
      <c r="D316" s="2" t="s">
        <v>18</v>
      </c>
      <c r="E316" s="2" t="s">
        <v>26</v>
      </c>
      <c r="F316" s="2" t="s">
        <v>13</v>
      </c>
      <c r="G316" s="2" t="s">
        <v>14</v>
      </c>
      <c r="H316" s="2" t="s">
        <v>15</v>
      </c>
      <c r="I316" s="2" t="s">
        <v>16</v>
      </c>
      <c r="J316" s="15">
        <v>85000</v>
      </c>
      <c r="K316" s="2">
        <v>6</v>
      </c>
      <c r="L316" s="2" t="s">
        <v>37</v>
      </c>
      <c r="M316" s="12">
        <f t="shared" si="9"/>
        <v>68000</v>
      </c>
      <c r="N316" s="10">
        <f>PRODUCT(Table_13[[#This Row],[Unit Price]],Table_13[[#This Row],[Quantity]])</f>
        <v>510000</v>
      </c>
      <c r="O316" s="16">
        <f>PRODUCT(Table_13[[#This Row],[Cost Price]],Table_13[[#This Row],[Quantity]])</f>
        <v>408000</v>
      </c>
      <c r="P316" s="27">
        <f t="shared" si="11"/>
        <v>102000</v>
      </c>
    </row>
    <row r="317" spans="1:16" x14ac:dyDescent="0.2">
      <c r="A317" s="33">
        <v>45991</v>
      </c>
      <c r="B317" s="30">
        <f t="shared" si="10"/>
        <v>11</v>
      </c>
      <c r="C317" s="30" t="str">
        <f>_xlfn.IFS(Table_13[[#This Row],[Month]]=1,"JAN",Table_13[[#This Row],[Month]]=2,"FEB",B317=3,"MAR",B317=4,"APR",B317=5,"MAY",B317=6,"JUN",B317=7,"JUL",B317=8,"AUG",Table_13[[#This Row],[Month]]=9,"SEPT",B317=10,"OCT",B317=11,"NOV",B317=12,"DEC")</f>
        <v>NOV</v>
      </c>
      <c r="D317" s="2" t="s">
        <v>25</v>
      </c>
      <c r="E317" s="2" t="s">
        <v>12</v>
      </c>
      <c r="F317" s="2" t="s">
        <v>13</v>
      </c>
      <c r="G317" s="2" t="s">
        <v>20</v>
      </c>
      <c r="H317" s="2" t="s">
        <v>33</v>
      </c>
      <c r="I317" s="2" t="s">
        <v>22</v>
      </c>
      <c r="J317" s="15">
        <v>180000</v>
      </c>
      <c r="K317" s="2">
        <v>9</v>
      </c>
      <c r="L317" s="2" t="s">
        <v>28</v>
      </c>
      <c r="M317" s="12">
        <f t="shared" si="9"/>
        <v>144000</v>
      </c>
      <c r="N317" s="10">
        <f>PRODUCT(Table_13[[#This Row],[Unit Price]],Table_13[[#This Row],[Quantity]])</f>
        <v>1620000</v>
      </c>
      <c r="O317" s="16">
        <f>PRODUCT(Table_13[[#This Row],[Cost Price]],Table_13[[#This Row],[Quantity]])</f>
        <v>1296000</v>
      </c>
      <c r="P317" s="27">
        <f t="shared" si="11"/>
        <v>324000</v>
      </c>
    </row>
    <row r="318" spans="1:16" x14ac:dyDescent="0.2">
      <c r="A318" s="33">
        <v>45992</v>
      </c>
      <c r="B318" s="30">
        <f t="shared" si="10"/>
        <v>12</v>
      </c>
      <c r="C318" s="30" t="str">
        <f>_xlfn.IFS(Table_13[[#This Row],[Month]]=1,"JAN",Table_13[[#This Row],[Month]]=2,"FEB",B318=3,"MAR",B318=4,"APR",B318=5,"MAY",B318=6,"JUN",B318=7,"JUL",B318=8,"AUG",Table_13[[#This Row],[Month]]=9,"SEPT",B318=10,"OCT",B318=11,"NOV",B318=12,"DEC")</f>
        <v>DEC</v>
      </c>
      <c r="D318" s="2" t="s">
        <v>11</v>
      </c>
      <c r="E318" s="2" t="s">
        <v>26</v>
      </c>
      <c r="F318" s="2" t="s">
        <v>23</v>
      </c>
      <c r="G318" s="2" t="s">
        <v>14</v>
      </c>
      <c r="H318" s="2" t="s">
        <v>40</v>
      </c>
      <c r="I318" s="2" t="s">
        <v>31</v>
      </c>
      <c r="J318" s="15">
        <v>250000</v>
      </c>
      <c r="K318" s="2">
        <v>5</v>
      </c>
      <c r="L318" s="2" t="s">
        <v>37</v>
      </c>
      <c r="M318" s="12">
        <f t="shared" si="9"/>
        <v>200000</v>
      </c>
      <c r="N318" s="10">
        <f>PRODUCT(Table_13[[#This Row],[Unit Price]],Table_13[[#This Row],[Quantity]])</f>
        <v>1250000</v>
      </c>
      <c r="O318" s="16">
        <f>PRODUCT(Table_13[[#This Row],[Cost Price]],Table_13[[#This Row],[Quantity]])</f>
        <v>1000000</v>
      </c>
      <c r="P318" s="27">
        <f t="shared" si="11"/>
        <v>250000</v>
      </c>
    </row>
    <row r="319" spans="1:16" x14ac:dyDescent="0.2">
      <c r="A319" s="33">
        <v>45993</v>
      </c>
      <c r="B319" s="30">
        <f t="shared" si="10"/>
        <v>12</v>
      </c>
      <c r="C319" s="30" t="str">
        <f>_xlfn.IFS(Table_13[[#This Row],[Month]]=1,"JAN",Table_13[[#This Row],[Month]]=2,"FEB",B319=3,"MAR",B319=4,"APR",B319=5,"MAY",B319=6,"JUN",B319=7,"JUL",B319=8,"AUG",Table_13[[#This Row],[Month]]=9,"SEPT",B319=10,"OCT",B319=11,"NOV",B319=12,"DEC")</f>
        <v>DEC</v>
      </c>
      <c r="D319" s="2" t="s">
        <v>29</v>
      </c>
      <c r="E319" s="2" t="s">
        <v>26</v>
      </c>
      <c r="F319" s="2" t="s">
        <v>13</v>
      </c>
      <c r="G319" s="2" t="s">
        <v>20</v>
      </c>
      <c r="H319" s="2" t="s">
        <v>34</v>
      </c>
      <c r="I319" s="2" t="s">
        <v>16</v>
      </c>
      <c r="J319" s="15">
        <v>320000</v>
      </c>
      <c r="K319" s="2">
        <v>9</v>
      </c>
      <c r="L319" s="2" t="s">
        <v>28</v>
      </c>
      <c r="M319" s="12">
        <f t="shared" si="9"/>
        <v>256000</v>
      </c>
      <c r="N319" s="10">
        <f>PRODUCT(Table_13[[#This Row],[Unit Price]],Table_13[[#This Row],[Quantity]])</f>
        <v>2880000</v>
      </c>
      <c r="O319" s="16">
        <f>PRODUCT(Table_13[[#This Row],[Cost Price]],Table_13[[#This Row],[Quantity]])</f>
        <v>2304000</v>
      </c>
      <c r="P319" s="27">
        <f t="shared" si="11"/>
        <v>576000</v>
      </c>
    </row>
    <row r="320" spans="1:16" x14ac:dyDescent="0.2">
      <c r="A320" s="33">
        <v>45994</v>
      </c>
      <c r="B320" s="30">
        <f t="shared" si="10"/>
        <v>12</v>
      </c>
      <c r="C320" s="30" t="str">
        <f>_xlfn.IFS(Table_13[[#This Row],[Month]]=1,"JAN",Table_13[[#This Row],[Month]]=2,"FEB",B320=3,"MAR",B320=4,"APR",B320=5,"MAY",B320=6,"JUN",B320=7,"JUL",B320=8,"AUG",Table_13[[#This Row],[Month]]=9,"SEPT",B320=10,"OCT",B320=11,"NOV",B320=12,"DEC")</f>
        <v>DEC</v>
      </c>
      <c r="D320" s="2" t="s">
        <v>29</v>
      </c>
      <c r="E320" s="2" t="s">
        <v>19</v>
      </c>
      <c r="F320" s="2" t="s">
        <v>23</v>
      </c>
      <c r="G320" s="2" t="s">
        <v>20</v>
      </c>
      <c r="H320" s="2" t="s">
        <v>36</v>
      </c>
      <c r="I320" s="2" t="s">
        <v>31</v>
      </c>
      <c r="J320" s="15">
        <v>150000</v>
      </c>
      <c r="K320" s="2">
        <v>7</v>
      </c>
      <c r="L320" s="2" t="s">
        <v>24</v>
      </c>
      <c r="M320" s="12">
        <f t="shared" si="9"/>
        <v>120000</v>
      </c>
      <c r="N320" s="10">
        <f>PRODUCT(Table_13[[#This Row],[Unit Price]],Table_13[[#This Row],[Quantity]])</f>
        <v>1050000</v>
      </c>
      <c r="O320" s="16">
        <f>PRODUCT(Table_13[[#This Row],[Cost Price]],Table_13[[#This Row],[Quantity]])</f>
        <v>840000</v>
      </c>
      <c r="P320" s="27">
        <f t="shared" si="11"/>
        <v>210000</v>
      </c>
    </row>
    <row r="321" spans="1:16" x14ac:dyDescent="0.2">
      <c r="A321" s="33">
        <v>45995</v>
      </c>
      <c r="B321" s="30">
        <f t="shared" si="10"/>
        <v>12</v>
      </c>
      <c r="C321" s="30" t="str">
        <f>_xlfn.IFS(Table_13[[#This Row],[Month]]=1,"JAN",Table_13[[#This Row],[Month]]=2,"FEB",B321=3,"MAR",B321=4,"APR",B321=5,"MAY",B321=6,"JUN",B321=7,"JUL",B321=8,"AUG",Table_13[[#This Row],[Month]]=9,"SEPT",B321=10,"OCT",B321=11,"NOV",B321=12,"DEC")</f>
        <v>DEC</v>
      </c>
      <c r="D321" s="2" t="s">
        <v>18</v>
      </c>
      <c r="E321" s="2" t="s">
        <v>12</v>
      </c>
      <c r="F321" s="2" t="s">
        <v>13</v>
      </c>
      <c r="G321" s="2" t="s">
        <v>14</v>
      </c>
      <c r="H321" s="2" t="s">
        <v>38</v>
      </c>
      <c r="I321" s="2" t="s">
        <v>31</v>
      </c>
      <c r="J321" s="15">
        <v>420000</v>
      </c>
      <c r="K321" s="2">
        <v>9</v>
      </c>
      <c r="L321" s="2" t="s">
        <v>37</v>
      </c>
      <c r="M321" s="12">
        <f t="shared" si="9"/>
        <v>336000</v>
      </c>
      <c r="N321" s="10">
        <f>PRODUCT(Table_13[[#This Row],[Unit Price]],Table_13[[#This Row],[Quantity]])</f>
        <v>3780000</v>
      </c>
      <c r="O321" s="16">
        <f>PRODUCT(Table_13[[#This Row],[Cost Price]],Table_13[[#This Row],[Quantity]])</f>
        <v>3024000</v>
      </c>
      <c r="P321" s="27">
        <f t="shared" si="11"/>
        <v>756000</v>
      </c>
    </row>
    <row r="322" spans="1:16" x14ac:dyDescent="0.2">
      <c r="A322" s="33">
        <v>45996</v>
      </c>
      <c r="B322" s="30">
        <f t="shared" ref="B322:B385" si="12">MONTH(A322)</f>
        <v>12</v>
      </c>
      <c r="C322" s="30" t="str">
        <f>_xlfn.IFS(Table_13[[#This Row],[Month]]=1,"JAN",Table_13[[#This Row],[Month]]=2,"FEB",B322=3,"MAR",B322=4,"APR",B322=5,"MAY",B322=6,"JUN",B322=7,"JUL",B322=8,"AUG",Table_13[[#This Row],[Month]]=9,"SEPT",B322=10,"OCT",B322=11,"NOV",B322=12,"DEC")</f>
        <v>DEC</v>
      </c>
      <c r="D322" s="2" t="s">
        <v>25</v>
      </c>
      <c r="E322" s="2" t="s">
        <v>19</v>
      </c>
      <c r="F322" s="2" t="s">
        <v>23</v>
      </c>
      <c r="G322" s="2" t="s">
        <v>20</v>
      </c>
      <c r="H322" s="2" t="s">
        <v>27</v>
      </c>
      <c r="I322" s="2" t="s">
        <v>22</v>
      </c>
      <c r="J322" s="15">
        <v>60000</v>
      </c>
      <c r="K322" s="2">
        <v>4</v>
      </c>
      <c r="L322" s="2" t="s">
        <v>24</v>
      </c>
      <c r="M322" s="12">
        <f t="shared" si="9"/>
        <v>48000</v>
      </c>
      <c r="N322" s="10">
        <f>PRODUCT(Table_13[[#This Row],[Unit Price]],Table_13[[#This Row],[Quantity]])</f>
        <v>240000</v>
      </c>
      <c r="O322" s="16">
        <f>PRODUCT(Table_13[[#This Row],[Cost Price]],Table_13[[#This Row],[Quantity]])</f>
        <v>192000</v>
      </c>
      <c r="P322" s="27">
        <f t="shared" ref="P322:P385" si="13">N322-O322</f>
        <v>48000</v>
      </c>
    </row>
    <row r="323" spans="1:16" x14ac:dyDescent="0.2">
      <c r="A323" s="33">
        <v>45997</v>
      </c>
      <c r="B323" s="30">
        <f t="shared" si="12"/>
        <v>12</v>
      </c>
      <c r="C323" s="30" t="str">
        <f>_xlfn.IFS(Table_13[[#This Row],[Month]]=1,"JAN",Table_13[[#This Row],[Month]]=2,"FEB",B323=3,"MAR",B323=4,"APR",B323=5,"MAY",B323=6,"JUN",B323=7,"JUL",B323=8,"AUG",Table_13[[#This Row],[Month]]=9,"SEPT",B323=10,"OCT",B323=11,"NOV",B323=12,"DEC")</f>
        <v>DEC</v>
      </c>
      <c r="D323" s="2" t="s">
        <v>11</v>
      </c>
      <c r="E323" s="2" t="s">
        <v>26</v>
      </c>
      <c r="F323" s="2" t="s">
        <v>13</v>
      </c>
      <c r="G323" s="2" t="s">
        <v>20</v>
      </c>
      <c r="H323" s="2" t="s">
        <v>40</v>
      </c>
      <c r="I323" s="2" t="s">
        <v>31</v>
      </c>
      <c r="J323" s="15">
        <v>250000</v>
      </c>
      <c r="K323" s="2">
        <v>5</v>
      </c>
      <c r="L323" s="2" t="s">
        <v>24</v>
      </c>
      <c r="M323" s="12">
        <f t="shared" si="9"/>
        <v>200000</v>
      </c>
      <c r="N323" s="10">
        <f>PRODUCT(Table_13[[#This Row],[Unit Price]],Table_13[[#This Row],[Quantity]])</f>
        <v>1250000</v>
      </c>
      <c r="O323" s="16">
        <f>PRODUCT(Table_13[[#This Row],[Cost Price]],Table_13[[#This Row],[Quantity]])</f>
        <v>1000000</v>
      </c>
      <c r="P323" s="27">
        <f t="shared" si="13"/>
        <v>250000</v>
      </c>
    </row>
    <row r="324" spans="1:16" x14ac:dyDescent="0.2">
      <c r="A324" s="33">
        <v>45998</v>
      </c>
      <c r="B324" s="30">
        <f t="shared" si="12"/>
        <v>12</v>
      </c>
      <c r="C324" s="30" t="str">
        <f>_xlfn.IFS(Table_13[[#This Row],[Month]]=1,"JAN",Table_13[[#This Row],[Month]]=2,"FEB",B324=3,"MAR",B324=4,"APR",B324=5,"MAY",B324=6,"JUN",B324=7,"JUL",B324=8,"AUG",Table_13[[#This Row],[Month]]=9,"SEPT",B324=10,"OCT",B324=11,"NOV",B324=12,"DEC")</f>
        <v>DEC</v>
      </c>
      <c r="D324" s="2" t="s">
        <v>11</v>
      </c>
      <c r="E324" s="2" t="s">
        <v>26</v>
      </c>
      <c r="F324" s="2" t="s">
        <v>23</v>
      </c>
      <c r="G324" s="2" t="s">
        <v>14</v>
      </c>
      <c r="H324" s="2" t="s">
        <v>30</v>
      </c>
      <c r="I324" s="2" t="s">
        <v>31</v>
      </c>
      <c r="J324" s="15">
        <v>300000</v>
      </c>
      <c r="K324" s="2">
        <v>8</v>
      </c>
      <c r="L324" s="2" t="s">
        <v>35</v>
      </c>
      <c r="M324" s="12">
        <f t="shared" si="9"/>
        <v>240000</v>
      </c>
      <c r="N324" s="10">
        <f>PRODUCT(Table_13[[#This Row],[Unit Price]],Table_13[[#This Row],[Quantity]])</f>
        <v>2400000</v>
      </c>
      <c r="O324" s="16">
        <f>PRODUCT(Table_13[[#This Row],[Cost Price]],Table_13[[#This Row],[Quantity]])</f>
        <v>1920000</v>
      </c>
      <c r="P324" s="27">
        <f t="shared" si="13"/>
        <v>480000</v>
      </c>
    </row>
    <row r="325" spans="1:16" x14ac:dyDescent="0.2">
      <c r="A325" s="33">
        <v>45999</v>
      </c>
      <c r="B325" s="30">
        <f t="shared" si="12"/>
        <v>12</v>
      </c>
      <c r="C325" s="30" t="str">
        <f>_xlfn.IFS(Table_13[[#This Row],[Month]]=1,"JAN",Table_13[[#This Row],[Month]]=2,"FEB",B325=3,"MAR",B325=4,"APR",B325=5,"MAY",B325=6,"JUN",B325=7,"JUL",B325=8,"AUG",Table_13[[#This Row],[Month]]=9,"SEPT",B325=10,"OCT",B325=11,"NOV",B325=12,"DEC")</f>
        <v>DEC</v>
      </c>
      <c r="D325" s="2" t="s">
        <v>11</v>
      </c>
      <c r="E325" s="2" t="s">
        <v>26</v>
      </c>
      <c r="F325" s="2" t="s">
        <v>23</v>
      </c>
      <c r="G325" s="2" t="s">
        <v>14</v>
      </c>
      <c r="H325" s="2" t="s">
        <v>38</v>
      </c>
      <c r="I325" s="2" t="s">
        <v>31</v>
      </c>
      <c r="J325" s="15">
        <v>420000</v>
      </c>
      <c r="K325" s="2">
        <v>4</v>
      </c>
      <c r="L325" s="2" t="s">
        <v>39</v>
      </c>
      <c r="M325" s="12">
        <f t="shared" si="9"/>
        <v>336000</v>
      </c>
      <c r="N325" s="10">
        <f>PRODUCT(Table_13[[#This Row],[Unit Price]],Table_13[[#This Row],[Quantity]])</f>
        <v>1680000</v>
      </c>
      <c r="O325" s="16">
        <f>PRODUCT(Table_13[[#This Row],[Cost Price]],Table_13[[#This Row],[Quantity]])</f>
        <v>1344000</v>
      </c>
      <c r="P325" s="27">
        <f t="shared" si="13"/>
        <v>336000</v>
      </c>
    </row>
    <row r="326" spans="1:16" x14ac:dyDescent="0.2">
      <c r="A326" s="33">
        <v>46000</v>
      </c>
      <c r="B326" s="30">
        <f t="shared" si="12"/>
        <v>12</v>
      </c>
      <c r="C326" s="30" t="str">
        <f>_xlfn.IFS(Table_13[[#This Row],[Month]]=1,"JAN",Table_13[[#This Row],[Month]]=2,"FEB",B326=3,"MAR",B326=4,"APR",B326=5,"MAY",B326=6,"JUN",B326=7,"JUL",B326=8,"AUG",Table_13[[#This Row],[Month]]=9,"SEPT",B326=10,"OCT",B326=11,"NOV",B326=12,"DEC")</f>
        <v>DEC</v>
      </c>
      <c r="D326" s="2" t="s">
        <v>11</v>
      </c>
      <c r="E326" s="2" t="s">
        <v>26</v>
      </c>
      <c r="F326" s="2" t="s">
        <v>23</v>
      </c>
      <c r="G326" s="2" t="s">
        <v>20</v>
      </c>
      <c r="H326" s="2" t="s">
        <v>21</v>
      </c>
      <c r="I326" s="2" t="s">
        <v>22</v>
      </c>
      <c r="J326" s="15">
        <v>30000</v>
      </c>
      <c r="K326" s="2">
        <v>4</v>
      </c>
      <c r="L326" s="2" t="s">
        <v>24</v>
      </c>
      <c r="M326" s="12">
        <f t="shared" si="9"/>
        <v>24000</v>
      </c>
      <c r="N326" s="10">
        <f>PRODUCT(Table_13[[#This Row],[Unit Price]],Table_13[[#This Row],[Quantity]])</f>
        <v>120000</v>
      </c>
      <c r="O326" s="16">
        <f>PRODUCT(Table_13[[#This Row],[Cost Price]],Table_13[[#This Row],[Quantity]])</f>
        <v>96000</v>
      </c>
      <c r="P326" s="27">
        <f t="shared" si="13"/>
        <v>24000</v>
      </c>
    </row>
    <row r="327" spans="1:16" x14ac:dyDescent="0.2">
      <c r="A327" s="33">
        <v>46001</v>
      </c>
      <c r="B327" s="30">
        <f t="shared" si="12"/>
        <v>12</v>
      </c>
      <c r="C327" s="30" t="str">
        <f>_xlfn.IFS(Table_13[[#This Row],[Month]]=1,"JAN",Table_13[[#This Row],[Month]]=2,"FEB",B327=3,"MAR",B327=4,"APR",B327=5,"MAY",B327=6,"JUN",B327=7,"JUL",B327=8,"AUG",Table_13[[#This Row],[Month]]=9,"SEPT",B327=10,"OCT",B327=11,"NOV",B327=12,"DEC")</f>
        <v>DEC</v>
      </c>
      <c r="D327" s="2" t="s">
        <v>18</v>
      </c>
      <c r="E327" s="2" t="s">
        <v>32</v>
      </c>
      <c r="F327" s="2" t="s">
        <v>13</v>
      </c>
      <c r="G327" s="2" t="s">
        <v>14</v>
      </c>
      <c r="H327" s="2" t="s">
        <v>34</v>
      </c>
      <c r="I327" s="2" t="s">
        <v>16</v>
      </c>
      <c r="J327" s="15">
        <v>320000</v>
      </c>
      <c r="K327" s="2">
        <v>7</v>
      </c>
      <c r="L327" s="2" t="s">
        <v>24</v>
      </c>
      <c r="M327" s="12">
        <f t="shared" si="9"/>
        <v>256000</v>
      </c>
      <c r="N327" s="10">
        <f>PRODUCT(Table_13[[#This Row],[Unit Price]],Table_13[[#This Row],[Quantity]])</f>
        <v>2240000</v>
      </c>
      <c r="O327" s="16">
        <f>PRODUCT(Table_13[[#This Row],[Cost Price]],Table_13[[#This Row],[Quantity]])</f>
        <v>1792000</v>
      </c>
      <c r="P327" s="27">
        <f t="shared" si="13"/>
        <v>448000</v>
      </c>
    </row>
    <row r="328" spans="1:16" x14ac:dyDescent="0.2">
      <c r="A328" s="33">
        <v>46002</v>
      </c>
      <c r="B328" s="30">
        <f t="shared" si="12"/>
        <v>12</v>
      </c>
      <c r="C328" s="30" t="str">
        <f>_xlfn.IFS(Table_13[[#This Row],[Month]]=1,"JAN",Table_13[[#This Row],[Month]]=2,"FEB",B328=3,"MAR",B328=4,"APR",B328=5,"MAY",B328=6,"JUN",B328=7,"JUL",B328=8,"AUG",Table_13[[#This Row],[Month]]=9,"SEPT",B328=10,"OCT",B328=11,"NOV",B328=12,"DEC")</f>
        <v>DEC</v>
      </c>
      <c r="D328" s="2" t="s">
        <v>25</v>
      </c>
      <c r="E328" s="2" t="s">
        <v>19</v>
      </c>
      <c r="F328" s="2" t="s">
        <v>13</v>
      </c>
      <c r="G328" s="2" t="s">
        <v>14</v>
      </c>
      <c r="H328" s="2" t="s">
        <v>36</v>
      </c>
      <c r="I328" s="2" t="s">
        <v>31</v>
      </c>
      <c r="J328" s="15">
        <v>150000</v>
      </c>
      <c r="K328" s="2">
        <v>8</v>
      </c>
      <c r="L328" s="2" t="s">
        <v>37</v>
      </c>
      <c r="M328" s="12">
        <f t="shared" si="9"/>
        <v>120000</v>
      </c>
      <c r="N328" s="10">
        <f>PRODUCT(Table_13[[#This Row],[Unit Price]],Table_13[[#This Row],[Quantity]])</f>
        <v>1200000</v>
      </c>
      <c r="O328" s="16">
        <f>PRODUCT(Table_13[[#This Row],[Cost Price]],Table_13[[#This Row],[Quantity]])</f>
        <v>960000</v>
      </c>
      <c r="P328" s="27">
        <f t="shared" si="13"/>
        <v>240000</v>
      </c>
    </row>
    <row r="329" spans="1:16" x14ac:dyDescent="0.2">
      <c r="A329" s="33">
        <v>46003</v>
      </c>
      <c r="B329" s="30">
        <f t="shared" si="12"/>
        <v>12</v>
      </c>
      <c r="C329" s="30" t="str">
        <f>_xlfn.IFS(Table_13[[#This Row],[Month]]=1,"JAN",Table_13[[#This Row],[Month]]=2,"FEB",B329=3,"MAR",B329=4,"APR",B329=5,"MAY",B329=6,"JUN",B329=7,"JUL",B329=8,"AUG",Table_13[[#This Row],[Month]]=9,"SEPT",B329=10,"OCT",B329=11,"NOV",B329=12,"DEC")</f>
        <v>DEC</v>
      </c>
      <c r="D329" s="2" t="s">
        <v>11</v>
      </c>
      <c r="E329" s="2" t="s">
        <v>19</v>
      </c>
      <c r="F329" s="2" t="s">
        <v>13</v>
      </c>
      <c r="G329" s="2" t="s">
        <v>20</v>
      </c>
      <c r="H329" s="2" t="s">
        <v>27</v>
      </c>
      <c r="I329" s="2" t="s">
        <v>22</v>
      </c>
      <c r="J329" s="15">
        <v>60000</v>
      </c>
      <c r="K329" s="2">
        <v>7</v>
      </c>
      <c r="L329" s="2" t="s">
        <v>28</v>
      </c>
      <c r="M329" s="12">
        <f t="shared" si="9"/>
        <v>48000</v>
      </c>
      <c r="N329" s="10">
        <f>PRODUCT(Table_13[[#This Row],[Unit Price]],Table_13[[#This Row],[Quantity]])</f>
        <v>420000</v>
      </c>
      <c r="O329" s="16">
        <f>PRODUCT(Table_13[[#This Row],[Cost Price]],Table_13[[#This Row],[Quantity]])</f>
        <v>336000</v>
      </c>
      <c r="P329" s="27">
        <f t="shared" si="13"/>
        <v>84000</v>
      </c>
    </row>
    <row r="330" spans="1:16" x14ac:dyDescent="0.2">
      <c r="A330" s="33">
        <v>46004</v>
      </c>
      <c r="B330" s="30">
        <f t="shared" si="12"/>
        <v>12</v>
      </c>
      <c r="C330" s="30" t="str">
        <f>_xlfn.IFS(Table_13[[#This Row],[Month]]=1,"JAN",Table_13[[#This Row],[Month]]=2,"FEB",B330=3,"MAR",B330=4,"APR",B330=5,"MAY",B330=6,"JUN",B330=7,"JUL",B330=8,"AUG",Table_13[[#This Row],[Month]]=9,"SEPT",B330=10,"OCT",B330=11,"NOV",B330=12,"DEC")</f>
        <v>DEC</v>
      </c>
      <c r="D330" s="2" t="s">
        <v>25</v>
      </c>
      <c r="E330" s="2" t="s">
        <v>26</v>
      </c>
      <c r="F330" s="2" t="s">
        <v>13</v>
      </c>
      <c r="G330" s="2" t="s">
        <v>14</v>
      </c>
      <c r="H330" s="2" t="s">
        <v>33</v>
      </c>
      <c r="I330" s="2" t="s">
        <v>22</v>
      </c>
      <c r="J330" s="15">
        <v>180000</v>
      </c>
      <c r="K330" s="2">
        <v>4</v>
      </c>
      <c r="L330" s="2" t="s">
        <v>24</v>
      </c>
      <c r="M330" s="12">
        <f t="shared" si="9"/>
        <v>144000</v>
      </c>
      <c r="N330" s="10">
        <f>PRODUCT(Table_13[[#This Row],[Unit Price]],Table_13[[#This Row],[Quantity]])</f>
        <v>720000</v>
      </c>
      <c r="O330" s="16">
        <f>PRODUCT(Table_13[[#This Row],[Cost Price]],Table_13[[#This Row],[Quantity]])</f>
        <v>576000</v>
      </c>
      <c r="P330" s="27">
        <f t="shared" si="13"/>
        <v>144000</v>
      </c>
    </row>
    <row r="331" spans="1:16" x14ac:dyDescent="0.2">
      <c r="A331" s="33">
        <v>46005</v>
      </c>
      <c r="B331" s="30">
        <f t="shared" si="12"/>
        <v>12</v>
      </c>
      <c r="C331" s="30" t="str">
        <f>_xlfn.IFS(Table_13[[#This Row],[Month]]=1,"JAN",Table_13[[#This Row],[Month]]=2,"FEB",B331=3,"MAR",B331=4,"APR",B331=5,"MAY",B331=6,"JUN",B331=7,"JUL",B331=8,"AUG",Table_13[[#This Row],[Month]]=9,"SEPT",B331=10,"OCT",B331=11,"NOV",B331=12,"DEC")</f>
        <v>DEC</v>
      </c>
      <c r="D331" s="2" t="s">
        <v>11</v>
      </c>
      <c r="E331" s="2" t="s">
        <v>26</v>
      </c>
      <c r="F331" s="2" t="s">
        <v>23</v>
      </c>
      <c r="G331" s="2" t="s">
        <v>20</v>
      </c>
      <c r="H331" s="2" t="s">
        <v>38</v>
      </c>
      <c r="I331" s="2" t="s">
        <v>31</v>
      </c>
      <c r="J331" s="15">
        <v>420000</v>
      </c>
      <c r="K331" s="2">
        <v>8</v>
      </c>
      <c r="L331" s="2" t="s">
        <v>37</v>
      </c>
      <c r="M331" s="12">
        <f t="shared" si="9"/>
        <v>336000</v>
      </c>
      <c r="N331" s="10">
        <f>PRODUCT(Table_13[[#This Row],[Unit Price]],Table_13[[#This Row],[Quantity]])</f>
        <v>3360000</v>
      </c>
      <c r="O331" s="16">
        <f>PRODUCT(Table_13[[#This Row],[Cost Price]],Table_13[[#This Row],[Quantity]])</f>
        <v>2688000</v>
      </c>
      <c r="P331" s="27">
        <f t="shared" si="13"/>
        <v>672000</v>
      </c>
    </row>
    <row r="332" spans="1:16" x14ac:dyDescent="0.2">
      <c r="A332" s="33">
        <v>46006</v>
      </c>
      <c r="B332" s="30">
        <f t="shared" si="12"/>
        <v>12</v>
      </c>
      <c r="C332" s="30" t="str">
        <f>_xlfn.IFS(Table_13[[#This Row],[Month]]=1,"JAN",Table_13[[#This Row],[Month]]=2,"FEB",B332=3,"MAR",B332=4,"APR",B332=5,"MAY",B332=6,"JUN",B332=7,"JUL",B332=8,"AUG",Table_13[[#This Row],[Month]]=9,"SEPT",B332=10,"OCT",B332=11,"NOV",B332=12,"DEC")</f>
        <v>DEC</v>
      </c>
      <c r="D332" s="2" t="s">
        <v>11</v>
      </c>
      <c r="E332" s="2" t="s">
        <v>26</v>
      </c>
      <c r="F332" s="2" t="s">
        <v>13</v>
      </c>
      <c r="G332" s="2" t="s">
        <v>20</v>
      </c>
      <c r="H332" s="2" t="s">
        <v>30</v>
      </c>
      <c r="I332" s="2" t="s">
        <v>31</v>
      </c>
      <c r="J332" s="15">
        <v>300000</v>
      </c>
      <c r="K332" s="2">
        <v>2</v>
      </c>
      <c r="L332" s="2" t="s">
        <v>39</v>
      </c>
      <c r="M332" s="12">
        <f t="shared" si="9"/>
        <v>240000</v>
      </c>
      <c r="N332" s="10">
        <f>PRODUCT(Table_13[[#This Row],[Unit Price]],Table_13[[#This Row],[Quantity]])</f>
        <v>600000</v>
      </c>
      <c r="O332" s="16">
        <f>PRODUCT(Table_13[[#This Row],[Cost Price]],Table_13[[#This Row],[Quantity]])</f>
        <v>480000</v>
      </c>
      <c r="P332" s="27">
        <f t="shared" si="13"/>
        <v>120000</v>
      </c>
    </row>
    <row r="333" spans="1:16" x14ac:dyDescent="0.2">
      <c r="A333" s="33">
        <v>46007</v>
      </c>
      <c r="B333" s="30">
        <f t="shared" si="12"/>
        <v>12</v>
      </c>
      <c r="C333" s="30" t="str">
        <f>_xlfn.IFS(Table_13[[#This Row],[Month]]=1,"JAN",Table_13[[#This Row],[Month]]=2,"FEB",B333=3,"MAR",B333=4,"APR",B333=5,"MAY",B333=6,"JUN",B333=7,"JUL",B333=8,"AUG",Table_13[[#This Row],[Month]]=9,"SEPT",B333=10,"OCT",B333=11,"NOV",B333=12,"DEC")</f>
        <v>DEC</v>
      </c>
      <c r="D333" s="2" t="s">
        <v>25</v>
      </c>
      <c r="E333" s="2" t="s">
        <v>19</v>
      </c>
      <c r="F333" s="2" t="s">
        <v>23</v>
      </c>
      <c r="G333" s="2" t="s">
        <v>14</v>
      </c>
      <c r="H333" s="2" t="s">
        <v>38</v>
      </c>
      <c r="I333" s="2" t="s">
        <v>31</v>
      </c>
      <c r="J333" s="15">
        <v>420000</v>
      </c>
      <c r="K333" s="2">
        <v>3</v>
      </c>
      <c r="L333" s="2" t="s">
        <v>37</v>
      </c>
      <c r="M333" s="12">
        <f t="shared" si="9"/>
        <v>336000</v>
      </c>
      <c r="N333" s="10">
        <f>PRODUCT(Table_13[[#This Row],[Unit Price]],Table_13[[#This Row],[Quantity]])</f>
        <v>1260000</v>
      </c>
      <c r="O333" s="16">
        <f>PRODUCT(Table_13[[#This Row],[Cost Price]],Table_13[[#This Row],[Quantity]])</f>
        <v>1008000</v>
      </c>
      <c r="P333" s="27">
        <f t="shared" si="13"/>
        <v>252000</v>
      </c>
    </row>
    <row r="334" spans="1:16" x14ac:dyDescent="0.2">
      <c r="A334" s="33">
        <v>46008</v>
      </c>
      <c r="B334" s="30">
        <f t="shared" si="12"/>
        <v>12</v>
      </c>
      <c r="C334" s="30" t="str">
        <f>_xlfn.IFS(Table_13[[#This Row],[Month]]=1,"JAN",Table_13[[#This Row],[Month]]=2,"FEB",B334=3,"MAR",B334=4,"APR",B334=5,"MAY",B334=6,"JUN",B334=7,"JUL",B334=8,"AUG",Table_13[[#This Row],[Month]]=9,"SEPT",B334=10,"OCT",B334=11,"NOV",B334=12,"DEC")</f>
        <v>DEC</v>
      </c>
      <c r="D334" s="2" t="s">
        <v>29</v>
      </c>
      <c r="E334" s="2" t="s">
        <v>26</v>
      </c>
      <c r="F334" s="2" t="s">
        <v>13</v>
      </c>
      <c r="G334" s="2" t="s">
        <v>14</v>
      </c>
      <c r="H334" s="2" t="s">
        <v>15</v>
      </c>
      <c r="I334" s="2" t="s">
        <v>16</v>
      </c>
      <c r="J334" s="15">
        <v>85000</v>
      </c>
      <c r="K334" s="2">
        <v>3</v>
      </c>
      <c r="L334" s="2" t="s">
        <v>28</v>
      </c>
      <c r="M334" s="12">
        <f t="shared" si="9"/>
        <v>68000</v>
      </c>
      <c r="N334" s="10">
        <f>PRODUCT(Table_13[[#This Row],[Unit Price]],Table_13[[#This Row],[Quantity]])</f>
        <v>255000</v>
      </c>
      <c r="O334" s="16">
        <f>PRODUCT(Table_13[[#This Row],[Cost Price]],Table_13[[#This Row],[Quantity]])</f>
        <v>204000</v>
      </c>
      <c r="P334" s="27">
        <f t="shared" si="13"/>
        <v>51000</v>
      </c>
    </row>
    <row r="335" spans="1:16" x14ac:dyDescent="0.2">
      <c r="A335" s="33">
        <v>46009</v>
      </c>
      <c r="B335" s="30">
        <f t="shared" si="12"/>
        <v>12</v>
      </c>
      <c r="C335" s="30" t="str">
        <f>_xlfn.IFS(Table_13[[#This Row],[Month]]=1,"JAN",Table_13[[#This Row],[Month]]=2,"FEB",B335=3,"MAR",B335=4,"APR",B335=5,"MAY",B335=6,"JUN",B335=7,"JUL",B335=8,"AUG",Table_13[[#This Row],[Month]]=9,"SEPT",B335=10,"OCT",B335=11,"NOV",B335=12,"DEC")</f>
        <v>DEC</v>
      </c>
      <c r="D335" s="2" t="s">
        <v>11</v>
      </c>
      <c r="E335" s="2" t="s">
        <v>32</v>
      </c>
      <c r="F335" s="2" t="s">
        <v>23</v>
      </c>
      <c r="G335" s="2" t="s">
        <v>20</v>
      </c>
      <c r="H335" s="2" t="s">
        <v>27</v>
      </c>
      <c r="I335" s="2" t="s">
        <v>22</v>
      </c>
      <c r="J335" s="15">
        <v>60000</v>
      </c>
      <c r="K335" s="2">
        <v>8</v>
      </c>
      <c r="L335" s="2" t="s">
        <v>24</v>
      </c>
      <c r="M335" s="12">
        <f t="shared" si="9"/>
        <v>48000</v>
      </c>
      <c r="N335" s="10">
        <f>PRODUCT(Table_13[[#This Row],[Unit Price]],Table_13[[#This Row],[Quantity]])</f>
        <v>480000</v>
      </c>
      <c r="O335" s="16">
        <f>PRODUCT(Table_13[[#This Row],[Cost Price]],Table_13[[#This Row],[Quantity]])</f>
        <v>384000</v>
      </c>
      <c r="P335" s="27">
        <f t="shared" si="13"/>
        <v>96000</v>
      </c>
    </row>
    <row r="336" spans="1:16" x14ac:dyDescent="0.2">
      <c r="A336" s="33">
        <v>46010</v>
      </c>
      <c r="B336" s="30">
        <f t="shared" si="12"/>
        <v>12</v>
      </c>
      <c r="C336" s="30" t="str">
        <f>_xlfn.IFS(Table_13[[#This Row],[Month]]=1,"JAN",Table_13[[#This Row],[Month]]=2,"FEB",B336=3,"MAR",B336=4,"APR",B336=5,"MAY",B336=6,"JUN",B336=7,"JUL",B336=8,"AUG",Table_13[[#This Row],[Month]]=9,"SEPT",B336=10,"OCT",B336=11,"NOV",B336=12,"DEC")</f>
        <v>DEC</v>
      </c>
      <c r="D336" s="2" t="s">
        <v>11</v>
      </c>
      <c r="E336" s="2" t="s">
        <v>19</v>
      </c>
      <c r="F336" s="2" t="s">
        <v>23</v>
      </c>
      <c r="G336" s="2" t="s">
        <v>20</v>
      </c>
      <c r="H336" s="2" t="s">
        <v>33</v>
      </c>
      <c r="I336" s="2" t="s">
        <v>22</v>
      </c>
      <c r="J336" s="15">
        <v>180000</v>
      </c>
      <c r="K336" s="2">
        <v>10</v>
      </c>
      <c r="L336" s="2" t="s">
        <v>35</v>
      </c>
      <c r="M336" s="12">
        <f t="shared" si="9"/>
        <v>144000</v>
      </c>
      <c r="N336" s="10">
        <f>PRODUCT(Table_13[[#This Row],[Unit Price]],Table_13[[#This Row],[Quantity]])</f>
        <v>1800000</v>
      </c>
      <c r="O336" s="16">
        <f>PRODUCT(Table_13[[#This Row],[Cost Price]],Table_13[[#This Row],[Quantity]])</f>
        <v>1440000</v>
      </c>
      <c r="P336" s="27">
        <f t="shared" si="13"/>
        <v>360000</v>
      </c>
    </row>
    <row r="337" spans="1:16" x14ac:dyDescent="0.2">
      <c r="A337" s="33">
        <v>46011</v>
      </c>
      <c r="B337" s="30">
        <f t="shared" si="12"/>
        <v>12</v>
      </c>
      <c r="C337" s="30" t="str">
        <f>_xlfn.IFS(Table_13[[#This Row],[Month]]=1,"JAN",Table_13[[#This Row],[Month]]=2,"FEB",B337=3,"MAR",B337=4,"APR",B337=5,"MAY",B337=6,"JUN",B337=7,"JUL",B337=8,"AUG",Table_13[[#This Row],[Month]]=9,"SEPT",B337=10,"OCT",B337=11,"NOV",B337=12,"DEC")</f>
        <v>DEC</v>
      </c>
      <c r="D337" s="2" t="s">
        <v>18</v>
      </c>
      <c r="E337" s="2" t="s">
        <v>32</v>
      </c>
      <c r="F337" s="2" t="s">
        <v>23</v>
      </c>
      <c r="G337" s="2" t="s">
        <v>14</v>
      </c>
      <c r="H337" s="2" t="s">
        <v>33</v>
      </c>
      <c r="I337" s="2" t="s">
        <v>22</v>
      </c>
      <c r="J337" s="15">
        <v>180000</v>
      </c>
      <c r="K337" s="2">
        <v>7</v>
      </c>
      <c r="L337" s="2" t="s">
        <v>17</v>
      </c>
      <c r="M337" s="12">
        <f t="shared" si="9"/>
        <v>144000</v>
      </c>
      <c r="N337" s="10">
        <f>PRODUCT(Table_13[[#This Row],[Unit Price]],Table_13[[#This Row],[Quantity]])</f>
        <v>1260000</v>
      </c>
      <c r="O337" s="16">
        <f>PRODUCT(Table_13[[#This Row],[Cost Price]],Table_13[[#This Row],[Quantity]])</f>
        <v>1008000</v>
      </c>
      <c r="P337" s="27">
        <f t="shared" si="13"/>
        <v>252000</v>
      </c>
    </row>
    <row r="338" spans="1:16" x14ac:dyDescent="0.2">
      <c r="A338" s="33">
        <v>46012</v>
      </c>
      <c r="B338" s="30">
        <f t="shared" si="12"/>
        <v>12</v>
      </c>
      <c r="C338" s="30" t="str">
        <f>_xlfn.IFS(Table_13[[#This Row],[Month]]=1,"JAN",Table_13[[#This Row],[Month]]=2,"FEB",B338=3,"MAR",B338=4,"APR",B338=5,"MAY",B338=6,"JUN",B338=7,"JUL",B338=8,"AUG",Table_13[[#This Row],[Month]]=9,"SEPT",B338=10,"OCT",B338=11,"NOV",B338=12,"DEC")</f>
        <v>DEC</v>
      </c>
      <c r="D338" s="2" t="s">
        <v>18</v>
      </c>
      <c r="E338" s="2" t="s">
        <v>32</v>
      </c>
      <c r="F338" s="2" t="s">
        <v>13</v>
      </c>
      <c r="G338" s="2" t="s">
        <v>20</v>
      </c>
      <c r="H338" s="2" t="s">
        <v>21</v>
      </c>
      <c r="I338" s="2" t="s">
        <v>22</v>
      </c>
      <c r="J338" s="15">
        <v>30000</v>
      </c>
      <c r="K338" s="2">
        <v>3</v>
      </c>
      <c r="L338" s="2" t="s">
        <v>28</v>
      </c>
      <c r="M338" s="12">
        <f t="shared" si="9"/>
        <v>24000</v>
      </c>
      <c r="N338" s="10">
        <f>PRODUCT(Table_13[[#This Row],[Unit Price]],Table_13[[#This Row],[Quantity]])</f>
        <v>90000</v>
      </c>
      <c r="O338" s="16">
        <f>PRODUCT(Table_13[[#This Row],[Cost Price]],Table_13[[#This Row],[Quantity]])</f>
        <v>72000</v>
      </c>
      <c r="P338" s="27">
        <f t="shared" si="13"/>
        <v>18000</v>
      </c>
    </row>
    <row r="339" spans="1:16" x14ac:dyDescent="0.2">
      <c r="A339" s="33">
        <v>46013</v>
      </c>
      <c r="B339" s="30">
        <f t="shared" si="12"/>
        <v>12</v>
      </c>
      <c r="C339" s="30" t="str">
        <f>_xlfn.IFS(Table_13[[#This Row],[Month]]=1,"JAN",Table_13[[#This Row],[Month]]=2,"FEB",B339=3,"MAR",B339=4,"APR",B339=5,"MAY",B339=6,"JUN",B339=7,"JUL",B339=8,"AUG",Table_13[[#This Row],[Month]]=9,"SEPT",B339=10,"OCT",B339=11,"NOV",B339=12,"DEC")</f>
        <v>DEC</v>
      </c>
      <c r="D339" s="2" t="s">
        <v>29</v>
      </c>
      <c r="E339" s="2" t="s">
        <v>12</v>
      </c>
      <c r="F339" s="2" t="s">
        <v>23</v>
      </c>
      <c r="G339" s="2" t="s">
        <v>20</v>
      </c>
      <c r="H339" s="2" t="s">
        <v>21</v>
      </c>
      <c r="I339" s="2" t="s">
        <v>22</v>
      </c>
      <c r="J339" s="15">
        <v>30000</v>
      </c>
      <c r="K339" s="2">
        <v>6</v>
      </c>
      <c r="L339" s="2" t="s">
        <v>24</v>
      </c>
      <c r="M339" s="12">
        <f t="shared" si="9"/>
        <v>24000</v>
      </c>
      <c r="N339" s="10">
        <f>PRODUCT(Table_13[[#This Row],[Unit Price]],Table_13[[#This Row],[Quantity]])</f>
        <v>180000</v>
      </c>
      <c r="O339" s="16">
        <f>PRODUCT(Table_13[[#This Row],[Cost Price]],Table_13[[#This Row],[Quantity]])</f>
        <v>144000</v>
      </c>
      <c r="P339" s="27">
        <f t="shared" si="13"/>
        <v>36000</v>
      </c>
    </row>
    <row r="340" spans="1:16" x14ac:dyDescent="0.2">
      <c r="A340" s="33">
        <v>46014</v>
      </c>
      <c r="B340" s="30">
        <f t="shared" si="12"/>
        <v>12</v>
      </c>
      <c r="C340" s="30" t="str">
        <f>_xlfn.IFS(Table_13[[#This Row],[Month]]=1,"JAN",Table_13[[#This Row],[Month]]=2,"FEB",B340=3,"MAR",B340=4,"APR",B340=5,"MAY",B340=6,"JUN",B340=7,"JUL",B340=8,"AUG",Table_13[[#This Row],[Month]]=9,"SEPT",B340=10,"OCT",B340=11,"NOV",B340=12,"DEC")</f>
        <v>DEC</v>
      </c>
      <c r="D340" s="2" t="s">
        <v>29</v>
      </c>
      <c r="E340" s="2" t="s">
        <v>19</v>
      </c>
      <c r="F340" s="2" t="s">
        <v>23</v>
      </c>
      <c r="G340" s="2" t="s">
        <v>14</v>
      </c>
      <c r="H340" s="2" t="s">
        <v>38</v>
      </c>
      <c r="I340" s="2" t="s">
        <v>31</v>
      </c>
      <c r="J340" s="15">
        <v>420000</v>
      </c>
      <c r="K340" s="2">
        <v>4</v>
      </c>
      <c r="L340" s="2" t="s">
        <v>37</v>
      </c>
      <c r="M340" s="12">
        <f t="shared" si="9"/>
        <v>336000</v>
      </c>
      <c r="N340" s="10">
        <f>PRODUCT(Table_13[[#This Row],[Unit Price]],Table_13[[#This Row],[Quantity]])</f>
        <v>1680000</v>
      </c>
      <c r="O340" s="16">
        <f>PRODUCT(Table_13[[#This Row],[Cost Price]],Table_13[[#This Row],[Quantity]])</f>
        <v>1344000</v>
      </c>
      <c r="P340" s="27">
        <f t="shared" si="13"/>
        <v>336000</v>
      </c>
    </row>
    <row r="341" spans="1:16" x14ac:dyDescent="0.2">
      <c r="A341" s="33">
        <v>46015</v>
      </c>
      <c r="B341" s="30">
        <f t="shared" si="12"/>
        <v>12</v>
      </c>
      <c r="C341" s="30" t="str">
        <f>_xlfn.IFS(Table_13[[#This Row],[Month]]=1,"JAN",Table_13[[#This Row],[Month]]=2,"FEB",B341=3,"MAR",B341=4,"APR",B341=5,"MAY",B341=6,"JUN",B341=7,"JUL",B341=8,"AUG",Table_13[[#This Row],[Month]]=9,"SEPT",B341=10,"OCT",B341=11,"NOV",B341=12,"DEC")</f>
        <v>DEC</v>
      </c>
      <c r="D341" s="2" t="s">
        <v>18</v>
      </c>
      <c r="E341" s="2" t="s">
        <v>26</v>
      </c>
      <c r="F341" s="2" t="s">
        <v>13</v>
      </c>
      <c r="G341" s="2" t="s">
        <v>14</v>
      </c>
      <c r="H341" s="2" t="s">
        <v>41</v>
      </c>
      <c r="I341" s="2" t="s">
        <v>22</v>
      </c>
      <c r="J341" s="15">
        <v>220000</v>
      </c>
      <c r="K341" s="2">
        <v>8</v>
      </c>
      <c r="L341" s="2" t="s">
        <v>39</v>
      </c>
      <c r="M341" s="12">
        <f t="shared" si="9"/>
        <v>176000</v>
      </c>
      <c r="N341" s="10">
        <f>PRODUCT(Table_13[[#This Row],[Unit Price]],Table_13[[#This Row],[Quantity]])</f>
        <v>1760000</v>
      </c>
      <c r="O341" s="16">
        <f>PRODUCT(Table_13[[#This Row],[Cost Price]],Table_13[[#This Row],[Quantity]])</f>
        <v>1408000</v>
      </c>
      <c r="P341" s="27">
        <f t="shared" si="13"/>
        <v>352000</v>
      </c>
    </row>
    <row r="342" spans="1:16" x14ac:dyDescent="0.2">
      <c r="A342" s="33">
        <v>46016</v>
      </c>
      <c r="B342" s="30">
        <f t="shared" si="12"/>
        <v>12</v>
      </c>
      <c r="C342" s="30" t="str">
        <f>_xlfn.IFS(Table_13[[#This Row],[Month]]=1,"JAN",Table_13[[#This Row],[Month]]=2,"FEB",B342=3,"MAR",B342=4,"APR",B342=5,"MAY",B342=6,"JUN",B342=7,"JUL",B342=8,"AUG",Table_13[[#This Row],[Month]]=9,"SEPT",B342=10,"OCT",B342=11,"NOV",B342=12,"DEC")</f>
        <v>DEC</v>
      </c>
      <c r="D342" s="2" t="s">
        <v>29</v>
      </c>
      <c r="E342" s="2" t="s">
        <v>19</v>
      </c>
      <c r="F342" s="2" t="s">
        <v>23</v>
      </c>
      <c r="G342" s="2" t="s">
        <v>20</v>
      </c>
      <c r="H342" s="2" t="s">
        <v>15</v>
      </c>
      <c r="I342" s="2" t="s">
        <v>16</v>
      </c>
      <c r="J342" s="15">
        <v>85000</v>
      </c>
      <c r="K342" s="2">
        <v>5</v>
      </c>
      <c r="L342" s="2" t="s">
        <v>17</v>
      </c>
      <c r="M342" s="12">
        <f t="shared" si="9"/>
        <v>68000</v>
      </c>
      <c r="N342" s="10">
        <f>PRODUCT(Table_13[[#This Row],[Unit Price]],Table_13[[#This Row],[Quantity]])</f>
        <v>425000</v>
      </c>
      <c r="O342" s="16">
        <f>PRODUCT(Table_13[[#This Row],[Cost Price]],Table_13[[#This Row],[Quantity]])</f>
        <v>340000</v>
      </c>
      <c r="P342" s="27">
        <f t="shared" si="13"/>
        <v>85000</v>
      </c>
    </row>
    <row r="343" spans="1:16" x14ac:dyDescent="0.2">
      <c r="A343" s="33">
        <v>46017</v>
      </c>
      <c r="B343" s="30">
        <f t="shared" si="12"/>
        <v>12</v>
      </c>
      <c r="C343" s="30" t="str">
        <f>_xlfn.IFS(Table_13[[#This Row],[Month]]=1,"JAN",Table_13[[#This Row],[Month]]=2,"FEB",B343=3,"MAR",B343=4,"APR",B343=5,"MAY",B343=6,"JUN",B343=7,"JUL",B343=8,"AUG",Table_13[[#This Row],[Month]]=9,"SEPT",B343=10,"OCT",B343=11,"NOV",B343=12,"DEC")</f>
        <v>DEC</v>
      </c>
      <c r="D343" s="2" t="s">
        <v>11</v>
      </c>
      <c r="E343" s="2" t="s">
        <v>19</v>
      </c>
      <c r="F343" s="2" t="s">
        <v>13</v>
      </c>
      <c r="G343" s="2" t="s">
        <v>14</v>
      </c>
      <c r="H343" s="2" t="s">
        <v>34</v>
      </c>
      <c r="I343" s="2" t="s">
        <v>16</v>
      </c>
      <c r="J343" s="15">
        <v>320000</v>
      </c>
      <c r="K343" s="2">
        <v>7</v>
      </c>
      <c r="L343" s="2" t="s">
        <v>28</v>
      </c>
      <c r="M343" s="12">
        <f t="shared" si="9"/>
        <v>256000</v>
      </c>
      <c r="N343" s="10">
        <f>PRODUCT(Table_13[[#This Row],[Unit Price]],Table_13[[#This Row],[Quantity]])</f>
        <v>2240000</v>
      </c>
      <c r="O343" s="16">
        <f>PRODUCT(Table_13[[#This Row],[Cost Price]],Table_13[[#This Row],[Quantity]])</f>
        <v>1792000</v>
      </c>
      <c r="P343" s="27">
        <f t="shared" si="13"/>
        <v>448000</v>
      </c>
    </row>
    <row r="344" spans="1:16" x14ac:dyDescent="0.2">
      <c r="A344" s="33">
        <v>46018</v>
      </c>
      <c r="B344" s="30">
        <f t="shared" si="12"/>
        <v>12</v>
      </c>
      <c r="C344" s="30" t="str">
        <f>_xlfn.IFS(Table_13[[#This Row],[Month]]=1,"JAN",Table_13[[#This Row],[Month]]=2,"FEB",B344=3,"MAR",B344=4,"APR",B344=5,"MAY",B344=6,"JUN",B344=7,"JUL",B344=8,"AUG",Table_13[[#This Row],[Month]]=9,"SEPT",B344=10,"OCT",B344=11,"NOV",B344=12,"DEC")</f>
        <v>DEC</v>
      </c>
      <c r="D344" s="2" t="s">
        <v>25</v>
      </c>
      <c r="E344" s="2" t="s">
        <v>19</v>
      </c>
      <c r="F344" s="2" t="s">
        <v>23</v>
      </c>
      <c r="G344" s="2" t="s">
        <v>20</v>
      </c>
      <c r="H344" s="2" t="s">
        <v>33</v>
      </c>
      <c r="I344" s="2" t="s">
        <v>22</v>
      </c>
      <c r="J344" s="15">
        <v>180000</v>
      </c>
      <c r="K344" s="2">
        <v>6</v>
      </c>
      <c r="L344" s="2" t="s">
        <v>17</v>
      </c>
      <c r="M344" s="12">
        <f t="shared" si="9"/>
        <v>144000</v>
      </c>
      <c r="N344" s="10">
        <f>PRODUCT(Table_13[[#This Row],[Unit Price]],Table_13[[#This Row],[Quantity]])</f>
        <v>1080000</v>
      </c>
      <c r="O344" s="16">
        <f>PRODUCT(Table_13[[#This Row],[Cost Price]],Table_13[[#This Row],[Quantity]])</f>
        <v>864000</v>
      </c>
      <c r="P344" s="27">
        <f t="shared" si="13"/>
        <v>216000</v>
      </c>
    </row>
    <row r="345" spans="1:16" x14ac:dyDescent="0.2">
      <c r="A345" s="33">
        <v>46019</v>
      </c>
      <c r="B345" s="30">
        <f t="shared" si="12"/>
        <v>12</v>
      </c>
      <c r="C345" s="30" t="str">
        <f>_xlfn.IFS(Table_13[[#This Row],[Month]]=1,"JAN",Table_13[[#This Row],[Month]]=2,"FEB",B345=3,"MAR",B345=4,"APR",B345=5,"MAY",B345=6,"JUN",B345=7,"JUL",B345=8,"AUG",Table_13[[#This Row],[Month]]=9,"SEPT",B345=10,"OCT",B345=11,"NOV",B345=12,"DEC")</f>
        <v>DEC</v>
      </c>
      <c r="D345" s="2" t="s">
        <v>18</v>
      </c>
      <c r="E345" s="2" t="s">
        <v>32</v>
      </c>
      <c r="F345" s="2" t="s">
        <v>23</v>
      </c>
      <c r="G345" s="2" t="s">
        <v>14</v>
      </c>
      <c r="H345" s="2" t="s">
        <v>27</v>
      </c>
      <c r="I345" s="2" t="s">
        <v>22</v>
      </c>
      <c r="J345" s="15">
        <v>60000</v>
      </c>
      <c r="K345" s="2">
        <v>2</v>
      </c>
      <c r="L345" s="2" t="s">
        <v>37</v>
      </c>
      <c r="M345" s="12">
        <f t="shared" si="9"/>
        <v>48000</v>
      </c>
      <c r="N345" s="10">
        <f>PRODUCT(Table_13[[#This Row],[Unit Price]],Table_13[[#This Row],[Quantity]])</f>
        <v>120000</v>
      </c>
      <c r="O345" s="16">
        <f>PRODUCT(Table_13[[#This Row],[Cost Price]],Table_13[[#This Row],[Quantity]])</f>
        <v>96000</v>
      </c>
      <c r="P345" s="27">
        <f t="shared" si="13"/>
        <v>24000</v>
      </c>
    </row>
    <row r="346" spans="1:16" x14ac:dyDescent="0.2">
      <c r="A346" s="33">
        <v>46020</v>
      </c>
      <c r="B346" s="30">
        <f t="shared" si="12"/>
        <v>12</v>
      </c>
      <c r="C346" s="30" t="str">
        <f>_xlfn.IFS(Table_13[[#This Row],[Month]]=1,"JAN",Table_13[[#This Row],[Month]]=2,"FEB",B346=3,"MAR",B346=4,"APR",B346=5,"MAY",B346=6,"JUN",B346=7,"JUL",B346=8,"AUG",Table_13[[#This Row],[Month]]=9,"SEPT",B346=10,"OCT",B346=11,"NOV",B346=12,"DEC")</f>
        <v>DEC</v>
      </c>
      <c r="D346" s="2" t="s">
        <v>11</v>
      </c>
      <c r="E346" s="2" t="s">
        <v>32</v>
      </c>
      <c r="F346" s="2" t="s">
        <v>23</v>
      </c>
      <c r="G346" s="2" t="s">
        <v>20</v>
      </c>
      <c r="H346" s="2" t="s">
        <v>33</v>
      </c>
      <c r="I346" s="2" t="s">
        <v>22</v>
      </c>
      <c r="J346" s="15">
        <v>180000</v>
      </c>
      <c r="K346" s="2">
        <v>5</v>
      </c>
      <c r="L346" s="2" t="s">
        <v>24</v>
      </c>
      <c r="M346" s="12">
        <f t="shared" si="9"/>
        <v>144000</v>
      </c>
      <c r="N346" s="10">
        <f>PRODUCT(Table_13[[#This Row],[Unit Price]],Table_13[[#This Row],[Quantity]])</f>
        <v>900000</v>
      </c>
      <c r="O346" s="16">
        <f>PRODUCT(Table_13[[#This Row],[Cost Price]],Table_13[[#This Row],[Quantity]])</f>
        <v>720000</v>
      </c>
      <c r="P346" s="27">
        <f t="shared" si="13"/>
        <v>180000</v>
      </c>
    </row>
    <row r="347" spans="1:16" x14ac:dyDescent="0.2">
      <c r="A347" s="33">
        <v>46021</v>
      </c>
      <c r="B347" s="30">
        <f t="shared" si="12"/>
        <v>12</v>
      </c>
      <c r="C347" s="30" t="str">
        <f>_xlfn.IFS(Table_13[[#This Row],[Month]]=1,"JAN",Table_13[[#This Row],[Month]]=2,"FEB",B347=3,"MAR",B347=4,"APR",B347=5,"MAY",B347=6,"JUN",B347=7,"JUL",B347=8,"AUG",Table_13[[#This Row],[Month]]=9,"SEPT",B347=10,"OCT",B347=11,"NOV",B347=12,"DEC")</f>
        <v>DEC</v>
      </c>
      <c r="D347" s="2" t="s">
        <v>18</v>
      </c>
      <c r="E347" s="2" t="s">
        <v>32</v>
      </c>
      <c r="F347" s="2" t="s">
        <v>23</v>
      </c>
      <c r="G347" s="2" t="s">
        <v>20</v>
      </c>
      <c r="H347" s="2" t="s">
        <v>36</v>
      </c>
      <c r="I347" s="2" t="s">
        <v>31</v>
      </c>
      <c r="J347" s="15">
        <v>150000</v>
      </c>
      <c r="K347" s="2">
        <v>6</v>
      </c>
      <c r="L347" s="2" t="s">
        <v>37</v>
      </c>
      <c r="M347" s="12">
        <f t="shared" si="9"/>
        <v>120000</v>
      </c>
      <c r="N347" s="10">
        <f>PRODUCT(Table_13[[#This Row],[Unit Price]],Table_13[[#This Row],[Quantity]])</f>
        <v>900000</v>
      </c>
      <c r="O347" s="16">
        <f>PRODUCT(Table_13[[#This Row],[Cost Price]],Table_13[[#This Row],[Quantity]])</f>
        <v>720000</v>
      </c>
      <c r="P347" s="27">
        <f t="shared" si="13"/>
        <v>180000</v>
      </c>
    </row>
    <row r="348" spans="1:16" x14ac:dyDescent="0.2">
      <c r="A348" s="33">
        <v>46022</v>
      </c>
      <c r="B348" s="30">
        <f t="shared" si="12"/>
        <v>12</v>
      </c>
      <c r="C348" s="30" t="str">
        <f>_xlfn.IFS(Table_13[[#This Row],[Month]]=1,"JAN",Table_13[[#This Row],[Month]]=2,"FEB",B348=3,"MAR",B348=4,"APR",B348=5,"MAY",B348=6,"JUN",B348=7,"JUL",B348=8,"AUG",Table_13[[#This Row],[Month]]=9,"SEPT",B348=10,"OCT",B348=11,"NOV",B348=12,"DEC")</f>
        <v>DEC</v>
      </c>
      <c r="D348" s="2" t="s">
        <v>18</v>
      </c>
      <c r="E348" s="2" t="s">
        <v>12</v>
      </c>
      <c r="F348" s="2" t="s">
        <v>23</v>
      </c>
      <c r="G348" s="2" t="s">
        <v>20</v>
      </c>
      <c r="H348" s="2" t="s">
        <v>21</v>
      </c>
      <c r="I348" s="2" t="s">
        <v>22</v>
      </c>
      <c r="J348" s="15">
        <v>30000</v>
      </c>
      <c r="K348" s="2">
        <v>2</v>
      </c>
      <c r="L348" s="2" t="s">
        <v>37</v>
      </c>
      <c r="M348" s="12">
        <f t="shared" si="9"/>
        <v>24000</v>
      </c>
      <c r="N348" s="10">
        <f>PRODUCT(Table_13[[#This Row],[Unit Price]],Table_13[[#This Row],[Quantity]])</f>
        <v>60000</v>
      </c>
      <c r="O348" s="16">
        <f>PRODUCT(Table_13[[#This Row],[Cost Price]],Table_13[[#This Row],[Quantity]])</f>
        <v>48000</v>
      </c>
      <c r="P348" s="27">
        <f t="shared" si="13"/>
        <v>12000</v>
      </c>
    </row>
    <row r="349" spans="1:16" x14ac:dyDescent="0.2">
      <c r="A349" s="33">
        <v>46023</v>
      </c>
      <c r="B349" s="30">
        <f t="shared" si="12"/>
        <v>1</v>
      </c>
      <c r="C349" s="30" t="str">
        <f>_xlfn.IFS(Table_13[[#This Row],[Month]]=1,"JAN",Table_13[[#This Row],[Month]]=2,"FEB",B349=3,"MAR",B349=4,"APR",B349=5,"MAY",B349=6,"JUN",B349=7,"JUL",B349=8,"AUG",Table_13[[#This Row],[Month]]=9,"SEPT",B349=10,"OCT",B349=11,"NOV",B349=12,"DEC")</f>
        <v>JAN</v>
      </c>
      <c r="D349" s="2" t="s">
        <v>29</v>
      </c>
      <c r="E349" s="2" t="s">
        <v>12</v>
      </c>
      <c r="F349" s="2" t="s">
        <v>13</v>
      </c>
      <c r="G349" s="2" t="s">
        <v>14</v>
      </c>
      <c r="H349" s="2" t="s">
        <v>40</v>
      </c>
      <c r="I349" s="2" t="s">
        <v>31</v>
      </c>
      <c r="J349" s="15">
        <v>250000</v>
      </c>
      <c r="K349" s="2">
        <v>9</v>
      </c>
      <c r="L349" s="2" t="s">
        <v>37</v>
      </c>
      <c r="M349" s="12">
        <f t="shared" si="9"/>
        <v>200000</v>
      </c>
      <c r="N349" s="10">
        <f>PRODUCT(Table_13[[#This Row],[Unit Price]],Table_13[[#This Row],[Quantity]])</f>
        <v>2250000</v>
      </c>
      <c r="O349" s="16">
        <f>PRODUCT(Table_13[[#This Row],[Cost Price]],Table_13[[#This Row],[Quantity]])</f>
        <v>1800000</v>
      </c>
      <c r="P349" s="27">
        <f t="shared" si="13"/>
        <v>450000</v>
      </c>
    </row>
    <row r="350" spans="1:16" x14ac:dyDescent="0.2">
      <c r="A350" s="33">
        <v>46024</v>
      </c>
      <c r="B350" s="30">
        <f t="shared" si="12"/>
        <v>1</v>
      </c>
      <c r="C350" s="30" t="str">
        <f>_xlfn.IFS(Table_13[[#This Row],[Month]]=1,"JAN",Table_13[[#This Row],[Month]]=2,"FEB",B350=3,"MAR",B350=4,"APR",B350=5,"MAY",B350=6,"JUN",B350=7,"JUL",B350=8,"AUG",Table_13[[#This Row],[Month]]=9,"SEPT",B350=10,"OCT",B350=11,"NOV",B350=12,"DEC")</f>
        <v>JAN</v>
      </c>
      <c r="D350" s="2" t="s">
        <v>11</v>
      </c>
      <c r="E350" s="2" t="s">
        <v>26</v>
      </c>
      <c r="F350" s="2" t="s">
        <v>13</v>
      </c>
      <c r="G350" s="2" t="s">
        <v>20</v>
      </c>
      <c r="H350" s="2" t="s">
        <v>27</v>
      </c>
      <c r="I350" s="2" t="s">
        <v>22</v>
      </c>
      <c r="J350" s="15">
        <v>60000</v>
      </c>
      <c r="K350" s="2">
        <v>4</v>
      </c>
      <c r="L350" s="2" t="s">
        <v>24</v>
      </c>
      <c r="M350" s="12">
        <f t="shared" si="9"/>
        <v>48000</v>
      </c>
      <c r="N350" s="10">
        <f>PRODUCT(Table_13[[#This Row],[Unit Price]],Table_13[[#This Row],[Quantity]])</f>
        <v>240000</v>
      </c>
      <c r="O350" s="16">
        <f>PRODUCT(Table_13[[#This Row],[Cost Price]],Table_13[[#This Row],[Quantity]])</f>
        <v>192000</v>
      </c>
      <c r="P350" s="27">
        <f t="shared" si="13"/>
        <v>48000</v>
      </c>
    </row>
    <row r="351" spans="1:16" x14ac:dyDescent="0.2">
      <c r="A351" s="33">
        <v>46025</v>
      </c>
      <c r="B351" s="30">
        <f t="shared" si="12"/>
        <v>1</v>
      </c>
      <c r="C351" s="30" t="str">
        <f>_xlfn.IFS(Table_13[[#This Row],[Month]]=1,"JAN",Table_13[[#This Row],[Month]]=2,"FEB",B351=3,"MAR",B351=4,"APR",B351=5,"MAY",B351=6,"JUN",B351=7,"JUL",B351=8,"AUG",Table_13[[#This Row],[Month]]=9,"SEPT",B351=10,"OCT",B351=11,"NOV",B351=12,"DEC")</f>
        <v>JAN</v>
      </c>
      <c r="D351" s="2" t="s">
        <v>18</v>
      </c>
      <c r="E351" s="2" t="s">
        <v>12</v>
      </c>
      <c r="F351" s="2" t="s">
        <v>13</v>
      </c>
      <c r="G351" s="2" t="s">
        <v>14</v>
      </c>
      <c r="H351" s="2" t="s">
        <v>36</v>
      </c>
      <c r="I351" s="2" t="s">
        <v>31</v>
      </c>
      <c r="J351" s="15">
        <v>150000</v>
      </c>
      <c r="K351" s="2">
        <v>9</v>
      </c>
      <c r="L351" s="2" t="s">
        <v>37</v>
      </c>
      <c r="M351" s="12">
        <f t="shared" si="9"/>
        <v>120000</v>
      </c>
      <c r="N351" s="10">
        <f>PRODUCT(Table_13[[#This Row],[Unit Price]],Table_13[[#This Row],[Quantity]])</f>
        <v>1350000</v>
      </c>
      <c r="O351" s="16">
        <f>PRODUCT(Table_13[[#This Row],[Cost Price]],Table_13[[#This Row],[Quantity]])</f>
        <v>1080000</v>
      </c>
      <c r="P351" s="27">
        <f t="shared" si="13"/>
        <v>270000</v>
      </c>
    </row>
    <row r="352" spans="1:16" x14ac:dyDescent="0.2">
      <c r="A352" s="33">
        <v>46026</v>
      </c>
      <c r="B352" s="30">
        <f t="shared" si="12"/>
        <v>1</v>
      </c>
      <c r="C352" s="30" t="str">
        <f>_xlfn.IFS(Table_13[[#This Row],[Month]]=1,"JAN",Table_13[[#This Row],[Month]]=2,"FEB",B352=3,"MAR",B352=4,"APR",B352=5,"MAY",B352=6,"JUN",B352=7,"JUL",B352=8,"AUG",Table_13[[#This Row],[Month]]=9,"SEPT",B352=10,"OCT",B352=11,"NOV",B352=12,"DEC")</f>
        <v>JAN</v>
      </c>
      <c r="D352" s="2" t="s">
        <v>29</v>
      </c>
      <c r="E352" s="2" t="s">
        <v>19</v>
      </c>
      <c r="F352" s="2" t="s">
        <v>23</v>
      </c>
      <c r="G352" s="2" t="s">
        <v>20</v>
      </c>
      <c r="H352" s="2" t="s">
        <v>33</v>
      </c>
      <c r="I352" s="2" t="s">
        <v>22</v>
      </c>
      <c r="J352" s="15">
        <v>180000</v>
      </c>
      <c r="K352" s="2">
        <v>3</v>
      </c>
      <c r="L352" s="2" t="s">
        <v>17</v>
      </c>
      <c r="M352" s="12">
        <f t="shared" si="9"/>
        <v>144000</v>
      </c>
      <c r="N352" s="10">
        <f>PRODUCT(Table_13[[#This Row],[Unit Price]],Table_13[[#This Row],[Quantity]])</f>
        <v>540000</v>
      </c>
      <c r="O352" s="16">
        <f>PRODUCT(Table_13[[#This Row],[Cost Price]],Table_13[[#This Row],[Quantity]])</f>
        <v>432000</v>
      </c>
      <c r="P352" s="27">
        <f t="shared" si="13"/>
        <v>108000</v>
      </c>
    </row>
    <row r="353" spans="1:16" x14ac:dyDescent="0.2">
      <c r="A353" s="33">
        <v>46027</v>
      </c>
      <c r="B353" s="30">
        <f t="shared" si="12"/>
        <v>1</v>
      </c>
      <c r="C353" s="30" t="str">
        <f>_xlfn.IFS(Table_13[[#This Row],[Month]]=1,"JAN",Table_13[[#This Row],[Month]]=2,"FEB",B353=3,"MAR",B353=4,"APR",B353=5,"MAY",B353=6,"JUN",B353=7,"JUL",B353=8,"AUG",Table_13[[#This Row],[Month]]=9,"SEPT",B353=10,"OCT",B353=11,"NOV",B353=12,"DEC")</f>
        <v>JAN</v>
      </c>
      <c r="D353" s="2" t="s">
        <v>11</v>
      </c>
      <c r="E353" s="2" t="s">
        <v>12</v>
      </c>
      <c r="F353" s="2" t="s">
        <v>13</v>
      </c>
      <c r="G353" s="2" t="s">
        <v>14</v>
      </c>
      <c r="H353" s="2" t="s">
        <v>33</v>
      </c>
      <c r="I353" s="2" t="s">
        <v>22</v>
      </c>
      <c r="J353" s="15">
        <v>180000</v>
      </c>
      <c r="K353" s="2">
        <v>10</v>
      </c>
      <c r="L353" s="2" t="s">
        <v>17</v>
      </c>
      <c r="M353" s="12">
        <f t="shared" si="9"/>
        <v>144000</v>
      </c>
      <c r="N353" s="10">
        <f>PRODUCT(Table_13[[#This Row],[Unit Price]],Table_13[[#This Row],[Quantity]])</f>
        <v>1800000</v>
      </c>
      <c r="O353" s="16">
        <f>PRODUCT(Table_13[[#This Row],[Cost Price]],Table_13[[#This Row],[Quantity]])</f>
        <v>1440000</v>
      </c>
      <c r="P353" s="27">
        <f t="shared" si="13"/>
        <v>360000</v>
      </c>
    </row>
    <row r="354" spans="1:16" x14ac:dyDescent="0.2">
      <c r="A354" s="33">
        <v>46028</v>
      </c>
      <c r="B354" s="30">
        <f t="shared" si="12"/>
        <v>1</v>
      </c>
      <c r="C354" s="30" t="str">
        <f>_xlfn.IFS(Table_13[[#This Row],[Month]]=1,"JAN",Table_13[[#This Row],[Month]]=2,"FEB",B354=3,"MAR",B354=4,"APR",B354=5,"MAY",B354=6,"JUN",B354=7,"JUL",B354=8,"AUG",Table_13[[#This Row],[Month]]=9,"SEPT",B354=10,"OCT",B354=11,"NOV",B354=12,"DEC")</f>
        <v>JAN</v>
      </c>
      <c r="D354" s="2" t="s">
        <v>18</v>
      </c>
      <c r="E354" s="2" t="s">
        <v>19</v>
      </c>
      <c r="F354" s="2" t="s">
        <v>13</v>
      </c>
      <c r="G354" s="2" t="s">
        <v>14</v>
      </c>
      <c r="H354" s="2" t="s">
        <v>41</v>
      </c>
      <c r="I354" s="2" t="s">
        <v>22</v>
      </c>
      <c r="J354" s="15">
        <v>220000</v>
      </c>
      <c r="K354" s="2">
        <v>2</v>
      </c>
      <c r="L354" s="2" t="s">
        <v>17</v>
      </c>
      <c r="M354" s="12">
        <f t="shared" si="9"/>
        <v>176000</v>
      </c>
      <c r="N354" s="10">
        <f>PRODUCT(Table_13[[#This Row],[Unit Price]],Table_13[[#This Row],[Quantity]])</f>
        <v>440000</v>
      </c>
      <c r="O354" s="16">
        <f>PRODUCT(Table_13[[#This Row],[Cost Price]],Table_13[[#This Row],[Quantity]])</f>
        <v>352000</v>
      </c>
      <c r="P354" s="27">
        <f t="shared" si="13"/>
        <v>88000</v>
      </c>
    </row>
    <row r="355" spans="1:16" x14ac:dyDescent="0.2">
      <c r="A355" s="33">
        <v>46029</v>
      </c>
      <c r="B355" s="30">
        <f t="shared" si="12"/>
        <v>1</v>
      </c>
      <c r="C355" s="30" t="str">
        <f>_xlfn.IFS(Table_13[[#This Row],[Month]]=1,"JAN",Table_13[[#This Row],[Month]]=2,"FEB",B355=3,"MAR",B355=4,"APR",B355=5,"MAY",B355=6,"JUN",B355=7,"JUL",B355=8,"AUG",Table_13[[#This Row],[Month]]=9,"SEPT",B355=10,"OCT",B355=11,"NOV",B355=12,"DEC")</f>
        <v>JAN</v>
      </c>
      <c r="D355" s="2" t="s">
        <v>29</v>
      </c>
      <c r="E355" s="2" t="s">
        <v>12</v>
      </c>
      <c r="F355" s="2" t="s">
        <v>23</v>
      </c>
      <c r="G355" s="2" t="s">
        <v>14</v>
      </c>
      <c r="H355" s="2" t="s">
        <v>38</v>
      </c>
      <c r="I355" s="2" t="s">
        <v>31</v>
      </c>
      <c r="J355" s="15">
        <v>420000</v>
      </c>
      <c r="K355" s="2">
        <v>10</v>
      </c>
      <c r="L355" s="2" t="s">
        <v>28</v>
      </c>
      <c r="M355" s="12">
        <f t="shared" si="9"/>
        <v>336000</v>
      </c>
      <c r="N355" s="10">
        <f>PRODUCT(Table_13[[#This Row],[Unit Price]],Table_13[[#This Row],[Quantity]])</f>
        <v>4200000</v>
      </c>
      <c r="O355" s="16">
        <f>PRODUCT(Table_13[[#This Row],[Cost Price]],Table_13[[#This Row],[Quantity]])</f>
        <v>3360000</v>
      </c>
      <c r="P355" s="27">
        <f t="shared" si="13"/>
        <v>840000</v>
      </c>
    </row>
    <row r="356" spans="1:16" x14ac:dyDescent="0.2">
      <c r="A356" s="33">
        <v>46030</v>
      </c>
      <c r="B356" s="30">
        <f t="shared" si="12"/>
        <v>1</v>
      </c>
      <c r="C356" s="30" t="str">
        <f>_xlfn.IFS(Table_13[[#This Row],[Month]]=1,"JAN",Table_13[[#This Row],[Month]]=2,"FEB",B356=3,"MAR",B356=4,"APR",B356=5,"MAY",B356=6,"JUN",B356=7,"JUL",B356=8,"AUG",Table_13[[#This Row],[Month]]=9,"SEPT",B356=10,"OCT",B356=11,"NOV",B356=12,"DEC")</f>
        <v>JAN</v>
      </c>
      <c r="D356" s="2" t="s">
        <v>11</v>
      </c>
      <c r="E356" s="2" t="s">
        <v>12</v>
      </c>
      <c r="F356" s="2" t="s">
        <v>13</v>
      </c>
      <c r="G356" s="2" t="s">
        <v>20</v>
      </c>
      <c r="H356" s="2" t="s">
        <v>21</v>
      </c>
      <c r="I356" s="2" t="s">
        <v>22</v>
      </c>
      <c r="J356" s="15">
        <v>30000</v>
      </c>
      <c r="K356" s="2">
        <v>9</v>
      </c>
      <c r="L356" s="2" t="s">
        <v>39</v>
      </c>
      <c r="M356" s="12">
        <f t="shared" si="9"/>
        <v>24000</v>
      </c>
      <c r="N356" s="10">
        <f>PRODUCT(Table_13[[#This Row],[Unit Price]],Table_13[[#This Row],[Quantity]])</f>
        <v>270000</v>
      </c>
      <c r="O356" s="16">
        <f>PRODUCT(Table_13[[#This Row],[Cost Price]],Table_13[[#This Row],[Quantity]])</f>
        <v>216000</v>
      </c>
      <c r="P356" s="27">
        <f t="shared" si="13"/>
        <v>54000</v>
      </c>
    </row>
    <row r="357" spans="1:16" x14ac:dyDescent="0.2">
      <c r="A357" s="33">
        <v>46031</v>
      </c>
      <c r="B357" s="30">
        <f t="shared" si="12"/>
        <v>1</v>
      </c>
      <c r="C357" s="30" t="str">
        <f>_xlfn.IFS(Table_13[[#This Row],[Month]]=1,"JAN",Table_13[[#This Row],[Month]]=2,"FEB",B357=3,"MAR",B357=4,"APR",B357=5,"MAY",B357=6,"JUN",B357=7,"JUL",B357=8,"AUG",Table_13[[#This Row],[Month]]=9,"SEPT",B357=10,"OCT",B357=11,"NOV",B357=12,"DEC")</f>
        <v>JAN</v>
      </c>
      <c r="D357" s="2" t="s">
        <v>11</v>
      </c>
      <c r="E357" s="2" t="s">
        <v>32</v>
      </c>
      <c r="F357" s="2" t="s">
        <v>23</v>
      </c>
      <c r="G357" s="2" t="s">
        <v>14</v>
      </c>
      <c r="H357" s="2" t="s">
        <v>34</v>
      </c>
      <c r="I357" s="2" t="s">
        <v>16</v>
      </c>
      <c r="J357" s="15">
        <v>320000</v>
      </c>
      <c r="K357" s="2">
        <v>6</v>
      </c>
      <c r="L357" s="2" t="s">
        <v>35</v>
      </c>
      <c r="M357" s="12">
        <f t="shared" si="9"/>
        <v>256000</v>
      </c>
      <c r="N357" s="10">
        <f>PRODUCT(Table_13[[#This Row],[Unit Price]],Table_13[[#This Row],[Quantity]])</f>
        <v>1920000</v>
      </c>
      <c r="O357" s="16">
        <f>PRODUCT(Table_13[[#This Row],[Cost Price]],Table_13[[#This Row],[Quantity]])</f>
        <v>1536000</v>
      </c>
      <c r="P357" s="27">
        <f t="shared" si="13"/>
        <v>384000</v>
      </c>
    </row>
    <row r="358" spans="1:16" x14ac:dyDescent="0.2">
      <c r="A358" s="33">
        <v>46032</v>
      </c>
      <c r="B358" s="30">
        <f t="shared" si="12"/>
        <v>1</v>
      </c>
      <c r="C358" s="30" t="str">
        <f>_xlfn.IFS(Table_13[[#This Row],[Month]]=1,"JAN",Table_13[[#This Row],[Month]]=2,"FEB",B358=3,"MAR",B358=4,"APR",B358=5,"MAY",B358=6,"JUN",B358=7,"JUL",B358=8,"AUG",Table_13[[#This Row],[Month]]=9,"SEPT",B358=10,"OCT",B358=11,"NOV",B358=12,"DEC")</f>
        <v>JAN</v>
      </c>
      <c r="D358" s="2" t="s">
        <v>11</v>
      </c>
      <c r="E358" s="2" t="s">
        <v>32</v>
      </c>
      <c r="F358" s="2" t="s">
        <v>13</v>
      </c>
      <c r="G358" s="2" t="s">
        <v>20</v>
      </c>
      <c r="H358" s="2" t="s">
        <v>38</v>
      </c>
      <c r="I358" s="2" t="s">
        <v>31</v>
      </c>
      <c r="J358" s="15">
        <v>420000</v>
      </c>
      <c r="K358" s="2">
        <v>2</v>
      </c>
      <c r="L358" s="2" t="s">
        <v>39</v>
      </c>
      <c r="M358" s="12">
        <f t="shared" si="9"/>
        <v>336000</v>
      </c>
      <c r="N358" s="10">
        <f>PRODUCT(Table_13[[#This Row],[Unit Price]],Table_13[[#This Row],[Quantity]])</f>
        <v>840000</v>
      </c>
      <c r="O358" s="16">
        <f>PRODUCT(Table_13[[#This Row],[Cost Price]],Table_13[[#This Row],[Quantity]])</f>
        <v>672000</v>
      </c>
      <c r="P358" s="27">
        <f t="shared" si="13"/>
        <v>168000</v>
      </c>
    </row>
    <row r="359" spans="1:16" x14ac:dyDescent="0.2">
      <c r="A359" s="33">
        <v>46033</v>
      </c>
      <c r="B359" s="30">
        <f t="shared" si="12"/>
        <v>1</v>
      </c>
      <c r="C359" s="30" t="str">
        <f>_xlfn.IFS(Table_13[[#This Row],[Month]]=1,"JAN",Table_13[[#This Row],[Month]]=2,"FEB",B359=3,"MAR",B359=4,"APR",B359=5,"MAY",B359=6,"JUN",B359=7,"JUL",B359=8,"AUG",Table_13[[#This Row],[Month]]=9,"SEPT",B359=10,"OCT",B359=11,"NOV",B359=12,"DEC")</f>
        <v>JAN</v>
      </c>
      <c r="D359" s="2" t="s">
        <v>25</v>
      </c>
      <c r="E359" s="2" t="s">
        <v>26</v>
      </c>
      <c r="F359" s="2" t="s">
        <v>23</v>
      </c>
      <c r="G359" s="2" t="s">
        <v>14</v>
      </c>
      <c r="H359" s="2" t="s">
        <v>34</v>
      </c>
      <c r="I359" s="2" t="s">
        <v>16</v>
      </c>
      <c r="J359" s="15">
        <v>320000</v>
      </c>
      <c r="K359" s="2">
        <v>10</v>
      </c>
      <c r="L359" s="2" t="s">
        <v>35</v>
      </c>
      <c r="M359" s="12">
        <f t="shared" si="9"/>
        <v>256000</v>
      </c>
      <c r="N359" s="10">
        <f>PRODUCT(Table_13[[#This Row],[Unit Price]],Table_13[[#This Row],[Quantity]])</f>
        <v>3200000</v>
      </c>
      <c r="O359" s="16">
        <f>PRODUCT(Table_13[[#This Row],[Cost Price]],Table_13[[#This Row],[Quantity]])</f>
        <v>2560000</v>
      </c>
      <c r="P359" s="27">
        <f t="shared" si="13"/>
        <v>640000</v>
      </c>
    </row>
    <row r="360" spans="1:16" x14ac:dyDescent="0.2">
      <c r="A360" s="33">
        <v>46034</v>
      </c>
      <c r="B360" s="30">
        <f t="shared" si="12"/>
        <v>1</v>
      </c>
      <c r="C360" s="30" t="str">
        <f>_xlfn.IFS(Table_13[[#This Row],[Month]]=1,"JAN",Table_13[[#This Row],[Month]]=2,"FEB",B360=3,"MAR",B360=4,"APR",B360=5,"MAY",B360=6,"JUN",B360=7,"JUL",B360=8,"AUG",Table_13[[#This Row],[Month]]=9,"SEPT",B360=10,"OCT",B360=11,"NOV",B360=12,"DEC")</f>
        <v>JAN</v>
      </c>
      <c r="D360" s="2" t="s">
        <v>18</v>
      </c>
      <c r="E360" s="2" t="s">
        <v>26</v>
      </c>
      <c r="F360" s="2" t="s">
        <v>23</v>
      </c>
      <c r="G360" s="2" t="s">
        <v>20</v>
      </c>
      <c r="H360" s="2" t="s">
        <v>30</v>
      </c>
      <c r="I360" s="2" t="s">
        <v>31</v>
      </c>
      <c r="J360" s="15">
        <v>300000</v>
      </c>
      <c r="K360" s="2">
        <v>8</v>
      </c>
      <c r="L360" s="2" t="s">
        <v>39</v>
      </c>
      <c r="M360" s="12">
        <f t="shared" si="9"/>
        <v>240000</v>
      </c>
      <c r="N360" s="10">
        <f>PRODUCT(Table_13[[#This Row],[Unit Price]],Table_13[[#This Row],[Quantity]])</f>
        <v>2400000</v>
      </c>
      <c r="O360" s="16">
        <f>PRODUCT(Table_13[[#This Row],[Cost Price]],Table_13[[#This Row],[Quantity]])</f>
        <v>1920000</v>
      </c>
      <c r="P360" s="27">
        <f t="shared" si="13"/>
        <v>480000</v>
      </c>
    </row>
    <row r="361" spans="1:16" x14ac:dyDescent="0.2">
      <c r="A361" s="33">
        <v>46035</v>
      </c>
      <c r="B361" s="30">
        <f t="shared" si="12"/>
        <v>1</v>
      </c>
      <c r="C361" s="30" t="str">
        <f>_xlfn.IFS(Table_13[[#This Row],[Month]]=1,"JAN",Table_13[[#This Row],[Month]]=2,"FEB",B361=3,"MAR",B361=4,"APR",B361=5,"MAY",B361=6,"JUN",B361=7,"JUL",B361=8,"AUG",Table_13[[#This Row],[Month]]=9,"SEPT",B361=10,"OCT",B361=11,"NOV",B361=12,"DEC")</f>
        <v>JAN</v>
      </c>
      <c r="D361" s="2" t="s">
        <v>18</v>
      </c>
      <c r="E361" s="2" t="s">
        <v>12</v>
      </c>
      <c r="F361" s="2" t="s">
        <v>23</v>
      </c>
      <c r="G361" s="2" t="s">
        <v>14</v>
      </c>
      <c r="H361" s="2" t="s">
        <v>27</v>
      </c>
      <c r="I361" s="2" t="s">
        <v>22</v>
      </c>
      <c r="J361" s="15">
        <v>60000</v>
      </c>
      <c r="K361" s="2">
        <v>1</v>
      </c>
      <c r="L361" s="2" t="s">
        <v>24</v>
      </c>
      <c r="M361" s="12">
        <f t="shared" si="9"/>
        <v>48000</v>
      </c>
      <c r="N361" s="10">
        <f>PRODUCT(Table_13[[#This Row],[Unit Price]],Table_13[[#This Row],[Quantity]])</f>
        <v>60000</v>
      </c>
      <c r="O361" s="16">
        <f>PRODUCT(Table_13[[#This Row],[Cost Price]],Table_13[[#This Row],[Quantity]])</f>
        <v>48000</v>
      </c>
      <c r="P361" s="27">
        <f t="shared" si="13"/>
        <v>12000</v>
      </c>
    </row>
    <row r="362" spans="1:16" x14ac:dyDescent="0.2">
      <c r="A362" s="33">
        <v>46036</v>
      </c>
      <c r="B362" s="30">
        <f t="shared" si="12"/>
        <v>1</v>
      </c>
      <c r="C362" s="30" t="str">
        <f>_xlfn.IFS(Table_13[[#This Row],[Month]]=1,"JAN",Table_13[[#This Row],[Month]]=2,"FEB",B362=3,"MAR",B362=4,"APR",B362=5,"MAY",B362=6,"JUN",B362=7,"JUL",B362=8,"AUG",Table_13[[#This Row],[Month]]=9,"SEPT",B362=10,"OCT",B362=11,"NOV",B362=12,"DEC")</f>
        <v>JAN</v>
      </c>
      <c r="D362" s="2" t="s">
        <v>25</v>
      </c>
      <c r="E362" s="2" t="s">
        <v>19</v>
      </c>
      <c r="F362" s="2" t="s">
        <v>23</v>
      </c>
      <c r="G362" s="2" t="s">
        <v>14</v>
      </c>
      <c r="H362" s="2" t="s">
        <v>15</v>
      </c>
      <c r="I362" s="2" t="s">
        <v>16</v>
      </c>
      <c r="J362" s="15">
        <v>85000</v>
      </c>
      <c r="K362" s="2">
        <v>3</v>
      </c>
      <c r="L362" s="2" t="s">
        <v>24</v>
      </c>
      <c r="M362" s="12">
        <f t="shared" si="9"/>
        <v>68000</v>
      </c>
      <c r="N362" s="10">
        <f>PRODUCT(Table_13[[#This Row],[Unit Price]],Table_13[[#This Row],[Quantity]])</f>
        <v>255000</v>
      </c>
      <c r="O362" s="16">
        <f>PRODUCT(Table_13[[#This Row],[Cost Price]],Table_13[[#This Row],[Quantity]])</f>
        <v>204000</v>
      </c>
      <c r="P362" s="27">
        <f t="shared" si="13"/>
        <v>51000</v>
      </c>
    </row>
    <row r="363" spans="1:16" x14ac:dyDescent="0.2">
      <c r="A363" s="33">
        <v>46037</v>
      </c>
      <c r="B363" s="30">
        <f t="shared" si="12"/>
        <v>1</v>
      </c>
      <c r="C363" s="30" t="str">
        <f>_xlfn.IFS(Table_13[[#This Row],[Month]]=1,"JAN",Table_13[[#This Row],[Month]]=2,"FEB",B363=3,"MAR",B363=4,"APR",B363=5,"MAY",B363=6,"JUN",B363=7,"JUL",B363=8,"AUG",Table_13[[#This Row],[Month]]=9,"SEPT",B363=10,"OCT",B363=11,"NOV",B363=12,"DEC")</f>
        <v>JAN</v>
      </c>
      <c r="D363" s="2" t="s">
        <v>18</v>
      </c>
      <c r="E363" s="2" t="s">
        <v>26</v>
      </c>
      <c r="F363" s="2" t="s">
        <v>23</v>
      </c>
      <c r="G363" s="2" t="s">
        <v>20</v>
      </c>
      <c r="H363" s="2" t="s">
        <v>21</v>
      </c>
      <c r="I363" s="2" t="s">
        <v>22</v>
      </c>
      <c r="J363" s="15">
        <v>30000</v>
      </c>
      <c r="K363" s="2">
        <v>10</v>
      </c>
      <c r="L363" s="2" t="s">
        <v>17</v>
      </c>
      <c r="M363" s="12">
        <f t="shared" si="9"/>
        <v>24000</v>
      </c>
      <c r="N363" s="10">
        <f>PRODUCT(Table_13[[#This Row],[Unit Price]],Table_13[[#This Row],[Quantity]])</f>
        <v>300000</v>
      </c>
      <c r="O363" s="16">
        <f>PRODUCT(Table_13[[#This Row],[Cost Price]],Table_13[[#This Row],[Quantity]])</f>
        <v>240000</v>
      </c>
      <c r="P363" s="27">
        <f t="shared" si="13"/>
        <v>60000</v>
      </c>
    </row>
    <row r="364" spans="1:16" x14ac:dyDescent="0.2">
      <c r="A364" s="33">
        <v>46038</v>
      </c>
      <c r="B364" s="30">
        <f t="shared" si="12"/>
        <v>1</v>
      </c>
      <c r="C364" s="30" t="str">
        <f>_xlfn.IFS(Table_13[[#This Row],[Month]]=1,"JAN",Table_13[[#This Row],[Month]]=2,"FEB",B364=3,"MAR",B364=4,"APR",B364=5,"MAY",B364=6,"JUN",B364=7,"JUL",B364=8,"AUG",Table_13[[#This Row],[Month]]=9,"SEPT",B364=10,"OCT",B364=11,"NOV",B364=12,"DEC")</f>
        <v>JAN</v>
      </c>
      <c r="D364" s="2" t="s">
        <v>18</v>
      </c>
      <c r="E364" s="2" t="s">
        <v>26</v>
      </c>
      <c r="F364" s="2" t="s">
        <v>23</v>
      </c>
      <c r="G364" s="2" t="s">
        <v>14</v>
      </c>
      <c r="H364" s="2" t="s">
        <v>21</v>
      </c>
      <c r="I364" s="2" t="s">
        <v>22</v>
      </c>
      <c r="J364" s="15">
        <v>30000</v>
      </c>
      <c r="K364" s="2">
        <v>4</v>
      </c>
      <c r="L364" s="2" t="s">
        <v>35</v>
      </c>
      <c r="M364" s="12">
        <f t="shared" si="9"/>
        <v>24000</v>
      </c>
      <c r="N364" s="10">
        <f>PRODUCT(Table_13[[#This Row],[Unit Price]],Table_13[[#This Row],[Quantity]])</f>
        <v>120000</v>
      </c>
      <c r="O364" s="16">
        <f>PRODUCT(Table_13[[#This Row],[Cost Price]],Table_13[[#This Row],[Quantity]])</f>
        <v>96000</v>
      </c>
      <c r="P364" s="27">
        <f t="shared" si="13"/>
        <v>24000</v>
      </c>
    </row>
    <row r="365" spans="1:16" x14ac:dyDescent="0.2">
      <c r="A365" s="33">
        <v>46039</v>
      </c>
      <c r="B365" s="30">
        <f t="shared" si="12"/>
        <v>1</v>
      </c>
      <c r="C365" s="30" t="str">
        <f>_xlfn.IFS(Table_13[[#This Row],[Month]]=1,"JAN",Table_13[[#This Row],[Month]]=2,"FEB",B365=3,"MAR",B365=4,"APR",B365=5,"MAY",B365=6,"JUN",B365=7,"JUL",B365=8,"AUG",Table_13[[#This Row],[Month]]=9,"SEPT",B365=10,"OCT",B365=11,"NOV",B365=12,"DEC")</f>
        <v>JAN</v>
      </c>
      <c r="D365" s="2" t="s">
        <v>25</v>
      </c>
      <c r="E365" s="2" t="s">
        <v>32</v>
      </c>
      <c r="F365" s="2" t="s">
        <v>23</v>
      </c>
      <c r="G365" s="2" t="s">
        <v>20</v>
      </c>
      <c r="H365" s="2" t="s">
        <v>36</v>
      </c>
      <c r="I365" s="2" t="s">
        <v>31</v>
      </c>
      <c r="J365" s="15">
        <v>150000</v>
      </c>
      <c r="K365" s="2">
        <v>3</v>
      </c>
      <c r="L365" s="2" t="s">
        <v>24</v>
      </c>
      <c r="M365" s="12">
        <f t="shared" si="9"/>
        <v>120000</v>
      </c>
      <c r="N365" s="10">
        <f>PRODUCT(Table_13[[#This Row],[Unit Price]],Table_13[[#This Row],[Quantity]])</f>
        <v>450000</v>
      </c>
      <c r="O365" s="16">
        <f>PRODUCT(Table_13[[#This Row],[Cost Price]],Table_13[[#This Row],[Quantity]])</f>
        <v>360000</v>
      </c>
      <c r="P365" s="27">
        <f t="shared" si="13"/>
        <v>90000</v>
      </c>
    </row>
    <row r="366" spans="1:16" x14ac:dyDescent="0.2">
      <c r="A366" s="33">
        <v>46040</v>
      </c>
      <c r="B366" s="30">
        <f t="shared" si="12"/>
        <v>1</v>
      </c>
      <c r="C366" s="30" t="str">
        <f>_xlfn.IFS(Table_13[[#This Row],[Month]]=1,"JAN",Table_13[[#This Row],[Month]]=2,"FEB",B366=3,"MAR",B366=4,"APR",B366=5,"MAY",B366=6,"JUN",B366=7,"JUL",B366=8,"AUG",Table_13[[#This Row],[Month]]=9,"SEPT",B366=10,"OCT",B366=11,"NOV",B366=12,"DEC")</f>
        <v>JAN</v>
      </c>
      <c r="D366" s="2" t="s">
        <v>11</v>
      </c>
      <c r="E366" s="2" t="s">
        <v>12</v>
      </c>
      <c r="F366" s="2" t="s">
        <v>23</v>
      </c>
      <c r="G366" s="2" t="s">
        <v>14</v>
      </c>
      <c r="H366" s="2" t="s">
        <v>36</v>
      </c>
      <c r="I366" s="2" t="s">
        <v>31</v>
      </c>
      <c r="J366" s="15">
        <v>150000</v>
      </c>
      <c r="K366" s="2">
        <v>3</v>
      </c>
      <c r="L366" s="2" t="s">
        <v>17</v>
      </c>
      <c r="M366" s="12">
        <f t="shared" si="9"/>
        <v>120000</v>
      </c>
      <c r="N366" s="10">
        <f>PRODUCT(Table_13[[#This Row],[Unit Price]],Table_13[[#This Row],[Quantity]])</f>
        <v>450000</v>
      </c>
      <c r="O366" s="16">
        <f>PRODUCT(Table_13[[#This Row],[Cost Price]],Table_13[[#This Row],[Quantity]])</f>
        <v>360000</v>
      </c>
      <c r="P366" s="27">
        <f t="shared" si="13"/>
        <v>90000</v>
      </c>
    </row>
    <row r="367" spans="1:16" x14ac:dyDescent="0.2">
      <c r="A367" s="33">
        <v>46041</v>
      </c>
      <c r="B367" s="30">
        <f t="shared" si="12"/>
        <v>1</v>
      </c>
      <c r="C367" s="30" t="str">
        <f>_xlfn.IFS(Table_13[[#This Row],[Month]]=1,"JAN",Table_13[[#This Row],[Month]]=2,"FEB",B367=3,"MAR",B367=4,"APR",B367=5,"MAY",B367=6,"JUN",B367=7,"JUL",B367=8,"AUG",Table_13[[#This Row],[Month]]=9,"SEPT",B367=10,"OCT",B367=11,"NOV",B367=12,"DEC")</f>
        <v>JAN</v>
      </c>
      <c r="D367" s="2" t="s">
        <v>18</v>
      </c>
      <c r="E367" s="2" t="s">
        <v>26</v>
      </c>
      <c r="F367" s="2" t="s">
        <v>23</v>
      </c>
      <c r="G367" s="2" t="s">
        <v>20</v>
      </c>
      <c r="H367" s="2" t="s">
        <v>15</v>
      </c>
      <c r="I367" s="2" t="s">
        <v>16</v>
      </c>
      <c r="J367" s="15">
        <v>85000</v>
      </c>
      <c r="K367" s="2">
        <v>8</v>
      </c>
      <c r="L367" s="2" t="s">
        <v>17</v>
      </c>
      <c r="M367" s="12">
        <f t="shared" si="9"/>
        <v>68000</v>
      </c>
      <c r="N367" s="10">
        <f>PRODUCT(Table_13[[#This Row],[Unit Price]],Table_13[[#This Row],[Quantity]])</f>
        <v>680000</v>
      </c>
      <c r="O367" s="16">
        <f>PRODUCT(Table_13[[#This Row],[Cost Price]],Table_13[[#This Row],[Quantity]])</f>
        <v>544000</v>
      </c>
      <c r="P367" s="27">
        <f t="shared" si="13"/>
        <v>136000</v>
      </c>
    </row>
    <row r="368" spans="1:16" x14ac:dyDescent="0.2">
      <c r="A368" s="33">
        <v>46042</v>
      </c>
      <c r="B368" s="30">
        <f t="shared" si="12"/>
        <v>1</v>
      </c>
      <c r="C368" s="30" t="str">
        <f>_xlfn.IFS(Table_13[[#This Row],[Month]]=1,"JAN",Table_13[[#This Row],[Month]]=2,"FEB",B368=3,"MAR",B368=4,"APR",B368=5,"MAY",B368=6,"JUN",B368=7,"JUL",B368=8,"AUG",Table_13[[#This Row],[Month]]=9,"SEPT",B368=10,"OCT",B368=11,"NOV",B368=12,"DEC")</f>
        <v>JAN</v>
      </c>
      <c r="D368" s="2" t="s">
        <v>25</v>
      </c>
      <c r="E368" s="2" t="s">
        <v>26</v>
      </c>
      <c r="F368" s="2" t="s">
        <v>23</v>
      </c>
      <c r="G368" s="2" t="s">
        <v>14</v>
      </c>
      <c r="H368" s="2" t="s">
        <v>38</v>
      </c>
      <c r="I368" s="2" t="s">
        <v>31</v>
      </c>
      <c r="J368" s="15">
        <v>420000</v>
      </c>
      <c r="K368" s="2">
        <v>7</v>
      </c>
      <c r="L368" s="2" t="s">
        <v>17</v>
      </c>
      <c r="M368" s="12">
        <f t="shared" si="9"/>
        <v>336000</v>
      </c>
      <c r="N368" s="10">
        <f>PRODUCT(Table_13[[#This Row],[Unit Price]],Table_13[[#This Row],[Quantity]])</f>
        <v>2940000</v>
      </c>
      <c r="O368" s="16">
        <f>PRODUCT(Table_13[[#This Row],[Cost Price]],Table_13[[#This Row],[Quantity]])</f>
        <v>2352000</v>
      </c>
      <c r="P368" s="27">
        <f t="shared" si="13"/>
        <v>588000</v>
      </c>
    </row>
    <row r="369" spans="1:16" x14ac:dyDescent="0.2">
      <c r="A369" s="33">
        <v>46043</v>
      </c>
      <c r="B369" s="30">
        <f t="shared" si="12"/>
        <v>1</v>
      </c>
      <c r="C369" s="30" t="str">
        <f>_xlfn.IFS(Table_13[[#This Row],[Month]]=1,"JAN",Table_13[[#This Row],[Month]]=2,"FEB",B369=3,"MAR",B369=4,"APR",B369=5,"MAY",B369=6,"JUN",B369=7,"JUL",B369=8,"AUG",Table_13[[#This Row],[Month]]=9,"SEPT",B369=10,"OCT",B369=11,"NOV",B369=12,"DEC")</f>
        <v>JAN</v>
      </c>
      <c r="D369" s="2" t="s">
        <v>18</v>
      </c>
      <c r="E369" s="2" t="s">
        <v>32</v>
      </c>
      <c r="F369" s="2" t="s">
        <v>23</v>
      </c>
      <c r="G369" s="2" t="s">
        <v>20</v>
      </c>
      <c r="H369" s="2" t="s">
        <v>36</v>
      </c>
      <c r="I369" s="2" t="s">
        <v>31</v>
      </c>
      <c r="J369" s="15">
        <v>150000</v>
      </c>
      <c r="K369" s="2">
        <v>3</v>
      </c>
      <c r="L369" s="2" t="s">
        <v>24</v>
      </c>
      <c r="M369" s="12">
        <f t="shared" si="9"/>
        <v>120000</v>
      </c>
      <c r="N369" s="10">
        <f>PRODUCT(Table_13[[#This Row],[Unit Price]],Table_13[[#This Row],[Quantity]])</f>
        <v>450000</v>
      </c>
      <c r="O369" s="16">
        <f>PRODUCT(Table_13[[#This Row],[Cost Price]],Table_13[[#This Row],[Quantity]])</f>
        <v>360000</v>
      </c>
      <c r="P369" s="27">
        <f t="shared" si="13"/>
        <v>90000</v>
      </c>
    </row>
    <row r="370" spans="1:16" x14ac:dyDescent="0.2">
      <c r="A370" s="33">
        <v>46044</v>
      </c>
      <c r="B370" s="30">
        <f t="shared" si="12"/>
        <v>1</v>
      </c>
      <c r="C370" s="30" t="str">
        <f>_xlfn.IFS(Table_13[[#This Row],[Month]]=1,"JAN",Table_13[[#This Row],[Month]]=2,"FEB",B370=3,"MAR",B370=4,"APR",B370=5,"MAY",B370=6,"JUN",B370=7,"JUL",B370=8,"AUG",Table_13[[#This Row],[Month]]=9,"SEPT",B370=10,"OCT",B370=11,"NOV",B370=12,"DEC")</f>
        <v>JAN</v>
      </c>
      <c r="D370" s="2" t="s">
        <v>11</v>
      </c>
      <c r="E370" s="2" t="s">
        <v>32</v>
      </c>
      <c r="F370" s="2" t="s">
        <v>23</v>
      </c>
      <c r="G370" s="2" t="s">
        <v>20</v>
      </c>
      <c r="H370" s="2" t="s">
        <v>34</v>
      </c>
      <c r="I370" s="2" t="s">
        <v>16</v>
      </c>
      <c r="J370" s="15">
        <v>320000</v>
      </c>
      <c r="K370" s="2">
        <v>1</v>
      </c>
      <c r="L370" s="2" t="s">
        <v>28</v>
      </c>
      <c r="M370" s="12">
        <f t="shared" si="9"/>
        <v>256000</v>
      </c>
      <c r="N370" s="10">
        <f>PRODUCT(Table_13[[#This Row],[Unit Price]],Table_13[[#This Row],[Quantity]])</f>
        <v>320000</v>
      </c>
      <c r="O370" s="16">
        <f>PRODUCT(Table_13[[#This Row],[Cost Price]],Table_13[[#This Row],[Quantity]])</f>
        <v>256000</v>
      </c>
      <c r="P370" s="27">
        <f t="shared" si="13"/>
        <v>64000</v>
      </c>
    </row>
    <row r="371" spans="1:16" x14ac:dyDescent="0.2">
      <c r="A371" s="33">
        <v>46045</v>
      </c>
      <c r="B371" s="30">
        <f t="shared" si="12"/>
        <v>1</v>
      </c>
      <c r="C371" s="30" t="str">
        <f>_xlfn.IFS(Table_13[[#This Row],[Month]]=1,"JAN",Table_13[[#This Row],[Month]]=2,"FEB",B371=3,"MAR",B371=4,"APR",B371=5,"MAY",B371=6,"JUN",B371=7,"JUL",B371=8,"AUG",Table_13[[#This Row],[Month]]=9,"SEPT",B371=10,"OCT",B371=11,"NOV",B371=12,"DEC")</f>
        <v>JAN</v>
      </c>
      <c r="D371" s="2" t="s">
        <v>18</v>
      </c>
      <c r="E371" s="2" t="s">
        <v>32</v>
      </c>
      <c r="F371" s="2" t="s">
        <v>23</v>
      </c>
      <c r="G371" s="2" t="s">
        <v>14</v>
      </c>
      <c r="H371" s="2" t="s">
        <v>33</v>
      </c>
      <c r="I371" s="2" t="s">
        <v>22</v>
      </c>
      <c r="J371" s="15">
        <v>180000</v>
      </c>
      <c r="K371" s="2">
        <v>5</v>
      </c>
      <c r="L371" s="2" t="s">
        <v>17</v>
      </c>
      <c r="M371" s="12">
        <f t="shared" si="9"/>
        <v>144000</v>
      </c>
      <c r="N371" s="10">
        <f>PRODUCT(Table_13[[#This Row],[Unit Price]],Table_13[[#This Row],[Quantity]])</f>
        <v>900000</v>
      </c>
      <c r="O371" s="16">
        <f>PRODUCT(Table_13[[#This Row],[Cost Price]],Table_13[[#This Row],[Quantity]])</f>
        <v>720000</v>
      </c>
      <c r="P371" s="27">
        <f t="shared" si="13"/>
        <v>180000</v>
      </c>
    </row>
    <row r="372" spans="1:16" x14ac:dyDescent="0.2">
      <c r="A372" s="33">
        <v>46046</v>
      </c>
      <c r="B372" s="30">
        <f t="shared" si="12"/>
        <v>1</v>
      </c>
      <c r="C372" s="30" t="str">
        <f>_xlfn.IFS(Table_13[[#This Row],[Month]]=1,"JAN",Table_13[[#This Row],[Month]]=2,"FEB",B372=3,"MAR",B372=4,"APR",B372=5,"MAY",B372=6,"JUN",B372=7,"JUL",B372=8,"AUG",Table_13[[#This Row],[Month]]=9,"SEPT",B372=10,"OCT",B372=11,"NOV",B372=12,"DEC")</f>
        <v>JAN</v>
      </c>
      <c r="D372" s="2" t="s">
        <v>29</v>
      </c>
      <c r="E372" s="2" t="s">
        <v>26</v>
      </c>
      <c r="F372" s="2" t="s">
        <v>23</v>
      </c>
      <c r="G372" s="2" t="s">
        <v>20</v>
      </c>
      <c r="H372" s="2" t="s">
        <v>30</v>
      </c>
      <c r="I372" s="2" t="s">
        <v>31</v>
      </c>
      <c r="J372" s="15">
        <v>300000</v>
      </c>
      <c r="K372" s="2">
        <v>1</v>
      </c>
      <c r="L372" s="2" t="s">
        <v>28</v>
      </c>
      <c r="M372" s="12">
        <f t="shared" si="9"/>
        <v>240000</v>
      </c>
      <c r="N372" s="10">
        <f>PRODUCT(Table_13[[#This Row],[Unit Price]],Table_13[[#This Row],[Quantity]])</f>
        <v>300000</v>
      </c>
      <c r="O372" s="16">
        <f>PRODUCT(Table_13[[#This Row],[Cost Price]],Table_13[[#This Row],[Quantity]])</f>
        <v>240000</v>
      </c>
      <c r="P372" s="27">
        <f t="shared" si="13"/>
        <v>60000</v>
      </c>
    </row>
    <row r="373" spans="1:16" x14ac:dyDescent="0.2">
      <c r="A373" s="33">
        <v>46047</v>
      </c>
      <c r="B373" s="30">
        <f t="shared" si="12"/>
        <v>1</v>
      </c>
      <c r="C373" s="30" t="str">
        <f>_xlfn.IFS(Table_13[[#This Row],[Month]]=1,"JAN",Table_13[[#This Row],[Month]]=2,"FEB",B373=3,"MAR",B373=4,"APR",B373=5,"MAY",B373=6,"JUN",B373=7,"JUL",B373=8,"AUG",Table_13[[#This Row],[Month]]=9,"SEPT",B373=10,"OCT",B373=11,"NOV",B373=12,"DEC")</f>
        <v>JAN</v>
      </c>
      <c r="D373" s="2" t="s">
        <v>18</v>
      </c>
      <c r="E373" s="2" t="s">
        <v>12</v>
      </c>
      <c r="F373" s="2" t="s">
        <v>23</v>
      </c>
      <c r="G373" s="2" t="s">
        <v>14</v>
      </c>
      <c r="H373" s="2" t="s">
        <v>33</v>
      </c>
      <c r="I373" s="2" t="s">
        <v>22</v>
      </c>
      <c r="J373" s="15">
        <v>180000</v>
      </c>
      <c r="K373" s="2">
        <v>8</v>
      </c>
      <c r="L373" s="2" t="s">
        <v>37</v>
      </c>
      <c r="M373" s="12">
        <f t="shared" si="9"/>
        <v>144000</v>
      </c>
      <c r="N373" s="10">
        <f>PRODUCT(Table_13[[#This Row],[Unit Price]],Table_13[[#This Row],[Quantity]])</f>
        <v>1440000</v>
      </c>
      <c r="O373" s="16">
        <f>PRODUCT(Table_13[[#This Row],[Cost Price]],Table_13[[#This Row],[Quantity]])</f>
        <v>1152000</v>
      </c>
      <c r="P373" s="27">
        <f t="shared" si="13"/>
        <v>288000</v>
      </c>
    </row>
    <row r="374" spans="1:16" x14ac:dyDescent="0.2">
      <c r="A374" s="33">
        <v>46048</v>
      </c>
      <c r="B374" s="30">
        <f t="shared" si="12"/>
        <v>1</v>
      </c>
      <c r="C374" s="30" t="str">
        <f>_xlfn.IFS(Table_13[[#This Row],[Month]]=1,"JAN",Table_13[[#This Row],[Month]]=2,"FEB",B374=3,"MAR",B374=4,"APR",B374=5,"MAY",B374=6,"JUN",B374=7,"JUL",B374=8,"AUG",Table_13[[#This Row],[Month]]=9,"SEPT",B374=10,"OCT",B374=11,"NOV",B374=12,"DEC")</f>
        <v>JAN</v>
      </c>
      <c r="D374" s="2" t="s">
        <v>25</v>
      </c>
      <c r="E374" s="2" t="s">
        <v>26</v>
      </c>
      <c r="F374" s="2" t="s">
        <v>23</v>
      </c>
      <c r="G374" s="2" t="s">
        <v>14</v>
      </c>
      <c r="H374" s="2" t="s">
        <v>33</v>
      </c>
      <c r="I374" s="2" t="s">
        <v>22</v>
      </c>
      <c r="J374" s="15">
        <v>180000</v>
      </c>
      <c r="K374" s="2">
        <v>3</v>
      </c>
      <c r="L374" s="2" t="s">
        <v>35</v>
      </c>
      <c r="M374" s="12">
        <f t="shared" si="9"/>
        <v>144000</v>
      </c>
      <c r="N374" s="10">
        <f>PRODUCT(Table_13[[#This Row],[Unit Price]],Table_13[[#This Row],[Quantity]])</f>
        <v>540000</v>
      </c>
      <c r="O374" s="16">
        <f>PRODUCT(Table_13[[#This Row],[Cost Price]],Table_13[[#This Row],[Quantity]])</f>
        <v>432000</v>
      </c>
      <c r="P374" s="27">
        <f t="shared" si="13"/>
        <v>108000</v>
      </c>
    </row>
    <row r="375" spans="1:16" x14ac:dyDescent="0.2">
      <c r="A375" s="33">
        <v>46049</v>
      </c>
      <c r="B375" s="30">
        <f t="shared" si="12"/>
        <v>1</v>
      </c>
      <c r="C375" s="30" t="str">
        <f>_xlfn.IFS(Table_13[[#This Row],[Month]]=1,"JAN",Table_13[[#This Row],[Month]]=2,"FEB",B375=3,"MAR",B375=4,"APR",B375=5,"MAY",B375=6,"JUN",B375=7,"JUL",B375=8,"AUG",Table_13[[#This Row],[Month]]=9,"SEPT",B375=10,"OCT",B375=11,"NOV",B375=12,"DEC")</f>
        <v>JAN</v>
      </c>
      <c r="D375" s="2" t="s">
        <v>11</v>
      </c>
      <c r="E375" s="2" t="s">
        <v>32</v>
      </c>
      <c r="F375" s="2" t="s">
        <v>23</v>
      </c>
      <c r="G375" s="2" t="s">
        <v>20</v>
      </c>
      <c r="H375" s="2" t="s">
        <v>34</v>
      </c>
      <c r="I375" s="2" t="s">
        <v>16</v>
      </c>
      <c r="J375" s="15">
        <v>320000</v>
      </c>
      <c r="K375" s="2">
        <v>6</v>
      </c>
      <c r="L375" s="2" t="s">
        <v>39</v>
      </c>
      <c r="M375" s="12">
        <f t="shared" si="9"/>
        <v>256000</v>
      </c>
      <c r="N375" s="10">
        <f>PRODUCT(Table_13[[#This Row],[Unit Price]],Table_13[[#This Row],[Quantity]])</f>
        <v>1920000</v>
      </c>
      <c r="O375" s="16">
        <f>PRODUCT(Table_13[[#This Row],[Cost Price]],Table_13[[#This Row],[Quantity]])</f>
        <v>1536000</v>
      </c>
      <c r="P375" s="27">
        <f t="shared" si="13"/>
        <v>384000</v>
      </c>
    </row>
    <row r="376" spans="1:16" x14ac:dyDescent="0.2">
      <c r="A376" s="33">
        <v>46050</v>
      </c>
      <c r="B376" s="30">
        <f t="shared" si="12"/>
        <v>1</v>
      </c>
      <c r="C376" s="30" t="str">
        <f>_xlfn.IFS(Table_13[[#This Row],[Month]]=1,"JAN",Table_13[[#This Row],[Month]]=2,"FEB",B376=3,"MAR",B376=4,"APR",B376=5,"MAY",B376=6,"JUN",B376=7,"JUL",B376=8,"AUG",Table_13[[#This Row],[Month]]=9,"SEPT",B376=10,"OCT",B376=11,"NOV",B376=12,"DEC")</f>
        <v>JAN</v>
      </c>
      <c r="D376" s="2" t="s">
        <v>11</v>
      </c>
      <c r="E376" s="2" t="s">
        <v>32</v>
      </c>
      <c r="F376" s="2" t="s">
        <v>23</v>
      </c>
      <c r="G376" s="2" t="s">
        <v>20</v>
      </c>
      <c r="H376" s="2" t="s">
        <v>27</v>
      </c>
      <c r="I376" s="2" t="s">
        <v>22</v>
      </c>
      <c r="J376" s="15">
        <v>60000</v>
      </c>
      <c r="K376" s="2">
        <v>10</v>
      </c>
      <c r="L376" s="2" t="s">
        <v>17</v>
      </c>
      <c r="M376" s="12">
        <f t="shared" si="9"/>
        <v>48000</v>
      </c>
      <c r="N376" s="10">
        <f>PRODUCT(Table_13[[#This Row],[Unit Price]],Table_13[[#This Row],[Quantity]])</f>
        <v>600000</v>
      </c>
      <c r="O376" s="16">
        <f>PRODUCT(Table_13[[#This Row],[Cost Price]],Table_13[[#This Row],[Quantity]])</f>
        <v>480000</v>
      </c>
      <c r="P376" s="27">
        <f t="shared" si="13"/>
        <v>120000</v>
      </c>
    </row>
    <row r="377" spans="1:16" x14ac:dyDescent="0.2">
      <c r="A377" s="33">
        <v>46051</v>
      </c>
      <c r="B377" s="30">
        <f t="shared" si="12"/>
        <v>1</v>
      </c>
      <c r="C377" s="30" t="str">
        <f>_xlfn.IFS(Table_13[[#This Row],[Month]]=1,"JAN",Table_13[[#This Row],[Month]]=2,"FEB",B377=3,"MAR",B377=4,"APR",B377=5,"MAY",B377=6,"JUN",B377=7,"JUL",B377=8,"AUG",Table_13[[#This Row],[Month]]=9,"SEPT",B377=10,"OCT",B377=11,"NOV",B377=12,"DEC")</f>
        <v>JAN</v>
      </c>
      <c r="D377" s="2" t="s">
        <v>25</v>
      </c>
      <c r="E377" s="2" t="s">
        <v>19</v>
      </c>
      <c r="F377" s="2" t="s">
        <v>23</v>
      </c>
      <c r="G377" s="2" t="s">
        <v>20</v>
      </c>
      <c r="H377" s="2" t="s">
        <v>30</v>
      </c>
      <c r="I377" s="2" t="s">
        <v>31</v>
      </c>
      <c r="J377" s="15">
        <v>300000</v>
      </c>
      <c r="K377" s="2">
        <v>1</v>
      </c>
      <c r="L377" s="2" t="s">
        <v>37</v>
      </c>
      <c r="M377" s="12">
        <f t="shared" si="9"/>
        <v>240000</v>
      </c>
      <c r="N377" s="10">
        <f>PRODUCT(Table_13[[#This Row],[Unit Price]],Table_13[[#This Row],[Quantity]])</f>
        <v>300000</v>
      </c>
      <c r="O377" s="16">
        <f>PRODUCT(Table_13[[#This Row],[Cost Price]],Table_13[[#This Row],[Quantity]])</f>
        <v>240000</v>
      </c>
      <c r="P377" s="27">
        <f t="shared" si="13"/>
        <v>60000</v>
      </c>
    </row>
    <row r="378" spans="1:16" x14ac:dyDescent="0.2">
      <c r="A378" s="33">
        <v>46052</v>
      </c>
      <c r="B378" s="30">
        <f t="shared" si="12"/>
        <v>1</v>
      </c>
      <c r="C378" s="30" t="str">
        <f>_xlfn.IFS(Table_13[[#This Row],[Month]]=1,"JAN",Table_13[[#This Row],[Month]]=2,"FEB",B378=3,"MAR",B378=4,"APR",B378=5,"MAY",B378=6,"JUN",B378=7,"JUL",B378=8,"AUG",Table_13[[#This Row],[Month]]=9,"SEPT",B378=10,"OCT",B378=11,"NOV",B378=12,"DEC")</f>
        <v>JAN</v>
      </c>
      <c r="D378" s="2" t="s">
        <v>11</v>
      </c>
      <c r="E378" s="2" t="s">
        <v>19</v>
      </c>
      <c r="F378" s="2" t="s">
        <v>23</v>
      </c>
      <c r="G378" s="2" t="s">
        <v>14</v>
      </c>
      <c r="H378" s="2" t="s">
        <v>33</v>
      </c>
      <c r="I378" s="2" t="s">
        <v>22</v>
      </c>
      <c r="J378" s="15">
        <v>180000</v>
      </c>
      <c r="K378" s="2">
        <v>1</v>
      </c>
      <c r="L378" s="2" t="s">
        <v>24</v>
      </c>
      <c r="M378" s="12">
        <f t="shared" si="9"/>
        <v>144000</v>
      </c>
      <c r="N378" s="10">
        <f>PRODUCT(Table_13[[#This Row],[Unit Price]],Table_13[[#This Row],[Quantity]])</f>
        <v>180000</v>
      </c>
      <c r="O378" s="16">
        <f>PRODUCT(Table_13[[#This Row],[Cost Price]],Table_13[[#This Row],[Quantity]])</f>
        <v>144000</v>
      </c>
      <c r="P378" s="27">
        <f t="shared" si="13"/>
        <v>36000</v>
      </c>
    </row>
    <row r="379" spans="1:16" x14ac:dyDescent="0.2">
      <c r="A379" s="33">
        <v>46053</v>
      </c>
      <c r="B379" s="30">
        <f t="shared" si="12"/>
        <v>1</v>
      </c>
      <c r="C379" s="30" t="str">
        <f>_xlfn.IFS(Table_13[[#This Row],[Month]]=1,"JAN",Table_13[[#This Row],[Month]]=2,"FEB",B379=3,"MAR",B379=4,"APR",B379=5,"MAY",B379=6,"JUN",B379=7,"JUL",B379=8,"AUG",Table_13[[#This Row],[Month]]=9,"SEPT",B379=10,"OCT",B379=11,"NOV",B379=12,"DEC")</f>
        <v>JAN</v>
      </c>
      <c r="D379" s="2" t="s">
        <v>18</v>
      </c>
      <c r="E379" s="2" t="s">
        <v>19</v>
      </c>
      <c r="F379" s="2" t="s">
        <v>13</v>
      </c>
      <c r="G379" s="2" t="s">
        <v>20</v>
      </c>
      <c r="H379" s="2" t="s">
        <v>41</v>
      </c>
      <c r="I379" s="2" t="s">
        <v>22</v>
      </c>
      <c r="J379" s="15">
        <v>220000</v>
      </c>
      <c r="K379" s="2">
        <v>8</v>
      </c>
      <c r="L379" s="2" t="s">
        <v>37</v>
      </c>
      <c r="M379" s="12">
        <f t="shared" si="9"/>
        <v>176000</v>
      </c>
      <c r="N379" s="10">
        <f>PRODUCT(Table_13[[#This Row],[Unit Price]],Table_13[[#This Row],[Quantity]])</f>
        <v>1760000</v>
      </c>
      <c r="O379" s="16">
        <f>PRODUCT(Table_13[[#This Row],[Cost Price]],Table_13[[#This Row],[Quantity]])</f>
        <v>1408000</v>
      </c>
      <c r="P379" s="27">
        <f t="shared" si="13"/>
        <v>352000</v>
      </c>
    </row>
    <row r="380" spans="1:16" x14ac:dyDescent="0.2">
      <c r="A380" s="33">
        <v>46054</v>
      </c>
      <c r="B380" s="30">
        <f t="shared" si="12"/>
        <v>2</v>
      </c>
      <c r="C380" s="30" t="str">
        <f>_xlfn.IFS(Table_13[[#This Row],[Month]]=1,"JAN",Table_13[[#This Row],[Month]]=2,"FEB",B380=3,"MAR",B380=4,"APR",B380=5,"MAY",B380=6,"JUN",B380=7,"JUL",B380=8,"AUG",Table_13[[#This Row],[Month]]=9,"SEPT",B380=10,"OCT",B380=11,"NOV",B380=12,"DEC")</f>
        <v>FEB</v>
      </c>
      <c r="D380" s="2" t="s">
        <v>29</v>
      </c>
      <c r="E380" s="2" t="s">
        <v>19</v>
      </c>
      <c r="F380" s="2" t="s">
        <v>23</v>
      </c>
      <c r="G380" s="2" t="s">
        <v>20</v>
      </c>
      <c r="H380" s="2" t="s">
        <v>15</v>
      </c>
      <c r="I380" s="2" t="s">
        <v>16</v>
      </c>
      <c r="J380" s="15">
        <v>85000</v>
      </c>
      <c r="K380" s="2">
        <v>7</v>
      </c>
      <c r="L380" s="2" t="s">
        <v>28</v>
      </c>
      <c r="M380" s="12">
        <f t="shared" si="9"/>
        <v>68000</v>
      </c>
      <c r="N380" s="10">
        <f>PRODUCT(Table_13[[#This Row],[Unit Price]],Table_13[[#This Row],[Quantity]])</f>
        <v>595000</v>
      </c>
      <c r="O380" s="16">
        <f>PRODUCT(Table_13[[#This Row],[Cost Price]],Table_13[[#This Row],[Quantity]])</f>
        <v>476000</v>
      </c>
      <c r="P380" s="27">
        <f t="shared" si="13"/>
        <v>119000</v>
      </c>
    </row>
    <row r="381" spans="1:16" x14ac:dyDescent="0.2">
      <c r="A381" s="33">
        <v>46055</v>
      </c>
      <c r="B381" s="30">
        <f t="shared" si="12"/>
        <v>2</v>
      </c>
      <c r="C381" s="30" t="str">
        <f>_xlfn.IFS(Table_13[[#This Row],[Month]]=1,"JAN",Table_13[[#This Row],[Month]]=2,"FEB",B381=3,"MAR",B381=4,"APR",B381=5,"MAY",B381=6,"JUN",B381=7,"JUL",B381=8,"AUG",Table_13[[#This Row],[Month]]=9,"SEPT",B381=10,"OCT",B381=11,"NOV",B381=12,"DEC")</f>
        <v>FEB</v>
      </c>
      <c r="D381" s="2" t="s">
        <v>11</v>
      </c>
      <c r="E381" s="2" t="s">
        <v>12</v>
      </c>
      <c r="F381" s="2" t="s">
        <v>13</v>
      </c>
      <c r="G381" s="2" t="s">
        <v>20</v>
      </c>
      <c r="H381" s="2" t="s">
        <v>33</v>
      </c>
      <c r="I381" s="2" t="s">
        <v>22</v>
      </c>
      <c r="J381" s="15">
        <v>180000</v>
      </c>
      <c r="K381" s="2">
        <v>9</v>
      </c>
      <c r="L381" s="2" t="s">
        <v>39</v>
      </c>
      <c r="M381" s="12">
        <f t="shared" si="9"/>
        <v>144000</v>
      </c>
      <c r="N381" s="10">
        <f>PRODUCT(Table_13[[#This Row],[Unit Price]],Table_13[[#This Row],[Quantity]])</f>
        <v>1620000</v>
      </c>
      <c r="O381" s="16">
        <f>PRODUCT(Table_13[[#This Row],[Cost Price]],Table_13[[#This Row],[Quantity]])</f>
        <v>1296000</v>
      </c>
      <c r="P381" s="27">
        <f t="shared" si="13"/>
        <v>324000</v>
      </c>
    </row>
    <row r="382" spans="1:16" x14ac:dyDescent="0.2">
      <c r="A382" s="33">
        <v>46056</v>
      </c>
      <c r="B382" s="30">
        <f t="shared" si="12"/>
        <v>2</v>
      </c>
      <c r="C382" s="30" t="str">
        <f>_xlfn.IFS(Table_13[[#This Row],[Month]]=1,"JAN",Table_13[[#This Row],[Month]]=2,"FEB",B382=3,"MAR",B382=4,"APR",B382=5,"MAY",B382=6,"JUN",B382=7,"JUL",B382=8,"AUG",Table_13[[#This Row],[Month]]=9,"SEPT",B382=10,"OCT",B382=11,"NOV",B382=12,"DEC")</f>
        <v>FEB</v>
      </c>
      <c r="D382" s="2" t="s">
        <v>29</v>
      </c>
      <c r="E382" s="2" t="s">
        <v>12</v>
      </c>
      <c r="F382" s="2" t="s">
        <v>23</v>
      </c>
      <c r="G382" s="2" t="s">
        <v>14</v>
      </c>
      <c r="H382" s="2" t="s">
        <v>34</v>
      </c>
      <c r="I382" s="2" t="s">
        <v>16</v>
      </c>
      <c r="J382" s="15">
        <v>320000</v>
      </c>
      <c r="K382" s="2">
        <v>3</v>
      </c>
      <c r="L382" s="2" t="s">
        <v>35</v>
      </c>
      <c r="M382" s="12">
        <f t="shared" si="9"/>
        <v>256000</v>
      </c>
      <c r="N382" s="10">
        <f>PRODUCT(Table_13[[#This Row],[Unit Price]],Table_13[[#This Row],[Quantity]])</f>
        <v>960000</v>
      </c>
      <c r="O382" s="16">
        <f>PRODUCT(Table_13[[#This Row],[Cost Price]],Table_13[[#This Row],[Quantity]])</f>
        <v>768000</v>
      </c>
      <c r="P382" s="27">
        <f t="shared" si="13"/>
        <v>192000</v>
      </c>
    </row>
    <row r="383" spans="1:16" x14ac:dyDescent="0.2">
      <c r="A383" s="33">
        <v>46057</v>
      </c>
      <c r="B383" s="30">
        <f t="shared" si="12"/>
        <v>2</v>
      </c>
      <c r="C383" s="30" t="str">
        <f>_xlfn.IFS(Table_13[[#This Row],[Month]]=1,"JAN",Table_13[[#This Row],[Month]]=2,"FEB",B383=3,"MAR",B383=4,"APR",B383=5,"MAY",B383=6,"JUN",B383=7,"JUL",B383=8,"AUG",Table_13[[#This Row],[Month]]=9,"SEPT",B383=10,"OCT",B383=11,"NOV",B383=12,"DEC")</f>
        <v>FEB</v>
      </c>
      <c r="D383" s="2" t="s">
        <v>29</v>
      </c>
      <c r="E383" s="2" t="s">
        <v>12</v>
      </c>
      <c r="F383" s="2" t="s">
        <v>23</v>
      </c>
      <c r="G383" s="2" t="s">
        <v>14</v>
      </c>
      <c r="H383" s="2" t="s">
        <v>36</v>
      </c>
      <c r="I383" s="2" t="s">
        <v>31</v>
      </c>
      <c r="J383" s="15">
        <v>150000</v>
      </c>
      <c r="K383" s="2">
        <v>4</v>
      </c>
      <c r="L383" s="2" t="s">
        <v>17</v>
      </c>
      <c r="M383" s="12">
        <f t="shared" si="9"/>
        <v>120000</v>
      </c>
      <c r="N383" s="10">
        <f>PRODUCT(Table_13[[#This Row],[Unit Price]],Table_13[[#This Row],[Quantity]])</f>
        <v>600000</v>
      </c>
      <c r="O383" s="16">
        <f>PRODUCT(Table_13[[#This Row],[Cost Price]],Table_13[[#This Row],[Quantity]])</f>
        <v>480000</v>
      </c>
      <c r="P383" s="27">
        <f t="shared" si="13"/>
        <v>120000</v>
      </c>
    </row>
    <row r="384" spans="1:16" x14ac:dyDescent="0.2">
      <c r="A384" s="33">
        <v>46058</v>
      </c>
      <c r="B384" s="30">
        <f t="shared" si="12"/>
        <v>2</v>
      </c>
      <c r="C384" s="30" t="str">
        <f>_xlfn.IFS(Table_13[[#This Row],[Month]]=1,"JAN",Table_13[[#This Row],[Month]]=2,"FEB",B384=3,"MAR",B384=4,"APR",B384=5,"MAY",B384=6,"JUN",B384=7,"JUL",B384=8,"AUG",Table_13[[#This Row],[Month]]=9,"SEPT",B384=10,"OCT",B384=11,"NOV",B384=12,"DEC")</f>
        <v>FEB</v>
      </c>
      <c r="D384" s="2" t="s">
        <v>18</v>
      </c>
      <c r="E384" s="2" t="s">
        <v>19</v>
      </c>
      <c r="F384" s="2" t="s">
        <v>13</v>
      </c>
      <c r="G384" s="2" t="s">
        <v>14</v>
      </c>
      <c r="H384" s="2" t="s">
        <v>41</v>
      </c>
      <c r="I384" s="2" t="s">
        <v>22</v>
      </c>
      <c r="J384" s="15">
        <v>220000</v>
      </c>
      <c r="K384" s="2">
        <v>10</v>
      </c>
      <c r="L384" s="2" t="s">
        <v>39</v>
      </c>
      <c r="M384" s="12">
        <f t="shared" si="9"/>
        <v>176000</v>
      </c>
      <c r="N384" s="10">
        <f>PRODUCT(Table_13[[#This Row],[Unit Price]],Table_13[[#This Row],[Quantity]])</f>
        <v>2200000</v>
      </c>
      <c r="O384" s="16">
        <f>PRODUCT(Table_13[[#This Row],[Cost Price]],Table_13[[#This Row],[Quantity]])</f>
        <v>1760000</v>
      </c>
      <c r="P384" s="27">
        <f t="shared" si="13"/>
        <v>440000</v>
      </c>
    </row>
    <row r="385" spans="1:16" x14ac:dyDescent="0.2">
      <c r="A385" s="33">
        <v>46059</v>
      </c>
      <c r="B385" s="30">
        <f t="shared" si="12"/>
        <v>2</v>
      </c>
      <c r="C385" s="30" t="str">
        <f>_xlfn.IFS(Table_13[[#This Row],[Month]]=1,"JAN",Table_13[[#This Row],[Month]]=2,"FEB",B385=3,"MAR",B385=4,"APR",B385=5,"MAY",B385=6,"JUN",B385=7,"JUL",B385=8,"AUG",Table_13[[#This Row],[Month]]=9,"SEPT",B385=10,"OCT",B385=11,"NOV",B385=12,"DEC")</f>
        <v>FEB</v>
      </c>
      <c r="D385" s="2" t="s">
        <v>25</v>
      </c>
      <c r="E385" s="2" t="s">
        <v>12</v>
      </c>
      <c r="F385" s="2" t="s">
        <v>23</v>
      </c>
      <c r="G385" s="2" t="s">
        <v>14</v>
      </c>
      <c r="H385" s="2" t="s">
        <v>36</v>
      </c>
      <c r="I385" s="2" t="s">
        <v>31</v>
      </c>
      <c r="J385" s="15">
        <v>150000</v>
      </c>
      <c r="K385" s="2">
        <v>6</v>
      </c>
      <c r="L385" s="2" t="s">
        <v>17</v>
      </c>
      <c r="M385" s="12">
        <f t="shared" si="9"/>
        <v>120000</v>
      </c>
      <c r="N385" s="10">
        <f>PRODUCT(Table_13[[#This Row],[Unit Price]],Table_13[[#This Row],[Quantity]])</f>
        <v>900000</v>
      </c>
      <c r="O385" s="16">
        <f>PRODUCT(Table_13[[#This Row],[Cost Price]],Table_13[[#This Row],[Quantity]])</f>
        <v>720000</v>
      </c>
      <c r="P385" s="27">
        <f t="shared" si="13"/>
        <v>180000</v>
      </c>
    </row>
    <row r="386" spans="1:16" x14ac:dyDescent="0.2">
      <c r="A386" s="33">
        <v>46060</v>
      </c>
      <c r="B386" s="30">
        <f t="shared" ref="B386:B449" si="14">MONTH(A386)</f>
        <v>2</v>
      </c>
      <c r="C386" s="30" t="str">
        <f>_xlfn.IFS(Table_13[[#This Row],[Month]]=1,"JAN",Table_13[[#This Row],[Month]]=2,"FEB",B386=3,"MAR",B386=4,"APR",B386=5,"MAY",B386=6,"JUN",B386=7,"JUL",B386=8,"AUG",Table_13[[#This Row],[Month]]=9,"SEPT",B386=10,"OCT",B386=11,"NOV",B386=12,"DEC")</f>
        <v>FEB</v>
      </c>
      <c r="D386" s="2" t="s">
        <v>11</v>
      </c>
      <c r="E386" s="2" t="s">
        <v>19</v>
      </c>
      <c r="F386" s="2" t="s">
        <v>23</v>
      </c>
      <c r="G386" s="2" t="s">
        <v>20</v>
      </c>
      <c r="H386" s="2" t="s">
        <v>33</v>
      </c>
      <c r="I386" s="2" t="s">
        <v>22</v>
      </c>
      <c r="J386" s="15">
        <v>180000</v>
      </c>
      <c r="K386" s="2">
        <v>1</v>
      </c>
      <c r="L386" s="2" t="s">
        <v>28</v>
      </c>
      <c r="M386" s="12">
        <f t="shared" si="9"/>
        <v>144000</v>
      </c>
      <c r="N386" s="10">
        <f>PRODUCT(Table_13[[#This Row],[Unit Price]],Table_13[[#This Row],[Quantity]])</f>
        <v>180000</v>
      </c>
      <c r="O386" s="16">
        <f>PRODUCT(Table_13[[#This Row],[Cost Price]],Table_13[[#This Row],[Quantity]])</f>
        <v>144000</v>
      </c>
      <c r="P386" s="27">
        <f t="shared" ref="P386:P449" si="15">N386-O386</f>
        <v>36000</v>
      </c>
    </row>
    <row r="387" spans="1:16" x14ac:dyDescent="0.2">
      <c r="A387" s="33">
        <v>46061</v>
      </c>
      <c r="B387" s="30">
        <f t="shared" si="14"/>
        <v>2</v>
      </c>
      <c r="C387" s="30" t="str">
        <f>_xlfn.IFS(Table_13[[#This Row],[Month]]=1,"JAN",Table_13[[#This Row],[Month]]=2,"FEB",B387=3,"MAR",B387=4,"APR",B387=5,"MAY",B387=6,"JUN",B387=7,"JUL",B387=8,"AUG",Table_13[[#This Row],[Month]]=9,"SEPT",B387=10,"OCT",B387=11,"NOV",B387=12,"DEC")</f>
        <v>FEB</v>
      </c>
      <c r="D387" s="2" t="s">
        <v>18</v>
      </c>
      <c r="E387" s="2" t="s">
        <v>26</v>
      </c>
      <c r="F387" s="2" t="s">
        <v>13</v>
      </c>
      <c r="G387" s="2" t="s">
        <v>14</v>
      </c>
      <c r="H387" s="2" t="s">
        <v>21</v>
      </c>
      <c r="I387" s="2" t="s">
        <v>22</v>
      </c>
      <c r="J387" s="15">
        <v>30000</v>
      </c>
      <c r="K387" s="2">
        <v>2</v>
      </c>
      <c r="L387" s="2" t="s">
        <v>35</v>
      </c>
      <c r="M387" s="12">
        <f t="shared" si="9"/>
        <v>24000</v>
      </c>
      <c r="N387" s="10">
        <f>PRODUCT(Table_13[[#This Row],[Unit Price]],Table_13[[#This Row],[Quantity]])</f>
        <v>60000</v>
      </c>
      <c r="O387" s="16">
        <f>PRODUCT(Table_13[[#This Row],[Cost Price]],Table_13[[#This Row],[Quantity]])</f>
        <v>48000</v>
      </c>
      <c r="P387" s="27">
        <f t="shared" si="15"/>
        <v>12000</v>
      </c>
    </row>
    <row r="388" spans="1:16" x14ac:dyDescent="0.2">
      <c r="A388" s="33">
        <v>46062</v>
      </c>
      <c r="B388" s="30">
        <f t="shared" si="14"/>
        <v>2</v>
      </c>
      <c r="C388" s="30" t="str">
        <f>_xlfn.IFS(Table_13[[#This Row],[Month]]=1,"JAN",Table_13[[#This Row],[Month]]=2,"FEB",B388=3,"MAR",B388=4,"APR",B388=5,"MAY",B388=6,"JUN",B388=7,"JUL",B388=8,"AUG",Table_13[[#This Row],[Month]]=9,"SEPT",B388=10,"OCT",B388=11,"NOV",B388=12,"DEC")</f>
        <v>FEB</v>
      </c>
      <c r="D388" s="2" t="s">
        <v>29</v>
      </c>
      <c r="E388" s="2" t="s">
        <v>32</v>
      </c>
      <c r="F388" s="2" t="s">
        <v>23</v>
      </c>
      <c r="G388" s="2" t="s">
        <v>14</v>
      </c>
      <c r="H388" s="2" t="s">
        <v>34</v>
      </c>
      <c r="I388" s="2" t="s">
        <v>16</v>
      </c>
      <c r="J388" s="15">
        <v>320000</v>
      </c>
      <c r="K388" s="2">
        <v>7</v>
      </c>
      <c r="L388" s="2" t="s">
        <v>17</v>
      </c>
      <c r="M388" s="12">
        <f t="shared" si="9"/>
        <v>256000</v>
      </c>
      <c r="N388" s="10">
        <f>PRODUCT(Table_13[[#This Row],[Unit Price]],Table_13[[#This Row],[Quantity]])</f>
        <v>2240000</v>
      </c>
      <c r="O388" s="16">
        <f>PRODUCT(Table_13[[#This Row],[Cost Price]],Table_13[[#This Row],[Quantity]])</f>
        <v>1792000</v>
      </c>
      <c r="P388" s="27">
        <f t="shared" si="15"/>
        <v>448000</v>
      </c>
    </row>
    <row r="389" spans="1:16" x14ac:dyDescent="0.2">
      <c r="A389" s="33">
        <v>46063</v>
      </c>
      <c r="B389" s="30">
        <f t="shared" si="14"/>
        <v>2</v>
      </c>
      <c r="C389" s="30" t="str">
        <f>_xlfn.IFS(Table_13[[#This Row],[Month]]=1,"JAN",Table_13[[#This Row],[Month]]=2,"FEB",B389=3,"MAR",B389=4,"APR",B389=5,"MAY",B389=6,"JUN",B389=7,"JUL",B389=8,"AUG",Table_13[[#This Row],[Month]]=9,"SEPT",B389=10,"OCT",B389=11,"NOV",B389=12,"DEC")</f>
        <v>FEB</v>
      </c>
      <c r="D389" s="2" t="s">
        <v>29</v>
      </c>
      <c r="E389" s="2" t="s">
        <v>26</v>
      </c>
      <c r="F389" s="2" t="s">
        <v>13</v>
      </c>
      <c r="G389" s="2" t="s">
        <v>20</v>
      </c>
      <c r="H389" s="2" t="s">
        <v>15</v>
      </c>
      <c r="I389" s="2" t="s">
        <v>16</v>
      </c>
      <c r="J389" s="15">
        <v>85000</v>
      </c>
      <c r="K389" s="2">
        <v>10</v>
      </c>
      <c r="L389" s="2" t="s">
        <v>24</v>
      </c>
      <c r="M389" s="12">
        <f t="shared" si="9"/>
        <v>68000</v>
      </c>
      <c r="N389" s="10">
        <f>PRODUCT(Table_13[[#This Row],[Unit Price]],Table_13[[#This Row],[Quantity]])</f>
        <v>850000</v>
      </c>
      <c r="O389" s="16">
        <f>PRODUCT(Table_13[[#This Row],[Cost Price]],Table_13[[#This Row],[Quantity]])</f>
        <v>680000</v>
      </c>
      <c r="P389" s="27">
        <f t="shared" si="15"/>
        <v>170000</v>
      </c>
    </row>
    <row r="390" spans="1:16" x14ac:dyDescent="0.2">
      <c r="A390" s="33">
        <v>46064</v>
      </c>
      <c r="B390" s="30">
        <f t="shared" si="14"/>
        <v>2</v>
      </c>
      <c r="C390" s="30" t="str">
        <f>_xlfn.IFS(Table_13[[#This Row],[Month]]=1,"JAN",Table_13[[#This Row],[Month]]=2,"FEB",B390=3,"MAR",B390=4,"APR",B390=5,"MAY",B390=6,"JUN",B390=7,"JUL",B390=8,"AUG",Table_13[[#This Row],[Month]]=9,"SEPT",B390=10,"OCT",B390=11,"NOV",B390=12,"DEC")</f>
        <v>FEB</v>
      </c>
      <c r="D390" s="2" t="s">
        <v>18</v>
      </c>
      <c r="E390" s="2" t="s">
        <v>12</v>
      </c>
      <c r="F390" s="2" t="s">
        <v>23</v>
      </c>
      <c r="G390" s="2" t="s">
        <v>14</v>
      </c>
      <c r="H390" s="2" t="s">
        <v>33</v>
      </c>
      <c r="I390" s="2" t="s">
        <v>22</v>
      </c>
      <c r="J390" s="15">
        <v>180000</v>
      </c>
      <c r="K390" s="2">
        <v>7</v>
      </c>
      <c r="L390" s="2" t="s">
        <v>28</v>
      </c>
      <c r="M390" s="12">
        <f t="shared" si="9"/>
        <v>144000</v>
      </c>
      <c r="N390" s="10">
        <f>PRODUCT(Table_13[[#This Row],[Unit Price]],Table_13[[#This Row],[Quantity]])</f>
        <v>1260000</v>
      </c>
      <c r="O390" s="16">
        <f>PRODUCT(Table_13[[#This Row],[Cost Price]],Table_13[[#This Row],[Quantity]])</f>
        <v>1008000</v>
      </c>
      <c r="P390" s="27">
        <f t="shared" si="15"/>
        <v>252000</v>
      </c>
    </row>
    <row r="391" spans="1:16" x14ac:dyDescent="0.2">
      <c r="A391" s="33">
        <v>46065</v>
      </c>
      <c r="B391" s="30">
        <f t="shared" si="14"/>
        <v>2</v>
      </c>
      <c r="C391" s="30" t="str">
        <f>_xlfn.IFS(Table_13[[#This Row],[Month]]=1,"JAN",Table_13[[#This Row],[Month]]=2,"FEB",B391=3,"MAR",B391=4,"APR",B391=5,"MAY",B391=6,"JUN",B391=7,"JUL",B391=8,"AUG",Table_13[[#This Row],[Month]]=9,"SEPT",B391=10,"OCT",B391=11,"NOV",B391=12,"DEC")</f>
        <v>FEB</v>
      </c>
      <c r="D391" s="2" t="s">
        <v>25</v>
      </c>
      <c r="E391" s="2" t="s">
        <v>19</v>
      </c>
      <c r="F391" s="2" t="s">
        <v>13</v>
      </c>
      <c r="G391" s="2" t="s">
        <v>14</v>
      </c>
      <c r="H391" s="2" t="s">
        <v>38</v>
      </c>
      <c r="I391" s="2" t="s">
        <v>31</v>
      </c>
      <c r="J391" s="15">
        <v>420000</v>
      </c>
      <c r="K391" s="2">
        <v>5</v>
      </c>
      <c r="L391" s="2" t="s">
        <v>35</v>
      </c>
      <c r="M391" s="12">
        <f t="shared" si="9"/>
        <v>336000</v>
      </c>
      <c r="N391" s="10">
        <f>PRODUCT(Table_13[[#This Row],[Unit Price]],Table_13[[#This Row],[Quantity]])</f>
        <v>2100000</v>
      </c>
      <c r="O391" s="16">
        <f>PRODUCT(Table_13[[#This Row],[Cost Price]],Table_13[[#This Row],[Quantity]])</f>
        <v>1680000</v>
      </c>
      <c r="P391" s="27">
        <f t="shared" si="15"/>
        <v>420000</v>
      </c>
    </row>
    <row r="392" spans="1:16" x14ac:dyDescent="0.2">
      <c r="A392" s="33">
        <v>46066</v>
      </c>
      <c r="B392" s="30">
        <f t="shared" si="14"/>
        <v>2</v>
      </c>
      <c r="C392" s="30" t="str">
        <f>_xlfn.IFS(Table_13[[#This Row],[Month]]=1,"JAN",Table_13[[#This Row],[Month]]=2,"FEB",B392=3,"MAR",B392=4,"APR",B392=5,"MAY",B392=6,"JUN",B392=7,"JUL",B392=8,"AUG",Table_13[[#This Row],[Month]]=9,"SEPT",B392=10,"OCT",B392=11,"NOV",B392=12,"DEC")</f>
        <v>FEB</v>
      </c>
      <c r="D392" s="2" t="s">
        <v>25</v>
      </c>
      <c r="E392" s="2" t="s">
        <v>32</v>
      </c>
      <c r="F392" s="2" t="s">
        <v>23</v>
      </c>
      <c r="G392" s="2" t="s">
        <v>20</v>
      </c>
      <c r="H392" s="2" t="s">
        <v>34</v>
      </c>
      <c r="I392" s="2" t="s">
        <v>16</v>
      </c>
      <c r="J392" s="15">
        <v>320000</v>
      </c>
      <c r="K392" s="2">
        <v>8</v>
      </c>
      <c r="L392" s="2" t="s">
        <v>24</v>
      </c>
      <c r="M392" s="12">
        <f t="shared" si="9"/>
        <v>256000</v>
      </c>
      <c r="N392" s="10">
        <f>PRODUCT(Table_13[[#This Row],[Unit Price]],Table_13[[#This Row],[Quantity]])</f>
        <v>2560000</v>
      </c>
      <c r="O392" s="16">
        <f>PRODUCT(Table_13[[#This Row],[Cost Price]],Table_13[[#This Row],[Quantity]])</f>
        <v>2048000</v>
      </c>
      <c r="P392" s="27">
        <f t="shared" si="15"/>
        <v>512000</v>
      </c>
    </row>
    <row r="393" spans="1:16" x14ac:dyDescent="0.2">
      <c r="A393" s="33">
        <v>46067</v>
      </c>
      <c r="B393" s="30">
        <f t="shared" si="14"/>
        <v>2</v>
      </c>
      <c r="C393" s="30" t="str">
        <f>_xlfn.IFS(Table_13[[#This Row],[Month]]=1,"JAN",Table_13[[#This Row],[Month]]=2,"FEB",B393=3,"MAR",B393=4,"APR",B393=5,"MAY",B393=6,"JUN",B393=7,"JUL",B393=8,"AUG",Table_13[[#This Row],[Month]]=9,"SEPT",B393=10,"OCT",B393=11,"NOV",B393=12,"DEC")</f>
        <v>FEB</v>
      </c>
      <c r="D393" s="2" t="s">
        <v>18</v>
      </c>
      <c r="E393" s="2" t="s">
        <v>26</v>
      </c>
      <c r="F393" s="2" t="s">
        <v>23</v>
      </c>
      <c r="G393" s="2" t="s">
        <v>20</v>
      </c>
      <c r="H393" s="2" t="s">
        <v>33</v>
      </c>
      <c r="I393" s="2" t="s">
        <v>22</v>
      </c>
      <c r="J393" s="15">
        <v>180000</v>
      </c>
      <c r="K393" s="2">
        <v>5</v>
      </c>
      <c r="L393" s="2" t="s">
        <v>28</v>
      </c>
      <c r="M393" s="12">
        <f t="shared" si="9"/>
        <v>144000</v>
      </c>
      <c r="N393" s="10">
        <f>PRODUCT(Table_13[[#This Row],[Unit Price]],Table_13[[#This Row],[Quantity]])</f>
        <v>900000</v>
      </c>
      <c r="O393" s="16">
        <f>PRODUCT(Table_13[[#This Row],[Cost Price]],Table_13[[#This Row],[Quantity]])</f>
        <v>720000</v>
      </c>
      <c r="P393" s="27">
        <f t="shared" si="15"/>
        <v>180000</v>
      </c>
    </row>
    <row r="394" spans="1:16" x14ac:dyDescent="0.2">
      <c r="A394" s="33">
        <v>46068</v>
      </c>
      <c r="B394" s="30">
        <f t="shared" si="14"/>
        <v>2</v>
      </c>
      <c r="C394" s="30" t="str">
        <f>_xlfn.IFS(Table_13[[#This Row],[Month]]=1,"JAN",Table_13[[#This Row],[Month]]=2,"FEB",B394=3,"MAR",B394=4,"APR",B394=5,"MAY",B394=6,"JUN",B394=7,"JUL",B394=8,"AUG",Table_13[[#This Row],[Month]]=9,"SEPT",B394=10,"OCT",B394=11,"NOV",B394=12,"DEC")</f>
        <v>FEB</v>
      </c>
      <c r="D394" s="2" t="s">
        <v>29</v>
      </c>
      <c r="E394" s="2" t="s">
        <v>12</v>
      </c>
      <c r="F394" s="2" t="s">
        <v>23</v>
      </c>
      <c r="G394" s="2" t="s">
        <v>20</v>
      </c>
      <c r="H394" s="2" t="s">
        <v>38</v>
      </c>
      <c r="I394" s="2" t="s">
        <v>31</v>
      </c>
      <c r="J394" s="15">
        <v>420000</v>
      </c>
      <c r="K394" s="2">
        <v>2</v>
      </c>
      <c r="L394" s="2" t="s">
        <v>17</v>
      </c>
      <c r="M394" s="12">
        <f t="shared" si="9"/>
        <v>336000</v>
      </c>
      <c r="N394" s="10">
        <f>PRODUCT(Table_13[[#This Row],[Unit Price]],Table_13[[#This Row],[Quantity]])</f>
        <v>840000</v>
      </c>
      <c r="O394" s="16">
        <f>PRODUCT(Table_13[[#This Row],[Cost Price]],Table_13[[#This Row],[Quantity]])</f>
        <v>672000</v>
      </c>
      <c r="P394" s="27">
        <f t="shared" si="15"/>
        <v>168000</v>
      </c>
    </row>
    <row r="395" spans="1:16" x14ac:dyDescent="0.2">
      <c r="A395" s="33">
        <v>46069</v>
      </c>
      <c r="B395" s="30">
        <f t="shared" si="14"/>
        <v>2</v>
      </c>
      <c r="C395" s="30" t="str">
        <f>_xlfn.IFS(Table_13[[#This Row],[Month]]=1,"JAN",Table_13[[#This Row],[Month]]=2,"FEB",B395=3,"MAR",B395=4,"APR",B395=5,"MAY",B395=6,"JUN",B395=7,"JUL",B395=8,"AUG",Table_13[[#This Row],[Month]]=9,"SEPT",B395=10,"OCT",B395=11,"NOV",B395=12,"DEC")</f>
        <v>FEB</v>
      </c>
      <c r="D395" s="2" t="s">
        <v>29</v>
      </c>
      <c r="E395" s="2" t="s">
        <v>26</v>
      </c>
      <c r="F395" s="2" t="s">
        <v>13</v>
      </c>
      <c r="G395" s="2" t="s">
        <v>14</v>
      </c>
      <c r="H395" s="2" t="s">
        <v>30</v>
      </c>
      <c r="I395" s="2" t="s">
        <v>31</v>
      </c>
      <c r="J395" s="15">
        <v>300000</v>
      </c>
      <c r="K395" s="2">
        <v>8</v>
      </c>
      <c r="L395" s="2" t="s">
        <v>24</v>
      </c>
      <c r="M395" s="12">
        <f t="shared" si="9"/>
        <v>240000</v>
      </c>
      <c r="N395" s="10">
        <f>PRODUCT(Table_13[[#This Row],[Unit Price]],Table_13[[#This Row],[Quantity]])</f>
        <v>2400000</v>
      </c>
      <c r="O395" s="16">
        <f>PRODUCT(Table_13[[#This Row],[Cost Price]],Table_13[[#This Row],[Quantity]])</f>
        <v>1920000</v>
      </c>
      <c r="P395" s="27">
        <f t="shared" si="15"/>
        <v>480000</v>
      </c>
    </row>
    <row r="396" spans="1:16" x14ac:dyDescent="0.2">
      <c r="A396" s="33">
        <v>46070</v>
      </c>
      <c r="B396" s="30">
        <f t="shared" si="14"/>
        <v>2</v>
      </c>
      <c r="C396" s="30" t="str">
        <f>_xlfn.IFS(Table_13[[#This Row],[Month]]=1,"JAN",Table_13[[#This Row],[Month]]=2,"FEB",B396=3,"MAR",B396=4,"APR",B396=5,"MAY",B396=6,"JUN",B396=7,"JUL",B396=8,"AUG",Table_13[[#This Row],[Month]]=9,"SEPT",B396=10,"OCT",B396=11,"NOV",B396=12,"DEC")</f>
        <v>FEB</v>
      </c>
      <c r="D396" s="2" t="s">
        <v>18</v>
      </c>
      <c r="E396" s="2" t="s">
        <v>26</v>
      </c>
      <c r="F396" s="2" t="s">
        <v>13</v>
      </c>
      <c r="G396" s="2" t="s">
        <v>14</v>
      </c>
      <c r="H396" s="2" t="s">
        <v>34</v>
      </c>
      <c r="I396" s="2" t="s">
        <v>16</v>
      </c>
      <c r="J396" s="15">
        <v>320000</v>
      </c>
      <c r="K396" s="2">
        <v>1</v>
      </c>
      <c r="L396" s="2" t="s">
        <v>24</v>
      </c>
      <c r="M396" s="12">
        <f t="shared" si="9"/>
        <v>256000</v>
      </c>
      <c r="N396" s="10">
        <f>PRODUCT(Table_13[[#This Row],[Unit Price]],Table_13[[#This Row],[Quantity]])</f>
        <v>320000</v>
      </c>
      <c r="O396" s="16">
        <f>PRODUCT(Table_13[[#This Row],[Cost Price]],Table_13[[#This Row],[Quantity]])</f>
        <v>256000</v>
      </c>
      <c r="P396" s="27">
        <f t="shared" si="15"/>
        <v>64000</v>
      </c>
    </row>
    <row r="397" spans="1:16" x14ac:dyDescent="0.2">
      <c r="A397" s="33">
        <v>46071</v>
      </c>
      <c r="B397" s="30">
        <f t="shared" si="14"/>
        <v>2</v>
      </c>
      <c r="C397" s="30" t="str">
        <f>_xlfn.IFS(Table_13[[#This Row],[Month]]=1,"JAN",Table_13[[#This Row],[Month]]=2,"FEB",B397=3,"MAR",B397=4,"APR",B397=5,"MAY",B397=6,"JUN",B397=7,"JUL",B397=8,"AUG",Table_13[[#This Row],[Month]]=9,"SEPT",B397=10,"OCT",B397=11,"NOV",B397=12,"DEC")</f>
        <v>FEB</v>
      </c>
      <c r="D397" s="2" t="s">
        <v>18</v>
      </c>
      <c r="E397" s="2" t="s">
        <v>26</v>
      </c>
      <c r="F397" s="2" t="s">
        <v>13</v>
      </c>
      <c r="G397" s="2" t="s">
        <v>14</v>
      </c>
      <c r="H397" s="2" t="s">
        <v>38</v>
      </c>
      <c r="I397" s="2" t="s">
        <v>31</v>
      </c>
      <c r="J397" s="15">
        <v>420000</v>
      </c>
      <c r="K397" s="2">
        <v>9</v>
      </c>
      <c r="L397" s="2" t="s">
        <v>17</v>
      </c>
      <c r="M397" s="12">
        <f t="shared" si="9"/>
        <v>336000</v>
      </c>
      <c r="N397" s="10">
        <f>PRODUCT(Table_13[[#This Row],[Unit Price]],Table_13[[#This Row],[Quantity]])</f>
        <v>3780000</v>
      </c>
      <c r="O397" s="16">
        <f>PRODUCT(Table_13[[#This Row],[Cost Price]],Table_13[[#This Row],[Quantity]])</f>
        <v>3024000</v>
      </c>
      <c r="P397" s="27">
        <f t="shared" si="15"/>
        <v>756000</v>
      </c>
    </row>
    <row r="398" spans="1:16" x14ac:dyDescent="0.2">
      <c r="A398" s="33">
        <v>46072</v>
      </c>
      <c r="B398" s="30">
        <f t="shared" si="14"/>
        <v>2</v>
      </c>
      <c r="C398" s="30" t="str">
        <f>_xlfn.IFS(Table_13[[#This Row],[Month]]=1,"JAN",Table_13[[#This Row],[Month]]=2,"FEB",B398=3,"MAR",B398=4,"APR",B398=5,"MAY",B398=6,"JUN",B398=7,"JUL",B398=8,"AUG",Table_13[[#This Row],[Month]]=9,"SEPT",B398=10,"OCT",B398=11,"NOV",B398=12,"DEC")</f>
        <v>FEB</v>
      </c>
      <c r="D398" s="2" t="s">
        <v>18</v>
      </c>
      <c r="E398" s="2" t="s">
        <v>32</v>
      </c>
      <c r="F398" s="2" t="s">
        <v>23</v>
      </c>
      <c r="G398" s="2" t="s">
        <v>20</v>
      </c>
      <c r="H398" s="2" t="s">
        <v>15</v>
      </c>
      <c r="I398" s="2" t="s">
        <v>16</v>
      </c>
      <c r="J398" s="15">
        <v>85000</v>
      </c>
      <c r="K398" s="2">
        <v>8</v>
      </c>
      <c r="L398" s="2" t="s">
        <v>39</v>
      </c>
      <c r="M398" s="12">
        <f t="shared" si="9"/>
        <v>68000</v>
      </c>
      <c r="N398" s="10">
        <f>PRODUCT(Table_13[[#This Row],[Unit Price]],Table_13[[#This Row],[Quantity]])</f>
        <v>680000</v>
      </c>
      <c r="O398" s="16">
        <f>PRODUCT(Table_13[[#This Row],[Cost Price]],Table_13[[#This Row],[Quantity]])</f>
        <v>544000</v>
      </c>
      <c r="P398" s="27">
        <f t="shared" si="15"/>
        <v>136000</v>
      </c>
    </row>
    <row r="399" spans="1:16" x14ac:dyDescent="0.2">
      <c r="A399" s="33">
        <v>46073</v>
      </c>
      <c r="B399" s="30">
        <f t="shared" si="14"/>
        <v>2</v>
      </c>
      <c r="C399" s="30" t="str">
        <f>_xlfn.IFS(Table_13[[#This Row],[Month]]=1,"JAN",Table_13[[#This Row],[Month]]=2,"FEB",B399=3,"MAR",B399=4,"APR",B399=5,"MAY",B399=6,"JUN",B399=7,"JUL",B399=8,"AUG",Table_13[[#This Row],[Month]]=9,"SEPT",B399=10,"OCT",B399=11,"NOV",B399=12,"DEC")</f>
        <v>FEB</v>
      </c>
      <c r="D399" s="2" t="s">
        <v>29</v>
      </c>
      <c r="E399" s="2" t="s">
        <v>12</v>
      </c>
      <c r="F399" s="2" t="s">
        <v>23</v>
      </c>
      <c r="G399" s="2" t="s">
        <v>20</v>
      </c>
      <c r="H399" s="2" t="s">
        <v>38</v>
      </c>
      <c r="I399" s="2" t="s">
        <v>31</v>
      </c>
      <c r="J399" s="15">
        <v>420000</v>
      </c>
      <c r="K399" s="2">
        <v>10</v>
      </c>
      <c r="L399" s="2" t="s">
        <v>35</v>
      </c>
      <c r="M399" s="12">
        <f t="shared" si="9"/>
        <v>336000</v>
      </c>
      <c r="N399" s="10">
        <f>PRODUCT(Table_13[[#This Row],[Unit Price]],Table_13[[#This Row],[Quantity]])</f>
        <v>4200000</v>
      </c>
      <c r="O399" s="16">
        <f>PRODUCT(Table_13[[#This Row],[Cost Price]],Table_13[[#This Row],[Quantity]])</f>
        <v>3360000</v>
      </c>
      <c r="P399" s="27">
        <f t="shared" si="15"/>
        <v>840000</v>
      </c>
    </row>
    <row r="400" spans="1:16" x14ac:dyDescent="0.2">
      <c r="A400" s="33">
        <v>46074</v>
      </c>
      <c r="B400" s="30">
        <f t="shared" si="14"/>
        <v>2</v>
      </c>
      <c r="C400" s="30" t="str">
        <f>_xlfn.IFS(Table_13[[#This Row],[Month]]=1,"JAN",Table_13[[#This Row],[Month]]=2,"FEB",B400=3,"MAR",B400=4,"APR",B400=5,"MAY",B400=6,"JUN",B400=7,"JUL",B400=8,"AUG",Table_13[[#This Row],[Month]]=9,"SEPT",B400=10,"OCT",B400=11,"NOV",B400=12,"DEC")</f>
        <v>FEB</v>
      </c>
      <c r="D400" s="2" t="s">
        <v>18</v>
      </c>
      <c r="E400" s="2" t="s">
        <v>12</v>
      </c>
      <c r="F400" s="2" t="s">
        <v>13</v>
      </c>
      <c r="G400" s="2" t="s">
        <v>20</v>
      </c>
      <c r="H400" s="2" t="s">
        <v>40</v>
      </c>
      <c r="I400" s="2" t="s">
        <v>31</v>
      </c>
      <c r="J400" s="15">
        <v>250000</v>
      </c>
      <c r="K400" s="2">
        <v>1</v>
      </c>
      <c r="L400" s="2" t="s">
        <v>35</v>
      </c>
      <c r="M400" s="12">
        <f t="shared" si="9"/>
        <v>200000</v>
      </c>
      <c r="N400" s="10">
        <f>PRODUCT(Table_13[[#This Row],[Unit Price]],Table_13[[#This Row],[Quantity]])</f>
        <v>250000</v>
      </c>
      <c r="O400" s="16">
        <f>PRODUCT(Table_13[[#This Row],[Cost Price]],Table_13[[#This Row],[Quantity]])</f>
        <v>200000</v>
      </c>
      <c r="P400" s="27">
        <f t="shared" si="15"/>
        <v>50000</v>
      </c>
    </row>
    <row r="401" spans="1:16" x14ac:dyDescent="0.2">
      <c r="A401" s="33">
        <v>46075</v>
      </c>
      <c r="B401" s="30">
        <f t="shared" si="14"/>
        <v>2</v>
      </c>
      <c r="C401" s="30" t="str">
        <f>_xlfn.IFS(Table_13[[#This Row],[Month]]=1,"JAN",Table_13[[#This Row],[Month]]=2,"FEB",B401=3,"MAR",B401=4,"APR",B401=5,"MAY",B401=6,"JUN",B401=7,"JUL",B401=8,"AUG",Table_13[[#This Row],[Month]]=9,"SEPT",B401=10,"OCT",B401=11,"NOV",B401=12,"DEC")</f>
        <v>FEB</v>
      </c>
      <c r="D401" s="2" t="s">
        <v>18</v>
      </c>
      <c r="E401" s="2" t="s">
        <v>32</v>
      </c>
      <c r="F401" s="2" t="s">
        <v>23</v>
      </c>
      <c r="G401" s="2" t="s">
        <v>14</v>
      </c>
      <c r="H401" s="2" t="s">
        <v>41</v>
      </c>
      <c r="I401" s="2" t="s">
        <v>22</v>
      </c>
      <c r="J401" s="15">
        <v>220000</v>
      </c>
      <c r="K401" s="2">
        <v>5</v>
      </c>
      <c r="L401" s="2" t="s">
        <v>39</v>
      </c>
      <c r="M401" s="12">
        <f t="shared" si="9"/>
        <v>176000</v>
      </c>
      <c r="N401" s="10">
        <f>PRODUCT(Table_13[[#This Row],[Unit Price]],Table_13[[#This Row],[Quantity]])</f>
        <v>1100000</v>
      </c>
      <c r="O401" s="16">
        <f>PRODUCT(Table_13[[#This Row],[Cost Price]],Table_13[[#This Row],[Quantity]])</f>
        <v>880000</v>
      </c>
      <c r="P401" s="27">
        <f t="shared" si="15"/>
        <v>220000</v>
      </c>
    </row>
    <row r="402" spans="1:16" x14ac:dyDescent="0.2">
      <c r="A402" s="33">
        <v>46076</v>
      </c>
      <c r="B402" s="30">
        <f t="shared" si="14"/>
        <v>2</v>
      </c>
      <c r="C402" s="30" t="str">
        <f>_xlfn.IFS(Table_13[[#This Row],[Month]]=1,"JAN",Table_13[[#This Row],[Month]]=2,"FEB",B402=3,"MAR",B402=4,"APR",B402=5,"MAY",B402=6,"JUN",B402=7,"JUL",B402=8,"AUG",Table_13[[#This Row],[Month]]=9,"SEPT",B402=10,"OCT",B402=11,"NOV",B402=12,"DEC")</f>
        <v>FEB</v>
      </c>
      <c r="D402" s="2" t="s">
        <v>29</v>
      </c>
      <c r="E402" s="2" t="s">
        <v>19</v>
      </c>
      <c r="F402" s="2" t="s">
        <v>13</v>
      </c>
      <c r="G402" s="2" t="s">
        <v>14</v>
      </c>
      <c r="H402" s="2" t="s">
        <v>30</v>
      </c>
      <c r="I402" s="2" t="s">
        <v>31</v>
      </c>
      <c r="J402" s="15">
        <v>300000</v>
      </c>
      <c r="K402" s="2">
        <v>1</v>
      </c>
      <c r="L402" s="2" t="s">
        <v>17</v>
      </c>
      <c r="M402" s="12">
        <f t="shared" si="9"/>
        <v>240000</v>
      </c>
      <c r="N402" s="10">
        <f>PRODUCT(Table_13[[#This Row],[Unit Price]],Table_13[[#This Row],[Quantity]])</f>
        <v>300000</v>
      </c>
      <c r="O402" s="16">
        <f>PRODUCT(Table_13[[#This Row],[Cost Price]],Table_13[[#This Row],[Quantity]])</f>
        <v>240000</v>
      </c>
      <c r="P402" s="27">
        <f t="shared" si="15"/>
        <v>60000</v>
      </c>
    </row>
    <row r="403" spans="1:16" x14ac:dyDescent="0.2">
      <c r="A403" s="33">
        <v>46077</v>
      </c>
      <c r="B403" s="30">
        <f t="shared" si="14"/>
        <v>2</v>
      </c>
      <c r="C403" s="30" t="str">
        <f>_xlfn.IFS(Table_13[[#This Row],[Month]]=1,"JAN",Table_13[[#This Row],[Month]]=2,"FEB",B403=3,"MAR",B403=4,"APR",B403=5,"MAY",B403=6,"JUN",B403=7,"JUL",B403=8,"AUG",Table_13[[#This Row],[Month]]=9,"SEPT",B403=10,"OCT",B403=11,"NOV",B403=12,"DEC")</f>
        <v>FEB</v>
      </c>
      <c r="D403" s="2" t="s">
        <v>29</v>
      </c>
      <c r="E403" s="2" t="s">
        <v>26</v>
      </c>
      <c r="F403" s="2" t="s">
        <v>23</v>
      </c>
      <c r="G403" s="2" t="s">
        <v>20</v>
      </c>
      <c r="H403" s="2" t="s">
        <v>27</v>
      </c>
      <c r="I403" s="2" t="s">
        <v>22</v>
      </c>
      <c r="J403" s="15">
        <v>60000</v>
      </c>
      <c r="K403" s="2">
        <v>6</v>
      </c>
      <c r="L403" s="2" t="s">
        <v>37</v>
      </c>
      <c r="M403" s="12">
        <f t="shared" si="9"/>
        <v>48000</v>
      </c>
      <c r="N403" s="10">
        <f>PRODUCT(Table_13[[#This Row],[Unit Price]],Table_13[[#This Row],[Quantity]])</f>
        <v>360000</v>
      </c>
      <c r="O403" s="16">
        <f>PRODUCT(Table_13[[#This Row],[Cost Price]],Table_13[[#This Row],[Quantity]])</f>
        <v>288000</v>
      </c>
      <c r="P403" s="27">
        <f t="shared" si="15"/>
        <v>72000</v>
      </c>
    </row>
    <row r="404" spans="1:16" x14ac:dyDescent="0.2">
      <c r="A404" s="33">
        <v>46078</v>
      </c>
      <c r="B404" s="30">
        <f t="shared" si="14"/>
        <v>2</v>
      </c>
      <c r="C404" s="30" t="str">
        <f>_xlfn.IFS(Table_13[[#This Row],[Month]]=1,"JAN",Table_13[[#This Row],[Month]]=2,"FEB",B404=3,"MAR",B404=4,"APR",B404=5,"MAY",B404=6,"JUN",B404=7,"JUL",B404=8,"AUG",Table_13[[#This Row],[Month]]=9,"SEPT",B404=10,"OCT",B404=11,"NOV",B404=12,"DEC")</f>
        <v>FEB</v>
      </c>
      <c r="D404" s="2" t="s">
        <v>25</v>
      </c>
      <c r="E404" s="2" t="s">
        <v>32</v>
      </c>
      <c r="F404" s="2" t="s">
        <v>13</v>
      </c>
      <c r="G404" s="2" t="s">
        <v>14</v>
      </c>
      <c r="H404" s="2" t="s">
        <v>27</v>
      </c>
      <c r="I404" s="2" t="s">
        <v>22</v>
      </c>
      <c r="J404" s="15">
        <v>60000</v>
      </c>
      <c r="K404" s="2">
        <v>8</v>
      </c>
      <c r="L404" s="2" t="s">
        <v>24</v>
      </c>
      <c r="M404" s="12">
        <f t="shared" si="9"/>
        <v>48000</v>
      </c>
      <c r="N404" s="10">
        <f>PRODUCT(Table_13[[#This Row],[Unit Price]],Table_13[[#This Row],[Quantity]])</f>
        <v>480000</v>
      </c>
      <c r="O404" s="16">
        <f>PRODUCT(Table_13[[#This Row],[Cost Price]],Table_13[[#This Row],[Quantity]])</f>
        <v>384000</v>
      </c>
      <c r="P404" s="27">
        <f t="shared" si="15"/>
        <v>96000</v>
      </c>
    </row>
    <row r="405" spans="1:16" x14ac:dyDescent="0.2">
      <c r="A405" s="33">
        <v>46079</v>
      </c>
      <c r="B405" s="30">
        <f t="shared" si="14"/>
        <v>2</v>
      </c>
      <c r="C405" s="30" t="str">
        <f>_xlfn.IFS(Table_13[[#This Row],[Month]]=1,"JAN",Table_13[[#This Row],[Month]]=2,"FEB",B405=3,"MAR",B405=4,"APR",B405=5,"MAY",B405=6,"JUN",B405=7,"JUL",B405=8,"AUG",Table_13[[#This Row],[Month]]=9,"SEPT",B405=10,"OCT",B405=11,"NOV",B405=12,"DEC")</f>
        <v>FEB</v>
      </c>
      <c r="D405" s="2" t="s">
        <v>25</v>
      </c>
      <c r="E405" s="2" t="s">
        <v>26</v>
      </c>
      <c r="F405" s="2" t="s">
        <v>13</v>
      </c>
      <c r="G405" s="2" t="s">
        <v>20</v>
      </c>
      <c r="H405" s="2" t="s">
        <v>41</v>
      </c>
      <c r="I405" s="2" t="s">
        <v>22</v>
      </c>
      <c r="J405" s="15">
        <v>220000</v>
      </c>
      <c r="K405" s="2">
        <v>3</v>
      </c>
      <c r="L405" s="2" t="s">
        <v>37</v>
      </c>
      <c r="M405" s="12">
        <f t="shared" si="9"/>
        <v>176000</v>
      </c>
      <c r="N405" s="10">
        <f>PRODUCT(Table_13[[#This Row],[Unit Price]],Table_13[[#This Row],[Quantity]])</f>
        <v>660000</v>
      </c>
      <c r="O405" s="16">
        <f>PRODUCT(Table_13[[#This Row],[Cost Price]],Table_13[[#This Row],[Quantity]])</f>
        <v>528000</v>
      </c>
      <c r="P405" s="27">
        <f t="shared" si="15"/>
        <v>132000</v>
      </c>
    </row>
    <row r="406" spans="1:16" x14ac:dyDescent="0.2">
      <c r="A406" s="33">
        <v>46080</v>
      </c>
      <c r="B406" s="30">
        <f t="shared" si="14"/>
        <v>2</v>
      </c>
      <c r="C406" s="30" t="str">
        <f>_xlfn.IFS(Table_13[[#This Row],[Month]]=1,"JAN",Table_13[[#This Row],[Month]]=2,"FEB",B406=3,"MAR",B406=4,"APR",B406=5,"MAY",B406=6,"JUN",B406=7,"JUL",B406=8,"AUG",Table_13[[#This Row],[Month]]=9,"SEPT",B406=10,"OCT",B406=11,"NOV",B406=12,"DEC")</f>
        <v>FEB</v>
      </c>
      <c r="D406" s="2" t="s">
        <v>29</v>
      </c>
      <c r="E406" s="2" t="s">
        <v>32</v>
      </c>
      <c r="F406" s="2" t="s">
        <v>13</v>
      </c>
      <c r="G406" s="2" t="s">
        <v>14</v>
      </c>
      <c r="H406" s="2" t="s">
        <v>27</v>
      </c>
      <c r="I406" s="2" t="s">
        <v>22</v>
      </c>
      <c r="J406" s="15">
        <v>60000</v>
      </c>
      <c r="K406" s="2">
        <v>1</v>
      </c>
      <c r="L406" s="2" t="s">
        <v>35</v>
      </c>
      <c r="M406" s="12">
        <f t="shared" si="9"/>
        <v>48000</v>
      </c>
      <c r="N406" s="10">
        <f>PRODUCT(Table_13[[#This Row],[Unit Price]],Table_13[[#This Row],[Quantity]])</f>
        <v>60000</v>
      </c>
      <c r="O406" s="16">
        <f>PRODUCT(Table_13[[#This Row],[Cost Price]],Table_13[[#This Row],[Quantity]])</f>
        <v>48000</v>
      </c>
      <c r="P406" s="27">
        <f t="shared" si="15"/>
        <v>12000</v>
      </c>
    </row>
    <row r="407" spans="1:16" x14ac:dyDescent="0.2">
      <c r="A407" s="33">
        <v>46081</v>
      </c>
      <c r="B407" s="30">
        <f t="shared" si="14"/>
        <v>2</v>
      </c>
      <c r="C407" s="30" t="str">
        <f>_xlfn.IFS(Table_13[[#This Row],[Month]]=1,"JAN",Table_13[[#This Row],[Month]]=2,"FEB",B407=3,"MAR",B407=4,"APR",B407=5,"MAY",B407=6,"JUN",B407=7,"JUL",B407=8,"AUG",Table_13[[#This Row],[Month]]=9,"SEPT",B407=10,"OCT",B407=11,"NOV",B407=12,"DEC")</f>
        <v>FEB</v>
      </c>
      <c r="D407" s="2" t="s">
        <v>18</v>
      </c>
      <c r="E407" s="2" t="s">
        <v>19</v>
      </c>
      <c r="F407" s="2" t="s">
        <v>23</v>
      </c>
      <c r="G407" s="2" t="s">
        <v>14</v>
      </c>
      <c r="H407" s="2" t="s">
        <v>36</v>
      </c>
      <c r="I407" s="2" t="s">
        <v>31</v>
      </c>
      <c r="J407" s="15">
        <v>150000</v>
      </c>
      <c r="K407" s="2">
        <v>1</v>
      </c>
      <c r="L407" s="2" t="s">
        <v>28</v>
      </c>
      <c r="M407" s="12">
        <f t="shared" si="9"/>
        <v>120000</v>
      </c>
      <c r="N407" s="10">
        <f>PRODUCT(Table_13[[#This Row],[Unit Price]],Table_13[[#This Row],[Quantity]])</f>
        <v>150000</v>
      </c>
      <c r="O407" s="16">
        <f>PRODUCT(Table_13[[#This Row],[Cost Price]],Table_13[[#This Row],[Quantity]])</f>
        <v>120000</v>
      </c>
      <c r="P407" s="27">
        <f t="shared" si="15"/>
        <v>30000</v>
      </c>
    </row>
    <row r="408" spans="1:16" x14ac:dyDescent="0.2">
      <c r="A408" s="33">
        <v>46082</v>
      </c>
      <c r="B408" s="30">
        <f t="shared" si="14"/>
        <v>3</v>
      </c>
      <c r="C408" s="30" t="str">
        <f>_xlfn.IFS(Table_13[[#This Row],[Month]]=1,"JAN",Table_13[[#This Row],[Month]]=2,"FEB",B408=3,"MAR",B408=4,"APR",B408=5,"MAY",B408=6,"JUN",B408=7,"JUL",B408=8,"AUG",Table_13[[#This Row],[Month]]=9,"SEPT",B408=10,"OCT",B408=11,"NOV",B408=12,"DEC")</f>
        <v>MAR</v>
      </c>
      <c r="D408" s="2" t="s">
        <v>11</v>
      </c>
      <c r="E408" s="2" t="s">
        <v>26</v>
      </c>
      <c r="F408" s="2" t="s">
        <v>23</v>
      </c>
      <c r="G408" s="2" t="s">
        <v>14</v>
      </c>
      <c r="H408" s="2" t="s">
        <v>34</v>
      </c>
      <c r="I408" s="2" t="s">
        <v>16</v>
      </c>
      <c r="J408" s="15">
        <v>320000</v>
      </c>
      <c r="K408" s="2">
        <v>7</v>
      </c>
      <c r="L408" s="2" t="s">
        <v>39</v>
      </c>
      <c r="M408" s="12">
        <f t="shared" si="9"/>
        <v>256000</v>
      </c>
      <c r="N408" s="10">
        <f>PRODUCT(Table_13[[#This Row],[Unit Price]],Table_13[[#This Row],[Quantity]])</f>
        <v>2240000</v>
      </c>
      <c r="O408" s="16">
        <f>PRODUCT(Table_13[[#This Row],[Cost Price]],Table_13[[#This Row],[Quantity]])</f>
        <v>1792000</v>
      </c>
      <c r="P408" s="27">
        <f t="shared" si="15"/>
        <v>448000</v>
      </c>
    </row>
    <row r="409" spans="1:16" x14ac:dyDescent="0.2">
      <c r="A409" s="33">
        <v>46083</v>
      </c>
      <c r="B409" s="30">
        <f t="shared" si="14"/>
        <v>3</v>
      </c>
      <c r="C409" s="30" t="str">
        <f>_xlfn.IFS(Table_13[[#This Row],[Month]]=1,"JAN",Table_13[[#This Row],[Month]]=2,"FEB",B409=3,"MAR",B409=4,"APR",B409=5,"MAY",B409=6,"JUN",B409=7,"JUL",B409=8,"AUG",Table_13[[#This Row],[Month]]=9,"SEPT",B409=10,"OCT",B409=11,"NOV",B409=12,"DEC")</f>
        <v>MAR</v>
      </c>
      <c r="D409" s="2" t="s">
        <v>25</v>
      </c>
      <c r="E409" s="2" t="s">
        <v>26</v>
      </c>
      <c r="F409" s="2" t="s">
        <v>13</v>
      </c>
      <c r="G409" s="2" t="s">
        <v>20</v>
      </c>
      <c r="H409" s="2" t="s">
        <v>15</v>
      </c>
      <c r="I409" s="2" t="s">
        <v>16</v>
      </c>
      <c r="J409" s="15">
        <v>85000</v>
      </c>
      <c r="K409" s="2">
        <v>10</v>
      </c>
      <c r="L409" s="2" t="s">
        <v>28</v>
      </c>
      <c r="M409" s="12">
        <f t="shared" si="9"/>
        <v>68000</v>
      </c>
      <c r="N409" s="10">
        <f>PRODUCT(Table_13[[#This Row],[Unit Price]],Table_13[[#This Row],[Quantity]])</f>
        <v>850000</v>
      </c>
      <c r="O409" s="16">
        <f>PRODUCT(Table_13[[#This Row],[Cost Price]],Table_13[[#This Row],[Quantity]])</f>
        <v>680000</v>
      </c>
      <c r="P409" s="27">
        <f t="shared" si="15"/>
        <v>170000</v>
      </c>
    </row>
    <row r="410" spans="1:16" x14ac:dyDescent="0.2">
      <c r="A410" s="33">
        <v>46084</v>
      </c>
      <c r="B410" s="30">
        <f t="shared" si="14"/>
        <v>3</v>
      </c>
      <c r="C410" s="30" t="str">
        <f>_xlfn.IFS(Table_13[[#This Row],[Month]]=1,"JAN",Table_13[[#This Row],[Month]]=2,"FEB",B410=3,"MAR",B410=4,"APR",B410=5,"MAY",B410=6,"JUN",B410=7,"JUL",B410=8,"AUG",Table_13[[#This Row],[Month]]=9,"SEPT",B410=10,"OCT",B410=11,"NOV",B410=12,"DEC")</f>
        <v>MAR</v>
      </c>
      <c r="D410" s="2" t="s">
        <v>11</v>
      </c>
      <c r="E410" s="2" t="s">
        <v>12</v>
      </c>
      <c r="F410" s="2" t="s">
        <v>23</v>
      </c>
      <c r="G410" s="2" t="s">
        <v>14</v>
      </c>
      <c r="H410" s="2" t="s">
        <v>36</v>
      </c>
      <c r="I410" s="2" t="s">
        <v>31</v>
      </c>
      <c r="J410" s="15">
        <v>150000</v>
      </c>
      <c r="K410" s="2">
        <v>10</v>
      </c>
      <c r="L410" s="2" t="s">
        <v>17</v>
      </c>
      <c r="M410" s="12">
        <f t="shared" si="9"/>
        <v>120000</v>
      </c>
      <c r="N410" s="10">
        <f>PRODUCT(Table_13[[#This Row],[Unit Price]],Table_13[[#This Row],[Quantity]])</f>
        <v>1500000</v>
      </c>
      <c r="O410" s="16">
        <f>PRODUCT(Table_13[[#This Row],[Cost Price]],Table_13[[#This Row],[Quantity]])</f>
        <v>1200000</v>
      </c>
      <c r="P410" s="27">
        <f t="shared" si="15"/>
        <v>300000</v>
      </c>
    </row>
    <row r="411" spans="1:16" x14ac:dyDescent="0.2">
      <c r="A411" s="33">
        <v>46085</v>
      </c>
      <c r="B411" s="30">
        <f t="shared" si="14"/>
        <v>3</v>
      </c>
      <c r="C411" s="30" t="str">
        <f>_xlfn.IFS(Table_13[[#This Row],[Month]]=1,"JAN",Table_13[[#This Row],[Month]]=2,"FEB",B411=3,"MAR",B411=4,"APR",B411=5,"MAY",B411=6,"JUN",B411=7,"JUL",B411=8,"AUG",Table_13[[#This Row],[Month]]=9,"SEPT",B411=10,"OCT",B411=11,"NOV",B411=12,"DEC")</f>
        <v>MAR</v>
      </c>
      <c r="D411" s="2" t="s">
        <v>25</v>
      </c>
      <c r="E411" s="2" t="s">
        <v>19</v>
      </c>
      <c r="F411" s="2" t="s">
        <v>23</v>
      </c>
      <c r="G411" s="2" t="s">
        <v>14</v>
      </c>
      <c r="H411" s="2" t="s">
        <v>27</v>
      </c>
      <c r="I411" s="2" t="s">
        <v>22</v>
      </c>
      <c r="J411" s="15">
        <v>60000</v>
      </c>
      <c r="K411" s="2">
        <v>2</v>
      </c>
      <c r="L411" s="2" t="s">
        <v>28</v>
      </c>
      <c r="M411" s="12">
        <f t="shared" si="9"/>
        <v>48000</v>
      </c>
      <c r="N411" s="10">
        <f>PRODUCT(Table_13[[#This Row],[Unit Price]],Table_13[[#This Row],[Quantity]])</f>
        <v>120000</v>
      </c>
      <c r="O411" s="16">
        <f>PRODUCT(Table_13[[#This Row],[Cost Price]],Table_13[[#This Row],[Quantity]])</f>
        <v>96000</v>
      </c>
      <c r="P411" s="27">
        <f t="shared" si="15"/>
        <v>24000</v>
      </c>
    </row>
    <row r="412" spans="1:16" x14ac:dyDescent="0.2">
      <c r="A412" s="33">
        <v>46086</v>
      </c>
      <c r="B412" s="30">
        <f t="shared" si="14"/>
        <v>3</v>
      </c>
      <c r="C412" s="30" t="str">
        <f>_xlfn.IFS(Table_13[[#This Row],[Month]]=1,"JAN",Table_13[[#This Row],[Month]]=2,"FEB",B412=3,"MAR",B412=4,"APR",B412=5,"MAY",B412=6,"JUN",B412=7,"JUL",B412=8,"AUG",Table_13[[#This Row],[Month]]=9,"SEPT",B412=10,"OCT",B412=11,"NOV",B412=12,"DEC")</f>
        <v>MAR</v>
      </c>
      <c r="D412" s="2" t="s">
        <v>29</v>
      </c>
      <c r="E412" s="2" t="s">
        <v>32</v>
      </c>
      <c r="F412" s="2" t="s">
        <v>23</v>
      </c>
      <c r="G412" s="2" t="s">
        <v>14</v>
      </c>
      <c r="H412" s="2" t="s">
        <v>30</v>
      </c>
      <c r="I412" s="2" t="s">
        <v>31</v>
      </c>
      <c r="J412" s="15">
        <v>300000</v>
      </c>
      <c r="K412" s="2">
        <v>6</v>
      </c>
      <c r="L412" s="2" t="s">
        <v>17</v>
      </c>
      <c r="M412" s="12">
        <f t="shared" si="9"/>
        <v>240000</v>
      </c>
      <c r="N412" s="10">
        <f>PRODUCT(Table_13[[#This Row],[Unit Price]],Table_13[[#This Row],[Quantity]])</f>
        <v>1800000</v>
      </c>
      <c r="O412" s="16">
        <f>PRODUCT(Table_13[[#This Row],[Cost Price]],Table_13[[#This Row],[Quantity]])</f>
        <v>1440000</v>
      </c>
      <c r="P412" s="27">
        <f t="shared" si="15"/>
        <v>360000</v>
      </c>
    </row>
    <row r="413" spans="1:16" x14ac:dyDescent="0.2">
      <c r="A413" s="33">
        <v>46087</v>
      </c>
      <c r="B413" s="30">
        <f t="shared" si="14"/>
        <v>3</v>
      </c>
      <c r="C413" s="30" t="str">
        <f>_xlfn.IFS(Table_13[[#This Row],[Month]]=1,"JAN",Table_13[[#This Row],[Month]]=2,"FEB",B413=3,"MAR",B413=4,"APR",B413=5,"MAY",B413=6,"JUN",B413=7,"JUL",B413=8,"AUG",Table_13[[#This Row],[Month]]=9,"SEPT",B413=10,"OCT",B413=11,"NOV",B413=12,"DEC")</f>
        <v>MAR</v>
      </c>
      <c r="D413" s="2" t="s">
        <v>18</v>
      </c>
      <c r="E413" s="2" t="s">
        <v>26</v>
      </c>
      <c r="F413" s="2" t="s">
        <v>13</v>
      </c>
      <c r="G413" s="2" t="s">
        <v>14</v>
      </c>
      <c r="H413" s="2" t="s">
        <v>36</v>
      </c>
      <c r="I413" s="2" t="s">
        <v>31</v>
      </c>
      <c r="J413" s="15">
        <v>150000</v>
      </c>
      <c r="K413" s="2">
        <v>3</v>
      </c>
      <c r="L413" s="2" t="s">
        <v>37</v>
      </c>
      <c r="M413" s="12">
        <f t="shared" si="9"/>
        <v>120000</v>
      </c>
      <c r="N413" s="10">
        <f>PRODUCT(Table_13[[#This Row],[Unit Price]],Table_13[[#This Row],[Quantity]])</f>
        <v>450000</v>
      </c>
      <c r="O413" s="16">
        <f>PRODUCT(Table_13[[#This Row],[Cost Price]],Table_13[[#This Row],[Quantity]])</f>
        <v>360000</v>
      </c>
      <c r="P413" s="27">
        <f t="shared" si="15"/>
        <v>90000</v>
      </c>
    </row>
    <row r="414" spans="1:16" x14ac:dyDescent="0.2">
      <c r="A414" s="33">
        <v>46088</v>
      </c>
      <c r="B414" s="30">
        <f t="shared" si="14"/>
        <v>3</v>
      </c>
      <c r="C414" s="30" t="str">
        <f>_xlfn.IFS(Table_13[[#This Row],[Month]]=1,"JAN",Table_13[[#This Row],[Month]]=2,"FEB",B414=3,"MAR",B414=4,"APR",B414=5,"MAY",B414=6,"JUN",B414=7,"JUL",B414=8,"AUG",Table_13[[#This Row],[Month]]=9,"SEPT",B414=10,"OCT",B414=11,"NOV",B414=12,"DEC")</f>
        <v>MAR</v>
      </c>
      <c r="D414" s="2" t="s">
        <v>11</v>
      </c>
      <c r="E414" s="2" t="s">
        <v>12</v>
      </c>
      <c r="F414" s="2" t="s">
        <v>23</v>
      </c>
      <c r="G414" s="2" t="s">
        <v>14</v>
      </c>
      <c r="H414" s="2" t="s">
        <v>21</v>
      </c>
      <c r="I414" s="2" t="s">
        <v>22</v>
      </c>
      <c r="J414" s="15">
        <v>30000</v>
      </c>
      <c r="K414" s="2">
        <v>2</v>
      </c>
      <c r="L414" s="2" t="s">
        <v>24</v>
      </c>
      <c r="M414" s="12">
        <f t="shared" si="9"/>
        <v>24000</v>
      </c>
      <c r="N414" s="10">
        <f>PRODUCT(Table_13[[#This Row],[Unit Price]],Table_13[[#This Row],[Quantity]])</f>
        <v>60000</v>
      </c>
      <c r="O414" s="16">
        <f>PRODUCT(Table_13[[#This Row],[Cost Price]],Table_13[[#This Row],[Quantity]])</f>
        <v>48000</v>
      </c>
      <c r="P414" s="27">
        <f t="shared" si="15"/>
        <v>12000</v>
      </c>
    </row>
    <row r="415" spans="1:16" x14ac:dyDescent="0.2">
      <c r="A415" s="33">
        <v>46089</v>
      </c>
      <c r="B415" s="30">
        <f t="shared" si="14"/>
        <v>3</v>
      </c>
      <c r="C415" s="30" t="str">
        <f>_xlfn.IFS(Table_13[[#This Row],[Month]]=1,"JAN",Table_13[[#This Row],[Month]]=2,"FEB",B415=3,"MAR",B415=4,"APR",B415=5,"MAY",B415=6,"JUN",B415=7,"JUL",B415=8,"AUG",Table_13[[#This Row],[Month]]=9,"SEPT",B415=10,"OCT",B415=11,"NOV",B415=12,"DEC")</f>
        <v>MAR</v>
      </c>
      <c r="D415" s="2" t="s">
        <v>18</v>
      </c>
      <c r="E415" s="2" t="s">
        <v>19</v>
      </c>
      <c r="F415" s="2" t="s">
        <v>13</v>
      </c>
      <c r="G415" s="2" t="s">
        <v>14</v>
      </c>
      <c r="H415" s="2" t="s">
        <v>33</v>
      </c>
      <c r="I415" s="2" t="s">
        <v>22</v>
      </c>
      <c r="J415" s="15">
        <v>180000</v>
      </c>
      <c r="K415" s="2">
        <v>2</v>
      </c>
      <c r="L415" s="2" t="s">
        <v>37</v>
      </c>
      <c r="M415" s="12">
        <f t="shared" si="9"/>
        <v>144000</v>
      </c>
      <c r="N415" s="10">
        <f>PRODUCT(Table_13[[#This Row],[Unit Price]],Table_13[[#This Row],[Quantity]])</f>
        <v>360000</v>
      </c>
      <c r="O415" s="16">
        <f>PRODUCT(Table_13[[#This Row],[Cost Price]],Table_13[[#This Row],[Quantity]])</f>
        <v>288000</v>
      </c>
      <c r="P415" s="27">
        <f t="shared" si="15"/>
        <v>72000</v>
      </c>
    </row>
    <row r="416" spans="1:16" x14ac:dyDescent="0.2">
      <c r="A416" s="33">
        <v>46090</v>
      </c>
      <c r="B416" s="30">
        <f t="shared" si="14"/>
        <v>3</v>
      </c>
      <c r="C416" s="30" t="str">
        <f>_xlfn.IFS(Table_13[[#This Row],[Month]]=1,"JAN",Table_13[[#This Row],[Month]]=2,"FEB",B416=3,"MAR",B416=4,"APR",B416=5,"MAY",B416=6,"JUN",B416=7,"JUL",B416=8,"AUG",Table_13[[#This Row],[Month]]=9,"SEPT",B416=10,"OCT",B416=11,"NOV",B416=12,"DEC")</f>
        <v>MAR</v>
      </c>
      <c r="D416" s="2" t="s">
        <v>11</v>
      </c>
      <c r="E416" s="2" t="s">
        <v>26</v>
      </c>
      <c r="F416" s="2" t="s">
        <v>23</v>
      </c>
      <c r="G416" s="2" t="s">
        <v>14</v>
      </c>
      <c r="H416" s="2" t="s">
        <v>34</v>
      </c>
      <c r="I416" s="2" t="s">
        <v>16</v>
      </c>
      <c r="J416" s="15">
        <v>320000</v>
      </c>
      <c r="K416" s="2">
        <v>3</v>
      </c>
      <c r="L416" s="2" t="s">
        <v>28</v>
      </c>
      <c r="M416" s="12">
        <f t="shared" si="9"/>
        <v>256000</v>
      </c>
      <c r="N416" s="10">
        <f>PRODUCT(Table_13[[#This Row],[Unit Price]],Table_13[[#This Row],[Quantity]])</f>
        <v>960000</v>
      </c>
      <c r="O416" s="16">
        <f>PRODUCT(Table_13[[#This Row],[Cost Price]],Table_13[[#This Row],[Quantity]])</f>
        <v>768000</v>
      </c>
      <c r="P416" s="27">
        <f t="shared" si="15"/>
        <v>192000</v>
      </c>
    </row>
    <row r="417" spans="1:16" x14ac:dyDescent="0.2">
      <c r="A417" s="33">
        <v>46091</v>
      </c>
      <c r="B417" s="30">
        <f t="shared" si="14"/>
        <v>3</v>
      </c>
      <c r="C417" s="30" t="str">
        <f>_xlfn.IFS(Table_13[[#This Row],[Month]]=1,"JAN",Table_13[[#This Row],[Month]]=2,"FEB",B417=3,"MAR",B417=4,"APR",B417=5,"MAY",B417=6,"JUN",B417=7,"JUL",B417=8,"AUG",Table_13[[#This Row],[Month]]=9,"SEPT",B417=10,"OCT",B417=11,"NOV",B417=12,"DEC")</f>
        <v>MAR</v>
      </c>
      <c r="D417" s="2" t="s">
        <v>25</v>
      </c>
      <c r="E417" s="2" t="s">
        <v>26</v>
      </c>
      <c r="F417" s="2" t="s">
        <v>23</v>
      </c>
      <c r="G417" s="2" t="s">
        <v>20</v>
      </c>
      <c r="H417" s="2" t="s">
        <v>21</v>
      </c>
      <c r="I417" s="2" t="s">
        <v>22</v>
      </c>
      <c r="J417" s="15">
        <v>30000</v>
      </c>
      <c r="K417" s="2">
        <v>3</v>
      </c>
      <c r="L417" s="2" t="s">
        <v>37</v>
      </c>
      <c r="M417" s="12">
        <f t="shared" si="9"/>
        <v>24000</v>
      </c>
      <c r="N417" s="10">
        <f>PRODUCT(Table_13[[#This Row],[Unit Price]],Table_13[[#This Row],[Quantity]])</f>
        <v>90000</v>
      </c>
      <c r="O417" s="16">
        <f>PRODUCT(Table_13[[#This Row],[Cost Price]],Table_13[[#This Row],[Quantity]])</f>
        <v>72000</v>
      </c>
      <c r="P417" s="27">
        <f t="shared" si="15"/>
        <v>18000</v>
      </c>
    </row>
    <row r="418" spans="1:16" x14ac:dyDescent="0.2">
      <c r="A418" s="33">
        <v>46092</v>
      </c>
      <c r="B418" s="30">
        <f t="shared" si="14"/>
        <v>3</v>
      </c>
      <c r="C418" s="30" t="str">
        <f>_xlfn.IFS(Table_13[[#This Row],[Month]]=1,"JAN",Table_13[[#This Row],[Month]]=2,"FEB",B418=3,"MAR",B418=4,"APR",B418=5,"MAY",B418=6,"JUN",B418=7,"JUL",B418=8,"AUG",Table_13[[#This Row],[Month]]=9,"SEPT",B418=10,"OCT",B418=11,"NOV",B418=12,"DEC")</f>
        <v>MAR</v>
      </c>
      <c r="D418" s="2" t="s">
        <v>11</v>
      </c>
      <c r="E418" s="2" t="s">
        <v>32</v>
      </c>
      <c r="F418" s="2" t="s">
        <v>13</v>
      </c>
      <c r="G418" s="2" t="s">
        <v>20</v>
      </c>
      <c r="H418" s="2" t="s">
        <v>15</v>
      </c>
      <c r="I418" s="2" t="s">
        <v>16</v>
      </c>
      <c r="J418" s="15">
        <v>85000</v>
      </c>
      <c r="K418" s="2">
        <v>3</v>
      </c>
      <c r="L418" s="2" t="s">
        <v>35</v>
      </c>
      <c r="M418" s="12">
        <f t="shared" si="9"/>
        <v>68000</v>
      </c>
      <c r="N418" s="10">
        <f>PRODUCT(Table_13[[#This Row],[Unit Price]],Table_13[[#This Row],[Quantity]])</f>
        <v>255000</v>
      </c>
      <c r="O418" s="16">
        <f>PRODUCT(Table_13[[#This Row],[Cost Price]],Table_13[[#This Row],[Quantity]])</f>
        <v>204000</v>
      </c>
      <c r="P418" s="27">
        <f t="shared" si="15"/>
        <v>51000</v>
      </c>
    </row>
    <row r="419" spans="1:16" x14ac:dyDescent="0.2">
      <c r="A419" s="33">
        <v>46093</v>
      </c>
      <c r="B419" s="30">
        <f t="shared" si="14"/>
        <v>3</v>
      </c>
      <c r="C419" s="30" t="str">
        <f>_xlfn.IFS(Table_13[[#This Row],[Month]]=1,"JAN",Table_13[[#This Row],[Month]]=2,"FEB",B419=3,"MAR",B419=4,"APR",B419=5,"MAY",B419=6,"JUN",B419=7,"JUL",B419=8,"AUG",Table_13[[#This Row],[Month]]=9,"SEPT",B419=10,"OCT",B419=11,"NOV",B419=12,"DEC")</f>
        <v>MAR</v>
      </c>
      <c r="D419" s="2" t="s">
        <v>29</v>
      </c>
      <c r="E419" s="2" t="s">
        <v>26</v>
      </c>
      <c r="F419" s="2" t="s">
        <v>13</v>
      </c>
      <c r="G419" s="2" t="s">
        <v>20</v>
      </c>
      <c r="H419" s="2" t="s">
        <v>15</v>
      </c>
      <c r="I419" s="2" t="s">
        <v>16</v>
      </c>
      <c r="J419" s="15">
        <v>85000</v>
      </c>
      <c r="K419" s="2">
        <v>10</v>
      </c>
      <c r="L419" s="2" t="s">
        <v>37</v>
      </c>
      <c r="M419" s="12">
        <f t="shared" si="9"/>
        <v>68000</v>
      </c>
      <c r="N419" s="10">
        <f>PRODUCT(Table_13[[#This Row],[Unit Price]],Table_13[[#This Row],[Quantity]])</f>
        <v>850000</v>
      </c>
      <c r="O419" s="16">
        <f>PRODUCT(Table_13[[#This Row],[Cost Price]],Table_13[[#This Row],[Quantity]])</f>
        <v>680000</v>
      </c>
      <c r="P419" s="27">
        <f t="shared" si="15"/>
        <v>170000</v>
      </c>
    </row>
    <row r="420" spans="1:16" x14ac:dyDescent="0.2">
      <c r="A420" s="33">
        <v>46094</v>
      </c>
      <c r="B420" s="30">
        <f t="shared" si="14"/>
        <v>3</v>
      </c>
      <c r="C420" s="30" t="str">
        <f>_xlfn.IFS(Table_13[[#This Row],[Month]]=1,"JAN",Table_13[[#This Row],[Month]]=2,"FEB",B420=3,"MAR",B420=4,"APR",B420=5,"MAY",B420=6,"JUN",B420=7,"JUL",B420=8,"AUG",Table_13[[#This Row],[Month]]=9,"SEPT",B420=10,"OCT",B420=11,"NOV",B420=12,"DEC")</f>
        <v>MAR</v>
      </c>
      <c r="D420" s="2" t="s">
        <v>18</v>
      </c>
      <c r="E420" s="2" t="s">
        <v>12</v>
      </c>
      <c r="F420" s="2" t="s">
        <v>23</v>
      </c>
      <c r="G420" s="2" t="s">
        <v>20</v>
      </c>
      <c r="H420" s="2" t="s">
        <v>33</v>
      </c>
      <c r="I420" s="2" t="s">
        <v>22</v>
      </c>
      <c r="J420" s="15">
        <v>180000</v>
      </c>
      <c r="K420" s="2">
        <v>10</v>
      </c>
      <c r="L420" s="2" t="s">
        <v>17</v>
      </c>
      <c r="M420" s="12">
        <f t="shared" si="9"/>
        <v>144000</v>
      </c>
      <c r="N420" s="10">
        <f>PRODUCT(Table_13[[#This Row],[Unit Price]],Table_13[[#This Row],[Quantity]])</f>
        <v>1800000</v>
      </c>
      <c r="O420" s="16">
        <f>PRODUCT(Table_13[[#This Row],[Cost Price]],Table_13[[#This Row],[Quantity]])</f>
        <v>1440000</v>
      </c>
      <c r="P420" s="27">
        <f t="shared" si="15"/>
        <v>360000</v>
      </c>
    </row>
    <row r="421" spans="1:16" x14ac:dyDescent="0.2">
      <c r="A421" s="33">
        <v>46095</v>
      </c>
      <c r="B421" s="30">
        <f t="shared" si="14"/>
        <v>3</v>
      </c>
      <c r="C421" s="30" t="str">
        <f>_xlfn.IFS(Table_13[[#This Row],[Month]]=1,"JAN",Table_13[[#This Row],[Month]]=2,"FEB",B421=3,"MAR",B421=4,"APR",B421=5,"MAY",B421=6,"JUN",B421=7,"JUL",B421=8,"AUG",Table_13[[#This Row],[Month]]=9,"SEPT",B421=10,"OCT",B421=11,"NOV",B421=12,"DEC")</f>
        <v>MAR</v>
      </c>
      <c r="D421" s="2" t="s">
        <v>11</v>
      </c>
      <c r="E421" s="2" t="s">
        <v>19</v>
      </c>
      <c r="F421" s="2" t="s">
        <v>13</v>
      </c>
      <c r="G421" s="2" t="s">
        <v>20</v>
      </c>
      <c r="H421" s="2" t="s">
        <v>41</v>
      </c>
      <c r="I421" s="2" t="s">
        <v>22</v>
      </c>
      <c r="J421" s="15">
        <v>220000</v>
      </c>
      <c r="K421" s="2">
        <v>9</v>
      </c>
      <c r="L421" s="2" t="s">
        <v>28</v>
      </c>
      <c r="M421" s="12">
        <f t="shared" si="9"/>
        <v>176000</v>
      </c>
      <c r="N421" s="10">
        <f>PRODUCT(Table_13[[#This Row],[Unit Price]],Table_13[[#This Row],[Quantity]])</f>
        <v>1980000</v>
      </c>
      <c r="O421" s="16">
        <f>PRODUCT(Table_13[[#This Row],[Cost Price]],Table_13[[#This Row],[Quantity]])</f>
        <v>1584000</v>
      </c>
      <c r="P421" s="27">
        <f t="shared" si="15"/>
        <v>396000</v>
      </c>
    </row>
    <row r="422" spans="1:16" x14ac:dyDescent="0.2">
      <c r="A422" s="33">
        <v>46096</v>
      </c>
      <c r="B422" s="30">
        <f t="shared" si="14"/>
        <v>3</v>
      </c>
      <c r="C422" s="30" t="str">
        <f>_xlfn.IFS(Table_13[[#This Row],[Month]]=1,"JAN",Table_13[[#This Row],[Month]]=2,"FEB",B422=3,"MAR",B422=4,"APR",B422=5,"MAY",B422=6,"JUN",B422=7,"JUL",B422=8,"AUG",Table_13[[#This Row],[Month]]=9,"SEPT",B422=10,"OCT",B422=11,"NOV",B422=12,"DEC")</f>
        <v>MAR</v>
      </c>
      <c r="D422" s="2" t="s">
        <v>11</v>
      </c>
      <c r="E422" s="2" t="s">
        <v>32</v>
      </c>
      <c r="F422" s="2" t="s">
        <v>23</v>
      </c>
      <c r="G422" s="2" t="s">
        <v>20</v>
      </c>
      <c r="H422" s="2" t="s">
        <v>38</v>
      </c>
      <c r="I422" s="2" t="s">
        <v>31</v>
      </c>
      <c r="J422" s="15">
        <v>420000</v>
      </c>
      <c r="K422" s="2">
        <v>9</v>
      </c>
      <c r="L422" s="2" t="s">
        <v>28</v>
      </c>
      <c r="M422" s="12">
        <f t="shared" si="9"/>
        <v>336000</v>
      </c>
      <c r="N422" s="10">
        <f>PRODUCT(Table_13[[#This Row],[Unit Price]],Table_13[[#This Row],[Quantity]])</f>
        <v>3780000</v>
      </c>
      <c r="O422" s="16">
        <f>PRODUCT(Table_13[[#This Row],[Cost Price]],Table_13[[#This Row],[Quantity]])</f>
        <v>3024000</v>
      </c>
      <c r="P422" s="27">
        <f t="shared" si="15"/>
        <v>756000</v>
      </c>
    </row>
    <row r="423" spans="1:16" x14ac:dyDescent="0.2">
      <c r="A423" s="33">
        <v>46097</v>
      </c>
      <c r="B423" s="30">
        <f t="shared" si="14"/>
        <v>3</v>
      </c>
      <c r="C423" s="30" t="str">
        <f>_xlfn.IFS(Table_13[[#This Row],[Month]]=1,"JAN",Table_13[[#This Row],[Month]]=2,"FEB",B423=3,"MAR",B423=4,"APR",B423=5,"MAY",B423=6,"JUN",B423=7,"JUL",B423=8,"AUG",Table_13[[#This Row],[Month]]=9,"SEPT",B423=10,"OCT",B423=11,"NOV",B423=12,"DEC")</f>
        <v>MAR</v>
      </c>
      <c r="D423" s="2" t="s">
        <v>18</v>
      </c>
      <c r="E423" s="2" t="s">
        <v>12</v>
      </c>
      <c r="F423" s="2" t="s">
        <v>23</v>
      </c>
      <c r="G423" s="2" t="s">
        <v>14</v>
      </c>
      <c r="H423" s="2" t="s">
        <v>33</v>
      </c>
      <c r="I423" s="2" t="s">
        <v>22</v>
      </c>
      <c r="J423" s="15">
        <v>180000</v>
      </c>
      <c r="K423" s="2">
        <v>2</v>
      </c>
      <c r="L423" s="2" t="s">
        <v>37</v>
      </c>
      <c r="M423" s="12">
        <f t="shared" si="9"/>
        <v>144000</v>
      </c>
      <c r="N423" s="10">
        <f>PRODUCT(Table_13[[#This Row],[Unit Price]],Table_13[[#This Row],[Quantity]])</f>
        <v>360000</v>
      </c>
      <c r="O423" s="16">
        <f>PRODUCT(Table_13[[#This Row],[Cost Price]],Table_13[[#This Row],[Quantity]])</f>
        <v>288000</v>
      </c>
      <c r="P423" s="27">
        <f t="shared" si="15"/>
        <v>72000</v>
      </c>
    </row>
    <row r="424" spans="1:16" x14ac:dyDescent="0.2">
      <c r="A424" s="33">
        <v>46098</v>
      </c>
      <c r="B424" s="30">
        <f t="shared" si="14"/>
        <v>3</v>
      </c>
      <c r="C424" s="30" t="str">
        <f>_xlfn.IFS(Table_13[[#This Row],[Month]]=1,"JAN",Table_13[[#This Row],[Month]]=2,"FEB",B424=3,"MAR",B424=4,"APR",B424=5,"MAY",B424=6,"JUN",B424=7,"JUL",B424=8,"AUG",Table_13[[#This Row],[Month]]=9,"SEPT",B424=10,"OCT",B424=11,"NOV",B424=12,"DEC")</f>
        <v>MAR</v>
      </c>
      <c r="D424" s="2" t="s">
        <v>11</v>
      </c>
      <c r="E424" s="2" t="s">
        <v>19</v>
      </c>
      <c r="F424" s="2" t="s">
        <v>23</v>
      </c>
      <c r="G424" s="2" t="s">
        <v>14</v>
      </c>
      <c r="H424" s="2" t="s">
        <v>30</v>
      </c>
      <c r="I424" s="2" t="s">
        <v>31</v>
      </c>
      <c r="J424" s="15">
        <v>300000</v>
      </c>
      <c r="K424" s="2">
        <v>3</v>
      </c>
      <c r="L424" s="2" t="s">
        <v>24</v>
      </c>
      <c r="M424" s="12">
        <f t="shared" si="9"/>
        <v>240000</v>
      </c>
      <c r="N424" s="10">
        <f>PRODUCT(Table_13[[#This Row],[Unit Price]],Table_13[[#This Row],[Quantity]])</f>
        <v>900000</v>
      </c>
      <c r="O424" s="16">
        <f>PRODUCT(Table_13[[#This Row],[Cost Price]],Table_13[[#This Row],[Quantity]])</f>
        <v>720000</v>
      </c>
      <c r="P424" s="27">
        <f t="shared" si="15"/>
        <v>180000</v>
      </c>
    </row>
    <row r="425" spans="1:16" x14ac:dyDescent="0.2">
      <c r="A425" s="33">
        <v>46099</v>
      </c>
      <c r="B425" s="30">
        <f t="shared" si="14"/>
        <v>3</v>
      </c>
      <c r="C425" s="30" t="str">
        <f>_xlfn.IFS(Table_13[[#This Row],[Month]]=1,"JAN",Table_13[[#This Row],[Month]]=2,"FEB",B425=3,"MAR",B425=4,"APR",B425=5,"MAY",B425=6,"JUN",B425=7,"JUL",B425=8,"AUG",Table_13[[#This Row],[Month]]=9,"SEPT",B425=10,"OCT",B425=11,"NOV",B425=12,"DEC")</f>
        <v>MAR</v>
      </c>
      <c r="D425" s="2" t="s">
        <v>29</v>
      </c>
      <c r="E425" s="2" t="s">
        <v>26</v>
      </c>
      <c r="F425" s="2" t="s">
        <v>23</v>
      </c>
      <c r="G425" s="2" t="s">
        <v>14</v>
      </c>
      <c r="H425" s="2" t="s">
        <v>33</v>
      </c>
      <c r="I425" s="2" t="s">
        <v>22</v>
      </c>
      <c r="J425" s="15">
        <v>180000</v>
      </c>
      <c r="K425" s="2">
        <v>1</v>
      </c>
      <c r="L425" s="2" t="s">
        <v>39</v>
      </c>
      <c r="M425" s="12">
        <f t="shared" si="9"/>
        <v>144000</v>
      </c>
      <c r="N425" s="10">
        <f>PRODUCT(Table_13[[#This Row],[Unit Price]],Table_13[[#This Row],[Quantity]])</f>
        <v>180000</v>
      </c>
      <c r="O425" s="16">
        <f>PRODUCT(Table_13[[#This Row],[Cost Price]],Table_13[[#This Row],[Quantity]])</f>
        <v>144000</v>
      </c>
      <c r="P425" s="27">
        <f t="shared" si="15"/>
        <v>36000</v>
      </c>
    </row>
    <row r="426" spans="1:16" x14ac:dyDescent="0.2">
      <c r="A426" s="33">
        <v>46100</v>
      </c>
      <c r="B426" s="30">
        <f t="shared" si="14"/>
        <v>3</v>
      </c>
      <c r="C426" s="30" t="str">
        <f>_xlfn.IFS(Table_13[[#This Row],[Month]]=1,"JAN",Table_13[[#This Row],[Month]]=2,"FEB",B426=3,"MAR",B426=4,"APR",B426=5,"MAY",B426=6,"JUN",B426=7,"JUL",B426=8,"AUG",Table_13[[#This Row],[Month]]=9,"SEPT",B426=10,"OCT",B426=11,"NOV",B426=12,"DEC")</f>
        <v>MAR</v>
      </c>
      <c r="D426" s="2" t="s">
        <v>29</v>
      </c>
      <c r="E426" s="2" t="s">
        <v>19</v>
      </c>
      <c r="F426" s="2" t="s">
        <v>13</v>
      </c>
      <c r="G426" s="2" t="s">
        <v>20</v>
      </c>
      <c r="H426" s="2" t="s">
        <v>34</v>
      </c>
      <c r="I426" s="2" t="s">
        <v>16</v>
      </c>
      <c r="J426" s="15">
        <v>320000</v>
      </c>
      <c r="K426" s="2">
        <v>9</v>
      </c>
      <c r="L426" s="2" t="s">
        <v>35</v>
      </c>
      <c r="M426" s="12">
        <f t="shared" si="9"/>
        <v>256000</v>
      </c>
      <c r="N426" s="10">
        <f>PRODUCT(Table_13[[#This Row],[Unit Price]],Table_13[[#This Row],[Quantity]])</f>
        <v>2880000</v>
      </c>
      <c r="O426" s="16">
        <f>PRODUCT(Table_13[[#This Row],[Cost Price]],Table_13[[#This Row],[Quantity]])</f>
        <v>2304000</v>
      </c>
      <c r="P426" s="27">
        <f t="shared" si="15"/>
        <v>576000</v>
      </c>
    </row>
    <row r="427" spans="1:16" x14ac:dyDescent="0.2">
      <c r="A427" s="33">
        <v>46101</v>
      </c>
      <c r="B427" s="30">
        <f t="shared" si="14"/>
        <v>3</v>
      </c>
      <c r="C427" s="30" t="str">
        <f>_xlfn.IFS(Table_13[[#This Row],[Month]]=1,"JAN",Table_13[[#This Row],[Month]]=2,"FEB",B427=3,"MAR",B427=4,"APR",B427=5,"MAY",B427=6,"JUN",B427=7,"JUL",B427=8,"AUG",Table_13[[#This Row],[Month]]=9,"SEPT",B427=10,"OCT",B427=11,"NOV",B427=12,"DEC")</f>
        <v>MAR</v>
      </c>
      <c r="D427" s="2" t="s">
        <v>29</v>
      </c>
      <c r="E427" s="2" t="s">
        <v>12</v>
      </c>
      <c r="F427" s="2" t="s">
        <v>13</v>
      </c>
      <c r="G427" s="2" t="s">
        <v>14</v>
      </c>
      <c r="H427" s="2" t="s">
        <v>34</v>
      </c>
      <c r="I427" s="2" t="s">
        <v>16</v>
      </c>
      <c r="J427" s="15">
        <v>320000</v>
      </c>
      <c r="K427" s="2">
        <v>5</v>
      </c>
      <c r="L427" s="2" t="s">
        <v>24</v>
      </c>
      <c r="M427" s="12">
        <f t="shared" si="9"/>
        <v>256000</v>
      </c>
      <c r="N427" s="10">
        <f>PRODUCT(Table_13[[#This Row],[Unit Price]],Table_13[[#This Row],[Quantity]])</f>
        <v>1600000</v>
      </c>
      <c r="O427" s="16">
        <f>PRODUCT(Table_13[[#This Row],[Cost Price]],Table_13[[#This Row],[Quantity]])</f>
        <v>1280000</v>
      </c>
      <c r="P427" s="27">
        <f t="shared" si="15"/>
        <v>320000</v>
      </c>
    </row>
    <row r="428" spans="1:16" x14ac:dyDescent="0.2">
      <c r="A428" s="33">
        <v>46102</v>
      </c>
      <c r="B428" s="30">
        <f t="shared" si="14"/>
        <v>3</v>
      </c>
      <c r="C428" s="30" t="str">
        <f>_xlfn.IFS(Table_13[[#This Row],[Month]]=1,"JAN",Table_13[[#This Row],[Month]]=2,"FEB",B428=3,"MAR",B428=4,"APR",B428=5,"MAY",B428=6,"JUN",B428=7,"JUL",B428=8,"AUG",Table_13[[#This Row],[Month]]=9,"SEPT",B428=10,"OCT",B428=11,"NOV",B428=12,"DEC")</f>
        <v>MAR</v>
      </c>
      <c r="D428" s="2" t="s">
        <v>29</v>
      </c>
      <c r="E428" s="2" t="s">
        <v>32</v>
      </c>
      <c r="F428" s="2" t="s">
        <v>13</v>
      </c>
      <c r="G428" s="2" t="s">
        <v>14</v>
      </c>
      <c r="H428" s="2" t="s">
        <v>27</v>
      </c>
      <c r="I428" s="2" t="s">
        <v>22</v>
      </c>
      <c r="J428" s="15">
        <v>60000</v>
      </c>
      <c r="K428" s="2">
        <v>8</v>
      </c>
      <c r="L428" s="2" t="s">
        <v>39</v>
      </c>
      <c r="M428" s="12">
        <f t="shared" si="9"/>
        <v>48000</v>
      </c>
      <c r="N428" s="10">
        <f>PRODUCT(Table_13[[#This Row],[Unit Price]],Table_13[[#This Row],[Quantity]])</f>
        <v>480000</v>
      </c>
      <c r="O428" s="16">
        <f>PRODUCT(Table_13[[#This Row],[Cost Price]],Table_13[[#This Row],[Quantity]])</f>
        <v>384000</v>
      </c>
      <c r="P428" s="27">
        <f t="shared" si="15"/>
        <v>96000</v>
      </c>
    </row>
    <row r="429" spans="1:16" x14ac:dyDescent="0.2">
      <c r="A429" s="33">
        <v>46103</v>
      </c>
      <c r="B429" s="30">
        <f t="shared" si="14"/>
        <v>3</v>
      </c>
      <c r="C429" s="30" t="str">
        <f>_xlfn.IFS(Table_13[[#This Row],[Month]]=1,"JAN",Table_13[[#This Row],[Month]]=2,"FEB",B429=3,"MAR",B429=4,"APR",B429=5,"MAY",B429=6,"JUN",B429=7,"JUL",B429=8,"AUG",Table_13[[#This Row],[Month]]=9,"SEPT",B429=10,"OCT",B429=11,"NOV",B429=12,"DEC")</f>
        <v>MAR</v>
      </c>
      <c r="D429" s="2" t="s">
        <v>25</v>
      </c>
      <c r="E429" s="2" t="s">
        <v>12</v>
      </c>
      <c r="F429" s="2" t="s">
        <v>23</v>
      </c>
      <c r="G429" s="2" t="s">
        <v>14</v>
      </c>
      <c r="H429" s="2" t="s">
        <v>15</v>
      </c>
      <c r="I429" s="2" t="s">
        <v>16</v>
      </c>
      <c r="J429" s="15">
        <v>85000</v>
      </c>
      <c r="K429" s="2">
        <v>8</v>
      </c>
      <c r="L429" s="2" t="s">
        <v>24</v>
      </c>
      <c r="M429" s="12">
        <f t="shared" si="9"/>
        <v>68000</v>
      </c>
      <c r="N429" s="10">
        <f>PRODUCT(Table_13[[#This Row],[Unit Price]],Table_13[[#This Row],[Quantity]])</f>
        <v>680000</v>
      </c>
      <c r="O429" s="16">
        <f>PRODUCT(Table_13[[#This Row],[Cost Price]],Table_13[[#This Row],[Quantity]])</f>
        <v>544000</v>
      </c>
      <c r="P429" s="27">
        <f t="shared" si="15"/>
        <v>136000</v>
      </c>
    </row>
    <row r="430" spans="1:16" x14ac:dyDescent="0.2">
      <c r="A430" s="33">
        <v>46104</v>
      </c>
      <c r="B430" s="30">
        <f t="shared" si="14"/>
        <v>3</v>
      </c>
      <c r="C430" s="30" t="str">
        <f>_xlfn.IFS(Table_13[[#This Row],[Month]]=1,"JAN",Table_13[[#This Row],[Month]]=2,"FEB",B430=3,"MAR",B430=4,"APR",B430=5,"MAY",B430=6,"JUN",B430=7,"JUL",B430=8,"AUG",Table_13[[#This Row],[Month]]=9,"SEPT",B430=10,"OCT",B430=11,"NOV",B430=12,"DEC")</f>
        <v>MAR</v>
      </c>
      <c r="D430" s="2" t="s">
        <v>18</v>
      </c>
      <c r="E430" s="2" t="s">
        <v>12</v>
      </c>
      <c r="F430" s="2" t="s">
        <v>13</v>
      </c>
      <c r="G430" s="2" t="s">
        <v>20</v>
      </c>
      <c r="H430" s="2" t="s">
        <v>34</v>
      </c>
      <c r="I430" s="2" t="s">
        <v>16</v>
      </c>
      <c r="J430" s="15">
        <v>320000</v>
      </c>
      <c r="K430" s="2">
        <v>5</v>
      </c>
      <c r="L430" s="2" t="s">
        <v>24</v>
      </c>
      <c r="M430" s="12">
        <f t="shared" si="9"/>
        <v>256000</v>
      </c>
      <c r="N430" s="10">
        <f>PRODUCT(Table_13[[#This Row],[Unit Price]],Table_13[[#This Row],[Quantity]])</f>
        <v>1600000</v>
      </c>
      <c r="O430" s="16">
        <f>PRODUCT(Table_13[[#This Row],[Cost Price]],Table_13[[#This Row],[Quantity]])</f>
        <v>1280000</v>
      </c>
      <c r="P430" s="27">
        <f t="shared" si="15"/>
        <v>320000</v>
      </c>
    </row>
    <row r="431" spans="1:16" x14ac:dyDescent="0.2">
      <c r="A431" s="33">
        <v>46105</v>
      </c>
      <c r="B431" s="30">
        <f t="shared" si="14"/>
        <v>3</v>
      </c>
      <c r="C431" s="30" t="str">
        <f>_xlfn.IFS(Table_13[[#This Row],[Month]]=1,"JAN",Table_13[[#This Row],[Month]]=2,"FEB",B431=3,"MAR",B431=4,"APR",B431=5,"MAY",B431=6,"JUN",B431=7,"JUL",B431=8,"AUG",Table_13[[#This Row],[Month]]=9,"SEPT",B431=10,"OCT",B431=11,"NOV",B431=12,"DEC")</f>
        <v>MAR</v>
      </c>
      <c r="D431" s="2" t="s">
        <v>29</v>
      </c>
      <c r="E431" s="2" t="s">
        <v>26</v>
      </c>
      <c r="F431" s="2" t="s">
        <v>23</v>
      </c>
      <c r="G431" s="2" t="s">
        <v>14</v>
      </c>
      <c r="H431" s="2" t="s">
        <v>36</v>
      </c>
      <c r="I431" s="2" t="s">
        <v>31</v>
      </c>
      <c r="J431" s="15">
        <v>150000</v>
      </c>
      <c r="K431" s="2">
        <v>3</v>
      </c>
      <c r="L431" s="2" t="s">
        <v>37</v>
      </c>
      <c r="M431" s="12">
        <f t="shared" si="9"/>
        <v>120000</v>
      </c>
      <c r="N431" s="10">
        <f>PRODUCT(Table_13[[#This Row],[Unit Price]],Table_13[[#This Row],[Quantity]])</f>
        <v>450000</v>
      </c>
      <c r="O431" s="16">
        <f>PRODUCT(Table_13[[#This Row],[Cost Price]],Table_13[[#This Row],[Quantity]])</f>
        <v>360000</v>
      </c>
      <c r="P431" s="27">
        <f t="shared" si="15"/>
        <v>90000</v>
      </c>
    </row>
    <row r="432" spans="1:16" x14ac:dyDescent="0.2">
      <c r="A432" s="33">
        <v>46106</v>
      </c>
      <c r="B432" s="30">
        <f t="shared" si="14"/>
        <v>3</v>
      </c>
      <c r="C432" s="30" t="str">
        <f>_xlfn.IFS(Table_13[[#This Row],[Month]]=1,"JAN",Table_13[[#This Row],[Month]]=2,"FEB",B432=3,"MAR",B432=4,"APR",B432=5,"MAY",B432=6,"JUN",B432=7,"JUL",B432=8,"AUG",Table_13[[#This Row],[Month]]=9,"SEPT",B432=10,"OCT",B432=11,"NOV",B432=12,"DEC")</f>
        <v>MAR</v>
      </c>
      <c r="D432" s="2" t="s">
        <v>29</v>
      </c>
      <c r="E432" s="2" t="s">
        <v>26</v>
      </c>
      <c r="F432" s="2" t="s">
        <v>13</v>
      </c>
      <c r="G432" s="2" t="s">
        <v>20</v>
      </c>
      <c r="H432" s="2" t="s">
        <v>36</v>
      </c>
      <c r="I432" s="2" t="s">
        <v>31</v>
      </c>
      <c r="J432" s="15">
        <v>150000</v>
      </c>
      <c r="K432" s="2">
        <v>1</v>
      </c>
      <c r="L432" s="2" t="s">
        <v>17</v>
      </c>
      <c r="M432" s="12">
        <f t="shared" si="9"/>
        <v>120000</v>
      </c>
      <c r="N432" s="10">
        <f>PRODUCT(Table_13[[#This Row],[Unit Price]],Table_13[[#This Row],[Quantity]])</f>
        <v>150000</v>
      </c>
      <c r="O432" s="16">
        <f>PRODUCT(Table_13[[#This Row],[Cost Price]],Table_13[[#This Row],[Quantity]])</f>
        <v>120000</v>
      </c>
      <c r="P432" s="27">
        <f t="shared" si="15"/>
        <v>30000</v>
      </c>
    </row>
    <row r="433" spans="1:16" x14ac:dyDescent="0.2">
      <c r="A433" s="33">
        <v>46107</v>
      </c>
      <c r="B433" s="30">
        <f t="shared" si="14"/>
        <v>3</v>
      </c>
      <c r="C433" s="30" t="str">
        <f>_xlfn.IFS(Table_13[[#This Row],[Month]]=1,"JAN",Table_13[[#This Row],[Month]]=2,"FEB",B433=3,"MAR",B433=4,"APR",B433=5,"MAY",B433=6,"JUN",B433=7,"JUL",B433=8,"AUG",Table_13[[#This Row],[Month]]=9,"SEPT",B433=10,"OCT",B433=11,"NOV",B433=12,"DEC")</f>
        <v>MAR</v>
      </c>
      <c r="D433" s="2" t="s">
        <v>25</v>
      </c>
      <c r="E433" s="2" t="s">
        <v>26</v>
      </c>
      <c r="F433" s="2" t="s">
        <v>23</v>
      </c>
      <c r="G433" s="2" t="s">
        <v>14</v>
      </c>
      <c r="H433" s="2" t="s">
        <v>27</v>
      </c>
      <c r="I433" s="2" t="s">
        <v>22</v>
      </c>
      <c r="J433" s="15">
        <v>60000</v>
      </c>
      <c r="K433" s="2">
        <v>7</v>
      </c>
      <c r="L433" s="2" t="s">
        <v>24</v>
      </c>
      <c r="M433" s="12">
        <f t="shared" si="9"/>
        <v>48000</v>
      </c>
      <c r="N433" s="10">
        <f>PRODUCT(Table_13[[#This Row],[Unit Price]],Table_13[[#This Row],[Quantity]])</f>
        <v>420000</v>
      </c>
      <c r="O433" s="16">
        <f>PRODUCT(Table_13[[#This Row],[Cost Price]],Table_13[[#This Row],[Quantity]])</f>
        <v>336000</v>
      </c>
      <c r="P433" s="27">
        <f t="shared" si="15"/>
        <v>84000</v>
      </c>
    </row>
    <row r="434" spans="1:16" x14ac:dyDescent="0.2">
      <c r="A434" s="33">
        <v>46108</v>
      </c>
      <c r="B434" s="30">
        <f t="shared" si="14"/>
        <v>3</v>
      </c>
      <c r="C434" s="30" t="str">
        <f>_xlfn.IFS(Table_13[[#This Row],[Month]]=1,"JAN",Table_13[[#This Row],[Month]]=2,"FEB",B434=3,"MAR",B434=4,"APR",B434=5,"MAY",B434=6,"JUN",B434=7,"JUL",B434=8,"AUG",Table_13[[#This Row],[Month]]=9,"SEPT",B434=10,"OCT",B434=11,"NOV",B434=12,"DEC")</f>
        <v>MAR</v>
      </c>
      <c r="D434" s="2" t="s">
        <v>11</v>
      </c>
      <c r="E434" s="2" t="s">
        <v>12</v>
      </c>
      <c r="F434" s="2" t="s">
        <v>13</v>
      </c>
      <c r="G434" s="2" t="s">
        <v>14</v>
      </c>
      <c r="H434" s="2" t="s">
        <v>33</v>
      </c>
      <c r="I434" s="2" t="s">
        <v>22</v>
      </c>
      <c r="J434" s="15">
        <v>180000</v>
      </c>
      <c r="K434" s="2">
        <v>1</v>
      </c>
      <c r="L434" s="2" t="s">
        <v>24</v>
      </c>
      <c r="M434" s="12">
        <f t="shared" si="9"/>
        <v>144000</v>
      </c>
      <c r="N434" s="10">
        <f>PRODUCT(Table_13[[#This Row],[Unit Price]],Table_13[[#This Row],[Quantity]])</f>
        <v>180000</v>
      </c>
      <c r="O434" s="16">
        <f>PRODUCT(Table_13[[#This Row],[Cost Price]],Table_13[[#This Row],[Quantity]])</f>
        <v>144000</v>
      </c>
      <c r="P434" s="27">
        <f t="shared" si="15"/>
        <v>36000</v>
      </c>
    </row>
    <row r="435" spans="1:16" x14ac:dyDescent="0.2">
      <c r="A435" s="33">
        <v>46109</v>
      </c>
      <c r="B435" s="30">
        <f t="shared" si="14"/>
        <v>3</v>
      </c>
      <c r="C435" s="30" t="str">
        <f>_xlfn.IFS(Table_13[[#This Row],[Month]]=1,"JAN",Table_13[[#This Row],[Month]]=2,"FEB",B435=3,"MAR",B435=4,"APR",B435=5,"MAY",B435=6,"JUN",B435=7,"JUL",B435=8,"AUG",Table_13[[#This Row],[Month]]=9,"SEPT",B435=10,"OCT",B435=11,"NOV",B435=12,"DEC")</f>
        <v>MAR</v>
      </c>
      <c r="D435" s="2" t="s">
        <v>25</v>
      </c>
      <c r="E435" s="2" t="s">
        <v>12</v>
      </c>
      <c r="F435" s="2" t="s">
        <v>23</v>
      </c>
      <c r="G435" s="2" t="s">
        <v>14</v>
      </c>
      <c r="H435" s="2" t="s">
        <v>33</v>
      </c>
      <c r="I435" s="2" t="s">
        <v>22</v>
      </c>
      <c r="J435" s="15">
        <v>180000</v>
      </c>
      <c r="K435" s="2">
        <v>1</v>
      </c>
      <c r="L435" s="2" t="s">
        <v>35</v>
      </c>
      <c r="M435" s="12">
        <f t="shared" si="9"/>
        <v>144000</v>
      </c>
      <c r="N435" s="10">
        <f>PRODUCT(Table_13[[#This Row],[Unit Price]],Table_13[[#This Row],[Quantity]])</f>
        <v>180000</v>
      </c>
      <c r="O435" s="16">
        <f>PRODUCT(Table_13[[#This Row],[Cost Price]],Table_13[[#This Row],[Quantity]])</f>
        <v>144000</v>
      </c>
      <c r="P435" s="27">
        <f t="shared" si="15"/>
        <v>36000</v>
      </c>
    </row>
    <row r="436" spans="1:16" x14ac:dyDescent="0.2">
      <c r="A436" s="33">
        <v>46110</v>
      </c>
      <c r="B436" s="30">
        <f t="shared" si="14"/>
        <v>3</v>
      </c>
      <c r="C436" s="30" t="str">
        <f>_xlfn.IFS(Table_13[[#This Row],[Month]]=1,"JAN",Table_13[[#This Row],[Month]]=2,"FEB",B436=3,"MAR",B436=4,"APR",B436=5,"MAY",B436=6,"JUN",B436=7,"JUL",B436=8,"AUG",Table_13[[#This Row],[Month]]=9,"SEPT",B436=10,"OCT",B436=11,"NOV",B436=12,"DEC")</f>
        <v>MAR</v>
      </c>
      <c r="D436" s="2" t="s">
        <v>25</v>
      </c>
      <c r="E436" s="2" t="s">
        <v>12</v>
      </c>
      <c r="F436" s="2" t="s">
        <v>13</v>
      </c>
      <c r="G436" s="2" t="s">
        <v>20</v>
      </c>
      <c r="H436" s="2" t="s">
        <v>40</v>
      </c>
      <c r="I436" s="2" t="s">
        <v>31</v>
      </c>
      <c r="J436" s="15">
        <v>250000</v>
      </c>
      <c r="K436" s="2">
        <v>9</v>
      </c>
      <c r="L436" s="2" t="s">
        <v>17</v>
      </c>
      <c r="M436" s="12">
        <f t="shared" si="9"/>
        <v>200000</v>
      </c>
      <c r="N436" s="10">
        <f>PRODUCT(Table_13[[#This Row],[Unit Price]],Table_13[[#This Row],[Quantity]])</f>
        <v>2250000</v>
      </c>
      <c r="O436" s="16">
        <f>PRODUCT(Table_13[[#This Row],[Cost Price]],Table_13[[#This Row],[Quantity]])</f>
        <v>1800000</v>
      </c>
      <c r="P436" s="27">
        <f t="shared" si="15"/>
        <v>450000</v>
      </c>
    </row>
    <row r="437" spans="1:16" x14ac:dyDescent="0.2">
      <c r="A437" s="33">
        <v>46111</v>
      </c>
      <c r="B437" s="30">
        <f t="shared" si="14"/>
        <v>3</v>
      </c>
      <c r="C437" s="30" t="str">
        <f>_xlfn.IFS(Table_13[[#This Row],[Month]]=1,"JAN",Table_13[[#This Row],[Month]]=2,"FEB",B437=3,"MAR",B437=4,"APR",B437=5,"MAY",B437=6,"JUN",B437=7,"JUL",B437=8,"AUG",Table_13[[#This Row],[Month]]=9,"SEPT",B437=10,"OCT",B437=11,"NOV",B437=12,"DEC")</f>
        <v>MAR</v>
      </c>
      <c r="D437" s="2" t="s">
        <v>11</v>
      </c>
      <c r="E437" s="2" t="s">
        <v>26</v>
      </c>
      <c r="F437" s="2" t="s">
        <v>23</v>
      </c>
      <c r="G437" s="2" t="s">
        <v>14</v>
      </c>
      <c r="H437" s="2" t="s">
        <v>34</v>
      </c>
      <c r="I437" s="2" t="s">
        <v>16</v>
      </c>
      <c r="J437" s="15">
        <v>320000</v>
      </c>
      <c r="K437" s="2">
        <v>1</v>
      </c>
      <c r="L437" s="2" t="s">
        <v>24</v>
      </c>
      <c r="M437" s="12">
        <f t="shared" si="9"/>
        <v>256000</v>
      </c>
      <c r="N437" s="10">
        <f>PRODUCT(Table_13[[#This Row],[Unit Price]],Table_13[[#This Row],[Quantity]])</f>
        <v>320000</v>
      </c>
      <c r="O437" s="16">
        <f>PRODUCT(Table_13[[#This Row],[Cost Price]],Table_13[[#This Row],[Quantity]])</f>
        <v>256000</v>
      </c>
      <c r="P437" s="27">
        <f t="shared" si="15"/>
        <v>64000</v>
      </c>
    </row>
    <row r="438" spans="1:16" x14ac:dyDescent="0.2">
      <c r="A438" s="33">
        <v>46112</v>
      </c>
      <c r="B438" s="30">
        <f t="shared" si="14"/>
        <v>3</v>
      </c>
      <c r="C438" s="30" t="str">
        <f>_xlfn.IFS(Table_13[[#This Row],[Month]]=1,"JAN",Table_13[[#This Row],[Month]]=2,"FEB",B438=3,"MAR",B438=4,"APR",B438=5,"MAY",B438=6,"JUN",B438=7,"JUL",B438=8,"AUG",Table_13[[#This Row],[Month]]=9,"SEPT",B438=10,"OCT",B438=11,"NOV",B438=12,"DEC")</f>
        <v>MAR</v>
      </c>
      <c r="D438" s="2" t="s">
        <v>25</v>
      </c>
      <c r="E438" s="2" t="s">
        <v>19</v>
      </c>
      <c r="F438" s="2" t="s">
        <v>13</v>
      </c>
      <c r="G438" s="2" t="s">
        <v>20</v>
      </c>
      <c r="H438" s="2" t="s">
        <v>33</v>
      </c>
      <c r="I438" s="2" t="s">
        <v>22</v>
      </c>
      <c r="J438" s="15">
        <v>180000</v>
      </c>
      <c r="K438" s="2">
        <v>10</v>
      </c>
      <c r="L438" s="2" t="s">
        <v>17</v>
      </c>
      <c r="M438" s="12">
        <f t="shared" si="9"/>
        <v>144000</v>
      </c>
      <c r="N438" s="10">
        <f>PRODUCT(Table_13[[#This Row],[Unit Price]],Table_13[[#This Row],[Quantity]])</f>
        <v>1800000</v>
      </c>
      <c r="O438" s="16">
        <f>PRODUCT(Table_13[[#This Row],[Cost Price]],Table_13[[#This Row],[Quantity]])</f>
        <v>1440000</v>
      </c>
      <c r="P438" s="27">
        <f t="shared" si="15"/>
        <v>360000</v>
      </c>
    </row>
    <row r="439" spans="1:16" x14ac:dyDescent="0.2">
      <c r="A439" s="33">
        <v>46113</v>
      </c>
      <c r="B439" s="30">
        <f t="shared" si="14"/>
        <v>4</v>
      </c>
      <c r="C439" s="30" t="str">
        <f>_xlfn.IFS(Table_13[[#This Row],[Month]]=1,"JAN",Table_13[[#This Row],[Month]]=2,"FEB",B439=3,"MAR",B439=4,"APR",B439=5,"MAY",B439=6,"JUN",B439=7,"JUL",B439=8,"AUG",Table_13[[#This Row],[Month]]=9,"SEPT",B439=10,"OCT",B439=11,"NOV",B439=12,"DEC")</f>
        <v>APR</v>
      </c>
      <c r="D439" s="2" t="s">
        <v>18</v>
      </c>
      <c r="E439" s="2" t="s">
        <v>26</v>
      </c>
      <c r="F439" s="2" t="s">
        <v>13</v>
      </c>
      <c r="G439" s="2" t="s">
        <v>20</v>
      </c>
      <c r="H439" s="2" t="s">
        <v>30</v>
      </c>
      <c r="I439" s="2" t="s">
        <v>31</v>
      </c>
      <c r="J439" s="15">
        <v>300000</v>
      </c>
      <c r="K439" s="2">
        <v>10</v>
      </c>
      <c r="L439" s="2" t="s">
        <v>35</v>
      </c>
      <c r="M439" s="12">
        <f t="shared" si="9"/>
        <v>240000</v>
      </c>
      <c r="N439" s="10">
        <f>PRODUCT(Table_13[[#This Row],[Unit Price]],Table_13[[#This Row],[Quantity]])</f>
        <v>3000000</v>
      </c>
      <c r="O439" s="16">
        <f>PRODUCT(Table_13[[#This Row],[Cost Price]],Table_13[[#This Row],[Quantity]])</f>
        <v>2400000</v>
      </c>
      <c r="P439" s="27">
        <f t="shared" si="15"/>
        <v>600000</v>
      </c>
    </row>
    <row r="440" spans="1:16" x14ac:dyDescent="0.2">
      <c r="A440" s="33">
        <v>46114</v>
      </c>
      <c r="B440" s="30">
        <f t="shared" si="14"/>
        <v>4</v>
      </c>
      <c r="C440" s="30" t="str">
        <f>_xlfn.IFS(Table_13[[#This Row],[Month]]=1,"JAN",Table_13[[#This Row],[Month]]=2,"FEB",B440=3,"MAR",B440=4,"APR",B440=5,"MAY",B440=6,"JUN",B440=7,"JUL",B440=8,"AUG",Table_13[[#This Row],[Month]]=9,"SEPT",B440=10,"OCT",B440=11,"NOV",B440=12,"DEC")</f>
        <v>APR</v>
      </c>
      <c r="D440" s="2" t="s">
        <v>25</v>
      </c>
      <c r="E440" s="2" t="s">
        <v>12</v>
      </c>
      <c r="F440" s="2" t="s">
        <v>13</v>
      </c>
      <c r="G440" s="2" t="s">
        <v>14</v>
      </c>
      <c r="H440" s="2" t="s">
        <v>38</v>
      </c>
      <c r="I440" s="2" t="s">
        <v>31</v>
      </c>
      <c r="J440" s="15">
        <v>420000</v>
      </c>
      <c r="K440" s="2">
        <v>4</v>
      </c>
      <c r="L440" s="2" t="s">
        <v>37</v>
      </c>
      <c r="M440" s="12">
        <f t="shared" si="9"/>
        <v>336000</v>
      </c>
      <c r="N440" s="10">
        <f>PRODUCT(Table_13[[#This Row],[Unit Price]],Table_13[[#This Row],[Quantity]])</f>
        <v>1680000</v>
      </c>
      <c r="O440" s="16">
        <f>PRODUCT(Table_13[[#This Row],[Cost Price]],Table_13[[#This Row],[Quantity]])</f>
        <v>1344000</v>
      </c>
      <c r="P440" s="27">
        <f t="shared" si="15"/>
        <v>336000</v>
      </c>
    </row>
    <row r="441" spans="1:16" x14ac:dyDescent="0.2">
      <c r="A441" s="33">
        <v>46115</v>
      </c>
      <c r="B441" s="30">
        <f t="shared" si="14"/>
        <v>4</v>
      </c>
      <c r="C441" s="30" t="str">
        <f>_xlfn.IFS(Table_13[[#This Row],[Month]]=1,"JAN",Table_13[[#This Row],[Month]]=2,"FEB",B441=3,"MAR",B441=4,"APR",B441=5,"MAY",B441=6,"JUN",B441=7,"JUL",B441=8,"AUG",Table_13[[#This Row],[Month]]=9,"SEPT",B441=10,"OCT",B441=11,"NOV",B441=12,"DEC")</f>
        <v>APR</v>
      </c>
      <c r="D441" s="2" t="s">
        <v>11</v>
      </c>
      <c r="E441" s="2" t="s">
        <v>12</v>
      </c>
      <c r="F441" s="2" t="s">
        <v>23</v>
      </c>
      <c r="G441" s="2" t="s">
        <v>20</v>
      </c>
      <c r="H441" s="2" t="s">
        <v>21</v>
      </c>
      <c r="I441" s="2" t="s">
        <v>22</v>
      </c>
      <c r="J441" s="15">
        <v>30000</v>
      </c>
      <c r="K441" s="2">
        <v>4</v>
      </c>
      <c r="L441" s="2" t="s">
        <v>28</v>
      </c>
      <c r="M441" s="12">
        <f t="shared" si="9"/>
        <v>24000</v>
      </c>
      <c r="N441" s="10">
        <f>PRODUCT(Table_13[[#This Row],[Unit Price]],Table_13[[#This Row],[Quantity]])</f>
        <v>120000</v>
      </c>
      <c r="O441" s="16">
        <f>PRODUCT(Table_13[[#This Row],[Cost Price]],Table_13[[#This Row],[Quantity]])</f>
        <v>96000</v>
      </c>
      <c r="P441" s="27">
        <f t="shared" si="15"/>
        <v>24000</v>
      </c>
    </row>
    <row r="442" spans="1:16" x14ac:dyDescent="0.2">
      <c r="A442" s="33">
        <v>46116</v>
      </c>
      <c r="B442" s="30">
        <f t="shared" si="14"/>
        <v>4</v>
      </c>
      <c r="C442" s="30" t="str">
        <f>_xlfn.IFS(Table_13[[#This Row],[Month]]=1,"JAN",Table_13[[#This Row],[Month]]=2,"FEB",B442=3,"MAR",B442=4,"APR",B442=5,"MAY",B442=6,"JUN",B442=7,"JUL",B442=8,"AUG",Table_13[[#This Row],[Month]]=9,"SEPT",B442=10,"OCT",B442=11,"NOV",B442=12,"DEC")</f>
        <v>APR</v>
      </c>
      <c r="D442" s="2" t="s">
        <v>29</v>
      </c>
      <c r="E442" s="2" t="s">
        <v>26</v>
      </c>
      <c r="F442" s="2" t="s">
        <v>13</v>
      </c>
      <c r="G442" s="2" t="s">
        <v>14</v>
      </c>
      <c r="H442" s="2" t="s">
        <v>21</v>
      </c>
      <c r="I442" s="2" t="s">
        <v>22</v>
      </c>
      <c r="J442" s="15">
        <v>30000</v>
      </c>
      <c r="K442" s="2">
        <v>10</v>
      </c>
      <c r="L442" s="2" t="s">
        <v>35</v>
      </c>
      <c r="M442" s="12">
        <f t="shared" si="9"/>
        <v>24000</v>
      </c>
      <c r="N442" s="10">
        <f>PRODUCT(Table_13[[#This Row],[Unit Price]],Table_13[[#This Row],[Quantity]])</f>
        <v>300000</v>
      </c>
      <c r="O442" s="16">
        <f>PRODUCT(Table_13[[#This Row],[Cost Price]],Table_13[[#This Row],[Quantity]])</f>
        <v>240000</v>
      </c>
      <c r="P442" s="27">
        <f t="shared" si="15"/>
        <v>60000</v>
      </c>
    </row>
    <row r="443" spans="1:16" x14ac:dyDescent="0.2">
      <c r="A443" s="33">
        <v>46117</v>
      </c>
      <c r="B443" s="30">
        <f t="shared" si="14"/>
        <v>4</v>
      </c>
      <c r="C443" s="30" t="str">
        <f>_xlfn.IFS(Table_13[[#This Row],[Month]]=1,"JAN",Table_13[[#This Row],[Month]]=2,"FEB",B443=3,"MAR",B443=4,"APR",B443=5,"MAY",B443=6,"JUN",B443=7,"JUL",B443=8,"AUG",Table_13[[#This Row],[Month]]=9,"SEPT",B443=10,"OCT",B443=11,"NOV",B443=12,"DEC")</f>
        <v>APR</v>
      </c>
      <c r="D443" s="2" t="s">
        <v>25</v>
      </c>
      <c r="E443" s="2" t="s">
        <v>12</v>
      </c>
      <c r="F443" s="2" t="s">
        <v>23</v>
      </c>
      <c r="G443" s="2" t="s">
        <v>20</v>
      </c>
      <c r="H443" s="2" t="s">
        <v>27</v>
      </c>
      <c r="I443" s="2" t="s">
        <v>22</v>
      </c>
      <c r="J443" s="15">
        <v>60000</v>
      </c>
      <c r="K443" s="2">
        <v>7</v>
      </c>
      <c r="L443" s="2" t="s">
        <v>17</v>
      </c>
      <c r="M443" s="12">
        <f t="shared" si="9"/>
        <v>48000</v>
      </c>
      <c r="N443" s="10">
        <f>PRODUCT(Table_13[[#This Row],[Unit Price]],Table_13[[#This Row],[Quantity]])</f>
        <v>420000</v>
      </c>
      <c r="O443" s="16">
        <f>PRODUCT(Table_13[[#This Row],[Cost Price]],Table_13[[#This Row],[Quantity]])</f>
        <v>336000</v>
      </c>
      <c r="P443" s="27">
        <f t="shared" si="15"/>
        <v>84000</v>
      </c>
    </row>
    <row r="444" spans="1:16" x14ac:dyDescent="0.2">
      <c r="A444" s="33">
        <v>46118</v>
      </c>
      <c r="B444" s="30">
        <f t="shared" si="14"/>
        <v>4</v>
      </c>
      <c r="C444" s="30" t="str">
        <f>_xlfn.IFS(Table_13[[#This Row],[Month]]=1,"JAN",Table_13[[#This Row],[Month]]=2,"FEB",B444=3,"MAR",B444=4,"APR",B444=5,"MAY",B444=6,"JUN",B444=7,"JUL",B444=8,"AUG",Table_13[[#This Row],[Month]]=9,"SEPT",B444=10,"OCT",B444=11,"NOV",B444=12,"DEC")</f>
        <v>APR</v>
      </c>
      <c r="D444" s="2" t="s">
        <v>29</v>
      </c>
      <c r="E444" s="2" t="s">
        <v>12</v>
      </c>
      <c r="F444" s="2" t="s">
        <v>23</v>
      </c>
      <c r="G444" s="2" t="s">
        <v>20</v>
      </c>
      <c r="H444" s="2" t="s">
        <v>33</v>
      </c>
      <c r="I444" s="2" t="s">
        <v>22</v>
      </c>
      <c r="J444" s="15">
        <v>180000</v>
      </c>
      <c r="K444" s="2">
        <v>4</v>
      </c>
      <c r="L444" s="2" t="s">
        <v>39</v>
      </c>
      <c r="M444" s="12">
        <f t="shared" si="9"/>
        <v>144000</v>
      </c>
      <c r="N444" s="10">
        <f>PRODUCT(Table_13[[#This Row],[Unit Price]],Table_13[[#This Row],[Quantity]])</f>
        <v>720000</v>
      </c>
      <c r="O444" s="16">
        <f>PRODUCT(Table_13[[#This Row],[Cost Price]],Table_13[[#This Row],[Quantity]])</f>
        <v>576000</v>
      </c>
      <c r="P444" s="27">
        <f t="shared" si="15"/>
        <v>144000</v>
      </c>
    </row>
    <row r="445" spans="1:16" x14ac:dyDescent="0.2">
      <c r="A445" s="33">
        <v>46119</v>
      </c>
      <c r="B445" s="30">
        <f t="shared" si="14"/>
        <v>4</v>
      </c>
      <c r="C445" s="30" t="str">
        <f>_xlfn.IFS(Table_13[[#This Row],[Month]]=1,"JAN",Table_13[[#This Row],[Month]]=2,"FEB",B445=3,"MAR",B445=4,"APR",B445=5,"MAY",B445=6,"JUN",B445=7,"JUL",B445=8,"AUG",Table_13[[#This Row],[Month]]=9,"SEPT",B445=10,"OCT",B445=11,"NOV",B445=12,"DEC")</f>
        <v>APR</v>
      </c>
      <c r="D445" s="2" t="s">
        <v>11</v>
      </c>
      <c r="E445" s="2" t="s">
        <v>32</v>
      </c>
      <c r="F445" s="2" t="s">
        <v>13</v>
      </c>
      <c r="G445" s="2" t="s">
        <v>20</v>
      </c>
      <c r="H445" s="2" t="s">
        <v>21</v>
      </c>
      <c r="I445" s="2" t="s">
        <v>22</v>
      </c>
      <c r="J445" s="15">
        <v>30000</v>
      </c>
      <c r="K445" s="2">
        <v>7</v>
      </c>
      <c r="L445" s="2" t="s">
        <v>35</v>
      </c>
      <c r="M445" s="12">
        <f t="shared" si="9"/>
        <v>24000</v>
      </c>
      <c r="N445" s="10">
        <f>PRODUCT(Table_13[[#This Row],[Unit Price]],Table_13[[#This Row],[Quantity]])</f>
        <v>210000</v>
      </c>
      <c r="O445" s="16">
        <f>PRODUCT(Table_13[[#This Row],[Cost Price]],Table_13[[#This Row],[Quantity]])</f>
        <v>168000</v>
      </c>
      <c r="P445" s="27">
        <f t="shared" si="15"/>
        <v>42000</v>
      </c>
    </row>
    <row r="446" spans="1:16" x14ac:dyDescent="0.2">
      <c r="A446" s="33">
        <v>46120</v>
      </c>
      <c r="B446" s="30">
        <f t="shared" si="14"/>
        <v>4</v>
      </c>
      <c r="C446" s="30" t="str">
        <f>_xlfn.IFS(Table_13[[#This Row],[Month]]=1,"JAN",Table_13[[#This Row],[Month]]=2,"FEB",B446=3,"MAR",B446=4,"APR",B446=5,"MAY",B446=6,"JUN",B446=7,"JUL",B446=8,"AUG",Table_13[[#This Row],[Month]]=9,"SEPT",B446=10,"OCT",B446=11,"NOV",B446=12,"DEC")</f>
        <v>APR</v>
      </c>
      <c r="D446" s="2" t="s">
        <v>25</v>
      </c>
      <c r="E446" s="2" t="s">
        <v>19</v>
      </c>
      <c r="F446" s="2" t="s">
        <v>23</v>
      </c>
      <c r="G446" s="2" t="s">
        <v>20</v>
      </c>
      <c r="H446" s="2" t="s">
        <v>38</v>
      </c>
      <c r="I446" s="2" t="s">
        <v>31</v>
      </c>
      <c r="J446" s="15">
        <v>420000</v>
      </c>
      <c r="K446" s="2">
        <v>10</v>
      </c>
      <c r="L446" s="2" t="s">
        <v>17</v>
      </c>
      <c r="M446" s="12">
        <f t="shared" si="9"/>
        <v>336000</v>
      </c>
      <c r="N446" s="10">
        <f>PRODUCT(Table_13[[#This Row],[Unit Price]],Table_13[[#This Row],[Quantity]])</f>
        <v>4200000</v>
      </c>
      <c r="O446" s="16">
        <f>PRODUCT(Table_13[[#This Row],[Cost Price]],Table_13[[#This Row],[Quantity]])</f>
        <v>3360000</v>
      </c>
      <c r="P446" s="27">
        <f t="shared" si="15"/>
        <v>840000</v>
      </c>
    </row>
    <row r="447" spans="1:16" x14ac:dyDescent="0.2">
      <c r="A447" s="33">
        <v>46121</v>
      </c>
      <c r="B447" s="30">
        <f t="shared" si="14"/>
        <v>4</v>
      </c>
      <c r="C447" s="30" t="str">
        <f>_xlfn.IFS(Table_13[[#This Row],[Month]]=1,"JAN",Table_13[[#This Row],[Month]]=2,"FEB",B447=3,"MAR",B447=4,"APR",B447=5,"MAY",B447=6,"JUN",B447=7,"JUL",B447=8,"AUG",Table_13[[#This Row],[Month]]=9,"SEPT",B447=10,"OCT",B447=11,"NOV",B447=12,"DEC")</f>
        <v>APR</v>
      </c>
      <c r="D447" s="2" t="s">
        <v>18</v>
      </c>
      <c r="E447" s="2" t="s">
        <v>12</v>
      </c>
      <c r="F447" s="2" t="s">
        <v>23</v>
      </c>
      <c r="G447" s="2" t="s">
        <v>14</v>
      </c>
      <c r="H447" s="2" t="s">
        <v>38</v>
      </c>
      <c r="I447" s="2" t="s">
        <v>31</v>
      </c>
      <c r="J447" s="15">
        <v>420000</v>
      </c>
      <c r="K447" s="2">
        <v>7</v>
      </c>
      <c r="L447" s="2" t="s">
        <v>35</v>
      </c>
      <c r="M447" s="12">
        <f t="shared" si="9"/>
        <v>336000</v>
      </c>
      <c r="N447" s="10">
        <f>PRODUCT(Table_13[[#This Row],[Unit Price]],Table_13[[#This Row],[Quantity]])</f>
        <v>2940000</v>
      </c>
      <c r="O447" s="16">
        <f>PRODUCT(Table_13[[#This Row],[Cost Price]],Table_13[[#This Row],[Quantity]])</f>
        <v>2352000</v>
      </c>
      <c r="P447" s="27">
        <f t="shared" si="15"/>
        <v>588000</v>
      </c>
    </row>
    <row r="448" spans="1:16" x14ac:dyDescent="0.2">
      <c r="A448" s="33">
        <v>46122</v>
      </c>
      <c r="B448" s="30">
        <f t="shared" si="14"/>
        <v>4</v>
      </c>
      <c r="C448" s="30" t="str">
        <f>_xlfn.IFS(Table_13[[#This Row],[Month]]=1,"JAN",Table_13[[#This Row],[Month]]=2,"FEB",B448=3,"MAR",B448=4,"APR",B448=5,"MAY",B448=6,"JUN",B448=7,"JUL",B448=8,"AUG",Table_13[[#This Row],[Month]]=9,"SEPT",B448=10,"OCT",B448=11,"NOV",B448=12,"DEC")</f>
        <v>APR</v>
      </c>
      <c r="D448" s="2" t="s">
        <v>25</v>
      </c>
      <c r="E448" s="2" t="s">
        <v>26</v>
      </c>
      <c r="F448" s="2" t="s">
        <v>13</v>
      </c>
      <c r="G448" s="2" t="s">
        <v>20</v>
      </c>
      <c r="H448" s="2" t="s">
        <v>40</v>
      </c>
      <c r="I448" s="2" t="s">
        <v>31</v>
      </c>
      <c r="J448" s="15">
        <v>250000</v>
      </c>
      <c r="K448" s="2">
        <v>5</v>
      </c>
      <c r="L448" s="2" t="s">
        <v>24</v>
      </c>
      <c r="M448" s="12">
        <f t="shared" si="9"/>
        <v>200000</v>
      </c>
      <c r="N448" s="10">
        <f>PRODUCT(Table_13[[#This Row],[Unit Price]],Table_13[[#This Row],[Quantity]])</f>
        <v>1250000</v>
      </c>
      <c r="O448" s="16">
        <f>PRODUCT(Table_13[[#This Row],[Cost Price]],Table_13[[#This Row],[Quantity]])</f>
        <v>1000000</v>
      </c>
      <c r="P448" s="27">
        <f t="shared" si="15"/>
        <v>250000</v>
      </c>
    </row>
    <row r="449" spans="1:16" x14ac:dyDescent="0.2">
      <c r="A449" s="33">
        <v>46123</v>
      </c>
      <c r="B449" s="30">
        <f t="shared" si="14"/>
        <v>4</v>
      </c>
      <c r="C449" s="30" t="str">
        <f>_xlfn.IFS(Table_13[[#This Row],[Month]]=1,"JAN",Table_13[[#This Row],[Month]]=2,"FEB",B449=3,"MAR",B449=4,"APR",B449=5,"MAY",B449=6,"JUN",B449=7,"JUL",B449=8,"AUG",Table_13[[#This Row],[Month]]=9,"SEPT",B449=10,"OCT",B449=11,"NOV",B449=12,"DEC")</f>
        <v>APR</v>
      </c>
      <c r="D449" s="2" t="s">
        <v>11</v>
      </c>
      <c r="E449" s="2" t="s">
        <v>32</v>
      </c>
      <c r="F449" s="2" t="s">
        <v>23</v>
      </c>
      <c r="G449" s="2" t="s">
        <v>14</v>
      </c>
      <c r="H449" s="2" t="s">
        <v>38</v>
      </c>
      <c r="I449" s="2" t="s">
        <v>31</v>
      </c>
      <c r="J449" s="15">
        <v>420000</v>
      </c>
      <c r="K449" s="2">
        <v>5</v>
      </c>
      <c r="L449" s="2" t="s">
        <v>28</v>
      </c>
      <c r="M449" s="12">
        <f t="shared" si="9"/>
        <v>336000</v>
      </c>
      <c r="N449" s="10">
        <f>PRODUCT(Table_13[[#This Row],[Unit Price]],Table_13[[#This Row],[Quantity]])</f>
        <v>2100000</v>
      </c>
      <c r="O449" s="16">
        <f>PRODUCT(Table_13[[#This Row],[Cost Price]],Table_13[[#This Row],[Quantity]])</f>
        <v>1680000</v>
      </c>
      <c r="P449" s="27">
        <f t="shared" si="15"/>
        <v>420000</v>
      </c>
    </row>
    <row r="450" spans="1:16" x14ac:dyDescent="0.2">
      <c r="A450" s="33">
        <v>46124</v>
      </c>
      <c r="B450" s="30">
        <f t="shared" ref="B450:B513" si="16">MONTH(A450)</f>
        <v>4</v>
      </c>
      <c r="C450" s="30" t="str">
        <f>_xlfn.IFS(Table_13[[#This Row],[Month]]=1,"JAN",Table_13[[#This Row],[Month]]=2,"FEB",B450=3,"MAR",B450=4,"APR",B450=5,"MAY",B450=6,"JUN",B450=7,"JUL",B450=8,"AUG",Table_13[[#This Row],[Month]]=9,"SEPT",B450=10,"OCT",B450=11,"NOV",B450=12,"DEC")</f>
        <v>APR</v>
      </c>
      <c r="D450" s="2" t="s">
        <v>18</v>
      </c>
      <c r="E450" s="2" t="s">
        <v>26</v>
      </c>
      <c r="F450" s="2" t="s">
        <v>23</v>
      </c>
      <c r="G450" s="2" t="s">
        <v>20</v>
      </c>
      <c r="H450" s="2" t="s">
        <v>34</v>
      </c>
      <c r="I450" s="2" t="s">
        <v>16</v>
      </c>
      <c r="J450" s="15">
        <v>320000</v>
      </c>
      <c r="K450" s="2">
        <v>2</v>
      </c>
      <c r="L450" s="2" t="s">
        <v>28</v>
      </c>
      <c r="M450" s="12">
        <f t="shared" si="9"/>
        <v>256000</v>
      </c>
      <c r="N450" s="10">
        <f>PRODUCT(Table_13[[#This Row],[Unit Price]],Table_13[[#This Row],[Quantity]])</f>
        <v>640000</v>
      </c>
      <c r="O450" s="16">
        <f>PRODUCT(Table_13[[#This Row],[Cost Price]],Table_13[[#This Row],[Quantity]])</f>
        <v>512000</v>
      </c>
      <c r="P450" s="27">
        <f t="shared" ref="P450:P513" si="17">N450-O450</f>
        <v>128000</v>
      </c>
    </row>
    <row r="451" spans="1:16" x14ac:dyDescent="0.2">
      <c r="A451" s="33">
        <v>46125</v>
      </c>
      <c r="B451" s="30">
        <f t="shared" si="16"/>
        <v>4</v>
      </c>
      <c r="C451" s="30" t="str">
        <f>_xlfn.IFS(Table_13[[#This Row],[Month]]=1,"JAN",Table_13[[#This Row],[Month]]=2,"FEB",B451=3,"MAR",B451=4,"APR",B451=5,"MAY",B451=6,"JUN",B451=7,"JUL",B451=8,"AUG",Table_13[[#This Row],[Month]]=9,"SEPT",B451=10,"OCT",B451=11,"NOV",B451=12,"DEC")</f>
        <v>APR</v>
      </c>
      <c r="D451" s="2" t="s">
        <v>29</v>
      </c>
      <c r="E451" s="2" t="s">
        <v>12</v>
      </c>
      <c r="F451" s="2" t="s">
        <v>13</v>
      </c>
      <c r="G451" s="2" t="s">
        <v>20</v>
      </c>
      <c r="H451" s="2" t="s">
        <v>30</v>
      </c>
      <c r="I451" s="2" t="s">
        <v>31</v>
      </c>
      <c r="J451" s="15">
        <v>300000</v>
      </c>
      <c r="K451" s="2">
        <v>10</v>
      </c>
      <c r="L451" s="2" t="s">
        <v>37</v>
      </c>
      <c r="M451" s="12">
        <f t="shared" si="9"/>
        <v>240000</v>
      </c>
      <c r="N451" s="10">
        <f>PRODUCT(Table_13[[#This Row],[Unit Price]],Table_13[[#This Row],[Quantity]])</f>
        <v>3000000</v>
      </c>
      <c r="O451" s="16">
        <f>PRODUCT(Table_13[[#This Row],[Cost Price]],Table_13[[#This Row],[Quantity]])</f>
        <v>2400000</v>
      </c>
      <c r="P451" s="27">
        <f t="shared" si="17"/>
        <v>600000</v>
      </c>
    </row>
    <row r="452" spans="1:16" x14ac:dyDescent="0.2">
      <c r="A452" s="33">
        <v>46126</v>
      </c>
      <c r="B452" s="30">
        <f t="shared" si="16"/>
        <v>4</v>
      </c>
      <c r="C452" s="30" t="str">
        <f>_xlfn.IFS(Table_13[[#This Row],[Month]]=1,"JAN",Table_13[[#This Row],[Month]]=2,"FEB",B452=3,"MAR",B452=4,"APR",B452=5,"MAY",B452=6,"JUN",B452=7,"JUL",B452=8,"AUG",Table_13[[#This Row],[Month]]=9,"SEPT",B452=10,"OCT",B452=11,"NOV",B452=12,"DEC")</f>
        <v>APR</v>
      </c>
      <c r="D452" s="2" t="s">
        <v>18</v>
      </c>
      <c r="E452" s="2" t="s">
        <v>12</v>
      </c>
      <c r="F452" s="2" t="s">
        <v>13</v>
      </c>
      <c r="G452" s="2" t="s">
        <v>14</v>
      </c>
      <c r="H452" s="2" t="s">
        <v>40</v>
      </c>
      <c r="I452" s="2" t="s">
        <v>31</v>
      </c>
      <c r="J452" s="15">
        <v>250000</v>
      </c>
      <c r="K452" s="2">
        <v>5</v>
      </c>
      <c r="L452" s="2" t="s">
        <v>37</v>
      </c>
      <c r="M452" s="12">
        <f t="shared" si="9"/>
        <v>200000</v>
      </c>
      <c r="N452" s="10">
        <f>PRODUCT(Table_13[[#This Row],[Unit Price]],Table_13[[#This Row],[Quantity]])</f>
        <v>1250000</v>
      </c>
      <c r="O452" s="16">
        <f>PRODUCT(Table_13[[#This Row],[Cost Price]],Table_13[[#This Row],[Quantity]])</f>
        <v>1000000</v>
      </c>
      <c r="P452" s="27">
        <f t="shared" si="17"/>
        <v>250000</v>
      </c>
    </row>
    <row r="453" spans="1:16" x14ac:dyDescent="0.2">
      <c r="A453" s="33">
        <v>46127</v>
      </c>
      <c r="B453" s="30">
        <f t="shared" si="16"/>
        <v>4</v>
      </c>
      <c r="C453" s="30" t="str">
        <f>_xlfn.IFS(Table_13[[#This Row],[Month]]=1,"JAN",Table_13[[#This Row],[Month]]=2,"FEB",B453=3,"MAR",B453=4,"APR",B453=5,"MAY",B453=6,"JUN",B453=7,"JUL",B453=8,"AUG",Table_13[[#This Row],[Month]]=9,"SEPT",B453=10,"OCT",B453=11,"NOV",B453=12,"DEC")</f>
        <v>APR</v>
      </c>
      <c r="D453" s="2" t="s">
        <v>25</v>
      </c>
      <c r="E453" s="2" t="s">
        <v>26</v>
      </c>
      <c r="F453" s="2" t="s">
        <v>23</v>
      </c>
      <c r="G453" s="2" t="s">
        <v>20</v>
      </c>
      <c r="H453" s="2" t="s">
        <v>40</v>
      </c>
      <c r="I453" s="2" t="s">
        <v>31</v>
      </c>
      <c r="J453" s="15">
        <v>250000</v>
      </c>
      <c r="K453" s="2">
        <v>2</v>
      </c>
      <c r="L453" s="2" t="s">
        <v>24</v>
      </c>
      <c r="M453" s="12">
        <f t="shared" si="9"/>
        <v>200000</v>
      </c>
      <c r="N453" s="10">
        <f>PRODUCT(Table_13[[#This Row],[Unit Price]],Table_13[[#This Row],[Quantity]])</f>
        <v>500000</v>
      </c>
      <c r="O453" s="16">
        <f>PRODUCT(Table_13[[#This Row],[Cost Price]],Table_13[[#This Row],[Quantity]])</f>
        <v>400000</v>
      </c>
      <c r="P453" s="27">
        <f t="shared" si="17"/>
        <v>100000</v>
      </c>
    </row>
    <row r="454" spans="1:16" x14ac:dyDescent="0.2">
      <c r="A454" s="33">
        <v>46128</v>
      </c>
      <c r="B454" s="30">
        <f t="shared" si="16"/>
        <v>4</v>
      </c>
      <c r="C454" s="30" t="str">
        <f>_xlfn.IFS(Table_13[[#This Row],[Month]]=1,"JAN",Table_13[[#This Row],[Month]]=2,"FEB",B454=3,"MAR",B454=4,"APR",B454=5,"MAY",B454=6,"JUN",B454=7,"JUL",B454=8,"AUG",Table_13[[#This Row],[Month]]=9,"SEPT",B454=10,"OCT",B454=11,"NOV",B454=12,"DEC")</f>
        <v>APR</v>
      </c>
      <c r="D454" s="2" t="s">
        <v>29</v>
      </c>
      <c r="E454" s="2" t="s">
        <v>19</v>
      </c>
      <c r="F454" s="2" t="s">
        <v>13</v>
      </c>
      <c r="G454" s="2" t="s">
        <v>20</v>
      </c>
      <c r="H454" s="2" t="s">
        <v>33</v>
      </c>
      <c r="I454" s="2" t="s">
        <v>22</v>
      </c>
      <c r="J454" s="15">
        <v>180000</v>
      </c>
      <c r="K454" s="2">
        <v>1</v>
      </c>
      <c r="L454" s="2" t="s">
        <v>17</v>
      </c>
      <c r="M454" s="12">
        <f t="shared" si="9"/>
        <v>144000</v>
      </c>
      <c r="N454" s="10">
        <f>PRODUCT(Table_13[[#This Row],[Unit Price]],Table_13[[#This Row],[Quantity]])</f>
        <v>180000</v>
      </c>
      <c r="O454" s="16">
        <f>PRODUCT(Table_13[[#This Row],[Cost Price]],Table_13[[#This Row],[Quantity]])</f>
        <v>144000</v>
      </c>
      <c r="P454" s="27">
        <f t="shared" si="17"/>
        <v>36000</v>
      </c>
    </row>
    <row r="455" spans="1:16" x14ac:dyDescent="0.2">
      <c r="A455" s="33">
        <v>46129</v>
      </c>
      <c r="B455" s="30">
        <f t="shared" si="16"/>
        <v>4</v>
      </c>
      <c r="C455" s="30" t="str">
        <f>_xlfn.IFS(Table_13[[#This Row],[Month]]=1,"JAN",Table_13[[#This Row],[Month]]=2,"FEB",B455=3,"MAR",B455=4,"APR",B455=5,"MAY",B455=6,"JUN",B455=7,"JUL",B455=8,"AUG",Table_13[[#This Row],[Month]]=9,"SEPT",B455=10,"OCT",B455=11,"NOV",B455=12,"DEC")</f>
        <v>APR</v>
      </c>
      <c r="D455" s="2" t="s">
        <v>18</v>
      </c>
      <c r="E455" s="2" t="s">
        <v>19</v>
      </c>
      <c r="F455" s="2" t="s">
        <v>13</v>
      </c>
      <c r="G455" s="2" t="s">
        <v>20</v>
      </c>
      <c r="H455" s="2" t="s">
        <v>34</v>
      </c>
      <c r="I455" s="2" t="s">
        <v>16</v>
      </c>
      <c r="J455" s="15">
        <v>320000</v>
      </c>
      <c r="K455" s="2">
        <v>10</v>
      </c>
      <c r="L455" s="2" t="s">
        <v>35</v>
      </c>
      <c r="M455" s="12">
        <f t="shared" si="9"/>
        <v>256000</v>
      </c>
      <c r="N455" s="10">
        <f>PRODUCT(Table_13[[#This Row],[Unit Price]],Table_13[[#This Row],[Quantity]])</f>
        <v>3200000</v>
      </c>
      <c r="O455" s="16">
        <f>PRODUCT(Table_13[[#This Row],[Cost Price]],Table_13[[#This Row],[Quantity]])</f>
        <v>2560000</v>
      </c>
      <c r="P455" s="27">
        <f t="shared" si="17"/>
        <v>640000</v>
      </c>
    </row>
    <row r="456" spans="1:16" x14ac:dyDescent="0.2">
      <c r="A456" s="33">
        <v>46130</v>
      </c>
      <c r="B456" s="30">
        <f t="shared" si="16"/>
        <v>4</v>
      </c>
      <c r="C456" s="30" t="str">
        <f>_xlfn.IFS(Table_13[[#This Row],[Month]]=1,"JAN",Table_13[[#This Row],[Month]]=2,"FEB",B456=3,"MAR",B456=4,"APR",B456=5,"MAY",B456=6,"JUN",B456=7,"JUL",B456=8,"AUG",Table_13[[#This Row],[Month]]=9,"SEPT",B456=10,"OCT",B456=11,"NOV",B456=12,"DEC")</f>
        <v>APR</v>
      </c>
      <c r="D456" s="2" t="s">
        <v>25</v>
      </c>
      <c r="E456" s="2" t="s">
        <v>26</v>
      </c>
      <c r="F456" s="2" t="s">
        <v>23</v>
      </c>
      <c r="G456" s="2" t="s">
        <v>20</v>
      </c>
      <c r="H456" s="2" t="s">
        <v>36</v>
      </c>
      <c r="I456" s="2" t="s">
        <v>31</v>
      </c>
      <c r="J456" s="15">
        <v>150000</v>
      </c>
      <c r="K456" s="2">
        <v>2</v>
      </c>
      <c r="L456" s="2" t="s">
        <v>17</v>
      </c>
      <c r="M456" s="12">
        <f t="shared" si="9"/>
        <v>120000</v>
      </c>
      <c r="N456" s="10">
        <f>PRODUCT(Table_13[[#This Row],[Unit Price]],Table_13[[#This Row],[Quantity]])</f>
        <v>300000</v>
      </c>
      <c r="O456" s="16">
        <f>PRODUCT(Table_13[[#This Row],[Cost Price]],Table_13[[#This Row],[Quantity]])</f>
        <v>240000</v>
      </c>
      <c r="P456" s="27">
        <f t="shared" si="17"/>
        <v>60000</v>
      </c>
    </row>
    <row r="457" spans="1:16" x14ac:dyDescent="0.2">
      <c r="A457" s="33">
        <v>46131</v>
      </c>
      <c r="B457" s="30">
        <f t="shared" si="16"/>
        <v>4</v>
      </c>
      <c r="C457" s="30" t="str">
        <f>_xlfn.IFS(Table_13[[#This Row],[Month]]=1,"JAN",Table_13[[#This Row],[Month]]=2,"FEB",B457=3,"MAR",B457=4,"APR",B457=5,"MAY",B457=6,"JUN",B457=7,"JUL",B457=8,"AUG",Table_13[[#This Row],[Month]]=9,"SEPT",B457=10,"OCT",B457=11,"NOV",B457=12,"DEC")</f>
        <v>APR</v>
      </c>
      <c r="D457" s="2" t="s">
        <v>18</v>
      </c>
      <c r="E457" s="2" t="s">
        <v>19</v>
      </c>
      <c r="F457" s="2" t="s">
        <v>13</v>
      </c>
      <c r="G457" s="2" t="s">
        <v>20</v>
      </c>
      <c r="H457" s="2" t="s">
        <v>33</v>
      </c>
      <c r="I457" s="2" t="s">
        <v>22</v>
      </c>
      <c r="J457" s="15">
        <v>180000</v>
      </c>
      <c r="K457" s="2">
        <v>10</v>
      </c>
      <c r="L457" s="2" t="s">
        <v>28</v>
      </c>
      <c r="M457" s="12">
        <f t="shared" si="9"/>
        <v>144000</v>
      </c>
      <c r="N457" s="10">
        <f>PRODUCT(Table_13[[#This Row],[Unit Price]],Table_13[[#This Row],[Quantity]])</f>
        <v>1800000</v>
      </c>
      <c r="O457" s="16">
        <f>PRODUCT(Table_13[[#This Row],[Cost Price]],Table_13[[#This Row],[Quantity]])</f>
        <v>1440000</v>
      </c>
      <c r="P457" s="27">
        <f t="shared" si="17"/>
        <v>360000</v>
      </c>
    </row>
    <row r="458" spans="1:16" x14ac:dyDescent="0.2">
      <c r="A458" s="33">
        <v>46132</v>
      </c>
      <c r="B458" s="30">
        <f t="shared" si="16"/>
        <v>4</v>
      </c>
      <c r="C458" s="30" t="str">
        <f>_xlfn.IFS(Table_13[[#This Row],[Month]]=1,"JAN",Table_13[[#This Row],[Month]]=2,"FEB",B458=3,"MAR",B458=4,"APR",B458=5,"MAY",B458=6,"JUN",B458=7,"JUL",B458=8,"AUG",Table_13[[#This Row],[Month]]=9,"SEPT",B458=10,"OCT",B458=11,"NOV",B458=12,"DEC")</f>
        <v>APR</v>
      </c>
      <c r="D458" s="2" t="s">
        <v>11</v>
      </c>
      <c r="E458" s="2" t="s">
        <v>19</v>
      </c>
      <c r="F458" s="2" t="s">
        <v>13</v>
      </c>
      <c r="G458" s="2" t="s">
        <v>14</v>
      </c>
      <c r="H458" s="2" t="s">
        <v>36</v>
      </c>
      <c r="I458" s="2" t="s">
        <v>31</v>
      </c>
      <c r="J458" s="15">
        <v>150000</v>
      </c>
      <c r="K458" s="2">
        <v>2</v>
      </c>
      <c r="L458" s="2" t="s">
        <v>28</v>
      </c>
      <c r="M458" s="12">
        <f t="shared" si="9"/>
        <v>120000</v>
      </c>
      <c r="N458" s="10">
        <f>PRODUCT(Table_13[[#This Row],[Unit Price]],Table_13[[#This Row],[Quantity]])</f>
        <v>300000</v>
      </c>
      <c r="O458" s="16">
        <f>PRODUCT(Table_13[[#This Row],[Cost Price]],Table_13[[#This Row],[Quantity]])</f>
        <v>240000</v>
      </c>
      <c r="P458" s="27">
        <f t="shared" si="17"/>
        <v>60000</v>
      </c>
    </row>
    <row r="459" spans="1:16" x14ac:dyDescent="0.2">
      <c r="A459" s="33">
        <v>46133</v>
      </c>
      <c r="B459" s="30">
        <f t="shared" si="16"/>
        <v>4</v>
      </c>
      <c r="C459" s="30" t="str">
        <f>_xlfn.IFS(Table_13[[#This Row],[Month]]=1,"JAN",Table_13[[#This Row],[Month]]=2,"FEB",B459=3,"MAR",B459=4,"APR",B459=5,"MAY",B459=6,"JUN",B459=7,"JUL",B459=8,"AUG",Table_13[[#This Row],[Month]]=9,"SEPT",B459=10,"OCT",B459=11,"NOV",B459=12,"DEC")</f>
        <v>APR</v>
      </c>
      <c r="D459" s="2" t="s">
        <v>25</v>
      </c>
      <c r="E459" s="2" t="s">
        <v>26</v>
      </c>
      <c r="F459" s="2" t="s">
        <v>23</v>
      </c>
      <c r="G459" s="2" t="s">
        <v>20</v>
      </c>
      <c r="H459" s="2" t="s">
        <v>27</v>
      </c>
      <c r="I459" s="2" t="s">
        <v>22</v>
      </c>
      <c r="J459" s="15">
        <v>60000</v>
      </c>
      <c r="K459" s="2">
        <v>10</v>
      </c>
      <c r="L459" s="2" t="s">
        <v>28</v>
      </c>
      <c r="M459" s="12">
        <f t="shared" si="9"/>
        <v>48000</v>
      </c>
      <c r="N459" s="10">
        <f>PRODUCT(Table_13[[#This Row],[Unit Price]],Table_13[[#This Row],[Quantity]])</f>
        <v>600000</v>
      </c>
      <c r="O459" s="16">
        <f>PRODUCT(Table_13[[#This Row],[Cost Price]],Table_13[[#This Row],[Quantity]])</f>
        <v>480000</v>
      </c>
      <c r="P459" s="27">
        <f t="shared" si="17"/>
        <v>120000</v>
      </c>
    </row>
    <row r="460" spans="1:16" x14ac:dyDescent="0.2">
      <c r="A460" s="33">
        <v>46134</v>
      </c>
      <c r="B460" s="30">
        <f t="shared" si="16"/>
        <v>4</v>
      </c>
      <c r="C460" s="30" t="str">
        <f>_xlfn.IFS(Table_13[[#This Row],[Month]]=1,"JAN",Table_13[[#This Row],[Month]]=2,"FEB",B460=3,"MAR",B460=4,"APR",B460=5,"MAY",B460=6,"JUN",B460=7,"JUL",B460=8,"AUG",Table_13[[#This Row],[Month]]=9,"SEPT",B460=10,"OCT",B460=11,"NOV",B460=12,"DEC")</f>
        <v>APR</v>
      </c>
      <c r="D460" s="2" t="s">
        <v>11</v>
      </c>
      <c r="E460" s="2" t="s">
        <v>32</v>
      </c>
      <c r="F460" s="2" t="s">
        <v>23</v>
      </c>
      <c r="G460" s="2" t="s">
        <v>14</v>
      </c>
      <c r="H460" s="2" t="s">
        <v>41</v>
      </c>
      <c r="I460" s="2" t="s">
        <v>22</v>
      </c>
      <c r="J460" s="15">
        <v>220000</v>
      </c>
      <c r="K460" s="2">
        <v>4</v>
      </c>
      <c r="L460" s="2" t="s">
        <v>35</v>
      </c>
      <c r="M460" s="12">
        <f t="shared" si="9"/>
        <v>176000</v>
      </c>
      <c r="N460" s="10">
        <f>PRODUCT(Table_13[[#This Row],[Unit Price]],Table_13[[#This Row],[Quantity]])</f>
        <v>880000</v>
      </c>
      <c r="O460" s="16">
        <f>PRODUCT(Table_13[[#This Row],[Cost Price]],Table_13[[#This Row],[Quantity]])</f>
        <v>704000</v>
      </c>
      <c r="P460" s="27">
        <f t="shared" si="17"/>
        <v>176000</v>
      </c>
    </row>
    <row r="461" spans="1:16" x14ac:dyDescent="0.2">
      <c r="A461" s="33">
        <v>46135</v>
      </c>
      <c r="B461" s="30">
        <f t="shared" si="16"/>
        <v>4</v>
      </c>
      <c r="C461" s="30" t="str">
        <f>_xlfn.IFS(Table_13[[#This Row],[Month]]=1,"JAN",Table_13[[#This Row],[Month]]=2,"FEB",B461=3,"MAR",B461=4,"APR",B461=5,"MAY",B461=6,"JUN",B461=7,"JUL",B461=8,"AUG",Table_13[[#This Row],[Month]]=9,"SEPT",B461=10,"OCT",B461=11,"NOV",B461=12,"DEC")</f>
        <v>APR</v>
      </c>
      <c r="D461" s="2" t="s">
        <v>25</v>
      </c>
      <c r="E461" s="2" t="s">
        <v>19</v>
      </c>
      <c r="F461" s="2" t="s">
        <v>13</v>
      </c>
      <c r="G461" s="2" t="s">
        <v>14</v>
      </c>
      <c r="H461" s="2" t="s">
        <v>27</v>
      </c>
      <c r="I461" s="2" t="s">
        <v>22</v>
      </c>
      <c r="J461" s="15">
        <v>60000</v>
      </c>
      <c r="K461" s="2">
        <v>5</v>
      </c>
      <c r="L461" s="2" t="s">
        <v>35</v>
      </c>
      <c r="M461" s="12">
        <f t="shared" si="9"/>
        <v>48000</v>
      </c>
      <c r="N461" s="10">
        <f>PRODUCT(Table_13[[#This Row],[Unit Price]],Table_13[[#This Row],[Quantity]])</f>
        <v>300000</v>
      </c>
      <c r="O461" s="16">
        <f>PRODUCT(Table_13[[#This Row],[Cost Price]],Table_13[[#This Row],[Quantity]])</f>
        <v>240000</v>
      </c>
      <c r="P461" s="27">
        <f t="shared" si="17"/>
        <v>60000</v>
      </c>
    </row>
    <row r="462" spans="1:16" x14ac:dyDescent="0.2">
      <c r="A462" s="33">
        <v>46136</v>
      </c>
      <c r="B462" s="30">
        <f t="shared" si="16"/>
        <v>4</v>
      </c>
      <c r="C462" s="30" t="str">
        <f>_xlfn.IFS(Table_13[[#This Row],[Month]]=1,"JAN",Table_13[[#This Row],[Month]]=2,"FEB",B462=3,"MAR",B462=4,"APR",B462=5,"MAY",B462=6,"JUN",B462=7,"JUL",B462=8,"AUG",Table_13[[#This Row],[Month]]=9,"SEPT",B462=10,"OCT",B462=11,"NOV",B462=12,"DEC")</f>
        <v>APR</v>
      </c>
      <c r="D462" s="2" t="s">
        <v>25</v>
      </c>
      <c r="E462" s="2" t="s">
        <v>32</v>
      </c>
      <c r="F462" s="2" t="s">
        <v>23</v>
      </c>
      <c r="G462" s="2" t="s">
        <v>14</v>
      </c>
      <c r="H462" s="2" t="s">
        <v>40</v>
      </c>
      <c r="I462" s="2" t="s">
        <v>31</v>
      </c>
      <c r="J462" s="15">
        <v>250000</v>
      </c>
      <c r="K462" s="2">
        <v>3</v>
      </c>
      <c r="L462" s="2" t="s">
        <v>24</v>
      </c>
      <c r="M462" s="12">
        <f t="shared" si="9"/>
        <v>200000</v>
      </c>
      <c r="N462" s="10">
        <f>PRODUCT(Table_13[[#This Row],[Unit Price]],Table_13[[#This Row],[Quantity]])</f>
        <v>750000</v>
      </c>
      <c r="O462" s="16">
        <f>PRODUCT(Table_13[[#This Row],[Cost Price]],Table_13[[#This Row],[Quantity]])</f>
        <v>600000</v>
      </c>
      <c r="P462" s="27">
        <f t="shared" si="17"/>
        <v>150000</v>
      </c>
    </row>
    <row r="463" spans="1:16" x14ac:dyDescent="0.2">
      <c r="A463" s="33">
        <v>46137</v>
      </c>
      <c r="B463" s="30">
        <f t="shared" si="16"/>
        <v>4</v>
      </c>
      <c r="C463" s="30" t="str">
        <f>_xlfn.IFS(Table_13[[#This Row],[Month]]=1,"JAN",Table_13[[#This Row],[Month]]=2,"FEB",B463=3,"MAR",B463=4,"APR",B463=5,"MAY",B463=6,"JUN",B463=7,"JUL",B463=8,"AUG",Table_13[[#This Row],[Month]]=9,"SEPT",B463=10,"OCT",B463=11,"NOV",B463=12,"DEC")</f>
        <v>APR</v>
      </c>
      <c r="D463" s="2" t="s">
        <v>25</v>
      </c>
      <c r="E463" s="2" t="s">
        <v>19</v>
      </c>
      <c r="F463" s="2" t="s">
        <v>23</v>
      </c>
      <c r="G463" s="2" t="s">
        <v>20</v>
      </c>
      <c r="H463" s="2" t="s">
        <v>36</v>
      </c>
      <c r="I463" s="2" t="s">
        <v>31</v>
      </c>
      <c r="J463" s="15">
        <v>150000</v>
      </c>
      <c r="K463" s="2">
        <v>1</v>
      </c>
      <c r="L463" s="2" t="s">
        <v>37</v>
      </c>
      <c r="M463" s="12">
        <f t="shared" si="9"/>
        <v>120000</v>
      </c>
      <c r="N463" s="10">
        <f>PRODUCT(Table_13[[#This Row],[Unit Price]],Table_13[[#This Row],[Quantity]])</f>
        <v>150000</v>
      </c>
      <c r="O463" s="16">
        <f>PRODUCT(Table_13[[#This Row],[Cost Price]],Table_13[[#This Row],[Quantity]])</f>
        <v>120000</v>
      </c>
      <c r="P463" s="27">
        <f t="shared" si="17"/>
        <v>30000</v>
      </c>
    </row>
    <row r="464" spans="1:16" x14ac:dyDescent="0.2">
      <c r="A464" s="33">
        <v>46138</v>
      </c>
      <c r="B464" s="30">
        <f t="shared" si="16"/>
        <v>4</v>
      </c>
      <c r="C464" s="30" t="str">
        <f>_xlfn.IFS(Table_13[[#This Row],[Month]]=1,"JAN",Table_13[[#This Row],[Month]]=2,"FEB",B464=3,"MAR",B464=4,"APR",B464=5,"MAY",B464=6,"JUN",B464=7,"JUL",B464=8,"AUG",Table_13[[#This Row],[Month]]=9,"SEPT",B464=10,"OCT",B464=11,"NOV",B464=12,"DEC")</f>
        <v>APR</v>
      </c>
      <c r="D464" s="2" t="s">
        <v>29</v>
      </c>
      <c r="E464" s="2" t="s">
        <v>32</v>
      </c>
      <c r="F464" s="2" t="s">
        <v>23</v>
      </c>
      <c r="G464" s="2" t="s">
        <v>20</v>
      </c>
      <c r="H464" s="2" t="s">
        <v>41</v>
      </c>
      <c r="I464" s="2" t="s">
        <v>22</v>
      </c>
      <c r="J464" s="15">
        <v>220000</v>
      </c>
      <c r="K464" s="2">
        <v>1</v>
      </c>
      <c r="L464" s="2" t="s">
        <v>24</v>
      </c>
      <c r="M464" s="12">
        <f t="shared" si="9"/>
        <v>176000</v>
      </c>
      <c r="N464" s="10">
        <f>PRODUCT(Table_13[[#This Row],[Unit Price]],Table_13[[#This Row],[Quantity]])</f>
        <v>220000</v>
      </c>
      <c r="O464" s="16">
        <f>PRODUCT(Table_13[[#This Row],[Cost Price]],Table_13[[#This Row],[Quantity]])</f>
        <v>176000</v>
      </c>
      <c r="P464" s="27">
        <f t="shared" si="17"/>
        <v>44000</v>
      </c>
    </row>
    <row r="465" spans="1:16" x14ac:dyDescent="0.2">
      <c r="A465" s="33">
        <v>46139</v>
      </c>
      <c r="B465" s="30">
        <f t="shared" si="16"/>
        <v>4</v>
      </c>
      <c r="C465" s="30" t="str">
        <f>_xlfn.IFS(Table_13[[#This Row],[Month]]=1,"JAN",Table_13[[#This Row],[Month]]=2,"FEB",B465=3,"MAR",B465=4,"APR",B465=5,"MAY",B465=6,"JUN",B465=7,"JUL",B465=8,"AUG",Table_13[[#This Row],[Month]]=9,"SEPT",B465=10,"OCT",B465=11,"NOV",B465=12,"DEC")</f>
        <v>APR</v>
      </c>
      <c r="D465" s="2" t="s">
        <v>18</v>
      </c>
      <c r="E465" s="2" t="s">
        <v>26</v>
      </c>
      <c r="F465" s="2" t="s">
        <v>13</v>
      </c>
      <c r="G465" s="2" t="s">
        <v>20</v>
      </c>
      <c r="H465" s="2" t="s">
        <v>40</v>
      </c>
      <c r="I465" s="2" t="s">
        <v>31</v>
      </c>
      <c r="J465" s="15">
        <v>250000</v>
      </c>
      <c r="K465" s="2">
        <v>6</v>
      </c>
      <c r="L465" s="2" t="s">
        <v>37</v>
      </c>
      <c r="M465" s="12">
        <f t="shared" si="9"/>
        <v>200000</v>
      </c>
      <c r="N465" s="10">
        <f>PRODUCT(Table_13[[#This Row],[Unit Price]],Table_13[[#This Row],[Quantity]])</f>
        <v>1500000</v>
      </c>
      <c r="O465" s="16">
        <f>PRODUCT(Table_13[[#This Row],[Cost Price]],Table_13[[#This Row],[Quantity]])</f>
        <v>1200000</v>
      </c>
      <c r="P465" s="27">
        <f t="shared" si="17"/>
        <v>300000</v>
      </c>
    </row>
    <row r="466" spans="1:16" x14ac:dyDescent="0.2">
      <c r="A466" s="33">
        <v>46140</v>
      </c>
      <c r="B466" s="30">
        <f t="shared" si="16"/>
        <v>4</v>
      </c>
      <c r="C466" s="30" t="str">
        <f>_xlfn.IFS(Table_13[[#This Row],[Month]]=1,"JAN",Table_13[[#This Row],[Month]]=2,"FEB",B466=3,"MAR",B466=4,"APR",B466=5,"MAY",B466=6,"JUN",B466=7,"JUL",B466=8,"AUG",Table_13[[#This Row],[Month]]=9,"SEPT",B466=10,"OCT",B466=11,"NOV",B466=12,"DEC")</f>
        <v>APR</v>
      </c>
      <c r="D466" s="2" t="s">
        <v>11</v>
      </c>
      <c r="E466" s="2" t="s">
        <v>32</v>
      </c>
      <c r="F466" s="2" t="s">
        <v>13</v>
      </c>
      <c r="G466" s="2" t="s">
        <v>20</v>
      </c>
      <c r="H466" s="2" t="s">
        <v>41</v>
      </c>
      <c r="I466" s="2" t="s">
        <v>22</v>
      </c>
      <c r="J466" s="15">
        <v>220000</v>
      </c>
      <c r="K466" s="2">
        <v>10</v>
      </c>
      <c r="L466" s="2" t="s">
        <v>35</v>
      </c>
      <c r="M466" s="12">
        <f t="shared" si="9"/>
        <v>176000</v>
      </c>
      <c r="N466" s="10">
        <f>PRODUCT(Table_13[[#This Row],[Unit Price]],Table_13[[#This Row],[Quantity]])</f>
        <v>2200000</v>
      </c>
      <c r="O466" s="16">
        <f>PRODUCT(Table_13[[#This Row],[Cost Price]],Table_13[[#This Row],[Quantity]])</f>
        <v>1760000</v>
      </c>
      <c r="P466" s="27">
        <f t="shared" si="17"/>
        <v>440000</v>
      </c>
    </row>
    <row r="467" spans="1:16" x14ac:dyDescent="0.2">
      <c r="A467" s="33">
        <v>46141</v>
      </c>
      <c r="B467" s="30">
        <f t="shared" si="16"/>
        <v>4</v>
      </c>
      <c r="C467" s="30" t="str">
        <f>_xlfn.IFS(Table_13[[#This Row],[Month]]=1,"JAN",Table_13[[#This Row],[Month]]=2,"FEB",B467=3,"MAR",B467=4,"APR",B467=5,"MAY",B467=6,"JUN",B467=7,"JUL",B467=8,"AUG",Table_13[[#This Row],[Month]]=9,"SEPT",B467=10,"OCT",B467=11,"NOV",B467=12,"DEC")</f>
        <v>APR</v>
      </c>
      <c r="D467" s="2" t="s">
        <v>18</v>
      </c>
      <c r="E467" s="2" t="s">
        <v>12</v>
      </c>
      <c r="F467" s="2" t="s">
        <v>13</v>
      </c>
      <c r="G467" s="2" t="s">
        <v>20</v>
      </c>
      <c r="H467" s="2" t="s">
        <v>33</v>
      </c>
      <c r="I467" s="2" t="s">
        <v>22</v>
      </c>
      <c r="J467" s="15">
        <v>180000</v>
      </c>
      <c r="K467" s="2">
        <v>10</v>
      </c>
      <c r="L467" s="2" t="s">
        <v>24</v>
      </c>
      <c r="M467" s="12">
        <f t="shared" si="9"/>
        <v>144000</v>
      </c>
      <c r="N467" s="10">
        <f>PRODUCT(Table_13[[#This Row],[Unit Price]],Table_13[[#This Row],[Quantity]])</f>
        <v>1800000</v>
      </c>
      <c r="O467" s="16">
        <f>PRODUCT(Table_13[[#This Row],[Cost Price]],Table_13[[#This Row],[Quantity]])</f>
        <v>1440000</v>
      </c>
      <c r="P467" s="27">
        <f t="shared" si="17"/>
        <v>360000</v>
      </c>
    </row>
    <row r="468" spans="1:16" x14ac:dyDescent="0.2">
      <c r="A468" s="33">
        <v>46142</v>
      </c>
      <c r="B468" s="30">
        <f t="shared" si="16"/>
        <v>4</v>
      </c>
      <c r="C468" s="30" t="str">
        <f>_xlfn.IFS(Table_13[[#This Row],[Month]]=1,"JAN",Table_13[[#This Row],[Month]]=2,"FEB",B468=3,"MAR",B468=4,"APR",B468=5,"MAY",B468=6,"JUN",B468=7,"JUL",B468=8,"AUG",Table_13[[#This Row],[Month]]=9,"SEPT",B468=10,"OCT",B468=11,"NOV",B468=12,"DEC")</f>
        <v>APR</v>
      </c>
      <c r="D468" s="2" t="s">
        <v>11</v>
      </c>
      <c r="E468" s="2" t="s">
        <v>12</v>
      </c>
      <c r="F468" s="2" t="s">
        <v>23</v>
      </c>
      <c r="G468" s="2" t="s">
        <v>14</v>
      </c>
      <c r="H468" s="2" t="s">
        <v>27</v>
      </c>
      <c r="I468" s="2" t="s">
        <v>22</v>
      </c>
      <c r="J468" s="15">
        <v>60000</v>
      </c>
      <c r="K468" s="2">
        <v>6</v>
      </c>
      <c r="L468" s="2" t="s">
        <v>39</v>
      </c>
      <c r="M468" s="12">
        <f t="shared" si="9"/>
        <v>48000</v>
      </c>
      <c r="N468" s="10">
        <f>PRODUCT(Table_13[[#This Row],[Unit Price]],Table_13[[#This Row],[Quantity]])</f>
        <v>360000</v>
      </c>
      <c r="O468" s="16">
        <f>PRODUCT(Table_13[[#This Row],[Cost Price]],Table_13[[#This Row],[Quantity]])</f>
        <v>288000</v>
      </c>
      <c r="P468" s="27">
        <f t="shared" si="17"/>
        <v>72000</v>
      </c>
    </row>
    <row r="469" spans="1:16" x14ac:dyDescent="0.2">
      <c r="A469" s="33">
        <v>46143</v>
      </c>
      <c r="B469" s="30">
        <f t="shared" si="16"/>
        <v>5</v>
      </c>
      <c r="C469" s="30" t="str">
        <f>_xlfn.IFS(Table_13[[#This Row],[Month]]=1,"JAN",Table_13[[#This Row],[Month]]=2,"FEB",B469=3,"MAR",B469=4,"APR",B469=5,"MAY",B469=6,"JUN",B469=7,"JUL",B469=8,"AUG",Table_13[[#This Row],[Month]]=9,"SEPT",B469=10,"OCT",B469=11,"NOV",B469=12,"DEC")</f>
        <v>MAY</v>
      </c>
      <c r="D469" s="2" t="s">
        <v>29</v>
      </c>
      <c r="E469" s="2" t="s">
        <v>26</v>
      </c>
      <c r="F469" s="2" t="s">
        <v>13</v>
      </c>
      <c r="G469" s="2" t="s">
        <v>20</v>
      </c>
      <c r="H469" s="2" t="s">
        <v>41</v>
      </c>
      <c r="I469" s="2" t="s">
        <v>22</v>
      </c>
      <c r="J469" s="15">
        <v>220000</v>
      </c>
      <c r="K469" s="2">
        <v>4</v>
      </c>
      <c r="L469" s="2" t="s">
        <v>24</v>
      </c>
      <c r="M469" s="12">
        <f t="shared" si="9"/>
        <v>176000</v>
      </c>
      <c r="N469" s="10">
        <f>PRODUCT(Table_13[[#This Row],[Unit Price]],Table_13[[#This Row],[Quantity]])</f>
        <v>880000</v>
      </c>
      <c r="O469" s="16">
        <f>PRODUCT(Table_13[[#This Row],[Cost Price]],Table_13[[#This Row],[Quantity]])</f>
        <v>704000</v>
      </c>
      <c r="P469" s="27">
        <f t="shared" si="17"/>
        <v>176000</v>
      </c>
    </row>
    <row r="470" spans="1:16" x14ac:dyDescent="0.2">
      <c r="A470" s="33">
        <v>46144</v>
      </c>
      <c r="B470" s="30">
        <f t="shared" si="16"/>
        <v>5</v>
      </c>
      <c r="C470" s="30" t="str">
        <f>_xlfn.IFS(Table_13[[#This Row],[Month]]=1,"JAN",Table_13[[#This Row],[Month]]=2,"FEB",B470=3,"MAR",B470=4,"APR",B470=5,"MAY",B470=6,"JUN",B470=7,"JUL",B470=8,"AUG",Table_13[[#This Row],[Month]]=9,"SEPT",B470=10,"OCT",B470=11,"NOV",B470=12,"DEC")</f>
        <v>MAY</v>
      </c>
      <c r="D470" s="2" t="s">
        <v>25</v>
      </c>
      <c r="E470" s="2" t="s">
        <v>32</v>
      </c>
      <c r="F470" s="2" t="s">
        <v>23</v>
      </c>
      <c r="G470" s="2" t="s">
        <v>14</v>
      </c>
      <c r="H470" s="2" t="s">
        <v>36</v>
      </c>
      <c r="I470" s="2" t="s">
        <v>31</v>
      </c>
      <c r="J470" s="15">
        <v>150000</v>
      </c>
      <c r="K470" s="2">
        <v>1</v>
      </c>
      <c r="L470" s="2" t="s">
        <v>24</v>
      </c>
      <c r="M470" s="12">
        <f t="shared" si="9"/>
        <v>120000</v>
      </c>
      <c r="N470" s="10">
        <f>PRODUCT(Table_13[[#This Row],[Unit Price]],Table_13[[#This Row],[Quantity]])</f>
        <v>150000</v>
      </c>
      <c r="O470" s="16">
        <f>PRODUCT(Table_13[[#This Row],[Cost Price]],Table_13[[#This Row],[Quantity]])</f>
        <v>120000</v>
      </c>
      <c r="P470" s="27">
        <f t="shared" si="17"/>
        <v>30000</v>
      </c>
    </row>
    <row r="471" spans="1:16" x14ac:dyDescent="0.2">
      <c r="A471" s="33">
        <v>46145</v>
      </c>
      <c r="B471" s="30">
        <f t="shared" si="16"/>
        <v>5</v>
      </c>
      <c r="C471" s="30" t="str">
        <f>_xlfn.IFS(Table_13[[#This Row],[Month]]=1,"JAN",Table_13[[#This Row],[Month]]=2,"FEB",B471=3,"MAR",B471=4,"APR",B471=5,"MAY",B471=6,"JUN",B471=7,"JUL",B471=8,"AUG",Table_13[[#This Row],[Month]]=9,"SEPT",B471=10,"OCT",B471=11,"NOV",B471=12,"DEC")</f>
        <v>MAY</v>
      </c>
      <c r="D471" s="2" t="s">
        <v>25</v>
      </c>
      <c r="E471" s="2" t="s">
        <v>26</v>
      </c>
      <c r="F471" s="2" t="s">
        <v>13</v>
      </c>
      <c r="G471" s="2" t="s">
        <v>20</v>
      </c>
      <c r="H471" s="2" t="s">
        <v>33</v>
      </c>
      <c r="I471" s="2" t="s">
        <v>22</v>
      </c>
      <c r="J471" s="15">
        <v>180000</v>
      </c>
      <c r="K471" s="2">
        <v>1</v>
      </c>
      <c r="L471" s="2" t="s">
        <v>28</v>
      </c>
      <c r="M471" s="12">
        <f t="shared" si="9"/>
        <v>144000</v>
      </c>
      <c r="N471" s="10">
        <f>PRODUCT(Table_13[[#This Row],[Unit Price]],Table_13[[#This Row],[Quantity]])</f>
        <v>180000</v>
      </c>
      <c r="O471" s="16">
        <f>PRODUCT(Table_13[[#This Row],[Cost Price]],Table_13[[#This Row],[Quantity]])</f>
        <v>144000</v>
      </c>
      <c r="P471" s="27">
        <f t="shared" si="17"/>
        <v>36000</v>
      </c>
    </row>
    <row r="472" spans="1:16" x14ac:dyDescent="0.2">
      <c r="A472" s="33">
        <v>46146</v>
      </c>
      <c r="B472" s="30">
        <f t="shared" si="16"/>
        <v>5</v>
      </c>
      <c r="C472" s="30" t="str">
        <f>_xlfn.IFS(Table_13[[#This Row],[Month]]=1,"JAN",Table_13[[#This Row],[Month]]=2,"FEB",B472=3,"MAR",B472=4,"APR",B472=5,"MAY",B472=6,"JUN",B472=7,"JUL",B472=8,"AUG",Table_13[[#This Row],[Month]]=9,"SEPT",B472=10,"OCT",B472=11,"NOV",B472=12,"DEC")</f>
        <v>MAY</v>
      </c>
      <c r="D472" s="2" t="s">
        <v>18</v>
      </c>
      <c r="E472" s="2" t="s">
        <v>32</v>
      </c>
      <c r="F472" s="2" t="s">
        <v>23</v>
      </c>
      <c r="G472" s="2" t="s">
        <v>20</v>
      </c>
      <c r="H472" s="2" t="s">
        <v>41</v>
      </c>
      <c r="I472" s="2" t="s">
        <v>22</v>
      </c>
      <c r="J472" s="15">
        <v>220000</v>
      </c>
      <c r="K472" s="2">
        <v>8</v>
      </c>
      <c r="L472" s="2" t="s">
        <v>28</v>
      </c>
      <c r="M472" s="12">
        <f t="shared" si="9"/>
        <v>176000</v>
      </c>
      <c r="N472" s="10">
        <f>PRODUCT(Table_13[[#This Row],[Unit Price]],Table_13[[#This Row],[Quantity]])</f>
        <v>1760000</v>
      </c>
      <c r="O472" s="16">
        <f>PRODUCT(Table_13[[#This Row],[Cost Price]],Table_13[[#This Row],[Quantity]])</f>
        <v>1408000</v>
      </c>
      <c r="P472" s="27">
        <f t="shared" si="17"/>
        <v>352000</v>
      </c>
    </row>
    <row r="473" spans="1:16" x14ac:dyDescent="0.2">
      <c r="A473" s="33">
        <v>46147</v>
      </c>
      <c r="B473" s="30">
        <f t="shared" si="16"/>
        <v>5</v>
      </c>
      <c r="C473" s="30" t="str">
        <f>_xlfn.IFS(Table_13[[#This Row],[Month]]=1,"JAN",Table_13[[#This Row],[Month]]=2,"FEB",B473=3,"MAR",B473=4,"APR",B473=5,"MAY",B473=6,"JUN",B473=7,"JUL",B473=8,"AUG",Table_13[[#This Row],[Month]]=9,"SEPT",B473=10,"OCT",B473=11,"NOV",B473=12,"DEC")</f>
        <v>MAY</v>
      </c>
      <c r="D473" s="2" t="s">
        <v>11</v>
      </c>
      <c r="E473" s="2" t="s">
        <v>19</v>
      </c>
      <c r="F473" s="2" t="s">
        <v>13</v>
      </c>
      <c r="G473" s="2" t="s">
        <v>20</v>
      </c>
      <c r="H473" s="2" t="s">
        <v>40</v>
      </c>
      <c r="I473" s="2" t="s">
        <v>31</v>
      </c>
      <c r="J473" s="15">
        <v>250000</v>
      </c>
      <c r="K473" s="2">
        <v>3</v>
      </c>
      <c r="L473" s="2" t="s">
        <v>24</v>
      </c>
      <c r="M473" s="12">
        <f t="shared" si="9"/>
        <v>200000</v>
      </c>
      <c r="N473" s="10">
        <f>PRODUCT(Table_13[[#This Row],[Unit Price]],Table_13[[#This Row],[Quantity]])</f>
        <v>750000</v>
      </c>
      <c r="O473" s="16">
        <f>PRODUCT(Table_13[[#This Row],[Cost Price]],Table_13[[#This Row],[Quantity]])</f>
        <v>600000</v>
      </c>
      <c r="P473" s="27">
        <f t="shared" si="17"/>
        <v>150000</v>
      </c>
    </row>
    <row r="474" spans="1:16" x14ac:dyDescent="0.2">
      <c r="A474" s="33">
        <v>46148</v>
      </c>
      <c r="B474" s="30">
        <f t="shared" si="16"/>
        <v>5</v>
      </c>
      <c r="C474" s="30" t="str">
        <f>_xlfn.IFS(Table_13[[#This Row],[Month]]=1,"JAN",Table_13[[#This Row],[Month]]=2,"FEB",B474=3,"MAR",B474=4,"APR",B474=5,"MAY",B474=6,"JUN",B474=7,"JUL",B474=8,"AUG",Table_13[[#This Row],[Month]]=9,"SEPT",B474=10,"OCT",B474=11,"NOV",B474=12,"DEC")</f>
        <v>MAY</v>
      </c>
      <c r="D474" s="2" t="s">
        <v>29</v>
      </c>
      <c r="E474" s="2" t="s">
        <v>19</v>
      </c>
      <c r="F474" s="2" t="s">
        <v>23</v>
      </c>
      <c r="G474" s="2" t="s">
        <v>20</v>
      </c>
      <c r="H474" s="2" t="s">
        <v>27</v>
      </c>
      <c r="I474" s="2" t="s">
        <v>22</v>
      </c>
      <c r="J474" s="15">
        <v>60000</v>
      </c>
      <c r="K474" s="2">
        <v>1</v>
      </c>
      <c r="L474" s="2" t="s">
        <v>35</v>
      </c>
      <c r="M474" s="12">
        <f t="shared" si="9"/>
        <v>48000</v>
      </c>
      <c r="N474" s="10">
        <f>PRODUCT(Table_13[[#This Row],[Unit Price]],Table_13[[#This Row],[Quantity]])</f>
        <v>60000</v>
      </c>
      <c r="O474" s="16">
        <f>PRODUCT(Table_13[[#This Row],[Cost Price]],Table_13[[#This Row],[Quantity]])</f>
        <v>48000</v>
      </c>
      <c r="P474" s="27">
        <f t="shared" si="17"/>
        <v>12000</v>
      </c>
    </row>
    <row r="475" spans="1:16" x14ac:dyDescent="0.2">
      <c r="A475" s="33">
        <v>46149</v>
      </c>
      <c r="B475" s="30">
        <f t="shared" si="16"/>
        <v>5</v>
      </c>
      <c r="C475" s="30" t="str">
        <f>_xlfn.IFS(Table_13[[#This Row],[Month]]=1,"JAN",Table_13[[#This Row],[Month]]=2,"FEB",B475=3,"MAR",B475=4,"APR",B475=5,"MAY",B475=6,"JUN",B475=7,"JUL",B475=8,"AUG",Table_13[[#This Row],[Month]]=9,"SEPT",B475=10,"OCT",B475=11,"NOV",B475=12,"DEC")</f>
        <v>MAY</v>
      </c>
      <c r="D475" s="2" t="s">
        <v>18</v>
      </c>
      <c r="E475" s="2" t="s">
        <v>32</v>
      </c>
      <c r="F475" s="2" t="s">
        <v>13</v>
      </c>
      <c r="G475" s="2" t="s">
        <v>20</v>
      </c>
      <c r="H475" s="2" t="s">
        <v>34</v>
      </c>
      <c r="I475" s="2" t="s">
        <v>16</v>
      </c>
      <c r="J475" s="15">
        <v>320000</v>
      </c>
      <c r="K475" s="2">
        <v>4</v>
      </c>
      <c r="L475" s="2" t="s">
        <v>17</v>
      </c>
      <c r="M475" s="12">
        <f t="shared" si="9"/>
        <v>256000</v>
      </c>
      <c r="N475" s="10">
        <f>PRODUCT(Table_13[[#This Row],[Unit Price]],Table_13[[#This Row],[Quantity]])</f>
        <v>1280000</v>
      </c>
      <c r="O475" s="16">
        <f>PRODUCT(Table_13[[#This Row],[Cost Price]],Table_13[[#This Row],[Quantity]])</f>
        <v>1024000</v>
      </c>
      <c r="P475" s="27">
        <f t="shared" si="17"/>
        <v>256000</v>
      </c>
    </row>
    <row r="476" spans="1:16" x14ac:dyDescent="0.2">
      <c r="A476" s="33">
        <v>46150</v>
      </c>
      <c r="B476" s="30">
        <f t="shared" si="16"/>
        <v>5</v>
      </c>
      <c r="C476" s="30" t="str">
        <f>_xlfn.IFS(Table_13[[#This Row],[Month]]=1,"JAN",Table_13[[#This Row],[Month]]=2,"FEB",B476=3,"MAR",B476=4,"APR",B476=5,"MAY",B476=6,"JUN",B476=7,"JUL",B476=8,"AUG",Table_13[[#This Row],[Month]]=9,"SEPT",B476=10,"OCT",B476=11,"NOV",B476=12,"DEC")</f>
        <v>MAY</v>
      </c>
      <c r="D476" s="2" t="s">
        <v>25</v>
      </c>
      <c r="E476" s="2" t="s">
        <v>26</v>
      </c>
      <c r="F476" s="2" t="s">
        <v>23</v>
      </c>
      <c r="G476" s="2" t="s">
        <v>20</v>
      </c>
      <c r="H476" s="2" t="s">
        <v>38</v>
      </c>
      <c r="I476" s="2" t="s">
        <v>31</v>
      </c>
      <c r="J476" s="15">
        <v>420000</v>
      </c>
      <c r="K476" s="2">
        <v>8</v>
      </c>
      <c r="L476" s="2" t="s">
        <v>24</v>
      </c>
      <c r="M476" s="12">
        <f t="shared" si="9"/>
        <v>336000</v>
      </c>
      <c r="N476" s="10">
        <f>PRODUCT(Table_13[[#This Row],[Unit Price]],Table_13[[#This Row],[Quantity]])</f>
        <v>3360000</v>
      </c>
      <c r="O476" s="16">
        <f>PRODUCT(Table_13[[#This Row],[Cost Price]],Table_13[[#This Row],[Quantity]])</f>
        <v>2688000</v>
      </c>
      <c r="P476" s="27">
        <f t="shared" si="17"/>
        <v>672000</v>
      </c>
    </row>
    <row r="477" spans="1:16" x14ac:dyDescent="0.2">
      <c r="A477" s="33">
        <v>46151</v>
      </c>
      <c r="B477" s="30">
        <f t="shared" si="16"/>
        <v>5</v>
      </c>
      <c r="C477" s="30" t="str">
        <f>_xlfn.IFS(Table_13[[#This Row],[Month]]=1,"JAN",Table_13[[#This Row],[Month]]=2,"FEB",B477=3,"MAR",B477=4,"APR",B477=5,"MAY",B477=6,"JUN",B477=7,"JUL",B477=8,"AUG",Table_13[[#This Row],[Month]]=9,"SEPT",B477=10,"OCT",B477=11,"NOV",B477=12,"DEC")</f>
        <v>MAY</v>
      </c>
      <c r="D477" s="2" t="s">
        <v>25</v>
      </c>
      <c r="E477" s="2" t="s">
        <v>19</v>
      </c>
      <c r="F477" s="2" t="s">
        <v>23</v>
      </c>
      <c r="G477" s="2" t="s">
        <v>20</v>
      </c>
      <c r="H477" s="2" t="s">
        <v>38</v>
      </c>
      <c r="I477" s="2" t="s">
        <v>31</v>
      </c>
      <c r="J477" s="15">
        <v>420000</v>
      </c>
      <c r="K477" s="2">
        <v>8</v>
      </c>
      <c r="L477" s="2" t="s">
        <v>35</v>
      </c>
      <c r="M477" s="12">
        <f t="shared" si="9"/>
        <v>336000</v>
      </c>
      <c r="N477" s="10">
        <f>PRODUCT(Table_13[[#This Row],[Unit Price]],Table_13[[#This Row],[Quantity]])</f>
        <v>3360000</v>
      </c>
      <c r="O477" s="16">
        <f>PRODUCT(Table_13[[#This Row],[Cost Price]],Table_13[[#This Row],[Quantity]])</f>
        <v>2688000</v>
      </c>
      <c r="P477" s="27">
        <f t="shared" si="17"/>
        <v>672000</v>
      </c>
    </row>
    <row r="478" spans="1:16" x14ac:dyDescent="0.2">
      <c r="A478" s="33">
        <v>46152</v>
      </c>
      <c r="B478" s="30">
        <f t="shared" si="16"/>
        <v>5</v>
      </c>
      <c r="C478" s="30" t="str">
        <f>_xlfn.IFS(Table_13[[#This Row],[Month]]=1,"JAN",Table_13[[#This Row],[Month]]=2,"FEB",B478=3,"MAR",B478=4,"APR",B478=5,"MAY",B478=6,"JUN",B478=7,"JUL",B478=8,"AUG",Table_13[[#This Row],[Month]]=9,"SEPT",B478=10,"OCT",B478=11,"NOV",B478=12,"DEC")</f>
        <v>MAY</v>
      </c>
      <c r="D478" s="2" t="s">
        <v>29</v>
      </c>
      <c r="E478" s="2" t="s">
        <v>19</v>
      </c>
      <c r="F478" s="2" t="s">
        <v>13</v>
      </c>
      <c r="G478" s="2" t="s">
        <v>20</v>
      </c>
      <c r="H478" s="2" t="s">
        <v>27</v>
      </c>
      <c r="I478" s="2" t="s">
        <v>22</v>
      </c>
      <c r="J478" s="15">
        <v>60000</v>
      </c>
      <c r="K478" s="2">
        <v>1</v>
      </c>
      <c r="L478" s="2" t="s">
        <v>39</v>
      </c>
      <c r="M478" s="12">
        <f t="shared" si="9"/>
        <v>48000</v>
      </c>
      <c r="N478" s="10">
        <f>PRODUCT(Table_13[[#This Row],[Unit Price]],Table_13[[#This Row],[Quantity]])</f>
        <v>60000</v>
      </c>
      <c r="O478" s="16">
        <f>PRODUCT(Table_13[[#This Row],[Cost Price]],Table_13[[#This Row],[Quantity]])</f>
        <v>48000</v>
      </c>
      <c r="P478" s="27">
        <f t="shared" si="17"/>
        <v>12000</v>
      </c>
    </row>
    <row r="479" spans="1:16" x14ac:dyDescent="0.2">
      <c r="A479" s="33">
        <v>46153</v>
      </c>
      <c r="B479" s="30">
        <f t="shared" si="16"/>
        <v>5</v>
      </c>
      <c r="C479" s="30" t="str">
        <f>_xlfn.IFS(Table_13[[#This Row],[Month]]=1,"JAN",Table_13[[#This Row],[Month]]=2,"FEB",B479=3,"MAR",B479=4,"APR",B479=5,"MAY",B479=6,"JUN",B479=7,"JUL",B479=8,"AUG",Table_13[[#This Row],[Month]]=9,"SEPT",B479=10,"OCT",B479=11,"NOV",B479=12,"DEC")</f>
        <v>MAY</v>
      </c>
      <c r="D479" s="2" t="s">
        <v>18</v>
      </c>
      <c r="E479" s="2" t="s">
        <v>12</v>
      </c>
      <c r="F479" s="2" t="s">
        <v>23</v>
      </c>
      <c r="G479" s="2" t="s">
        <v>20</v>
      </c>
      <c r="H479" s="2" t="s">
        <v>33</v>
      </c>
      <c r="I479" s="2" t="s">
        <v>22</v>
      </c>
      <c r="J479" s="15">
        <v>180000</v>
      </c>
      <c r="K479" s="2">
        <v>8</v>
      </c>
      <c r="L479" s="2" t="s">
        <v>24</v>
      </c>
      <c r="M479" s="12">
        <f t="shared" si="9"/>
        <v>144000</v>
      </c>
      <c r="N479" s="10">
        <f>PRODUCT(Table_13[[#This Row],[Unit Price]],Table_13[[#This Row],[Quantity]])</f>
        <v>1440000</v>
      </c>
      <c r="O479" s="16">
        <f>PRODUCT(Table_13[[#This Row],[Cost Price]],Table_13[[#This Row],[Quantity]])</f>
        <v>1152000</v>
      </c>
      <c r="P479" s="27">
        <f t="shared" si="17"/>
        <v>288000</v>
      </c>
    </row>
    <row r="480" spans="1:16" x14ac:dyDescent="0.2">
      <c r="A480" s="33">
        <v>46154</v>
      </c>
      <c r="B480" s="30">
        <f t="shared" si="16"/>
        <v>5</v>
      </c>
      <c r="C480" s="30" t="str">
        <f>_xlfn.IFS(Table_13[[#This Row],[Month]]=1,"JAN",Table_13[[#This Row],[Month]]=2,"FEB",B480=3,"MAR",B480=4,"APR",B480=5,"MAY",B480=6,"JUN",B480=7,"JUL",B480=8,"AUG",Table_13[[#This Row],[Month]]=9,"SEPT",B480=10,"OCT",B480=11,"NOV",B480=12,"DEC")</f>
        <v>MAY</v>
      </c>
      <c r="D480" s="2" t="s">
        <v>11</v>
      </c>
      <c r="E480" s="2" t="s">
        <v>19</v>
      </c>
      <c r="F480" s="2" t="s">
        <v>23</v>
      </c>
      <c r="G480" s="2" t="s">
        <v>20</v>
      </c>
      <c r="H480" s="2" t="s">
        <v>33</v>
      </c>
      <c r="I480" s="2" t="s">
        <v>22</v>
      </c>
      <c r="J480" s="15">
        <v>180000</v>
      </c>
      <c r="K480" s="2">
        <v>2</v>
      </c>
      <c r="L480" s="2" t="s">
        <v>24</v>
      </c>
      <c r="M480" s="12">
        <f t="shared" si="9"/>
        <v>144000</v>
      </c>
      <c r="N480" s="10">
        <f>PRODUCT(Table_13[[#This Row],[Unit Price]],Table_13[[#This Row],[Quantity]])</f>
        <v>360000</v>
      </c>
      <c r="O480" s="16">
        <f>PRODUCT(Table_13[[#This Row],[Cost Price]],Table_13[[#This Row],[Quantity]])</f>
        <v>288000</v>
      </c>
      <c r="P480" s="27">
        <f t="shared" si="17"/>
        <v>72000</v>
      </c>
    </row>
    <row r="481" spans="1:16" x14ac:dyDescent="0.2">
      <c r="A481" s="33">
        <v>46155</v>
      </c>
      <c r="B481" s="30">
        <f t="shared" si="16"/>
        <v>5</v>
      </c>
      <c r="C481" s="30" t="str">
        <f>_xlfn.IFS(Table_13[[#This Row],[Month]]=1,"JAN",Table_13[[#This Row],[Month]]=2,"FEB",B481=3,"MAR",B481=4,"APR",B481=5,"MAY",B481=6,"JUN",B481=7,"JUL",B481=8,"AUG",Table_13[[#This Row],[Month]]=9,"SEPT",B481=10,"OCT",B481=11,"NOV",B481=12,"DEC")</f>
        <v>MAY</v>
      </c>
      <c r="D481" s="2" t="s">
        <v>25</v>
      </c>
      <c r="E481" s="2" t="s">
        <v>19</v>
      </c>
      <c r="F481" s="2" t="s">
        <v>23</v>
      </c>
      <c r="G481" s="2" t="s">
        <v>14</v>
      </c>
      <c r="H481" s="2" t="s">
        <v>30</v>
      </c>
      <c r="I481" s="2" t="s">
        <v>31</v>
      </c>
      <c r="J481" s="15">
        <v>300000</v>
      </c>
      <c r="K481" s="2">
        <v>7</v>
      </c>
      <c r="L481" s="2" t="s">
        <v>35</v>
      </c>
      <c r="M481" s="12">
        <f t="shared" si="9"/>
        <v>240000</v>
      </c>
      <c r="N481" s="10">
        <f>PRODUCT(Table_13[[#This Row],[Unit Price]],Table_13[[#This Row],[Quantity]])</f>
        <v>2100000</v>
      </c>
      <c r="O481" s="16">
        <f>PRODUCT(Table_13[[#This Row],[Cost Price]],Table_13[[#This Row],[Quantity]])</f>
        <v>1680000</v>
      </c>
      <c r="P481" s="27">
        <f t="shared" si="17"/>
        <v>420000</v>
      </c>
    </row>
    <row r="482" spans="1:16" x14ac:dyDescent="0.2">
      <c r="A482" s="33">
        <v>46156</v>
      </c>
      <c r="B482" s="30">
        <f t="shared" si="16"/>
        <v>5</v>
      </c>
      <c r="C482" s="30" t="str">
        <f>_xlfn.IFS(Table_13[[#This Row],[Month]]=1,"JAN",Table_13[[#This Row],[Month]]=2,"FEB",B482=3,"MAR",B482=4,"APR",B482=5,"MAY",B482=6,"JUN",B482=7,"JUL",B482=8,"AUG",Table_13[[#This Row],[Month]]=9,"SEPT",B482=10,"OCT",B482=11,"NOV",B482=12,"DEC")</f>
        <v>MAY</v>
      </c>
      <c r="D482" s="2" t="s">
        <v>11</v>
      </c>
      <c r="E482" s="2" t="s">
        <v>26</v>
      </c>
      <c r="F482" s="2" t="s">
        <v>13</v>
      </c>
      <c r="G482" s="2" t="s">
        <v>14</v>
      </c>
      <c r="H482" s="2" t="s">
        <v>40</v>
      </c>
      <c r="I482" s="2" t="s">
        <v>31</v>
      </c>
      <c r="J482" s="15">
        <v>250000</v>
      </c>
      <c r="K482" s="2">
        <v>6</v>
      </c>
      <c r="L482" s="2" t="s">
        <v>35</v>
      </c>
      <c r="M482" s="12">
        <f t="shared" si="9"/>
        <v>200000</v>
      </c>
      <c r="N482" s="10">
        <f>PRODUCT(Table_13[[#This Row],[Unit Price]],Table_13[[#This Row],[Quantity]])</f>
        <v>1500000</v>
      </c>
      <c r="O482" s="16">
        <f>PRODUCT(Table_13[[#This Row],[Cost Price]],Table_13[[#This Row],[Quantity]])</f>
        <v>1200000</v>
      </c>
      <c r="P482" s="27">
        <f t="shared" si="17"/>
        <v>300000</v>
      </c>
    </row>
    <row r="483" spans="1:16" x14ac:dyDescent="0.2">
      <c r="A483" s="33">
        <v>46157</v>
      </c>
      <c r="B483" s="30">
        <f t="shared" si="16"/>
        <v>5</v>
      </c>
      <c r="C483" s="30" t="str">
        <f>_xlfn.IFS(Table_13[[#This Row],[Month]]=1,"JAN",Table_13[[#This Row],[Month]]=2,"FEB",B483=3,"MAR",B483=4,"APR",B483=5,"MAY",B483=6,"JUN",B483=7,"JUL",B483=8,"AUG",Table_13[[#This Row],[Month]]=9,"SEPT",B483=10,"OCT",B483=11,"NOV",B483=12,"DEC")</f>
        <v>MAY</v>
      </c>
      <c r="D483" s="2" t="s">
        <v>29</v>
      </c>
      <c r="E483" s="2" t="s">
        <v>26</v>
      </c>
      <c r="F483" s="2" t="s">
        <v>13</v>
      </c>
      <c r="G483" s="2" t="s">
        <v>20</v>
      </c>
      <c r="H483" s="2" t="s">
        <v>36</v>
      </c>
      <c r="I483" s="2" t="s">
        <v>31</v>
      </c>
      <c r="J483" s="15">
        <v>150000</v>
      </c>
      <c r="K483" s="2">
        <v>5</v>
      </c>
      <c r="L483" s="2" t="s">
        <v>24</v>
      </c>
      <c r="M483" s="12">
        <f t="shared" si="9"/>
        <v>120000</v>
      </c>
      <c r="N483" s="10">
        <f>PRODUCT(Table_13[[#This Row],[Unit Price]],Table_13[[#This Row],[Quantity]])</f>
        <v>750000</v>
      </c>
      <c r="O483" s="16">
        <f>PRODUCT(Table_13[[#This Row],[Cost Price]],Table_13[[#This Row],[Quantity]])</f>
        <v>600000</v>
      </c>
      <c r="P483" s="27">
        <f t="shared" si="17"/>
        <v>150000</v>
      </c>
    </row>
    <row r="484" spans="1:16" x14ac:dyDescent="0.2">
      <c r="A484" s="33">
        <v>46158</v>
      </c>
      <c r="B484" s="30">
        <f t="shared" si="16"/>
        <v>5</v>
      </c>
      <c r="C484" s="30" t="str">
        <f>_xlfn.IFS(Table_13[[#This Row],[Month]]=1,"JAN",Table_13[[#This Row],[Month]]=2,"FEB",B484=3,"MAR",B484=4,"APR",B484=5,"MAY",B484=6,"JUN",B484=7,"JUL",B484=8,"AUG",Table_13[[#This Row],[Month]]=9,"SEPT",B484=10,"OCT",B484=11,"NOV",B484=12,"DEC")</f>
        <v>MAY</v>
      </c>
      <c r="D484" s="2" t="s">
        <v>11</v>
      </c>
      <c r="E484" s="2" t="s">
        <v>32</v>
      </c>
      <c r="F484" s="2" t="s">
        <v>13</v>
      </c>
      <c r="G484" s="2" t="s">
        <v>14</v>
      </c>
      <c r="H484" s="2" t="s">
        <v>15</v>
      </c>
      <c r="I484" s="2" t="s">
        <v>16</v>
      </c>
      <c r="J484" s="15">
        <v>85000</v>
      </c>
      <c r="K484" s="2">
        <v>10</v>
      </c>
      <c r="L484" s="2" t="s">
        <v>24</v>
      </c>
      <c r="M484" s="12">
        <f t="shared" si="9"/>
        <v>68000</v>
      </c>
      <c r="N484" s="10">
        <f>PRODUCT(Table_13[[#This Row],[Unit Price]],Table_13[[#This Row],[Quantity]])</f>
        <v>850000</v>
      </c>
      <c r="O484" s="16">
        <f>PRODUCT(Table_13[[#This Row],[Cost Price]],Table_13[[#This Row],[Quantity]])</f>
        <v>680000</v>
      </c>
      <c r="P484" s="27">
        <f t="shared" si="17"/>
        <v>170000</v>
      </c>
    </row>
    <row r="485" spans="1:16" x14ac:dyDescent="0.2">
      <c r="A485" s="33">
        <v>46159</v>
      </c>
      <c r="B485" s="30">
        <f t="shared" si="16"/>
        <v>5</v>
      </c>
      <c r="C485" s="30" t="str">
        <f>_xlfn.IFS(Table_13[[#This Row],[Month]]=1,"JAN",Table_13[[#This Row],[Month]]=2,"FEB",B485=3,"MAR",B485=4,"APR",B485=5,"MAY",B485=6,"JUN",B485=7,"JUL",B485=8,"AUG",Table_13[[#This Row],[Month]]=9,"SEPT",B485=10,"OCT",B485=11,"NOV",B485=12,"DEC")</f>
        <v>MAY</v>
      </c>
      <c r="D485" s="2" t="s">
        <v>29</v>
      </c>
      <c r="E485" s="2" t="s">
        <v>32</v>
      </c>
      <c r="F485" s="2" t="s">
        <v>13</v>
      </c>
      <c r="G485" s="2" t="s">
        <v>14</v>
      </c>
      <c r="H485" s="2" t="s">
        <v>15</v>
      </c>
      <c r="I485" s="2" t="s">
        <v>16</v>
      </c>
      <c r="J485" s="15">
        <v>85000</v>
      </c>
      <c r="K485" s="2">
        <v>8</v>
      </c>
      <c r="L485" s="2" t="s">
        <v>35</v>
      </c>
      <c r="M485" s="12">
        <f t="shared" si="9"/>
        <v>68000</v>
      </c>
      <c r="N485" s="10">
        <f>PRODUCT(Table_13[[#This Row],[Unit Price]],Table_13[[#This Row],[Quantity]])</f>
        <v>680000</v>
      </c>
      <c r="O485" s="16">
        <f>PRODUCT(Table_13[[#This Row],[Cost Price]],Table_13[[#This Row],[Quantity]])</f>
        <v>544000</v>
      </c>
      <c r="P485" s="27">
        <f t="shared" si="17"/>
        <v>136000</v>
      </c>
    </row>
    <row r="486" spans="1:16" x14ac:dyDescent="0.2">
      <c r="A486" s="33">
        <v>46160</v>
      </c>
      <c r="B486" s="30">
        <f t="shared" si="16"/>
        <v>5</v>
      </c>
      <c r="C486" s="30" t="str">
        <f>_xlfn.IFS(Table_13[[#This Row],[Month]]=1,"JAN",Table_13[[#This Row],[Month]]=2,"FEB",B486=3,"MAR",B486=4,"APR",B486=5,"MAY",B486=6,"JUN",B486=7,"JUL",B486=8,"AUG",Table_13[[#This Row],[Month]]=9,"SEPT",B486=10,"OCT",B486=11,"NOV",B486=12,"DEC")</f>
        <v>MAY</v>
      </c>
      <c r="D486" s="2" t="s">
        <v>25</v>
      </c>
      <c r="E486" s="2" t="s">
        <v>12</v>
      </c>
      <c r="F486" s="2" t="s">
        <v>13</v>
      </c>
      <c r="G486" s="2" t="s">
        <v>14</v>
      </c>
      <c r="H486" s="2" t="s">
        <v>15</v>
      </c>
      <c r="I486" s="2" t="s">
        <v>16</v>
      </c>
      <c r="J486" s="15">
        <v>85000</v>
      </c>
      <c r="K486" s="2">
        <v>2</v>
      </c>
      <c r="L486" s="2" t="s">
        <v>28</v>
      </c>
      <c r="M486" s="12">
        <f t="shared" si="9"/>
        <v>68000</v>
      </c>
      <c r="N486" s="10">
        <f>PRODUCT(Table_13[[#This Row],[Unit Price]],Table_13[[#This Row],[Quantity]])</f>
        <v>170000</v>
      </c>
      <c r="O486" s="16">
        <f>PRODUCT(Table_13[[#This Row],[Cost Price]],Table_13[[#This Row],[Quantity]])</f>
        <v>136000</v>
      </c>
      <c r="P486" s="27">
        <f t="shared" si="17"/>
        <v>34000</v>
      </c>
    </row>
    <row r="487" spans="1:16" x14ac:dyDescent="0.2">
      <c r="A487" s="33">
        <v>46161</v>
      </c>
      <c r="B487" s="30">
        <f t="shared" si="16"/>
        <v>5</v>
      </c>
      <c r="C487" s="30" t="str">
        <f>_xlfn.IFS(Table_13[[#This Row],[Month]]=1,"JAN",Table_13[[#This Row],[Month]]=2,"FEB",B487=3,"MAR",B487=4,"APR",B487=5,"MAY",B487=6,"JUN",B487=7,"JUL",B487=8,"AUG",Table_13[[#This Row],[Month]]=9,"SEPT",B487=10,"OCT",B487=11,"NOV",B487=12,"DEC")</f>
        <v>MAY</v>
      </c>
      <c r="D487" s="2" t="s">
        <v>11</v>
      </c>
      <c r="E487" s="2" t="s">
        <v>32</v>
      </c>
      <c r="F487" s="2" t="s">
        <v>13</v>
      </c>
      <c r="G487" s="2" t="s">
        <v>14</v>
      </c>
      <c r="H487" s="2" t="s">
        <v>40</v>
      </c>
      <c r="I487" s="2" t="s">
        <v>31</v>
      </c>
      <c r="J487" s="15">
        <v>250000</v>
      </c>
      <c r="K487" s="2">
        <v>4</v>
      </c>
      <c r="L487" s="2" t="s">
        <v>17</v>
      </c>
      <c r="M487" s="12">
        <f t="shared" si="9"/>
        <v>200000</v>
      </c>
      <c r="N487" s="10">
        <f>PRODUCT(Table_13[[#This Row],[Unit Price]],Table_13[[#This Row],[Quantity]])</f>
        <v>1000000</v>
      </c>
      <c r="O487" s="16">
        <f>PRODUCT(Table_13[[#This Row],[Cost Price]],Table_13[[#This Row],[Quantity]])</f>
        <v>800000</v>
      </c>
      <c r="P487" s="27">
        <f t="shared" si="17"/>
        <v>200000</v>
      </c>
    </row>
    <row r="488" spans="1:16" x14ac:dyDescent="0.2">
      <c r="A488" s="33">
        <v>46162</v>
      </c>
      <c r="B488" s="30">
        <f t="shared" si="16"/>
        <v>5</v>
      </c>
      <c r="C488" s="30" t="str">
        <f>_xlfn.IFS(Table_13[[#This Row],[Month]]=1,"JAN",Table_13[[#This Row],[Month]]=2,"FEB",B488=3,"MAR",B488=4,"APR",B488=5,"MAY",B488=6,"JUN",B488=7,"JUL",B488=8,"AUG",Table_13[[#This Row],[Month]]=9,"SEPT",B488=10,"OCT",B488=11,"NOV",B488=12,"DEC")</f>
        <v>MAY</v>
      </c>
      <c r="D488" s="2" t="s">
        <v>25</v>
      </c>
      <c r="E488" s="2" t="s">
        <v>12</v>
      </c>
      <c r="F488" s="2" t="s">
        <v>13</v>
      </c>
      <c r="G488" s="2" t="s">
        <v>14</v>
      </c>
      <c r="H488" s="2" t="s">
        <v>36</v>
      </c>
      <c r="I488" s="2" t="s">
        <v>31</v>
      </c>
      <c r="J488" s="15">
        <v>150000</v>
      </c>
      <c r="K488" s="2">
        <v>6</v>
      </c>
      <c r="L488" s="2" t="s">
        <v>39</v>
      </c>
      <c r="M488" s="12">
        <f t="shared" si="9"/>
        <v>120000</v>
      </c>
      <c r="N488" s="10">
        <f>PRODUCT(Table_13[[#This Row],[Unit Price]],Table_13[[#This Row],[Quantity]])</f>
        <v>900000</v>
      </c>
      <c r="O488" s="16">
        <f>PRODUCT(Table_13[[#This Row],[Cost Price]],Table_13[[#This Row],[Quantity]])</f>
        <v>720000</v>
      </c>
      <c r="P488" s="27">
        <f t="shared" si="17"/>
        <v>180000</v>
      </c>
    </row>
    <row r="489" spans="1:16" x14ac:dyDescent="0.2">
      <c r="A489" s="33">
        <v>46163</v>
      </c>
      <c r="B489" s="30">
        <f t="shared" si="16"/>
        <v>5</v>
      </c>
      <c r="C489" s="30" t="str">
        <f>_xlfn.IFS(Table_13[[#This Row],[Month]]=1,"JAN",Table_13[[#This Row],[Month]]=2,"FEB",B489=3,"MAR",B489=4,"APR",B489=5,"MAY",B489=6,"JUN",B489=7,"JUL",B489=8,"AUG",Table_13[[#This Row],[Month]]=9,"SEPT",B489=10,"OCT",B489=11,"NOV",B489=12,"DEC")</f>
        <v>MAY</v>
      </c>
      <c r="D489" s="2" t="s">
        <v>25</v>
      </c>
      <c r="E489" s="2" t="s">
        <v>32</v>
      </c>
      <c r="F489" s="2" t="s">
        <v>23</v>
      </c>
      <c r="G489" s="2" t="s">
        <v>20</v>
      </c>
      <c r="H489" s="2" t="s">
        <v>33</v>
      </c>
      <c r="I489" s="2" t="s">
        <v>22</v>
      </c>
      <c r="J489" s="15">
        <v>180000</v>
      </c>
      <c r="K489" s="2">
        <v>10</v>
      </c>
      <c r="L489" s="2" t="s">
        <v>37</v>
      </c>
      <c r="M489" s="12">
        <f t="shared" si="9"/>
        <v>144000</v>
      </c>
      <c r="N489" s="10">
        <f>PRODUCT(Table_13[[#This Row],[Unit Price]],Table_13[[#This Row],[Quantity]])</f>
        <v>1800000</v>
      </c>
      <c r="O489" s="16">
        <f>PRODUCT(Table_13[[#This Row],[Cost Price]],Table_13[[#This Row],[Quantity]])</f>
        <v>1440000</v>
      </c>
      <c r="P489" s="27">
        <f t="shared" si="17"/>
        <v>360000</v>
      </c>
    </row>
    <row r="490" spans="1:16" x14ac:dyDescent="0.2">
      <c r="A490" s="33">
        <v>46164</v>
      </c>
      <c r="B490" s="30">
        <f t="shared" si="16"/>
        <v>5</v>
      </c>
      <c r="C490" s="30" t="str">
        <f>_xlfn.IFS(Table_13[[#This Row],[Month]]=1,"JAN",Table_13[[#This Row],[Month]]=2,"FEB",B490=3,"MAR",B490=4,"APR",B490=5,"MAY",B490=6,"JUN",B490=7,"JUL",B490=8,"AUG",Table_13[[#This Row],[Month]]=9,"SEPT",B490=10,"OCT",B490=11,"NOV",B490=12,"DEC")</f>
        <v>MAY</v>
      </c>
      <c r="D490" s="2" t="s">
        <v>25</v>
      </c>
      <c r="E490" s="2" t="s">
        <v>32</v>
      </c>
      <c r="F490" s="2" t="s">
        <v>13</v>
      </c>
      <c r="G490" s="2" t="s">
        <v>14</v>
      </c>
      <c r="H490" s="2" t="s">
        <v>36</v>
      </c>
      <c r="I490" s="2" t="s">
        <v>31</v>
      </c>
      <c r="J490" s="15">
        <v>150000</v>
      </c>
      <c r="K490" s="2">
        <v>8</v>
      </c>
      <c r="L490" s="2" t="s">
        <v>17</v>
      </c>
      <c r="M490" s="12">
        <f t="shared" si="9"/>
        <v>120000</v>
      </c>
      <c r="N490" s="10">
        <f>PRODUCT(Table_13[[#This Row],[Unit Price]],Table_13[[#This Row],[Quantity]])</f>
        <v>1200000</v>
      </c>
      <c r="O490" s="16">
        <f>PRODUCT(Table_13[[#This Row],[Cost Price]],Table_13[[#This Row],[Quantity]])</f>
        <v>960000</v>
      </c>
      <c r="P490" s="27">
        <f t="shared" si="17"/>
        <v>240000</v>
      </c>
    </row>
    <row r="491" spans="1:16" x14ac:dyDescent="0.2">
      <c r="A491" s="33">
        <v>46165</v>
      </c>
      <c r="B491" s="30">
        <f t="shared" si="16"/>
        <v>5</v>
      </c>
      <c r="C491" s="30" t="str">
        <f>_xlfn.IFS(Table_13[[#This Row],[Month]]=1,"JAN",Table_13[[#This Row],[Month]]=2,"FEB",B491=3,"MAR",B491=4,"APR",B491=5,"MAY",B491=6,"JUN",B491=7,"JUL",B491=8,"AUG",Table_13[[#This Row],[Month]]=9,"SEPT",B491=10,"OCT",B491=11,"NOV",B491=12,"DEC")</f>
        <v>MAY</v>
      </c>
      <c r="D491" s="2" t="s">
        <v>25</v>
      </c>
      <c r="E491" s="2" t="s">
        <v>19</v>
      </c>
      <c r="F491" s="2" t="s">
        <v>13</v>
      </c>
      <c r="G491" s="2" t="s">
        <v>14</v>
      </c>
      <c r="H491" s="2" t="s">
        <v>33</v>
      </c>
      <c r="I491" s="2" t="s">
        <v>22</v>
      </c>
      <c r="J491" s="15">
        <v>180000</v>
      </c>
      <c r="K491" s="2">
        <v>8</v>
      </c>
      <c r="L491" s="2" t="s">
        <v>24</v>
      </c>
      <c r="M491" s="12">
        <f t="shared" si="9"/>
        <v>144000</v>
      </c>
      <c r="N491" s="10">
        <f>PRODUCT(Table_13[[#This Row],[Unit Price]],Table_13[[#This Row],[Quantity]])</f>
        <v>1440000</v>
      </c>
      <c r="O491" s="16">
        <f>PRODUCT(Table_13[[#This Row],[Cost Price]],Table_13[[#This Row],[Quantity]])</f>
        <v>1152000</v>
      </c>
      <c r="P491" s="27">
        <f t="shared" si="17"/>
        <v>288000</v>
      </c>
    </row>
    <row r="492" spans="1:16" x14ac:dyDescent="0.2">
      <c r="A492" s="33">
        <v>46166</v>
      </c>
      <c r="B492" s="30">
        <f t="shared" si="16"/>
        <v>5</v>
      </c>
      <c r="C492" s="30" t="str">
        <f>_xlfn.IFS(Table_13[[#This Row],[Month]]=1,"JAN",Table_13[[#This Row],[Month]]=2,"FEB",B492=3,"MAR",B492=4,"APR",B492=5,"MAY",B492=6,"JUN",B492=7,"JUL",B492=8,"AUG",Table_13[[#This Row],[Month]]=9,"SEPT",B492=10,"OCT",B492=11,"NOV",B492=12,"DEC")</f>
        <v>MAY</v>
      </c>
      <c r="D492" s="2" t="s">
        <v>18</v>
      </c>
      <c r="E492" s="2" t="s">
        <v>26</v>
      </c>
      <c r="F492" s="2" t="s">
        <v>23</v>
      </c>
      <c r="G492" s="2" t="s">
        <v>14</v>
      </c>
      <c r="H492" s="2" t="s">
        <v>36</v>
      </c>
      <c r="I492" s="2" t="s">
        <v>31</v>
      </c>
      <c r="J492" s="15">
        <v>150000</v>
      </c>
      <c r="K492" s="2">
        <v>6</v>
      </c>
      <c r="L492" s="2" t="s">
        <v>35</v>
      </c>
      <c r="M492" s="12">
        <f t="shared" si="9"/>
        <v>120000</v>
      </c>
      <c r="N492" s="10">
        <f>PRODUCT(Table_13[[#This Row],[Unit Price]],Table_13[[#This Row],[Quantity]])</f>
        <v>900000</v>
      </c>
      <c r="O492" s="16">
        <f>PRODUCT(Table_13[[#This Row],[Cost Price]],Table_13[[#This Row],[Quantity]])</f>
        <v>720000</v>
      </c>
      <c r="P492" s="27">
        <f t="shared" si="17"/>
        <v>180000</v>
      </c>
    </row>
    <row r="493" spans="1:16" x14ac:dyDescent="0.2">
      <c r="A493" s="33">
        <v>46167</v>
      </c>
      <c r="B493" s="30">
        <f t="shared" si="16"/>
        <v>5</v>
      </c>
      <c r="C493" s="30" t="str">
        <f>_xlfn.IFS(Table_13[[#This Row],[Month]]=1,"JAN",Table_13[[#This Row],[Month]]=2,"FEB",B493=3,"MAR",B493=4,"APR",B493=5,"MAY",B493=6,"JUN",B493=7,"JUL",B493=8,"AUG",Table_13[[#This Row],[Month]]=9,"SEPT",B493=10,"OCT",B493=11,"NOV",B493=12,"DEC")</f>
        <v>MAY</v>
      </c>
      <c r="D493" s="2" t="s">
        <v>25</v>
      </c>
      <c r="E493" s="2" t="s">
        <v>32</v>
      </c>
      <c r="F493" s="2" t="s">
        <v>23</v>
      </c>
      <c r="G493" s="2" t="s">
        <v>20</v>
      </c>
      <c r="H493" s="2" t="s">
        <v>36</v>
      </c>
      <c r="I493" s="2" t="s">
        <v>31</v>
      </c>
      <c r="J493" s="15">
        <v>150000</v>
      </c>
      <c r="K493" s="2">
        <v>4</v>
      </c>
      <c r="L493" s="2" t="s">
        <v>39</v>
      </c>
      <c r="M493" s="12">
        <f t="shared" si="9"/>
        <v>120000</v>
      </c>
      <c r="N493" s="10">
        <f>PRODUCT(Table_13[[#This Row],[Unit Price]],Table_13[[#This Row],[Quantity]])</f>
        <v>600000</v>
      </c>
      <c r="O493" s="16">
        <f>PRODUCT(Table_13[[#This Row],[Cost Price]],Table_13[[#This Row],[Quantity]])</f>
        <v>480000</v>
      </c>
      <c r="P493" s="27">
        <f t="shared" si="17"/>
        <v>120000</v>
      </c>
    </row>
    <row r="494" spans="1:16" x14ac:dyDescent="0.2">
      <c r="A494" s="33">
        <v>46168</v>
      </c>
      <c r="B494" s="30">
        <f t="shared" si="16"/>
        <v>5</v>
      </c>
      <c r="C494" s="30" t="str">
        <f>_xlfn.IFS(Table_13[[#This Row],[Month]]=1,"JAN",Table_13[[#This Row],[Month]]=2,"FEB",B494=3,"MAR",B494=4,"APR",B494=5,"MAY",B494=6,"JUN",B494=7,"JUL",B494=8,"AUG",Table_13[[#This Row],[Month]]=9,"SEPT",B494=10,"OCT",B494=11,"NOV",B494=12,"DEC")</f>
        <v>MAY</v>
      </c>
      <c r="D494" s="2" t="s">
        <v>11</v>
      </c>
      <c r="E494" s="2" t="s">
        <v>19</v>
      </c>
      <c r="F494" s="2" t="s">
        <v>13</v>
      </c>
      <c r="G494" s="2" t="s">
        <v>14</v>
      </c>
      <c r="H494" s="2" t="s">
        <v>33</v>
      </c>
      <c r="I494" s="2" t="s">
        <v>22</v>
      </c>
      <c r="J494" s="15">
        <v>180000</v>
      </c>
      <c r="K494" s="2">
        <v>1</v>
      </c>
      <c r="L494" s="2" t="s">
        <v>35</v>
      </c>
      <c r="M494" s="12">
        <f t="shared" si="9"/>
        <v>144000</v>
      </c>
      <c r="N494" s="10">
        <f>PRODUCT(Table_13[[#This Row],[Unit Price]],Table_13[[#This Row],[Quantity]])</f>
        <v>180000</v>
      </c>
      <c r="O494" s="16">
        <f>PRODUCT(Table_13[[#This Row],[Cost Price]],Table_13[[#This Row],[Quantity]])</f>
        <v>144000</v>
      </c>
      <c r="P494" s="27">
        <f t="shared" si="17"/>
        <v>36000</v>
      </c>
    </row>
    <row r="495" spans="1:16" x14ac:dyDescent="0.2">
      <c r="A495" s="33">
        <v>46169</v>
      </c>
      <c r="B495" s="30">
        <f t="shared" si="16"/>
        <v>5</v>
      </c>
      <c r="C495" s="30" t="str">
        <f>_xlfn.IFS(Table_13[[#This Row],[Month]]=1,"JAN",Table_13[[#This Row],[Month]]=2,"FEB",B495=3,"MAR",B495=4,"APR",B495=5,"MAY",B495=6,"JUN",B495=7,"JUL",B495=8,"AUG",Table_13[[#This Row],[Month]]=9,"SEPT",B495=10,"OCT",B495=11,"NOV",B495=12,"DEC")</f>
        <v>MAY</v>
      </c>
      <c r="D495" s="2" t="s">
        <v>29</v>
      </c>
      <c r="E495" s="2" t="s">
        <v>19</v>
      </c>
      <c r="F495" s="2" t="s">
        <v>13</v>
      </c>
      <c r="G495" s="2" t="s">
        <v>14</v>
      </c>
      <c r="H495" s="2" t="s">
        <v>40</v>
      </c>
      <c r="I495" s="2" t="s">
        <v>31</v>
      </c>
      <c r="J495" s="15">
        <v>250000</v>
      </c>
      <c r="K495" s="2">
        <v>6</v>
      </c>
      <c r="L495" s="2" t="s">
        <v>39</v>
      </c>
      <c r="M495" s="12">
        <f t="shared" si="9"/>
        <v>200000</v>
      </c>
      <c r="N495" s="10">
        <f>PRODUCT(Table_13[[#This Row],[Unit Price]],Table_13[[#This Row],[Quantity]])</f>
        <v>1500000</v>
      </c>
      <c r="O495" s="16">
        <f>PRODUCT(Table_13[[#This Row],[Cost Price]],Table_13[[#This Row],[Quantity]])</f>
        <v>1200000</v>
      </c>
      <c r="P495" s="27">
        <f t="shared" si="17"/>
        <v>300000</v>
      </c>
    </row>
    <row r="496" spans="1:16" x14ac:dyDescent="0.2">
      <c r="A496" s="33">
        <v>46170</v>
      </c>
      <c r="B496" s="30">
        <f t="shared" si="16"/>
        <v>5</v>
      </c>
      <c r="C496" s="30" t="str">
        <f>_xlfn.IFS(Table_13[[#This Row],[Month]]=1,"JAN",Table_13[[#This Row],[Month]]=2,"FEB",B496=3,"MAR",B496=4,"APR",B496=5,"MAY",B496=6,"JUN",B496=7,"JUL",B496=8,"AUG",Table_13[[#This Row],[Month]]=9,"SEPT",B496=10,"OCT",B496=11,"NOV",B496=12,"DEC")</f>
        <v>MAY</v>
      </c>
      <c r="D496" s="2" t="s">
        <v>25</v>
      </c>
      <c r="E496" s="2" t="s">
        <v>12</v>
      </c>
      <c r="F496" s="2" t="s">
        <v>13</v>
      </c>
      <c r="G496" s="2" t="s">
        <v>14</v>
      </c>
      <c r="H496" s="2" t="s">
        <v>27</v>
      </c>
      <c r="I496" s="2" t="s">
        <v>22</v>
      </c>
      <c r="J496" s="15">
        <v>60000</v>
      </c>
      <c r="K496" s="2">
        <v>6</v>
      </c>
      <c r="L496" s="2" t="s">
        <v>24</v>
      </c>
      <c r="M496" s="12">
        <f t="shared" si="9"/>
        <v>48000</v>
      </c>
      <c r="N496" s="10">
        <f>PRODUCT(Table_13[[#This Row],[Unit Price]],Table_13[[#This Row],[Quantity]])</f>
        <v>360000</v>
      </c>
      <c r="O496" s="16">
        <f>PRODUCT(Table_13[[#This Row],[Cost Price]],Table_13[[#This Row],[Quantity]])</f>
        <v>288000</v>
      </c>
      <c r="P496" s="27">
        <f t="shared" si="17"/>
        <v>72000</v>
      </c>
    </row>
    <row r="497" spans="1:16" x14ac:dyDescent="0.2">
      <c r="A497" s="33">
        <v>46171</v>
      </c>
      <c r="B497" s="30">
        <f t="shared" si="16"/>
        <v>5</v>
      </c>
      <c r="C497" s="30" t="str">
        <f>_xlfn.IFS(Table_13[[#This Row],[Month]]=1,"JAN",Table_13[[#This Row],[Month]]=2,"FEB",B497=3,"MAR",B497=4,"APR",B497=5,"MAY",B497=6,"JUN",B497=7,"JUL",B497=8,"AUG",Table_13[[#This Row],[Month]]=9,"SEPT",B497=10,"OCT",B497=11,"NOV",B497=12,"DEC")</f>
        <v>MAY</v>
      </c>
      <c r="D497" s="2" t="s">
        <v>29</v>
      </c>
      <c r="E497" s="2" t="s">
        <v>32</v>
      </c>
      <c r="F497" s="2" t="s">
        <v>23</v>
      </c>
      <c r="G497" s="2" t="s">
        <v>20</v>
      </c>
      <c r="H497" s="2" t="s">
        <v>36</v>
      </c>
      <c r="I497" s="2" t="s">
        <v>31</v>
      </c>
      <c r="J497" s="15">
        <v>150000</v>
      </c>
      <c r="K497" s="2">
        <v>2</v>
      </c>
      <c r="L497" s="2" t="s">
        <v>24</v>
      </c>
      <c r="M497" s="12">
        <f t="shared" si="9"/>
        <v>120000</v>
      </c>
      <c r="N497" s="10">
        <f>PRODUCT(Table_13[[#This Row],[Unit Price]],Table_13[[#This Row],[Quantity]])</f>
        <v>300000</v>
      </c>
      <c r="O497" s="16">
        <f>PRODUCT(Table_13[[#This Row],[Cost Price]],Table_13[[#This Row],[Quantity]])</f>
        <v>240000</v>
      </c>
      <c r="P497" s="27">
        <f t="shared" si="17"/>
        <v>60000</v>
      </c>
    </row>
    <row r="498" spans="1:16" x14ac:dyDescent="0.2">
      <c r="A498" s="33">
        <v>46172</v>
      </c>
      <c r="B498" s="30">
        <f t="shared" si="16"/>
        <v>5</v>
      </c>
      <c r="C498" s="30" t="str">
        <f>_xlfn.IFS(Table_13[[#This Row],[Month]]=1,"JAN",Table_13[[#This Row],[Month]]=2,"FEB",B498=3,"MAR",B498=4,"APR",B498=5,"MAY",B498=6,"JUN",B498=7,"JUL",B498=8,"AUG",Table_13[[#This Row],[Month]]=9,"SEPT",B498=10,"OCT",B498=11,"NOV",B498=12,"DEC")</f>
        <v>MAY</v>
      </c>
      <c r="D498" s="2" t="s">
        <v>18</v>
      </c>
      <c r="E498" s="2" t="s">
        <v>26</v>
      </c>
      <c r="F498" s="2" t="s">
        <v>23</v>
      </c>
      <c r="G498" s="2" t="s">
        <v>14</v>
      </c>
      <c r="H498" s="2" t="s">
        <v>15</v>
      </c>
      <c r="I498" s="2" t="s">
        <v>16</v>
      </c>
      <c r="J498" s="15">
        <v>85000</v>
      </c>
      <c r="K498" s="2">
        <v>2</v>
      </c>
      <c r="L498" s="2" t="s">
        <v>17</v>
      </c>
      <c r="M498" s="12">
        <f t="shared" si="9"/>
        <v>68000</v>
      </c>
      <c r="N498" s="10">
        <f>PRODUCT(Table_13[[#This Row],[Unit Price]],Table_13[[#This Row],[Quantity]])</f>
        <v>170000</v>
      </c>
      <c r="O498" s="16">
        <f>PRODUCT(Table_13[[#This Row],[Cost Price]],Table_13[[#This Row],[Quantity]])</f>
        <v>136000</v>
      </c>
      <c r="P498" s="27">
        <f t="shared" si="17"/>
        <v>34000</v>
      </c>
    </row>
    <row r="499" spans="1:16" x14ac:dyDescent="0.2">
      <c r="A499" s="33">
        <v>46173</v>
      </c>
      <c r="B499" s="30">
        <f t="shared" si="16"/>
        <v>5</v>
      </c>
      <c r="C499" s="30" t="str">
        <f>_xlfn.IFS(Table_13[[#This Row],[Month]]=1,"JAN",Table_13[[#This Row],[Month]]=2,"FEB",B499=3,"MAR",B499=4,"APR",B499=5,"MAY",B499=6,"JUN",B499=7,"JUL",B499=8,"AUG",Table_13[[#This Row],[Month]]=9,"SEPT",B499=10,"OCT",B499=11,"NOV",B499=12,"DEC")</f>
        <v>MAY</v>
      </c>
      <c r="D499" s="2" t="s">
        <v>25</v>
      </c>
      <c r="E499" s="2" t="s">
        <v>19</v>
      </c>
      <c r="F499" s="2" t="s">
        <v>13</v>
      </c>
      <c r="G499" s="2" t="s">
        <v>20</v>
      </c>
      <c r="H499" s="2" t="s">
        <v>30</v>
      </c>
      <c r="I499" s="2" t="s">
        <v>31</v>
      </c>
      <c r="J499" s="15">
        <v>300000</v>
      </c>
      <c r="K499" s="2">
        <v>5</v>
      </c>
      <c r="L499" s="2" t="s">
        <v>35</v>
      </c>
      <c r="M499" s="12">
        <f t="shared" si="9"/>
        <v>240000</v>
      </c>
      <c r="N499" s="10">
        <f>PRODUCT(Table_13[[#This Row],[Unit Price]],Table_13[[#This Row],[Quantity]])</f>
        <v>1500000</v>
      </c>
      <c r="O499" s="16">
        <f>PRODUCT(Table_13[[#This Row],[Cost Price]],Table_13[[#This Row],[Quantity]])</f>
        <v>1200000</v>
      </c>
      <c r="P499" s="27">
        <f t="shared" si="17"/>
        <v>300000</v>
      </c>
    </row>
    <row r="500" spans="1:16" x14ac:dyDescent="0.2">
      <c r="A500" s="33">
        <v>46174</v>
      </c>
      <c r="B500" s="30">
        <f t="shared" si="16"/>
        <v>6</v>
      </c>
      <c r="C500" s="30" t="str">
        <f>_xlfn.IFS(Table_13[[#This Row],[Month]]=1,"JAN",Table_13[[#This Row],[Month]]=2,"FEB",B500=3,"MAR",B500=4,"APR",B500=5,"MAY",B500=6,"JUN",B500=7,"JUL",B500=8,"AUG",Table_13[[#This Row],[Month]]=9,"SEPT",B500=10,"OCT",B500=11,"NOV",B500=12,"DEC")</f>
        <v>JUN</v>
      </c>
      <c r="D500" s="2" t="s">
        <v>18</v>
      </c>
      <c r="E500" s="2" t="s">
        <v>26</v>
      </c>
      <c r="F500" s="2" t="s">
        <v>23</v>
      </c>
      <c r="G500" s="2" t="s">
        <v>14</v>
      </c>
      <c r="H500" s="2" t="s">
        <v>38</v>
      </c>
      <c r="I500" s="2" t="s">
        <v>31</v>
      </c>
      <c r="J500" s="15">
        <v>420000</v>
      </c>
      <c r="K500" s="2">
        <v>10</v>
      </c>
      <c r="L500" s="2" t="s">
        <v>35</v>
      </c>
      <c r="M500" s="12">
        <f t="shared" si="9"/>
        <v>336000</v>
      </c>
      <c r="N500" s="10">
        <f>PRODUCT(Table_13[[#This Row],[Unit Price]],Table_13[[#This Row],[Quantity]])</f>
        <v>4200000</v>
      </c>
      <c r="O500" s="16">
        <f>PRODUCT(Table_13[[#This Row],[Cost Price]],Table_13[[#This Row],[Quantity]])</f>
        <v>3360000</v>
      </c>
      <c r="P500" s="27">
        <f t="shared" si="17"/>
        <v>840000</v>
      </c>
    </row>
    <row r="501" spans="1:16" x14ac:dyDescent="0.2">
      <c r="A501" s="33">
        <v>46175</v>
      </c>
      <c r="B501" s="30">
        <f t="shared" si="16"/>
        <v>6</v>
      </c>
      <c r="C501" s="30" t="str">
        <f>_xlfn.IFS(Table_13[[#This Row],[Month]]=1,"JAN",Table_13[[#This Row],[Month]]=2,"FEB",B501=3,"MAR",B501=4,"APR",B501=5,"MAY",B501=6,"JUN",B501=7,"JUL",B501=8,"AUG",Table_13[[#This Row],[Month]]=9,"SEPT",B501=10,"OCT",B501=11,"NOV",B501=12,"DEC")</f>
        <v>JUN</v>
      </c>
      <c r="D501" s="2" t="s">
        <v>11</v>
      </c>
      <c r="E501" s="2" t="s">
        <v>32</v>
      </c>
      <c r="F501" s="2" t="s">
        <v>23</v>
      </c>
      <c r="G501" s="2" t="s">
        <v>14</v>
      </c>
      <c r="H501" s="2" t="s">
        <v>33</v>
      </c>
      <c r="I501" s="2" t="s">
        <v>22</v>
      </c>
      <c r="J501" s="15">
        <v>180000</v>
      </c>
      <c r="K501" s="2">
        <v>6</v>
      </c>
      <c r="L501" s="2" t="s">
        <v>24</v>
      </c>
      <c r="M501" s="12">
        <f t="shared" si="9"/>
        <v>144000</v>
      </c>
      <c r="N501" s="10">
        <f>PRODUCT(Table_13[[#This Row],[Unit Price]],Table_13[[#This Row],[Quantity]])</f>
        <v>1080000</v>
      </c>
      <c r="O501" s="16">
        <f>PRODUCT(Table_13[[#This Row],[Cost Price]],Table_13[[#This Row],[Quantity]])</f>
        <v>864000</v>
      </c>
      <c r="P501" s="27">
        <f t="shared" si="17"/>
        <v>216000</v>
      </c>
    </row>
    <row r="502" spans="1:16" x14ac:dyDescent="0.2">
      <c r="A502" s="33">
        <v>46176</v>
      </c>
      <c r="B502" s="30">
        <f t="shared" si="16"/>
        <v>6</v>
      </c>
      <c r="C502" s="30" t="str">
        <f>_xlfn.IFS(Table_13[[#This Row],[Month]]=1,"JAN",Table_13[[#This Row],[Month]]=2,"FEB",B502=3,"MAR",B502=4,"APR",B502=5,"MAY",B502=6,"JUN",B502=7,"JUL",B502=8,"AUG",Table_13[[#This Row],[Month]]=9,"SEPT",B502=10,"OCT",B502=11,"NOV",B502=12,"DEC")</f>
        <v>JUN</v>
      </c>
      <c r="D502" s="2" t="s">
        <v>18</v>
      </c>
      <c r="E502" s="2" t="s">
        <v>32</v>
      </c>
      <c r="F502" s="2" t="s">
        <v>13</v>
      </c>
      <c r="G502" s="2" t="s">
        <v>20</v>
      </c>
      <c r="H502" s="2" t="s">
        <v>15</v>
      </c>
      <c r="I502" s="2" t="s">
        <v>16</v>
      </c>
      <c r="J502" s="15">
        <v>85000</v>
      </c>
      <c r="K502" s="2">
        <v>4</v>
      </c>
      <c r="L502" s="2" t="s">
        <v>35</v>
      </c>
      <c r="M502" s="12">
        <f t="shared" si="9"/>
        <v>68000</v>
      </c>
      <c r="N502" s="10">
        <f>PRODUCT(Table_13[[#This Row],[Unit Price]],Table_13[[#This Row],[Quantity]])</f>
        <v>340000</v>
      </c>
      <c r="O502" s="16">
        <f>PRODUCT(Table_13[[#This Row],[Cost Price]],Table_13[[#This Row],[Quantity]])</f>
        <v>272000</v>
      </c>
      <c r="P502" s="27">
        <f t="shared" si="17"/>
        <v>68000</v>
      </c>
    </row>
    <row r="503" spans="1:16" x14ac:dyDescent="0.2">
      <c r="A503" s="33">
        <v>46177</v>
      </c>
      <c r="B503" s="30">
        <f t="shared" si="16"/>
        <v>6</v>
      </c>
      <c r="C503" s="30" t="str">
        <f>_xlfn.IFS(Table_13[[#This Row],[Month]]=1,"JAN",Table_13[[#This Row],[Month]]=2,"FEB",B503=3,"MAR",B503=4,"APR",B503=5,"MAY",B503=6,"JUN",B503=7,"JUL",B503=8,"AUG",Table_13[[#This Row],[Month]]=9,"SEPT",B503=10,"OCT",B503=11,"NOV",B503=12,"DEC")</f>
        <v>JUN</v>
      </c>
      <c r="D503" s="2" t="s">
        <v>29</v>
      </c>
      <c r="E503" s="2" t="s">
        <v>26</v>
      </c>
      <c r="F503" s="2" t="s">
        <v>23</v>
      </c>
      <c r="G503" s="2" t="s">
        <v>14</v>
      </c>
      <c r="H503" s="2" t="s">
        <v>30</v>
      </c>
      <c r="I503" s="2" t="s">
        <v>31</v>
      </c>
      <c r="J503" s="15">
        <v>300000</v>
      </c>
      <c r="K503" s="2">
        <v>4</v>
      </c>
      <c r="L503" s="2" t="s">
        <v>37</v>
      </c>
      <c r="M503" s="12">
        <f t="shared" si="9"/>
        <v>240000</v>
      </c>
      <c r="N503" s="10">
        <f>PRODUCT(Table_13[[#This Row],[Unit Price]],Table_13[[#This Row],[Quantity]])</f>
        <v>1200000</v>
      </c>
      <c r="O503" s="16">
        <f>PRODUCT(Table_13[[#This Row],[Cost Price]],Table_13[[#This Row],[Quantity]])</f>
        <v>960000</v>
      </c>
      <c r="P503" s="27">
        <f t="shared" si="17"/>
        <v>240000</v>
      </c>
    </row>
    <row r="504" spans="1:16" x14ac:dyDescent="0.2">
      <c r="A504" s="33">
        <v>46178</v>
      </c>
      <c r="B504" s="30">
        <f t="shared" si="16"/>
        <v>6</v>
      </c>
      <c r="C504" s="30" t="str">
        <f>_xlfn.IFS(Table_13[[#This Row],[Month]]=1,"JAN",Table_13[[#This Row],[Month]]=2,"FEB",B504=3,"MAR",B504=4,"APR",B504=5,"MAY",B504=6,"JUN",B504=7,"JUL",B504=8,"AUG",Table_13[[#This Row],[Month]]=9,"SEPT",B504=10,"OCT",B504=11,"NOV",B504=12,"DEC")</f>
        <v>JUN</v>
      </c>
      <c r="D504" s="2" t="s">
        <v>25</v>
      </c>
      <c r="E504" s="2" t="s">
        <v>32</v>
      </c>
      <c r="F504" s="2" t="s">
        <v>13</v>
      </c>
      <c r="G504" s="2" t="s">
        <v>14</v>
      </c>
      <c r="H504" s="2" t="s">
        <v>15</v>
      </c>
      <c r="I504" s="2" t="s">
        <v>16</v>
      </c>
      <c r="J504" s="15">
        <v>85000</v>
      </c>
      <c r="K504" s="2">
        <v>3</v>
      </c>
      <c r="L504" s="2" t="s">
        <v>35</v>
      </c>
      <c r="M504" s="12">
        <f t="shared" si="9"/>
        <v>68000</v>
      </c>
      <c r="N504" s="10">
        <f>PRODUCT(Table_13[[#This Row],[Unit Price]],Table_13[[#This Row],[Quantity]])</f>
        <v>255000</v>
      </c>
      <c r="O504" s="16">
        <f>PRODUCT(Table_13[[#This Row],[Cost Price]],Table_13[[#This Row],[Quantity]])</f>
        <v>204000</v>
      </c>
      <c r="P504" s="27">
        <f t="shared" si="17"/>
        <v>51000</v>
      </c>
    </row>
    <row r="505" spans="1:16" x14ac:dyDescent="0.2">
      <c r="A505" s="33">
        <v>46179</v>
      </c>
      <c r="B505" s="30">
        <f t="shared" si="16"/>
        <v>6</v>
      </c>
      <c r="C505" s="30" t="str">
        <f>_xlfn.IFS(Table_13[[#This Row],[Month]]=1,"JAN",Table_13[[#This Row],[Month]]=2,"FEB",B505=3,"MAR",B505=4,"APR",B505=5,"MAY",B505=6,"JUN",B505=7,"JUL",B505=8,"AUG",Table_13[[#This Row],[Month]]=9,"SEPT",B505=10,"OCT",B505=11,"NOV",B505=12,"DEC")</f>
        <v>JUN</v>
      </c>
      <c r="D505" s="2" t="s">
        <v>29</v>
      </c>
      <c r="E505" s="2" t="s">
        <v>12</v>
      </c>
      <c r="F505" s="2" t="s">
        <v>13</v>
      </c>
      <c r="G505" s="2" t="s">
        <v>20</v>
      </c>
      <c r="H505" s="2" t="s">
        <v>41</v>
      </c>
      <c r="I505" s="2" t="s">
        <v>22</v>
      </c>
      <c r="J505" s="15">
        <v>220000</v>
      </c>
      <c r="K505" s="2">
        <v>9</v>
      </c>
      <c r="L505" s="2" t="s">
        <v>37</v>
      </c>
      <c r="M505" s="12">
        <f t="shared" si="9"/>
        <v>176000</v>
      </c>
      <c r="N505" s="10">
        <f>PRODUCT(Table_13[[#This Row],[Unit Price]],Table_13[[#This Row],[Quantity]])</f>
        <v>1980000</v>
      </c>
      <c r="O505" s="16">
        <f>PRODUCT(Table_13[[#This Row],[Cost Price]],Table_13[[#This Row],[Quantity]])</f>
        <v>1584000</v>
      </c>
      <c r="P505" s="27">
        <f t="shared" si="17"/>
        <v>396000</v>
      </c>
    </row>
    <row r="506" spans="1:16" x14ac:dyDescent="0.2">
      <c r="A506" s="33">
        <v>46180</v>
      </c>
      <c r="B506" s="30">
        <f t="shared" si="16"/>
        <v>6</v>
      </c>
      <c r="C506" s="30" t="str">
        <f>_xlfn.IFS(Table_13[[#This Row],[Month]]=1,"JAN",Table_13[[#This Row],[Month]]=2,"FEB",B506=3,"MAR",B506=4,"APR",B506=5,"MAY",B506=6,"JUN",B506=7,"JUL",B506=8,"AUG",Table_13[[#This Row],[Month]]=9,"SEPT",B506=10,"OCT",B506=11,"NOV",B506=12,"DEC")</f>
        <v>JUN</v>
      </c>
      <c r="D506" s="2" t="s">
        <v>11</v>
      </c>
      <c r="E506" s="2" t="s">
        <v>26</v>
      </c>
      <c r="F506" s="2" t="s">
        <v>23</v>
      </c>
      <c r="G506" s="2" t="s">
        <v>14</v>
      </c>
      <c r="H506" s="2" t="s">
        <v>33</v>
      </c>
      <c r="I506" s="2" t="s">
        <v>22</v>
      </c>
      <c r="J506" s="15">
        <v>180000</v>
      </c>
      <c r="K506" s="2">
        <v>3</v>
      </c>
      <c r="L506" s="2" t="s">
        <v>35</v>
      </c>
      <c r="M506" s="12">
        <f t="shared" si="9"/>
        <v>144000</v>
      </c>
      <c r="N506" s="10">
        <f>PRODUCT(Table_13[[#This Row],[Unit Price]],Table_13[[#This Row],[Quantity]])</f>
        <v>540000</v>
      </c>
      <c r="O506" s="16">
        <f>PRODUCT(Table_13[[#This Row],[Cost Price]],Table_13[[#This Row],[Quantity]])</f>
        <v>432000</v>
      </c>
      <c r="P506" s="27">
        <f t="shared" si="17"/>
        <v>108000</v>
      </c>
    </row>
    <row r="507" spans="1:16" x14ac:dyDescent="0.2">
      <c r="A507" s="33">
        <v>46181</v>
      </c>
      <c r="B507" s="30">
        <f t="shared" si="16"/>
        <v>6</v>
      </c>
      <c r="C507" s="30" t="str">
        <f>_xlfn.IFS(Table_13[[#This Row],[Month]]=1,"JAN",Table_13[[#This Row],[Month]]=2,"FEB",B507=3,"MAR",B507=4,"APR",B507=5,"MAY",B507=6,"JUN",B507=7,"JUL",B507=8,"AUG",Table_13[[#This Row],[Month]]=9,"SEPT",B507=10,"OCT",B507=11,"NOV",B507=12,"DEC")</f>
        <v>JUN</v>
      </c>
      <c r="D507" s="2" t="s">
        <v>18</v>
      </c>
      <c r="E507" s="2" t="s">
        <v>19</v>
      </c>
      <c r="F507" s="2" t="s">
        <v>23</v>
      </c>
      <c r="G507" s="2" t="s">
        <v>20</v>
      </c>
      <c r="H507" s="2" t="s">
        <v>30</v>
      </c>
      <c r="I507" s="2" t="s">
        <v>31</v>
      </c>
      <c r="J507" s="15">
        <v>300000</v>
      </c>
      <c r="K507" s="2">
        <v>9</v>
      </c>
      <c r="L507" s="2" t="s">
        <v>24</v>
      </c>
      <c r="M507" s="12">
        <f t="shared" si="9"/>
        <v>240000</v>
      </c>
      <c r="N507" s="10">
        <f>PRODUCT(Table_13[[#This Row],[Unit Price]],Table_13[[#This Row],[Quantity]])</f>
        <v>2700000</v>
      </c>
      <c r="O507" s="16">
        <f>PRODUCT(Table_13[[#This Row],[Cost Price]],Table_13[[#This Row],[Quantity]])</f>
        <v>2160000</v>
      </c>
      <c r="P507" s="27">
        <f t="shared" si="17"/>
        <v>540000</v>
      </c>
    </row>
    <row r="508" spans="1:16" x14ac:dyDescent="0.2">
      <c r="A508" s="33">
        <v>46182</v>
      </c>
      <c r="B508" s="30">
        <f t="shared" si="16"/>
        <v>6</v>
      </c>
      <c r="C508" s="30" t="str">
        <f>_xlfn.IFS(Table_13[[#This Row],[Month]]=1,"JAN",Table_13[[#This Row],[Month]]=2,"FEB",B508=3,"MAR",B508=4,"APR",B508=5,"MAY",B508=6,"JUN",B508=7,"JUL",B508=8,"AUG",Table_13[[#This Row],[Month]]=9,"SEPT",B508=10,"OCT",B508=11,"NOV",B508=12,"DEC")</f>
        <v>JUN</v>
      </c>
      <c r="D508" s="2" t="s">
        <v>29</v>
      </c>
      <c r="E508" s="2" t="s">
        <v>12</v>
      </c>
      <c r="F508" s="2" t="s">
        <v>23</v>
      </c>
      <c r="G508" s="2" t="s">
        <v>20</v>
      </c>
      <c r="H508" s="2" t="s">
        <v>36</v>
      </c>
      <c r="I508" s="2" t="s">
        <v>31</v>
      </c>
      <c r="J508" s="15">
        <v>150000</v>
      </c>
      <c r="K508" s="2">
        <v>4</v>
      </c>
      <c r="L508" s="2" t="s">
        <v>28</v>
      </c>
      <c r="M508" s="12">
        <f t="shared" si="9"/>
        <v>120000</v>
      </c>
      <c r="N508" s="10">
        <f>PRODUCT(Table_13[[#This Row],[Unit Price]],Table_13[[#This Row],[Quantity]])</f>
        <v>600000</v>
      </c>
      <c r="O508" s="16">
        <f>PRODUCT(Table_13[[#This Row],[Cost Price]],Table_13[[#This Row],[Quantity]])</f>
        <v>480000</v>
      </c>
      <c r="P508" s="27">
        <f t="shared" si="17"/>
        <v>120000</v>
      </c>
    </row>
    <row r="509" spans="1:16" x14ac:dyDescent="0.2">
      <c r="A509" s="33">
        <v>46183</v>
      </c>
      <c r="B509" s="30">
        <f t="shared" si="16"/>
        <v>6</v>
      </c>
      <c r="C509" s="30" t="str">
        <f>_xlfn.IFS(Table_13[[#This Row],[Month]]=1,"JAN",Table_13[[#This Row],[Month]]=2,"FEB",B509=3,"MAR",B509=4,"APR",B509=5,"MAY",B509=6,"JUN",B509=7,"JUL",B509=8,"AUG",Table_13[[#This Row],[Month]]=9,"SEPT",B509=10,"OCT",B509=11,"NOV",B509=12,"DEC")</f>
        <v>JUN</v>
      </c>
      <c r="D509" s="2" t="s">
        <v>18</v>
      </c>
      <c r="E509" s="2" t="s">
        <v>32</v>
      </c>
      <c r="F509" s="2" t="s">
        <v>23</v>
      </c>
      <c r="G509" s="2" t="s">
        <v>20</v>
      </c>
      <c r="H509" s="2" t="s">
        <v>34</v>
      </c>
      <c r="I509" s="2" t="s">
        <v>16</v>
      </c>
      <c r="J509" s="15">
        <v>320000</v>
      </c>
      <c r="K509" s="2">
        <v>8</v>
      </c>
      <c r="L509" s="2" t="s">
        <v>37</v>
      </c>
      <c r="M509" s="12">
        <f t="shared" si="9"/>
        <v>256000</v>
      </c>
      <c r="N509" s="10">
        <f>PRODUCT(Table_13[[#This Row],[Unit Price]],Table_13[[#This Row],[Quantity]])</f>
        <v>2560000</v>
      </c>
      <c r="O509" s="16">
        <f>PRODUCT(Table_13[[#This Row],[Cost Price]],Table_13[[#This Row],[Quantity]])</f>
        <v>2048000</v>
      </c>
      <c r="P509" s="27">
        <f t="shared" si="17"/>
        <v>512000</v>
      </c>
    </row>
    <row r="510" spans="1:16" x14ac:dyDescent="0.2">
      <c r="A510" s="33">
        <v>46184</v>
      </c>
      <c r="B510" s="30">
        <f t="shared" si="16"/>
        <v>6</v>
      </c>
      <c r="C510" s="30" t="str">
        <f>_xlfn.IFS(Table_13[[#This Row],[Month]]=1,"JAN",Table_13[[#This Row],[Month]]=2,"FEB",B510=3,"MAR",B510=4,"APR",B510=5,"MAY",B510=6,"JUN",B510=7,"JUL",B510=8,"AUG",Table_13[[#This Row],[Month]]=9,"SEPT",B510=10,"OCT",B510=11,"NOV",B510=12,"DEC")</f>
        <v>JUN</v>
      </c>
      <c r="D510" s="2" t="s">
        <v>29</v>
      </c>
      <c r="E510" s="2" t="s">
        <v>32</v>
      </c>
      <c r="F510" s="2" t="s">
        <v>13</v>
      </c>
      <c r="G510" s="2" t="s">
        <v>14</v>
      </c>
      <c r="H510" s="2" t="s">
        <v>34</v>
      </c>
      <c r="I510" s="2" t="s">
        <v>16</v>
      </c>
      <c r="J510" s="15">
        <v>320000</v>
      </c>
      <c r="K510" s="2">
        <v>7</v>
      </c>
      <c r="L510" s="2" t="s">
        <v>39</v>
      </c>
      <c r="M510" s="12">
        <f t="shared" si="9"/>
        <v>256000</v>
      </c>
      <c r="N510" s="10">
        <f>PRODUCT(Table_13[[#This Row],[Unit Price]],Table_13[[#This Row],[Quantity]])</f>
        <v>2240000</v>
      </c>
      <c r="O510" s="16">
        <f>PRODUCT(Table_13[[#This Row],[Cost Price]],Table_13[[#This Row],[Quantity]])</f>
        <v>1792000</v>
      </c>
      <c r="P510" s="27">
        <f t="shared" si="17"/>
        <v>448000</v>
      </c>
    </row>
    <row r="511" spans="1:16" x14ac:dyDescent="0.2">
      <c r="A511" s="33">
        <v>46185</v>
      </c>
      <c r="B511" s="30">
        <f t="shared" si="16"/>
        <v>6</v>
      </c>
      <c r="C511" s="30" t="str">
        <f>_xlfn.IFS(Table_13[[#This Row],[Month]]=1,"JAN",Table_13[[#This Row],[Month]]=2,"FEB",B511=3,"MAR",B511=4,"APR",B511=5,"MAY",B511=6,"JUN",B511=7,"JUL",B511=8,"AUG",Table_13[[#This Row],[Month]]=9,"SEPT",B511=10,"OCT",B511=11,"NOV",B511=12,"DEC")</f>
        <v>JUN</v>
      </c>
      <c r="D511" s="2" t="s">
        <v>18</v>
      </c>
      <c r="E511" s="2" t="s">
        <v>32</v>
      </c>
      <c r="F511" s="2" t="s">
        <v>13</v>
      </c>
      <c r="G511" s="2" t="s">
        <v>20</v>
      </c>
      <c r="H511" s="2" t="s">
        <v>41</v>
      </c>
      <c r="I511" s="2" t="s">
        <v>22</v>
      </c>
      <c r="J511" s="15">
        <v>220000</v>
      </c>
      <c r="K511" s="2">
        <v>10</v>
      </c>
      <c r="L511" s="2" t="s">
        <v>28</v>
      </c>
      <c r="M511" s="12">
        <f t="shared" si="9"/>
        <v>176000</v>
      </c>
      <c r="N511" s="10">
        <f>PRODUCT(Table_13[[#This Row],[Unit Price]],Table_13[[#This Row],[Quantity]])</f>
        <v>2200000</v>
      </c>
      <c r="O511" s="16">
        <f>PRODUCT(Table_13[[#This Row],[Cost Price]],Table_13[[#This Row],[Quantity]])</f>
        <v>1760000</v>
      </c>
      <c r="P511" s="27">
        <f t="shared" si="17"/>
        <v>440000</v>
      </c>
    </row>
    <row r="512" spans="1:16" x14ac:dyDescent="0.2">
      <c r="A512" s="33">
        <v>46186</v>
      </c>
      <c r="B512" s="30">
        <f t="shared" si="16"/>
        <v>6</v>
      </c>
      <c r="C512" s="30" t="str">
        <f>_xlfn.IFS(Table_13[[#This Row],[Month]]=1,"JAN",Table_13[[#This Row],[Month]]=2,"FEB",B512=3,"MAR",B512=4,"APR",B512=5,"MAY",B512=6,"JUN",B512=7,"JUL",B512=8,"AUG",Table_13[[#This Row],[Month]]=9,"SEPT",B512=10,"OCT",B512=11,"NOV",B512=12,"DEC")</f>
        <v>JUN</v>
      </c>
      <c r="D512" s="2" t="s">
        <v>25</v>
      </c>
      <c r="E512" s="2" t="s">
        <v>19</v>
      </c>
      <c r="F512" s="2" t="s">
        <v>13</v>
      </c>
      <c r="G512" s="2" t="s">
        <v>20</v>
      </c>
      <c r="H512" s="2" t="s">
        <v>21</v>
      </c>
      <c r="I512" s="2" t="s">
        <v>22</v>
      </c>
      <c r="J512" s="15">
        <v>30000</v>
      </c>
      <c r="K512" s="2">
        <v>7</v>
      </c>
      <c r="L512" s="2" t="s">
        <v>28</v>
      </c>
      <c r="M512" s="12">
        <f t="shared" ref="M512:M766" si="18">J512-J512*0.2</f>
        <v>24000</v>
      </c>
      <c r="N512" s="10">
        <f>PRODUCT(Table_13[[#This Row],[Unit Price]],Table_13[[#This Row],[Quantity]])</f>
        <v>210000</v>
      </c>
      <c r="O512" s="16">
        <f>PRODUCT(Table_13[[#This Row],[Cost Price]],Table_13[[#This Row],[Quantity]])</f>
        <v>168000</v>
      </c>
      <c r="P512" s="27">
        <f t="shared" si="17"/>
        <v>42000</v>
      </c>
    </row>
    <row r="513" spans="1:16" x14ac:dyDescent="0.2">
      <c r="A513" s="33">
        <v>46187</v>
      </c>
      <c r="B513" s="30">
        <f t="shared" si="16"/>
        <v>6</v>
      </c>
      <c r="C513" s="30" t="str">
        <f>_xlfn.IFS(Table_13[[#This Row],[Month]]=1,"JAN",Table_13[[#This Row],[Month]]=2,"FEB",B513=3,"MAR",B513=4,"APR",B513=5,"MAY",B513=6,"JUN",B513=7,"JUL",B513=8,"AUG",Table_13[[#This Row],[Month]]=9,"SEPT",B513=10,"OCT",B513=11,"NOV",B513=12,"DEC")</f>
        <v>JUN</v>
      </c>
      <c r="D513" s="2" t="s">
        <v>18</v>
      </c>
      <c r="E513" s="2" t="s">
        <v>26</v>
      </c>
      <c r="F513" s="2" t="s">
        <v>13</v>
      </c>
      <c r="G513" s="2" t="s">
        <v>14</v>
      </c>
      <c r="H513" s="2" t="s">
        <v>34</v>
      </c>
      <c r="I513" s="2" t="s">
        <v>16</v>
      </c>
      <c r="J513" s="15">
        <v>320000</v>
      </c>
      <c r="K513" s="2">
        <v>2</v>
      </c>
      <c r="L513" s="2" t="s">
        <v>28</v>
      </c>
      <c r="M513" s="12">
        <f t="shared" si="18"/>
        <v>256000</v>
      </c>
      <c r="N513" s="10">
        <f>PRODUCT(Table_13[[#This Row],[Unit Price]],Table_13[[#This Row],[Quantity]])</f>
        <v>640000</v>
      </c>
      <c r="O513" s="16">
        <f>PRODUCT(Table_13[[#This Row],[Cost Price]],Table_13[[#This Row],[Quantity]])</f>
        <v>512000</v>
      </c>
      <c r="P513" s="27">
        <f t="shared" si="17"/>
        <v>128000</v>
      </c>
    </row>
    <row r="514" spans="1:16" x14ac:dyDescent="0.2">
      <c r="A514" s="33">
        <v>46188</v>
      </c>
      <c r="B514" s="30">
        <f t="shared" ref="B514:B577" si="19">MONTH(A514)</f>
        <v>6</v>
      </c>
      <c r="C514" s="30" t="str">
        <f>_xlfn.IFS(Table_13[[#This Row],[Month]]=1,"JAN",Table_13[[#This Row],[Month]]=2,"FEB",B514=3,"MAR",B514=4,"APR",B514=5,"MAY",B514=6,"JUN",B514=7,"JUL",B514=8,"AUG",Table_13[[#This Row],[Month]]=9,"SEPT",B514=10,"OCT",B514=11,"NOV",B514=12,"DEC")</f>
        <v>JUN</v>
      </c>
      <c r="D514" s="2" t="s">
        <v>29</v>
      </c>
      <c r="E514" s="2" t="s">
        <v>26</v>
      </c>
      <c r="F514" s="2" t="s">
        <v>23</v>
      </c>
      <c r="G514" s="2" t="s">
        <v>20</v>
      </c>
      <c r="H514" s="2" t="s">
        <v>30</v>
      </c>
      <c r="I514" s="2" t="s">
        <v>31</v>
      </c>
      <c r="J514" s="15">
        <v>300000</v>
      </c>
      <c r="K514" s="2">
        <v>3</v>
      </c>
      <c r="L514" s="2" t="s">
        <v>37</v>
      </c>
      <c r="M514" s="12">
        <f t="shared" si="18"/>
        <v>240000</v>
      </c>
      <c r="N514" s="10">
        <f>PRODUCT(Table_13[[#This Row],[Unit Price]],Table_13[[#This Row],[Quantity]])</f>
        <v>900000</v>
      </c>
      <c r="O514" s="16">
        <f>PRODUCT(Table_13[[#This Row],[Cost Price]],Table_13[[#This Row],[Quantity]])</f>
        <v>720000</v>
      </c>
      <c r="P514" s="27">
        <f t="shared" ref="P514:P577" si="20">N514-O514</f>
        <v>180000</v>
      </c>
    </row>
    <row r="515" spans="1:16" x14ac:dyDescent="0.2">
      <c r="A515" s="33">
        <v>46189</v>
      </c>
      <c r="B515" s="30">
        <f t="shared" si="19"/>
        <v>6</v>
      </c>
      <c r="C515" s="30" t="str">
        <f>_xlfn.IFS(Table_13[[#This Row],[Month]]=1,"JAN",Table_13[[#This Row],[Month]]=2,"FEB",B515=3,"MAR",B515=4,"APR",B515=5,"MAY",B515=6,"JUN",B515=7,"JUL",B515=8,"AUG",Table_13[[#This Row],[Month]]=9,"SEPT",B515=10,"OCT",B515=11,"NOV",B515=12,"DEC")</f>
        <v>JUN</v>
      </c>
      <c r="D515" s="2" t="s">
        <v>25</v>
      </c>
      <c r="E515" s="2" t="s">
        <v>12</v>
      </c>
      <c r="F515" s="2" t="s">
        <v>13</v>
      </c>
      <c r="G515" s="2" t="s">
        <v>14</v>
      </c>
      <c r="H515" s="2" t="s">
        <v>30</v>
      </c>
      <c r="I515" s="2" t="s">
        <v>31</v>
      </c>
      <c r="J515" s="15">
        <v>300000</v>
      </c>
      <c r="K515" s="2">
        <v>3</v>
      </c>
      <c r="L515" s="2" t="s">
        <v>28</v>
      </c>
      <c r="M515" s="12">
        <f t="shared" si="18"/>
        <v>240000</v>
      </c>
      <c r="N515" s="10">
        <f>PRODUCT(Table_13[[#This Row],[Unit Price]],Table_13[[#This Row],[Quantity]])</f>
        <v>900000</v>
      </c>
      <c r="O515" s="16">
        <f>PRODUCT(Table_13[[#This Row],[Cost Price]],Table_13[[#This Row],[Quantity]])</f>
        <v>720000</v>
      </c>
      <c r="P515" s="27">
        <f t="shared" si="20"/>
        <v>180000</v>
      </c>
    </row>
    <row r="516" spans="1:16" x14ac:dyDescent="0.2">
      <c r="A516" s="33">
        <v>46190</v>
      </c>
      <c r="B516" s="30">
        <f t="shared" si="19"/>
        <v>6</v>
      </c>
      <c r="C516" s="30" t="str">
        <f>_xlfn.IFS(Table_13[[#This Row],[Month]]=1,"JAN",Table_13[[#This Row],[Month]]=2,"FEB",B516=3,"MAR",B516=4,"APR",B516=5,"MAY",B516=6,"JUN",B516=7,"JUL",B516=8,"AUG",Table_13[[#This Row],[Month]]=9,"SEPT",B516=10,"OCT",B516=11,"NOV",B516=12,"DEC")</f>
        <v>JUN</v>
      </c>
      <c r="D516" s="2" t="s">
        <v>25</v>
      </c>
      <c r="E516" s="2" t="s">
        <v>32</v>
      </c>
      <c r="F516" s="2" t="s">
        <v>13</v>
      </c>
      <c r="G516" s="2" t="s">
        <v>20</v>
      </c>
      <c r="H516" s="2" t="s">
        <v>36</v>
      </c>
      <c r="I516" s="2" t="s">
        <v>31</v>
      </c>
      <c r="J516" s="15">
        <v>150000</v>
      </c>
      <c r="K516" s="2">
        <v>10</v>
      </c>
      <c r="L516" s="2" t="s">
        <v>28</v>
      </c>
      <c r="M516" s="12">
        <f t="shared" si="18"/>
        <v>120000</v>
      </c>
      <c r="N516" s="10">
        <f>PRODUCT(Table_13[[#This Row],[Unit Price]],Table_13[[#This Row],[Quantity]])</f>
        <v>1500000</v>
      </c>
      <c r="O516" s="16">
        <f>PRODUCT(Table_13[[#This Row],[Cost Price]],Table_13[[#This Row],[Quantity]])</f>
        <v>1200000</v>
      </c>
      <c r="P516" s="27">
        <f t="shared" si="20"/>
        <v>300000</v>
      </c>
    </row>
    <row r="517" spans="1:16" x14ac:dyDescent="0.2">
      <c r="A517" s="33">
        <v>46191</v>
      </c>
      <c r="B517" s="30">
        <f t="shared" si="19"/>
        <v>6</v>
      </c>
      <c r="C517" s="30" t="str">
        <f>_xlfn.IFS(Table_13[[#This Row],[Month]]=1,"JAN",Table_13[[#This Row],[Month]]=2,"FEB",B517=3,"MAR",B517=4,"APR",B517=5,"MAY",B517=6,"JUN",B517=7,"JUL",B517=8,"AUG",Table_13[[#This Row],[Month]]=9,"SEPT",B517=10,"OCT",B517=11,"NOV",B517=12,"DEC")</f>
        <v>JUN</v>
      </c>
      <c r="D517" s="2" t="s">
        <v>25</v>
      </c>
      <c r="E517" s="2" t="s">
        <v>19</v>
      </c>
      <c r="F517" s="2" t="s">
        <v>23</v>
      </c>
      <c r="G517" s="2" t="s">
        <v>20</v>
      </c>
      <c r="H517" s="2" t="s">
        <v>21</v>
      </c>
      <c r="I517" s="2" t="s">
        <v>22</v>
      </c>
      <c r="J517" s="15">
        <v>30000</v>
      </c>
      <c r="K517" s="2">
        <v>7</v>
      </c>
      <c r="L517" s="2" t="s">
        <v>35</v>
      </c>
      <c r="M517" s="12">
        <f t="shared" si="18"/>
        <v>24000</v>
      </c>
      <c r="N517" s="10">
        <f>PRODUCT(Table_13[[#This Row],[Unit Price]],Table_13[[#This Row],[Quantity]])</f>
        <v>210000</v>
      </c>
      <c r="O517" s="16">
        <f>PRODUCT(Table_13[[#This Row],[Cost Price]],Table_13[[#This Row],[Quantity]])</f>
        <v>168000</v>
      </c>
      <c r="P517" s="27">
        <f t="shared" si="20"/>
        <v>42000</v>
      </c>
    </row>
    <row r="518" spans="1:16" x14ac:dyDescent="0.2">
      <c r="A518" s="33">
        <v>46192</v>
      </c>
      <c r="B518" s="30">
        <f t="shared" si="19"/>
        <v>6</v>
      </c>
      <c r="C518" s="30" t="str">
        <f>_xlfn.IFS(Table_13[[#This Row],[Month]]=1,"JAN",Table_13[[#This Row],[Month]]=2,"FEB",B518=3,"MAR",B518=4,"APR",B518=5,"MAY",B518=6,"JUN",B518=7,"JUL",B518=8,"AUG",Table_13[[#This Row],[Month]]=9,"SEPT",B518=10,"OCT",B518=11,"NOV",B518=12,"DEC")</f>
        <v>JUN</v>
      </c>
      <c r="D518" s="2" t="s">
        <v>11</v>
      </c>
      <c r="E518" s="2" t="s">
        <v>12</v>
      </c>
      <c r="F518" s="2" t="s">
        <v>13</v>
      </c>
      <c r="G518" s="2" t="s">
        <v>14</v>
      </c>
      <c r="H518" s="2" t="s">
        <v>27</v>
      </c>
      <c r="I518" s="2" t="s">
        <v>22</v>
      </c>
      <c r="J518" s="15">
        <v>60000</v>
      </c>
      <c r="K518" s="2">
        <v>2</v>
      </c>
      <c r="L518" s="2" t="s">
        <v>37</v>
      </c>
      <c r="M518" s="12">
        <f t="shared" si="18"/>
        <v>48000</v>
      </c>
      <c r="N518" s="10">
        <f>PRODUCT(Table_13[[#This Row],[Unit Price]],Table_13[[#This Row],[Quantity]])</f>
        <v>120000</v>
      </c>
      <c r="O518" s="16">
        <f>PRODUCT(Table_13[[#This Row],[Cost Price]],Table_13[[#This Row],[Quantity]])</f>
        <v>96000</v>
      </c>
      <c r="P518" s="27">
        <f t="shared" si="20"/>
        <v>24000</v>
      </c>
    </row>
    <row r="519" spans="1:16" x14ac:dyDescent="0.2">
      <c r="A519" s="33">
        <v>46193</v>
      </c>
      <c r="B519" s="30">
        <f t="shared" si="19"/>
        <v>6</v>
      </c>
      <c r="C519" s="30" t="str">
        <f>_xlfn.IFS(Table_13[[#This Row],[Month]]=1,"JAN",Table_13[[#This Row],[Month]]=2,"FEB",B519=3,"MAR",B519=4,"APR",B519=5,"MAY",B519=6,"JUN",B519=7,"JUL",B519=8,"AUG",Table_13[[#This Row],[Month]]=9,"SEPT",B519=10,"OCT",B519=11,"NOV",B519=12,"DEC")</f>
        <v>JUN</v>
      </c>
      <c r="D519" s="2" t="s">
        <v>18</v>
      </c>
      <c r="E519" s="2" t="s">
        <v>19</v>
      </c>
      <c r="F519" s="2" t="s">
        <v>13</v>
      </c>
      <c r="G519" s="2" t="s">
        <v>14</v>
      </c>
      <c r="H519" s="2" t="s">
        <v>30</v>
      </c>
      <c r="I519" s="2" t="s">
        <v>31</v>
      </c>
      <c r="J519" s="15">
        <v>300000</v>
      </c>
      <c r="K519" s="2">
        <v>8</v>
      </c>
      <c r="L519" s="2" t="s">
        <v>17</v>
      </c>
      <c r="M519" s="12">
        <f t="shared" si="18"/>
        <v>240000</v>
      </c>
      <c r="N519" s="10">
        <f>PRODUCT(Table_13[[#This Row],[Unit Price]],Table_13[[#This Row],[Quantity]])</f>
        <v>2400000</v>
      </c>
      <c r="O519" s="16">
        <f>PRODUCT(Table_13[[#This Row],[Cost Price]],Table_13[[#This Row],[Quantity]])</f>
        <v>1920000</v>
      </c>
      <c r="P519" s="27">
        <f t="shared" si="20"/>
        <v>480000</v>
      </c>
    </row>
    <row r="520" spans="1:16" x14ac:dyDescent="0.2">
      <c r="A520" s="33">
        <v>46194</v>
      </c>
      <c r="B520" s="30">
        <f t="shared" si="19"/>
        <v>6</v>
      </c>
      <c r="C520" s="30" t="str">
        <f>_xlfn.IFS(Table_13[[#This Row],[Month]]=1,"JAN",Table_13[[#This Row],[Month]]=2,"FEB",B520=3,"MAR",B520=4,"APR",B520=5,"MAY",B520=6,"JUN",B520=7,"JUL",B520=8,"AUG",Table_13[[#This Row],[Month]]=9,"SEPT",B520=10,"OCT",B520=11,"NOV",B520=12,"DEC")</f>
        <v>JUN</v>
      </c>
      <c r="D520" s="2" t="s">
        <v>29</v>
      </c>
      <c r="E520" s="2" t="s">
        <v>19</v>
      </c>
      <c r="F520" s="2" t="s">
        <v>23</v>
      </c>
      <c r="G520" s="2" t="s">
        <v>20</v>
      </c>
      <c r="H520" s="2" t="s">
        <v>21</v>
      </c>
      <c r="I520" s="2" t="s">
        <v>22</v>
      </c>
      <c r="J520" s="15">
        <v>30000</v>
      </c>
      <c r="K520" s="2">
        <v>6</v>
      </c>
      <c r="L520" s="2" t="s">
        <v>28</v>
      </c>
      <c r="M520" s="12">
        <f t="shared" si="18"/>
        <v>24000</v>
      </c>
      <c r="N520" s="10">
        <f>PRODUCT(Table_13[[#This Row],[Unit Price]],Table_13[[#This Row],[Quantity]])</f>
        <v>180000</v>
      </c>
      <c r="O520" s="16">
        <f>PRODUCT(Table_13[[#This Row],[Cost Price]],Table_13[[#This Row],[Quantity]])</f>
        <v>144000</v>
      </c>
      <c r="P520" s="27">
        <f t="shared" si="20"/>
        <v>36000</v>
      </c>
    </row>
    <row r="521" spans="1:16" x14ac:dyDescent="0.2">
      <c r="A521" s="33">
        <v>46195</v>
      </c>
      <c r="B521" s="30">
        <f t="shared" si="19"/>
        <v>6</v>
      </c>
      <c r="C521" s="30" t="str">
        <f>_xlfn.IFS(Table_13[[#This Row],[Month]]=1,"JAN",Table_13[[#This Row],[Month]]=2,"FEB",B521=3,"MAR",B521=4,"APR",B521=5,"MAY",B521=6,"JUN",B521=7,"JUL",B521=8,"AUG",Table_13[[#This Row],[Month]]=9,"SEPT",B521=10,"OCT",B521=11,"NOV",B521=12,"DEC")</f>
        <v>JUN</v>
      </c>
      <c r="D521" s="2" t="s">
        <v>11</v>
      </c>
      <c r="E521" s="2" t="s">
        <v>19</v>
      </c>
      <c r="F521" s="2" t="s">
        <v>23</v>
      </c>
      <c r="G521" s="2" t="s">
        <v>14</v>
      </c>
      <c r="H521" s="2" t="s">
        <v>40</v>
      </c>
      <c r="I521" s="2" t="s">
        <v>31</v>
      </c>
      <c r="J521" s="15">
        <v>250000</v>
      </c>
      <c r="K521" s="2">
        <v>6</v>
      </c>
      <c r="L521" s="2" t="s">
        <v>24</v>
      </c>
      <c r="M521" s="12">
        <f t="shared" si="18"/>
        <v>200000</v>
      </c>
      <c r="N521" s="10">
        <f>PRODUCT(Table_13[[#This Row],[Unit Price]],Table_13[[#This Row],[Quantity]])</f>
        <v>1500000</v>
      </c>
      <c r="O521" s="16">
        <f>PRODUCT(Table_13[[#This Row],[Cost Price]],Table_13[[#This Row],[Quantity]])</f>
        <v>1200000</v>
      </c>
      <c r="P521" s="27">
        <f t="shared" si="20"/>
        <v>300000</v>
      </c>
    </row>
    <row r="522" spans="1:16" x14ac:dyDescent="0.2">
      <c r="A522" s="33">
        <v>46196</v>
      </c>
      <c r="B522" s="30">
        <f t="shared" si="19"/>
        <v>6</v>
      </c>
      <c r="C522" s="30" t="str">
        <f>_xlfn.IFS(Table_13[[#This Row],[Month]]=1,"JAN",Table_13[[#This Row],[Month]]=2,"FEB",B522=3,"MAR",B522=4,"APR",B522=5,"MAY",B522=6,"JUN",B522=7,"JUL",B522=8,"AUG",Table_13[[#This Row],[Month]]=9,"SEPT",B522=10,"OCT",B522=11,"NOV",B522=12,"DEC")</f>
        <v>JUN</v>
      </c>
      <c r="D522" s="2" t="s">
        <v>18</v>
      </c>
      <c r="E522" s="2" t="s">
        <v>32</v>
      </c>
      <c r="F522" s="2" t="s">
        <v>13</v>
      </c>
      <c r="G522" s="2" t="s">
        <v>14</v>
      </c>
      <c r="H522" s="2" t="s">
        <v>38</v>
      </c>
      <c r="I522" s="2" t="s">
        <v>31</v>
      </c>
      <c r="J522" s="15">
        <v>420000</v>
      </c>
      <c r="K522" s="2">
        <v>10</v>
      </c>
      <c r="L522" s="2" t="s">
        <v>35</v>
      </c>
      <c r="M522" s="12">
        <f t="shared" si="18"/>
        <v>336000</v>
      </c>
      <c r="N522" s="10">
        <f>PRODUCT(Table_13[[#This Row],[Unit Price]],Table_13[[#This Row],[Quantity]])</f>
        <v>4200000</v>
      </c>
      <c r="O522" s="16">
        <f>PRODUCT(Table_13[[#This Row],[Cost Price]],Table_13[[#This Row],[Quantity]])</f>
        <v>3360000</v>
      </c>
      <c r="P522" s="27">
        <f t="shared" si="20"/>
        <v>840000</v>
      </c>
    </row>
    <row r="523" spans="1:16" x14ac:dyDescent="0.2">
      <c r="A523" s="33">
        <v>46197</v>
      </c>
      <c r="B523" s="30">
        <f t="shared" si="19"/>
        <v>6</v>
      </c>
      <c r="C523" s="30" t="str">
        <f>_xlfn.IFS(Table_13[[#This Row],[Month]]=1,"JAN",Table_13[[#This Row],[Month]]=2,"FEB",B523=3,"MAR",B523=4,"APR",B523=5,"MAY",B523=6,"JUN",B523=7,"JUL",B523=8,"AUG",Table_13[[#This Row],[Month]]=9,"SEPT",B523=10,"OCT",B523=11,"NOV",B523=12,"DEC")</f>
        <v>JUN</v>
      </c>
      <c r="D523" s="2" t="s">
        <v>25</v>
      </c>
      <c r="E523" s="2" t="s">
        <v>32</v>
      </c>
      <c r="F523" s="2" t="s">
        <v>13</v>
      </c>
      <c r="G523" s="2" t="s">
        <v>14</v>
      </c>
      <c r="H523" s="2" t="s">
        <v>27</v>
      </c>
      <c r="I523" s="2" t="s">
        <v>22</v>
      </c>
      <c r="J523" s="15">
        <v>60000</v>
      </c>
      <c r="K523" s="2">
        <v>9</v>
      </c>
      <c r="L523" s="2" t="s">
        <v>39</v>
      </c>
      <c r="M523" s="12">
        <f t="shared" si="18"/>
        <v>48000</v>
      </c>
      <c r="N523" s="10">
        <f>PRODUCT(Table_13[[#This Row],[Unit Price]],Table_13[[#This Row],[Quantity]])</f>
        <v>540000</v>
      </c>
      <c r="O523" s="16">
        <f>PRODUCT(Table_13[[#This Row],[Cost Price]],Table_13[[#This Row],[Quantity]])</f>
        <v>432000</v>
      </c>
      <c r="P523" s="27">
        <f t="shared" si="20"/>
        <v>108000</v>
      </c>
    </row>
    <row r="524" spans="1:16" x14ac:dyDescent="0.2">
      <c r="A524" s="33">
        <v>46198</v>
      </c>
      <c r="B524" s="30">
        <f t="shared" si="19"/>
        <v>6</v>
      </c>
      <c r="C524" s="30" t="str">
        <f>_xlfn.IFS(Table_13[[#This Row],[Month]]=1,"JAN",Table_13[[#This Row],[Month]]=2,"FEB",B524=3,"MAR",B524=4,"APR",B524=5,"MAY",B524=6,"JUN",B524=7,"JUL",B524=8,"AUG",Table_13[[#This Row],[Month]]=9,"SEPT",B524=10,"OCT",B524=11,"NOV",B524=12,"DEC")</f>
        <v>JUN</v>
      </c>
      <c r="D524" s="2" t="s">
        <v>18</v>
      </c>
      <c r="E524" s="2" t="s">
        <v>26</v>
      </c>
      <c r="F524" s="2" t="s">
        <v>23</v>
      </c>
      <c r="G524" s="2" t="s">
        <v>20</v>
      </c>
      <c r="H524" s="2" t="s">
        <v>33</v>
      </c>
      <c r="I524" s="2" t="s">
        <v>22</v>
      </c>
      <c r="J524" s="15">
        <v>180000</v>
      </c>
      <c r="K524" s="2">
        <v>4</v>
      </c>
      <c r="L524" s="2" t="s">
        <v>17</v>
      </c>
      <c r="M524" s="12">
        <f t="shared" si="18"/>
        <v>144000</v>
      </c>
      <c r="N524" s="10">
        <f>PRODUCT(Table_13[[#This Row],[Unit Price]],Table_13[[#This Row],[Quantity]])</f>
        <v>720000</v>
      </c>
      <c r="O524" s="16">
        <f>PRODUCT(Table_13[[#This Row],[Cost Price]],Table_13[[#This Row],[Quantity]])</f>
        <v>576000</v>
      </c>
      <c r="P524" s="27">
        <f t="shared" si="20"/>
        <v>144000</v>
      </c>
    </row>
    <row r="525" spans="1:16" x14ac:dyDescent="0.2">
      <c r="A525" s="33">
        <v>46199</v>
      </c>
      <c r="B525" s="30">
        <f t="shared" si="19"/>
        <v>6</v>
      </c>
      <c r="C525" s="30" t="str">
        <f>_xlfn.IFS(Table_13[[#This Row],[Month]]=1,"JAN",Table_13[[#This Row],[Month]]=2,"FEB",B525=3,"MAR",B525=4,"APR",B525=5,"MAY",B525=6,"JUN",B525=7,"JUL",B525=8,"AUG",Table_13[[#This Row],[Month]]=9,"SEPT",B525=10,"OCT",B525=11,"NOV",B525=12,"DEC")</f>
        <v>JUN</v>
      </c>
      <c r="D525" s="2" t="s">
        <v>29</v>
      </c>
      <c r="E525" s="2" t="s">
        <v>26</v>
      </c>
      <c r="F525" s="2" t="s">
        <v>13</v>
      </c>
      <c r="G525" s="2" t="s">
        <v>20</v>
      </c>
      <c r="H525" s="2" t="s">
        <v>33</v>
      </c>
      <c r="I525" s="2" t="s">
        <v>22</v>
      </c>
      <c r="J525" s="15">
        <v>180000</v>
      </c>
      <c r="K525" s="2">
        <v>10</v>
      </c>
      <c r="L525" s="2" t="s">
        <v>17</v>
      </c>
      <c r="M525" s="12">
        <f t="shared" si="18"/>
        <v>144000</v>
      </c>
      <c r="N525" s="10">
        <f>PRODUCT(Table_13[[#This Row],[Unit Price]],Table_13[[#This Row],[Quantity]])</f>
        <v>1800000</v>
      </c>
      <c r="O525" s="16">
        <f>PRODUCT(Table_13[[#This Row],[Cost Price]],Table_13[[#This Row],[Quantity]])</f>
        <v>1440000</v>
      </c>
      <c r="P525" s="27">
        <f t="shared" si="20"/>
        <v>360000</v>
      </c>
    </row>
    <row r="526" spans="1:16" x14ac:dyDescent="0.2">
      <c r="A526" s="33">
        <v>46200</v>
      </c>
      <c r="B526" s="30">
        <f t="shared" si="19"/>
        <v>6</v>
      </c>
      <c r="C526" s="30" t="str">
        <f>_xlfn.IFS(Table_13[[#This Row],[Month]]=1,"JAN",Table_13[[#This Row],[Month]]=2,"FEB",B526=3,"MAR",B526=4,"APR",B526=5,"MAY",B526=6,"JUN",B526=7,"JUL",B526=8,"AUG",Table_13[[#This Row],[Month]]=9,"SEPT",B526=10,"OCT",B526=11,"NOV",B526=12,"DEC")</f>
        <v>JUN</v>
      </c>
      <c r="D526" s="2" t="s">
        <v>29</v>
      </c>
      <c r="E526" s="2" t="s">
        <v>19</v>
      </c>
      <c r="F526" s="2" t="s">
        <v>23</v>
      </c>
      <c r="G526" s="2" t="s">
        <v>14</v>
      </c>
      <c r="H526" s="2" t="s">
        <v>21</v>
      </c>
      <c r="I526" s="2" t="s">
        <v>22</v>
      </c>
      <c r="J526" s="15">
        <v>30000</v>
      </c>
      <c r="K526" s="2">
        <v>1</v>
      </c>
      <c r="L526" s="2" t="s">
        <v>37</v>
      </c>
      <c r="M526" s="12">
        <f t="shared" si="18"/>
        <v>24000</v>
      </c>
      <c r="N526" s="10">
        <f>PRODUCT(Table_13[[#This Row],[Unit Price]],Table_13[[#This Row],[Quantity]])</f>
        <v>30000</v>
      </c>
      <c r="O526" s="16">
        <f>PRODUCT(Table_13[[#This Row],[Cost Price]],Table_13[[#This Row],[Quantity]])</f>
        <v>24000</v>
      </c>
      <c r="P526" s="27">
        <f t="shared" si="20"/>
        <v>6000</v>
      </c>
    </row>
    <row r="527" spans="1:16" x14ac:dyDescent="0.2">
      <c r="A527" s="33">
        <v>46201</v>
      </c>
      <c r="B527" s="30">
        <f t="shared" si="19"/>
        <v>6</v>
      </c>
      <c r="C527" s="30" t="str">
        <f>_xlfn.IFS(Table_13[[#This Row],[Month]]=1,"JAN",Table_13[[#This Row],[Month]]=2,"FEB",B527=3,"MAR",B527=4,"APR",B527=5,"MAY",B527=6,"JUN",B527=7,"JUL",B527=8,"AUG",Table_13[[#This Row],[Month]]=9,"SEPT",B527=10,"OCT",B527=11,"NOV",B527=12,"DEC")</f>
        <v>JUN</v>
      </c>
      <c r="D527" s="2" t="s">
        <v>18</v>
      </c>
      <c r="E527" s="2" t="s">
        <v>26</v>
      </c>
      <c r="F527" s="2" t="s">
        <v>13</v>
      </c>
      <c r="G527" s="2" t="s">
        <v>20</v>
      </c>
      <c r="H527" s="2" t="s">
        <v>38</v>
      </c>
      <c r="I527" s="2" t="s">
        <v>31</v>
      </c>
      <c r="J527" s="15">
        <v>420000</v>
      </c>
      <c r="K527" s="2">
        <v>3</v>
      </c>
      <c r="L527" s="2" t="s">
        <v>35</v>
      </c>
      <c r="M527" s="12">
        <f t="shared" si="18"/>
        <v>336000</v>
      </c>
      <c r="N527" s="10">
        <f>PRODUCT(Table_13[[#This Row],[Unit Price]],Table_13[[#This Row],[Quantity]])</f>
        <v>1260000</v>
      </c>
      <c r="O527" s="16">
        <f>PRODUCT(Table_13[[#This Row],[Cost Price]],Table_13[[#This Row],[Quantity]])</f>
        <v>1008000</v>
      </c>
      <c r="P527" s="27">
        <f t="shared" si="20"/>
        <v>252000</v>
      </c>
    </row>
    <row r="528" spans="1:16" x14ac:dyDescent="0.2">
      <c r="A528" s="33">
        <v>46202</v>
      </c>
      <c r="B528" s="30">
        <f t="shared" si="19"/>
        <v>6</v>
      </c>
      <c r="C528" s="30" t="str">
        <f>_xlfn.IFS(Table_13[[#This Row],[Month]]=1,"JAN",Table_13[[#This Row],[Month]]=2,"FEB",B528=3,"MAR",B528=4,"APR",B528=5,"MAY",B528=6,"JUN",B528=7,"JUL",B528=8,"AUG",Table_13[[#This Row],[Month]]=9,"SEPT",B528=10,"OCT",B528=11,"NOV",B528=12,"DEC")</f>
        <v>JUN</v>
      </c>
      <c r="D528" s="2" t="s">
        <v>18</v>
      </c>
      <c r="E528" s="2" t="s">
        <v>12</v>
      </c>
      <c r="F528" s="2" t="s">
        <v>13</v>
      </c>
      <c r="G528" s="2" t="s">
        <v>20</v>
      </c>
      <c r="H528" s="2" t="s">
        <v>21</v>
      </c>
      <c r="I528" s="2" t="s">
        <v>22</v>
      </c>
      <c r="J528" s="15">
        <v>30000</v>
      </c>
      <c r="K528" s="2">
        <v>8</v>
      </c>
      <c r="L528" s="2" t="s">
        <v>35</v>
      </c>
      <c r="M528" s="12">
        <f t="shared" si="18"/>
        <v>24000</v>
      </c>
      <c r="N528" s="10">
        <f>PRODUCT(Table_13[[#This Row],[Unit Price]],Table_13[[#This Row],[Quantity]])</f>
        <v>240000</v>
      </c>
      <c r="O528" s="16">
        <f>PRODUCT(Table_13[[#This Row],[Cost Price]],Table_13[[#This Row],[Quantity]])</f>
        <v>192000</v>
      </c>
      <c r="P528" s="27">
        <f t="shared" si="20"/>
        <v>48000</v>
      </c>
    </row>
    <row r="529" spans="1:16" x14ac:dyDescent="0.2">
      <c r="A529" s="33">
        <v>46203</v>
      </c>
      <c r="B529" s="30">
        <f t="shared" si="19"/>
        <v>6</v>
      </c>
      <c r="C529" s="30" t="str">
        <f>_xlfn.IFS(Table_13[[#This Row],[Month]]=1,"JAN",Table_13[[#This Row],[Month]]=2,"FEB",B529=3,"MAR",B529=4,"APR",B529=5,"MAY",B529=6,"JUN",B529=7,"JUL",B529=8,"AUG",Table_13[[#This Row],[Month]]=9,"SEPT",B529=10,"OCT",B529=11,"NOV",B529=12,"DEC")</f>
        <v>JUN</v>
      </c>
      <c r="D529" s="2" t="s">
        <v>25</v>
      </c>
      <c r="E529" s="2" t="s">
        <v>32</v>
      </c>
      <c r="F529" s="2" t="s">
        <v>23</v>
      </c>
      <c r="G529" s="2" t="s">
        <v>14</v>
      </c>
      <c r="H529" s="2" t="s">
        <v>34</v>
      </c>
      <c r="I529" s="2" t="s">
        <v>16</v>
      </c>
      <c r="J529" s="15">
        <v>320000</v>
      </c>
      <c r="K529" s="2">
        <v>2</v>
      </c>
      <c r="L529" s="2" t="s">
        <v>28</v>
      </c>
      <c r="M529" s="12">
        <f t="shared" si="18"/>
        <v>256000</v>
      </c>
      <c r="N529" s="10">
        <f>PRODUCT(Table_13[[#This Row],[Unit Price]],Table_13[[#This Row],[Quantity]])</f>
        <v>640000</v>
      </c>
      <c r="O529" s="16">
        <f>PRODUCT(Table_13[[#This Row],[Cost Price]],Table_13[[#This Row],[Quantity]])</f>
        <v>512000</v>
      </c>
      <c r="P529" s="27">
        <f t="shared" si="20"/>
        <v>128000</v>
      </c>
    </row>
    <row r="530" spans="1:16" x14ac:dyDescent="0.2">
      <c r="A530" s="33">
        <v>46204</v>
      </c>
      <c r="B530" s="30">
        <f t="shared" si="19"/>
        <v>7</v>
      </c>
      <c r="C530" s="30" t="str">
        <f>_xlfn.IFS(Table_13[[#This Row],[Month]]=1,"JAN",Table_13[[#This Row],[Month]]=2,"FEB",B530=3,"MAR",B530=4,"APR",B530=5,"MAY",B530=6,"JUN",B530=7,"JUL",B530=8,"AUG",Table_13[[#This Row],[Month]]=9,"SEPT",B530=10,"OCT",B530=11,"NOV",B530=12,"DEC")</f>
        <v>JUL</v>
      </c>
      <c r="D530" s="2" t="s">
        <v>11</v>
      </c>
      <c r="E530" s="2" t="s">
        <v>19</v>
      </c>
      <c r="F530" s="2" t="s">
        <v>23</v>
      </c>
      <c r="G530" s="2" t="s">
        <v>20</v>
      </c>
      <c r="H530" s="2" t="s">
        <v>36</v>
      </c>
      <c r="I530" s="2" t="s">
        <v>31</v>
      </c>
      <c r="J530" s="15">
        <v>150000</v>
      </c>
      <c r="K530" s="2">
        <v>10</v>
      </c>
      <c r="L530" s="2" t="s">
        <v>28</v>
      </c>
      <c r="M530" s="12">
        <f t="shared" si="18"/>
        <v>120000</v>
      </c>
      <c r="N530" s="10">
        <f>PRODUCT(Table_13[[#This Row],[Unit Price]],Table_13[[#This Row],[Quantity]])</f>
        <v>1500000</v>
      </c>
      <c r="O530" s="16">
        <f>PRODUCT(Table_13[[#This Row],[Cost Price]],Table_13[[#This Row],[Quantity]])</f>
        <v>1200000</v>
      </c>
      <c r="P530" s="27">
        <f t="shared" si="20"/>
        <v>300000</v>
      </c>
    </row>
    <row r="531" spans="1:16" x14ac:dyDescent="0.2">
      <c r="A531" s="33">
        <v>46205</v>
      </c>
      <c r="B531" s="30">
        <f t="shared" si="19"/>
        <v>7</v>
      </c>
      <c r="C531" s="30" t="str">
        <f>_xlfn.IFS(Table_13[[#This Row],[Month]]=1,"JAN",Table_13[[#This Row],[Month]]=2,"FEB",B531=3,"MAR",B531=4,"APR",B531=5,"MAY",B531=6,"JUN",B531=7,"JUL",B531=8,"AUG",Table_13[[#This Row],[Month]]=9,"SEPT",B531=10,"OCT",B531=11,"NOV",B531=12,"DEC")</f>
        <v>JUL</v>
      </c>
      <c r="D531" s="2" t="s">
        <v>29</v>
      </c>
      <c r="E531" s="2" t="s">
        <v>26</v>
      </c>
      <c r="F531" s="2" t="s">
        <v>23</v>
      </c>
      <c r="G531" s="2" t="s">
        <v>14</v>
      </c>
      <c r="H531" s="2" t="s">
        <v>40</v>
      </c>
      <c r="I531" s="2" t="s">
        <v>31</v>
      </c>
      <c r="J531" s="15">
        <v>250000</v>
      </c>
      <c r="K531" s="2">
        <v>9</v>
      </c>
      <c r="L531" s="2" t="s">
        <v>24</v>
      </c>
      <c r="M531" s="12">
        <f t="shared" si="18"/>
        <v>200000</v>
      </c>
      <c r="N531" s="10">
        <f>PRODUCT(Table_13[[#This Row],[Unit Price]],Table_13[[#This Row],[Quantity]])</f>
        <v>2250000</v>
      </c>
      <c r="O531" s="16">
        <f>PRODUCT(Table_13[[#This Row],[Cost Price]],Table_13[[#This Row],[Quantity]])</f>
        <v>1800000</v>
      </c>
      <c r="P531" s="27">
        <f t="shared" si="20"/>
        <v>450000</v>
      </c>
    </row>
    <row r="532" spans="1:16" x14ac:dyDescent="0.2">
      <c r="A532" s="33">
        <v>46206</v>
      </c>
      <c r="B532" s="30">
        <f t="shared" si="19"/>
        <v>7</v>
      </c>
      <c r="C532" s="30" t="str">
        <f>_xlfn.IFS(Table_13[[#This Row],[Month]]=1,"JAN",Table_13[[#This Row],[Month]]=2,"FEB",B532=3,"MAR",B532=4,"APR",B532=5,"MAY",B532=6,"JUN",B532=7,"JUL",B532=8,"AUG",Table_13[[#This Row],[Month]]=9,"SEPT",B532=10,"OCT",B532=11,"NOV",B532=12,"DEC")</f>
        <v>JUL</v>
      </c>
      <c r="D532" s="2" t="s">
        <v>25</v>
      </c>
      <c r="E532" s="2" t="s">
        <v>26</v>
      </c>
      <c r="F532" s="2" t="s">
        <v>23</v>
      </c>
      <c r="G532" s="2" t="s">
        <v>20</v>
      </c>
      <c r="H532" s="2" t="s">
        <v>41</v>
      </c>
      <c r="I532" s="2" t="s">
        <v>22</v>
      </c>
      <c r="J532" s="15">
        <v>220000</v>
      </c>
      <c r="K532" s="2">
        <v>5</v>
      </c>
      <c r="L532" s="2" t="s">
        <v>24</v>
      </c>
      <c r="M532" s="12">
        <f t="shared" si="18"/>
        <v>176000</v>
      </c>
      <c r="N532" s="10">
        <f>PRODUCT(Table_13[[#This Row],[Unit Price]],Table_13[[#This Row],[Quantity]])</f>
        <v>1100000</v>
      </c>
      <c r="O532" s="16">
        <f>PRODUCT(Table_13[[#This Row],[Cost Price]],Table_13[[#This Row],[Quantity]])</f>
        <v>880000</v>
      </c>
      <c r="P532" s="27">
        <f t="shared" si="20"/>
        <v>220000</v>
      </c>
    </row>
    <row r="533" spans="1:16" x14ac:dyDescent="0.2">
      <c r="A533" s="33">
        <v>46207</v>
      </c>
      <c r="B533" s="30">
        <f t="shared" si="19"/>
        <v>7</v>
      </c>
      <c r="C533" s="30" t="str">
        <f>_xlfn.IFS(Table_13[[#This Row],[Month]]=1,"JAN",Table_13[[#This Row],[Month]]=2,"FEB",B533=3,"MAR",B533=4,"APR",B533=5,"MAY",B533=6,"JUN",B533=7,"JUL",B533=8,"AUG",Table_13[[#This Row],[Month]]=9,"SEPT",B533=10,"OCT",B533=11,"NOV",B533=12,"DEC")</f>
        <v>JUL</v>
      </c>
      <c r="D533" s="2" t="s">
        <v>11</v>
      </c>
      <c r="E533" s="2" t="s">
        <v>26</v>
      </c>
      <c r="F533" s="2" t="s">
        <v>13</v>
      </c>
      <c r="G533" s="2" t="s">
        <v>20</v>
      </c>
      <c r="H533" s="2" t="s">
        <v>36</v>
      </c>
      <c r="I533" s="2" t="s">
        <v>31</v>
      </c>
      <c r="J533" s="15">
        <v>150000</v>
      </c>
      <c r="K533" s="2">
        <v>5</v>
      </c>
      <c r="L533" s="2" t="s">
        <v>17</v>
      </c>
      <c r="M533" s="12">
        <f t="shared" si="18"/>
        <v>120000</v>
      </c>
      <c r="N533" s="10">
        <f>PRODUCT(Table_13[[#This Row],[Unit Price]],Table_13[[#This Row],[Quantity]])</f>
        <v>750000</v>
      </c>
      <c r="O533" s="16">
        <f>PRODUCT(Table_13[[#This Row],[Cost Price]],Table_13[[#This Row],[Quantity]])</f>
        <v>600000</v>
      </c>
      <c r="P533" s="27">
        <f t="shared" si="20"/>
        <v>150000</v>
      </c>
    </row>
    <row r="534" spans="1:16" x14ac:dyDescent="0.2">
      <c r="A534" s="33">
        <v>46208</v>
      </c>
      <c r="B534" s="30">
        <f t="shared" si="19"/>
        <v>7</v>
      </c>
      <c r="C534" s="30" t="str">
        <f>_xlfn.IFS(Table_13[[#This Row],[Month]]=1,"JAN",Table_13[[#This Row],[Month]]=2,"FEB",B534=3,"MAR",B534=4,"APR",B534=5,"MAY",B534=6,"JUN",B534=7,"JUL",B534=8,"AUG",Table_13[[#This Row],[Month]]=9,"SEPT",B534=10,"OCT",B534=11,"NOV",B534=12,"DEC")</f>
        <v>JUL</v>
      </c>
      <c r="D534" s="2" t="s">
        <v>18</v>
      </c>
      <c r="E534" s="2" t="s">
        <v>32</v>
      </c>
      <c r="F534" s="2" t="s">
        <v>23</v>
      </c>
      <c r="G534" s="2" t="s">
        <v>20</v>
      </c>
      <c r="H534" s="2" t="s">
        <v>41</v>
      </c>
      <c r="I534" s="2" t="s">
        <v>22</v>
      </c>
      <c r="J534" s="15">
        <v>220000</v>
      </c>
      <c r="K534" s="2">
        <v>8</v>
      </c>
      <c r="L534" s="2" t="s">
        <v>37</v>
      </c>
      <c r="M534" s="12">
        <f t="shared" si="18"/>
        <v>176000</v>
      </c>
      <c r="N534" s="10">
        <f>PRODUCT(Table_13[[#This Row],[Unit Price]],Table_13[[#This Row],[Quantity]])</f>
        <v>1760000</v>
      </c>
      <c r="O534" s="16">
        <f>PRODUCT(Table_13[[#This Row],[Cost Price]],Table_13[[#This Row],[Quantity]])</f>
        <v>1408000</v>
      </c>
      <c r="P534" s="27">
        <f t="shared" si="20"/>
        <v>352000</v>
      </c>
    </row>
    <row r="535" spans="1:16" x14ac:dyDescent="0.2">
      <c r="A535" s="33">
        <v>46209</v>
      </c>
      <c r="B535" s="30">
        <f t="shared" si="19"/>
        <v>7</v>
      </c>
      <c r="C535" s="30" t="str">
        <f>_xlfn.IFS(Table_13[[#This Row],[Month]]=1,"JAN",Table_13[[#This Row],[Month]]=2,"FEB",B535=3,"MAR",B535=4,"APR",B535=5,"MAY",B535=6,"JUN",B535=7,"JUL",B535=8,"AUG",Table_13[[#This Row],[Month]]=9,"SEPT",B535=10,"OCT",B535=11,"NOV",B535=12,"DEC")</f>
        <v>JUL</v>
      </c>
      <c r="D535" s="2" t="s">
        <v>18</v>
      </c>
      <c r="E535" s="2" t="s">
        <v>19</v>
      </c>
      <c r="F535" s="2" t="s">
        <v>13</v>
      </c>
      <c r="G535" s="2" t="s">
        <v>14</v>
      </c>
      <c r="H535" s="2" t="s">
        <v>15</v>
      </c>
      <c r="I535" s="2" t="s">
        <v>16</v>
      </c>
      <c r="J535" s="15">
        <v>85000</v>
      </c>
      <c r="K535" s="2">
        <v>4</v>
      </c>
      <c r="L535" s="2" t="s">
        <v>35</v>
      </c>
      <c r="M535" s="12">
        <f t="shared" si="18"/>
        <v>68000</v>
      </c>
      <c r="N535" s="10">
        <f>PRODUCT(Table_13[[#This Row],[Unit Price]],Table_13[[#This Row],[Quantity]])</f>
        <v>340000</v>
      </c>
      <c r="O535" s="16">
        <f>PRODUCT(Table_13[[#This Row],[Cost Price]],Table_13[[#This Row],[Quantity]])</f>
        <v>272000</v>
      </c>
      <c r="P535" s="27">
        <f t="shared" si="20"/>
        <v>68000</v>
      </c>
    </row>
    <row r="536" spans="1:16" x14ac:dyDescent="0.2">
      <c r="A536" s="33">
        <v>46210</v>
      </c>
      <c r="B536" s="30">
        <f t="shared" si="19"/>
        <v>7</v>
      </c>
      <c r="C536" s="30" t="str">
        <f>_xlfn.IFS(Table_13[[#This Row],[Month]]=1,"JAN",Table_13[[#This Row],[Month]]=2,"FEB",B536=3,"MAR",B536=4,"APR",B536=5,"MAY",B536=6,"JUN",B536=7,"JUL",B536=8,"AUG",Table_13[[#This Row],[Month]]=9,"SEPT",B536=10,"OCT",B536=11,"NOV",B536=12,"DEC")</f>
        <v>JUL</v>
      </c>
      <c r="D536" s="2" t="s">
        <v>25</v>
      </c>
      <c r="E536" s="2" t="s">
        <v>26</v>
      </c>
      <c r="F536" s="2" t="s">
        <v>13</v>
      </c>
      <c r="G536" s="2" t="s">
        <v>14</v>
      </c>
      <c r="H536" s="2" t="s">
        <v>34</v>
      </c>
      <c r="I536" s="2" t="s">
        <v>16</v>
      </c>
      <c r="J536" s="15">
        <v>320000</v>
      </c>
      <c r="K536" s="2">
        <v>4</v>
      </c>
      <c r="L536" s="2" t="s">
        <v>35</v>
      </c>
      <c r="M536" s="12">
        <f t="shared" si="18"/>
        <v>256000</v>
      </c>
      <c r="N536" s="10">
        <f>PRODUCT(Table_13[[#This Row],[Unit Price]],Table_13[[#This Row],[Quantity]])</f>
        <v>1280000</v>
      </c>
      <c r="O536" s="16">
        <f>PRODUCT(Table_13[[#This Row],[Cost Price]],Table_13[[#This Row],[Quantity]])</f>
        <v>1024000</v>
      </c>
      <c r="P536" s="27">
        <f t="shared" si="20"/>
        <v>256000</v>
      </c>
    </row>
    <row r="537" spans="1:16" x14ac:dyDescent="0.2">
      <c r="A537" s="33">
        <v>46211</v>
      </c>
      <c r="B537" s="30">
        <f t="shared" si="19"/>
        <v>7</v>
      </c>
      <c r="C537" s="30" t="str">
        <f>_xlfn.IFS(Table_13[[#This Row],[Month]]=1,"JAN",Table_13[[#This Row],[Month]]=2,"FEB",B537=3,"MAR",B537=4,"APR",B537=5,"MAY",B537=6,"JUN",B537=7,"JUL",B537=8,"AUG",Table_13[[#This Row],[Month]]=9,"SEPT",B537=10,"OCT",B537=11,"NOV",B537=12,"DEC")</f>
        <v>JUL</v>
      </c>
      <c r="D537" s="2" t="s">
        <v>18</v>
      </c>
      <c r="E537" s="2" t="s">
        <v>26</v>
      </c>
      <c r="F537" s="2" t="s">
        <v>23</v>
      </c>
      <c r="G537" s="2" t="s">
        <v>14</v>
      </c>
      <c r="H537" s="2" t="s">
        <v>40</v>
      </c>
      <c r="I537" s="2" t="s">
        <v>31</v>
      </c>
      <c r="J537" s="15">
        <v>250000</v>
      </c>
      <c r="K537" s="2">
        <v>2</v>
      </c>
      <c r="L537" s="2" t="s">
        <v>24</v>
      </c>
      <c r="M537" s="12">
        <f t="shared" si="18"/>
        <v>200000</v>
      </c>
      <c r="N537" s="10">
        <f>PRODUCT(Table_13[[#This Row],[Unit Price]],Table_13[[#This Row],[Quantity]])</f>
        <v>500000</v>
      </c>
      <c r="O537" s="16">
        <f>PRODUCT(Table_13[[#This Row],[Cost Price]],Table_13[[#This Row],[Quantity]])</f>
        <v>400000</v>
      </c>
      <c r="P537" s="27">
        <f t="shared" si="20"/>
        <v>100000</v>
      </c>
    </row>
    <row r="538" spans="1:16" x14ac:dyDescent="0.2">
      <c r="A538" s="33">
        <v>46212</v>
      </c>
      <c r="B538" s="30">
        <f t="shared" si="19"/>
        <v>7</v>
      </c>
      <c r="C538" s="30" t="str">
        <f>_xlfn.IFS(Table_13[[#This Row],[Month]]=1,"JAN",Table_13[[#This Row],[Month]]=2,"FEB",B538=3,"MAR",B538=4,"APR",B538=5,"MAY",B538=6,"JUN",B538=7,"JUL",B538=8,"AUG",Table_13[[#This Row],[Month]]=9,"SEPT",B538=10,"OCT",B538=11,"NOV",B538=12,"DEC")</f>
        <v>JUL</v>
      </c>
      <c r="D538" s="2" t="s">
        <v>18</v>
      </c>
      <c r="E538" s="2" t="s">
        <v>12</v>
      </c>
      <c r="F538" s="2" t="s">
        <v>13</v>
      </c>
      <c r="G538" s="2" t="s">
        <v>14</v>
      </c>
      <c r="H538" s="2" t="s">
        <v>30</v>
      </c>
      <c r="I538" s="2" t="s">
        <v>31</v>
      </c>
      <c r="J538" s="15">
        <v>300000</v>
      </c>
      <c r="K538" s="2">
        <v>5</v>
      </c>
      <c r="L538" s="2" t="s">
        <v>24</v>
      </c>
      <c r="M538" s="12">
        <f t="shared" si="18"/>
        <v>240000</v>
      </c>
      <c r="N538" s="10">
        <f>PRODUCT(Table_13[[#This Row],[Unit Price]],Table_13[[#This Row],[Quantity]])</f>
        <v>1500000</v>
      </c>
      <c r="O538" s="16">
        <f>PRODUCT(Table_13[[#This Row],[Cost Price]],Table_13[[#This Row],[Quantity]])</f>
        <v>1200000</v>
      </c>
      <c r="P538" s="27">
        <f t="shared" si="20"/>
        <v>300000</v>
      </c>
    </row>
    <row r="539" spans="1:16" x14ac:dyDescent="0.2">
      <c r="A539" s="33">
        <v>46213</v>
      </c>
      <c r="B539" s="30">
        <f t="shared" si="19"/>
        <v>7</v>
      </c>
      <c r="C539" s="30" t="str">
        <f>_xlfn.IFS(Table_13[[#This Row],[Month]]=1,"JAN",Table_13[[#This Row],[Month]]=2,"FEB",B539=3,"MAR",B539=4,"APR",B539=5,"MAY",B539=6,"JUN",B539=7,"JUL",B539=8,"AUG",Table_13[[#This Row],[Month]]=9,"SEPT",B539=10,"OCT",B539=11,"NOV",B539=12,"DEC")</f>
        <v>JUL</v>
      </c>
      <c r="D539" s="2" t="s">
        <v>18</v>
      </c>
      <c r="E539" s="2" t="s">
        <v>26</v>
      </c>
      <c r="F539" s="2" t="s">
        <v>13</v>
      </c>
      <c r="G539" s="2" t="s">
        <v>14</v>
      </c>
      <c r="H539" s="2" t="s">
        <v>27</v>
      </c>
      <c r="I539" s="2" t="s">
        <v>22</v>
      </c>
      <c r="J539" s="15">
        <v>60000</v>
      </c>
      <c r="K539" s="2">
        <v>9</v>
      </c>
      <c r="L539" s="2" t="s">
        <v>28</v>
      </c>
      <c r="M539" s="12">
        <f t="shared" si="18"/>
        <v>48000</v>
      </c>
      <c r="N539" s="10">
        <f>PRODUCT(Table_13[[#This Row],[Unit Price]],Table_13[[#This Row],[Quantity]])</f>
        <v>540000</v>
      </c>
      <c r="O539" s="16">
        <f>PRODUCT(Table_13[[#This Row],[Cost Price]],Table_13[[#This Row],[Quantity]])</f>
        <v>432000</v>
      </c>
      <c r="P539" s="27">
        <f t="shared" si="20"/>
        <v>108000</v>
      </c>
    </row>
    <row r="540" spans="1:16" x14ac:dyDescent="0.2">
      <c r="A540" s="33">
        <v>46214</v>
      </c>
      <c r="B540" s="30">
        <f t="shared" si="19"/>
        <v>7</v>
      </c>
      <c r="C540" s="30" t="str">
        <f>_xlfn.IFS(Table_13[[#This Row],[Month]]=1,"JAN",Table_13[[#This Row],[Month]]=2,"FEB",B540=3,"MAR",B540=4,"APR",B540=5,"MAY",B540=6,"JUN",B540=7,"JUL",B540=8,"AUG",Table_13[[#This Row],[Month]]=9,"SEPT",B540=10,"OCT",B540=11,"NOV",B540=12,"DEC")</f>
        <v>JUL</v>
      </c>
      <c r="D540" s="2" t="s">
        <v>18</v>
      </c>
      <c r="E540" s="2" t="s">
        <v>26</v>
      </c>
      <c r="F540" s="2" t="s">
        <v>23</v>
      </c>
      <c r="G540" s="2" t="s">
        <v>14</v>
      </c>
      <c r="H540" s="2" t="s">
        <v>36</v>
      </c>
      <c r="I540" s="2" t="s">
        <v>31</v>
      </c>
      <c r="J540" s="15">
        <v>150000</v>
      </c>
      <c r="K540" s="2">
        <v>6</v>
      </c>
      <c r="L540" s="2" t="s">
        <v>28</v>
      </c>
      <c r="M540" s="12">
        <f t="shared" si="18"/>
        <v>120000</v>
      </c>
      <c r="N540" s="10">
        <f>PRODUCT(Table_13[[#This Row],[Unit Price]],Table_13[[#This Row],[Quantity]])</f>
        <v>900000</v>
      </c>
      <c r="O540" s="16">
        <f>PRODUCT(Table_13[[#This Row],[Cost Price]],Table_13[[#This Row],[Quantity]])</f>
        <v>720000</v>
      </c>
      <c r="P540" s="27">
        <f t="shared" si="20"/>
        <v>180000</v>
      </c>
    </row>
    <row r="541" spans="1:16" x14ac:dyDescent="0.2">
      <c r="A541" s="33">
        <v>46215</v>
      </c>
      <c r="B541" s="30">
        <f t="shared" si="19"/>
        <v>7</v>
      </c>
      <c r="C541" s="30" t="str">
        <f>_xlfn.IFS(Table_13[[#This Row],[Month]]=1,"JAN",Table_13[[#This Row],[Month]]=2,"FEB",B541=3,"MAR",B541=4,"APR",B541=5,"MAY",B541=6,"JUN",B541=7,"JUL",B541=8,"AUG",Table_13[[#This Row],[Month]]=9,"SEPT",B541=10,"OCT",B541=11,"NOV",B541=12,"DEC")</f>
        <v>JUL</v>
      </c>
      <c r="D541" s="2" t="s">
        <v>25</v>
      </c>
      <c r="E541" s="2" t="s">
        <v>26</v>
      </c>
      <c r="F541" s="2" t="s">
        <v>23</v>
      </c>
      <c r="G541" s="2" t="s">
        <v>20</v>
      </c>
      <c r="H541" s="2" t="s">
        <v>15</v>
      </c>
      <c r="I541" s="2" t="s">
        <v>16</v>
      </c>
      <c r="J541" s="15">
        <v>85000</v>
      </c>
      <c r="K541" s="2">
        <v>3</v>
      </c>
      <c r="L541" s="2" t="s">
        <v>35</v>
      </c>
      <c r="M541" s="12">
        <f t="shared" si="18"/>
        <v>68000</v>
      </c>
      <c r="N541" s="10">
        <f>PRODUCT(Table_13[[#This Row],[Unit Price]],Table_13[[#This Row],[Quantity]])</f>
        <v>255000</v>
      </c>
      <c r="O541" s="16">
        <f>PRODUCT(Table_13[[#This Row],[Cost Price]],Table_13[[#This Row],[Quantity]])</f>
        <v>204000</v>
      </c>
      <c r="P541" s="27">
        <f t="shared" si="20"/>
        <v>51000</v>
      </c>
    </row>
    <row r="542" spans="1:16" x14ac:dyDescent="0.2">
      <c r="A542" s="33">
        <v>46216</v>
      </c>
      <c r="B542" s="30">
        <f t="shared" si="19"/>
        <v>7</v>
      </c>
      <c r="C542" s="30" t="str">
        <f>_xlfn.IFS(Table_13[[#This Row],[Month]]=1,"JAN",Table_13[[#This Row],[Month]]=2,"FEB",B542=3,"MAR",B542=4,"APR",B542=5,"MAY",B542=6,"JUN",B542=7,"JUL",B542=8,"AUG",Table_13[[#This Row],[Month]]=9,"SEPT",B542=10,"OCT",B542=11,"NOV",B542=12,"DEC")</f>
        <v>JUL</v>
      </c>
      <c r="D542" s="2" t="s">
        <v>25</v>
      </c>
      <c r="E542" s="2" t="s">
        <v>19</v>
      </c>
      <c r="F542" s="2" t="s">
        <v>23</v>
      </c>
      <c r="G542" s="2" t="s">
        <v>20</v>
      </c>
      <c r="H542" s="2" t="s">
        <v>34</v>
      </c>
      <c r="I542" s="2" t="s">
        <v>16</v>
      </c>
      <c r="J542" s="15">
        <v>320000</v>
      </c>
      <c r="K542" s="2">
        <v>8</v>
      </c>
      <c r="L542" s="2" t="s">
        <v>28</v>
      </c>
      <c r="M542" s="12">
        <f t="shared" si="18"/>
        <v>256000</v>
      </c>
      <c r="N542" s="10">
        <f>PRODUCT(Table_13[[#This Row],[Unit Price]],Table_13[[#This Row],[Quantity]])</f>
        <v>2560000</v>
      </c>
      <c r="O542" s="16">
        <f>PRODUCT(Table_13[[#This Row],[Cost Price]],Table_13[[#This Row],[Quantity]])</f>
        <v>2048000</v>
      </c>
      <c r="P542" s="27">
        <f t="shared" si="20"/>
        <v>512000</v>
      </c>
    </row>
    <row r="543" spans="1:16" x14ac:dyDescent="0.2">
      <c r="A543" s="33">
        <v>46217</v>
      </c>
      <c r="B543" s="30">
        <f t="shared" si="19"/>
        <v>7</v>
      </c>
      <c r="C543" s="30" t="str">
        <f>_xlfn.IFS(Table_13[[#This Row],[Month]]=1,"JAN",Table_13[[#This Row],[Month]]=2,"FEB",B543=3,"MAR",B543=4,"APR",B543=5,"MAY",B543=6,"JUN",B543=7,"JUL",B543=8,"AUG",Table_13[[#This Row],[Month]]=9,"SEPT",B543=10,"OCT",B543=11,"NOV",B543=12,"DEC")</f>
        <v>JUL</v>
      </c>
      <c r="D543" s="2" t="s">
        <v>18</v>
      </c>
      <c r="E543" s="2" t="s">
        <v>12</v>
      </c>
      <c r="F543" s="2" t="s">
        <v>23</v>
      </c>
      <c r="G543" s="2" t="s">
        <v>14</v>
      </c>
      <c r="H543" s="2" t="s">
        <v>40</v>
      </c>
      <c r="I543" s="2" t="s">
        <v>31</v>
      </c>
      <c r="J543" s="15">
        <v>250000</v>
      </c>
      <c r="K543" s="2">
        <v>1</v>
      </c>
      <c r="L543" s="2" t="s">
        <v>35</v>
      </c>
      <c r="M543" s="12">
        <f t="shared" si="18"/>
        <v>200000</v>
      </c>
      <c r="N543" s="10">
        <f>PRODUCT(Table_13[[#This Row],[Unit Price]],Table_13[[#This Row],[Quantity]])</f>
        <v>250000</v>
      </c>
      <c r="O543" s="16">
        <f>PRODUCT(Table_13[[#This Row],[Cost Price]],Table_13[[#This Row],[Quantity]])</f>
        <v>200000</v>
      </c>
      <c r="P543" s="27">
        <f t="shared" si="20"/>
        <v>50000</v>
      </c>
    </row>
    <row r="544" spans="1:16" x14ac:dyDescent="0.2">
      <c r="A544" s="33">
        <v>46218</v>
      </c>
      <c r="B544" s="30">
        <f t="shared" si="19"/>
        <v>7</v>
      </c>
      <c r="C544" s="30" t="str">
        <f>_xlfn.IFS(Table_13[[#This Row],[Month]]=1,"JAN",Table_13[[#This Row],[Month]]=2,"FEB",B544=3,"MAR",B544=4,"APR",B544=5,"MAY",B544=6,"JUN",B544=7,"JUL",B544=8,"AUG",Table_13[[#This Row],[Month]]=9,"SEPT",B544=10,"OCT",B544=11,"NOV",B544=12,"DEC")</f>
        <v>JUL</v>
      </c>
      <c r="D544" s="2" t="s">
        <v>11</v>
      </c>
      <c r="E544" s="2" t="s">
        <v>19</v>
      </c>
      <c r="F544" s="2" t="s">
        <v>23</v>
      </c>
      <c r="G544" s="2" t="s">
        <v>20</v>
      </c>
      <c r="H544" s="2" t="s">
        <v>33</v>
      </c>
      <c r="I544" s="2" t="s">
        <v>22</v>
      </c>
      <c r="J544" s="15">
        <v>180000</v>
      </c>
      <c r="K544" s="2">
        <v>4</v>
      </c>
      <c r="L544" s="2" t="s">
        <v>17</v>
      </c>
      <c r="M544" s="12">
        <f t="shared" si="18"/>
        <v>144000</v>
      </c>
      <c r="N544" s="10">
        <f>PRODUCT(Table_13[[#This Row],[Unit Price]],Table_13[[#This Row],[Quantity]])</f>
        <v>720000</v>
      </c>
      <c r="O544" s="16">
        <f>PRODUCT(Table_13[[#This Row],[Cost Price]],Table_13[[#This Row],[Quantity]])</f>
        <v>576000</v>
      </c>
      <c r="P544" s="27">
        <f t="shared" si="20"/>
        <v>144000</v>
      </c>
    </row>
    <row r="545" spans="1:16" x14ac:dyDescent="0.2">
      <c r="A545" s="33">
        <v>46219</v>
      </c>
      <c r="B545" s="30">
        <f t="shared" si="19"/>
        <v>7</v>
      </c>
      <c r="C545" s="30" t="str">
        <f>_xlfn.IFS(Table_13[[#This Row],[Month]]=1,"JAN",Table_13[[#This Row],[Month]]=2,"FEB",B545=3,"MAR",B545=4,"APR",B545=5,"MAY",B545=6,"JUN",B545=7,"JUL",B545=8,"AUG",Table_13[[#This Row],[Month]]=9,"SEPT",B545=10,"OCT",B545=11,"NOV",B545=12,"DEC")</f>
        <v>JUL</v>
      </c>
      <c r="D545" s="2" t="s">
        <v>18</v>
      </c>
      <c r="E545" s="2" t="s">
        <v>26</v>
      </c>
      <c r="F545" s="2" t="s">
        <v>13</v>
      </c>
      <c r="G545" s="2" t="s">
        <v>14</v>
      </c>
      <c r="H545" s="2" t="s">
        <v>27</v>
      </c>
      <c r="I545" s="2" t="s">
        <v>22</v>
      </c>
      <c r="J545" s="15">
        <v>60000</v>
      </c>
      <c r="K545" s="2">
        <v>6</v>
      </c>
      <c r="L545" s="2" t="s">
        <v>39</v>
      </c>
      <c r="M545" s="12">
        <f t="shared" si="18"/>
        <v>48000</v>
      </c>
      <c r="N545" s="10">
        <f>PRODUCT(Table_13[[#This Row],[Unit Price]],Table_13[[#This Row],[Quantity]])</f>
        <v>360000</v>
      </c>
      <c r="O545" s="16">
        <f>PRODUCT(Table_13[[#This Row],[Cost Price]],Table_13[[#This Row],[Quantity]])</f>
        <v>288000</v>
      </c>
      <c r="P545" s="27">
        <f t="shared" si="20"/>
        <v>72000</v>
      </c>
    </row>
    <row r="546" spans="1:16" x14ac:dyDescent="0.2">
      <c r="A546" s="33">
        <v>46220</v>
      </c>
      <c r="B546" s="30">
        <f t="shared" si="19"/>
        <v>7</v>
      </c>
      <c r="C546" s="30" t="str">
        <f>_xlfn.IFS(Table_13[[#This Row],[Month]]=1,"JAN",Table_13[[#This Row],[Month]]=2,"FEB",B546=3,"MAR",B546=4,"APR",B546=5,"MAY",B546=6,"JUN",B546=7,"JUL",B546=8,"AUG",Table_13[[#This Row],[Month]]=9,"SEPT",B546=10,"OCT",B546=11,"NOV",B546=12,"DEC")</f>
        <v>JUL</v>
      </c>
      <c r="D546" s="2" t="s">
        <v>29</v>
      </c>
      <c r="E546" s="2" t="s">
        <v>32</v>
      </c>
      <c r="F546" s="2" t="s">
        <v>13</v>
      </c>
      <c r="G546" s="2" t="s">
        <v>20</v>
      </c>
      <c r="H546" s="2" t="s">
        <v>33</v>
      </c>
      <c r="I546" s="2" t="s">
        <v>22</v>
      </c>
      <c r="J546" s="15">
        <v>180000</v>
      </c>
      <c r="K546" s="2">
        <v>7</v>
      </c>
      <c r="L546" s="2" t="s">
        <v>17</v>
      </c>
      <c r="M546" s="12">
        <f t="shared" si="18"/>
        <v>144000</v>
      </c>
      <c r="N546" s="10">
        <f>PRODUCT(Table_13[[#This Row],[Unit Price]],Table_13[[#This Row],[Quantity]])</f>
        <v>1260000</v>
      </c>
      <c r="O546" s="16">
        <f>PRODUCT(Table_13[[#This Row],[Cost Price]],Table_13[[#This Row],[Quantity]])</f>
        <v>1008000</v>
      </c>
      <c r="P546" s="27">
        <f t="shared" si="20"/>
        <v>252000</v>
      </c>
    </row>
    <row r="547" spans="1:16" x14ac:dyDescent="0.2">
      <c r="A547" s="33">
        <v>46221</v>
      </c>
      <c r="B547" s="30">
        <f t="shared" si="19"/>
        <v>7</v>
      </c>
      <c r="C547" s="30" t="str">
        <f>_xlfn.IFS(Table_13[[#This Row],[Month]]=1,"JAN",Table_13[[#This Row],[Month]]=2,"FEB",B547=3,"MAR",B547=4,"APR",B547=5,"MAY",B547=6,"JUN",B547=7,"JUL",B547=8,"AUG",Table_13[[#This Row],[Month]]=9,"SEPT",B547=10,"OCT",B547=11,"NOV",B547=12,"DEC")</f>
        <v>JUL</v>
      </c>
      <c r="D547" s="2" t="s">
        <v>29</v>
      </c>
      <c r="E547" s="2" t="s">
        <v>19</v>
      </c>
      <c r="F547" s="2" t="s">
        <v>13</v>
      </c>
      <c r="G547" s="2" t="s">
        <v>14</v>
      </c>
      <c r="H547" s="2" t="s">
        <v>36</v>
      </c>
      <c r="I547" s="2" t="s">
        <v>31</v>
      </c>
      <c r="J547" s="15">
        <v>150000</v>
      </c>
      <c r="K547" s="2">
        <v>10</v>
      </c>
      <c r="L547" s="2" t="s">
        <v>37</v>
      </c>
      <c r="M547" s="12">
        <f t="shared" si="18"/>
        <v>120000</v>
      </c>
      <c r="N547" s="10">
        <f>PRODUCT(Table_13[[#This Row],[Unit Price]],Table_13[[#This Row],[Quantity]])</f>
        <v>1500000</v>
      </c>
      <c r="O547" s="16">
        <f>PRODUCT(Table_13[[#This Row],[Cost Price]],Table_13[[#This Row],[Quantity]])</f>
        <v>1200000</v>
      </c>
      <c r="P547" s="27">
        <f t="shared" si="20"/>
        <v>300000</v>
      </c>
    </row>
    <row r="548" spans="1:16" x14ac:dyDescent="0.2">
      <c r="A548" s="33">
        <v>46222</v>
      </c>
      <c r="B548" s="30">
        <f t="shared" si="19"/>
        <v>7</v>
      </c>
      <c r="C548" s="30" t="str">
        <f>_xlfn.IFS(Table_13[[#This Row],[Month]]=1,"JAN",Table_13[[#This Row],[Month]]=2,"FEB",B548=3,"MAR",B548=4,"APR",B548=5,"MAY",B548=6,"JUN",B548=7,"JUL",B548=8,"AUG",Table_13[[#This Row],[Month]]=9,"SEPT",B548=10,"OCT",B548=11,"NOV",B548=12,"DEC")</f>
        <v>JUL</v>
      </c>
      <c r="D548" s="2" t="s">
        <v>18</v>
      </c>
      <c r="E548" s="2" t="s">
        <v>26</v>
      </c>
      <c r="F548" s="2" t="s">
        <v>13</v>
      </c>
      <c r="G548" s="2" t="s">
        <v>20</v>
      </c>
      <c r="H548" s="2" t="s">
        <v>34</v>
      </c>
      <c r="I548" s="2" t="s">
        <v>16</v>
      </c>
      <c r="J548" s="15">
        <v>320000</v>
      </c>
      <c r="K548" s="2">
        <v>5</v>
      </c>
      <c r="L548" s="2" t="s">
        <v>37</v>
      </c>
      <c r="M548" s="12">
        <f t="shared" si="18"/>
        <v>256000</v>
      </c>
      <c r="N548" s="10">
        <f>PRODUCT(Table_13[[#This Row],[Unit Price]],Table_13[[#This Row],[Quantity]])</f>
        <v>1600000</v>
      </c>
      <c r="O548" s="16">
        <f>PRODUCT(Table_13[[#This Row],[Cost Price]],Table_13[[#This Row],[Quantity]])</f>
        <v>1280000</v>
      </c>
      <c r="P548" s="27">
        <f t="shared" si="20"/>
        <v>320000</v>
      </c>
    </row>
    <row r="549" spans="1:16" x14ac:dyDescent="0.2">
      <c r="A549" s="33">
        <v>46223</v>
      </c>
      <c r="B549" s="30">
        <f t="shared" si="19"/>
        <v>7</v>
      </c>
      <c r="C549" s="30" t="str">
        <f>_xlfn.IFS(Table_13[[#This Row],[Month]]=1,"JAN",Table_13[[#This Row],[Month]]=2,"FEB",B549=3,"MAR",B549=4,"APR",B549=5,"MAY",B549=6,"JUN",B549=7,"JUL",B549=8,"AUG",Table_13[[#This Row],[Month]]=9,"SEPT",B549=10,"OCT",B549=11,"NOV",B549=12,"DEC")</f>
        <v>JUL</v>
      </c>
      <c r="D549" s="2" t="s">
        <v>11</v>
      </c>
      <c r="E549" s="2" t="s">
        <v>12</v>
      </c>
      <c r="F549" s="2" t="s">
        <v>23</v>
      </c>
      <c r="G549" s="2" t="s">
        <v>20</v>
      </c>
      <c r="H549" s="2" t="s">
        <v>36</v>
      </c>
      <c r="I549" s="2" t="s">
        <v>31</v>
      </c>
      <c r="J549" s="15">
        <v>150000</v>
      </c>
      <c r="K549" s="2">
        <v>7</v>
      </c>
      <c r="L549" s="2" t="s">
        <v>24</v>
      </c>
      <c r="M549" s="12">
        <f t="shared" si="18"/>
        <v>120000</v>
      </c>
      <c r="N549" s="10">
        <f>PRODUCT(Table_13[[#This Row],[Unit Price]],Table_13[[#This Row],[Quantity]])</f>
        <v>1050000</v>
      </c>
      <c r="O549" s="16">
        <f>PRODUCT(Table_13[[#This Row],[Cost Price]],Table_13[[#This Row],[Quantity]])</f>
        <v>840000</v>
      </c>
      <c r="P549" s="27">
        <f t="shared" si="20"/>
        <v>210000</v>
      </c>
    </row>
    <row r="550" spans="1:16" x14ac:dyDescent="0.2">
      <c r="A550" s="33">
        <v>46224</v>
      </c>
      <c r="B550" s="30">
        <f t="shared" si="19"/>
        <v>7</v>
      </c>
      <c r="C550" s="30" t="str">
        <f>_xlfn.IFS(Table_13[[#This Row],[Month]]=1,"JAN",Table_13[[#This Row],[Month]]=2,"FEB",B550=3,"MAR",B550=4,"APR",B550=5,"MAY",B550=6,"JUN",B550=7,"JUL",B550=8,"AUG",Table_13[[#This Row],[Month]]=9,"SEPT",B550=10,"OCT",B550=11,"NOV",B550=12,"DEC")</f>
        <v>JUL</v>
      </c>
      <c r="D550" s="2" t="s">
        <v>18</v>
      </c>
      <c r="E550" s="2" t="s">
        <v>12</v>
      </c>
      <c r="F550" s="2" t="s">
        <v>23</v>
      </c>
      <c r="G550" s="2" t="s">
        <v>14</v>
      </c>
      <c r="H550" s="2" t="s">
        <v>36</v>
      </c>
      <c r="I550" s="2" t="s">
        <v>31</v>
      </c>
      <c r="J550" s="15">
        <v>150000</v>
      </c>
      <c r="K550" s="2">
        <v>4</v>
      </c>
      <c r="L550" s="2" t="s">
        <v>37</v>
      </c>
      <c r="M550" s="12">
        <f t="shared" si="18"/>
        <v>120000</v>
      </c>
      <c r="N550" s="10">
        <f>PRODUCT(Table_13[[#This Row],[Unit Price]],Table_13[[#This Row],[Quantity]])</f>
        <v>600000</v>
      </c>
      <c r="O550" s="16">
        <f>PRODUCT(Table_13[[#This Row],[Cost Price]],Table_13[[#This Row],[Quantity]])</f>
        <v>480000</v>
      </c>
      <c r="P550" s="27">
        <f t="shared" si="20"/>
        <v>120000</v>
      </c>
    </row>
    <row r="551" spans="1:16" x14ac:dyDescent="0.2">
      <c r="A551" s="33">
        <v>46225</v>
      </c>
      <c r="B551" s="30">
        <f t="shared" si="19"/>
        <v>7</v>
      </c>
      <c r="C551" s="30" t="str">
        <f>_xlfn.IFS(Table_13[[#This Row],[Month]]=1,"JAN",Table_13[[#This Row],[Month]]=2,"FEB",B551=3,"MAR",B551=4,"APR",B551=5,"MAY",B551=6,"JUN",B551=7,"JUL",B551=8,"AUG",Table_13[[#This Row],[Month]]=9,"SEPT",B551=10,"OCT",B551=11,"NOV",B551=12,"DEC")</f>
        <v>JUL</v>
      </c>
      <c r="D551" s="2" t="s">
        <v>29</v>
      </c>
      <c r="E551" s="2" t="s">
        <v>26</v>
      </c>
      <c r="F551" s="2" t="s">
        <v>23</v>
      </c>
      <c r="G551" s="2" t="s">
        <v>14</v>
      </c>
      <c r="H551" s="2" t="s">
        <v>30</v>
      </c>
      <c r="I551" s="2" t="s">
        <v>31</v>
      </c>
      <c r="J551" s="15">
        <v>300000</v>
      </c>
      <c r="K551" s="2">
        <v>6</v>
      </c>
      <c r="L551" s="2" t="s">
        <v>28</v>
      </c>
      <c r="M551" s="12">
        <f t="shared" si="18"/>
        <v>240000</v>
      </c>
      <c r="N551" s="10">
        <f>PRODUCT(Table_13[[#This Row],[Unit Price]],Table_13[[#This Row],[Quantity]])</f>
        <v>1800000</v>
      </c>
      <c r="O551" s="16">
        <f>PRODUCT(Table_13[[#This Row],[Cost Price]],Table_13[[#This Row],[Quantity]])</f>
        <v>1440000</v>
      </c>
      <c r="P551" s="27">
        <f t="shared" si="20"/>
        <v>360000</v>
      </c>
    </row>
    <row r="552" spans="1:16" x14ac:dyDescent="0.2">
      <c r="A552" s="33">
        <v>46226</v>
      </c>
      <c r="B552" s="30">
        <f t="shared" si="19"/>
        <v>7</v>
      </c>
      <c r="C552" s="30" t="str">
        <f>_xlfn.IFS(Table_13[[#This Row],[Month]]=1,"JAN",Table_13[[#This Row],[Month]]=2,"FEB",B552=3,"MAR",B552=4,"APR",B552=5,"MAY",B552=6,"JUN",B552=7,"JUL",B552=8,"AUG",Table_13[[#This Row],[Month]]=9,"SEPT",B552=10,"OCT",B552=11,"NOV",B552=12,"DEC")</f>
        <v>JUL</v>
      </c>
      <c r="D552" s="2" t="s">
        <v>29</v>
      </c>
      <c r="E552" s="2" t="s">
        <v>12</v>
      </c>
      <c r="F552" s="2" t="s">
        <v>13</v>
      </c>
      <c r="G552" s="2" t="s">
        <v>20</v>
      </c>
      <c r="H552" s="2" t="s">
        <v>34</v>
      </c>
      <c r="I552" s="2" t="s">
        <v>16</v>
      </c>
      <c r="J552" s="15">
        <v>320000</v>
      </c>
      <c r="K552" s="2">
        <v>4</v>
      </c>
      <c r="L552" s="2" t="s">
        <v>28</v>
      </c>
      <c r="M552" s="12">
        <f t="shared" si="18"/>
        <v>256000</v>
      </c>
      <c r="N552" s="10">
        <f>PRODUCT(Table_13[[#This Row],[Unit Price]],Table_13[[#This Row],[Quantity]])</f>
        <v>1280000</v>
      </c>
      <c r="O552" s="16">
        <f>PRODUCT(Table_13[[#This Row],[Cost Price]],Table_13[[#This Row],[Quantity]])</f>
        <v>1024000</v>
      </c>
      <c r="P552" s="27">
        <f t="shared" si="20"/>
        <v>256000</v>
      </c>
    </row>
    <row r="553" spans="1:16" x14ac:dyDescent="0.2">
      <c r="A553" s="33">
        <v>46227</v>
      </c>
      <c r="B553" s="30">
        <f t="shared" si="19"/>
        <v>7</v>
      </c>
      <c r="C553" s="30" t="str">
        <f>_xlfn.IFS(Table_13[[#This Row],[Month]]=1,"JAN",Table_13[[#This Row],[Month]]=2,"FEB",B553=3,"MAR",B553=4,"APR",B553=5,"MAY",B553=6,"JUN",B553=7,"JUL",B553=8,"AUG",Table_13[[#This Row],[Month]]=9,"SEPT",B553=10,"OCT",B553=11,"NOV",B553=12,"DEC")</f>
        <v>JUL</v>
      </c>
      <c r="D553" s="2" t="s">
        <v>25</v>
      </c>
      <c r="E553" s="2" t="s">
        <v>19</v>
      </c>
      <c r="F553" s="2" t="s">
        <v>23</v>
      </c>
      <c r="G553" s="2" t="s">
        <v>14</v>
      </c>
      <c r="H553" s="2" t="s">
        <v>21</v>
      </c>
      <c r="I553" s="2" t="s">
        <v>22</v>
      </c>
      <c r="J553" s="15">
        <v>30000</v>
      </c>
      <c r="K553" s="2">
        <v>4</v>
      </c>
      <c r="L553" s="2" t="s">
        <v>24</v>
      </c>
      <c r="M553" s="12">
        <f t="shared" si="18"/>
        <v>24000</v>
      </c>
      <c r="N553" s="10">
        <f>PRODUCT(Table_13[[#This Row],[Unit Price]],Table_13[[#This Row],[Quantity]])</f>
        <v>120000</v>
      </c>
      <c r="O553" s="16">
        <f>PRODUCT(Table_13[[#This Row],[Cost Price]],Table_13[[#This Row],[Quantity]])</f>
        <v>96000</v>
      </c>
      <c r="P553" s="27">
        <f t="shared" si="20"/>
        <v>24000</v>
      </c>
    </row>
    <row r="554" spans="1:16" x14ac:dyDescent="0.2">
      <c r="A554" s="33">
        <v>46228</v>
      </c>
      <c r="B554" s="30">
        <f t="shared" si="19"/>
        <v>7</v>
      </c>
      <c r="C554" s="30" t="str">
        <f>_xlfn.IFS(Table_13[[#This Row],[Month]]=1,"JAN",Table_13[[#This Row],[Month]]=2,"FEB",B554=3,"MAR",B554=4,"APR",B554=5,"MAY",B554=6,"JUN",B554=7,"JUL",B554=8,"AUG",Table_13[[#This Row],[Month]]=9,"SEPT",B554=10,"OCT",B554=11,"NOV",B554=12,"DEC")</f>
        <v>JUL</v>
      </c>
      <c r="D554" s="2" t="s">
        <v>18</v>
      </c>
      <c r="E554" s="2" t="s">
        <v>26</v>
      </c>
      <c r="F554" s="2" t="s">
        <v>23</v>
      </c>
      <c r="G554" s="2" t="s">
        <v>14</v>
      </c>
      <c r="H554" s="2" t="s">
        <v>36</v>
      </c>
      <c r="I554" s="2" t="s">
        <v>31</v>
      </c>
      <c r="J554" s="15">
        <v>150000</v>
      </c>
      <c r="K554" s="2">
        <v>8</v>
      </c>
      <c r="L554" s="2" t="s">
        <v>39</v>
      </c>
      <c r="M554" s="12">
        <f t="shared" si="18"/>
        <v>120000</v>
      </c>
      <c r="N554" s="10">
        <f>PRODUCT(Table_13[[#This Row],[Unit Price]],Table_13[[#This Row],[Quantity]])</f>
        <v>1200000</v>
      </c>
      <c r="O554" s="16">
        <f>PRODUCT(Table_13[[#This Row],[Cost Price]],Table_13[[#This Row],[Quantity]])</f>
        <v>960000</v>
      </c>
      <c r="P554" s="27">
        <f t="shared" si="20"/>
        <v>240000</v>
      </c>
    </row>
    <row r="555" spans="1:16" x14ac:dyDescent="0.2">
      <c r="A555" s="33">
        <v>46229</v>
      </c>
      <c r="B555" s="30">
        <f t="shared" si="19"/>
        <v>7</v>
      </c>
      <c r="C555" s="30" t="str">
        <f>_xlfn.IFS(Table_13[[#This Row],[Month]]=1,"JAN",Table_13[[#This Row],[Month]]=2,"FEB",B555=3,"MAR",B555=4,"APR",B555=5,"MAY",B555=6,"JUN",B555=7,"JUL",B555=8,"AUG",Table_13[[#This Row],[Month]]=9,"SEPT",B555=10,"OCT",B555=11,"NOV",B555=12,"DEC")</f>
        <v>JUL</v>
      </c>
      <c r="D555" s="2" t="s">
        <v>25</v>
      </c>
      <c r="E555" s="2" t="s">
        <v>19</v>
      </c>
      <c r="F555" s="2" t="s">
        <v>13</v>
      </c>
      <c r="G555" s="2" t="s">
        <v>20</v>
      </c>
      <c r="H555" s="2" t="s">
        <v>40</v>
      </c>
      <c r="I555" s="2" t="s">
        <v>31</v>
      </c>
      <c r="J555" s="15">
        <v>250000</v>
      </c>
      <c r="K555" s="2">
        <v>8</v>
      </c>
      <c r="L555" s="2" t="s">
        <v>37</v>
      </c>
      <c r="M555" s="12">
        <f t="shared" si="18"/>
        <v>200000</v>
      </c>
      <c r="N555" s="10">
        <f>PRODUCT(Table_13[[#This Row],[Unit Price]],Table_13[[#This Row],[Quantity]])</f>
        <v>2000000</v>
      </c>
      <c r="O555" s="16">
        <f>PRODUCT(Table_13[[#This Row],[Cost Price]],Table_13[[#This Row],[Quantity]])</f>
        <v>1600000</v>
      </c>
      <c r="P555" s="27">
        <f t="shared" si="20"/>
        <v>400000</v>
      </c>
    </row>
    <row r="556" spans="1:16" x14ac:dyDescent="0.2">
      <c r="A556" s="33">
        <v>46230</v>
      </c>
      <c r="B556" s="30">
        <f t="shared" si="19"/>
        <v>7</v>
      </c>
      <c r="C556" s="30" t="str">
        <f>_xlfn.IFS(Table_13[[#This Row],[Month]]=1,"JAN",Table_13[[#This Row],[Month]]=2,"FEB",B556=3,"MAR",B556=4,"APR",B556=5,"MAY",B556=6,"JUN",B556=7,"JUL",B556=8,"AUG",Table_13[[#This Row],[Month]]=9,"SEPT",B556=10,"OCT",B556=11,"NOV",B556=12,"DEC")</f>
        <v>JUL</v>
      </c>
      <c r="D556" s="2" t="s">
        <v>29</v>
      </c>
      <c r="E556" s="2" t="s">
        <v>19</v>
      </c>
      <c r="F556" s="2" t="s">
        <v>23</v>
      </c>
      <c r="G556" s="2" t="s">
        <v>14</v>
      </c>
      <c r="H556" s="2" t="s">
        <v>21</v>
      </c>
      <c r="I556" s="2" t="s">
        <v>22</v>
      </c>
      <c r="J556" s="15">
        <v>30000</v>
      </c>
      <c r="K556" s="2">
        <v>4</v>
      </c>
      <c r="L556" s="2" t="s">
        <v>39</v>
      </c>
      <c r="M556" s="12">
        <f t="shared" si="18"/>
        <v>24000</v>
      </c>
      <c r="N556" s="10">
        <f>PRODUCT(Table_13[[#This Row],[Unit Price]],Table_13[[#This Row],[Quantity]])</f>
        <v>120000</v>
      </c>
      <c r="O556" s="16">
        <f>PRODUCT(Table_13[[#This Row],[Cost Price]],Table_13[[#This Row],[Quantity]])</f>
        <v>96000</v>
      </c>
      <c r="P556" s="27">
        <f t="shared" si="20"/>
        <v>24000</v>
      </c>
    </row>
    <row r="557" spans="1:16" x14ac:dyDescent="0.2">
      <c r="A557" s="33">
        <v>46231</v>
      </c>
      <c r="B557" s="30">
        <f t="shared" si="19"/>
        <v>7</v>
      </c>
      <c r="C557" s="30" t="str">
        <f>_xlfn.IFS(Table_13[[#This Row],[Month]]=1,"JAN",Table_13[[#This Row],[Month]]=2,"FEB",B557=3,"MAR",B557=4,"APR",B557=5,"MAY",B557=6,"JUN",B557=7,"JUL",B557=8,"AUG",Table_13[[#This Row],[Month]]=9,"SEPT",B557=10,"OCT",B557=11,"NOV",B557=12,"DEC")</f>
        <v>JUL</v>
      </c>
      <c r="D557" s="2" t="s">
        <v>25</v>
      </c>
      <c r="E557" s="2" t="s">
        <v>12</v>
      </c>
      <c r="F557" s="2" t="s">
        <v>23</v>
      </c>
      <c r="G557" s="2" t="s">
        <v>14</v>
      </c>
      <c r="H557" s="2" t="s">
        <v>38</v>
      </c>
      <c r="I557" s="2" t="s">
        <v>31</v>
      </c>
      <c r="J557" s="15">
        <v>420000</v>
      </c>
      <c r="K557" s="2">
        <v>2</v>
      </c>
      <c r="L557" s="2" t="s">
        <v>37</v>
      </c>
      <c r="M557" s="12">
        <f t="shared" si="18"/>
        <v>336000</v>
      </c>
      <c r="N557" s="10">
        <f>PRODUCT(Table_13[[#This Row],[Unit Price]],Table_13[[#This Row],[Quantity]])</f>
        <v>840000</v>
      </c>
      <c r="O557" s="16">
        <f>PRODUCT(Table_13[[#This Row],[Cost Price]],Table_13[[#This Row],[Quantity]])</f>
        <v>672000</v>
      </c>
      <c r="P557" s="27">
        <f t="shared" si="20"/>
        <v>168000</v>
      </c>
    </row>
    <row r="558" spans="1:16" x14ac:dyDescent="0.2">
      <c r="A558" s="33">
        <v>46232</v>
      </c>
      <c r="B558" s="30">
        <f t="shared" si="19"/>
        <v>7</v>
      </c>
      <c r="C558" s="30" t="str">
        <f>_xlfn.IFS(Table_13[[#This Row],[Month]]=1,"JAN",Table_13[[#This Row],[Month]]=2,"FEB",B558=3,"MAR",B558=4,"APR",B558=5,"MAY",B558=6,"JUN",B558=7,"JUL",B558=8,"AUG",Table_13[[#This Row],[Month]]=9,"SEPT",B558=10,"OCT",B558=11,"NOV",B558=12,"DEC")</f>
        <v>JUL</v>
      </c>
      <c r="D558" s="2" t="s">
        <v>25</v>
      </c>
      <c r="E558" s="2" t="s">
        <v>12</v>
      </c>
      <c r="F558" s="2" t="s">
        <v>23</v>
      </c>
      <c r="G558" s="2" t="s">
        <v>20</v>
      </c>
      <c r="H558" s="2" t="s">
        <v>21</v>
      </c>
      <c r="I558" s="2" t="s">
        <v>22</v>
      </c>
      <c r="J558" s="15">
        <v>30000</v>
      </c>
      <c r="K558" s="2">
        <v>6</v>
      </c>
      <c r="L558" s="2" t="s">
        <v>37</v>
      </c>
      <c r="M558" s="12">
        <f t="shared" si="18"/>
        <v>24000</v>
      </c>
      <c r="N558" s="10">
        <f>PRODUCT(Table_13[[#This Row],[Unit Price]],Table_13[[#This Row],[Quantity]])</f>
        <v>180000</v>
      </c>
      <c r="O558" s="16">
        <f>PRODUCT(Table_13[[#This Row],[Cost Price]],Table_13[[#This Row],[Quantity]])</f>
        <v>144000</v>
      </c>
      <c r="P558" s="27">
        <f t="shared" si="20"/>
        <v>36000</v>
      </c>
    </row>
    <row r="559" spans="1:16" x14ac:dyDescent="0.2">
      <c r="A559" s="33">
        <v>46233</v>
      </c>
      <c r="B559" s="30">
        <f t="shared" si="19"/>
        <v>7</v>
      </c>
      <c r="C559" s="30" t="str">
        <f>_xlfn.IFS(Table_13[[#This Row],[Month]]=1,"JAN",Table_13[[#This Row],[Month]]=2,"FEB",B559=3,"MAR",B559=4,"APR",B559=5,"MAY",B559=6,"JUN",B559=7,"JUL",B559=8,"AUG",Table_13[[#This Row],[Month]]=9,"SEPT",B559=10,"OCT",B559=11,"NOV",B559=12,"DEC")</f>
        <v>JUL</v>
      </c>
      <c r="D559" s="2" t="s">
        <v>29</v>
      </c>
      <c r="E559" s="2" t="s">
        <v>32</v>
      </c>
      <c r="F559" s="2" t="s">
        <v>23</v>
      </c>
      <c r="G559" s="2" t="s">
        <v>14</v>
      </c>
      <c r="H559" s="2" t="s">
        <v>41</v>
      </c>
      <c r="I559" s="2" t="s">
        <v>22</v>
      </c>
      <c r="J559" s="15">
        <v>220000</v>
      </c>
      <c r="K559" s="2">
        <v>2</v>
      </c>
      <c r="L559" s="2" t="s">
        <v>35</v>
      </c>
      <c r="M559" s="12">
        <f t="shared" si="18"/>
        <v>176000</v>
      </c>
      <c r="N559" s="10">
        <f>PRODUCT(Table_13[[#This Row],[Unit Price]],Table_13[[#This Row],[Quantity]])</f>
        <v>440000</v>
      </c>
      <c r="O559" s="16">
        <f>PRODUCT(Table_13[[#This Row],[Cost Price]],Table_13[[#This Row],[Quantity]])</f>
        <v>352000</v>
      </c>
      <c r="P559" s="27">
        <f t="shared" si="20"/>
        <v>88000</v>
      </c>
    </row>
    <row r="560" spans="1:16" x14ac:dyDescent="0.2">
      <c r="A560" s="33">
        <v>46234</v>
      </c>
      <c r="B560" s="30">
        <f t="shared" si="19"/>
        <v>7</v>
      </c>
      <c r="C560" s="30" t="str">
        <f>_xlfn.IFS(Table_13[[#This Row],[Month]]=1,"JAN",Table_13[[#This Row],[Month]]=2,"FEB",B560=3,"MAR",B560=4,"APR",B560=5,"MAY",B560=6,"JUN",B560=7,"JUL",B560=8,"AUG",Table_13[[#This Row],[Month]]=9,"SEPT",B560=10,"OCT",B560=11,"NOV",B560=12,"DEC")</f>
        <v>JUL</v>
      </c>
      <c r="D560" s="2" t="s">
        <v>25</v>
      </c>
      <c r="E560" s="2" t="s">
        <v>12</v>
      </c>
      <c r="F560" s="2" t="s">
        <v>13</v>
      </c>
      <c r="G560" s="2" t="s">
        <v>14</v>
      </c>
      <c r="H560" s="2" t="s">
        <v>30</v>
      </c>
      <c r="I560" s="2" t="s">
        <v>31</v>
      </c>
      <c r="J560" s="15">
        <v>300000</v>
      </c>
      <c r="K560" s="2">
        <v>4</v>
      </c>
      <c r="L560" s="2" t="s">
        <v>35</v>
      </c>
      <c r="M560" s="12">
        <f t="shared" si="18"/>
        <v>240000</v>
      </c>
      <c r="N560" s="10">
        <f>PRODUCT(Table_13[[#This Row],[Unit Price]],Table_13[[#This Row],[Quantity]])</f>
        <v>1200000</v>
      </c>
      <c r="O560" s="16">
        <f>PRODUCT(Table_13[[#This Row],[Cost Price]],Table_13[[#This Row],[Quantity]])</f>
        <v>960000</v>
      </c>
      <c r="P560" s="27">
        <f t="shared" si="20"/>
        <v>240000</v>
      </c>
    </row>
    <row r="561" spans="1:16" x14ac:dyDescent="0.2">
      <c r="A561" s="33">
        <v>46235</v>
      </c>
      <c r="B561" s="30">
        <f t="shared" si="19"/>
        <v>8</v>
      </c>
      <c r="C561" s="30" t="str">
        <f>_xlfn.IFS(Table_13[[#This Row],[Month]]=1,"JAN",Table_13[[#This Row],[Month]]=2,"FEB",B561=3,"MAR",B561=4,"APR",B561=5,"MAY",B561=6,"JUN",B561=7,"JUL",B561=8,"AUG",Table_13[[#This Row],[Month]]=9,"SEPT",B561=10,"OCT",B561=11,"NOV",B561=12,"DEC")</f>
        <v>AUG</v>
      </c>
      <c r="D561" s="2" t="s">
        <v>25</v>
      </c>
      <c r="E561" s="2" t="s">
        <v>12</v>
      </c>
      <c r="F561" s="2" t="s">
        <v>23</v>
      </c>
      <c r="G561" s="2" t="s">
        <v>14</v>
      </c>
      <c r="H561" s="2" t="s">
        <v>38</v>
      </c>
      <c r="I561" s="2" t="s">
        <v>31</v>
      </c>
      <c r="J561" s="15">
        <v>420000</v>
      </c>
      <c r="K561" s="2">
        <v>8</v>
      </c>
      <c r="L561" s="2" t="s">
        <v>17</v>
      </c>
      <c r="M561" s="12">
        <f t="shared" si="18"/>
        <v>336000</v>
      </c>
      <c r="N561" s="10">
        <f>PRODUCT(Table_13[[#This Row],[Unit Price]],Table_13[[#This Row],[Quantity]])</f>
        <v>3360000</v>
      </c>
      <c r="O561" s="16">
        <f>PRODUCT(Table_13[[#This Row],[Cost Price]],Table_13[[#This Row],[Quantity]])</f>
        <v>2688000</v>
      </c>
      <c r="P561" s="27">
        <f t="shared" si="20"/>
        <v>672000</v>
      </c>
    </row>
    <row r="562" spans="1:16" x14ac:dyDescent="0.2">
      <c r="A562" s="33">
        <v>46236</v>
      </c>
      <c r="B562" s="30">
        <f t="shared" si="19"/>
        <v>8</v>
      </c>
      <c r="C562" s="30" t="str">
        <f>_xlfn.IFS(Table_13[[#This Row],[Month]]=1,"JAN",Table_13[[#This Row],[Month]]=2,"FEB",B562=3,"MAR",B562=4,"APR",B562=5,"MAY",B562=6,"JUN",B562=7,"JUL",B562=8,"AUG",Table_13[[#This Row],[Month]]=9,"SEPT",B562=10,"OCT",B562=11,"NOV",B562=12,"DEC")</f>
        <v>AUG</v>
      </c>
      <c r="D562" s="2" t="s">
        <v>18</v>
      </c>
      <c r="E562" s="2" t="s">
        <v>12</v>
      </c>
      <c r="F562" s="2" t="s">
        <v>13</v>
      </c>
      <c r="G562" s="2" t="s">
        <v>14</v>
      </c>
      <c r="H562" s="2" t="s">
        <v>34</v>
      </c>
      <c r="I562" s="2" t="s">
        <v>16</v>
      </c>
      <c r="J562" s="15">
        <v>320000</v>
      </c>
      <c r="K562" s="2">
        <v>4</v>
      </c>
      <c r="L562" s="2" t="s">
        <v>35</v>
      </c>
      <c r="M562" s="12">
        <f t="shared" si="18"/>
        <v>256000</v>
      </c>
      <c r="N562" s="10">
        <f>PRODUCT(Table_13[[#This Row],[Unit Price]],Table_13[[#This Row],[Quantity]])</f>
        <v>1280000</v>
      </c>
      <c r="O562" s="16">
        <f>PRODUCT(Table_13[[#This Row],[Cost Price]],Table_13[[#This Row],[Quantity]])</f>
        <v>1024000</v>
      </c>
      <c r="P562" s="27">
        <f t="shared" si="20"/>
        <v>256000</v>
      </c>
    </row>
    <row r="563" spans="1:16" x14ac:dyDescent="0.2">
      <c r="A563" s="33">
        <v>46237</v>
      </c>
      <c r="B563" s="30">
        <f t="shared" si="19"/>
        <v>8</v>
      </c>
      <c r="C563" s="30" t="str">
        <f>_xlfn.IFS(Table_13[[#This Row],[Month]]=1,"JAN",Table_13[[#This Row],[Month]]=2,"FEB",B563=3,"MAR",B563=4,"APR",B563=5,"MAY",B563=6,"JUN",B563=7,"JUL",B563=8,"AUG",Table_13[[#This Row],[Month]]=9,"SEPT",B563=10,"OCT",B563=11,"NOV",B563=12,"DEC")</f>
        <v>AUG</v>
      </c>
      <c r="D563" s="2" t="s">
        <v>11</v>
      </c>
      <c r="E563" s="2" t="s">
        <v>12</v>
      </c>
      <c r="F563" s="2" t="s">
        <v>23</v>
      </c>
      <c r="G563" s="2" t="s">
        <v>20</v>
      </c>
      <c r="H563" s="2" t="s">
        <v>40</v>
      </c>
      <c r="I563" s="2" t="s">
        <v>31</v>
      </c>
      <c r="J563" s="15">
        <v>250000</v>
      </c>
      <c r="K563" s="2">
        <v>8</v>
      </c>
      <c r="L563" s="2" t="s">
        <v>24</v>
      </c>
      <c r="M563" s="12">
        <f t="shared" si="18"/>
        <v>200000</v>
      </c>
      <c r="N563" s="10">
        <f>PRODUCT(Table_13[[#This Row],[Unit Price]],Table_13[[#This Row],[Quantity]])</f>
        <v>2000000</v>
      </c>
      <c r="O563" s="16">
        <f>PRODUCT(Table_13[[#This Row],[Cost Price]],Table_13[[#This Row],[Quantity]])</f>
        <v>1600000</v>
      </c>
      <c r="P563" s="27">
        <f t="shared" si="20"/>
        <v>400000</v>
      </c>
    </row>
    <row r="564" spans="1:16" x14ac:dyDescent="0.2">
      <c r="A564" s="33">
        <v>46238</v>
      </c>
      <c r="B564" s="30">
        <f t="shared" si="19"/>
        <v>8</v>
      </c>
      <c r="C564" s="30" t="str">
        <f>_xlfn.IFS(Table_13[[#This Row],[Month]]=1,"JAN",Table_13[[#This Row],[Month]]=2,"FEB",B564=3,"MAR",B564=4,"APR",B564=5,"MAY",B564=6,"JUN",B564=7,"JUL",B564=8,"AUG",Table_13[[#This Row],[Month]]=9,"SEPT",B564=10,"OCT",B564=11,"NOV",B564=12,"DEC")</f>
        <v>AUG</v>
      </c>
      <c r="D564" s="2" t="s">
        <v>18</v>
      </c>
      <c r="E564" s="2" t="s">
        <v>19</v>
      </c>
      <c r="F564" s="2" t="s">
        <v>13</v>
      </c>
      <c r="G564" s="2" t="s">
        <v>20</v>
      </c>
      <c r="H564" s="2" t="s">
        <v>34</v>
      </c>
      <c r="I564" s="2" t="s">
        <v>16</v>
      </c>
      <c r="J564" s="15">
        <v>320000</v>
      </c>
      <c r="K564" s="2">
        <v>7</v>
      </c>
      <c r="L564" s="2" t="s">
        <v>39</v>
      </c>
      <c r="M564" s="12">
        <f t="shared" si="18"/>
        <v>256000</v>
      </c>
      <c r="N564" s="10">
        <f>PRODUCT(Table_13[[#This Row],[Unit Price]],Table_13[[#This Row],[Quantity]])</f>
        <v>2240000</v>
      </c>
      <c r="O564" s="16">
        <f>PRODUCT(Table_13[[#This Row],[Cost Price]],Table_13[[#This Row],[Quantity]])</f>
        <v>1792000</v>
      </c>
      <c r="P564" s="27">
        <f t="shared" si="20"/>
        <v>448000</v>
      </c>
    </row>
    <row r="565" spans="1:16" x14ac:dyDescent="0.2">
      <c r="A565" s="33">
        <v>46239</v>
      </c>
      <c r="B565" s="30">
        <f t="shared" si="19"/>
        <v>8</v>
      </c>
      <c r="C565" s="30" t="str">
        <f>_xlfn.IFS(Table_13[[#This Row],[Month]]=1,"JAN",Table_13[[#This Row],[Month]]=2,"FEB",B565=3,"MAR",B565=4,"APR",B565=5,"MAY",B565=6,"JUN",B565=7,"JUL",B565=8,"AUG",Table_13[[#This Row],[Month]]=9,"SEPT",B565=10,"OCT",B565=11,"NOV",B565=12,"DEC")</f>
        <v>AUG</v>
      </c>
      <c r="D565" s="2" t="s">
        <v>11</v>
      </c>
      <c r="E565" s="2" t="s">
        <v>19</v>
      </c>
      <c r="F565" s="2" t="s">
        <v>23</v>
      </c>
      <c r="G565" s="2" t="s">
        <v>20</v>
      </c>
      <c r="H565" s="2" t="s">
        <v>30</v>
      </c>
      <c r="I565" s="2" t="s">
        <v>31</v>
      </c>
      <c r="J565" s="15">
        <v>300000</v>
      </c>
      <c r="K565" s="2">
        <v>6</v>
      </c>
      <c r="L565" s="2" t="s">
        <v>24</v>
      </c>
      <c r="M565" s="12">
        <f t="shared" si="18"/>
        <v>240000</v>
      </c>
      <c r="N565" s="10">
        <f>PRODUCT(Table_13[[#This Row],[Unit Price]],Table_13[[#This Row],[Quantity]])</f>
        <v>1800000</v>
      </c>
      <c r="O565" s="16">
        <f>PRODUCT(Table_13[[#This Row],[Cost Price]],Table_13[[#This Row],[Quantity]])</f>
        <v>1440000</v>
      </c>
      <c r="P565" s="27">
        <f t="shared" si="20"/>
        <v>360000</v>
      </c>
    </row>
    <row r="566" spans="1:16" x14ac:dyDescent="0.2">
      <c r="A566" s="33">
        <v>46240</v>
      </c>
      <c r="B566" s="30">
        <f t="shared" si="19"/>
        <v>8</v>
      </c>
      <c r="C566" s="30" t="str">
        <f>_xlfn.IFS(Table_13[[#This Row],[Month]]=1,"JAN",Table_13[[#This Row],[Month]]=2,"FEB",B566=3,"MAR",B566=4,"APR",B566=5,"MAY",B566=6,"JUN",B566=7,"JUL",B566=8,"AUG",Table_13[[#This Row],[Month]]=9,"SEPT",B566=10,"OCT",B566=11,"NOV",B566=12,"DEC")</f>
        <v>AUG</v>
      </c>
      <c r="D566" s="2" t="s">
        <v>29</v>
      </c>
      <c r="E566" s="2" t="s">
        <v>32</v>
      </c>
      <c r="F566" s="2" t="s">
        <v>23</v>
      </c>
      <c r="G566" s="2" t="s">
        <v>20</v>
      </c>
      <c r="H566" s="2" t="s">
        <v>33</v>
      </c>
      <c r="I566" s="2" t="s">
        <v>22</v>
      </c>
      <c r="J566" s="15">
        <v>180000</v>
      </c>
      <c r="K566" s="2">
        <v>4</v>
      </c>
      <c r="L566" s="2" t="s">
        <v>17</v>
      </c>
      <c r="M566" s="12">
        <f t="shared" si="18"/>
        <v>144000</v>
      </c>
      <c r="N566" s="10">
        <f>PRODUCT(Table_13[[#This Row],[Unit Price]],Table_13[[#This Row],[Quantity]])</f>
        <v>720000</v>
      </c>
      <c r="O566" s="16">
        <f>PRODUCT(Table_13[[#This Row],[Cost Price]],Table_13[[#This Row],[Quantity]])</f>
        <v>576000</v>
      </c>
      <c r="P566" s="27">
        <f t="shared" si="20"/>
        <v>144000</v>
      </c>
    </row>
    <row r="567" spans="1:16" x14ac:dyDescent="0.2">
      <c r="A567" s="33">
        <v>46241</v>
      </c>
      <c r="B567" s="30">
        <f t="shared" si="19"/>
        <v>8</v>
      </c>
      <c r="C567" s="30" t="str">
        <f>_xlfn.IFS(Table_13[[#This Row],[Month]]=1,"JAN",Table_13[[#This Row],[Month]]=2,"FEB",B567=3,"MAR",B567=4,"APR",B567=5,"MAY",B567=6,"JUN",B567=7,"JUL",B567=8,"AUG",Table_13[[#This Row],[Month]]=9,"SEPT",B567=10,"OCT",B567=11,"NOV",B567=12,"DEC")</f>
        <v>AUG</v>
      </c>
      <c r="D567" s="2" t="s">
        <v>11</v>
      </c>
      <c r="E567" s="2" t="s">
        <v>12</v>
      </c>
      <c r="F567" s="2" t="s">
        <v>23</v>
      </c>
      <c r="G567" s="2" t="s">
        <v>14</v>
      </c>
      <c r="H567" s="2" t="s">
        <v>40</v>
      </c>
      <c r="I567" s="2" t="s">
        <v>31</v>
      </c>
      <c r="J567" s="15">
        <v>250000</v>
      </c>
      <c r="K567" s="2">
        <v>6</v>
      </c>
      <c r="L567" s="2" t="s">
        <v>35</v>
      </c>
      <c r="M567" s="12">
        <f t="shared" si="18"/>
        <v>200000</v>
      </c>
      <c r="N567" s="10">
        <f>PRODUCT(Table_13[[#This Row],[Unit Price]],Table_13[[#This Row],[Quantity]])</f>
        <v>1500000</v>
      </c>
      <c r="O567" s="16">
        <f>PRODUCT(Table_13[[#This Row],[Cost Price]],Table_13[[#This Row],[Quantity]])</f>
        <v>1200000</v>
      </c>
      <c r="P567" s="27">
        <f t="shared" si="20"/>
        <v>300000</v>
      </c>
    </row>
    <row r="568" spans="1:16" x14ac:dyDescent="0.2">
      <c r="A568" s="33">
        <v>46242</v>
      </c>
      <c r="B568" s="30">
        <f t="shared" si="19"/>
        <v>8</v>
      </c>
      <c r="C568" s="30" t="str">
        <f>_xlfn.IFS(Table_13[[#This Row],[Month]]=1,"JAN",Table_13[[#This Row],[Month]]=2,"FEB",B568=3,"MAR",B568=4,"APR",B568=5,"MAY",B568=6,"JUN",B568=7,"JUL",B568=8,"AUG",Table_13[[#This Row],[Month]]=9,"SEPT",B568=10,"OCT",B568=11,"NOV",B568=12,"DEC")</f>
        <v>AUG</v>
      </c>
      <c r="D568" s="2" t="s">
        <v>11</v>
      </c>
      <c r="E568" s="2" t="s">
        <v>26</v>
      </c>
      <c r="F568" s="2" t="s">
        <v>23</v>
      </c>
      <c r="G568" s="2" t="s">
        <v>14</v>
      </c>
      <c r="H568" s="2" t="s">
        <v>40</v>
      </c>
      <c r="I568" s="2" t="s">
        <v>31</v>
      </c>
      <c r="J568" s="15">
        <v>250000</v>
      </c>
      <c r="K568" s="2">
        <v>7</v>
      </c>
      <c r="L568" s="2" t="s">
        <v>35</v>
      </c>
      <c r="M568" s="12">
        <f t="shared" si="18"/>
        <v>200000</v>
      </c>
      <c r="N568" s="10">
        <f>PRODUCT(Table_13[[#This Row],[Unit Price]],Table_13[[#This Row],[Quantity]])</f>
        <v>1750000</v>
      </c>
      <c r="O568" s="16">
        <f>PRODUCT(Table_13[[#This Row],[Cost Price]],Table_13[[#This Row],[Quantity]])</f>
        <v>1400000</v>
      </c>
      <c r="P568" s="27">
        <f t="shared" si="20"/>
        <v>350000</v>
      </c>
    </row>
    <row r="569" spans="1:16" x14ac:dyDescent="0.2">
      <c r="A569" s="33">
        <v>46243</v>
      </c>
      <c r="B569" s="30">
        <f t="shared" si="19"/>
        <v>8</v>
      </c>
      <c r="C569" s="30" t="str">
        <f>_xlfn.IFS(Table_13[[#This Row],[Month]]=1,"JAN",Table_13[[#This Row],[Month]]=2,"FEB",B569=3,"MAR",B569=4,"APR",B569=5,"MAY",B569=6,"JUN",B569=7,"JUL",B569=8,"AUG",Table_13[[#This Row],[Month]]=9,"SEPT",B569=10,"OCT",B569=11,"NOV",B569=12,"DEC")</f>
        <v>AUG</v>
      </c>
      <c r="D569" s="2" t="s">
        <v>18</v>
      </c>
      <c r="E569" s="2" t="s">
        <v>19</v>
      </c>
      <c r="F569" s="2" t="s">
        <v>13</v>
      </c>
      <c r="G569" s="2" t="s">
        <v>20</v>
      </c>
      <c r="H569" s="2" t="s">
        <v>38</v>
      </c>
      <c r="I569" s="2" t="s">
        <v>31</v>
      </c>
      <c r="J569" s="15">
        <v>420000</v>
      </c>
      <c r="K569" s="2">
        <v>2</v>
      </c>
      <c r="L569" s="2" t="s">
        <v>17</v>
      </c>
      <c r="M569" s="12">
        <f t="shared" si="18"/>
        <v>336000</v>
      </c>
      <c r="N569" s="10">
        <f>PRODUCT(Table_13[[#This Row],[Unit Price]],Table_13[[#This Row],[Quantity]])</f>
        <v>840000</v>
      </c>
      <c r="O569" s="16">
        <f>PRODUCT(Table_13[[#This Row],[Cost Price]],Table_13[[#This Row],[Quantity]])</f>
        <v>672000</v>
      </c>
      <c r="P569" s="27">
        <f t="shared" si="20"/>
        <v>168000</v>
      </c>
    </row>
    <row r="570" spans="1:16" x14ac:dyDescent="0.2">
      <c r="A570" s="33">
        <v>46244</v>
      </c>
      <c r="B570" s="30">
        <f t="shared" si="19"/>
        <v>8</v>
      </c>
      <c r="C570" s="30" t="str">
        <f>_xlfn.IFS(Table_13[[#This Row],[Month]]=1,"JAN",Table_13[[#This Row],[Month]]=2,"FEB",B570=3,"MAR",B570=4,"APR",B570=5,"MAY",B570=6,"JUN",B570=7,"JUL",B570=8,"AUG",Table_13[[#This Row],[Month]]=9,"SEPT",B570=10,"OCT",B570=11,"NOV",B570=12,"DEC")</f>
        <v>AUG</v>
      </c>
      <c r="D570" s="2" t="s">
        <v>25</v>
      </c>
      <c r="E570" s="2" t="s">
        <v>19</v>
      </c>
      <c r="F570" s="2" t="s">
        <v>23</v>
      </c>
      <c r="G570" s="2" t="s">
        <v>14</v>
      </c>
      <c r="H570" s="2" t="s">
        <v>36</v>
      </c>
      <c r="I570" s="2" t="s">
        <v>31</v>
      </c>
      <c r="J570" s="15">
        <v>150000</v>
      </c>
      <c r="K570" s="2">
        <v>2</v>
      </c>
      <c r="L570" s="2" t="s">
        <v>24</v>
      </c>
      <c r="M570" s="12">
        <f t="shared" si="18"/>
        <v>120000</v>
      </c>
      <c r="N570" s="10">
        <f>PRODUCT(Table_13[[#This Row],[Unit Price]],Table_13[[#This Row],[Quantity]])</f>
        <v>300000</v>
      </c>
      <c r="O570" s="16">
        <f>PRODUCT(Table_13[[#This Row],[Cost Price]],Table_13[[#This Row],[Quantity]])</f>
        <v>240000</v>
      </c>
      <c r="P570" s="27">
        <f t="shared" si="20"/>
        <v>60000</v>
      </c>
    </row>
    <row r="571" spans="1:16" x14ac:dyDescent="0.2">
      <c r="A571" s="33">
        <v>46245</v>
      </c>
      <c r="B571" s="30">
        <f t="shared" si="19"/>
        <v>8</v>
      </c>
      <c r="C571" s="30" t="str">
        <f>_xlfn.IFS(Table_13[[#This Row],[Month]]=1,"JAN",Table_13[[#This Row],[Month]]=2,"FEB",B571=3,"MAR",B571=4,"APR",B571=5,"MAY",B571=6,"JUN",B571=7,"JUL",B571=8,"AUG",Table_13[[#This Row],[Month]]=9,"SEPT",B571=10,"OCT",B571=11,"NOV",B571=12,"DEC")</f>
        <v>AUG</v>
      </c>
      <c r="D571" s="2" t="s">
        <v>29</v>
      </c>
      <c r="E571" s="2" t="s">
        <v>19</v>
      </c>
      <c r="F571" s="2" t="s">
        <v>13</v>
      </c>
      <c r="G571" s="2" t="s">
        <v>14</v>
      </c>
      <c r="H571" s="2" t="s">
        <v>41</v>
      </c>
      <c r="I571" s="2" t="s">
        <v>22</v>
      </c>
      <c r="J571" s="15">
        <v>220000</v>
      </c>
      <c r="K571" s="2">
        <v>8</v>
      </c>
      <c r="L571" s="2" t="s">
        <v>39</v>
      </c>
      <c r="M571" s="12">
        <f t="shared" si="18"/>
        <v>176000</v>
      </c>
      <c r="N571" s="10">
        <f>PRODUCT(Table_13[[#This Row],[Unit Price]],Table_13[[#This Row],[Quantity]])</f>
        <v>1760000</v>
      </c>
      <c r="O571" s="16">
        <f>PRODUCT(Table_13[[#This Row],[Cost Price]],Table_13[[#This Row],[Quantity]])</f>
        <v>1408000</v>
      </c>
      <c r="P571" s="27">
        <f t="shared" si="20"/>
        <v>352000</v>
      </c>
    </row>
    <row r="572" spans="1:16" x14ac:dyDescent="0.2">
      <c r="A572" s="33">
        <v>46246</v>
      </c>
      <c r="B572" s="30">
        <f t="shared" si="19"/>
        <v>8</v>
      </c>
      <c r="C572" s="30" t="str">
        <f>_xlfn.IFS(Table_13[[#This Row],[Month]]=1,"JAN",Table_13[[#This Row],[Month]]=2,"FEB",B572=3,"MAR",B572=4,"APR",B572=5,"MAY",B572=6,"JUN",B572=7,"JUL",B572=8,"AUG",Table_13[[#This Row],[Month]]=9,"SEPT",B572=10,"OCT",B572=11,"NOV",B572=12,"DEC")</f>
        <v>AUG</v>
      </c>
      <c r="D572" s="2" t="s">
        <v>18</v>
      </c>
      <c r="E572" s="2" t="s">
        <v>12</v>
      </c>
      <c r="F572" s="2" t="s">
        <v>13</v>
      </c>
      <c r="G572" s="2" t="s">
        <v>20</v>
      </c>
      <c r="H572" s="2" t="s">
        <v>36</v>
      </c>
      <c r="I572" s="2" t="s">
        <v>31</v>
      </c>
      <c r="J572" s="15">
        <v>150000</v>
      </c>
      <c r="K572" s="2">
        <v>2</v>
      </c>
      <c r="L572" s="2" t="s">
        <v>28</v>
      </c>
      <c r="M572" s="12">
        <f t="shared" si="18"/>
        <v>120000</v>
      </c>
      <c r="N572" s="10">
        <f>PRODUCT(Table_13[[#This Row],[Unit Price]],Table_13[[#This Row],[Quantity]])</f>
        <v>300000</v>
      </c>
      <c r="O572" s="16">
        <f>PRODUCT(Table_13[[#This Row],[Cost Price]],Table_13[[#This Row],[Quantity]])</f>
        <v>240000</v>
      </c>
      <c r="P572" s="27">
        <f t="shared" si="20"/>
        <v>60000</v>
      </c>
    </row>
    <row r="573" spans="1:16" x14ac:dyDescent="0.2">
      <c r="A573" s="33">
        <v>46247</v>
      </c>
      <c r="B573" s="30">
        <f t="shared" si="19"/>
        <v>8</v>
      </c>
      <c r="C573" s="30" t="str">
        <f>_xlfn.IFS(Table_13[[#This Row],[Month]]=1,"JAN",Table_13[[#This Row],[Month]]=2,"FEB",B573=3,"MAR",B573=4,"APR",B573=5,"MAY",B573=6,"JUN",B573=7,"JUL",B573=8,"AUG",Table_13[[#This Row],[Month]]=9,"SEPT",B573=10,"OCT",B573=11,"NOV",B573=12,"DEC")</f>
        <v>AUG</v>
      </c>
      <c r="D573" s="2" t="s">
        <v>18</v>
      </c>
      <c r="E573" s="2" t="s">
        <v>19</v>
      </c>
      <c r="F573" s="2" t="s">
        <v>23</v>
      </c>
      <c r="G573" s="2" t="s">
        <v>14</v>
      </c>
      <c r="H573" s="2" t="s">
        <v>21</v>
      </c>
      <c r="I573" s="2" t="s">
        <v>22</v>
      </c>
      <c r="J573" s="15">
        <v>30000</v>
      </c>
      <c r="K573" s="2">
        <v>1</v>
      </c>
      <c r="L573" s="2" t="s">
        <v>35</v>
      </c>
      <c r="M573" s="12">
        <f t="shared" si="18"/>
        <v>24000</v>
      </c>
      <c r="N573" s="10">
        <f>PRODUCT(Table_13[[#This Row],[Unit Price]],Table_13[[#This Row],[Quantity]])</f>
        <v>30000</v>
      </c>
      <c r="O573" s="16">
        <f>PRODUCT(Table_13[[#This Row],[Cost Price]],Table_13[[#This Row],[Quantity]])</f>
        <v>24000</v>
      </c>
      <c r="P573" s="27">
        <f t="shared" si="20"/>
        <v>6000</v>
      </c>
    </row>
    <row r="574" spans="1:16" x14ac:dyDescent="0.2">
      <c r="A574" s="33">
        <v>46248</v>
      </c>
      <c r="B574" s="30">
        <f t="shared" si="19"/>
        <v>8</v>
      </c>
      <c r="C574" s="30" t="str">
        <f>_xlfn.IFS(Table_13[[#This Row],[Month]]=1,"JAN",Table_13[[#This Row],[Month]]=2,"FEB",B574=3,"MAR",B574=4,"APR",B574=5,"MAY",B574=6,"JUN",B574=7,"JUL",B574=8,"AUG",Table_13[[#This Row],[Month]]=9,"SEPT",B574=10,"OCT",B574=11,"NOV",B574=12,"DEC")</f>
        <v>AUG</v>
      </c>
      <c r="D574" s="2" t="s">
        <v>18</v>
      </c>
      <c r="E574" s="2" t="s">
        <v>12</v>
      </c>
      <c r="F574" s="2" t="s">
        <v>13</v>
      </c>
      <c r="G574" s="2" t="s">
        <v>20</v>
      </c>
      <c r="H574" s="2" t="s">
        <v>33</v>
      </c>
      <c r="I574" s="2" t="s">
        <v>22</v>
      </c>
      <c r="J574" s="15">
        <v>180000</v>
      </c>
      <c r="K574" s="2">
        <v>5</v>
      </c>
      <c r="L574" s="2" t="s">
        <v>17</v>
      </c>
      <c r="M574" s="12">
        <f t="shared" si="18"/>
        <v>144000</v>
      </c>
      <c r="N574" s="10">
        <f>PRODUCT(Table_13[[#This Row],[Unit Price]],Table_13[[#This Row],[Quantity]])</f>
        <v>900000</v>
      </c>
      <c r="O574" s="16">
        <f>PRODUCT(Table_13[[#This Row],[Cost Price]],Table_13[[#This Row],[Quantity]])</f>
        <v>720000</v>
      </c>
      <c r="P574" s="27">
        <f t="shared" si="20"/>
        <v>180000</v>
      </c>
    </row>
    <row r="575" spans="1:16" x14ac:dyDescent="0.2">
      <c r="A575" s="33">
        <v>46249</v>
      </c>
      <c r="B575" s="30">
        <f t="shared" si="19"/>
        <v>8</v>
      </c>
      <c r="C575" s="30" t="str">
        <f>_xlfn.IFS(Table_13[[#This Row],[Month]]=1,"JAN",Table_13[[#This Row],[Month]]=2,"FEB",B575=3,"MAR",B575=4,"APR",B575=5,"MAY",B575=6,"JUN",B575=7,"JUL",B575=8,"AUG",Table_13[[#This Row],[Month]]=9,"SEPT",B575=10,"OCT",B575=11,"NOV",B575=12,"DEC")</f>
        <v>AUG</v>
      </c>
      <c r="D575" s="2" t="s">
        <v>11</v>
      </c>
      <c r="E575" s="2" t="s">
        <v>26</v>
      </c>
      <c r="F575" s="2" t="s">
        <v>23</v>
      </c>
      <c r="G575" s="2" t="s">
        <v>20</v>
      </c>
      <c r="H575" s="2" t="s">
        <v>36</v>
      </c>
      <c r="I575" s="2" t="s">
        <v>31</v>
      </c>
      <c r="J575" s="15">
        <v>150000</v>
      </c>
      <c r="K575" s="2">
        <v>9</v>
      </c>
      <c r="L575" s="2" t="s">
        <v>37</v>
      </c>
      <c r="M575" s="12">
        <f t="shared" si="18"/>
        <v>120000</v>
      </c>
      <c r="N575" s="10">
        <f>PRODUCT(Table_13[[#This Row],[Unit Price]],Table_13[[#This Row],[Quantity]])</f>
        <v>1350000</v>
      </c>
      <c r="O575" s="16">
        <f>PRODUCT(Table_13[[#This Row],[Cost Price]],Table_13[[#This Row],[Quantity]])</f>
        <v>1080000</v>
      </c>
      <c r="P575" s="27">
        <f t="shared" si="20"/>
        <v>270000</v>
      </c>
    </row>
    <row r="576" spans="1:16" x14ac:dyDescent="0.2">
      <c r="A576" s="33">
        <v>46250</v>
      </c>
      <c r="B576" s="30">
        <f t="shared" si="19"/>
        <v>8</v>
      </c>
      <c r="C576" s="30" t="str">
        <f>_xlfn.IFS(Table_13[[#This Row],[Month]]=1,"JAN",Table_13[[#This Row],[Month]]=2,"FEB",B576=3,"MAR",B576=4,"APR",B576=5,"MAY",B576=6,"JUN",B576=7,"JUL",B576=8,"AUG",Table_13[[#This Row],[Month]]=9,"SEPT",B576=10,"OCT",B576=11,"NOV",B576=12,"DEC")</f>
        <v>AUG</v>
      </c>
      <c r="D576" s="2" t="s">
        <v>25</v>
      </c>
      <c r="E576" s="2" t="s">
        <v>19</v>
      </c>
      <c r="F576" s="2" t="s">
        <v>23</v>
      </c>
      <c r="G576" s="2" t="s">
        <v>20</v>
      </c>
      <c r="H576" s="2" t="s">
        <v>36</v>
      </c>
      <c r="I576" s="2" t="s">
        <v>31</v>
      </c>
      <c r="J576" s="15">
        <v>150000</v>
      </c>
      <c r="K576" s="2">
        <v>5</v>
      </c>
      <c r="L576" s="2" t="s">
        <v>37</v>
      </c>
      <c r="M576" s="12">
        <f t="shared" si="18"/>
        <v>120000</v>
      </c>
      <c r="N576" s="10">
        <f>PRODUCT(Table_13[[#This Row],[Unit Price]],Table_13[[#This Row],[Quantity]])</f>
        <v>750000</v>
      </c>
      <c r="O576" s="16">
        <f>PRODUCT(Table_13[[#This Row],[Cost Price]],Table_13[[#This Row],[Quantity]])</f>
        <v>600000</v>
      </c>
      <c r="P576" s="27">
        <f t="shared" si="20"/>
        <v>150000</v>
      </c>
    </row>
    <row r="577" spans="1:16" x14ac:dyDescent="0.2">
      <c r="A577" s="33">
        <v>46251</v>
      </c>
      <c r="B577" s="30">
        <f t="shared" si="19"/>
        <v>8</v>
      </c>
      <c r="C577" s="30" t="str">
        <f>_xlfn.IFS(Table_13[[#This Row],[Month]]=1,"JAN",Table_13[[#This Row],[Month]]=2,"FEB",B577=3,"MAR",B577=4,"APR",B577=5,"MAY",B577=6,"JUN",B577=7,"JUL",B577=8,"AUG",Table_13[[#This Row],[Month]]=9,"SEPT",B577=10,"OCT",B577=11,"NOV",B577=12,"DEC")</f>
        <v>AUG</v>
      </c>
      <c r="D577" s="2" t="s">
        <v>25</v>
      </c>
      <c r="E577" s="2" t="s">
        <v>12</v>
      </c>
      <c r="F577" s="2" t="s">
        <v>13</v>
      </c>
      <c r="G577" s="2" t="s">
        <v>14</v>
      </c>
      <c r="H577" s="2" t="s">
        <v>41</v>
      </c>
      <c r="I577" s="2" t="s">
        <v>22</v>
      </c>
      <c r="J577" s="15">
        <v>220000</v>
      </c>
      <c r="K577" s="2">
        <v>4</v>
      </c>
      <c r="L577" s="2" t="s">
        <v>39</v>
      </c>
      <c r="M577" s="12">
        <f t="shared" si="18"/>
        <v>176000</v>
      </c>
      <c r="N577" s="10">
        <f>PRODUCT(Table_13[[#This Row],[Unit Price]],Table_13[[#This Row],[Quantity]])</f>
        <v>880000</v>
      </c>
      <c r="O577" s="16">
        <f>PRODUCT(Table_13[[#This Row],[Cost Price]],Table_13[[#This Row],[Quantity]])</f>
        <v>704000</v>
      </c>
      <c r="P577" s="27">
        <f t="shared" si="20"/>
        <v>176000</v>
      </c>
    </row>
    <row r="578" spans="1:16" x14ac:dyDescent="0.2">
      <c r="A578" s="33">
        <v>46252</v>
      </c>
      <c r="B578" s="30">
        <f t="shared" ref="B578:B641" si="21">MONTH(A578)</f>
        <v>8</v>
      </c>
      <c r="C578" s="30" t="str">
        <f>_xlfn.IFS(Table_13[[#This Row],[Month]]=1,"JAN",Table_13[[#This Row],[Month]]=2,"FEB",B578=3,"MAR",B578=4,"APR",B578=5,"MAY",B578=6,"JUN",B578=7,"JUL",B578=8,"AUG",Table_13[[#This Row],[Month]]=9,"SEPT",B578=10,"OCT",B578=11,"NOV",B578=12,"DEC")</f>
        <v>AUG</v>
      </c>
      <c r="D578" s="2" t="s">
        <v>11</v>
      </c>
      <c r="E578" s="2" t="s">
        <v>26</v>
      </c>
      <c r="F578" s="2" t="s">
        <v>13</v>
      </c>
      <c r="G578" s="2" t="s">
        <v>14</v>
      </c>
      <c r="H578" s="2" t="s">
        <v>34</v>
      </c>
      <c r="I578" s="2" t="s">
        <v>16</v>
      </c>
      <c r="J578" s="15">
        <v>320000</v>
      </c>
      <c r="K578" s="2">
        <v>4</v>
      </c>
      <c r="L578" s="2" t="s">
        <v>17</v>
      </c>
      <c r="M578" s="12">
        <f t="shared" si="18"/>
        <v>256000</v>
      </c>
      <c r="N578" s="10">
        <f>PRODUCT(Table_13[[#This Row],[Unit Price]],Table_13[[#This Row],[Quantity]])</f>
        <v>1280000</v>
      </c>
      <c r="O578" s="16">
        <f>PRODUCT(Table_13[[#This Row],[Cost Price]],Table_13[[#This Row],[Quantity]])</f>
        <v>1024000</v>
      </c>
      <c r="P578" s="27">
        <f t="shared" ref="P578:P641" si="22">N578-O578</f>
        <v>256000</v>
      </c>
    </row>
    <row r="579" spans="1:16" x14ac:dyDescent="0.2">
      <c r="A579" s="33">
        <v>46253</v>
      </c>
      <c r="B579" s="30">
        <f t="shared" si="21"/>
        <v>8</v>
      </c>
      <c r="C579" s="30" t="str">
        <f>_xlfn.IFS(Table_13[[#This Row],[Month]]=1,"JAN",Table_13[[#This Row],[Month]]=2,"FEB",B579=3,"MAR",B579=4,"APR",B579=5,"MAY",B579=6,"JUN",B579=7,"JUL",B579=8,"AUG",Table_13[[#This Row],[Month]]=9,"SEPT",B579=10,"OCT",B579=11,"NOV",B579=12,"DEC")</f>
        <v>AUG</v>
      </c>
      <c r="D579" s="2" t="s">
        <v>11</v>
      </c>
      <c r="E579" s="2" t="s">
        <v>32</v>
      </c>
      <c r="F579" s="2" t="s">
        <v>23</v>
      </c>
      <c r="G579" s="2" t="s">
        <v>20</v>
      </c>
      <c r="H579" s="2" t="s">
        <v>34</v>
      </c>
      <c r="I579" s="2" t="s">
        <v>16</v>
      </c>
      <c r="J579" s="15">
        <v>320000</v>
      </c>
      <c r="K579" s="2">
        <v>8</v>
      </c>
      <c r="L579" s="2" t="s">
        <v>17</v>
      </c>
      <c r="M579" s="12">
        <f t="shared" si="18"/>
        <v>256000</v>
      </c>
      <c r="N579" s="10">
        <f>PRODUCT(Table_13[[#This Row],[Unit Price]],Table_13[[#This Row],[Quantity]])</f>
        <v>2560000</v>
      </c>
      <c r="O579" s="16">
        <f>PRODUCT(Table_13[[#This Row],[Cost Price]],Table_13[[#This Row],[Quantity]])</f>
        <v>2048000</v>
      </c>
      <c r="P579" s="27">
        <f t="shared" si="22"/>
        <v>512000</v>
      </c>
    </row>
    <row r="580" spans="1:16" x14ac:dyDescent="0.2">
      <c r="A580" s="33">
        <v>46254</v>
      </c>
      <c r="B580" s="30">
        <f t="shared" si="21"/>
        <v>8</v>
      </c>
      <c r="C580" s="30" t="str">
        <f>_xlfn.IFS(Table_13[[#This Row],[Month]]=1,"JAN",Table_13[[#This Row],[Month]]=2,"FEB",B580=3,"MAR",B580=4,"APR",B580=5,"MAY",B580=6,"JUN",B580=7,"JUL",B580=8,"AUG",Table_13[[#This Row],[Month]]=9,"SEPT",B580=10,"OCT",B580=11,"NOV",B580=12,"DEC")</f>
        <v>AUG</v>
      </c>
      <c r="D580" s="2" t="s">
        <v>29</v>
      </c>
      <c r="E580" s="2" t="s">
        <v>32</v>
      </c>
      <c r="F580" s="2" t="s">
        <v>13</v>
      </c>
      <c r="G580" s="2" t="s">
        <v>14</v>
      </c>
      <c r="H580" s="2" t="s">
        <v>27</v>
      </c>
      <c r="I580" s="2" t="s">
        <v>22</v>
      </c>
      <c r="J580" s="15">
        <v>60000</v>
      </c>
      <c r="K580" s="2">
        <v>9</v>
      </c>
      <c r="L580" s="2" t="s">
        <v>17</v>
      </c>
      <c r="M580" s="12">
        <f t="shared" si="18"/>
        <v>48000</v>
      </c>
      <c r="N580" s="10">
        <f>PRODUCT(Table_13[[#This Row],[Unit Price]],Table_13[[#This Row],[Quantity]])</f>
        <v>540000</v>
      </c>
      <c r="O580" s="16">
        <f>PRODUCT(Table_13[[#This Row],[Cost Price]],Table_13[[#This Row],[Quantity]])</f>
        <v>432000</v>
      </c>
      <c r="P580" s="27">
        <f t="shared" si="22"/>
        <v>108000</v>
      </c>
    </row>
    <row r="581" spans="1:16" x14ac:dyDescent="0.2">
      <c r="A581" s="33">
        <v>46255</v>
      </c>
      <c r="B581" s="30">
        <f t="shared" si="21"/>
        <v>8</v>
      </c>
      <c r="C581" s="30" t="str">
        <f>_xlfn.IFS(Table_13[[#This Row],[Month]]=1,"JAN",Table_13[[#This Row],[Month]]=2,"FEB",B581=3,"MAR",B581=4,"APR",B581=5,"MAY",B581=6,"JUN",B581=7,"JUL",B581=8,"AUG",Table_13[[#This Row],[Month]]=9,"SEPT",B581=10,"OCT",B581=11,"NOV",B581=12,"DEC")</f>
        <v>AUG</v>
      </c>
      <c r="D581" s="2" t="s">
        <v>18</v>
      </c>
      <c r="E581" s="2" t="s">
        <v>19</v>
      </c>
      <c r="F581" s="2" t="s">
        <v>13</v>
      </c>
      <c r="G581" s="2" t="s">
        <v>20</v>
      </c>
      <c r="H581" s="2" t="s">
        <v>30</v>
      </c>
      <c r="I581" s="2" t="s">
        <v>31</v>
      </c>
      <c r="J581" s="15">
        <v>300000</v>
      </c>
      <c r="K581" s="2">
        <v>10</v>
      </c>
      <c r="L581" s="2" t="s">
        <v>17</v>
      </c>
      <c r="M581" s="12">
        <f t="shared" si="18"/>
        <v>240000</v>
      </c>
      <c r="N581" s="10">
        <f>PRODUCT(Table_13[[#This Row],[Unit Price]],Table_13[[#This Row],[Quantity]])</f>
        <v>3000000</v>
      </c>
      <c r="O581" s="16">
        <f>PRODUCT(Table_13[[#This Row],[Cost Price]],Table_13[[#This Row],[Quantity]])</f>
        <v>2400000</v>
      </c>
      <c r="P581" s="27">
        <f t="shared" si="22"/>
        <v>600000</v>
      </c>
    </row>
    <row r="582" spans="1:16" x14ac:dyDescent="0.2">
      <c r="A582" s="33">
        <v>46256</v>
      </c>
      <c r="B582" s="30">
        <f t="shared" si="21"/>
        <v>8</v>
      </c>
      <c r="C582" s="30" t="str">
        <f>_xlfn.IFS(Table_13[[#This Row],[Month]]=1,"JAN",Table_13[[#This Row],[Month]]=2,"FEB",B582=3,"MAR",B582=4,"APR",B582=5,"MAY",B582=6,"JUN",B582=7,"JUL",B582=8,"AUG",Table_13[[#This Row],[Month]]=9,"SEPT",B582=10,"OCT",B582=11,"NOV",B582=12,"DEC")</f>
        <v>AUG</v>
      </c>
      <c r="D582" s="2" t="s">
        <v>29</v>
      </c>
      <c r="E582" s="2" t="s">
        <v>19</v>
      </c>
      <c r="F582" s="2" t="s">
        <v>23</v>
      </c>
      <c r="G582" s="2" t="s">
        <v>14</v>
      </c>
      <c r="H582" s="2" t="s">
        <v>36</v>
      </c>
      <c r="I582" s="2" t="s">
        <v>31</v>
      </c>
      <c r="J582" s="15">
        <v>150000</v>
      </c>
      <c r="K582" s="2">
        <v>6</v>
      </c>
      <c r="L582" s="2" t="s">
        <v>35</v>
      </c>
      <c r="M582" s="12">
        <f t="shared" si="18"/>
        <v>120000</v>
      </c>
      <c r="N582" s="10">
        <f>PRODUCT(Table_13[[#This Row],[Unit Price]],Table_13[[#This Row],[Quantity]])</f>
        <v>900000</v>
      </c>
      <c r="O582" s="16">
        <f>PRODUCT(Table_13[[#This Row],[Cost Price]],Table_13[[#This Row],[Quantity]])</f>
        <v>720000</v>
      </c>
      <c r="P582" s="27">
        <f t="shared" si="22"/>
        <v>180000</v>
      </c>
    </row>
    <row r="583" spans="1:16" x14ac:dyDescent="0.2">
      <c r="A583" s="33">
        <v>46257</v>
      </c>
      <c r="B583" s="30">
        <f t="shared" si="21"/>
        <v>8</v>
      </c>
      <c r="C583" s="30" t="str">
        <f>_xlfn.IFS(Table_13[[#This Row],[Month]]=1,"JAN",Table_13[[#This Row],[Month]]=2,"FEB",B583=3,"MAR",B583=4,"APR",B583=5,"MAY",B583=6,"JUN",B583=7,"JUL",B583=8,"AUG",Table_13[[#This Row],[Month]]=9,"SEPT",B583=10,"OCT",B583=11,"NOV",B583=12,"DEC")</f>
        <v>AUG</v>
      </c>
      <c r="D583" s="2" t="s">
        <v>25</v>
      </c>
      <c r="E583" s="2" t="s">
        <v>26</v>
      </c>
      <c r="F583" s="2" t="s">
        <v>23</v>
      </c>
      <c r="G583" s="2" t="s">
        <v>14</v>
      </c>
      <c r="H583" s="2" t="s">
        <v>33</v>
      </c>
      <c r="I583" s="2" t="s">
        <v>22</v>
      </c>
      <c r="J583" s="15">
        <v>180000</v>
      </c>
      <c r="K583" s="2">
        <v>8</v>
      </c>
      <c r="L583" s="2" t="s">
        <v>37</v>
      </c>
      <c r="M583" s="12">
        <f t="shared" si="18"/>
        <v>144000</v>
      </c>
      <c r="N583" s="10">
        <f>PRODUCT(Table_13[[#This Row],[Unit Price]],Table_13[[#This Row],[Quantity]])</f>
        <v>1440000</v>
      </c>
      <c r="O583" s="16">
        <f>PRODUCT(Table_13[[#This Row],[Cost Price]],Table_13[[#This Row],[Quantity]])</f>
        <v>1152000</v>
      </c>
      <c r="P583" s="27">
        <f t="shared" si="22"/>
        <v>288000</v>
      </c>
    </row>
    <row r="584" spans="1:16" x14ac:dyDescent="0.2">
      <c r="A584" s="33">
        <v>46258</v>
      </c>
      <c r="B584" s="30">
        <f t="shared" si="21"/>
        <v>8</v>
      </c>
      <c r="C584" s="30" t="str">
        <f>_xlfn.IFS(Table_13[[#This Row],[Month]]=1,"JAN",Table_13[[#This Row],[Month]]=2,"FEB",B584=3,"MAR",B584=4,"APR",B584=5,"MAY",B584=6,"JUN",B584=7,"JUL",B584=8,"AUG",Table_13[[#This Row],[Month]]=9,"SEPT",B584=10,"OCT",B584=11,"NOV",B584=12,"DEC")</f>
        <v>AUG</v>
      </c>
      <c r="D584" s="2" t="s">
        <v>18</v>
      </c>
      <c r="E584" s="2" t="s">
        <v>12</v>
      </c>
      <c r="F584" s="2" t="s">
        <v>13</v>
      </c>
      <c r="G584" s="2" t="s">
        <v>14</v>
      </c>
      <c r="H584" s="2" t="s">
        <v>27</v>
      </c>
      <c r="I584" s="2" t="s">
        <v>22</v>
      </c>
      <c r="J584" s="15">
        <v>60000</v>
      </c>
      <c r="K584" s="2">
        <v>7</v>
      </c>
      <c r="L584" s="2" t="s">
        <v>39</v>
      </c>
      <c r="M584" s="12">
        <f t="shared" si="18"/>
        <v>48000</v>
      </c>
      <c r="N584" s="10">
        <f>PRODUCT(Table_13[[#This Row],[Unit Price]],Table_13[[#This Row],[Quantity]])</f>
        <v>420000</v>
      </c>
      <c r="O584" s="16">
        <f>PRODUCT(Table_13[[#This Row],[Cost Price]],Table_13[[#This Row],[Quantity]])</f>
        <v>336000</v>
      </c>
      <c r="P584" s="27">
        <f t="shared" si="22"/>
        <v>84000</v>
      </c>
    </row>
    <row r="585" spans="1:16" x14ac:dyDescent="0.2">
      <c r="A585" s="33">
        <v>46259</v>
      </c>
      <c r="B585" s="30">
        <f t="shared" si="21"/>
        <v>8</v>
      </c>
      <c r="C585" s="30" t="str">
        <f>_xlfn.IFS(Table_13[[#This Row],[Month]]=1,"JAN",Table_13[[#This Row],[Month]]=2,"FEB",B585=3,"MAR",B585=4,"APR",B585=5,"MAY",B585=6,"JUN",B585=7,"JUL",B585=8,"AUG",Table_13[[#This Row],[Month]]=9,"SEPT",B585=10,"OCT",B585=11,"NOV",B585=12,"DEC")</f>
        <v>AUG</v>
      </c>
      <c r="D585" s="2" t="s">
        <v>18</v>
      </c>
      <c r="E585" s="2" t="s">
        <v>19</v>
      </c>
      <c r="F585" s="2" t="s">
        <v>13</v>
      </c>
      <c r="G585" s="2" t="s">
        <v>20</v>
      </c>
      <c r="H585" s="2" t="s">
        <v>36</v>
      </c>
      <c r="I585" s="2" t="s">
        <v>31</v>
      </c>
      <c r="J585" s="15">
        <v>150000</v>
      </c>
      <c r="K585" s="2">
        <v>9</v>
      </c>
      <c r="L585" s="2" t="s">
        <v>17</v>
      </c>
      <c r="M585" s="12">
        <f t="shared" si="18"/>
        <v>120000</v>
      </c>
      <c r="N585" s="10">
        <f>PRODUCT(Table_13[[#This Row],[Unit Price]],Table_13[[#This Row],[Quantity]])</f>
        <v>1350000</v>
      </c>
      <c r="O585" s="16">
        <f>PRODUCT(Table_13[[#This Row],[Cost Price]],Table_13[[#This Row],[Quantity]])</f>
        <v>1080000</v>
      </c>
      <c r="P585" s="27">
        <f t="shared" si="22"/>
        <v>270000</v>
      </c>
    </row>
    <row r="586" spans="1:16" x14ac:dyDescent="0.2">
      <c r="A586" s="33">
        <v>46260</v>
      </c>
      <c r="B586" s="30">
        <f t="shared" si="21"/>
        <v>8</v>
      </c>
      <c r="C586" s="30" t="str">
        <f>_xlfn.IFS(Table_13[[#This Row],[Month]]=1,"JAN",Table_13[[#This Row],[Month]]=2,"FEB",B586=3,"MAR",B586=4,"APR",B586=5,"MAY",B586=6,"JUN",B586=7,"JUL",B586=8,"AUG",Table_13[[#This Row],[Month]]=9,"SEPT",B586=10,"OCT",B586=11,"NOV",B586=12,"DEC")</f>
        <v>AUG</v>
      </c>
      <c r="D586" s="2" t="s">
        <v>18</v>
      </c>
      <c r="E586" s="2" t="s">
        <v>19</v>
      </c>
      <c r="F586" s="2" t="s">
        <v>13</v>
      </c>
      <c r="G586" s="2" t="s">
        <v>20</v>
      </c>
      <c r="H586" s="2" t="s">
        <v>33</v>
      </c>
      <c r="I586" s="2" t="s">
        <v>22</v>
      </c>
      <c r="J586" s="15">
        <v>180000</v>
      </c>
      <c r="K586" s="2">
        <v>4</v>
      </c>
      <c r="L586" s="2" t="s">
        <v>35</v>
      </c>
      <c r="M586" s="12">
        <f t="shared" si="18"/>
        <v>144000</v>
      </c>
      <c r="N586" s="10">
        <f>PRODUCT(Table_13[[#This Row],[Unit Price]],Table_13[[#This Row],[Quantity]])</f>
        <v>720000</v>
      </c>
      <c r="O586" s="16">
        <f>PRODUCT(Table_13[[#This Row],[Cost Price]],Table_13[[#This Row],[Quantity]])</f>
        <v>576000</v>
      </c>
      <c r="P586" s="27">
        <f t="shared" si="22"/>
        <v>144000</v>
      </c>
    </row>
    <row r="587" spans="1:16" x14ac:dyDescent="0.2">
      <c r="A587" s="33">
        <v>46261</v>
      </c>
      <c r="B587" s="30">
        <f t="shared" si="21"/>
        <v>8</v>
      </c>
      <c r="C587" s="30" t="str">
        <f>_xlfn.IFS(Table_13[[#This Row],[Month]]=1,"JAN",Table_13[[#This Row],[Month]]=2,"FEB",B587=3,"MAR",B587=4,"APR",B587=5,"MAY",B587=6,"JUN",B587=7,"JUL",B587=8,"AUG",Table_13[[#This Row],[Month]]=9,"SEPT",B587=10,"OCT",B587=11,"NOV",B587=12,"DEC")</f>
        <v>AUG</v>
      </c>
      <c r="D587" s="2" t="s">
        <v>11</v>
      </c>
      <c r="E587" s="2" t="s">
        <v>32</v>
      </c>
      <c r="F587" s="2" t="s">
        <v>13</v>
      </c>
      <c r="G587" s="2" t="s">
        <v>20</v>
      </c>
      <c r="H587" s="2" t="s">
        <v>33</v>
      </c>
      <c r="I587" s="2" t="s">
        <v>22</v>
      </c>
      <c r="J587" s="15">
        <v>180000</v>
      </c>
      <c r="K587" s="2">
        <v>1</v>
      </c>
      <c r="L587" s="2" t="s">
        <v>37</v>
      </c>
      <c r="M587" s="12">
        <f t="shared" si="18"/>
        <v>144000</v>
      </c>
      <c r="N587" s="10">
        <f>PRODUCT(Table_13[[#This Row],[Unit Price]],Table_13[[#This Row],[Quantity]])</f>
        <v>180000</v>
      </c>
      <c r="O587" s="16">
        <f>PRODUCT(Table_13[[#This Row],[Cost Price]],Table_13[[#This Row],[Quantity]])</f>
        <v>144000</v>
      </c>
      <c r="P587" s="27">
        <f t="shared" si="22"/>
        <v>36000</v>
      </c>
    </row>
    <row r="588" spans="1:16" x14ac:dyDescent="0.2">
      <c r="A588" s="33">
        <v>46262</v>
      </c>
      <c r="B588" s="30">
        <f t="shared" si="21"/>
        <v>8</v>
      </c>
      <c r="C588" s="30" t="str">
        <f>_xlfn.IFS(Table_13[[#This Row],[Month]]=1,"JAN",Table_13[[#This Row],[Month]]=2,"FEB",B588=3,"MAR",B588=4,"APR",B588=5,"MAY",B588=6,"JUN",B588=7,"JUL",B588=8,"AUG",Table_13[[#This Row],[Month]]=9,"SEPT",B588=10,"OCT",B588=11,"NOV",B588=12,"DEC")</f>
        <v>AUG</v>
      </c>
      <c r="D588" s="2" t="s">
        <v>11</v>
      </c>
      <c r="E588" s="2" t="s">
        <v>12</v>
      </c>
      <c r="F588" s="2" t="s">
        <v>13</v>
      </c>
      <c r="G588" s="2" t="s">
        <v>14</v>
      </c>
      <c r="H588" s="2" t="s">
        <v>27</v>
      </c>
      <c r="I588" s="2" t="s">
        <v>22</v>
      </c>
      <c r="J588" s="15">
        <v>60000</v>
      </c>
      <c r="K588" s="2">
        <v>6</v>
      </c>
      <c r="L588" s="2" t="s">
        <v>37</v>
      </c>
      <c r="M588" s="12">
        <f t="shared" si="18"/>
        <v>48000</v>
      </c>
      <c r="N588" s="10">
        <f>PRODUCT(Table_13[[#This Row],[Unit Price]],Table_13[[#This Row],[Quantity]])</f>
        <v>360000</v>
      </c>
      <c r="O588" s="16">
        <f>PRODUCT(Table_13[[#This Row],[Cost Price]],Table_13[[#This Row],[Quantity]])</f>
        <v>288000</v>
      </c>
      <c r="P588" s="27">
        <f t="shared" si="22"/>
        <v>72000</v>
      </c>
    </row>
    <row r="589" spans="1:16" x14ac:dyDescent="0.2">
      <c r="A589" s="33">
        <v>46263</v>
      </c>
      <c r="B589" s="30">
        <f t="shared" si="21"/>
        <v>8</v>
      </c>
      <c r="C589" s="30" t="str">
        <f>_xlfn.IFS(Table_13[[#This Row],[Month]]=1,"JAN",Table_13[[#This Row],[Month]]=2,"FEB",B589=3,"MAR",B589=4,"APR",B589=5,"MAY",B589=6,"JUN",B589=7,"JUL",B589=8,"AUG",Table_13[[#This Row],[Month]]=9,"SEPT",B589=10,"OCT",B589=11,"NOV",B589=12,"DEC")</f>
        <v>AUG</v>
      </c>
      <c r="D589" s="2" t="s">
        <v>18</v>
      </c>
      <c r="E589" s="2" t="s">
        <v>26</v>
      </c>
      <c r="F589" s="2" t="s">
        <v>23</v>
      </c>
      <c r="G589" s="2" t="s">
        <v>20</v>
      </c>
      <c r="H589" s="2" t="s">
        <v>34</v>
      </c>
      <c r="I589" s="2" t="s">
        <v>16</v>
      </c>
      <c r="J589" s="15">
        <v>320000</v>
      </c>
      <c r="K589" s="2">
        <v>8</v>
      </c>
      <c r="L589" s="2" t="s">
        <v>35</v>
      </c>
      <c r="M589" s="12">
        <f t="shared" si="18"/>
        <v>256000</v>
      </c>
      <c r="N589" s="10">
        <f>PRODUCT(Table_13[[#This Row],[Unit Price]],Table_13[[#This Row],[Quantity]])</f>
        <v>2560000</v>
      </c>
      <c r="O589" s="16">
        <f>PRODUCT(Table_13[[#This Row],[Cost Price]],Table_13[[#This Row],[Quantity]])</f>
        <v>2048000</v>
      </c>
      <c r="P589" s="27">
        <f t="shared" si="22"/>
        <v>512000</v>
      </c>
    </row>
    <row r="590" spans="1:16" x14ac:dyDescent="0.2">
      <c r="A590" s="33">
        <v>46264</v>
      </c>
      <c r="B590" s="30">
        <f t="shared" si="21"/>
        <v>8</v>
      </c>
      <c r="C590" s="30" t="str">
        <f>_xlfn.IFS(Table_13[[#This Row],[Month]]=1,"JAN",Table_13[[#This Row],[Month]]=2,"FEB",B590=3,"MAR",B590=4,"APR",B590=5,"MAY",B590=6,"JUN",B590=7,"JUL",B590=8,"AUG",Table_13[[#This Row],[Month]]=9,"SEPT",B590=10,"OCT",B590=11,"NOV",B590=12,"DEC")</f>
        <v>AUG</v>
      </c>
      <c r="D590" s="2" t="s">
        <v>18</v>
      </c>
      <c r="E590" s="2" t="s">
        <v>26</v>
      </c>
      <c r="F590" s="2" t="s">
        <v>13</v>
      </c>
      <c r="G590" s="2" t="s">
        <v>14</v>
      </c>
      <c r="H590" s="2" t="s">
        <v>33</v>
      </c>
      <c r="I590" s="2" t="s">
        <v>22</v>
      </c>
      <c r="J590" s="15">
        <v>180000</v>
      </c>
      <c r="K590" s="2">
        <v>6</v>
      </c>
      <c r="L590" s="2" t="s">
        <v>37</v>
      </c>
      <c r="M590" s="12">
        <f t="shared" si="18"/>
        <v>144000</v>
      </c>
      <c r="N590" s="10">
        <f>PRODUCT(Table_13[[#This Row],[Unit Price]],Table_13[[#This Row],[Quantity]])</f>
        <v>1080000</v>
      </c>
      <c r="O590" s="16">
        <f>PRODUCT(Table_13[[#This Row],[Cost Price]],Table_13[[#This Row],[Quantity]])</f>
        <v>864000</v>
      </c>
      <c r="P590" s="27">
        <f t="shared" si="22"/>
        <v>216000</v>
      </c>
    </row>
    <row r="591" spans="1:16" x14ac:dyDescent="0.2">
      <c r="A591" s="33">
        <v>46265</v>
      </c>
      <c r="B591" s="30">
        <f t="shared" si="21"/>
        <v>8</v>
      </c>
      <c r="C591" s="30" t="str">
        <f>_xlfn.IFS(Table_13[[#This Row],[Month]]=1,"JAN",Table_13[[#This Row],[Month]]=2,"FEB",B591=3,"MAR",B591=4,"APR",B591=5,"MAY",B591=6,"JUN",B591=7,"JUL",B591=8,"AUG",Table_13[[#This Row],[Month]]=9,"SEPT",B591=10,"OCT",B591=11,"NOV",B591=12,"DEC")</f>
        <v>AUG</v>
      </c>
      <c r="D591" s="2" t="s">
        <v>25</v>
      </c>
      <c r="E591" s="2" t="s">
        <v>19</v>
      </c>
      <c r="F591" s="2" t="s">
        <v>23</v>
      </c>
      <c r="G591" s="2" t="s">
        <v>14</v>
      </c>
      <c r="H591" s="2" t="s">
        <v>27</v>
      </c>
      <c r="I591" s="2" t="s">
        <v>22</v>
      </c>
      <c r="J591" s="15">
        <v>60000</v>
      </c>
      <c r="K591" s="2">
        <v>8</v>
      </c>
      <c r="L591" s="2" t="s">
        <v>24</v>
      </c>
      <c r="M591" s="12">
        <f t="shared" si="18"/>
        <v>48000</v>
      </c>
      <c r="N591" s="10">
        <f>PRODUCT(Table_13[[#This Row],[Unit Price]],Table_13[[#This Row],[Quantity]])</f>
        <v>480000</v>
      </c>
      <c r="O591" s="16">
        <f>PRODUCT(Table_13[[#This Row],[Cost Price]],Table_13[[#This Row],[Quantity]])</f>
        <v>384000</v>
      </c>
      <c r="P591" s="27">
        <f t="shared" si="22"/>
        <v>96000</v>
      </c>
    </row>
    <row r="592" spans="1:16" x14ac:dyDescent="0.2">
      <c r="A592" s="33">
        <v>46266</v>
      </c>
      <c r="B592" s="30">
        <f t="shared" si="21"/>
        <v>9</v>
      </c>
      <c r="C592" s="30" t="str">
        <f>_xlfn.IFS(Table_13[[#This Row],[Month]]=1,"JAN",Table_13[[#This Row],[Month]]=2,"FEB",B592=3,"MAR",B592=4,"APR",B592=5,"MAY",B592=6,"JUN",B592=7,"JUL",B592=8,"AUG",Table_13[[#This Row],[Month]]=9,"SEPT",B592=10,"OCT",B592=11,"NOV",B592=12,"DEC")</f>
        <v>SEPT</v>
      </c>
      <c r="D592" s="2" t="s">
        <v>18</v>
      </c>
      <c r="E592" s="2" t="s">
        <v>19</v>
      </c>
      <c r="F592" s="2" t="s">
        <v>23</v>
      </c>
      <c r="G592" s="2" t="s">
        <v>14</v>
      </c>
      <c r="H592" s="2" t="s">
        <v>38</v>
      </c>
      <c r="I592" s="2" t="s">
        <v>31</v>
      </c>
      <c r="J592" s="15">
        <v>420000</v>
      </c>
      <c r="K592" s="2">
        <v>3</v>
      </c>
      <c r="L592" s="2" t="s">
        <v>17</v>
      </c>
      <c r="M592" s="12">
        <f t="shared" si="18"/>
        <v>336000</v>
      </c>
      <c r="N592" s="10">
        <f>PRODUCT(Table_13[[#This Row],[Unit Price]],Table_13[[#This Row],[Quantity]])</f>
        <v>1260000</v>
      </c>
      <c r="O592" s="16">
        <f>PRODUCT(Table_13[[#This Row],[Cost Price]],Table_13[[#This Row],[Quantity]])</f>
        <v>1008000</v>
      </c>
      <c r="P592" s="27">
        <f t="shared" si="22"/>
        <v>252000</v>
      </c>
    </row>
    <row r="593" spans="1:16" x14ac:dyDescent="0.2">
      <c r="A593" s="33">
        <v>46267</v>
      </c>
      <c r="B593" s="30">
        <f t="shared" si="21"/>
        <v>9</v>
      </c>
      <c r="C593" s="30" t="str">
        <f>_xlfn.IFS(Table_13[[#This Row],[Month]]=1,"JAN",Table_13[[#This Row],[Month]]=2,"FEB",B593=3,"MAR",B593=4,"APR",B593=5,"MAY",B593=6,"JUN",B593=7,"JUL",B593=8,"AUG",Table_13[[#This Row],[Month]]=9,"SEPT",B593=10,"OCT",B593=11,"NOV",B593=12,"DEC")</f>
        <v>SEPT</v>
      </c>
      <c r="D593" s="2" t="s">
        <v>25</v>
      </c>
      <c r="E593" s="2" t="s">
        <v>26</v>
      </c>
      <c r="F593" s="2" t="s">
        <v>23</v>
      </c>
      <c r="G593" s="2" t="s">
        <v>14</v>
      </c>
      <c r="H593" s="2" t="s">
        <v>41</v>
      </c>
      <c r="I593" s="2" t="s">
        <v>22</v>
      </c>
      <c r="J593" s="15">
        <v>220000</v>
      </c>
      <c r="K593" s="2">
        <v>5</v>
      </c>
      <c r="L593" s="2" t="s">
        <v>24</v>
      </c>
      <c r="M593" s="12">
        <f t="shared" si="18"/>
        <v>176000</v>
      </c>
      <c r="N593" s="10">
        <f>PRODUCT(Table_13[[#This Row],[Unit Price]],Table_13[[#This Row],[Quantity]])</f>
        <v>1100000</v>
      </c>
      <c r="O593" s="16">
        <f>PRODUCT(Table_13[[#This Row],[Cost Price]],Table_13[[#This Row],[Quantity]])</f>
        <v>880000</v>
      </c>
      <c r="P593" s="27">
        <f t="shared" si="22"/>
        <v>220000</v>
      </c>
    </row>
    <row r="594" spans="1:16" x14ac:dyDescent="0.2">
      <c r="A594" s="33">
        <v>46268</v>
      </c>
      <c r="B594" s="30">
        <f t="shared" si="21"/>
        <v>9</v>
      </c>
      <c r="C594" s="30" t="str">
        <f>_xlfn.IFS(Table_13[[#This Row],[Month]]=1,"JAN",Table_13[[#This Row],[Month]]=2,"FEB",B594=3,"MAR",B594=4,"APR",B594=5,"MAY",B594=6,"JUN",B594=7,"JUL",B594=8,"AUG",Table_13[[#This Row],[Month]]=9,"SEPT",B594=10,"OCT",B594=11,"NOV",B594=12,"DEC")</f>
        <v>SEPT</v>
      </c>
      <c r="D594" s="2" t="s">
        <v>11</v>
      </c>
      <c r="E594" s="2" t="s">
        <v>32</v>
      </c>
      <c r="F594" s="2" t="s">
        <v>13</v>
      </c>
      <c r="G594" s="2" t="s">
        <v>14</v>
      </c>
      <c r="H594" s="2" t="s">
        <v>27</v>
      </c>
      <c r="I594" s="2" t="s">
        <v>22</v>
      </c>
      <c r="J594" s="15">
        <v>60000</v>
      </c>
      <c r="K594" s="2">
        <v>6</v>
      </c>
      <c r="L594" s="2" t="s">
        <v>17</v>
      </c>
      <c r="M594" s="12">
        <f t="shared" si="18"/>
        <v>48000</v>
      </c>
      <c r="N594" s="10">
        <f>PRODUCT(Table_13[[#This Row],[Unit Price]],Table_13[[#This Row],[Quantity]])</f>
        <v>360000</v>
      </c>
      <c r="O594" s="16">
        <f>PRODUCT(Table_13[[#This Row],[Cost Price]],Table_13[[#This Row],[Quantity]])</f>
        <v>288000</v>
      </c>
      <c r="P594" s="27">
        <f t="shared" si="22"/>
        <v>72000</v>
      </c>
    </row>
    <row r="595" spans="1:16" x14ac:dyDescent="0.2">
      <c r="A595" s="33">
        <v>46269</v>
      </c>
      <c r="B595" s="30">
        <f t="shared" si="21"/>
        <v>9</v>
      </c>
      <c r="C595" s="30" t="str">
        <f>_xlfn.IFS(Table_13[[#This Row],[Month]]=1,"JAN",Table_13[[#This Row],[Month]]=2,"FEB",B595=3,"MAR",B595=4,"APR",B595=5,"MAY",B595=6,"JUN",B595=7,"JUL",B595=8,"AUG",Table_13[[#This Row],[Month]]=9,"SEPT",B595=10,"OCT",B595=11,"NOV",B595=12,"DEC")</f>
        <v>SEPT</v>
      </c>
      <c r="D595" s="2" t="s">
        <v>11</v>
      </c>
      <c r="E595" s="2" t="s">
        <v>32</v>
      </c>
      <c r="F595" s="2" t="s">
        <v>13</v>
      </c>
      <c r="G595" s="2" t="s">
        <v>20</v>
      </c>
      <c r="H595" s="2" t="s">
        <v>27</v>
      </c>
      <c r="I595" s="2" t="s">
        <v>22</v>
      </c>
      <c r="J595" s="15">
        <v>60000</v>
      </c>
      <c r="K595" s="2">
        <v>8</v>
      </c>
      <c r="L595" s="2" t="s">
        <v>39</v>
      </c>
      <c r="M595" s="12">
        <f t="shared" si="18"/>
        <v>48000</v>
      </c>
      <c r="N595" s="10">
        <f>PRODUCT(Table_13[[#This Row],[Unit Price]],Table_13[[#This Row],[Quantity]])</f>
        <v>480000</v>
      </c>
      <c r="O595" s="16">
        <f>PRODUCT(Table_13[[#This Row],[Cost Price]],Table_13[[#This Row],[Quantity]])</f>
        <v>384000</v>
      </c>
      <c r="P595" s="27">
        <f t="shared" si="22"/>
        <v>96000</v>
      </c>
    </row>
    <row r="596" spans="1:16" x14ac:dyDescent="0.2">
      <c r="A596" s="33">
        <v>46270</v>
      </c>
      <c r="B596" s="30">
        <f t="shared" si="21"/>
        <v>9</v>
      </c>
      <c r="C596" s="30" t="str">
        <f>_xlfn.IFS(Table_13[[#This Row],[Month]]=1,"JAN",Table_13[[#This Row],[Month]]=2,"FEB",B596=3,"MAR",B596=4,"APR",B596=5,"MAY",B596=6,"JUN",B596=7,"JUL",B596=8,"AUG",Table_13[[#This Row],[Month]]=9,"SEPT",B596=10,"OCT",B596=11,"NOV",B596=12,"DEC")</f>
        <v>SEPT</v>
      </c>
      <c r="D596" s="2" t="s">
        <v>11</v>
      </c>
      <c r="E596" s="2" t="s">
        <v>19</v>
      </c>
      <c r="F596" s="2" t="s">
        <v>23</v>
      </c>
      <c r="G596" s="2" t="s">
        <v>14</v>
      </c>
      <c r="H596" s="2" t="s">
        <v>21</v>
      </c>
      <c r="I596" s="2" t="s">
        <v>22</v>
      </c>
      <c r="J596" s="15">
        <v>30000</v>
      </c>
      <c r="K596" s="2">
        <v>2</v>
      </c>
      <c r="L596" s="2" t="s">
        <v>17</v>
      </c>
      <c r="M596" s="12">
        <f t="shared" si="18"/>
        <v>24000</v>
      </c>
      <c r="N596" s="10">
        <f>PRODUCT(Table_13[[#This Row],[Unit Price]],Table_13[[#This Row],[Quantity]])</f>
        <v>60000</v>
      </c>
      <c r="O596" s="16">
        <f>PRODUCT(Table_13[[#This Row],[Cost Price]],Table_13[[#This Row],[Quantity]])</f>
        <v>48000</v>
      </c>
      <c r="P596" s="27">
        <f t="shared" si="22"/>
        <v>12000</v>
      </c>
    </row>
    <row r="597" spans="1:16" x14ac:dyDescent="0.2">
      <c r="A597" s="33">
        <v>46271</v>
      </c>
      <c r="B597" s="30">
        <f t="shared" si="21"/>
        <v>9</v>
      </c>
      <c r="C597" s="30" t="str">
        <f>_xlfn.IFS(Table_13[[#This Row],[Month]]=1,"JAN",Table_13[[#This Row],[Month]]=2,"FEB",B597=3,"MAR",B597=4,"APR",B597=5,"MAY",B597=6,"JUN",B597=7,"JUL",B597=8,"AUG",Table_13[[#This Row],[Month]]=9,"SEPT",B597=10,"OCT",B597=11,"NOV",B597=12,"DEC")</f>
        <v>SEPT</v>
      </c>
      <c r="D597" s="2" t="s">
        <v>18</v>
      </c>
      <c r="E597" s="2" t="s">
        <v>12</v>
      </c>
      <c r="F597" s="2" t="s">
        <v>23</v>
      </c>
      <c r="G597" s="2" t="s">
        <v>20</v>
      </c>
      <c r="H597" s="2" t="s">
        <v>30</v>
      </c>
      <c r="I597" s="2" t="s">
        <v>31</v>
      </c>
      <c r="J597" s="15">
        <v>300000</v>
      </c>
      <c r="K597" s="2">
        <v>3</v>
      </c>
      <c r="L597" s="2" t="s">
        <v>35</v>
      </c>
      <c r="M597" s="12">
        <f t="shared" si="18"/>
        <v>240000</v>
      </c>
      <c r="N597" s="10">
        <f>PRODUCT(Table_13[[#This Row],[Unit Price]],Table_13[[#This Row],[Quantity]])</f>
        <v>900000</v>
      </c>
      <c r="O597" s="16">
        <f>PRODUCT(Table_13[[#This Row],[Cost Price]],Table_13[[#This Row],[Quantity]])</f>
        <v>720000</v>
      </c>
      <c r="P597" s="27">
        <f t="shared" si="22"/>
        <v>180000</v>
      </c>
    </row>
    <row r="598" spans="1:16" x14ac:dyDescent="0.2">
      <c r="A598" s="33">
        <v>46272</v>
      </c>
      <c r="B598" s="30">
        <f t="shared" si="21"/>
        <v>9</v>
      </c>
      <c r="C598" s="30" t="str">
        <f>_xlfn.IFS(Table_13[[#This Row],[Month]]=1,"JAN",Table_13[[#This Row],[Month]]=2,"FEB",B598=3,"MAR",B598=4,"APR",B598=5,"MAY",B598=6,"JUN",B598=7,"JUL",B598=8,"AUG",Table_13[[#This Row],[Month]]=9,"SEPT",B598=10,"OCT",B598=11,"NOV",B598=12,"DEC")</f>
        <v>SEPT</v>
      </c>
      <c r="D598" s="2" t="s">
        <v>29</v>
      </c>
      <c r="E598" s="2" t="s">
        <v>19</v>
      </c>
      <c r="F598" s="2" t="s">
        <v>23</v>
      </c>
      <c r="G598" s="2" t="s">
        <v>20</v>
      </c>
      <c r="H598" s="2" t="s">
        <v>40</v>
      </c>
      <c r="I598" s="2" t="s">
        <v>31</v>
      </c>
      <c r="J598" s="15">
        <v>250000</v>
      </c>
      <c r="K598" s="2">
        <v>3</v>
      </c>
      <c r="L598" s="2" t="s">
        <v>24</v>
      </c>
      <c r="M598" s="12">
        <f t="shared" si="18"/>
        <v>200000</v>
      </c>
      <c r="N598" s="10">
        <f>PRODUCT(Table_13[[#This Row],[Unit Price]],Table_13[[#This Row],[Quantity]])</f>
        <v>750000</v>
      </c>
      <c r="O598" s="16">
        <f>PRODUCT(Table_13[[#This Row],[Cost Price]],Table_13[[#This Row],[Quantity]])</f>
        <v>600000</v>
      </c>
      <c r="P598" s="27">
        <f t="shared" si="22"/>
        <v>150000</v>
      </c>
    </row>
    <row r="599" spans="1:16" x14ac:dyDescent="0.2">
      <c r="A599" s="33">
        <v>46273</v>
      </c>
      <c r="B599" s="30">
        <f t="shared" si="21"/>
        <v>9</v>
      </c>
      <c r="C599" s="30" t="str">
        <f>_xlfn.IFS(Table_13[[#This Row],[Month]]=1,"JAN",Table_13[[#This Row],[Month]]=2,"FEB",B599=3,"MAR",B599=4,"APR",B599=5,"MAY",B599=6,"JUN",B599=7,"JUL",B599=8,"AUG",Table_13[[#This Row],[Month]]=9,"SEPT",B599=10,"OCT",B599=11,"NOV",B599=12,"DEC")</f>
        <v>SEPT</v>
      </c>
      <c r="D599" s="2" t="s">
        <v>29</v>
      </c>
      <c r="E599" s="2" t="s">
        <v>19</v>
      </c>
      <c r="F599" s="2" t="s">
        <v>23</v>
      </c>
      <c r="G599" s="2" t="s">
        <v>20</v>
      </c>
      <c r="H599" s="2" t="s">
        <v>38</v>
      </c>
      <c r="I599" s="2" t="s">
        <v>31</v>
      </c>
      <c r="J599" s="15">
        <v>420000</v>
      </c>
      <c r="K599" s="2">
        <v>1</v>
      </c>
      <c r="L599" s="2" t="s">
        <v>24</v>
      </c>
      <c r="M599" s="12">
        <f t="shared" si="18"/>
        <v>336000</v>
      </c>
      <c r="N599" s="10">
        <f>PRODUCT(Table_13[[#This Row],[Unit Price]],Table_13[[#This Row],[Quantity]])</f>
        <v>420000</v>
      </c>
      <c r="O599" s="16">
        <f>PRODUCT(Table_13[[#This Row],[Cost Price]],Table_13[[#This Row],[Quantity]])</f>
        <v>336000</v>
      </c>
      <c r="P599" s="27">
        <f t="shared" si="22"/>
        <v>84000</v>
      </c>
    </row>
    <row r="600" spans="1:16" x14ac:dyDescent="0.2">
      <c r="A600" s="33">
        <v>46274</v>
      </c>
      <c r="B600" s="30">
        <f t="shared" si="21"/>
        <v>9</v>
      </c>
      <c r="C600" s="30" t="str">
        <f>_xlfn.IFS(Table_13[[#This Row],[Month]]=1,"JAN",Table_13[[#This Row],[Month]]=2,"FEB",B600=3,"MAR",B600=4,"APR",B600=5,"MAY",B600=6,"JUN",B600=7,"JUL",B600=8,"AUG",Table_13[[#This Row],[Month]]=9,"SEPT",B600=10,"OCT",B600=11,"NOV",B600=12,"DEC")</f>
        <v>SEPT</v>
      </c>
      <c r="D600" s="2" t="s">
        <v>25</v>
      </c>
      <c r="E600" s="2" t="s">
        <v>12</v>
      </c>
      <c r="F600" s="2" t="s">
        <v>23</v>
      </c>
      <c r="G600" s="2" t="s">
        <v>20</v>
      </c>
      <c r="H600" s="2" t="s">
        <v>21</v>
      </c>
      <c r="I600" s="2" t="s">
        <v>22</v>
      </c>
      <c r="J600" s="15">
        <v>30000</v>
      </c>
      <c r="K600" s="2">
        <v>1</v>
      </c>
      <c r="L600" s="2" t="s">
        <v>35</v>
      </c>
      <c r="M600" s="12">
        <f t="shared" si="18"/>
        <v>24000</v>
      </c>
      <c r="N600" s="10">
        <f>PRODUCT(Table_13[[#This Row],[Unit Price]],Table_13[[#This Row],[Quantity]])</f>
        <v>30000</v>
      </c>
      <c r="O600" s="16">
        <f>PRODUCT(Table_13[[#This Row],[Cost Price]],Table_13[[#This Row],[Quantity]])</f>
        <v>24000</v>
      </c>
      <c r="P600" s="27">
        <f t="shared" si="22"/>
        <v>6000</v>
      </c>
    </row>
    <row r="601" spans="1:16" x14ac:dyDescent="0.2">
      <c r="A601" s="33">
        <v>46275</v>
      </c>
      <c r="B601" s="30">
        <f t="shared" si="21"/>
        <v>9</v>
      </c>
      <c r="C601" s="30" t="str">
        <f>_xlfn.IFS(Table_13[[#This Row],[Month]]=1,"JAN",Table_13[[#This Row],[Month]]=2,"FEB",B601=3,"MAR",B601=4,"APR",B601=5,"MAY",B601=6,"JUN",B601=7,"JUL",B601=8,"AUG",Table_13[[#This Row],[Month]]=9,"SEPT",B601=10,"OCT",B601=11,"NOV",B601=12,"DEC")</f>
        <v>SEPT</v>
      </c>
      <c r="D601" s="2" t="s">
        <v>25</v>
      </c>
      <c r="E601" s="2" t="s">
        <v>26</v>
      </c>
      <c r="F601" s="2" t="s">
        <v>13</v>
      </c>
      <c r="G601" s="2" t="s">
        <v>14</v>
      </c>
      <c r="H601" s="2" t="s">
        <v>21</v>
      </c>
      <c r="I601" s="2" t="s">
        <v>22</v>
      </c>
      <c r="J601" s="15">
        <v>30000</v>
      </c>
      <c r="K601" s="2">
        <v>8</v>
      </c>
      <c r="L601" s="2" t="s">
        <v>37</v>
      </c>
      <c r="M601" s="12">
        <f t="shared" si="18"/>
        <v>24000</v>
      </c>
      <c r="N601" s="10">
        <f>PRODUCT(Table_13[[#This Row],[Unit Price]],Table_13[[#This Row],[Quantity]])</f>
        <v>240000</v>
      </c>
      <c r="O601" s="16">
        <f>PRODUCT(Table_13[[#This Row],[Cost Price]],Table_13[[#This Row],[Quantity]])</f>
        <v>192000</v>
      </c>
      <c r="P601" s="27">
        <f t="shared" si="22"/>
        <v>48000</v>
      </c>
    </row>
    <row r="602" spans="1:16" x14ac:dyDescent="0.2">
      <c r="A602" s="33">
        <v>46276</v>
      </c>
      <c r="B602" s="30">
        <f t="shared" si="21"/>
        <v>9</v>
      </c>
      <c r="C602" s="30" t="str">
        <f>_xlfn.IFS(Table_13[[#This Row],[Month]]=1,"JAN",Table_13[[#This Row],[Month]]=2,"FEB",B602=3,"MAR",B602=4,"APR",B602=5,"MAY",B602=6,"JUN",B602=7,"JUL",B602=8,"AUG",Table_13[[#This Row],[Month]]=9,"SEPT",B602=10,"OCT",B602=11,"NOV",B602=12,"DEC")</f>
        <v>SEPT</v>
      </c>
      <c r="D602" s="2" t="s">
        <v>29</v>
      </c>
      <c r="E602" s="2" t="s">
        <v>12</v>
      </c>
      <c r="F602" s="2" t="s">
        <v>23</v>
      </c>
      <c r="G602" s="2" t="s">
        <v>14</v>
      </c>
      <c r="H602" s="2" t="s">
        <v>40</v>
      </c>
      <c r="I602" s="2" t="s">
        <v>31</v>
      </c>
      <c r="J602" s="15">
        <v>250000</v>
      </c>
      <c r="K602" s="2">
        <v>10</v>
      </c>
      <c r="L602" s="2" t="s">
        <v>37</v>
      </c>
      <c r="M602" s="12">
        <f t="shared" si="18"/>
        <v>200000</v>
      </c>
      <c r="N602" s="10">
        <f>PRODUCT(Table_13[[#This Row],[Unit Price]],Table_13[[#This Row],[Quantity]])</f>
        <v>2500000</v>
      </c>
      <c r="O602" s="16">
        <f>PRODUCT(Table_13[[#This Row],[Cost Price]],Table_13[[#This Row],[Quantity]])</f>
        <v>2000000</v>
      </c>
      <c r="P602" s="27">
        <f t="shared" si="22"/>
        <v>500000</v>
      </c>
    </row>
    <row r="603" spans="1:16" x14ac:dyDescent="0.2">
      <c r="A603" s="33">
        <v>46277</v>
      </c>
      <c r="B603" s="30">
        <f t="shared" si="21"/>
        <v>9</v>
      </c>
      <c r="C603" s="30" t="str">
        <f>_xlfn.IFS(Table_13[[#This Row],[Month]]=1,"JAN",Table_13[[#This Row],[Month]]=2,"FEB",B603=3,"MAR",B603=4,"APR",B603=5,"MAY",B603=6,"JUN",B603=7,"JUL",B603=8,"AUG",Table_13[[#This Row],[Month]]=9,"SEPT",B603=10,"OCT",B603=11,"NOV",B603=12,"DEC")</f>
        <v>SEPT</v>
      </c>
      <c r="D603" s="2" t="s">
        <v>29</v>
      </c>
      <c r="E603" s="2" t="s">
        <v>26</v>
      </c>
      <c r="F603" s="2" t="s">
        <v>23</v>
      </c>
      <c r="G603" s="2" t="s">
        <v>20</v>
      </c>
      <c r="H603" s="2" t="s">
        <v>36</v>
      </c>
      <c r="I603" s="2" t="s">
        <v>31</v>
      </c>
      <c r="J603" s="15">
        <v>150000</v>
      </c>
      <c r="K603" s="2">
        <v>10</v>
      </c>
      <c r="L603" s="2" t="s">
        <v>24</v>
      </c>
      <c r="M603" s="12">
        <f t="shared" si="18"/>
        <v>120000</v>
      </c>
      <c r="N603" s="10">
        <f>PRODUCT(Table_13[[#This Row],[Unit Price]],Table_13[[#This Row],[Quantity]])</f>
        <v>1500000</v>
      </c>
      <c r="O603" s="16">
        <f>PRODUCT(Table_13[[#This Row],[Cost Price]],Table_13[[#This Row],[Quantity]])</f>
        <v>1200000</v>
      </c>
      <c r="P603" s="27">
        <f t="shared" si="22"/>
        <v>300000</v>
      </c>
    </row>
    <row r="604" spans="1:16" x14ac:dyDescent="0.2">
      <c r="A604" s="33">
        <v>46278</v>
      </c>
      <c r="B604" s="30">
        <f t="shared" si="21"/>
        <v>9</v>
      </c>
      <c r="C604" s="30" t="str">
        <f>_xlfn.IFS(Table_13[[#This Row],[Month]]=1,"JAN",Table_13[[#This Row],[Month]]=2,"FEB",B604=3,"MAR",B604=4,"APR",B604=5,"MAY",B604=6,"JUN",B604=7,"JUL",B604=8,"AUG",Table_13[[#This Row],[Month]]=9,"SEPT",B604=10,"OCT",B604=11,"NOV",B604=12,"DEC")</f>
        <v>SEPT</v>
      </c>
      <c r="D604" s="2" t="s">
        <v>18</v>
      </c>
      <c r="E604" s="2" t="s">
        <v>32</v>
      </c>
      <c r="F604" s="2" t="s">
        <v>13</v>
      </c>
      <c r="G604" s="2" t="s">
        <v>20</v>
      </c>
      <c r="H604" s="2" t="s">
        <v>40</v>
      </c>
      <c r="I604" s="2" t="s">
        <v>31</v>
      </c>
      <c r="J604" s="15">
        <v>250000</v>
      </c>
      <c r="K604" s="2">
        <v>8</v>
      </c>
      <c r="L604" s="2" t="s">
        <v>17</v>
      </c>
      <c r="M604" s="12">
        <f t="shared" si="18"/>
        <v>200000</v>
      </c>
      <c r="N604" s="10">
        <f>PRODUCT(Table_13[[#This Row],[Unit Price]],Table_13[[#This Row],[Quantity]])</f>
        <v>2000000</v>
      </c>
      <c r="O604" s="16">
        <f>PRODUCT(Table_13[[#This Row],[Cost Price]],Table_13[[#This Row],[Quantity]])</f>
        <v>1600000</v>
      </c>
      <c r="P604" s="27">
        <f t="shared" si="22"/>
        <v>400000</v>
      </c>
    </row>
    <row r="605" spans="1:16" x14ac:dyDescent="0.2">
      <c r="A605" s="33">
        <v>46279</v>
      </c>
      <c r="B605" s="30">
        <f t="shared" si="21"/>
        <v>9</v>
      </c>
      <c r="C605" s="30" t="str">
        <f>_xlfn.IFS(Table_13[[#This Row],[Month]]=1,"JAN",Table_13[[#This Row],[Month]]=2,"FEB",B605=3,"MAR",B605=4,"APR",B605=5,"MAY",B605=6,"JUN",B605=7,"JUL",B605=8,"AUG",Table_13[[#This Row],[Month]]=9,"SEPT",B605=10,"OCT",B605=11,"NOV",B605=12,"DEC")</f>
        <v>SEPT</v>
      </c>
      <c r="D605" s="2" t="s">
        <v>29</v>
      </c>
      <c r="E605" s="2" t="s">
        <v>26</v>
      </c>
      <c r="F605" s="2" t="s">
        <v>13</v>
      </c>
      <c r="G605" s="2" t="s">
        <v>20</v>
      </c>
      <c r="H605" s="2" t="s">
        <v>40</v>
      </c>
      <c r="I605" s="2" t="s">
        <v>31</v>
      </c>
      <c r="J605" s="15">
        <v>250000</v>
      </c>
      <c r="K605" s="2">
        <v>9</v>
      </c>
      <c r="L605" s="2" t="s">
        <v>39</v>
      </c>
      <c r="M605" s="12">
        <f t="shared" si="18"/>
        <v>200000</v>
      </c>
      <c r="N605" s="10">
        <f>PRODUCT(Table_13[[#This Row],[Unit Price]],Table_13[[#This Row],[Quantity]])</f>
        <v>2250000</v>
      </c>
      <c r="O605" s="16">
        <f>PRODUCT(Table_13[[#This Row],[Cost Price]],Table_13[[#This Row],[Quantity]])</f>
        <v>1800000</v>
      </c>
      <c r="P605" s="27">
        <f t="shared" si="22"/>
        <v>450000</v>
      </c>
    </row>
    <row r="606" spans="1:16" x14ac:dyDescent="0.2">
      <c r="A606" s="33">
        <v>46280</v>
      </c>
      <c r="B606" s="30">
        <f t="shared" si="21"/>
        <v>9</v>
      </c>
      <c r="C606" s="30" t="str">
        <f>_xlfn.IFS(Table_13[[#This Row],[Month]]=1,"JAN",Table_13[[#This Row],[Month]]=2,"FEB",B606=3,"MAR",B606=4,"APR",B606=5,"MAY",B606=6,"JUN",B606=7,"JUL",B606=8,"AUG",Table_13[[#This Row],[Month]]=9,"SEPT",B606=10,"OCT",B606=11,"NOV",B606=12,"DEC")</f>
        <v>SEPT</v>
      </c>
      <c r="D606" s="2" t="s">
        <v>29</v>
      </c>
      <c r="E606" s="2" t="s">
        <v>32</v>
      </c>
      <c r="F606" s="2" t="s">
        <v>13</v>
      </c>
      <c r="G606" s="2" t="s">
        <v>20</v>
      </c>
      <c r="H606" s="2" t="s">
        <v>38</v>
      </c>
      <c r="I606" s="2" t="s">
        <v>31</v>
      </c>
      <c r="J606" s="15">
        <v>420000</v>
      </c>
      <c r="K606" s="2">
        <v>10</v>
      </c>
      <c r="L606" s="2" t="s">
        <v>28</v>
      </c>
      <c r="M606" s="12">
        <f t="shared" si="18"/>
        <v>336000</v>
      </c>
      <c r="N606" s="10">
        <f>PRODUCT(Table_13[[#This Row],[Unit Price]],Table_13[[#This Row],[Quantity]])</f>
        <v>4200000</v>
      </c>
      <c r="O606" s="16">
        <f>PRODUCT(Table_13[[#This Row],[Cost Price]],Table_13[[#This Row],[Quantity]])</f>
        <v>3360000</v>
      </c>
      <c r="P606" s="27">
        <f t="shared" si="22"/>
        <v>840000</v>
      </c>
    </row>
    <row r="607" spans="1:16" x14ac:dyDescent="0.2">
      <c r="A607" s="33">
        <v>46281</v>
      </c>
      <c r="B607" s="30">
        <f t="shared" si="21"/>
        <v>9</v>
      </c>
      <c r="C607" s="30" t="str">
        <f>_xlfn.IFS(Table_13[[#This Row],[Month]]=1,"JAN",Table_13[[#This Row],[Month]]=2,"FEB",B607=3,"MAR",B607=4,"APR",B607=5,"MAY",B607=6,"JUN",B607=7,"JUL",B607=8,"AUG",Table_13[[#This Row],[Month]]=9,"SEPT",B607=10,"OCT",B607=11,"NOV",B607=12,"DEC")</f>
        <v>SEPT</v>
      </c>
      <c r="D607" s="2" t="s">
        <v>11</v>
      </c>
      <c r="E607" s="2" t="s">
        <v>19</v>
      </c>
      <c r="F607" s="2" t="s">
        <v>23</v>
      </c>
      <c r="G607" s="2" t="s">
        <v>14</v>
      </c>
      <c r="H607" s="2" t="s">
        <v>15</v>
      </c>
      <c r="I607" s="2" t="s">
        <v>16</v>
      </c>
      <c r="J607" s="15">
        <v>85000</v>
      </c>
      <c r="K607" s="2">
        <v>4</v>
      </c>
      <c r="L607" s="2" t="s">
        <v>24</v>
      </c>
      <c r="M607" s="12">
        <f t="shared" si="18"/>
        <v>68000</v>
      </c>
      <c r="N607" s="10">
        <f>PRODUCT(Table_13[[#This Row],[Unit Price]],Table_13[[#This Row],[Quantity]])</f>
        <v>340000</v>
      </c>
      <c r="O607" s="16">
        <f>PRODUCT(Table_13[[#This Row],[Cost Price]],Table_13[[#This Row],[Quantity]])</f>
        <v>272000</v>
      </c>
      <c r="P607" s="27">
        <f t="shared" si="22"/>
        <v>68000</v>
      </c>
    </row>
    <row r="608" spans="1:16" x14ac:dyDescent="0.2">
      <c r="A608" s="33">
        <v>46282</v>
      </c>
      <c r="B608" s="30">
        <f t="shared" si="21"/>
        <v>9</v>
      </c>
      <c r="C608" s="30" t="str">
        <f>_xlfn.IFS(Table_13[[#This Row],[Month]]=1,"JAN",Table_13[[#This Row],[Month]]=2,"FEB",B608=3,"MAR",B608=4,"APR",B608=5,"MAY",B608=6,"JUN",B608=7,"JUL",B608=8,"AUG",Table_13[[#This Row],[Month]]=9,"SEPT",B608=10,"OCT",B608=11,"NOV",B608=12,"DEC")</f>
        <v>SEPT</v>
      </c>
      <c r="D608" s="2" t="s">
        <v>18</v>
      </c>
      <c r="E608" s="2" t="s">
        <v>19</v>
      </c>
      <c r="F608" s="2" t="s">
        <v>13</v>
      </c>
      <c r="G608" s="2" t="s">
        <v>14</v>
      </c>
      <c r="H608" s="2" t="s">
        <v>33</v>
      </c>
      <c r="I608" s="2" t="s">
        <v>22</v>
      </c>
      <c r="J608" s="15">
        <v>180000</v>
      </c>
      <c r="K608" s="2">
        <v>1</v>
      </c>
      <c r="L608" s="2" t="s">
        <v>39</v>
      </c>
      <c r="M608" s="12">
        <f t="shared" si="18"/>
        <v>144000</v>
      </c>
      <c r="N608" s="10">
        <f>PRODUCT(Table_13[[#This Row],[Unit Price]],Table_13[[#This Row],[Quantity]])</f>
        <v>180000</v>
      </c>
      <c r="O608" s="16">
        <f>PRODUCT(Table_13[[#This Row],[Cost Price]],Table_13[[#This Row],[Quantity]])</f>
        <v>144000</v>
      </c>
      <c r="P608" s="27">
        <f t="shared" si="22"/>
        <v>36000</v>
      </c>
    </row>
    <row r="609" spans="1:16" x14ac:dyDescent="0.2">
      <c r="A609" s="33">
        <v>46283</v>
      </c>
      <c r="B609" s="30">
        <f t="shared" si="21"/>
        <v>9</v>
      </c>
      <c r="C609" s="30" t="str">
        <f>_xlfn.IFS(Table_13[[#This Row],[Month]]=1,"JAN",Table_13[[#This Row],[Month]]=2,"FEB",B609=3,"MAR",B609=4,"APR",B609=5,"MAY",B609=6,"JUN",B609=7,"JUL",B609=8,"AUG",Table_13[[#This Row],[Month]]=9,"SEPT",B609=10,"OCT",B609=11,"NOV",B609=12,"DEC")</f>
        <v>SEPT</v>
      </c>
      <c r="D609" s="2" t="s">
        <v>25</v>
      </c>
      <c r="E609" s="2" t="s">
        <v>19</v>
      </c>
      <c r="F609" s="2" t="s">
        <v>13</v>
      </c>
      <c r="G609" s="2" t="s">
        <v>20</v>
      </c>
      <c r="H609" s="2" t="s">
        <v>33</v>
      </c>
      <c r="I609" s="2" t="s">
        <v>22</v>
      </c>
      <c r="J609" s="15">
        <v>180000</v>
      </c>
      <c r="K609" s="2">
        <v>9</v>
      </c>
      <c r="L609" s="2" t="s">
        <v>35</v>
      </c>
      <c r="M609" s="12">
        <f t="shared" si="18"/>
        <v>144000</v>
      </c>
      <c r="N609" s="10">
        <f>PRODUCT(Table_13[[#This Row],[Unit Price]],Table_13[[#This Row],[Quantity]])</f>
        <v>1620000</v>
      </c>
      <c r="O609" s="16">
        <f>PRODUCT(Table_13[[#This Row],[Cost Price]],Table_13[[#This Row],[Quantity]])</f>
        <v>1296000</v>
      </c>
      <c r="P609" s="27">
        <f t="shared" si="22"/>
        <v>324000</v>
      </c>
    </row>
    <row r="610" spans="1:16" x14ac:dyDescent="0.2">
      <c r="A610" s="33">
        <v>46284</v>
      </c>
      <c r="B610" s="30">
        <f t="shared" si="21"/>
        <v>9</v>
      </c>
      <c r="C610" s="30" t="str">
        <f>_xlfn.IFS(Table_13[[#This Row],[Month]]=1,"JAN",Table_13[[#This Row],[Month]]=2,"FEB",B610=3,"MAR",B610=4,"APR",B610=5,"MAY",B610=6,"JUN",B610=7,"JUL",B610=8,"AUG",Table_13[[#This Row],[Month]]=9,"SEPT",B610=10,"OCT",B610=11,"NOV",B610=12,"DEC")</f>
        <v>SEPT</v>
      </c>
      <c r="D610" s="2" t="s">
        <v>18</v>
      </c>
      <c r="E610" s="2" t="s">
        <v>26</v>
      </c>
      <c r="F610" s="2" t="s">
        <v>23</v>
      </c>
      <c r="G610" s="2" t="s">
        <v>20</v>
      </c>
      <c r="H610" s="2" t="s">
        <v>36</v>
      </c>
      <c r="I610" s="2" t="s">
        <v>31</v>
      </c>
      <c r="J610" s="15">
        <v>150000</v>
      </c>
      <c r="K610" s="2">
        <v>10</v>
      </c>
      <c r="L610" s="2" t="s">
        <v>28</v>
      </c>
      <c r="M610" s="12">
        <f t="shared" si="18"/>
        <v>120000</v>
      </c>
      <c r="N610" s="10">
        <f>PRODUCT(Table_13[[#This Row],[Unit Price]],Table_13[[#This Row],[Quantity]])</f>
        <v>1500000</v>
      </c>
      <c r="O610" s="16">
        <f>PRODUCT(Table_13[[#This Row],[Cost Price]],Table_13[[#This Row],[Quantity]])</f>
        <v>1200000</v>
      </c>
      <c r="P610" s="27">
        <f t="shared" si="22"/>
        <v>300000</v>
      </c>
    </row>
    <row r="611" spans="1:16" x14ac:dyDescent="0.2">
      <c r="A611" s="33">
        <v>46285</v>
      </c>
      <c r="B611" s="30">
        <f t="shared" si="21"/>
        <v>9</v>
      </c>
      <c r="C611" s="30" t="str">
        <f>_xlfn.IFS(Table_13[[#This Row],[Month]]=1,"JAN",Table_13[[#This Row],[Month]]=2,"FEB",B611=3,"MAR",B611=4,"APR",B611=5,"MAY",B611=6,"JUN",B611=7,"JUL",B611=8,"AUG",Table_13[[#This Row],[Month]]=9,"SEPT",B611=10,"OCT",B611=11,"NOV",B611=12,"DEC")</f>
        <v>SEPT</v>
      </c>
      <c r="D611" s="2" t="s">
        <v>18</v>
      </c>
      <c r="E611" s="2" t="s">
        <v>32</v>
      </c>
      <c r="F611" s="2" t="s">
        <v>23</v>
      </c>
      <c r="G611" s="2" t="s">
        <v>20</v>
      </c>
      <c r="H611" s="2" t="s">
        <v>30</v>
      </c>
      <c r="I611" s="2" t="s">
        <v>31</v>
      </c>
      <c r="J611" s="15">
        <v>300000</v>
      </c>
      <c r="K611" s="2">
        <v>1</v>
      </c>
      <c r="L611" s="2" t="s">
        <v>28</v>
      </c>
      <c r="M611" s="12">
        <f t="shared" si="18"/>
        <v>240000</v>
      </c>
      <c r="N611" s="10">
        <f>PRODUCT(Table_13[[#This Row],[Unit Price]],Table_13[[#This Row],[Quantity]])</f>
        <v>300000</v>
      </c>
      <c r="O611" s="16">
        <f>PRODUCT(Table_13[[#This Row],[Cost Price]],Table_13[[#This Row],[Quantity]])</f>
        <v>240000</v>
      </c>
      <c r="P611" s="27">
        <f t="shared" si="22"/>
        <v>60000</v>
      </c>
    </row>
    <row r="612" spans="1:16" x14ac:dyDescent="0.2">
      <c r="A612" s="33">
        <v>46286</v>
      </c>
      <c r="B612" s="30">
        <f t="shared" si="21"/>
        <v>9</v>
      </c>
      <c r="C612" s="30" t="str">
        <f>_xlfn.IFS(Table_13[[#This Row],[Month]]=1,"JAN",Table_13[[#This Row],[Month]]=2,"FEB",B612=3,"MAR",B612=4,"APR",B612=5,"MAY",B612=6,"JUN",B612=7,"JUL",B612=8,"AUG",Table_13[[#This Row],[Month]]=9,"SEPT",B612=10,"OCT",B612=11,"NOV",B612=12,"DEC")</f>
        <v>SEPT</v>
      </c>
      <c r="D612" s="2" t="s">
        <v>25</v>
      </c>
      <c r="E612" s="2" t="s">
        <v>32</v>
      </c>
      <c r="F612" s="2" t="s">
        <v>13</v>
      </c>
      <c r="G612" s="2" t="s">
        <v>14</v>
      </c>
      <c r="H612" s="2" t="s">
        <v>36</v>
      </c>
      <c r="I612" s="2" t="s">
        <v>31</v>
      </c>
      <c r="J612" s="15">
        <v>150000</v>
      </c>
      <c r="K612" s="2">
        <v>8</v>
      </c>
      <c r="L612" s="2" t="s">
        <v>17</v>
      </c>
      <c r="M612" s="12">
        <f t="shared" si="18"/>
        <v>120000</v>
      </c>
      <c r="N612" s="10">
        <f>PRODUCT(Table_13[[#This Row],[Unit Price]],Table_13[[#This Row],[Quantity]])</f>
        <v>1200000</v>
      </c>
      <c r="O612" s="16">
        <f>PRODUCT(Table_13[[#This Row],[Cost Price]],Table_13[[#This Row],[Quantity]])</f>
        <v>960000</v>
      </c>
      <c r="P612" s="27">
        <f t="shared" si="22"/>
        <v>240000</v>
      </c>
    </row>
    <row r="613" spans="1:16" x14ac:dyDescent="0.2">
      <c r="A613" s="33">
        <v>46287</v>
      </c>
      <c r="B613" s="30">
        <f t="shared" si="21"/>
        <v>9</v>
      </c>
      <c r="C613" s="30" t="str">
        <f>_xlfn.IFS(Table_13[[#This Row],[Month]]=1,"JAN",Table_13[[#This Row],[Month]]=2,"FEB",B613=3,"MAR",B613=4,"APR",B613=5,"MAY",B613=6,"JUN",B613=7,"JUL",B613=8,"AUG",Table_13[[#This Row],[Month]]=9,"SEPT",B613=10,"OCT",B613=11,"NOV",B613=12,"DEC")</f>
        <v>SEPT</v>
      </c>
      <c r="D613" s="2" t="s">
        <v>11</v>
      </c>
      <c r="E613" s="2" t="s">
        <v>32</v>
      </c>
      <c r="F613" s="2" t="s">
        <v>13</v>
      </c>
      <c r="G613" s="2" t="s">
        <v>20</v>
      </c>
      <c r="H613" s="2" t="s">
        <v>36</v>
      </c>
      <c r="I613" s="2" t="s">
        <v>31</v>
      </c>
      <c r="J613" s="15">
        <v>150000</v>
      </c>
      <c r="K613" s="2">
        <v>3</v>
      </c>
      <c r="L613" s="2" t="s">
        <v>35</v>
      </c>
      <c r="M613" s="12">
        <f t="shared" si="18"/>
        <v>120000</v>
      </c>
      <c r="N613" s="10">
        <f>PRODUCT(Table_13[[#This Row],[Unit Price]],Table_13[[#This Row],[Quantity]])</f>
        <v>450000</v>
      </c>
      <c r="O613" s="16">
        <f>PRODUCT(Table_13[[#This Row],[Cost Price]],Table_13[[#This Row],[Quantity]])</f>
        <v>360000</v>
      </c>
      <c r="P613" s="27">
        <f t="shared" si="22"/>
        <v>90000</v>
      </c>
    </row>
    <row r="614" spans="1:16" x14ac:dyDescent="0.2">
      <c r="A614" s="33">
        <v>46288</v>
      </c>
      <c r="B614" s="30">
        <f t="shared" si="21"/>
        <v>9</v>
      </c>
      <c r="C614" s="30" t="str">
        <f>_xlfn.IFS(Table_13[[#This Row],[Month]]=1,"JAN",Table_13[[#This Row],[Month]]=2,"FEB",B614=3,"MAR",B614=4,"APR",B614=5,"MAY",B614=6,"JUN",B614=7,"JUL",B614=8,"AUG",Table_13[[#This Row],[Month]]=9,"SEPT",B614=10,"OCT",B614=11,"NOV",B614=12,"DEC")</f>
        <v>SEPT</v>
      </c>
      <c r="D614" s="2" t="s">
        <v>29</v>
      </c>
      <c r="E614" s="2" t="s">
        <v>32</v>
      </c>
      <c r="F614" s="2" t="s">
        <v>13</v>
      </c>
      <c r="G614" s="2" t="s">
        <v>20</v>
      </c>
      <c r="H614" s="2" t="s">
        <v>34</v>
      </c>
      <c r="I614" s="2" t="s">
        <v>16</v>
      </c>
      <c r="J614" s="15">
        <v>320000</v>
      </c>
      <c r="K614" s="2">
        <v>3</v>
      </c>
      <c r="L614" s="2" t="s">
        <v>17</v>
      </c>
      <c r="M614" s="12">
        <f t="shared" si="18"/>
        <v>256000</v>
      </c>
      <c r="N614" s="10">
        <f>PRODUCT(Table_13[[#This Row],[Unit Price]],Table_13[[#This Row],[Quantity]])</f>
        <v>960000</v>
      </c>
      <c r="O614" s="16">
        <f>PRODUCT(Table_13[[#This Row],[Cost Price]],Table_13[[#This Row],[Quantity]])</f>
        <v>768000</v>
      </c>
      <c r="P614" s="27">
        <f t="shared" si="22"/>
        <v>192000</v>
      </c>
    </row>
    <row r="615" spans="1:16" x14ac:dyDescent="0.2">
      <c r="A615" s="33">
        <v>46289</v>
      </c>
      <c r="B615" s="30">
        <f t="shared" si="21"/>
        <v>9</v>
      </c>
      <c r="C615" s="30" t="str">
        <f>_xlfn.IFS(Table_13[[#This Row],[Month]]=1,"JAN",Table_13[[#This Row],[Month]]=2,"FEB",B615=3,"MAR",B615=4,"APR",B615=5,"MAY",B615=6,"JUN",B615=7,"JUL",B615=8,"AUG",Table_13[[#This Row],[Month]]=9,"SEPT",B615=10,"OCT",B615=11,"NOV",B615=12,"DEC")</f>
        <v>SEPT</v>
      </c>
      <c r="D615" s="2" t="s">
        <v>25</v>
      </c>
      <c r="E615" s="2" t="s">
        <v>26</v>
      </c>
      <c r="F615" s="2" t="s">
        <v>13</v>
      </c>
      <c r="G615" s="2" t="s">
        <v>14</v>
      </c>
      <c r="H615" s="2" t="s">
        <v>33</v>
      </c>
      <c r="I615" s="2" t="s">
        <v>22</v>
      </c>
      <c r="J615" s="15">
        <v>180000</v>
      </c>
      <c r="K615" s="2">
        <v>8</v>
      </c>
      <c r="L615" s="2" t="s">
        <v>17</v>
      </c>
      <c r="M615" s="12">
        <f t="shared" si="18"/>
        <v>144000</v>
      </c>
      <c r="N615" s="10">
        <f>PRODUCT(Table_13[[#This Row],[Unit Price]],Table_13[[#This Row],[Quantity]])</f>
        <v>1440000</v>
      </c>
      <c r="O615" s="16">
        <f>PRODUCT(Table_13[[#This Row],[Cost Price]],Table_13[[#This Row],[Quantity]])</f>
        <v>1152000</v>
      </c>
      <c r="P615" s="27">
        <f t="shared" si="22"/>
        <v>288000</v>
      </c>
    </row>
    <row r="616" spans="1:16" x14ac:dyDescent="0.2">
      <c r="A616" s="33">
        <v>46290</v>
      </c>
      <c r="B616" s="30">
        <f t="shared" si="21"/>
        <v>9</v>
      </c>
      <c r="C616" s="30" t="str">
        <f>_xlfn.IFS(Table_13[[#This Row],[Month]]=1,"JAN",Table_13[[#This Row],[Month]]=2,"FEB",B616=3,"MAR",B616=4,"APR",B616=5,"MAY",B616=6,"JUN",B616=7,"JUL",B616=8,"AUG",Table_13[[#This Row],[Month]]=9,"SEPT",B616=10,"OCT",B616=11,"NOV",B616=12,"DEC")</f>
        <v>SEPT</v>
      </c>
      <c r="D616" s="2" t="s">
        <v>25</v>
      </c>
      <c r="E616" s="2" t="s">
        <v>26</v>
      </c>
      <c r="F616" s="2" t="s">
        <v>13</v>
      </c>
      <c r="G616" s="2" t="s">
        <v>20</v>
      </c>
      <c r="H616" s="2" t="s">
        <v>33</v>
      </c>
      <c r="I616" s="2" t="s">
        <v>22</v>
      </c>
      <c r="J616" s="15">
        <v>180000</v>
      </c>
      <c r="K616" s="2">
        <v>1</v>
      </c>
      <c r="L616" s="2" t="s">
        <v>24</v>
      </c>
      <c r="M616" s="12">
        <f t="shared" si="18"/>
        <v>144000</v>
      </c>
      <c r="N616" s="10">
        <f>PRODUCT(Table_13[[#This Row],[Unit Price]],Table_13[[#This Row],[Quantity]])</f>
        <v>180000</v>
      </c>
      <c r="O616" s="16">
        <f>PRODUCT(Table_13[[#This Row],[Cost Price]],Table_13[[#This Row],[Quantity]])</f>
        <v>144000</v>
      </c>
      <c r="P616" s="27">
        <f t="shared" si="22"/>
        <v>36000</v>
      </c>
    </row>
    <row r="617" spans="1:16" x14ac:dyDescent="0.2">
      <c r="A617" s="33">
        <v>46291</v>
      </c>
      <c r="B617" s="30">
        <f t="shared" si="21"/>
        <v>9</v>
      </c>
      <c r="C617" s="30" t="str">
        <f>_xlfn.IFS(Table_13[[#This Row],[Month]]=1,"JAN",Table_13[[#This Row],[Month]]=2,"FEB",B617=3,"MAR",B617=4,"APR",B617=5,"MAY",B617=6,"JUN",B617=7,"JUL",B617=8,"AUG",Table_13[[#This Row],[Month]]=9,"SEPT",B617=10,"OCT",B617=11,"NOV",B617=12,"DEC")</f>
        <v>SEPT</v>
      </c>
      <c r="D617" s="2" t="s">
        <v>11</v>
      </c>
      <c r="E617" s="2" t="s">
        <v>19</v>
      </c>
      <c r="F617" s="2" t="s">
        <v>13</v>
      </c>
      <c r="G617" s="2" t="s">
        <v>20</v>
      </c>
      <c r="H617" s="2" t="s">
        <v>27</v>
      </c>
      <c r="I617" s="2" t="s">
        <v>22</v>
      </c>
      <c r="J617" s="15">
        <v>60000</v>
      </c>
      <c r="K617" s="2">
        <v>7</v>
      </c>
      <c r="L617" s="2" t="s">
        <v>37</v>
      </c>
      <c r="M617" s="12">
        <f t="shared" si="18"/>
        <v>48000</v>
      </c>
      <c r="N617" s="10">
        <f>PRODUCT(Table_13[[#This Row],[Unit Price]],Table_13[[#This Row],[Quantity]])</f>
        <v>420000</v>
      </c>
      <c r="O617" s="16">
        <f>PRODUCT(Table_13[[#This Row],[Cost Price]],Table_13[[#This Row],[Quantity]])</f>
        <v>336000</v>
      </c>
      <c r="P617" s="27">
        <f t="shared" si="22"/>
        <v>84000</v>
      </c>
    </row>
    <row r="618" spans="1:16" x14ac:dyDescent="0.2">
      <c r="A618" s="33">
        <v>46292</v>
      </c>
      <c r="B618" s="30">
        <f t="shared" si="21"/>
        <v>9</v>
      </c>
      <c r="C618" s="30" t="str">
        <f>_xlfn.IFS(Table_13[[#This Row],[Month]]=1,"JAN",Table_13[[#This Row],[Month]]=2,"FEB",B618=3,"MAR",B618=4,"APR",B618=5,"MAY",B618=6,"JUN",B618=7,"JUL",B618=8,"AUG",Table_13[[#This Row],[Month]]=9,"SEPT",B618=10,"OCT",B618=11,"NOV",B618=12,"DEC")</f>
        <v>SEPT</v>
      </c>
      <c r="D618" s="2" t="s">
        <v>18</v>
      </c>
      <c r="E618" s="2" t="s">
        <v>26</v>
      </c>
      <c r="F618" s="2" t="s">
        <v>23</v>
      </c>
      <c r="G618" s="2" t="s">
        <v>20</v>
      </c>
      <c r="H618" s="2" t="s">
        <v>34</v>
      </c>
      <c r="I618" s="2" t="s">
        <v>16</v>
      </c>
      <c r="J618" s="15">
        <v>320000</v>
      </c>
      <c r="K618" s="2">
        <v>7</v>
      </c>
      <c r="L618" s="2" t="s">
        <v>24</v>
      </c>
      <c r="M618" s="12">
        <f t="shared" si="18"/>
        <v>256000</v>
      </c>
      <c r="N618" s="10">
        <f>PRODUCT(Table_13[[#This Row],[Unit Price]],Table_13[[#This Row],[Quantity]])</f>
        <v>2240000</v>
      </c>
      <c r="O618" s="16">
        <f>PRODUCT(Table_13[[#This Row],[Cost Price]],Table_13[[#This Row],[Quantity]])</f>
        <v>1792000</v>
      </c>
      <c r="P618" s="27">
        <f t="shared" si="22"/>
        <v>448000</v>
      </c>
    </row>
    <row r="619" spans="1:16" x14ac:dyDescent="0.2">
      <c r="A619" s="33">
        <v>46293</v>
      </c>
      <c r="B619" s="30">
        <f t="shared" si="21"/>
        <v>9</v>
      </c>
      <c r="C619" s="30" t="str">
        <f>_xlfn.IFS(Table_13[[#This Row],[Month]]=1,"JAN",Table_13[[#This Row],[Month]]=2,"FEB",B619=3,"MAR",B619=4,"APR",B619=5,"MAY",B619=6,"JUN",B619=7,"JUL",B619=8,"AUG",Table_13[[#This Row],[Month]]=9,"SEPT",B619=10,"OCT",B619=11,"NOV",B619=12,"DEC")</f>
        <v>SEPT</v>
      </c>
      <c r="D619" s="2" t="s">
        <v>25</v>
      </c>
      <c r="E619" s="2" t="s">
        <v>19</v>
      </c>
      <c r="F619" s="2" t="s">
        <v>23</v>
      </c>
      <c r="G619" s="2" t="s">
        <v>14</v>
      </c>
      <c r="H619" s="2" t="s">
        <v>15</v>
      </c>
      <c r="I619" s="2" t="s">
        <v>16</v>
      </c>
      <c r="J619" s="15">
        <v>85000</v>
      </c>
      <c r="K619" s="2">
        <v>9</v>
      </c>
      <c r="L619" s="2" t="s">
        <v>24</v>
      </c>
      <c r="M619" s="12">
        <f t="shared" si="18"/>
        <v>68000</v>
      </c>
      <c r="N619" s="10">
        <f>PRODUCT(Table_13[[#This Row],[Unit Price]],Table_13[[#This Row],[Quantity]])</f>
        <v>765000</v>
      </c>
      <c r="O619" s="16">
        <f>PRODUCT(Table_13[[#This Row],[Cost Price]],Table_13[[#This Row],[Quantity]])</f>
        <v>612000</v>
      </c>
      <c r="P619" s="27">
        <f t="shared" si="22"/>
        <v>153000</v>
      </c>
    </row>
    <row r="620" spans="1:16" x14ac:dyDescent="0.2">
      <c r="A620" s="33">
        <v>46294</v>
      </c>
      <c r="B620" s="30">
        <f t="shared" si="21"/>
        <v>9</v>
      </c>
      <c r="C620" s="30" t="str">
        <f>_xlfn.IFS(Table_13[[#This Row],[Month]]=1,"JAN",Table_13[[#This Row],[Month]]=2,"FEB",B620=3,"MAR",B620=4,"APR",B620=5,"MAY",B620=6,"JUN",B620=7,"JUL",B620=8,"AUG",Table_13[[#This Row],[Month]]=9,"SEPT",B620=10,"OCT",B620=11,"NOV",B620=12,"DEC")</f>
        <v>SEPT</v>
      </c>
      <c r="D620" s="2" t="s">
        <v>11</v>
      </c>
      <c r="E620" s="2" t="s">
        <v>19</v>
      </c>
      <c r="F620" s="2" t="s">
        <v>13</v>
      </c>
      <c r="G620" s="2" t="s">
        <v>14</v>
      </c>
      <c r="H620" s="2" t="s">
        <v>34</v>
      </c>
      <c r="I620" s="2" t="s">
        <v>16</v>
      </c>
      <c r="J620" s="15">
        <v>320000</v>
      </c>
      <c r="K620" s="2">
        <v>3</v>
      </c>
      <c r="L620" s="2" t="s">
        <v>37</v>
      </c>
      <c r="M620" s="12">
        <f t="shared" si="18"/>
        <v>256000</v>
      </c>
      <c r="N620" s="10">
        <f>PRODUCT(Table_13[[#This Row],[Unit Price]],Table_13[[#This Row],[Quantity]])</f>
        <v>960000</v>
      </c>
      <c r="O620" s="16">
        <f>PRODUCT(Table_13[[#This Row],[Cost Price]],Table_13[[#This Row],[Quantity]])</f>
        <v>768000</v>
      </c>
      <c r="P620" s="27">
        <f t="shared" si="22"/>
        <v>192000</v>
      </c>
    </row>
    <row r="621" spans="1:16" x14ac:dyDescent="0.2">
      <c r="A621" s="33">
        <v>46295</v>
      </c>
      <c r="B621" s="30">
        <f t="shared" si="21"/>
        <v>9</v>
      </c>
      <c r="C621" s="30" t="str">
        <f>_xlfn.IFS(Table_13[[#This Row],[Month]]=1,"JAN",Table_13[[#This Row],[Month]]=2,"FEB",B621=3,"MAR",B621=4,"APR",B621=5,"MAY",B621=6,"JUN",B621=7,"JUL",B621=8,"AUG",Table_13[[#This Row],[Month]]=9,"SEPT",B621=10,"OCT",B621=11,"NOV",B621=12,"DEC")</f>
        <v>SEPT</v>
      </c>
      <c r="D621" s="2" t="s">
        <v>25</v>
      </c>
      <c r="E621" s="2" t="s">
        <v>32</v>
      </c>
      <c r="F621" s="2" t="s">
        <v>13</v>
      </c>
      <c r="G621" s="2" t="s">
        <v>14</v>
      </c>
      <c r="H621" s="2" t="s">
        <v>41</v>
      </c>
      <c r="I621" s="2" t="s">
        <v>22</v>
      </c>
      <c r="J621" s="15">
        <v>220000</v>
      </c>
      <c r="K621" s="2">
        <v>4</v>
      </c>
      <c r="L621" s="2" t="s">
        <v>37</v>
      </c>
      <c r="M621" s="12">
        <f t="shared" si="18"/>
        <v>176000</v>
      </c>
      <c r="N621" s="10">
        <f>PRODUCT(Table_13[[#This Row],[Unit Price]],Table_13[[#This Row],[Quantity]])</f>
        <v>880000</v>
      </c>
      <c r="O621" s="16">
        <f>PRODUCT(Table_13[[#This Row],[Cost Price]],Table_13[[#This Row],[Quantity]])</f>
        <v>704000</v>
      </c>
      <c r="P621" s="27">
        <f t="shared" si="22"/>
        <v>176000</v>
      </c>
    </row>
    <row r="622" spans="1:16" x14ac:dyDescent="0.2">
      <c r="A622" s="33">
        <v>46296</v>
      </c>
      <c r="B622" s="30">
        <f t="shared" si="21"/>
        <v>10</v>
      </c>
      <c r="C622" s="30" t="str">
        <f>_xlfn.IFS(Table_13[[#This Row],[Month]]=1,"JAN",Table_13[[#This Row],[Month]]=2,"FEB",B622=3,"MAR",B622=4,"APR",B622=5,"MAY",B622=6,"JUN",B622=7,"JUL",B622=8,"AUG",Table_13[[#This Row],[Month]]=9,"SEPT",B622=10,"OCT",B622=11,"NOV",B622=12,"DEC")</f>
        <v>OCT</v>
      </c>
      <c r="D622" s="2" t="s">
        <v>18</v>
      </c>
      <c r="E622" s="2" t="s">
        <v>26</v>
      </c>
      <c r="F622" s="2" t="s">
        <v>23</v>
      </c>
      <c r="G622" s="2" t="s">
        <v>14</v>
      </c>
      <c r="H622" s="2" t="s">
        <v>34</v>
      </c>
      <c r="I622" s="2" t="s">
        <v>16</v>
      </c>
      <c r="J622" s="15">
        <v>320000</v>
      </c>
      <c r="K622" s="2">
        <v>7</v>
      </c>
      <c r="L622" s="2" t="s">
        <v>35</v>
      </c>
      <c r="M622" s="12">
        <f t="shared" si="18"/>
        <v>256000</v>
      </c>
      <c r="N622" s="10">
        <f>PRODUCT(Table_13[[#This Row],[Unit Price]],Table_13[[#This Row],[Quantity]])</f>
        <v>2240000</v>
      </c>
      <c r="O622" s="16">
        <f>PRODUCT(Table_13[[#This Row],[Cost Price]],Table_13[[#This Row],[Quantity]])</f>
        <v>1792000</v>
      </c>
      <c r="P622" s="27">
        <f t="shared" si="22"/>
        <v>448000</v>
      </c>
    </row>
    <row r="623" spans="1:16" x14ac:dyDescent="0.2">
      <c r="A623" s="33">
        <v>46297</v>
      </c>
      <c r="B623" s="30">
        <f t="shared" si="21"/>
        <v>10</v>
      </c>
      <c r="C623" s="30" t="str">
        <f>_xlfn.IFS(Table_13[[#This Row],[Month]]=1,"JAN",Table_13[[#This Row],[Month]]=2,"FEB",B623=3,"MAR",B623=4,"APR",B623=5,"MAY",B623=6,"JUN",B623=7,"JUL",B623=8,"AUG",Table_13[[#This Row],[Month]]=9,"SEPT",B623=10,"OCT",B623=11,"NOV",B623=12,"DEC")</f>
        <v>OCT</v>
      </c>
      <c r="D623" s="2" t="s">
        <v>18</v>
      </c>
      <c r="E623" s="2" t="s">
        <v>12</v>
      </c>
      <c r="F623" s="2" t="s">
        <v>23</v>
      </c>
      <c r="G623" s="2" t="s">
        <v>14</v>
      </c>
      <c r="H623" s="2" t="s">
        <v>40</v>
      </c>
      <c r="I623" s="2" t="s">
        <v>31</v>
      </c>
      <c r="J623" s="15">
        <v>250000</v>
      </c>
      <c r="K623" s="2">
        <v>1</v>
      </c>
      <c r="L623" s="2" t="s">
        <v>28</v>
      </c>
      <c r="M623" s="12">
        <f t="shared" si="18"/>
        <v>200000</v>
      </c>
      <c r="N623" s="10">
        <f>PRODUCT(Table_13[[#This Row],[Unit Price]],Table_13[[#This Row],[Quantity]])</f>
        <v>250000</v>
      </c>
      <c r="O623" s="16">
        <f>PRODUCT(Table_13[[#This Row],[Cost Price]],Table_13[[#This Row],[Quantity]])</f>
        <v>200000</v>
      </c>
      <c r="P623" s="27">
        <f t="shared" si="22"/>
        <v>50000</v>
      </c>
    </row>
    <row r="624" spans="1:16" x14ac:dyDescent="0.2">
      <c r="A624" s="33">
        <v>46298</v>
      </c>
      <c r="B624" s="30">
        <f t="shared" si="21"/>
        <v>10</v>
      </c>
      <c r="C624" s="30" t="str">
        <f>_xlfn.IFS(Table_13[[#This Row],[Month]]=1,"JAN",Table_13[[#This Row],[Month]]=2,"FEB",B624=3,"MAR",B624=4,"APR",B624=5,"MAY",B624=6,"JUN",B624=7,"JUL",B624=8,"AUG",Table_13[[#This Row],[Month]]=9,"SEPT",B624=10,"OCT",B624=11,"NOV",B624=12,"DEC")</f>
        <v>OCT</v>
      </c>
      <c r="D624" s="2" t="s">
        <v>18</v>
      </c>
      <c r="E624" s="2" t="s">
        <v>26</v>
      </c>
      <c r="F624" s="2" t="s">
        <v>13</v>
      </c>
      <c r="G624" s="2" t="s">
        <v>20</v>
      </c>
      <c r="H624" s="2" t="s">
        <v>21</v>
      </c>
      <c r="I624" s="2" t="s">
        <v>22</v>
      </c>
      <c r="J624" s="15">
        <v>30000</v>
      </c>
      <c r="K624" s="2">
        <v>5</v>
      </c>
      <c r="L624" s="2" t="s">
        <v>28</v>
      </c>
      <c r="M624" s="12">
        <f t="shared" si="18"/>
        <v>24000</v>
      </c>
      <c r="N624" s="10">
        <f>PRODUCT(Table_13[[#This Row],[Unit Price]],Table_13[[#This Row],[Quantity]])</f>
        <v>150000</v>
      </c>
      <c r="O624" s="16">
        <f>PRODUCT(Table_13[[#This Row],[Cost Price]],Table_13[[#This Row],[Quantity]])</f>
        <v>120000</v>
      </c>
      <c r="P624" s="27">
        <f t="shared" si="22"/>
        <v>30000</v>
      </c>
    </row>
    <row r="625" spans="1:16" x14ac:dyDescent="0.2">
      <c r="A625" s="33">
        <v>46299</v>
      </c>
      <c r="B625" s="30">
        <f t="shared" si="21"/>
        <v>10</v>
      </c>
      <c r="C625" s="30" t="str">
        <f>_xlfn.IFS(Table_13[[#This Row],[Month]]=1,"JAN",Table_13[[#This Row],[Month]]=2,"FEB",B625=3,"MAR",B625=4,"APR",B625=5,"MAY",B625=6,"JUN",B625=7,"JUL",B625=8,"AUG",Table_13[[#This Row],[Month]]=9,"SEPT",B625=10,"OCT",B625=11,"NOV",B625=12,"DEC")</f>
        <v>OCT</v>
      </c>
      <c r="D625" s="2" t="s">
        <v>25</v>
      </c>
      <c r="E625" s="2" t="s">
        <v>26</v>
      </c>
      <c r="F625" s="2" t="s">
        <v>23</v>
      </c>
      <c r="G625" s="2" t="s">
        <v>14</v>
      </c>
      <c r="H625" s="2" t="s">
        <v>41</v>
      </c>
      <c r="I625" s="2" t="s">
        <v>22</v>
      </c>
      <c r="J625" s="15">
        <v>220000</v>
      </c>
      <c r="K625" s="2">
        <v>5</v>
      </c>
      <c r="L625" s="2" t="s">
        <v>24</v>
      </c>
      <c r="M625" s="12">
        <f t="shared" si="18"/>
        <v>176000</v>
      </c>
      <c r="N625" s="10">
        <f>PRODUCT(Table_13[[#This Row],[Unit Price]],Table_13[[#This Row],[Quantity]])</f>
        <v>1100000</v>
      </c>
      <c r="O625" s="16">
        <f>PRODUCT(Table_13[[#This Row],[Cost Price]],Table_13[[#This Row],[Quantity]])</f>
        <v>880000</v>
      </c>
      <c r="P625" s="27">
        <f t="shared" si="22"/>
        <v>220000</v>
      </c>
    </row>
    <row r="626" spans="1:16" x14ac:dyDescent="0.2">
      <c r="A626" s="33">
        <v>46300</v>
      </c>
      <c r="B626" s="30">
        <f t="shared" si="21"/>
        <v>10</v>
      </c>
      <c r="C626" s="30" t="str">
        <f>_xlfn.IFS(Table_13[[#This Row],[Month]]=1,"JAN",Table_13[[#This Row],[Month]]=2,"FEB",B626=3,"MAR",B626=4,"APR",B626=5,"MAY",B626=6,"JUN",B626=7,"JUL",B626=8,"AUG",Table_13[[#This Row],[Month]]=9,"SEPT",B626=10,"OCT",B626=11,"NOV",B626=12,"DEC")</f>
        <v>OCT</v>
      </c>
      <c r="D626" s="2" t="s">
        <v>29</v>
      </c>
      <c r="E626" s="2" t="s">
        <v>26</v>
      </c>
      <c r="F626" s="2" t="s">
        <v>23</v>
      </c>
      <c r="G626" s="2" t="s">
        <v>20</v>
      </c>
      <c r="H626" s="2" t="s">
        <v>40</v>
      </c>
      <c r="I626" s="2" t="s">
        <v>31</v>
      </c>
      <c r="J626" s="15">
        <v>250000</v>
      </c>
      <c r="K626" s="2">
        <v>4</v>
      </c>
      <c r="L626" s="2" t="s">
        <v>35</v>
      </c>
      <c r="M626" s="12">
        <f t="shared" si="18"/>
        <v>200000</v>
      </c>
      <c r="N626" s="10">
        <f>PRODUCT(Table_13[[#This Row],[Unit Price]],Table_13[[#This Row],[Quantity]])</f>
        <v>1000000</v>
      </c>
      <c r="O626" s="16">
        <f>PRODUCT(Table_13[[#This Row],[Cost Price]],Table_13[[#This Row],[Quantity]])</f>
        <v>800000</v>
      </c>
      <c r="P626" s="27">
        <f t="shared" si="22"/>
        <v>200000</v>
      </c>
    </row>
    <row r="627" spans="1:16" x14ac:dyDescent="0.2">
      <c r="A627" s="33">
        <v>46301</v>
      </c>
      <c r="B627" s="30">
        <f t="shared" si="21"/>
        <v>10</v>
      </c>
      <c r="C627" s="30" t="str">
        <f>_xlfn.IFS(Table_13[[#This Row],[Month]]=1,"JAN",Table_13[[#This Row],[Month]]=2,"FEB",B627=3,"MAR",B627=4,"APR",B627=5,"MAY",B627=6,"JUN",B627=7,"JUL",B627=8,"AUG",Table_13[[#This Row],[Month]]=9,"SEPT",B627=10,"OCT",B627=11,"NOV",B627=12,"DEC")</f>
        <v>OCT</v>
      </c>
      <c r="D627" s="2" t="s">
        <v>29</v>
      </c>
      <c r="E627" s="2" t="s">
        <v>12</v>
      </c>
      <c r="F627" s="2" t="s">
        <v>13</v>
      </c>
      <c r="G627" s="2" t="s">
        <v>20</v>
      </c>
      <c r="H627" s="2" t="s">
        <v>33</v>
      </c>
      <c r="I627" s="2" t="s">
        <v>22</v>
      </c>
      <c r="J627" s="15">
        <v>180000</v>
      </c>
      <c r="K627" s="2">
        <v>4</v>
      </c>
      <c r="L627" s="2" t="s">
        <v>17</v>
      </c>
      <c r="M627" s="12">
        <f t="shared" si="18"/>
        <v>144000</v>
      </c>
      <c r="N627" s="10">
        <f>PRODUCT(Table_13[[#This Row],[Unit Price]],Table_13[[#This Row],[Quantity]])</f>
        <v>720000</v>
      </c>
      <c r="O627" s="16">
        <f>PRODUCT(Table_13[[#This Row],[Cost Price]],Table_13[[#This Row],[Quantity]])</f>
        <v>576000</v>
      </c>
      <c r="P627" s="27">
        <f t="shared" si="22"/>
        <v>144000</v>
      </c>
    </row>
    <row r="628" spans="1:16" x14ac:dyDescent="0.2">
      <c r="A628" s="33">
        <v>46302</v>
      </c>
      <c r="B628" s="30">
        <f t="shared" si="21"/>
        <v>10</v>
      </c>
      <c r="C628" s="30" t="str">
        <f>_xlfn.IFS(Table_13[[#This Row],[Month]]=1,"JAN",Table_13[[#This Row],[Month]]=2,"FEB",B628=3,"MAR",B628=4,"APR",B628=5,"MAY",B628=6,"JUN",B628=7,"JUL",B628=8,"AUG",Table_13[[#This Row],[Month]]=9,"SEPT",B628=10,"OCT",B628=11,"NOV",B628=12,"DEC")</f>
        <v>OCT</v>
      </c>
      <c r="D628" s="2" t="s">
        <v>25</v>
      </c>
      <c r="E628" s="2" t="s">
        <v>12</v>
      </c>
      <c r="F628" s="2" t="s">
        <v>23</v>
      </c>
      <c r="G628" s="2" t="s">
        <v>20</v>
      </c>
      <c r="H628" s="2" t="s">
        <v>27</v>
      </c>
      <c r="I628" s="2" t="s">
        <v>22</v>
      </c>
      <c r="J628" s="15">
        <v>60000</v>
      </c>
      <c r="K628" s="2">
        <v>10</v>
      </c>
      <c r="L628" s="2" t="s">
        <v>24</v>
      </c>
      <c r="M628" s="12">
        <f t="shared" si="18"/>
        <v>48000</v>
      </c>
      <c r="N628" s="10">
        <f>PRODUCT(Table_13[[#This Row],[Unit Price]],Table_13[[#This Row],[Quantity]])</f>
        <v>600000</v>
      </c>
      <c r="O628" s="16">
        <f>PRODUCT(Table_13[[#This Row],[Cost Price]],Table_13[[#This Row],[Quantity]])</f>
        <v>480000</v>
      </c>
      <c r="P628" s="27">
        <f t="shared" si="22"/>
        <v>120000</v>
      </c>
    </row>
    <row r="629" spans="1:16" x14ac:dyDescent="0.2">
      <c r="A629" s="33">
        <v>46303</v>
      </c>
      <c r="B629" s="30">
        <f t="shared" si="21"/>
        <v>10</v>
      </c>
      <c r="C629" s="30" t="str">
        <f>_xlfn.IFS(Table_13[[#This Row],[Month]]=1,"JAN",Table_13[[#This Row],[Month]]=2,"FEB",B629=3,"MAR",B629=4,"APR",B629=5,"MAY",B629=6,"JUN",B629=7,"JUL",B629=8,"AUG",Table_13[[#This Row],[Month]]=9,"SEPT",B629=10,"OCT",B629=11,"NOV",B629=12,"DEC")</f>
        <v>OCT</v>
      </c>
      <c r="D629" s="2" t="s">
        <v>18</v>
      </c>
      <c r="E629" s="2" t="s">
        <v>26</v>
      </c>
      <c r="F629" s="2" t="s">
        <v>13</v>
      </c>
      <c r="G629" s="2" t="s">
        <v>14</v>
      </c>
      <c r="H629" s="2" t="s">
        <v>34</v>
      </c>
      <c r="I629" s="2" t="s">
        <v>16</v>
      </c>
      <c r="J629" s="15">
        <v>320000</v>
      </c>
      <c r="K629" s="2">
        <v>10</v>
      </c>
      <c r="L629" s="2" t="s">
        <v>17</v>
      </c>
      <c r="M629" s="12">
        <f t="shared" si="18"/>
        <v>256000</v>
      </c>
      <c r="N629" s="10">
        <f>PRODUCT(Table_13[[#This Row],[Unit Price]],Table_13[[#This Row],[Quantity]])</f>
        <v>3200000</v>
      </c>
      <c r="O629" s="16">
        <f>PRODUCT(Table_13[[#This Row],[Cost Price]],Table_13[[#This Row],[Quantity]])</f>
        <v>2560000</v>
      </c>
      <c r="P629" s="27">
        <f t="shared" si="22"/>
        <v>640000</v>
      </c>
    </row>
    <row r="630" spans="1:16" x14ac:dyDescent="0.2">
      <c r="A630" s="33">
        <v>46304</v>
      </c>
      <c r="B630" s="30">
        <f t="shared" si="21"/>
        <v>10</v>
      </c>
      <c r="C630" s="30" t="str">
        <f>_xlfn.IFS(Table_13[[#This Row],[Month]]=1,"JAN",Table_13[[#This Row],[Month]]=2,"FEB",B630=3,"MAR",B630=4,"APR",B630=5,"MAY",B630=6,"JUN",B630=7,"JUL",B630=8,"AUG",Table_13[[#This Row],[Month]]=9,"SEPT",B630=10,"OCT",B630=11,"NOV",B630=12,"DEC")</f>
        <v>OCT</v>
      </c>
      <c r="D630" s="2" t="s">
        <v>18</v>
      </c>
      <c r="E630" s="2" t="s">
        <v>26</v>
      </c>
      <c r="F630" s="2" t="s">
        <v>13</v>
      </c>
      <c r="G630" s="2" t="s">
        <v>20</v>
      </c>
      <c r="H630" s="2" t="s">
        <v>36</v>
      </c>
      <c r="I630" s="2" t="s">
        <v>31</v>
      </c>
      <c r="J630" s="15">
        <v>150000</v>
      </c>
      <c r="K630" s="2">
        <v>4</v>
      </c>
      <c r="L630" s="2" t="s">
        <v>28</v>
      </c>
      <c r="M630" s="12">
        <f t="shared" si="18"/>
        <v>120000</v>
      </c>
      <c r="N630" s="10">
        <f>PRODUCT(Table_13[[#This Row],[Unit Price]],Table_13[[#This Row],[Quantity]])</f>
        <v>600000</v>
      </c>
      <c r="O630" s="16">
        <f>PRODUCT(Table_13[[#This Row],[Cost Price]],Table_13[[#This Row],[Quantity]])</f>
        <v>480000</v>
      </c>
      <c r="P630" s="27">
        <f t="shared" si="22"/>
        <v>120000</v>
      </c>
    </row>
    <row r="631" spans="1:16" x14ac:dyDescent="0.2">
      <c r="A631" s="33">
        <v>46305</v>
      </c>
      <c r="B631" s="30">
        <f t="shared" si="21"/>
        <v>10</v>
      </c>
      <c r="C631" s="30" t="str">
        <f>_xlfn.IFS(Table_13[[#This Row],[Month]]=1,"JAN",Table_13[[#This Row],[Month]]=2,"FEB",B631=3,"MAR",B631=4,"APR",B631=5,"MAY",B631=6,"JUN",B631=7,"JUL",B631=8,"AUG",Table_13[[#This Row],[Month]]=9,"SEPT",B631=10,"OCT",B631=11,"NOV",B631=12,"DEC")</f>
        <v>OCT</v>
      </c>
      <c r="D631" s="2" t="s">
        <v>11</v>
      </c>
      <c r="E631" s="2" t="s">
        <v>12</v>
      </c>
      <c r="F631" s="2" t="s">
        <v>23</v>
      </c>
      <c r="G631" s="2" t="s">
        <v>20</v>
      </c>
      <c r="H631" s="2" t="s">
        <v>34</v>
      </c>
      <c r="I631" s="2" t="s">
        <v>16</v>
      </c>
      <c r="J631" s="15">
        <v>320000</v>
      </c>
      <c r="K631" s="2">
        <v>4</v>
      </c>
      <c r="L631" s="2" t="s">
        <v>17</v>
      </c>
      <c r="M631" s="12">
        <f t="shared" si="18"/>
        <v>256000</v>
      </c>
      <c r="N631" s="10">
        <f>PRODUCT(Table_13[[#This Row],[Unit Price]],Table_13[[#This Row],[Quantity]])</f>
        <v>1280000</v>
      </c>
      <c r="O631" s="16">
        <f>PRODUCT(Table_13[[#This Row],[Cost Price]],Table_13[[#This Row],[Quantity]])</f>
        <v>1024000</v>
      </c>
      <c r="P631" s="27">
        <f t="shared" si="22"/>
        <v>256000</v>
      </c>
    </row>
    <row r="632" spans="1:16" x14ac:dyDescent="0.2">
      <c r="A632" s="33">
        <v>46306</v>
      </c>
      <c r="B632" s="30">
        <f t="shared" si="21"/>
        <v>10</v>
      </c>
      <c r="C632" s="30" t="str">
        <f>_xlfn.IFS(Table_13[[#This Row],[Month]]=1,"JAN",Table_13[[#This Row],[Month]]=2,"FEB",B632=3,"MAR",B632=4,"APR",B632=5,"MAY",B632=6,"JUN",B632=7,"JUL",B632=8,"AUG",Table_13[[#This Row],[Month]]=9,"SEPT",B632=10,"OCT",B632=11,"NOV",B632=12,"DEC")</f>
        <v>OCT</v>
      </c>
      <c r="D632" s="2" t="s">
        <v>25</v>
      </c>
      <c r="E632" s="2" t="s">
        <v>19</v>
      </c>
      <c r="F632" s="2" t="s">
        <v>23</v>
      </c>
      <c r="G632" s="2" t="s">
        <v>14</v>
      </c>
      <c r="H632" s="2" t="s">
        <v>30</v>
      </c>
      <c r="I632" s="2" t="s">
        <v>31</v>
      </c>
      <c r="J632" s="15">
        <v>300000</v>
      </c>
      <c r="K632" s="2">
        <v>7</v>
      </c>
      <c r="L632" s="2" t="s">
        <v>37</v>
      </c>
      <c r="M632" s="12">
        <f t="shared" si="18"/>
        <v>240000</v>
      </c>
      <c r="N632" s="10">
        <f>PRODUCT(Table_13[[#This Row],[Unit Price]],Table_13[[#This Row],[Quantity]])</f>
        <v>2100000</v>
      </c>
      <c r="O632" s="16">
        <f>PRODUCT(Table_13[[#This Row],[Cost Price]],Table_13[[#This Row],[Quantity]])</f>
        <v>1680000</v>
      </c>
      <c r="P632" s="27">
        <f t="shared" si="22"/>
        <v>420000</v>
      </c>
    </row>
    <row r="633" spans="1:16" x14ac:dyDescent="0.2">
      <c r="A633" s="33">
        <v>46307</v>
      </c>
      <c r="B633" s="30">
        <f t="shared" si="21"/>
        <v>10</v>
      </c>
      <c r="C633" s="30" t="str">
        <f>_xlfn.IFS(Table_13[[#This Row],[Month]]=1,"JAN",Table_13[[#This Row],[Month]]=2,"FEB",B633=3,"MAR",B633=4,"APR",B633=5,"MAY",B633=6,"JUN",B633=7,"JUL",B633=8,"AUG",Table_13[[#This Row],[Month]]=9,"SEPT",B633=10,"OCT",B633=11,"NOV",B633=12,"DEC")</f>
        <v>OCT</v>
      </c>
      <c r="D633" s="2" t="s">
        <v>29</v>
      </c>
      <c r="E633" s="2" t="s">
        <v>12</v>
      </c>
      <c r="F633" s="2" t="s">
        <v>23</v>
      </c>
      <c r="G633" s="2" t="s">
        <v>20</v>
      </c>
      <c r="H633" s="2" t="s">
        <v>36</v>
      </c>
      <c r="I633" s="2" t="s">
        <v>31</v>
      </c>
      <c r="J633" s="15">
        <v>150000</v>
      </c>
      <c r="K633" s="2">
        <v>10</v>
      </c>
      <c r="L633" s="2" t="s">
        <v>17</v>
      </c>
      <c r="M633" s="12">
        <f t="shared" si="18"/>
        <v>120000</v>
      </c>
      <c r="N633" s="10">
        <f>PRODUCT(Table_13[[#This Row],[Unit Price]],Table_13[[#This Row],[Quantity]])</f>
        <v>1500000</v>
      </c>
      <c r="O633" s="16">
        <f>PRODUCT(Table_13[[#This Row],[Cost Price]],Table_13[[#This Row],[Quantity]])</f>
        <v>1200000</v>
      </c>
      <c r="P633" s="27">
        <f t="shared" si="22"/>
        <v>300000</v>
      </c>
    </row>
    <row r="634" spans="1:16" x14ac:dyDescent="0.2">
      <c r="A634" s="33">
        <v>46308</v>
      </c>
      <c r="B634" s="30">
        <f t="shared" si="21"/>
        <v>10</v>
      </c>
      <c r="C634" s="30" t="str">
        <f>_xlfn.IFS(Table_13[[#This Row],[Month]]=1,"JAN",Table_13[[#This Row],[Month]]=2,"FEB",B634=3,"MAR",B634=4,"APR",B634=5,"MAY",B634=6,"JUN",B634=7,"JUL",B634=8,"AUG",Table_13[[#This Row],[Month]]=9,"SEPT",B634=10,"OCT",B634=11,"NOV",B634=12,"DEC")</f>
        <v>OCT</v>
      </c>
      <c r="D634" s="2" t="s">
        <v>25</v>
      </c>
      <c r="E634" s="2" t="s">
        <v>19</v>
      </c>
      <c r="F634" s="2" t="s">
        <v>23</v>
      </c>
      <c r="G634" s="2" t="s">
        <v>14</v>
      </c>
      <c r="H634" s="2" t="s">
        <v>41</v>
      </c>
      <c r="I634" s="2" t="s">
        <v>22</v>
      </c>
      <c r="J634" s="15">
        <v>220000</v>
      </c>
      <c r="K634" s="2">
        <v>9</v>
      </c>
      <c r="L634" s="2" t="s">
        <v>17</v>
      </c>
      <c r="M634" s="12">
        <f t="shared" si="18"/>
        <v>176000</v>
      </c>
      <c r="N634" s="10">
        <f>PRODUCT(Table_13[[#This Row],[Unit Price]],Table_13[[#This Row],[Quantity]])</f>
        <v>1980000</v>
      </c>
      <c r="O634" s="16">
        <f>PRODUCT(Table_13[[#This Row],[Cost Price]],Table_13[[#This Row],[Quantity]])</f>
        <v>1584000</v>
      </c>
      <c r="P634" s="27">
        <f t="shared" si="22"/>
        <v>396000</v>
      </c>
    </row>
    <row r="635" spans="1:16" x14ac:dyDescent="0.2">
      <c r="A635" s="33">
        <v>46309</v>
      </c>
      <c r="B635" s="30">
        <f t="shared" si="21"/>
        <v>10</v>
      </c>
      <c r="C635" s="30" t="str">
        <f>_xlfn.IFS(Table_13[[#This Row],[Month]]=1,"JAN",Table_13[[#This Row],[Month]]=2,"FEB",B635=3,"MAR",B635=4,"APR",B635=5,"MAY",B635=6,"JUN",B635=7,"JUL",B635=8,"AUG",Table_13[[#This Row],[Month]]=9,"SEPT",B635=10,"OCT",B635=11,"NOV",B635=12,"DEC")</f>
        <v>OCT</v>
      </c>
      <c r="D635" s="2" t="s">
        <v>11</v>
      </c>
      <c r="E635" s="2" t="s">
        <v>32</v>
      </c>
      <c r="F635" s="2" t="s">
        <v>23</v>
      </c>
      <c r="G635" s="2" t="s">
        <v>20</v>
      </c>
      <c r="H635" s="2" t="s">
        <v>15</v>
      </c>
      <c r="I635" s="2" t="s">
        <v>16</v>
      </c>
      <c r="J635" s="15">
        <v>85000</v>
      </c>
      <c r="K635" s="2">
        <v>4</v>
      </c>
      <c r="L635" s="2" t="s">
        <v>28</v>
      </c>
      <c r="M635" s="12">
        <f t="shared" si="18"/>
        <v>68000</v>
      </c>
      <c r="N635" s="10">
        <f>PRODUCT(Table_13[[#This Row],[Unit Price]],Table_13[[#This Row],[Quantity]])</f>
        <v>340000</v>
      </c>
      <c r="O635" s="16">
        <f>PRODUCT(Table_13[[#This Row],[Cost Price]],Table_13[[#This Row],[Quantity]])</f>
        <v>272000</v>
      </c>
      <c r="P635" s="27">
        <f t="shared" si="22"/>
        <v>68000</v>
      </c>
    </row>
    <row r="636" spans="1:16" x14ac:dyDescent="0.2">
      <c r="A636" s="33">
        <v>46310</v>
      </c>
      <c r="B636" s="30">
        <f t="shared" si="21"/>
        <v>10</v>
      </c>
      <c r="C636" s="30" t="str">
        <f>_xlfn.IFS(Table_13[[#This Row],[Month]]=1,"JAN",Table_13[[#This Row],[Month]]=2,"FEB",B636=3,"MAR",B636=4,"APR",B636=5,"MAY",B636=6,"JUN",B636=7,"JUL",B636=8,"AUG",Table_13[[#This Row],[Month]]=9,"SEPT",B636=10,"OCT",B636=11,"NOV",B636=12,"DEC")</f>
        <v>OCT</v>
      </c>
      <c r="D636" s="2" t="s">
        <v>25</v>
      </c>
      <c r="E636" s="2" t="s">
        <v>26</v>
      </c>
      <c r="F636" s="2" t="s">
        <v>23</v>
      </c>
      <c r="G636" s="2" t="s">
        <v>14</v>
      </c>
      <c r="H636" s="2" t="s">
        <v>34</v>
      </c>
      <c r="I636" s="2" t="s">
        <v>16</v>
      </c>
      <c r="J636" s="15">
        <v>320000</v>
      </c>
      <c r="K636" s="2">
        <v>1</v>
      </c>
      <c r="L636" s="2" t="s">
        <v>39</v>
      </c>
      <c r="M636" s="12">
        <f t="shared" si="18"/>
        <v>256000</v>
      </c>
      <c r="N636" s="10">
        <f>PRODUCT(Table_13[[#This Row],[Unit Price]],Table_13[[#This Row],[Quantity]])</f>
        <v>320000</v>
      </c>
      <c r="O636" s="16">
        <f>PRODUCT(Table_13[[#This Row],[Cost Price]],Table_13[[#This Row],[Quantity]])</f>
        <v>256000</v>
      </c>
      <c r="P636" s="27">
        <f t="shared" si="22"/>
        <v>64000</v>
      </c>
    </row>
    <row r="637" spans="1:16" x14ac:dyDescent="0.2">
      <c r="A637" s="33">
        <v>46311</v>
      </c>
      <c r="B637" s="30">
        <f t="shared" si="21"/>
        <v>10</v>
      </c>
      <c r="C637" s="30" t="str">
        <f>_xlfn.IFS(Table_13[[#This Row],[Month]]=1,"JAN",Table_13[[#This Row],[Month]]=2,"FEB",B637=3,"MAR",B637=4,"APR",B637=5,"MAY",B637=6,"JUN",B637=7,"JUL",B637=8,"AUG",Table_13[[#This Row],[Month]]=9,"SEPT",B637=10,"OCT",B637=11,"NOV",B637=12,"DEC")</f>
        <v>OCT</v>
      </c>
      <c r="D637" s="2" t="s">
        <v>18</v>
      </c>
      <c r="E637" s="2" t="s">
        <v>32</v>
      </c>
      <c r="F637" s="2" t="s">
        <v>23</v>
      </c>
      <c r="G637" s="2" t="s">
        <v>20</v>
      </c>
      <c r="H637" s="2" t="s">
        <v>38</v>
      </c>
      <c r="I637" s="2" t="s">
        <v>31</v>
      </c>
      <c r="J637" s="15">
        <v>420000</v>
      </c>
      <c r="K637" s="2">
        <v>1</v>
      </c>
      <c r="L637" s="2" t="s">
        <v>35</v>
      </c>
      <c r="M637" s="12">
        <f t="shared" si="18"/>
        <v>336000</v>
      </c>
      <c r="N637" s="10">
        <f>PRODUCT(Table_13[[#This Row],[Unit Price]],Table_13[[#This Row],[Quantity]])</f>
        <v>420000</v>
      </c>
      <c r="O637" s="16">
        <f>PRODUCT(Table_13[[#This Row],[Cost Price]],Table_13[[#This Row],[Quantity]])</f>
        <v>336000</v>
      </c>
      <c r="P637" s="27">
        <f t="shared" si="22"/>
        <v>84000</v>
      </c>
    </row>
    <row r="638" spans="1:16" x14ac:dyDescent="0.2">
      <c r="A638" s="33">
        <v>46312</v>
      </c>
      <c r="B638" s="30">
        <f t="shared" si="21"/>
        <v>10</v>
      </c>
      <c r="C638" s="30" t="str">
        <f>_xlfn.IFS(Table_13[[#This Row],[Month]]=1,"JAN",Table_13[[#This Row],[Month]]=2,"FEB",B638=3,"MAR",B638=4,"APR",B638=5,"MAY",B638=6,"JUN",B638=7,"JUL",B638=8,"AUG",Table_13[[#This Row],[Month]]=9,"SEPT",B638=10,"OCT",B638=11,"NOV",B638=12,"DEC")</f>
        <v>OCT</v>
      </c>
      <c r="D638" s="2" t="s">
        <v>25</v>
      </c>
      <c r="E638" s="2" t="s">
        <v>26</v>
      </c>
      <c r="F638" s="2" t="s">
        <v>23</v>
      </c>
      <c r="G638" s="2" t="s">
        <v>20</v>
      </c>
      <c r="H638" s="2" t="s">
        <v>38</v>
      </c>
      <c r="I638" s="2" t="s">
        <v>31</v>
      </c>
      <c r="J638" s="15">
        <v>420000</v>
      </c>
      <c r="K638" s="2">
        <v>6</v>
      </c>
      <c r="L638" s="2" t="s">
        <v>24</v>
      </c>
      <c r="M638" s="12">
        <f t="shared" si="18"/>
        <v>336000</v>
      </c>
      <c r="N638" s="10">
        <f>PRODUCT(Table_13[[#This Row],[Unit Price]],Table_13[[#This Row],[Quantity]])</f>
        <v>2520000</v>
      </c>
      <c r="O638" s="16">
        <f>PRODUCT(Table_13[[#This Row],[Cost Price]],Table_13[[#This Row],[Quantity]])</f>
        <v>2016000</v>
      </c>
      <c r="P638" s="27">
        <f t="shared" si="22"/>
        <v>504000</v>
      </c>
    </row>
    <row r="639" spans="1:16" x14ac:dyDescent="0.2">
      <c r="A639" s="33">
        <v>46313</v>
      </c>
      <c r="B639" s="30">
        <f t="shared" si="21"/>
        <v>10</v>
      </c>
      <c r="C639" s="30" t="str">
        <f>_xlfn.IFS(Table_13[[#This Row],[Month]]=1,"JAN",Table_13[[#This Row],[Month]]=2,"FEB",B639=3,"MAR",B639=4,"APR",B639=5,"MAY",B639=6,"JUN",B639=7,"JUL",B639=8,"AUG",Table_13[[#This Row],[Month]]=9,"SEPT",B639=10,"OCT",B639=11,"NOV",B639=12,"DEC")</f>
        <v>OCT</v>
      </c>
      <c r="D639" s="2" t="s">
        <v>29</v>
      </c>
      <c r="E639" s="2" t="s">
        <v>19</v>
      </c>
      <c r="F639" s="2" t="s">
        <v>23</v>
      </c>
      <c r="G639" s="2" t="s">
        <v>14</v>
      </c>
      <c r="H639" s="2" t="s">
        <v>27</v>
      </c>
      <c r="I639" s="2" t="s">
        <v>22</v>
      </c>
      <c r="J639" s="15">
        <v>60000</v>
      </c>
      <c r="K639" s="2">
        <v>8</v>
      </c>
      <c r="L639" s="2" t="s">
        <v>37</v>
      </c>
      <c r="M639" s="12">
        <f t="shared" si="18"/>
        <v>48000</v>
      </c>
      <c r="N639" s="10">
        <f>PRODUCT(Table_13[[#This Row],[Unit Price]],Table_13[[#This Row],[Quantity]])</f>
        <v>480000</v>
      </c>
      <c r="O639" s="16">
        <f>PRODUCT(Table_13[[#This Row],[Cost Price]],Table_13[[#This Row],[Quantity]])</f>
        <v>384000</v>
      </c>
      <c r="P639" s="27">
        <f t="shared" si="22"/>
        <v>96000</v>
      </c>
    </row>
    <row r="640" spans="1:16" x14ac:dyDescent="0.2">
      <c r="A640" s="33">
        <v>46314</v>
      </c>
      <c r="B640" s="30">
        <f t="shared" si="21"/>
        <v>10</v>
      </c>
      <c r="C640" s="30" t="str">
        <f>_xlfn.IFS(Table_13[[#This Row],[Month]]=1,"JAN",Table_13[[#This Row],[Month]]=2,"FEB",B640=3,"MAR",B640=4,"APR",B640=5,"MAY",B640=6,"JUN",B640=7,"JUL",B640=8,"AUG",Table_13[[#This Row],[Month]]=9,"SEPT",B640=10,"OCT",B640=11,"NOV",B640=12,"DEC")</f>
        <v>OCT</v>
      </c>
      <c r="D640" s="2" t="s">
        <v>18</v>
      </c>
      <c r="E640" s="2" t="s">
        <v>12</v>
      </c>
      <c r="F640" s="2" t="s">
        <v>23</v>
      </c>
      <c r="G640" s="2" t="s">
        <v>20</v>
      </c>
      <c r="H640" s="2" t="s">
        <v>41</v>
      </c>
      <c r="I640" s="2" t="s">
        <v>22</v>
      </c>
      <c r="J640" s="15">
        <v>220000</v>
      </c>
      <c r="K640" s="2">
        <v>7</v>
      </c>
      <c r="L640" s="2" t="s">
        <v>17</v>
      </c>
      <c r="M640" s="12">
        <f t="shared" si="18"/>
        <v>176000</v>
      </c>
      <c r="N640" s="10">
        <f>PRODUCT(Table_13[[#This Row],[Unit Price]],Table_13[[#This Row],[Quantity]])</f>
        <v>1540000</v>
      </c>
      <c r="O640" s="16">
        <f>PRODUCT(Table_13[[#This Row],[Cost Price]],Table_13[[#This Row],[Quantity]])</f>
        <v>1232000</v>
      </c>
      <c r="P640" s="27">
        <f t="shared" si="22"/>
        <v>308000</v>
      </c>
    </row>
    <row r="641" spans="1:16" x14ac:dyDescent="0.2">
      <c r="A641" s="33">
        <v>46315</v>
      </c>
      <c r="B641" s="30">
        <f t="shared" si="21"/>
        <v>10</v>
      </c>
      <c r="C641" s="30" t="str">
        <f>_xlfn.IFS(Table_13[[#This Row],[Month]]=1,"JAN",Table_13[[#This Row],[Month]]=2,"FEB",B641=3,"MAR",B641=4,"APR",B641=5,"MAY",B641=6,"JUN",B641=7,"JUL",B641=8,"AUG",Table_13[[#This Row],[Month]]=9,"SEPT",B641=10,"OCT",B641=11,"NOV",B641=12,"DEC")</f>
        <v>OCT</v>
      </c>
      <c r="D641" s="2" t="s">
        <v>25</v>
      </c>
      <c r="E641" s="2" t="s">
        <v>12</v>
      </c>
      <c r="F641" s="2" t="s">
        <v>23</v>
      </c>
      <c r="G641" s="2" t="s">
        <v>14</v>
      </c>
      <c r="H641" s="2" t="s">
        <v>34</v>
      </c>
      <c r="I641" s="2" t="s">
        <v>16</v>
      </c>
      <c r="J641" s="15">
        <v>320000</v>
      </c>
      <c r="K641" s="2">
        <v>9</v>
      </c>
      <c r="L641" s="2" t="s">
        <v>35</v>
      </c>
      <c r="M641" s="12">
        <f t="shared" si="18"/>
        <v>256000</v>
      </c>
      <c r="N641" s="10">
        <f>PRODUCT(Table_13[[#This Row],[Unit Price]],Table_13[[#This Row],[Quantity]])</f>
        <v>2880000</v>
      </c>
      <c r="O641" s="16">
        <f>PRODUCT(Table_13[[#This Row],[Cost Price]],Table_13[[#This Row],[Quantity]])</f>
        <v>2304000</v>
      </c>
      <c r="P641" s="27">
        <f t="shared" si="22"/>
        <v>576000</v>
      </c>
    </row>
    <row r="642" spans="1:16" x14ac:dyDescent="0.2">
      <c r="A642" s="33">
        <v>46316</v>
      </c>
      <c r="B642" s="30">
        <f t="shared" ref="B642:B705" si="23">MONTH(A642)</f>
        <v>10</v>
      </c>
      <c r="C642" s="30" t="str">
        <f>_xlfn.IFS(Table_13[[#This Row],[Month]]=1,"JAN",Table_13[[#This Row],[Month]]=2,"FEB",B642=3,"MAR",B642=4,"APR",B642=5,"MAY",B642=6,"JUN",B642=7,"JUL",B642=8,"AUG",Table_13[[#This Row],[Month]]=9,"SEPT",B642=10,"OCT",B642=11,"NOV",B642=12,"DEC")</f>
        <v>OCT</v>
      </c>
      <c r="D642" s="2" t="s">
        <v>11</v>
      </c>
      <c r="E642" s="2" t="s">
        <v>32</v>
      </c>
      <c r="F642" s="2" t="s">
        <v>23</v>
      </c>
      <c r="G642" s="2" t="s">
        <v>20</v>
      </c>
      <c r="H642" s="2" t="s">
        <v>30</v>
      </c>
      <c r="I642" s="2" t="s">
        <v>31</v>
      </c>
      <c r="J642" s="15">
        <v>300000</v>
      </c>
      <c r="K642" s="2">
        <v>2</v>
      </c>
      <c r="L642" s="2" t="s">
        <v>37</v>
      </c>
      <c r="M642" s="12">
        <f t="shared" si="18"/>
        <v>240000</v>
      </c>
      <c r="N642" s="10">
        <f>PRODUCT(Table_13[[#This Row],[Unit Price]],Table_13[[#This Row],[Quantity]])</f>
        <v>600000</v>
      </c>
      <c r="O642" s="16">
        <f>PRODUCT(Table_13[[#This Row],[Cost Price]],Table_13[[#This Row],[Quantity]])</f>
        <v>480000</v>
      </c>
      <c r="P642" s="27">
        <f t="shared" ref="P642:P705" si="24">N642-O642</f>
        <v>120000</v>
      </c>
    </row>
    <row r="643" spans="1:16" x14ac:dyDescent="0.2">
      <c r="A643" s="33">
        <v>46317</v>
      </c>
      <c r="B643" s="30">
        <f t="shared" si="23"/>
        <v>10</v>
      </c>
      <c r="C643" s="30" t="str">
        <f>_xlfn.IFS(Table_13[[#This Row],[Month]]=1,"JAN",Table_13[[#This Row],[Month]]=2,"FEB",B643=3,"MAR",B643=4,"APR",B643=5,"MAY",B643=6,"JUN",B643=7,"JUL",B643=8,"AUG",Table_13[[#This Row],[Month]]=9,"SEPT",B643=10,"OCT",B643=11,"NOV",B643=12,"DEC")</f>
        <v>OCT</v>
      </c>
      <c r="D643" s="2" t="s">
        <v>25</v>
      </c>
      <c r="E643" s="2" t="s">
        <v>12</v>
      </c>
      <c r="F643" s="2" t="s">
        <v>23</v>
      </c>
      <c r="G643" s="2" t="s">
        <v>14</v>
      </c>
      <c r="H643" s="2" t="s">
        <v>40</v>
      </c>
      <c r="I643" s="2" t="s">
        <v>31</v>
      </c>
      <c r="J643" s="15">
        <v>250000</v>
      </c>
      <c r="K643" s="2">
        <v>4</v>
      </c>
      <c r="L643" s="2" t="s">
        <v>37</v>
      </c>
      <c r="M643" s="12">
        <f t="shared" si="18"/>
        <v>200000</v>
      </c>
      <c r="N643" s="10">
        <f>PRODUCT(Table_13[[#This Row],[Unit Price]],Table_13[[#This Row],[Quantity]])</f>
        <v>1000000</v>
      </c>
      <c r="O643" s="16">
        <f>PRODUCT(Table_13[[#This Row],[Cost Price]],Table_13[[#This Row],[Quantity]])</f>
        <v>800000</v>
      </c>
      <c r="P643" s="27">
        <f t="shared" si="24"/>
        <v>200000</v>
      </c>
    </row>
    <row r="644" spans="1:16" x14ac:dyDescent="0.2">
      <c r="A644" s="33">
        <v>46318</v>
      </c>
      <c r="B644" s="30">
        <f t="shared" si="23"/>
        <v>10</v>
      </c>
      <c r="C644" s="30" t="str">
        <f>_xlfn.IFS(Table_13[[#This Row],[Month]]=1,"JAN",Table_13[[#This Row],[Month]]=2,"FEB",B644=3,"MAR",B644=4,"APR",B644=5,"MAY",B644=6,"JUN",B644=7,"JUL",B644=8,"AUG",Table_13[[#This Row],[Month]]=9,"SEPT",B644=10,"OCT",B644=11,"NOV",B644=12,"DEC")</f>
        <v>OCT</v>
      </c>
      <c r="D644" s="2" t="s">
        <v>29</v>
      </c>
      <c r="E644" s="2" t="s">
        <v>19</v>
      </c>
      <c r="F644" s="2" t="s">
        <v>13</v>
      </c>
      <c r="G644" s="2" t="s">
        <v>14</v>
      </c>
      <c r="H644" s="2" t="s">
        <v>21</v>
      </c>
      <c r="I644" s="2" t="s">
        <v>22</v>
      </c>
      <c r="J644" s="15">
        <v>30000</v>
      </c>
      <c r="K644" s="2">
        <v>4</v>
      </c>
      <c r="L644" s="2" t="s">
        <v>37</v>
      </c>
      <c r="M644" s="12">
        <f t="shared" si="18"/>
        <v>24000</v>
      </c>
      <c r="N644" s="10">
        <f>PRODUCT(Table_13[[#This Row],[Unit Price]],Table_13[[#This Row],[Quantity]])</f>
        <v>120000</v>
      </c>
      <c r="O644" s="16">
        <f>PRODUCT(Table_13[[#This Row],[Cost Price]],Table_13[[#This Row],[Quantity]])</f>
        <v>96000</v>
      </c>
      <c r="P644" s="27">
        <f t="shared" si="24"/>
        <v>24000</v>
      </c>
    </row>
    <row r="645" spans="1:16" x14ac:dyDescent="0.2">
      <c r="A645" s="33">
        <v>46319</v>
      </c>
      <c r="B645" s="30">
        <f t="shared" si="23"/>
        <v>10</v>
      </c>
      <c r="C645" s="30" t="str">
        <f>_xlfn.IFS(Table_13[[#This Row],[Month]]=1,"JAN",Table_13[[#This Row],[Month]]=2,"FEB",B645=3,"MAR",B645=4,"APR",B645=5,"MAY",B645=6,"JUN",B645=7,"JUL",B645=8,"AUG",Table_13[[#This Row],[Month]]=9,"SEPT",B645=10,"OCT",B645=11,"NOV",B645=12,"DEC")</f>
        <v>OCT</v>
      </c>
      <c r="D645" s="2" t="s">
        <v>11</v>
      </c>
      <c r="E645" s="2" t="s">
        <v>19</v>
      </c>
      <c r="F645" s="2" t="s">
        <v>13</v>
      </c>
      <c r="G645" s="2" t="s">
        <v>20</v>
      </c>
      <c r="H645" s="2" t="s">
        <v>41</v>
      </c>
      <c r="I645" s="2" t="s">
        <v>22</v>
      </c>
      <c r="J645" s="15">
        <v>220000</v>
      </c>
      <c r="K645" s="2">
        <v>4</v>
      </c>
      <c r="L645" s="2" t="s">
        <v>17</v>
      </c>
      <c r="M645" s="12">
        <f t="shared" si="18"/>
        <v>176000</v>
      </c>
      <c r="N645" s="10">
        <f>PRODUCT(Table_13[[#This Row],[Unit Price]],Table_13[[#This Row],[Quantity]])</f>
        <v>880000</v>
      </c>
      <c r="O645" s="16">
        <f>PRODUCT(Table_13[[#This Row],[Cost Price]],Table_13[[#This Row],[Quantity]])</f>
        <v>704000</v>
      </c>
      <c r="P645" s="27">
        <f t="shared" si="24"/>
        <v>176000</v>
      </c>
    </row>
    <row r="646" spans="1:16" x14ac:dyDescent="0.2">
      <c r="A646" s="33">
        <v>46320</v>
      </c>
      <c r="B646" s="30">
        <f t="shared" si="23"/>
        <v>10</v>
      </c>
      <c r="C646" s="30" t="str">
        <f>_xlfn.IFS(Table_13[[#This Row],[Month]]=1,"JAN",Table_13[[#This Row],[Month]]=2,"FEB",B646=3,"MAR",B646=4,"APR",B646=5,"MAY",B646=6,"JUN",B646=7,"JUL",B646=8,"AUG",Table_13[[#This Row],[Month]]=9,"SEPT",B646=10,"OCT",B646=11,"NOV",B646=12,"DEC")</f>
        <v>OCT</v>
      </c>
      <c r="D646" s="2" t="s">
        <v>29</v>
      </c>
      <c r="E646" s="2" t="s">
        <v>32</v>
      </c>
      <c r="F646" s="2" t="s">
        <v>13</v>
      </c>
      <c r="G646" s="2" t="s">
        <v>20</v>
      </c>
      <c r="H646" s="2" t="s">
        <v>30</v>
      </c>
      <c r="I646" s="2" t="s">
        <v>31</v>
      </c>
      <c r="J646" s="15">
        <v>300000</v>
      </c>
      <c r="K646" s="2">
        <v>2</v>
      </c>
      <c r="L646" s="2" t="s">
        <v>37</v>
      </c>
      <c r="M646" s="12">
        <f t="shared" si="18"/>
        <v>240000</v>
      </c>
      <c r="N646" s="10">
        <f>PRODUCT(Table_13[[#This Row],[Unit Price]],Table_13[[#This Row],[Quantity]])</f>
        <v>600000</v>
      </c>
      <c r="O646" s="16">
        <f>PRODUCT(Table_13[[#This Row],[Cost Price]],Table_13[[#This Row],[Quantity]])</f>
        <v>480000</v>
      </c>
      <c r="P646" s="27">
        <f t="shared" si="24"/>
        <v>120000</v>
      </c>
    </row>
    <row r="647" spans="1:16" x14ac:dyDescent="0.2">
      <c r="A647" s="33">
        <v>46321</v>
      </c>
      <c r="B647" s="30">
        <f t="shared" si="23"/>
        <v>10</v>
      </c>
      <c r="C647" s="30" t="str">
        <f>_xlfn.IFS(Table_13[[#This Row],[Month]]=1,"JAN",Table_13[[#This Row],[Month]]=2,"FEB",B647=3,"MAR",B647=4,"APR",B647=5,"MAY",B647=6,"JUN",B647=7,"JUL",B647=8,"AUG",Table_13[[#This Row],[Month]]=9,"SEPT",B647=10,"OCT",B647=11,"NOV",B647=12,"DEC")</f>
        <v>OCT</v>
      </c>
      <c r="D647" s="2" t="s">
        <v>25</v>
      </c>
      <c r="E647" s="2" t="s">
        <v>19</v>
      </c>
      <c r="F647" s="2" t="s">
        <v>13</v>
      </c>
      <c r="G647" s="2" t="s">
        <v>14</v>
      </c>
      <c r="H647" s="2" t="s">
        <v>34</v>
      </c>
      <c r="I647" s="2" t="s">
        <v>16</v>
      </c>
      <c r="J647" s="15">
        <v>320000</v>
      </c>
      <c r="K647" s="2">
        <v>7</v>
      </c>
      <c r="L647" s="2" t="s">
        <v>24</v>
      </c>
      <c r="M647" s="12">
        <f t="shared" si="18"/>
        <v>256000</v>
      </c>
      <c r="N647" s="10">
        <f>PRODUCT(Table_13[[#This Row],[Unit Price]],Table_13[[#This Row],[Quantity]])</f>
        <v>2240000</v>
      </c>
      <c r="O647" s="16">
        <f>PRODUCT(Table_13[[#This Row],[Cost Price]],Table_13[[#This Row],[Quantity]])</f>
        <v>1792000</v>
      </c>
      <c r="P647" s="27">
        <f t="shared" si="24"/>
        <v>448000</v>
      </c>
    </row>
    <row r="648" spans="1:16" x14ac:dyDescent="0.2">
      <c r="A648" s="33">
        <v>46322</v>
      </c>
      <c r="B648" s="30">
        <f t="shared" si="23"/>
        <v>10</v>
      </c>
      <c r="C648" s="30" t="str">
        <f>_xlfn.IFS(Table_13[[#This Row],[Month]]=1,"JAN",Table_13[[#This Row],[Month]]=2,"FEB",B648=3,"MAR",B648=4,"APR",B648=5,"MAY",B648=6,"JUN",B648=7,"JUL",B648=8,"AUG",Table_13[[#This Row],[Month]]=9,"SEPT",B648=10,"OCT",B648=11,"NOV",B648=12,"DEC")</f>
        <v>OCT</v>
      </c>
      <c r="D648" s="2" t="s">
        <v>18</v>
      </c>
      <c r="E648" s="2" t="s">
        <v>32</v>
      </c>
      <c r="F648" s="2" t="s">
        <v>23</v>
      </c>
      <c r="G648" s="2" t="s">
        <v>14</v>
      </c>
      <c r="H648" s="2" t="s">
        <v>27</v>
      </c>
      <c r="I648" s="2" t="s">
        <v>22</v>
      </c>
      <c r="J648" s="15">
        <v>60000</v>
      </c>
      <c r="K648" s="2">
        <v>5</v>
      </c>
      <c r="L648" s="2" t="s">
        <v>28</v>
      </c>
      <c r="M648" s="12">
        <f t="shared" si="18"/>
        <v>48000</v>
      </c>
      <c r="N648" s="10">
        <f>PRODUCT(Table_13[[#This Row],[Unit Price]],Table_13[[#This Row],[Quantity]])</f>
        <v>300000</v>
      </c>
      <c r="O648" s="16">
        <f>PRODUCT(Table_13[[#This Row],[Cost Price]],Table_13[[#This Row],[Quantity]])</f>
        <v>240000</v>
      </c>
      <c r="P648" s="27">
        <f t="shared" si="24"/>
        <v>60000</v>
      </c>
    </row>
    <row r="649" spans="1:16" x14ac:dyDescent="0.2">
      <c r="A649" s="33">
        <v>46323</v>
      </c>
      <c r="B649" s="30">
        <f t="shared" si="23"/>
        <v>10</v>
      </c>
      <c r="C649" s="30" t="str">
        <f>_xlfn.IFS(Table_13[[#This Row],[Month]]=1,"JAN",Table_13[[#This Row],[Month]]=2,"FEB",B649=3,"MAR",B649=4,"APR",B649=5,"MAY",B649=6,"JUN",B649=7,"JUL",B649=8,"AUG",Table_13[[#This Row],[Month]]=9,"SEPT",B649=10,"OCT",B649=11,"NOV",B649=12,"DEC")</f>
        <v>OCT</v>
      </c>
      <c r="D649" s="2" t="s">
        <v>25</v>
      </c>
      <c r="E649" s="2" t="s">
        <v>26</v>
      </c>
      <c r="F649" s="2" t="s">
        <v>13</v>
      </c>
      <c r="G649" s="2" t="s">
        <v>14</v>
      </c>
      <c r="H649" s="2" t="s">
        <v>15</v>
      </c>
      <c r="I649" s="2" t="s">
        <v>16</v>
      </c>
      <c r="J649" s="15">
        <v>85000</v>
      </c>
      <c r="K649" s="2">
        <v>7</v>
      </c>
      <c r="L649" s="2" t="s">
        <v>35</v>
      </c>
      <c r="M649" s="12">
        <f t="shared" si="18"/>
        <v>68000</v>
      </c>
      <c r="N649" s="10">
        <f>PRODUCT(Table_13[[#This Row],[Unit Price]],Table_13[[#This Row],[Quantity]])</f>
        <v>595000</v>
      </c>
      <c r="O649" s="16">
        <f>PRODUCT(Table_13[[#This Row],[Cost Price]],Table_13[[#This Row],[Quantity]])</f>
        <v>476000</v>
      </c>
      <c r="P649" s="27">
        <f t="shared" si="24"/>
        <v>119000</v>
      </c>
    </row>
    <row r="650" spans="1:16" x14ac:dyDescent="0.2">
      <c r="A650" s="33">
        <v>46324</v>
      </c>
      <c r="B650" s="30">
        <f t="shared" si="23"/>
        <v>10</v>
      </c>
      <c r="C650" s="30" t="str">
        <f>_xlfn.IFS(Table_13[[#This Row],[Month]]=1,"JAN",Table_13[[#This Row],[Month]]=2,"FEB",B650=3,"MAR",B650=4,"APR",B650=5,"MAY",B650=6,"JUN",B650=7,"JUL",B650=8,"AUG",Table_13[[#This Row],[Month]]=9,"SEPT",B650=10,"OCT",B650=11,"NOV",B650=12,"DEC")</f>
        <v>OCT</v>
      </c>
      <c r="D650" s="2" t="s">
        <v>11</v>
      </c>
      <c r="E650" s="2" t="s">
        <v>19</v>
      </c>
      <c r="F650" s="2" t="s">
        <v>13</v>
      </c>
      <c r="G650" s="2" t="s">
        <v>20</v>
      </c>
      <c r="H650" s="2" t="s">
        <v>30</v>
      </c>
      <c r="I650" s="2" t="s">
        <v>31</v>
      </c>
      <c r="J650" s="15">
        <v>300000</v>
      </c>
      <c r="K650" s="2">
        <v>6</v>
      </c>
      <c r="L650" s="2" t="s">
        <v>39</v>
      </c>
      <c r="M650" s="12">
        <f t="shared" si="18"/>
        <v>240000</v>
      </c>
      <c r="N650" s="10">
        <f>PRODUCT(Table_13[[#This Row],[Unit Price]],Table_13[[#This Row],[Quantity]])</f>
        <v>1800000</v>
      </c>
      <c r="O650" s="16">
        <f>PRODUCT(Table_13[[#This Row],[Cost Price]],Table_13[[#This Row],[Quantity]])</f>
        <v>1440000</v>
      </c>
      <c r="P650" s="27">
        <f t="shared" si="24"/>
        <v>360000</v>
      </c>
    </row>
    <row r="651" spans="1:16" x14ac:dyDescent="0.2">
      <c r="A651" s="33">
        <v>46325</v>
      </c>
      <c r="B651" s="30">
        <f t="shared" si="23"/>
        <v>10</v>
      </c>
      <c r="C651" s="30" t="str">
        <f>_xlfn.IFS(Table_13[[#This Row],[Month]]=1,"JAN",Table_13[[#This Row],[Month]]=2,"FEB",B651=3,"MAR",B651=4,"APR",B651=5,"MAY",B651=6,"JUN",B651=7,"JUL",B651=8,"AUG",Table_13[[#This Row],[Month]]=9,"SEPT",B651=10,"OCT",B651=11,"NOV",B651=12,"DEC")</f>
        <v>OCT</v>
      </c>
      <c r="D651" s="2" t="s">
        <v>18</v>
      </c>
      <c r="E651" s="2" t="s">
        <v>26</v>
      </c>
      <c r="F651" s="2" t="s">
        <v>23</v>
      </c>
      <c r="G651" s="2" t="s">
        <v>14</v>
      </c>
      <c r="H651" s="2" t="s">
        <v>33</v>
      </c>
      <c r="I651" s="2" t="s">
        <v>22</v>
      </c>
      <c r="J651" s="15">
        <v>180000</v>
      </c>
      <c r="K651" s="2">
        <v>5</v>
      </c>
      <c r="L651" s="2" t="s">
        <v>28</v>
      </c>
      <c r="M651" s="12">
        <f t="shared" si="18"/>
        <v>144000</v>
      </c>
      <c r="N651" s="10">
        <f>PRODUCT(Table_13[[#This Row],[Unit Price]],Table_13[[#This Row],[Quantity]])</f>
        <v>900000</v>
      </c>
      <c r="O651" s="16">
        <f>PRODUCT(Table_13[[#This Row],[Cost Price]],Table_13[[#This Row],[Quantity]])</f>
        <v>720000</v>
      </c>
      <c r="P651" s="27">
        <f t="shared" si="24"/>
        <v>180000</v>
      </c>
    </row>
    <row r="652" spans="1:16" x14ac:dyDescent="0.2">
      <c r="A652" s="33">
        <v>46326</v>
      </c>
      <c r="B652" s="30">
        <f t="shared" si="23"/>
        <v>10</v>
      </c>
      <c r="C652" s="30" t="str">
        <f>_xlfn.IFS(Table_13[[#This Row],[Month]]=1,"JAN",Table_13[[#This Row],[Month]]=2,"FEB",B652=3,"MAR",B652=4,"APR",B652=5,"MAY",B652=6,"JUN",B652=7,"JUL",B652=8,"AUG",Table_13[[#This Row],[Month]]=9,"SEPT",B652=10,"OCT",B652=11,"NOV",B652=12,"DEC")</f>
        <v>OCT</v>
      </c>
      <c r="D652" s="2" t="s">
        <v>18</v>
      </c>
      <c r="E652" s="2" t="s">
        <v>19</v>
      </c>
      <c r="F652" s="2" t="s">
        <v>23</v>
      </c>
      <c r="G652" s="2" t="s">
        <v>20</v>
      </c>
      <c r="H652" s="2" t="s">
        <v>30</v>
      </c>
      <c r="I652" s="2" t="s">
        <v>31</v>
      </c>
      <c r="J652" s="15">
        <v>300000</v>
      </c>
      <c r="K652" s="2">
        <v>1</v>
      </c>
      <c r="L652" s="2" t="s">
        <v>37</v>
      </c>
      <c r="M652" s="12">
        <f t="shared" si="18"/>
        <v>240000</v>
      </c>
      <c r="N652" s="10">
        <f>PRODUCT(Table_13[[#This Row],[Unit Price]],Table_13[[#This Row],[Quantity]])</f>
        <v>300000</v>
      </c>
      <c r="O652" s="16">
        <f>PRODUCT(Table_13[[#This Row],[Cost Price]],Table_13[[#This Row],[Quantity]])</f>
        <v>240000</v>
      </c>
      <c r="P652" s="27">
        <f t="shared" si="24"/>
        <v>60000</v>
      </c>
    </row>
    <row r="653" spans="1:16" x14ac:dyDescent="0.2">
      <c r="A653" s="33">
        <v>46327</v>
      </c>
      <c r="B653" s="30">
        <f t="shared" si="23"/>
        <v>11</v>
      </c>
      <c r="C653" s="30" t="str">
        <f>_xlfn.IFS(Table_13[[#This Row],[Month]]=1,"JAN",Table_13[[#This Row],[Month]]=2,"FEB",B653=3,"MAR",B653=4,"APR",B653=5,"MAY",B653=6,"JUN",B653=7,"JUL",B653=8,"AUG",Table_13[[#This Row],[Month]]=9,"SEPT",B653=10,"OCT",B653=11,"NOV",B653=12,"DEC")</f>
        <v>NOV</v>
      </c>
      <c r="D653" s="2" t="s">
        <v>11</v>
      </c>
      <c r="E653" s="2" t="s">
        <v>12</v>
      </c>
      <c r="F653" s="2" t="s">
        <v>13</v>
      </c>
      <c r="G653" s="2" t="s">
        <v>20</v>
      </c>
      <c r="H653" s="2" t="s">
        <v>27</v>
      </c>
      <c r="I653" s="2" t="s">
        <v>22</v>
      </c>
      <c r="J653" s="15">
        <v>60000</v>
      </c>
      <c r="K653" s="2">
        <v>7</v>
      </c>
      <c r="L653" s="2" t="s">
        <v>24</v>
      </c>
      <c r="M653" s="12">
        <f t="shared" si="18"/>
        <v>48000</v>
      </c>
      <c r="N653" s="10">
        <f>PRODUCT(Table_13[[#This Row],[Unit Price]],Table_13[[#This Row],[Quantity]])</f>
        <v>420000</v>
      </c>
      <c r="O653" s="16">
        <f>PRODUCT(Table_13[[#This Row],[Cost Price]],Table_13[[#This Row],[Quantity]])</f>
        <v>336000</v>
      </c>
      <c r="P653" s="27">
        <f t="shared" si="24"/>
        <v>84000</v>
      </c>
    </row>
    <row r="654" spans="1:16" x14ac:dyDescent="0.2">
      <c r="A654" s="33">
        <v>46328</v>
      </c>
      <c r="B654" s="30">
        <f t="shared" si="23"/>
        <v>11</v>
      </c>
      <c r="C654" s="30" t="str">
        <f>_xlfn.IFS(Table_13[[#This Row],[Month]]=1,"JAN",Table_13[[#This Row],[Month]]=2,"FEB",B654=3,"MAR",B654=4,"APR",B654=5,"MAY",B654=6,"JUN",B654=7,"JUL",B654=8,"AUG",Table_13[[#This Row],[Month]]=9,"SEPT",B654=10,"OCT",B654=11,"NOV",B654=12,"DEC")</f>
        <v>NOV</v>
      </c>
      <c r="D654" s="2" t="s">
        <v>25</v>
      </c>
      <c r="E654" s="2" t="s">
        <v>26</v>
      </c>
      <c r="F654" s="2" t="s">
        <v>13</v>
      </c>
      <c r="G654" s="2" t="s">
        <v>14</v>
      </c>
      <c r="H654" s="2" t="s">
        <v>21</v>
      </c>
      <c r="I654" s="2" t="s">
        <v>22</v>
      </c>
      <c r="J654" s="15">
        <v>30000</v>
      </c>
      <c r="K654" s="2">
        <v>8</v>
      </c>
      <c r="L654" s="2" t="s">
        <v>28</v>
      </c>
      <c r="M654" s="12">
        <f t="shared" si="18"/>
        <v>24000</v>
      </c>
      <c r="N654" s="10">
        <f>PRODUCT(Table_13[[#This Row],[Unit Price]],Table_13[[#This Row],[Quantity]])</f>
        <v>240000</v>
      </c>
      <c r="O654" s="16">
        <f>PRODUCT(Table_13[[#This Row],[Cost Price]],Table_13[[#This Row],[Quantity]])</f>
        <v>192000</v>
      </c>
      <c r="P654" s="27">
        <f t="shared" si="24"/>
        <v>48000</v>
      </c>
    </row>
    <row r="655" spans="1:16" x14ac:dyDescent="0.2">
      <c r="A655" s="33">
        <v>46329</v>
      </c>
      <c r="B655" s="30">
        <f t="shared" si="23"/>
        <v>11</v>
      </c>
      <c r="C655" s="30" t="str">
        <f>_xlfn.IFS(Table_13[[#This Row],[Month]]=1,"JAN",Table_13[[#This Row],[Month]]=2,"FEB",B655=3,"MAR",B655=4,"APR",B655=5,"MAY",B655=6,"JUN",B655=7,"JUL",B655=8,"AUG",Table_13[[#This Row],[Month]]=9,"SEPT",B655=10,"OCT",B655=11,"NOV",B655=12,"DEC")</f>
        <v>NOV</v>
      </c>
      <c r="D655" s="2" t="s">
        <v>11</v>
      </c>
      <c r="E655" s="2" t="s">
        <v>19</v>
      </c>
      <c r="F655" s="2" t="s">
        <v>23</v>
      </c>
      <c r="G655" s="2" t="s">
        <v>14</v>
      </c>
      <c r="H655" s="2" t="s">
        <v>41</v>
      </c>
      <c r="I655" s="2" t="s">
        <v>22</v>
      </c>
      <c r="J655" s="15">
        <v>220000</v>
      </c>
      <c r="K655" s="2">
        <v>3</v>
      </c>
      <c r="L655" s="2" t="s">
        <v>35</v>
      </c>
      <c r="M655" s="12">
        <f t="shared" si="18"/>
        <v>176000</v>
      </c>
      <c r="N655" s="10">
        <f>PRODUCT(Table_13[[#This Row],[Unit Price]],Table_13[[#This Row],[Quantity]])</f>
        <v>660000</v>
      </c>
      <c r="O655" s="16">
        <f>PRODUCT(Table_13[[#This Row],[Cost Price]],Table_13[[#This Row],[Quantity]])</f>
        <v>528000</v>
      </c>
      <c r="P655" s="27">
        <f t="shared" si="24"/>
        <v>132000</v>
      </c>
    </row>
    <row r="656" spans="1:16" x14ac:dyDescent="0.2">
      <c r="A656" s="33">
        <v>46330</v>
      </c>
      <c r="B656" s="30">
        <f t="shared" si="23"/>
        <v>11</v>
      </c>
      <c r="C656" s="30" t="str">
        <f>_xlfn.IFS(Table_13[[#This Row],[Month]]=1,"JAN",Table_13[[#This Row],[Month]]=2,"FEB",B656=3,"MAR",B656=4,"APR",B656=5,"MAY",B656=6,"JUN",B656=7,"JUL",B656=8,"AUG",Table_13[[#This Row],[Month]]=9,"SEPT",B656=10,"OCT",B656=11,"NOV",B656=12,"DEC")</f>
        <v>NOV</v>
      </c>
      <c r="D656" s="2" t="s">
        <v>25</v>
      </c>
      <c r="E656" s="2" t="s">
        <v>19</v>
      </c>
      <c r="F656" s="2" t="s">
        <v>23</v>
      </c>
      <c r="G656" s="2" t="s">
        <v>14</v>
      </c>
      <c r="H656" s="2" t="s">
        <v>41</v>
      </c>
      <c r="I656" s="2" t="s">
        <v>22</v>
      </c>
      <c r="J656" s="15">
        <v>220000</v>
      </c>
      <c r="K656" s="2">
        <v>7</v>
      </c>
      <c r="L656" s="2" t="s">
        <v>35</v>
      </c>
      <c r="M656" s="12">
        <f t="shared" si="18"/>
        <v>176000</v>
      </c>
      <c r="N656" s="10">
        <f>PRODUCT(Table_13[[#This Row],[Unit Price]],Table_13[[#This Row],[Quantity]])</f>
        <v>1540000</v>
      </c>
      <c r="O656" s="16">
        <f>PRODUCT(Table_13[[#This Row],[Cost Price]],Table_13[[#This Row],[Quantity]])</f>
        <v>1232000</v>
      </c>
      <c r="P656" s="27">
        <f t="shared" si="24"/>
        <v>308000</v>
      </c>
    </row>
    <row r="657" spans="1:16" x14ac:dyDescent="0.2">
      <c r="A657" s="33">
        <v>46331</v>
      </c>
      <c r="B657" s="30">
        <f t="shared" si="23"/>
        <v>11</v>
      </c>
      <c r="C657" s="30" t="str">
        <f>_xlfn.IFS(Table_13[[#This Row],[Month]]=1,"JAN",Table_13[[#This Row],[Month]]=2,"FEB",B657=3,"MAR",B657=4,"APR",B657=5,"MAY",B657=6,"JUN",B657=7,"JUL",B657=8,"AUG",Table_13[[#This Row],[Month]]=9,"SEPT",B657=10,"OCT",B657=11,"NOV",B657=12,"DEC")</f>
        <v>NOV</v>
      </c>
      <c r="D657" s="2" t="s">
        <v>29</v>
      </c>
      <c r="E657" s="2" t="s">
        <v>12</v>
      </c>
      <c r="F657" s="2" t="s">
        <v>13</v>
      </c>
      <c r="G657" s="2" t="s">
        <v>20</v>
      </c>
      <c r="H657" s="2" t="s">
        <v>33</v>
      </c>
      <c r="I657" s="2" t="s">
        <v>22</v>
      </c>
      <c r="J657" s="15">
        <v>180000</v>
      </c>
      <c r="K657" s="2">
        <v>2</v>
      </c>
      <c r="L657" s="2" t="s">
        <v>24</v>
      </c>
      <c r="M657" s="12">
        <f t="shared" si="18"/>
        <v>144000</v>
      </c>
      <c r="N657" s="10">
        <f>PRODUCT(Table_13[[#This Row],[Unit Price]],Table_13[[#This Row],[Quantity]])</f>
        <v>360000</v>
      </c>
      <c r="O657" s="16">
        <f>PRODUCT(Table_13[[#This Row],[Cost Price]],Table_13[[#This Row],[Quantity]])</f>
        <v>288000</v>
      </c>
      <c r="P657" s="27">
        <f t="shared" si="24"/>
        <v>72000</v>
      </c>
    </row>
    <row r="658" spans="1:16" x14ac:dyDescent="0.2">
      <c r="A658" s="33">
        <v>46332</v>
      </c>
      <c r="B658" s="30">
        <f t="shared" si="23"/>
        <v>11</v>
      </c>
      <c r="C658" s="30" t="str">
        <f>_xlfn.IFS(Table_13[[#This Row],[Month]]=1,"JAN",Table_13[[#This Row],[Month]]=2,"FEB",B658=3,"MAR",B658=4,"APR",B658=5,"MAY",B658=6,"JUN",B658=7,"JUL",B658=8,"AUG",Table_13[[#This Row],[Month]]=9,"SEPT",B658=10,"OCT",B658=11,"NOV",B658=12,"DEC")</f>
        <v>NOV</v>
      </c>
      <c r="D658" s="2" t="s">
        <v>11</v>
      </c>
      <c r="E658" s="2" t="s">
        <v>26</v>
      </c>
      <c r="F658" s="2" t="s">
        <v>13</v>
      </c>
      <c r="G658" s="2" t="s">
        <v>20</v>
      </c>
      <c r="H658" s="2" t="s">
        <v>27</v>
      </c>
      <c r="I658" s="2" t="s">
        <v>22</v>
      </c>
      <c r="J658" s="15">
        <v>60000</v>
      </c>
      <c r="K658" s="2">
        <v>8</v>
      </c>
      <c r="L658" s="2" t="s">
        <v>37</v>
      </c>
      <c r="M658" s="12">
        <f t="shared" si="18"/>
        <v>48000</v>
      </c>
      <c r="N658" s="10">
        <f>PRODUCT(Table_13[[#This Row],[Unit Price]],Table_13[[#This Row],[Quantity]])</f>
        <v>480000</v>
      </c>
      <c r="O658" s="16">
        <f>PRODUCT(Table_13[[#This Row],[Cost Price]],Table_13[[#This Row],[Quantity]])</f>
        <v>384000</v>
      </c>
      <c r="P658" s="27">
        <f t="shared" si="24"/>
        <v>96000</v>
      </c>
    </row>
    <row r="659" spans="1:16" x14ac:dyDescent="0.2">
      <c r="A659" s="33">
        <v>46333</v>
      </c>
      <c r="B659" s="30">
        <f t="shared" si="23"/>
        <v>11</v>
      </c>
      <c r="C659" s="30" t="str">
        <f>_xlfn.IFS(Table_13[[#This Row],[Month]]=1,"JAN",Table_13[[#This Row],[Month]]=2,"FEB",B659=3,"MAR",B659=4,"APR",B659=5,"MAY",B659=6,"JUN",B659=7,"JUL",B659=8,"AUG",Table_13[[#This Row],[Month]]=9,"SEPT",B659=10,"OCT",B659=11,"NOV",B659=12,"DEC")</f>
        <v>NOV</v>
      </c>
      <c r="D659" s="2" t="s">
        <v>29</v>
      </c>
      <c r="E659" s="2" t="s">
        <v>19</v>
      </c>
      <c r="F659" s="2" t="s">
        <v>13</v>
      </c>
      <c r="G659" s="2" t="s">
        <v>14</v>
      </c>
      <c r="H659" s="2" t="s">
        <v>21</v>
      </c>
      <c r="I659" s="2" t="s">
        <v>22</v>
      </c>
      <c r="J659" s="15">
        <v>30000</v>
      </c>
      <c r="K659" s="2">
        <v>2</v>
      </c>
      <c r="L659" s="2" t="s">
        <v>35</v>
      </c>
      <c r="M659" s="12">
        <f t="shared" si="18"/>
        <v>24000</v>
      </c>
      <c r="N659" s="10">
        <f>PRODUCT(Table_13[[#This Row],[Unit Price]],Table_13[[#This Row],[Quantity]])</f>
        <v>60000</v>
      </c>
      <c r="O659" s="16">
        <f>PRODUCT(Table_13[[#This Row],[Cost Price]],Table_13[[#This Row],[Quantity]])</f>
        <v>48000</v>
      </c>
      <c r="P659" s="27">
        <f t="shared" si="24"/>
        <v>12000</v>
      </c>
    </row>
    <row r="660" spans="1:16" x14ac:dyDescent="0.2">
      <c r="A660" s="33">
        <v>46334</v>
      </c>
      <c r="B660" s="30">
        <f t="shared" si="23"/>
        <v>11</v>
      </c>
      <c r="C660" s="30" t="str">
        <f>_xlfn.IFS(Table_13[[#This Row],[Month]]=1,"JAN",Table_13[[#This Row],[Month]]=2,"FEB",B660=3,"MAR",B660=4,"APR",B660=5,"MAY",B660=6,"JUN",B660=7,"JUL",B660=8,"AUG",Table_13[[#This Row],[Month]]=9,"SEPT",B660=10,"OCT",B660=11,"NOV",B660=12,"DEC")</f>
        <v>NOV</v>
      </c>
      <c r="D660" s="2" t="s">
        <v>29</v>
      </c>
      <c r="E660" s="2" t="s">
        <v>19</v>
      </c>
      <c r="F660" s="2" t="s">
        <v>23</v>
      </c>
      <c r="G660" s="2" t="s">
        <v>14</v>
      </c>
      <c r="H660" s="2" t="s">
        <v>36</v>
      </c>
      <c r="I660" s="2" t="s">
        <v>31</v>
      </c>
      <c r="J660" s="15">
        <v>150000</v>
      </c>
      <c r="K660" s="2">
        <v>5</v>
      </c>
      <c r="L660" s="2" t="s">
        <v>35</v>
      </c>
      <c r="M660" s="12">
        <f t="shared" si="18"/>
        <v>120000</v>
      </c>
      <c r="N660" s="10">
        <f>PRODUCT(Table_13[[#This Row],[Unit Price]],Table_13[[#This Row],[Quantity]])</f>
        <v>750000</v>
      </c>
      <c r="O660" s="16">
        <f>PRODUCT(Table_13[[#This Row],[Cost Price]],Table_13[[#This Row],[Quantity]])</f>
        <v>600000</v>
      </c>
      <c r="P660" s="27">
        <f t="shared" si="24"/>
        <v>150000</v>
      </c>
    </row>
    <row r="661" spans="1:16" x14ac:dyDescent="0.2">
      <c r="A661" s="33">
        <v>46335</v>
      </c>
      <c r="B661" s="30">
        <f t="shared" si="23"/>
        <v>11</v>
      </c>
      <c r="C661" s="30" t="str">
        <f>_xlfn.IFS(Table_13[[#This Row],[Month]]=1,"JAN",Table_13[[#This Row],[Month]]=2,"FEB",B661=3,"MAR",B661=4,"APR",B661=5,"MAY",B661=6,"JUN",B661=7,"JUL",B661=8,"AUG",Table_13[[#This Row],[Month]]=9,"SEPT",B661=10,"OCT",B661=11,"NOV",B661=12,"DEC")</f>
        <v>NOV</v>
      </c>
      <c r="D661" s="2" t="s">
        <v>11</v>
      </c>
      <c r="E661" s="2" t="s">
        <v>19</v>
      </c>
      <c r="F661" s="2" t="s">
        <v>23</v>
      </c>
      <c r="G661" s="2" t="s">
        <v>20</v>
      </c>
      <c r="H661" s="2" t="s">
        <v>40</v>
      </c>
      <c r="I661" s="2" t="s">
        <v>31</v>
      </c>
      <c r="J661" s="15">
        <v>250000</v>
      </c>
      <c r="K661" s="2">
        <v>5</v>
      </c>
      <c r="L661" s="2" t="s">
        <v>35</v>
      </c>
      <c r="M661" s="12">
        <f t="shared" si="18"/>
        <v>200000</v>
      </c>
      <c r="N661" s="10">
        <f>PRODUCT(Table_13[[#This Row],[Unit Price]],Table_13[[#This Row],[Quantity]])</f>
        <v>1250000</v>
      </c>
      <c r="O661" s="16">
        <f>PRODUCT(Table_13[[#This Row],[Cost Price]],Table_13[[#This Row],[Quantity]])</f>
        <v>1000000</v>
      </c>
      <c r="P661" s="27">
        <f t="shared" si="24"/>
        <v>250000</v>
      </c>
    </row>
    <row r="662" spans="1:16" x14ac:dyDescent="0.2">
      <c r="A662" s="33">
        <v>46336</v>
      </c>
      <c r="B662" s="30">
        <f t="shared" si="23"/>
        <v>11</v>
      </c>
      <c r="C662" s="30" t="str">
        <f>_xlfn.IFS(Table_13[[#This Row],[Month]]=1,"JAN",Table_13[[#This Row],[Month]]=2,"FEB",B662=3,"MAR",B662=4,"APR",B662=5,"MAY",B662=6,"JUN",B662=7,"JUL",B662=8,"AUG",Table_13[[#This Row],[Month]]=9,"SEPT",B662=10,"OCT",B662=11,"NOV",B662=12,"DEC")</f>
        <v>NOV</v>
      </c>
      <c r="D662" s="2" t="s">
        <v>25</v>
      </c>
      <c r="E662" s="2" t="s">
        <v>12</v>
      </c>
      <c r="F662" s="2" t="s">
        <v>23</v>
      </c>
      <c r="G662" s="2" t="s">
        <v>14</v>
      </c>
      <c r="H662" s="2" t="s">
        <v>15</v>
      </c>
      <c r="I662" s="2" t="s">
        <v>16</v>
      </c>
      <c r="J662" s="15">
        <v>85000</v>
      </c>
      <c r="K662" s="2">
        <v>4</v>
      </c>
      <c r="L662" s="2" t="s">
        <v>24</v>
      </c>
      <c r="M662" s="12">
        <f t="shared" si="18"/>
        <v>68000</v>
      </c>
      <c r="N662" s="10">
        <f>PRODUCT(Table_13[[#This Row],[Unit Price]],Table_13[[#This Row],[Quantity]])</f>
        <v>340000</v>
      </c>
      <c r="O662" s="16">
        <f>PRODUCT(Table_13[[#This Row],[Cost Price]],Table_13[[#This Row],[Quantity]])</f>
        <v>272000</v>
      </c>
      <c r="P662" s="27">
        <f t="shared" si="24"/>
        <v>68000</v>
      </c>
    </row>
    <row r="663" spans="1:16" x14ac:dyDescent="0.2">
      <c r="A663" s="33">
        <v>46337</v>
      </c>
      <c r="B663" s="30">
        <f t="shared" si="23"/>
        <v>11</v>
      </c>
      <c r="C663" s="30" t="str">
        <f>_xlfn.IFS(Table_13[[#This Row],[Month]]=1,"JAN",Table_13[[#This Row],[Month]]=2,"FEB",B663=3,"MAR",B663=4,"APR",B663=5,"MAY",B663=6,"JUN",B663=7,"JUL",B663=8,"AUG",Table_13[[#This Row],[Month]]=9,"SEPT",B663=10,"OCT",B663=11,"NOV",B663=12,"DEC")</f>
        <v>NOV</v>
      </c>
      <c r="D663" s="2" t="s">
        <v>11</v>
      </c>
      <c r="E663" s="2" t="s">
        <v>26</v>
      </c>
      <c r="F663" s="2" t="s">
        <v>13</v>
      </c>
      <c r="G663" s="2" t="s">
        <v>20</v>
      </c>
      <c r="H663" s="2" t="s">
        <v>30</v>
      </c>
      <c r="I663" s="2" t="s">
        <v>31</v>
      </c>
      <c r="J663" s="15">
        <v>300000</v>
      </c>
      <c r="K663" s="2">
        <v>10</v>
      </c>
      <c r="L663" s="2" t="s">
        <v>24</v>
      </c>
      <c r="M663" s="12">
        <f t="shared" si="18"/>
        <v>240000</v>
      </c>
      <c r="N663" s="10">
        <f>PRODUCT(Table_13[[#This Row],[Unit Price]],Table_13[[#This Row],[Quantity]])</f>
        <v>3000000</v>
      </c>
      <c r="O663" s="16">
        <f>PRODUCT(Table_13[[#This Row],[Cost Price]],Table_13[[#This Row],[Quantity]])</f>
        <v>2400000</v>
      </c>
      <c r="P663" s="27">
        <f t="shared" si="24"/>
        <v>600000</v>
      </c>
    </row>
    <row r="664" spans="1:16" x14ac:dyDescent="0.2">
      <c r="A664" s="33">
        <v>46338</v>
      </c>
      <c r="B664" s="30">
        <f t="shared" si="23"/>
        <v>11</v>
      </c>
      <c r="C664" s="30" t="str">
        <f>_xlfn.IFS(Table_13[[#This Row],[Month]]=1,"JAN",Table_13[[#This Row],[Month]]=2,"FEB",B664=3,"MAR",B664=4,"APR",B664=5,"MAY",B664=6,"JUN",B664=7,"JUL",B664=8,"AUG",Table_13[[#This Row],[Month]]=9,"SEPT",B664=10,"OCT",B664=11,"NOV",B664=12,"DEC")</f>
        <v>NOV</v>
      </c>
      <c r="D664" s="2" t="s">
        <v>25</v>
      </c>
      <c r="E664" s="2" t="s">
        <v>12</v>
      </c>
      <c r="F664" s="2" t="s">
        <v>23</v>
      </c>
      <c r="G664" s="2" t="s">
        <v>14</v>
      </c>
      <c r="H664" s="2" t="s">
        <v>40</v>
      </c>
      <c r="I664" s="2" t="s">
        <v>31</v>
      </c>
      <c r="J664" s="15">
        <v>250000</v>
      </c>
      <c r="K664" s="2">
        <v>8</v>
      </c>
      <c r="L664" s="2" t="s">
        <v>39</v>
      </c>
      <c r="M664" s="12">
        <f t="shared" si="18"/>
        <v>200000</v>
      </c>
      <c r="N664" s="10">
        <f>PRODUCT(Table_13[[#This Row],[Unit Price]],Table_13[[#This Row],[Quantity]])</f>
        <v>2000000</v>
      </c>
      <c r="O664" s="16">
        <f>PRODUCT(Table_13[[#This Row],[Cost Price]],Table_13[[#This Row],[Quantity]])</f>
        <v>1600000</v>
      </c>
      <c r="P664" s="27">
        <f t="shared" si="24"/>
        <v>400000</v>
      </c>
    </row>
    <row r="665" spans="1:16" x14ac:dyDescent="0.2">
      <c r="A665" s="33">
        <v>46339</v>
      </c>
      <c r="B665" s="30">
        <f t="shared" si="23"/>
        <v>11</v>
      </c>
      <c r="C665" s="30" t="str">
        <f>_xlfn.IFS(Table_13[[#This Row],[Month]]=1,"JAN",Table_13[[#This Row],[Month]]=2,"FEB",B665=3,"MAR",B665=4,"APR",B665=5,"MAY",B665=6,"JUN",B665=7,"JUL",B665=8,"AUG",Table_13[[#This Row],[Month]]=9,"SEPT",B665=10,"OCT",B665=11,"NOV",B665=12,"DEC")</f>
        <v>NOV</v>
      </c>
      <c r="D665" s="2" t="s">
        <v>11</v>
      </c>
      <c r="E665" s="2" t="s">
        <v>19</v>
      </c>
      <c r="F665" s="2" t="s">
        <v>13</v>
      </c>
      <c r="G665" s="2" t="s">
        <v>20</v>
      </c>
      <c r="H665" s="2" t="s">
        <v>34</v>
      </c>
      <c r="I665" s="2" t="s">
        <v>16</v>
      </c>
      <c r="J665" s="15">
        <v>320000</v>
      </c>
      <c r="K665" s="2">
        <v>4</v>
      </c>
      <c r="L665" s="2" t="s">
        <v>39</v>
      </c>
      <c r="M665" s="12">
        <f t="shared" si="18"/>
        <v>256000</v>
      </c>
      <c r="N665" s="10">
        <f>PRODUCT(Table_13[[#This Row],[Unit Price]],Table_13[[#This Row],[Quantity]])</f>
        <v>1280000</v>
      </c>
      <c r="O665" s="16">
        <f>PRODUCT(Table_13[[#This Row],[Cost Price]],Table_13[[#This Row],[Quantity]])</f>
        <v>1024000</v>
      </c>
      <c r="P665" s="27">
        <f t="shared" si="24"/>
        <v>256000</v>
      </c>
    </row>
    <row r="666" spans="1:16" x14ac:dyDescent="0.2">
      <c r="A666" s="33">
        <v>46340</v>
      </c>
      <c r="B666" s="30">
        <f t="shared" si="23"/>
        <v>11</v>
      </c>
      <c r="C666" s="30" t="str">
        <f>_xlfn.IFS(Table_13[[#This Row],[Month]]=1,"JAN",Table_13[[#This Row],[Month]]=2,"FEB",B666=3,"MAR",B666=4,"APR",B666=5,"MAY",B666=6,"JUN",B666=7,"JUL",B666=8,"AUG",Table_13[[#This Row],[Month]]=9,"SEPT",B666=10,"OCT",B666=11,"NOV",B666=12,"DEC")</f>
        <v>NOV</v>
      </c>
      <c r="D666" s="2" t="s">
        <v>29</v>
      </c>
      <c r="E666" s="2" t="s">
        <v>19</v>
      </c>
      <c r="F666" s="2" t="s">
        <v>23</v>
      </c>
      <c r="G666" s="2" t="s">
        <v>20</v>
      </c>
      <c r="H666" s="2" t="s">
        <v>21</v>
      </c>
      <c r="I666" s="2" t="s">
        <v>22</v>
      </c>
      <c r="J666" s="15">
        <v>30000</v>
      </c>
      <c r="K666" s="2">
        <v>10</v>
      </c>
      <c r="L666" s="2" t="s">
        <v>28</v>
      </c>
      <c r="M666" s="12">
        <f t="shared" si="18"/>
        <v>24000</v>
      </c>
      <c r="N666" s="10">
        <f>PRODUCT(Table_13[[#This Row],[Unit Price]],Table_13[[#This Row],[Quantity]])</f>
        <v>300000</v>
      </c>
      <c r="O666" s="16">
        <f>PRODUCT(Table_13[[#This Row],[Cost Price]],Table_13[[#This Row],[Quantity]])</f>
        <v>240000</v>
      </c>
      <c r="P666" s="27">
        <f t="shared" si="24"/>
        <v>60000</v>
      </c>
    </row>
    <row r="667" spans="1:16" x14ac:dyDescent="0.2">
      <c r="A667" s="33">
        <v>46341</v>
      </c>
      <c r="B667" s="30">
        <f t="shared" si="23"/>
        <v>11</v>
      </c>
      <c r="C667" s="30" t="str">
        <f>_xlfn.IFS(Table_13[[#This Row],[Month]]=1,"JAN",Table_13[[#This Row],[Month]]=2,"FEB",B667=3,"MAR",B667=4,"APR",B667=5,"MAY",B667=6,"JUN",B667=7,"JUL",B667=8,"AUG",Table_13[[#This Row],[Month]]=9,"SEPT",B667=10,"OCT",B667=11,"NOV",B667=12,"DEC")</f>
        <v>NOV</v>
      </c>
      <c r="D667" s="2" t="s">
        <v>29</v>
      </c>
      <c r="E667" s="2" t="s">
        <v>12</v>
      </c>
      <c r="F667" s="2" t="s">
        <v>23</v>
      </c>
      <c r="G667" s="2" t="s">
        <v>14</v>
      </c>
      <c r="H667" s="2" t="s">
        <v>40</v>
      </c>
      <c r="I667" s="2" t="s">
        <v>31</v>
      </c>
      <c r="J667" s="15">
        <v>250000</v>
      </c>
      <c r="K667" s="2">
        <v>4</v>
      </c>
      <c r="L667" s="2" t="s">
        <v>37</v>
      </c>
      <c r="M667" s="12">
        <f t="shared" si="18"/>
        <v>200000</v>
      </c>
      <c r="N667" s="10">
        <f>PRODUCT(Table_13[[#This Row],[Unit Price]],Table_13[[#This Row],[Quantity]])</f>
        <v>1000000</v>
      </c>
      <c r="O667" s="16">
        <f>PRODUCT(Table_13[[#This Row],[Cost Price]],Table_13[[#This Row],[Quantity]])</f>
        <v>800000</v>
      </c>
      <c r="P667" s="27">
        <f t="shared" si="24"/>
        <v>200000</v>
      </c>
    </row>
    <row r="668" spans="1:16" x14ac:dyDescent="0.2">
      <c r="A668" s="33">
        <v>46342</v>
      </c>
      <c r="B668" s="30">
        <f t="shared" si="23"/>
        <v>11</v>
      </c>
      <c r="C668" s="30" t="str">
        <f>_xlfn.IFS(Table_13[[#This Row],[Month]]=1,"JAN",Table_13[[#This Row],[Month]]=2,"FEB",B668=3,"MAR",B668=4,"APR",B668=5,"MAY",B668=6,"JUN",B668=7,"JUL",B668=8,"AUG",Table_13[[#This Row],[Month]]=9,"SEPT",B668=10,"OCT",B668=11,"NOV",B668=12,"DEC")</f>
        <v>NOV</v>
      </c>
      <c r="D668" s="2" t="s">
        <v>18</v>
      </c>
      <c r="E668" s="2" t="s">
        <v>12</v>
      </c>
      <c r="F668" s="2" t="s">
        <v>23</v>
      </c>
      <c r="G668" s="2" t="s">
        <v>14</v>
      </c>
      <c r="H668" s="2" t="s">
        <v>34</v>
      </c>
      <c r="I668" s="2" t="s">
        <v>16</v>
      </c>
      <c r="J668" s="15">
        <v>320000</v>
      </c>
      <c r="K668" s="2">
        <v>5</v>
      </c>
      <c r="L668" s="2" t="s">
        <v>28</v>
      </c>
      <c r="M668" s="12">
        <f t="shared" si="18"/>
        <v>256000</v>
      </c>
      <c r="N668" s="10">
        <f>PRODUCT(Table_13[[#This Row],[Unit Price]],Table_13[[#This Row],[Quantity]])</f>
        <v>1600000</v>
      </c>
      <c r="O668" s="16">
        <f>PRODUCT(Table_13[[#This Row],[Cost Price]],Table_13[[#This Row],[Quantity]])</f>
        <v>1280000</v>
      </c>
      <c r="P668" s="27">
        <f t="shared" si="24"/>
        <v>320000</v>
      </c>
    </row>
    <row r="669" spans="1:16" x14ac:dyDescent="0.2">
      <c r="A669" s="33">
        <v>46343</v>
      </c>
      <c r="B669" s="30">
        <f t="shared" si="23"/>
        <v>11</v>
      </c>
      <c r="C669" s="30" t="str">
        <f>_xlfn.IFS(Table_13[[#This Row],[Month]]=1,"JAN",Table_13[[#This Row],[Month]]=2,"FEB",B669=3,"MAR",B669=4,"APR",B669=5,"MAY",B669=6,"JUN",B669=7,"JUL",B669=8,"AUG",Table_13[[#This Row],[Month]]=9,"SEPT",B669=10,"OCT",B669=11,"NOV",B669=12,"DEC")</f>
        <v>NOV</v>
      </c>
      <c r="D669" s="2" t="s">
        <v>18</v>
      </c>
      <c r="E669" s="2" t="s">
        <v>19</v>
      </c>
      <c r="F669" s="2" t="s">
        <v>13</v>
      </c>
      <c r="G669" s="2" t="s">
        <v>20</v>
      </c>
      <c r="H669" s="2" t="s">
        <v>34</v>
      </c>
      <c r="I669" s="2" t="s">
        <v>16</v>
      </c>
      <c r="J669" s="15">
        <v>320000</v>
      </c>
      <c r="K669" s="2">
        <v>9</v>
      </c>
      <c r="L669" s="2" t="s">
        <v>39</v>
      </c>
      <c r="M669" s="12">
        <f t="shared" si="18"/>
        <v>256000</v>
      </c>
      <c r="N669" s="10">
        <f>PRODUCT(Table_13[[#This Row],[Unit Price]],Table_13[[#This Row],[Quantity]])</f>
        <v>2880000</v>
      </c>
      <c r="O669" s="16">
        <f>PRODUCT(Table_13[[#This Row],[Cost Price]],Table_13[[#This Row],[Quantity]])</f>
        <v>2304000</v>
      </c>
      <c r="P669" s="27">
        <f t="shared" si="24"/>
        <v>576000</v>
      </c>
    </row>
    <row r="670" spans="1:16" x14ac:dyDescent="0.2">
      <c r="A670" s="33">
        <v>46344</v>
      </c>
      <c r="B670" s="30">
        <f t="shared" si="23"/>
        <v>11</v>
      </c>
      <c r="C670" s="30" t="str">
        <f>_xlfn.IFS(Table_13[[#This Row],[Month]]=1,"JAN",Table_13[[#This Row],[Month]]=2,"FEB",B670=3,"MAR",B670=4,"APR",B670=5,"MAY",B670=6,"JUN",B670=7,"JUL",B670=8,"AUG",Table_13[[#This Row],[Month]]=9,"SEPT",B670=10,"OCT",B670=11,"NOV",B670=12,"DEC")</f>
        <v>NOV</v>
      </c>
      <c r="D670" s="2" t="s">
        <v>18</v>
      </c>
      <c r="E670" s="2" t="s">
        <v>19</v>
      </c>
      <c r="F670" s="2" t="s">
        <v>13</v>
      </c>
      <c r="G670" s="2" t="s">
        <v>14</v>
      </c>
      <c r="H670" s="2" t="s">
        <v>33</v>
      </c>
      <c r="I670" s="2" t="s">
        <v>22</v>
      </c>
      <c r="J670" s="15">
        <v>180000</v>
      </c>
      <c r="K670" s="2">
        <v>1</v>
      </c>
      <c r="L670" s="2" t="s">
        <v>37</v>
      </c>
      <c r="M670" s="12">
        <f t="shared" si="18"/>
        <v>144000</v>
      </c>
      <c r="N670" s="10">
        <f>PRODUCT(Table_13[[#This Row],[Unit Price]],Table_13[[#This Row],[Quantity]])</f>
        <v>180000</v>
      </c>
      <c r="O670" s="16">
        <f>PRODUCT(Table_13[[#This Row],[Cost Price]],Table_13[[#This Row],[Quantity]])</f>
        <v>144000</v>
      </c>
      <c r="P670" s="27">
        <f t="shared" si="24"/>
        <v>36000</v>
      </c>
    </row>
    <row r="671" spans="1:16" x14ac:dyDescent="0.2">
      <c r="A671" s="33">
        <v>46345</v>
      </c>
      <c r="B671" s="30">
        <f t="shared" si="23"/>
        <v>11</v>
      </c>
      <c r="C671" s="30" t="str">
        <f>_xlfn.IFS(Table_13[[#This Row],[Month]]=1,"JAN",Table_13[[#This Row],[Month]]=2,"FEB",B671=3,"MAR",B671=4,"APR",B671=5,"MAY",B671=6,"JUN",B671=7,"JUL",B671=8,"AUG",Table_13[[#This Row],[Month]]=9,"SEPT",B671=10,"OCT",B671=11,"NOV",B671=12,"DEC")</f>
        <v>NOV</v>
      </c>
      <c r="D671" s="2" t="s">
        <v>25</v>
      </c>
      <c r="E671" s="2" t="s">
        <v>12</v>
      </c>
      <c r="F671" s="2" t="s">
        <v>13</v>
      </c>
      <c r="G671" s="2" t="s">
        <v>14</v>
      </c>
      <c r="H671" s="2" t="s">
        <v>21</v>
      </c>
      <c r="I671" s="2" t="s">
        <v>22</v>
      </c>
      <c r="J671" s="15">
        <v>30000</v>
      </c>
      <c r="K671" s="2">
        <v>7</v>
      </c>
      <c r="L671" s="2" t="s">
        <v>28</v>
      </c>
      <c r="M671" s="12">
        <f t="shared" si="18"/>
        <v>24000</v>
      </c>
      <c r="N671" s="10">
        <f>PRODUCT(Table_13[[#This Row],[Unit Price]],Table_13[[#This Row],[Quantity]])</f>
        <v>210000</v>
      </c>
      <c r="O671" s="16">
        <f>PRODUCT(Table_13[[#This Row],[Cost Price]],Table_13[[#This Row],[Quantity]])</f>
        <v>168000</v>
      </c>
      <c r="P671" s="27">
        <f t="shared" si="24"/>
        <v>42000</v>
      </c>
    </row>
    <row r="672" spans="1:16" x14ac:dyDescent="0.2">
      <c r="A672" s="33">
        <v>46346</v>
      </c>
      <c r="B672" s="30">
        <f t="shared" si="23"/>
        <v>11</v>
      </c>
      <c r="C672" s="30" t="str">
        <f>_xlfn.IFS(Table_13[[#This Row],[Month]]=1,"JAN",Table_13[[#This Row],[Month]]=2,"FEB",B672=3,"MAR",B672=4,"APR",B672=5,"MAY",B672=6,"JUN",B672=7,"JUL",B672=8,"AUG",Table_13[[#This Row],[Month]]=9,"SEPT",B672=10,"OCT",B672=11,"NOV",B672=12,"DEC")</f>
        <v>NOV</v>
      </c>
      <c r="D672" s="2" t="s">
        <v>29</v>
      </c>
      <c r="E672" s="2" t="s">
        <v>32</v>
      </c>
      <c r="F672" s="2" t="s">
        <v>23</v>
      </c>
      <c r="G672" s="2" t="s">
        <v>20</v>
      </c>
      <c r="H672" s="2" t="s">
        <v>41</v>
      </c>
      <c r="I672" s="2" t="s">
        <v>22</v>
      </c>
      <c r="J672" s="15">
        <v>220000</v>
      </c>
      <c r="K672" s="2">
        <v>5</v>
      </c>
      <c r="L672" s="2" t="s">
        <v>35</v>
      </c>
      <c r="M672" s="12">
        <f t="shared" si="18"/>
        <v>176000</v>
      </c>
      <c r="N672" s="10">
        <f>PRODUCT(Table_13[[#This Row],[Unit Price]],Table_13[[#This Row],[Quantity]])</f>
        <v>1100000</v>
      </c>
      <c r="O672" s="16">
        <f>PRODUCT(Table_13[[#This Row],[Cost Price]],Table_13[[#This Row],[Quantity]])</f>
        <v>880000</v>
      </c>
      <c r="P672" s="27">
        <f t="shared" si="24"/>
        <v>220000</v>
      </c>
    </row>
    <row r="673" spans="1:16" x14ac:dyDescent="0.2">
      <c r="A673" s="33">
        <v>46347</v>
      </c>
      <c r="B673" s="30">
        <f t="shared" si="23"/>
        <v>11</v>
      </c>
      <c r="C673" s="30" t="str">
        <f>_xlfn.IFS(Table_13[[#This Row],[Month]]=1,"JAN",Table_13[[#This Row],[Month]]=2,"FEB",B673=3,"MAR",B673=4,"APR",B673=5,"MAY",B673=6,"JUN",B673=7,"JUL",B673=8,"AUG",Table_13[[#This Row],[Month]]=9,"SEPT",B673=10,"OCT",B673=11,"NOV",B673=12,"DEC")</f>
        <v>NOV</v>
      </c>
      <c r="D673" s="2" t="s">
        <v>29</v>
      </c>
      <c r="E673" s="2" t="s">
        <v>32</v>
      </c>
      <c r="F673" s="2" t="s">
        <v>23</v>
      </c>
      <c r="G673" s="2" t="s">
        <v>14</v>
      </c>
      <c r="H673" s="2" t="s">
        <v>33</v>
      </c>
      <c r="I673" s="2" t="s">
        <v>22</v>
      </c>
      <c r="J673" s="15">
        <v>180000</v>
      </c>
      <c r="K673" s="2">
        <v>4</v>
      </c>
      <c r="L673" s="2" t="s">
        <v>39</v>
      </c>
      <c r="M673" s="12">
        <f t="shared" si="18"/>
        <v>144000</v>
      </c>
      <c r="N673" s="10">
        <f>PRODUCT(Table_13[[#This Row],[Unit Price]],Table_13[[#This Row],[Quantity]])</f>
        <v>720000</v>
      </c>
      <c r="O673" s="16">
        <f>PRODUCT(Table_13[[#This Row],[Cost Price]],Table_13[[#This Row],[Quantity]])</f>
        <v>576000</v>
      </c>
      <c r="P673" s="27">
        <f t="shared" si="24"/>
        <v>144000</v>
      </c>
    </row>
    <row r="674" spans="1:16" x14ac:dyDescent="0.2">
      <c r="A674" s="33">
        <v>46348</v>
      </c>
      <c r="B674" s="30">
        <f t="shared" si="23"/>
        <v>11</v>
      </c>
      <c r="C674" s="30" t="str">
        <f>_xlfn.IFS(Table_13[[#This Row],[Month]]=1,"JAN",Table_13[[#This Row],[Month]]=2,"FEB",B674=3,"MAR",B674=4,"APR",B674=5,"MAY",B674=6,"JUN",B674=7,"JUL",B674=8,"AUG",Table_13[[#This Row],[Month]]=9,"SEPT",B674=10,"OCT",B674=11,"NOV",B674=12,"DEC")</f>
        <v>NOV</v>
      </c>
      <c r="D674" s="2" t="s">
        <v>25</v>
      </c>
      <c r="E674" s="2" t="s">
        <v>12</v>
      </c>
      <c r="F674" s="2" t="s">
        <v>23</v>
      </c>
      <c r="G674" s="2" t="s">
        <v>14</v>
      </c>
      <c r="H674" s="2" t="s">
        <v>33</v>
      </c>
      <c r="I674" s="2" t="s">
        <v>22</v>
      </c>
      <c r="J674" s="15">
        <v>180000</v>
      </c>
      <c r="K674" s="2">
        <v>2</v>
      </c>
      <c r="L674" s="2" t="s">
        <v>28</v>
      </c>
      <c r="M674" s="12">
        <f t="shared" si="18"/>
        <v>144000</v>
      </c>
      <c r="N674" s="10">
        <f>PRODUCT(Table_13[[#This Row],[Unit Price]],Table_13[[#This Row],[Quantity]])</f>
        <v>360000</v>
      </c>
      <c r="O674" s="16">
        <f>PRODUCT(Table_13[[#This Row],[Cost Price]],Table_13[[#This Row],[Quantity]])</f>
        <v>288000</v>
      </c>
      <c r="P674" s="27">
        <f t="shared" si="24"/>
        <v>72000</v>
      </c>
    </row>
    <row r="675" spans="1:16" x14ac:dyDescent="0.2">
      <c r="A675" s="33">
        <v>46349</v>
      </c>
      <c r="B675" s="30">
        <f t="shared" si="23"/>
        <v>11</v>
      </c>
      <c r="C675" s="30" t="str">
        <f>_xlfn.IFS(Table_13[[#This Row],[Month]]=1,"JAN",Table_13[[#This Row],[Month]]=2,"FEB",B675=3,"MAR",B675=4,"APR",B675=5,"MAY",B675=6,"JUN",B675=7,"JUL",B675=8,"AUG",Table_13[[#This Row],[Month]]=9,"SEPT",B675=10,"OCT",B675=11,"NOV",B675=12,"DEC")</f>
        <v>NOV</v>
      </c>
      <c r="D675" s="2" t="s">
        <v>11</v>
      </c>
      <c r="E675" s="2" t="s">
        <v>26</v>
      </c>
      <c r="F675" s="2" t="s">
        <v>23</v>
      </c>
      <c r="G675" s="2" t="s">
        <v>14</v>
      </c>
      <c r="H675" s="2" t="s">
        <v>41</v>
      </c>
      <c r="I675" s="2" t="s">
        <v>22</v>
      </c>
      <c r="J675" s="15">
        <v>220000</v>
      </c>
      <c r="K675" s="2">
        <v>2</v>
      </c>
      <c r="L675" s="2" t="s">
        <v>37</v>
      </c>
      <c r="M675" s="12">
        <f t="shared" si="18"/>
        <v>176000</v>
      </c>
      <c r="N675" s="10">
        <f>PRODUCT(Table_13[[#This Row],[Unit Price]],Table_13[[#This Row],[Quantity]])</f>
        <v>440000</v>
      </c>
      <c r="O675" s="16">
        <f>PRODUCT(Table_13[[#This Row],[Cost Price]],Table_13[[#This Row],[Quantity]])</f>
        <v>352000</v>
      </c>
      <c r="P675" s="27">
        <f t="shared" si="24"/>
        <v>88000</v>
      </c>
    </row>
    <row r="676" spans="1:16" x14ac:dyDescent="0.2">
      <c r="A676" s="33">
        <v>46350</v>
      </c>
      <c r="B676" s="30">
        <f t="shared" si="23"/>
        <v>11</v>
      </c>
      <c r="C676" s="30" t="str">
        <f>_xlfn.IFS(Table_13[[#This Row],[Month]]=1,"JAN",Table_13[[#This Row],[Month]]=2,"FEB",B676=3,"MAR",B676=4,"APR",B676=5,"MAY",B676=6,"JUN",B676=7,"JUL",B676=8,"AUG",Table_13[[#This Row],[Month]]=9,"SEPT",B676=10,"OCT",B676=11,"NOV",B676=12,"DEC")</f>
        <v>NOV</v>
      </c>
      <c r="D676" s="2" t="s">
        <v>11</v>
      </c>
      <c r="E676" s="2" t="s">
        <v>19</v>
      </c>
      <c r="F676" s="2" t="s">
        <v>23</v>
      </c>
      <c r="G676" s="2" t="s">
        <v>20</v>
      </c>
      <c r="H676" s="2" t="s">
        <v>27</v>
      </c>
      <c r="I676" s="2" t="s">
        <v>22</v>
      </c>
      <c r="J676" s="15">
        <v>60000</v>
      </c>
      <c r="K676" s="2">
        <v>10</v>
      </c>
      <c r="L676" s="2" t="s">
        <v>37</v>
      </c>
      <c r="M676" s="12">
        <f t="shared" si="18"/>
        <v>48000</v>
      </c>
      <c r="N676" s="10">
        <f>PRODUCT(Table_13[[#This Row],[Unit Price]],Table_13[[#This Row],[Quantity]])</f>
        <v>600000</v>
      </c>
      <c r="O676" s="16">
        <f>PRODUCT(Table_13[[#This Row],[Cost Price]],Table_13[[#This Row],[Quantity]])</f>
        <v>480000</v>
      </c>
      <c r="P676" s="27">
        <f t="shared" si="24"/>
        <v>120000</v>
      </c>
    </row>
    <row r="677" spans="1:16" x14ac:dyDescent="0.2">
      <c r="A677" s="33">
        <v>46351</v>
      </c>
      <c r="B677" s="30">
        <f t="shared" si="23"/>
        <v>11</v>
      </c>
      <c r="C677" s="30" t="str">
        <f>_xlfn.IFS(Table_13[[#This Row],[Month]]=1,"JAN",Table_13[[#This Row],[Month]]=2,"FEB",B677=3,"MAR",B677=4,"APR",B677=5,"MAY",B677=6,"JUN",B677=7,"JUL",B677=8,"AUG",Table_13[[#This Row],[Month]]=9,"SEPT",B677=10,"OCT",B677=11,"NOV",B677=12,"DEC")</f>
        <v>NOV</v>
      </c>
      <c r="D677" s="2" t="s">
        <v>29</v>
      </c>
      <c r="E677" s="2" t="s">
        <v>12</v>
      </c>
      <c r="F677" s="2" t="s">
        <v>13</v>
      </c>
      <c r="G677" s="2" t="s">
        <v>20</v>
      </c>
      <c r="H677" s="2" t="s">
        <v>21</v>
      </c>
      <c r="I677" s="2" t="s">
        <v>22</v>
      </c>
      <c r="J677" s="15">
        <v>30000</v>
      </c>
      <c r="K677" s="2">
        <v>2</v>
      </c>
      <c r="L677" s="2" t="s">
        <v>39</v>
      </c>
      <c r="M677" s="12">
        <f t="shared" si="18"/>
        <v>24000</v>
      </c>
      <c r="N677" s="10">
        <f>PRODUCT(Table_13[[#This Row],[Unit Price]],Table_13[[#This Row],[Quantity]])</f>
        <v>60000</v>
      </c>
      <c r="O677" s="16">
        <f>PRODUCT(Table_13[[#This Row],[Cost Price]],Table_13[[#This Row],[Quantity]])</f>
        <v>48000</v>
      </c>
      <c r="P677" s="27">
        <f t="shared" si="24"/>
        <v>12000</v>
      </c>
    </row>
    <row r="678" spans="1:16" x14ac:dyDescent="0.2">
      <c r="A678" s="33">
        <v>46352</v>
      </c>
      <c r="B678" s="30">
        <f t="shared" si="23"/>
        <v>11</v>
      </c>
      <c r="C678" s="30" t="str">
        <f>_xlfn.IFS(Table_13[[#This Row],[Month]]=1,"JAN",Table_13[[#This Row],[Month]]=2,"FEB",B678=3,"MAR",B678=4,"APR",B678=5,"MAY",B678=6,"JUN",B678=7,"JUL",B678=8,"AUG",Table_13[[#This Row],[Month]]=9,"SEPT",B678=10,"OCT",B678=11,"NOV",B678=12,"DEC")</f>
        <v>NOV</v>
      </c>
      <c r="D678" s="2" t="s">
        <v>18</v>
      </c>
      <c r="E678" s="2" t="s">
        <v>19</v>
      </c>
      <c r="F678" s="2" t="s">
        <v>23</v>
      </c>
      <c r="G678" s="2" t="s">
        <v>14</v>
      </c>
      <c r="H678" s="2" t="s">
        <v>30</v>
      </c>
      <c r="I678" s="2" t="s">
        <v>31</v>
      </c>
      <c r="J678" s="15">
        <v>300000</v>
      </c>
      <c r="K678" s="2">
        <v>3</v>
      </c>
      <c r="L678" s="2" t="s">
        <v>24</v>
      </c>
      <c r="M678" s="12">
        <f t="shared" si="18"/>
        <v>240000</v>
      </c>
      <c r="N678" s="10">
        <f>PRODUCT(Table_13[[#This Row],[Unit Price]],Table_13[[#This Row],[Quantity]])</f>
        <v>900000</v>
      </c>
      <c r="O678" s="16">
        <f>PRODUCT(Table_13[[#This Row],[Cost Price]],Table_13[[#This Row],[Quantity]])</f>
        <v>720000</v>
      </c>
      <c r="P678" s="27">
        <f t="shared" si="24"/>
        <v>180000</v>
      </c>
    </row>
    <row r="679" spans="1:16" x14ac:dyDescent="0.2">
      <c r="A679" s="33">
        <v>46353</v>
      </c>
      <c r="B679" s="30">
        <f t="shared" si="23"/>
        <v>11</v>
      </c>
      <c r="C679" s="30" t="str">
        <f>_xlfn.IFS(Table_13[[#This Row],[Month]]=1,"JAN",Table_13[[#This Row],[Month]]=2,"FEB",B679=3,"MAR",B679=4,"APR",B679=5,"MAY",B679=6,"JUN",B679=7,"JUL",B679=8,"AUG",Table_13[[#This Row],[Month]]=9,"SEPT",B679=10,"OCT",B679=11,"NOV",B679=12,"DEC")</f>
        <v>NOV</v>
      </c>
      <c r="D679" s="2" t="s">
        <v>25</v>
      </c>
      <c r="E679" s="2" t="s">
        <v>26</v>
      </c>
      <c r="F679" s="2" t="s">
        <v>13</v>
      </c>
      <c r="G679" s="2" t="s">
        <v>20</v>
      </c>
      <c r="H679" s="2" t="s">
        <v>21</v>
      </c>
      <c r="I679" s="2" t="s">
        <v>22</v>
      </c>
      <c r="J679" s="15">
        <v>30000</v>
      </c>
      <c r="K679" s="2">
        <v>8</v>
      </c>
      <c r="L679" s="2" t="s">
        <v>17</v>
      </c>
      <c r="M679" s="12">
        <f t="shared" si="18"/>
        <v>24000</v>
      </c>
      <c r="N679" s="10">
        <f>PRODUCT(Table_13[[#This Row],[Unit Price]],Table_13[[#This Row],[Quantity]])</f>
        <v>240000</v>
      </c>
      <c r="O679" s="16">
        <f>PRODUCT(Table_13[[#This Row],[Cost Price]],Table_13[[#This Row],[Quantity]])</f>
        <v>192000</v>
      </c>
      <c r="P679" s="27">
        <f t="shared" si="24"/>
        <v>48000</v>
      </c>
    </row>
    <row r="680" spans="1:16" x14ac:dyDescent="0.2">
      <c r="A680" s="33">
        <v>46354</v>
      </c>
      <c r="B680" s="30">
        <f t="shared" si="23"/>
        <v>11</v>
      </c>
      <c r="C680" s="30" t="str">
        <f>_xlfn.IFS(Table_13[[#This Row],[Month]]=1,"JAN",Table_13[[#This Row],[Month]]=2,"FEB",B680=3,"MAR",B680=4,"APR",B680=5,"MAY",B680=6,"JUN",B680=7,"JUL",B680=8,"AUG",Table_13[[#This Row],[Month]]=9,"SEPT",B680=10,"OCT",B680=11,"NOV",B680=12,"DEC")</f>
        <v>NOV</v>
      </c>
      <c r="D680" s="2" t="s">
        <v>29</v>
      </c>
      <c r="E680" s="2" t="s">
        <v>12</v>
      </c>
      <c r="F680" s="2" t="s">
        <v>13</v>
      </c>
      <c r="G680" s="2" t="s">
        <v>14</v>
      </c>
      <c r="H680" s="2" t="s">
        <v>30</v>
      </c>
      <c r="I680" s="2" t="s">
        <v>31</v>
      </c>
      <c r="J680" s="15">
        <v>300000</v>
      </c>
      <c r="K680" s="2">
        <v>7</v>
      </c>
      <c r="L680" s="2" t="s">
        <v>17</v>
      </c>
      <c r="M680" s="12">
        <f t="shared" si="18"/>
        <v>240000</v>
      </c>
      <c r="N680" s="10">
        <f>PRODUCT(Table_13[[#This Row],[Unit Price]],Table_13[[#This Row],[Quantity]])</f>
        <v>2100000</v>
      </c>
      <c r="O680" s="16">
        <f>PRODUCT(Table_13[[#This Row],[Cost Price]],Table_13[[#This Row],[Quantity]])</f>
        <v>1680000</v>
      </c>
      <c r="P680" s="27">
        <f t="shared" si="24"/>
        <v>420000</v>
      </c>
    </row>
    <row r="681" spans="1:16" x14ac:dyDescent="0.2">
      <c r="A681" s="33">
        <v>46355</v>
      </c>
      <c r="B681" s="30">
        <f t="shared" si="23"/>
        <v>11</v>
      </c>
      <c r="C681" s="30" t="str">
        <f>_xlfn.IFS(Table_13[[#This Row],[Month]]=1,"JAN",Table_13[[#This Row],[Month]]=2,"FEB",B681=3,"MAR",B681=4,"APR",B681=5,"MAY",B681=6,"JUN",B681=7,"JUL",B681=8,"AUG",Table_13[[#This Row],[Month]]=9,"SEPT",B681=10,"OCT",B681=11,"NOV",B681=12,"DEC")</f>
        <v>NOV</v>
      </c>
      <c r="D681" s="2" t="s">
        <v>18</v>
      </c>
      <c r="E681" s="2" t="s">
        <v>12</v>
      </c>
      <c r="F681" s="2" t="s">
        <v>13</v>
      </c>
      <c r="G681" s="2" t="s">
        <v>14</v>
      </c>
      <c r="H681" s="2" t="s">
        <v>21</v>
      </c>
      <c r="I681" s="2" t="s">
        <v>22</v>
      </c>
      <c r="J681" s="15">
        <v>30000</v>
      </c>
      <c r="K681" s="2">
        <v>2</v>
      </c>
      <c r="L681" s="2" t="s">
        <v>35</v>
      </c>
      <c r="M681" s="12">
        <f t="shared" si="18"/>
        <v>24000</v>
      </c>
      <c r="N681" s="10">
        <f>PRODUCT(Table_13[[#This Row],[Unit Price]],Table_13[[#This Row],[Quantity]])</f>
        <v>60000</v>
      </c>
      <c r="O681" s="16">
        <f>PRODUCT(Table_13[[#This Row],[Cost Price]],Table_13[[#This Row],[Quantity]])</f>
        <v>48000</v>
      </c>
      <c r="P681" s="27">
        <f t="shared" si="24"/>
        <v>12000</v>
      </c>
    </row>
    <row r="682" spans="1:16" x14ac:dyDescent="0.2">
      <c r="A682" s="33">
        <v>46356</v>
      </c>
      <c r="B682" s="30">
        <f t="shared" si="23"/>
        <v>11</v>
      </c>
      <c r="C682" s="30" t="str">
        <f>_xlfn.IFS(Table_13[[#This Row],[Month]]=1,"JAN",Table_13[[#This Row],[Month]]=2,"FEB",B682=3,"MAR",B682=4,"APR",B682=5,"MAY",B682=6,"JUN",B682=7,"JUL",B682=8,"AUG",Table_13[[#This Row],[Month]]=9,"SEPT",B682=10,"OCT",B682=11,"NOV",B682=12,"DEC")</f>
        <v>NOV</v>
      </c>
      <c r="D682" s="2" t="s">
        <v>18</v>
      </c>
      <c r="E682" s="2" t="s">
        <v>12</v>
      </c>
      <c r="F682" s="2" t="s">
        <v>23</v>
      </c>
      <c r="G682" s="2" t="s">
        <v>20</v>
      </c>
      <c r="H682" s="2" t="s">
        <v>41</v>
      </c>
      <c r="I682" s="2" t="s">
        <v>22</v>
      </c>
      <c r="J682" s="15">
        <v>220000</v>
      </c>
      <c r="K682" s="2">
        <v>8</v>
      </c>
      <c r="L682" s="2" t="s">
        <v>28</v>
      </c>
      <c r="M682" s="12">
        <f t="shared" si="18"/>
        <v>176000</v>
      </c>
      <c r="N682" s="10">
        <f>PRODUCT(Table_13[[#This Row],[Unit Price]],Table_13[[#This Row],[Quantity]])</f>
        <v>1760000</v>
      </c>
      <c r="O682" s="16">
        <f>PRODUCT(Table_13[[#This Row],[Cost Price]],Table_13[[#This Row],[Quantity]])</f>
        <v>1408000</v>
      </c>
      <c r="P682" s="27">
        <f t="shared" si="24"/>
        <v>352000</v>
      </c>
    </row>
    <row r="683" spans="1:16" x14ac:dyDescent="0.2">
      <c r="A683" s="33">
        <v>46357</v>
      </c>
      <c r="B683" s="30">
        <f t="shared" si="23"/>
        <v>12</v>
      </c>
      <c r="C683" s="30" t="str">
        <f>_xlfn.IFS(Table_13[[#This Row],[Month]]=1,"JAN",Table_13[[#This Row],[Month]]=2,"FEB",B683=3,"MAR",B683=4,"APR",B683=5,"MAY",B683=6,"JUN",B683=7,"JUL",B683=8,"AUG",Table_13[[#This Row],[Month]]=9,"SEPT",B683=10,"OCT",B683=11,"NOV",B683=12,"DEC")</f>
        <v>DEC</v>
      </c>
      <c r="D683" s="2" t="s">
        <v>11</v>
      </c>
      <c r="E683" s="2" t="s">
        <v>26</v>
      </c>
      <c r="F683" s="2" t="s">
        <v>13</v>
      </c>
      <c r="G683" s="2" t="s">
        <v>14</v>
      </c>
      <c r="H683" s="2" t="s">
        <v>27</v>
      </c>
      <c r="I683" s="2" t="s">
        <v>22</v>
      </c>
      <c r="J683" s="15">
        <v>60000</v>
      </c>
      <c r="K683" s="2">
        <v>1</v>
      </c>
      <c r="L683" s="2" t="s">
        <v>17</v>
      </c>
      <c r="M683" s="12">
        <f t="shared" si="18"/>
        <v>48000</v>
      </c>
      <c r="N683" s="10">
        <f>PRODUCT(Table_13[[#This Row],[Unit Price]],Table_13[[#This Row],[Quantity]])</f>
        <v>60000</v>
      </c>
      <c r="O683" s="16">
        <f>PRODUCT(Table_13[[#This Row],[Cost Price]],Table_13[[#This Row],[Quantity]])</f>
        <v>48000</v>
      </c>
      <c r="P683" s="27">
        <f t="shared" si="24"/>
        <v>12000</v>
      </c>
    </row>
    <row r="684" spans="1:16" x14ac:dyDescent="0.2">
      <c r="A684" s="33">
        <v>46358</v>
      </c>
      <c r="B684" s="30">
        <f t="shared" si="23"/>
        <v>12</v>
      </c>
      <c r="C684" s="30" t="str">
        <f>_xlfn.IFS(Table_13[[#This Row],[Month]]=1,"JAN",Table_13[[#This Row],[Month]]=2,"FEB",B684=3,"MAR",B684=4,"APR",B684=5,"MAY",B684=6,"JUN",B684=7,"JUL",B684=8,"AUG",Table_13[[#This Row],[Month]]=9,"SEPT",B684=10,"OCT",B684=11,"NOV",B684=12,"DEC")</f>
        <v>DEC</v>
      </c>
      <c r="D684" s="2" t="s">
        <v>25</v>
      </c>
      <c r="E684" s="2" t="s">
        <v>26</v>
      </c>
      <c r="F684" s="2" t="s">
        <v>23</v>
      </c>
      <c r="G684" s="2" t="s">
        <v>14</v>
      </c>
      <c r="H684" s="2" t="s">
        <v>15</v>
      </c>
      <c r="I684" s="2" t="s">
        <v>16</v>
      </c>
      <c r="J684" s="15">
        <v>85000</v>
      </c>
      <c r="K684" s="2">
        <v>9</v>
      </c>
      <c r="L684" s="2" t="s">
        <v>37</v>
      </c>
      <c r="M684" s="12">
        <f t="shared" si="18"/>
        <v>68000</v>
      </c>
      <c r="N684" s="10">
        <f>PRODUCT(Table_13[[#This Row],[Unit Price]],Table_13[[#This Row],[Quantity]])</f>
        <v>765000</v>
      </c>
      <c r="O684" s="16">
        <f>PRODUCT(Table_13[[#This Row],[Cost Price]],Table_13[[#This Row],[Quantity]])</f>
        <v>612000</v>
      </c>
      <c r="P684" s="27">
        <f t="shared" si="24"/>
        <v>153000</v>
      </c>
    </row>
    <row r="685" spans="1:16" x14ac:dyDescent="0.2">
      <c r="A685" s="33">
        <v>46359</v>
      </c>
      <c r="B685" s="30">
        <f t="shared" si="23"/>
        <v>12</v>
      </c>
      <c r="C685" s="30" t="str">
        <f>_xlfn.IFS(Table_13[[#This Row],[Month]]=1,"JAN",Table_13[[#This Row],[Month]]=2,"FEB",B685=3,"MAR",B685=4,"APR",B685=5,"MAY",B685=6,"JUN",B685=7,"JUL",B685=8,"AUG",Table_13[[#This Row],[Month]]=9,"SEPT",B685=10,"OCT",B685=11,"NOV",B685=12,"DEC")</f>
        <v>DEC</v>
      </c>
      <c r="D685" s="2" t="s">
        <v>18</v>
      </c>
      <c r="E685" s="2" t="s">
        <v>19</v>
      </c>
      <c r="F685" s="2" t="s">
        <v>13</v>
      </c>
      <c r="G685" s="2" t="s">
        <v>20</v>
      </c>
      <c r="H685" s="2" t="s">
        <v>15</v>
      </c>
      <c r="I685" s="2" t="s">
        <v>16</v>
      </c>
      <c r="J685" s="15">
        <v>85000</v>
      </c>
      <c r="K685" s="2">
        <v>4</v>
      </c>
      <c r="L685" s="2" t="s">
        <v>35</v>
      </c>
      <c r="M685" s="12">
        <f t="shared" si="18"/>
        <v>68000</v>
      </c>
      <c r="N685" s="10">
        <f>PRODUCT(Table_13[[#This Row],[Unit Price]],Table_13[[#This Row],[Quantity]])</f>
        <v>340000</v>
      </c>
      <c r="O685" s="16">
        <f>PRODUCT(Table_13[[#This Row],[Cost Price]],Table_13[[#This Row],[Quantity]])</f>
        <v>272000</v>
      </c>
      <c r="P685" s="27">
        <f t="shared" si="24"/>
        <v>68000</v>
      </c>
    </row>
    <row r="686" spans="1:16" x14ac:dyDescent="0.2">
      <c r="A686" s="33">
        <v>46360</v>
      </c>
      <c r="B686" s="30">
        <f t="shared" si="23"/>
        <v>12</v>
      </c>
      <c r="C686" s="30" t="str">
        <f>_xlfn.IFS(Table_13[[#This Row],[Month]]=1,"JAN",Table_13[[#This Row],[Month]]=2,"FEB",B686=3,"MAR",B686=4,"APR",B686=5,"MAY",B686=6,"JUN",B686=7,"JUL",B686=8,"AUG",Table_13[[#This Row],[Month]]=9,"SEPT",B686=10,"OCT",B686=11,"NOV",B686=12,"DEC")</f>
        <v>DEC</v>
      </c>
      <c r="D686" s="2" t="s">
        <v>18</v>
      </c>
      <c r="E686" s="2" t="s">
        <v>32</v>
      </c>
      <c r="F686" s="2" t="s">
        <v>23</v>
      </c>
      <c r="G686" s="2" t="s">
        <v>20</v>
      </c>
      <c r="H686" s="2" t="s">
        <v>33</v>
      </c>
      <c r="I686" s="2" t="s">
        <v>22</v>
      </c>
      <c r="J686" s="15">
        <v>180000</v>
      </c>
      <c r="K686" s="2">
        <v>6</v>
      </c>
      <c r="L686" s="2" t="s">
        <v>17</v>
      </c>
      <c r="M686" s="12">
        <f t="shared" si="18"/>
        <v>144000</v>
      </c>
      <c r="N686" s="10">
        <f>PRODUCT(Table_13[[#This Row],[Unit Price]],Table_13[[#This Row],[Quantity]])</f>
        <v>1080000</v>
      </c>
      <c r="O686" s="16">
        <f>PRODUCT(Table_13[[#This Row],[Cost Price]],Table_13[[#This Row],[Quantity]])</f>
        <v>864000</v>
      </c>
      <c r="P686" s="27">
        <f t="shared" si="24"/>
        <v>216000</v>
      </c>
    </row>
    <row r="687" spans="1:16" x14ac:dyDescent="0.2">
      <c r="A687" s="33">
        <v>46361</v>
      </c>
      <c r="B687" s="30">
        <f t="shared" si="23"/>
        <v>12</v>
      </c>
      <c r="C687" s="30" t="str">
        <f>_xlfn.IFS(Table_13[[#This Row],[Month]]=1,"JAN",Table_13[[#This Row],[Month]]=2,"FEB",B687=3,"MAR",B687=4,"APR",B687=5,"MAY",B687=6,"JUN",B687=7,"JUL",B687=8,"AUG",Table_13[[#This Row],[Month]]=9,"SEPT",B687=10,"OCT",B687=11,"NOV",B687=12,"DEC")</f>
        <v>DEC</v>
      </c>
      <c r="D687" s="2" t="s">
        <v>11</v>
      </c>
      <c r="E687" s="2" t="s">
        <v>32</v>
      </c>
      <c r="F687" s="2" t="s">
        <v>13</v>
      </c>
      <c r="G687" s="2" t="s">
        <v>14</v>
      </c>
      <c r="H687" s="2" t="s">
        <v>33</v>
      </c>
      <c r="I687" s="2" t="s">
        <v>22</v>
      </c>
      <c r="J687" s="15">
        <v>180000</v>
      </c>
      <c r="K687" s="2">
        <v>2</v>
      </c>
      <c r="L687" s="2" t="s">
        <v>39</v>
      </c>
      <c r="M687" s="12">
        <f t="shared" si="18"/>
        <v>144000</v>
      </c>
      <c r="N687" s="10">
        <f>PRODUCT(Table_13[[#This Row],[Unit Price]],Table_13[[#This Row],[Quantity]])</f>
        <v>360000</v>
      </c>
      <c r="O687" s="16">
        <f>PRODUCT(Table_13[[#This Row],[Cost Price]],Table_13[[#This Row],[Quantity]])</f>
        <v>288000</v>
      </c>
      <c r="P687" s="27">
        <f t="shared" si="24"/>
        <v>72000</v>
      </c>
    </row>
    <row r="688" spans="1:16" x14ac:dyDescent="0.2">
      <c r="A688" s="33">
        <v>46362</v>
      </c>
      <c r="B688" s="30">
        <f t="shared" si="23"/>
        <v>12</v>
      </c>
      <c r="C688" s="30" t="str">
        <f>_xlfn.IFS(Table_13[[#This Row],[Month]]=1,"JAN",Table_13[[#This Row],[Month]]=2,"FEB",B688=3,"MAR",B688=4,"APR",B688=5,"MAY",B688=6,"JUN",B688=7,"JUL",B688=8,"AUG",Table_13[[#This Row],[Month]]=9,"SEPT",B688=10,"OCT",B688=11,"NOV",B688=12,"DEC")</f>
        <v>DEC</v>
      </c>
      <c r="D688" s="2" t="s">
        <v>29</v>
      </c>
      <c r="E688" s="2" t="s">
        <v>12</v>
      </c>
      <c r="F688" s="2" t="s">
        <v>13</v>
      </c>
      <c r="G688" s="2" t="s">
        <v>14</v>
      </c>
      <c r="H688" s="2" t="s">
        <v>27</v>
      </c>
      <c r="I688" s="2" t="s">
        <v>22</v>
      </c>
      <c r="J688" s="15">
        <v>60000</v>
      </c>
      <c r="K688" s="2">
        <v>8</v>
      </c>
      <c r="L688" s="2" t="s">
        <v>28</v>
      </c>
      <c r="M688" s="12">
        <f t="shared" si="18"/>
        <v>48000</v>
      </c>
      <c r="N688" s="10">
        <f>PRODUCT(Table_13[[#This Row],[Unit Price]],Table_13[[#This Row],[Quantity]])</f>
        <v>480000</v>
      </c>
      <c r="O688" s="16">
        <f>PRODUCT(Table_13[[#This Row],[Cost Price]],Table_13[[#This Row],[Quantity]])</f>
        <v>384000</v>
      </c>
      <c r="P688" s="27">
        <f t="shared" si="24"/>
        <v>96000</v>
      </c>
    </row>
    <row r="689" spans="1:16" x14ac:dyDescent="0.2">
      <c r="A689" s="33">
        <v>46363</v>
      </c>
      <c r="B689" s="30">
        <f t="shared" si="23"/>
        <v>12</v>
      </c>
      <c r="C689" s="30" t="str">
        <f>_xlfn.IFS(Table_13[[#This Row],[Month]]=1,"JAN",Table_13[[#This Row],[Month]]=2,"FEB",B689=3,"MAR",B689=4,"APR",B689=5,"MAY",B689=6,"JUN",B689=7,"JUL",B689=8,"AUG",Table_13[[#This Row],[Month]]=9,"SEPT",B689=10,"OCT",B689=11,"NOV",B689=12,"DEC")</f>
        <v>DEC</v>
      </c>
      <c r="D689" s="2" t="s">
        <v>29</v>
      </c>
      <c r="E689" s="2" t="s">
        <v>32</v>
      </c>
      <c r="F689" s="2" t="s">
        <v>13</v>
      </c>
      <c r="G689" s="2" t="s">
        <v>14</v>
      </c>
      <c r="H689" s="2" t="s">
        <v>34</v>
      </c>
      <c r="I689" s="2" t="s">
        <v>16</v>
      </c>
      <c r="J689" s="15">
        <v>320000</v>
      </c>
      <c r="K689" s="2">
        <v>4</v>
      </c>
      <c r="L689" s="2" t="s">
        <v>35</v>
      </c>
      <c r="M689" s="12">
        <f t="shared" si="18"/>
        <v>256000</v>
      </c>
      <c r="N689" s="10">
        <f>PRODUCT(Table_13[[#This Row],[Unit Price]],Table_13[[#This Row],[Quantity]])</f>
        <v>1280000</v>
      </c>
      <c r="O689" s="16">
        <f>PRODUCT(Table_13[[#This Row],[Cost Price]],Table_13[[#This Row],[Quantity]])</f>
        <v>1024000</v>
      </c>
      <c r="P689" s="27">
        <f t="shared" si="24"/>
        <v>256000</v>
      </c>
    </row>
    <row r="690" spans="1:16" x14ac:dyDescent="0.2">
      <c r="A690" s="33">
        <v>46364</v>
      </c>
      <c r="B690" s="30">
        <f t="shared" si="23"/>
        <v>12</v>
      </c>
      <c r="C690" s="30" t="str">
        <f>_xlfn.IFS(Table_13[[#This Row],[Month]]=1,"JAN",Table_13[[#This Row],[Month]]=2,"FEB",B690=3,"MAR",B690=4,"APR",B690=5,"MAY",B690=6,"JUN",B690=7,"JUL",B690=8,"AUG",Table_13[[#This Row],[Month]]=9,"SEPT",B690=10,"OCT",B690=11,"NOV",B690=12,"DEC")</f>
        <v>DEC</v>
      </c>
      <c r="D690" s="2" t="s">
        <v>18</v>
      </c>
      <c r="E690" s="2" t="s">
        <v>19</v>
      </c>
      <c r="F690" s="2" t="s">
        <v>23</v>
      </c>
      <c r="G690" s="2" t="s">
        <v>14</v>
      </c>
      <c r="H690" s="2" t="s">
        <v>33</v>
      </c>
      <c r="I690" s="2" t="s">
        <v>22</v>
      </c>
      <c r="J690" s="15">
        <v>180000</v>
      </c>
      <c r="K690" s="2">
        <v>3</v>
      </c>
      <c r="L690" s="2" t="s">
        <v>24</v>
      </c>
      <c r="M690" s="12">
        <f t="shared" si="18"/>
        <v>144000</v>
      </c>
      <c r="N690" s="10">
        <f>PRODUCT(Table_13[[#This Row],[Unit Price]],Table_13[[#This Row],[Quantity]])</f>
        <v>540000</v>
      </c>
      <c r="O690" s="16">
        <f>PRODUCT(Table_13[[#This Row],[Cost Price]],Table_13[[#This Row],[Quantity]])</f>
        <v>432000</v>
      </c>
      <c r="P690" s="27">
        <f t="shared" si="24"/>
        <v>108000</v>
      </c>
    </row>
    <row r="691" spans="1:16" x14ac:dyDescent="0.2">
      <c r="A691" s="33">
        <v>46365</v>
      </c>
      <c r="B691" s="30">
        <f t="shared" si="23"/>
        <v>12</v>
      </c>
      <c r="C691" s="30" t="str">
        <f>_xlfn.IFS(Table_13[[#This Row],[Month]]=1,"JAN",Table_13[[#This Row],[Month]]=2,"FEB",B691=3,"MAR",B691=4,"APR",B691=5,"MAY",B691=6,"JUN",B691=7,"JUL",B691=8,"AUG",Table_13[[#This Row],[Month]]=9,"SEPT",B691=10,"OCT",B691=11,"NOV",B691=12,"DEC")</f>
        <v>DEC</v>
      </c>
      <c r="D691" s="2" t="s">
        <v>18</v>
      </c>
      <c r="E691" s="2" t="s">
        <v>12</v>
      </c>
      <c r="F691" s="2" t="s">
        <v>13</v>
      </c>
      <c r="G691" s="2" t="s">
        <v>20</v>
      </c>
      <c r="H691" s="2" t="s">
        <v>36</v>
      </c>
      <c r="I691" s="2" t="s">
        <v>31</v>
      </c>
      <c r="J691" s="15">
        <v>150000</v>
      </c>
      <c r="K691" s="2">
        <v>9</v>
      </c>
      <c r="L691" s="2" t="s">
        <v>28</v>
      </c>
      <c r="M691" s="12">
        <f t="shared" si="18"/>
        <v>120000</v>
      </c>
      <c r="N691" s="10">
        <f>PRODUCT(Table_13[[#This Row],[Unit Price]],Table_13[[#This Row],[Quantity]])</f>
        <v>1350000</v>
      </c>
      <c r="O691" s="16">
        <f>PRODUCT(Table_13[[#This Row],[Cost Price]],Table_13[[#This Row],[Quantity]])</f>
        <v>1080000</v>
      </c>
      <c r="P691" s="27">
        <f t="shared" si="24"/>
        <v>270000</v>
      </c>
    </row>
    <row r="692" spans="1:16" x14ac:dyDescent="0.2">
      <c r="A692" s="33">
        <v>46366</v>
      </c>
      <c r="B692" s="30">
        <f t="shared" si="23"/>
        <v>12</v>
      </c>
      <c r="C692" s="30" t="str">
        <f>_xlfn.IFS(Table_13[[#This Row],[Month]]=1,"JAN",Table_13[[#This Row],[Month]]=2,"FEB",B692=3,"MAR",B692=4,"APR",B692=5,"MAY",B692=6,"JUN",B692=7,"JUL",B692=8,"AUG",Table_13[[#This Row],[Month]]=9,"SEPT",B692=10,"OCT",B692=11,"NOV",B692=12,"DEC")</f>
        <v>DEC</v>
      </c>
      <c r="D692" s="2" t="s">
        <v>18</v>
      </c>
      <c r="E692" s="2" t="s">
        <v>19</v>
      </c>
      <c r="F692" s="2" t="s">
        <v>23</v>
      </c>
      <c r="G692" s="2" t="s">
        <v>20</v>
      </c>
      <c r="H692" s="2" t="s">
        <v>15</v>
      </c>
      <c r="I692" s="2" t="s">
        <v>16</v>
      </c>
      <c r="J692" s="15">
        <v>85000</v>
      </c>
      <c r="K692" s="2">
        <v>4</v>
      </c>
      <c r="L692" s="2" t="s">
        <v>17</v>
      </c>
      <c r="M692" s="12">
        <f t="shared" si="18"/>
        <v>68000</v>
      </c>
      <c r="N692" s="10">
        <f>PRODUCT(Table_13[[#This Row],[Unit Price]],Table_13[[#This Row],[Quantity]])</f>
        <v>340000</v>
      </c>
      <c r="O692" s="16">
        <f>PRODUCT(Table_13[[#This Row],[Cost Price]],Table_13[[#This Row],[Quantity]])</f>
        <v>272000</v>
      </c>
      <c r="P692" s="27">
        <f t="shared" si="24"/>
        <v>68000</v>
      </c>
    </row>
    <row r="693" spans="1:16" x14ac:dyDescent="0.2">
      <c r="A693" s="33">
        <v>46367</v>
      </c>
      <c r="B693" s="30">
        <f t="shared" si="23"/>
        <v>12</v>
      </c>
      <c r="C693" s="30" t="str">
        <f>_xlfn.IFS(Table_13[[#This Row],[Month]]=1,"JAN",Table_13[[#This Row],[Month]]=2,"FEB",B693=3,"MAR",B693=4,"APR",B693=5,"MAY",B693=6,"JUN",B693=7,"JUL",B693=8,"AUG",Table_13[[#This Row],[Month]]=9,"SEPT",B693=10,"OCT",B693=11,"NOV",B693=12,"DEC")</f>
        <v>DEC</v>
      </c>
      <c r="D693" s="2" t="s">
        <v>25</v>
      </c>
      <c r="E693" s="2" t="s">
        <v>26</v>
      </c>
      <c r="F693" s="2" t="s">
        <v>13</v>
      </c>
      <c r="G693" s="2" t="s">
        <v>14</v>
      </c>
      <c r="H693" s="2" t="s">
        <v>41</v>
      </c>
      <c r="I693" s="2" t="s">
        <v>22</v>
      </c>
      <c r="J693" s="15">
        <v>220000</v>
      </c>
      <c r="K693" s="2">
        <v>4</v>
      </c>
      <c r="L693" s="2" t="s">
        <v>17</v>
      </c>
      <c r="M693" s="12">
        <f t="shared" si="18"/>
        <v>176000</v>
      </c>
      <c r="N693" s="10">
        <f>PRODUCT(Table_13[[#This Row],[Unit Price]],Table_13[[#This Row],[Quantity]])</f>
        <v>880000</v>
      </c>
      <c r="O693" s="16">
        <f>PRODUCT(Table_13[[#This Row],[Cost Price]],Table_13[[#This Row],[Quantity]])</f>
        <v>704000</v>
      </c>
      <c r="P693" s="27">
        <f t="shared" si="24"/>
        <v>176000</v>
      </c>
    </row>
    <row r="694" spans="1:16" x14ac:dyDescent="0.2">
      <c r="A694" s="33">
        <v>46368</v>
      </c>
      <c r="B694" s="30">
        <f t="shared" si="23"/>
        <v>12</v>
      </c>
      <c r="C694" s="30" t="str">
        <f>_xlfn.IFS(Table_13[[#This Row],[Month]]=1,"JAN",Table_13[[#This Row],[Month]]=2,"FEB",B694=3,"MAR",B694=4,"APR",B694=5,"MAY",B694=6,"JUN",B694=7,"JUL",B694=8,"AUG",Table_13[[#This Row],[Month]]=9,"SEPT",B694=10,"OCT",B694=11,"NOV",B694=12,"DEC")</f>
        <v>DEC</v>
      </c>
      <c r="D694" s="2" t="s">
        <v>29</v>
      </c>
      <c r="E694" s="2" t="s">
        <v>12</v>
      </c>
      <c r="F694" s="2" t="s">
        <v>13</v>
      </c>
      <c r="G694" s="2" t="s">
        <v>14</v>
      </c>
      <c r="H694" s="2" t="s">
        <v>21</v>
      </c>
      <c r="I694" s="2" t="s">
        <v>22</v>
      </c>
      <c r="J694" s="15">
        <v>30000</v>
      </c>
      <c r="K694" s="2">
        <v>8</v>
      </c>
      <c r="L694" s="2" t="s">
        <v>37</v>
      </c>
      <c r="M694" s="12">
        <f t="shared" si="18"/>
        <v>24000</v>
      </c>
      <c r="N694" s="10">
        <f>PRODUCT(Table_13[[#This Row],[Unit Price]],Table_13[[#This Row],[Quantity]])</f>
        <v>240000</v>
      </c>
      <c r="O694" s="16">
        <f>PRODUCT(Table_13[[#This Row],[Cost Price]],Table_13[[#This Row],[Quantity]])</f>
        <v>192000</v>
      </c>
      <c r="P694" s="27">
        <f t="shared" si="24"/>
        <v>48000</v>
      </c>
    </row>
    <row r="695" spans="1:16" x14ac:dyDescent="0.2">
      <c r="A695" s="33">
        <v>46369</v>
      </c>
      <c r="B695" s="30">
        <f t="shared" si="23"/>
        <v>12</v>
      </c>
      <c r="C695" s="30" t="str">
        <f>_xlfn.IFS(Table_13[[#This Row],[Month]]=1,"JAN",Table_13[[#This Row],[Month]]=2,"FEB",B695=3,"MAR",B695=4,"APR",B695=5,"MAY",B695=6,"JUN",B695=7,"JUL",B695=8,"AUG",Table_13[[#This Row],[Month]]=9,"SEPT",B695=10,"OCT",B695=11,"NOV",B695=12,"DEC")</f>
        <v>DEC</v>
      </c>
      <c r="D695" s="2" t="s">
        <v>25</v>
      </c>
      <c r="E695" s="2" t="s">
        <v>12</v>
      </c>
      <c r="F695" s="2" t="s">
        <v>13</v>
      </c>
      <c r="G695" s="2" t="s">
        <v>14</v>
      </c>
      <c r="H695" s="2" t="s">
        <v>15</v>
      </c>
      <c r="I695" s="2" t="s">
        <v>16</v>
      </c>
      <c r="J695" s="15">
        <v>85000</v>
      </c>
      <c r="K695" s="2">
        <v>4</v>
      </c>
      <c r="L695" s="2" t="s">
        <v>17</v>
      </c>
      <c r="M695" s="12">
        <f t="shared" si="18"/>
        <v>68000</v>
      </c>
      <c r="N695" s="10">
        <f>PRODUCT(Table_13[[#This Row],[Unit Price]],Table_13[[#This Row],[Quantity]])</f>
        <v>340000</v>
      </c>
      <c r="O695" s="16">
        <f>PRODUCT(Table_13[[#This Row],[Cost Price]],Table_13[[#This Row],[Quantity]])</f>
        <v>272000</v>
      </c>
      <c r="P695" s="27">
        <f t="shared" si="24"/>
        <v>68000</v>
      </c>
    </row>
    <row r="696" spans="1:16" x14ac:dyDescent="0.2">
      <c r="A696" s="33">
        <v>46370</v>
      </c>
      <c r="B696" s="30">
        <f t="shared" si="23"/>
        <v>12</v>
      </c>
      <c r="C696" s="30" t="str">
        <f>_xlfn.IFS(Table_13[[#This Row],[Month]]=1,"JAN",Table_13[[#This Row],[Month]]=2,"FEB",B696=3,"MAR",B696=4,"APR",B696=5,"MAY",B696=6,"JUN",B696=7,"JUL",B696=8,"AUG",Table_13[[#This Row],[Month]]=9,"SEPT",B696=10,"OCT",B696=11,"NOV",B696=12,"DEC")</f>
        <v>DEC</v>
      </c>
      <c r="D696" s="2" t="s">
        <v>29</v>
      </c>
      <c r="E696" s="2" t="s">
        <v>12</v>
      </c>
      <c r="F696" s="2" t="s">
        <v>13</v>
      </c>
      <c r="G696" s="2" t="s">
        <v>14</v>
      </c>
      <c r="H696" s="2" t="s">
        <v>30</v>
      </c>
      <c r="I696" s="2" t="s">
        <v>31</v>
      </c>
      <c r="J696" s="15">
        <v>300000</v>
      </c>
      <c r="K696" s="2">
        <v>2</v>
      </c>
      <c r="L696" s="2" t="s">
        <v>28</v>
      </c>
      <c r="M696" s="12">
        <f t="shared" si="18"/>
        <v>240000</v>
      </c>
      <c r="N696" s="10">
        <f>PRODUCT(Table_13[[#This Row],[Unit Price]],Table_13[[#This Row],[Quantity]])</f>
        <v>600000</v>
      </c>
      <c r="O696" s="16">
        <f>PRODUCT(Table_13[[#This Row],[Cost Price]],Table_13[[#This Row],[Quantity]])</f>
        <v>480000</v>
      </c>
      <c r="P696" s="27">
        <f t="shared" si="24"/>
        <v>120000</v>
      </c>
    </row>
    <row r="697" spans="1:16" x14ac:dyDescent="0.2">
      <c r="A697" s="33">
        <v>46371</v>
      </c>
      <c r="B697" s="30">
        <f t="shared" si="23"/>
        <v>12</v>
      </c>
      <c r="C697" s="30" t="str">
        <f>_xlfn.IFS(Table_13[[#This Row],[Month]]=1,"JAN",Table_13[[#This Row],[Month]]=2,"FEB",B697=3,"MAR",B697=4,"APR",B697=5,"MAY",B697=6,"JUN",B697=7,"JUL",B697=8,"AUG",Table_13[[#This Row],[Month]]=9,"SEPT",B697=10,"OCT",B697=11,"NOV",B697=12,"DEC")</f>
        <v>DEC</v>
      </c>
      <c r="D697" s="2" t="s">
        <v>11</v>
      </c>
      <c r="E697" s="2" t="s">
        <v>26</v>
      </c>
      <c r="F697" s="2" t="s">
        <v>23</v>
      </c>
      <c r="G697" s="2" t="s">
        <v>20</v>
      </c>
      <c r="H697" s="2" t="s">
        <v>15</v>
      </c>
      <c r="I697" s="2" t="s">
        <v>16</v>
      </c>
      <c r="J697" s="15">
        <v>85000</v>
      </c>
      <c r="K697" s="2">
        <v>2</v>
      </c>
      <c r="L697" s="2" t="s">
        <v>37</v>
      </c>
      <c r="M697" s="12">
        <f t="shared" si="18"/>
        <v>68000</v>
      </c>
      <c r="N697" s="10">
        <f>PRODUCT(Table_13[[#This Row],[Unit Price]],Table_13[[#This Row],[Quantity]])</f>
        <v>170000</v>
      </c>
      <c r="O697" s="16">
        <f>PRODUCT(Table_13[[#This Row],[Cost Price]],Table_13[[#This Row],[Quantity]])</f>
        <v>136000</v>
      </c>
      <c r="P697" s="27">
        <f t="shared" si="24"/>
        <v>34000</v>
      </c>
    </row>
    <row r="698" spans="1:16" x14ac:dyDescent="0.2">
      <c r="A698" s="33">
        <v>46372</v>
      </c>
      <c r="B698" s="30">
        <f t="shared" si="23"/>
        <v>12</v>
      </c>
      <c r="C698" s="30" t="str">
        <f>_xlfn.IFS(Table_13[[#This Row],[Month]]=1,"JAN",Table_13[[#This Row],[Month]]=2,"FEB",B698=3,"MAR",B698=4,"APR",B698=5,"MAY",B698=6,"JUN",B698=7,"JUL",B698=8,"AUG",Table_13[[#This Row],[Month]]=9,"SEPT",B698=10,"OCT",B698=11,"NOV",B698=12,"DEC")</f>
        <v>DEC</v>
      </c>
      <c r="D698" s="2" t="s">
        <v>11</v>
      </c>
      <c r="E698" s="2" t="s">
        <v>12</v>
      </c>
      <c r="F698" s="2" t="s">
        <v>23</v>
      </c>
      <c r="G698" s="2" t="s">
        <v>14</v>
      </c>
      <c r="H698" s="2" t="s">
        <v>38</v>
      </c>
      <c r="I698" s="2" t="s">
        <v>31</v>
      </c>
      <c r="J698" s="15">
        <v>420000</v>
      </c>
      <c r="K698" s="2">
        <v>5</v>
      </c>
      <c r="L698" s="2" t="s">
        <v>17</v>
      </c>
      <c r="M698" s="12">
        <f t="shared" si="18"/>
        <v>336000</v>
      </c>
      <c r="N698" s="10">
        <f>PRODUCT(Table_13[[#This Row],[Unit Price]],Table_13[[#This Row],[Quantity]])</f>
        <v>2100000</v>
      </c>
      <c r="O698" s="16">
        <f>PRODUCT(Table_13[[#This Row],[Cost Price]],Table_13[[#This Row],[Quantity]])</f>
        <v>1680000</v>
      </c>
      <c r="P698" s="27">
        <f t="shared" si="24"/>
        <v>420000</v>
      </c>
    </row>
    <row r="699" spans="1:16" x14ac:dyDescent="0.2">
      <c r="A699" s="33">
        <v>46373</v>
      </c>
      <c r="B699" s="30">
        <f t="shared" si="23"/>
        <v>12</v>
      </c>
      <c r="C699" s="30" t="str">
        <f>_xlfn.IFS(Table_13[[#This Row],[Month]]=1,"JAN",Table_13[[#This Row],[Month]]=2,"FEB",B699=3,"MAR",B699=4,"APR",B699=5,"MAY",B699=6,"JUN",B699=7,"JUL",B699=8,"AUG",Table_13[[#This Row],[Month]]=9,"SEPT",B699=10,"OCT",B699=11,"NOV",B699=12,"DEC")</f>
        <v>DEC</v>
      </c>
      <c r="D699" s="2" t="s">
        <v>25</v>
      </c>
      <c r="E699" s="2" t="s">
        <v>26</v>
      </c>
      <c r="F699" s="2" t="s">
        <v>23</v>
      </c>
      <c r="G699" s="2" t="s">
        <v>14</v>
      </c>
      <c r="H699" s="2" t="s">
        <v>30</v>
      </c>
      <c r="I699" s="2" t="s">
        <v>31</v>
      </c>
      <c r="J699" s="15">
        <v>300000</v>
      </c>
      <c r="K699" s="2">
        <v>8</v>
      </c>
      <c r="L699" s="2" t="s">
        <v>24</v>
      </c>
      <c r="M699" s="12">
        <f t="shared" si="18"/>
        <v>240000</v>
      </c>
      <c r="N699" s="10">
        <f>PRODUCT(Table_13[[#This Row],[Unit Price]],Table_13[[#This Row],[Quantity]])</f>
        <v>2400000</v>
      </c>
      <c r="O699" s="16">
        <f>PRODUCT(Table_13[[#This Row],[Cost Price]],Table_13[[#This Row],[Quantity]])</f>
        <v>1920000</v>
      </c>
      <c r="P699" s="27">
        <f t="shared" si="24"/>
        <v>480000</v>
      </c>
    </row>
    <row r="700" spans="1:16" x14ac:dyDescent="0.2">
      <c r="A700" s="33">
        <v>46374</v>
      </c>
      <c r="B700" s="30">
        <f t="shared" si="23"/>
        <v>12</v>
      </c>
      <c r="C700" s="30" t="str">
        <f>_xlfn.IFS(Table_13[[#This Row],[Month]]=1,"JAN",Table_13[[#This Row],[Month]]=2,"FEB",B700=3,"MAR",B700=4,"APR",B700=5,"MAY",B700=6,"JUN",B700=7,"JUL",B700=8,"AUG",Table_13[[#This Row],[Month]]=9,"SEPT",B700=10,"OCT",B700=11,"NOV",B700=12,"DEC")</f>
        <v>DEC</v>
      </c>
      <c r="D700" s="2" t="s">
        <v>11</v>
      </c>
      <c r="E700" s="2" t="s">
        <v>19</v>
      </c>
      <c r="F700" s="2" t="s">
        <v>23</v>
      </c>
      <c r="G700" s="2" t="s">
        <v>20</v>
      </c>
      <c r="H700" s="2" t="s">
        <v>27</v>
      </c>
      <c r="I700" s="2" t="s">
        <v>22</v>
      </c>
      <c r="J700" s="15">
        <v>60000</v>
      </c>
      <c r="K700" s="2">
        <v>1</v>
      </c>
      <c r="L700" s="2" t="s">
        <v>17</v>
      </c>
      <c r="M700" s="12">
        <f t="shared" si="18"/>
        <v>48000</v>
      </c>
      <c r="N700" s="10">
        <f>PRODUCT(Table_13[[#This Row],[Unit Price]],Table_13[[#This Row],[Quantity]])</f>
        <v>60000</v>
      </c>
      <c r="O700" s="16">
        <f>PRODUCT(Table_13[[#This Row],[Cost Price]],Table_13[[#This Row],[Quantity]])</f>
        <v>48000</v>
      </c>
      <c r="P700" s="27">
        <f t="shared" si="24"/>
        <v>12000</v>
      </c>
    </row>
    <row r="701" spans="1:16" x14ac:dyDescent="0.2">
      <c r="A701" s="33">
        <v>46375</v>
      </c>
      <c r="B701" s="30">
        <f t="shared" si="23"/>
        <v>12</v>
      </c>
      <c r="C701" s="30" t="str">
        <f>_xlfn.IFS(Table_13[[#This Row],[Month]]=1,"JAN",Table_13[[#This Row],[Month]]=2,"FEB",B701=3,"MAR",B701=4,"APR",B701=5,"MAY",B701=6,"JUN",B701=7,"JUL",B701=8,"AUG",Table_13[[#This Row],[Month]]=9,"SEPT",B701=10,"OCT",B701=11,"NOV",B701=12,"DEC")</f>
        <v>DEC</v>
      </c>
      <c r="D701" s="2" t="s">
        <v>11</v>
      </c>
      <c r="E701" s="2" t="s">
        <v>26</v>
      </c>
      <c r="F701" s="2" t="s">
        <v>13</v>
      </c>
      <c r="G701" s="2" t="s">
        <v>14</v>
      </c>
      <c r="H701" s="2" t="s">
        <v>40</v>
      </c>
      <c r="I701" s="2" t="s">
        <v>31</v>
      </c>
      <c r="J701" s="15">
        <v>250000</v>
      </c>
      <c r="K701" s="2">
        <v>8</v>
      </c>
      <c r="L701" s="2" t="s">
        <v>17</v>
      </c>
      <c r="M701" s="12">
        <f t="shared" si="18"/>
        <v>200000</v>
      </c>
      <c r="N701" s="10">
        <f>PRODUCT(Table_13[[#This Row],[Unit Price]],Table_13[[#This Row],[Quantity]])</f>
        <v>2000000</v>
      </c>
      <c r="O701" s="16">
        <f>PRODUCT(Table_13[[#This Row],[Cost Price]],Table_13[[#This Row],[Quantity]])</f>
        <v>1600000</v>
      </c>
      <c r="P701" s="27">
        <f t="shared" si="24"/>
        <v>400000</v>
      </c>
    </row>
    <row r="702" spans="1:16" x14ac:dyDescent="0.2">
      <c r="A702" s="33">
        <v>46376</v>
      </c>
      <c r="B702" s="30">
        <f t="shared" si="23"/>
        <v>12</v>
      </c>
      <c r="C702" s="30" t="str">
        <f>_xlfn.IFS(Table_13[[#This Row],[Month]]=1,"JAN",Table_13[[#This Row],[Month]]=2,"FEB",B702=3,"MAR",B702=4,"APR",B702=5,"MAY",B702=6,"JUN",B702=7,"JUL",B702=8,"AUG",Table_13[[#This Row],[Month]]=9,"SEPT",B702=10,"OCT",B702=11,"NOV",B702=12,"DEC")</f>
        <v>DEC</v>
      </c>
      <c r="D702" s="2" t="s">
        <v>11</v>
      </c>
      <c r="E702" s="2" t="s">
        <v>19</v>
      </c>
      <c r="F702" s="2" t="s">
        <v>23</v>
      </c>
      <c r="G702" s="2" t="s">
        <v>14</v>
      </c>
      <c r="H702" s="2" t="s">
        <v>30</v>
      </c>
      <c r="I702" s="2" t="s">
        <v>31</v>
      </c>
      <c r="J702" s="15">
        <v>300000</v>
      </c>
      <c r="K702" s="2">
        <v>4</v>
      </c>
      <c r="L702" s="2" t="s">
        <v>17</v>
      </c>
      <c r="M702" s="12">
        <f t="shared" si="18"/>
        <v>240000</v>
      </c>
      <c r="N702" s="10">
        <f>PRODUCT(Table_13[[#This Row],[Unit Price]],Table_13[[#This Row],[Quantity]])</f>
        <v>1200000</v>
      </c>
      <c r="O702" s="16">
        <f>PRODUCT(Table_13[[#This Row],[Cost Price]],Table_13[[#This Row],[Quantity]])</f>
        <v>960000</v>
      </c>
      <c r="P702" s="27">
        <f t="shared" si="24"/>
        <v>240000</v>
      </c>
    </row>
    <row r="703" spans="1:16" x14ac:dyDescent="0.2">
      <c r="A703" s="33">
        <v>46377</v>
      </c>
      <c r="B703" s="30">
        <f t="shared" si="23"/>
        <v>12</v>
      </c>
      <c r="C703" s="30" t="str">
        <f>_xlfn.IFS(Table_13[[#This Row],[Month]]=1,"JAN",Table_13[[#This Row],[Month]]=2,"FEB",B703=3,"MAR",B703=4,"APR",B703=5,"MAY",B703=6,"JUN",B703=7,"JUL",B703=8,"AUG",Table_13[[#This Row],[Month]]=9,"SEPT",B703=10,"OCT",B703=11,"NOV",B703=12,"DEC")</f>
        <v>DEC</v>
      </c>
      <c r="D703" s="2" t="s">
        <v>18</v>
      </c>
      <c r="E703" s="2" t="s">
        <v>26</v>
      </c>
      <c r="F703" s="2" t="s">
        <v>23</v>
      </c>
      <c r="G703" s="2" t="s">
        <v>14</v>
      </c>
      <c r="H703" s="2" t="s">
        <v>30</v>
      </c>
      <c r="I703" s="2" t="s">
        <v>31</v>
      </c>
      <c r="J703" s="15">
        <v>300000</v>
      </c>
      <c r="K703" s="2">
        <v>10</v>
      </c>
      <c r="L703" s="2" t="s">
        <v>37</v>
      </c>
      <c r="M703" s="12">
        <f t="shared" si="18"/>
        <v>240000</v>
      </c>
      <c r="N703" s="10">
        <f>PRODUCT(Table_13[[#This Row],[Unit Price]],Table_13[[#This Row],[Quantity]])</f>
        <v>3000000</v>
      </c>
      <c r="O703" s="16">
        <f>PRODUCT(Table_13[[#This Row],[Cost Price]],Table_13[[#This Row],[Quantity]])</f>
        <v>2400000</v>
      </c>
      <c r="P703" s="27">
        <f t="shared" si="24"/>
        <v>600000</v>
      </c>
    </row>
    <row r="704" spans="1:16" x14ac:dyDescent="0.2">
      <c r="A704" s="33">
        <v>46378</v>
      </c>
      <c r="B704" s="30">
        <f t="shared" si="23"/>
        <v>12</v>
      </c>
      <c r="C704" s="30" t="str">
        <f>_xlfn.IFS(Table_13[[#This Row],[Month]]=1,"JAN",Table_13[[#This Row],[Month]]=2,"FEB",B704=3,"MAR",B704=4,"APR",B704=5,"MAY",B704=6,"JUN",B704=7,"JUL",B704=8,"AUG",Table_13[[#This Row],[Month]]=9,"SEPT",B704=10,"OCT",B704=11,"NOV",B704=12,"DEC")</f>
        <v>DEC</v>
      </c>
      <c r="D704" s="2" t="s">
        <v>25</v>
      </c>
      <c r="E704" s="2" t="s">
        <v>19</v>
      </c>
      <c r="F704" s="2" t="s">
        <v>13</v>
      </c>
      <c r="G704" s="2" t="s">
        <v>14</v>
      </c>
      <c r="H704" s="2" t="s">
        <v>30</v>
      </c>
      <c r="I704" s="2" t="s">
        <v>31</v>
      </c>
      <c r="J704" s="15">
        <v>300000</v>
      </c>
      <c r="K704" s="2">
        <v>2</v>
      </c>
      <c r="L704" s="2" t="s">
        <v>39</v>
      </c>
      <c r="M704" s="12">
        <f t="shared" si="18"/>
        <v>240000</v>
      </c>
      <c r="N704" s="10">
        <f>PRODUCT(Table_13[[#This Row],[Unit Price]],Table_13[[#This Row],[Quantity]])</f>
        <v>600000</v>
      </c>
      <c r="O704" s="16">
        <f>PRODUCT(Table_13[[#This Row],[Cost Price]],Table_13[[#This Row],[Quantity]])</f>
        <v>480000</v>
      </c>
      <c r="P704" s="27">
        <f t="shared" si="24"/>
        <v>120000</v>
      </c>
    </row>
    <row r="705" spans="1:16" x14ac:dyDescent="0.2">
      <c r="A705" s="33">
        <v>46379</v>
      </c>
      <c r="B705" s="30">
        <f t="shared" si="23"/>
        <v>12</v>
      </c>
      <c r="C705" s="30" t="str">
        <f>_xlfn.IFS(Table_13[[#This Row],[Month]]=1,"JAN",Table_13[[#This Row],[Month]]=2,"FEB",B705=3,"MAR",B705=4,"APR",B705=5,"MAY",B705=6,"JUN",B705=7,"JUL",B705=8,"AUG",Table_13[[#This Row],[Month]]=9,"SEPT",B705=10,"OCT",B705=11,"NOV",B705=12,"DEC")</f>
        <v>DEC</v>
      </c>
      <c r="D705" s="2" t="s">
        <v>11</v>
      </c>
      <c r="E705" s="2" t="s">
        <v>32</v>
      </c>
      <c r="F705" s="2" t="s">
        <v>13</v>
      </c>
      <c r="G705" s="2" t="s">
        <v>20</v>
      </c>
      <c r="H705" s="2" t="s">
        <v>15</v>
      </c>
      <c r="I705" s="2" t="s">
        <v>16</v>
      </c>
      <c r="J705" s="15">
        <v>85000</v>
      </c>
      <c r="K705" s="2">
        <v>2</v>
      </c>
      <c r="L705" s="2" t="s">
        <v>35</v>
      </c>
      <c r="M705" s="12">
        <f t="shared" si="18"/>
        <v>68000</v>
      </c>
      <c r="N705" s="10">
        <f>PRODUCT(Table_13[[#This Row],[Unit Price]],Table_13[[#This Row],[Quantity]])</f>
        <v>170000</v>
      </c>
      <c r="O705" s="16">
        <f>PRODUCT(Table_13[[#This Row],[Cost Price]],Table_13[[#This Row],[Quantity]])</f>
        <v>136000</v>
      </c>
      <c r="P705" s="27">
        <f t="shared" si="24"/>
        <v>34000</v>
      </c>
    </row>
    <row r="706" spans="1:16" x14ac:dyDescent="0.2">
      <c r="A706" s="33">
        <v>46380</v>
      </c>
      <c r="B706" s="30">
        <f t="shared" ref="B706:B769" si="25">MONTH(A706)</f>
        <v>12</v>
      </c>
      <c r="C706" s="30" t="str">
        <f>_xlfn.IFS(Table_13[[#This Row],[Month]]=1,"JAN",Table_13[[#This Row],[Month]]=2,"FEB",B706=3,"MAR",B706=4,"APR",B706=5,"MAY",B706=6,"JUN",B706=7,"JUL",B706=8,"AUG",Table_13[[#This Row],[Month]]=9,"SEPT",B706=10,"OCT",B706=11,"NOV",B706=12,"DEC")</f>
        <v>DEC</v>
      </c>
      <c r="D706" s="2" t="s">
        <v>29</v>
      </c>
      <c r="E706" s="2" t="s">
        <v>19</v>
      </c>
      <c r="F706" s="2" t="s">
        <v>13</v>
      </c>
      <c r="G706" s="2" t="s">
        <v>14</v>
      </c>
      <c r="H706" s="2" t="s">
        <v>34</v>
      </c>
      <c r="I706" s="2" t="s">
        <v>16</v>
      </c>
      <c r="J706" s="15">
        <v>320000</v>
      </c>
      <c r="K706" s="2">
        <v>3</v>
      </c>
      <c r="L706" s="2" t="s">
        <v>28</v>
      </c>
      <c r="M706" s="12">
        <f t="shared" si="18"/>
        <v>256000</v>
      </c>
      <c r="N706" s="10">
        <f>PRODUCT(Table_13[[#This Row],[Unit Price]],Table_13[[#This Row],[Quantity]])</f>
        <v>960000</v>
      </c>
      <c r="O706" s="16">
        <f>PRODUCT(Table_13[[#This Row],[Cost Price]],Table_13[[#This Row],[Quantity]])</f>
        <v>768000</v>
      </c>
      <c r="P706" s="27">
        <f t="shared" ref="P706:P769" si="26">N706-O706</f>
        <v>192000</v>
      </c>
    </row>
    <row r="707" spans="1:16" x14ac:dyDescent="0.2">
      <c r="A707" s="33">
        <v>46381</v>
      </c>
      <c r="B707" s="30">
        <f t="shared" si="25"/>
        <v>12</v>
      </c>
      <c r="C707" s="30" t="str">
        <f>_xlfn.IFS(Table_13[[#This Row],[Month]]=1,"JAN",Table_13[[#This Row],[Month]]=2,"FEB",B707=3,"MAR",B707=4,"APR",B707=5,"MAY",B707=6,"JUN",B707=7,"JUL",B707=8,"AUG",Table_13[[#This Row],[Month]]=9,"SEPT",B707=10,"OCT",B707=11,"NOV",B707=12,"DEC")</f>
        <v>DEC</v>
      </c>
      <c r="D707" s="2" t="s">
        <v>11</v>
      </c>
      <c r="E707" s="2" t="s">
        <v>26</v>
      </c>
      <c r="F707" s="2" t="s">
        <v>13</v>
      </c>
      <c r="G707" s="2" t="s">
        <v>20</v>
      </c>
      <c r="H707" s="2" t="s">
        <v>36</v>
      </c>
      <c r="I707" s="2" t="s">
        <v>31</v>
      </c>
      <c r="J707" s="15">
        <v>150000</v>
      </c>
      <c r="K707" s="2">
        <v>4</v>
      </c>
      <c r="L707" s="2" t="s">
        <v>17</v>
      </c>
      <c r="M707" s="12">
        <f t="shared" si="18"/>
        <v>120000</v>
      </c>
      <c r="N707" s="10">
        <f>PRODUCT(Table_13[[#This Row],[Unit Price]],Table_13[[#This Row],[Quantity]])</f>
        <v>600000</v>
      </c>
      <c r="O707" s="16">
        <f>PRODUCT(Table_13[[#This Row],[Cost Price]],Table_13[[#This Row],[Quantity]])</f>
        <v>480000</v>
      </c>
      <c r="P707" s="27">
        <f t="shared" si="26"/>
        <v>120000</v>
      </c>
    </row>
    <row r="708" spans="1:16" x14ac:dyDescent="0.2">
      <c r="A708" s="33">
        <v>46382</v>
      </c>
      <c r="B708" s="30">
        <f t="shared" si="25"/>
        <v>12</v>
      </c>
      <c r="C708" s="30" t="str">
        <f>_xlfn.IFS(Table_13[[#This Row],[Month]]=1,"JAN",Table_13[[#This Row],[Month]]=2,"FEB",B708=3,"MAR",B708=4,"APR",B708=5,"MAY",B708=6,"JUN",B708=7,"JUL",B708=8,"AUG",Table_13[[#This Row],[Month]]=9,"SEPT",B708=10,"OCT",B708=11,"NOV",B708=12,"DEC")</f>
        <v>DEC</v>
      </c>
      <c r="D708" s="2" t="s">
        <v>11</v>
      </c>
      <c r="E708" s="2" t="s">
        <v>26</v>
      </c>
      <c r="F708" s="2" t="s">
        <v>23</v>
      </c>
      <c r="G708" s="2" t="s">
        <v>20</v>
      </c>
      <c r="H708" s="2" t="s">
        <v>27</v>
      </c>
      <c r="I708" s="2" t="s">
        <v>22</v>
      </c>
      <c r="J708" s="15">
        <v>60000</v>
      </c>
      <c r="K708" s="2">
        <v>8</v>
      </c>
      <c r="L708" s="2" t="s">
        <v>28</v>
      </c>
      <c r="M708" s="12">
        <f t="shared" si="18"/>
        <v>48000</v>
      </c>
      <c r="N708" s="10">
        <f>PRODUCT(Table_13[[#This Row],[Unit Price]],Table_13[[#This Row],[Quantity]])</f>
        <v>480000</v>
      </c>
      <c r="O708" s="16">
        <f>PRODUCT(Table_13[[#This Row],[Cost Price]],Table_13[[#This Row],[Quantity]])</f>
        <v>384000</v>
      </c>
      <c r="P708" s="27">
        <f t="shared" si="26"/>
        <v>96000</v>
      </c>
    </row>
    <row r="709" spans="1:16" x14ac:dyDescent="0.2">
      <c r="A709" s="33">
        <v>46383</v>
      </c>
      <c r="B709" s="30">
        <f t="shared" si="25"/>
        <v>12</v>
      </c>
      <c r="C709" s="30" t="str">
        <f>_xlfn.IFS(Table_13[[#This Row],[Month]]=1,"JAN",Table_13[[#This Row],[Month]]=2,"FEB",B709=3,"MAR",B709=4,"APR",B709=5,"MAY",B709=6,"JUN",B709=7,"JUL",B709=8,"AUG",Table_13[[#This Row],[Month]]=9,"SEPT",B709=10,"OCT",B709=11,"NOV",B709=12,"DEC")</f>
        <v>DEC</v>
      </c>
      <c r="D709" s="2" t="s">
        <v>29</v>
      </c>
      <c r="E709" s="2" t="s">
        <v>12</v>
      </c>
      <c r="F709" s="2" t="s">
        <v>23</v>
      </c>
      <c r="G709" s="2" t="s">
        <v>20</v>
      </c>
      <c r="H709" s="2" t="s">
        <v>15</v>
      </c>
      <c r="I709" s="2" t="s">
        <v>16</v>
      </c>
      <c r="J709" s="15">
        <v>85000</v>
      </c>
      <c r="K709" s="2">
        <v>2</v>
      </c>
      <c r="L709" s="2" t="s">
        <v>17</v>
      </c>
      <c r="M709" s="12">
        <f t="shared" si="18"/>
        <v>68000</v>
      </c>
      <c r="N709" s="10">
        <f>PRODUCT(Table_13[[#This Row],[Unit Price]],Table_13[[#This Row],[Quantity]])</f>
        <v>170000</v>
      </c>
      <c r="O709" s="16">
        <f>PRODUCT(Table_13[[#This Row],[Cost Price]],Table_13[[#This Row],[Quantity]])</f>
        <v>136000</v>
      </c>
      <c r="P709" s="27">
        <f t="shared" si="26"/>
        <v>34000</v>
      </c>
    </row>
    <row r="710" spans="1:16" x14ac:dyDescent="0.2">
      <c r="A710" s="33">
        <v>46384</v>
      </c>
      <c r="B710" s="30">
        <f t="shared" si="25"/>
        <v>12</v>
      </c>
      <c r="C710" s="30" t="str">
        <f>_xlfn.IFS(Table_13[[#This Row],[Month]]=1,"JAN",Table_13[[#This Row],[Month]]=2,"FEB",B710=3,"MAR",B710=4,"APR",B710=5,"MAY",B710=6,"JUN",B710=7,"JUL",B710=8,"AUG",Table_13[[#This Row],[Month]]=9,"SEPT",B710=10,"OCT",B710=11,"NOV",B710=12,"DEC")</f>
        <v>DEC</v>
      </c>
      <c r="D710" s="2" t="s">
        <v>29</v>
      </c>
      <c r="E710" s="2" t="s">
        <v>19</v>
      </c>
      <c r="F710" s="2" t="s">
        <v>23</v>
      </c>
      <c r="G710" s="2" t="s">
        <v>20</v>
      </c>
      <c r="H710" s="2" t="s">
        <v>30</v>
      </c>
      <c r="I710" s="2" t="s">
        <v>31</v>
      </c>
      <c r="J710" s="15">
        <v>300000</v>
      </c>
      <c r="K710" s="2">
        <v>8</v>
      </c>
      <c r="L710" s="2" t="s">
        <v>24</v>
      </c>
      <c r="M710" s="12">
        <f t="shared" si="18"/>
        <v>240000</v>
      </c>
      <c r="N710" s="10">
        <f>PRODUCT(Table_13[[#This Row],[Unit Price]],Table_13[[#This Row],[Quantity]])</f>
        <v>2400000</v>
      </c>
      <c r="O710" s="16">
        <f>PRODUCT(Table_13[[#This Row],[Cost Price]],Table_13[[#This Row],[Quantity]])</f>
        <v>1920000</v>
      </c>
      <c r="P710" s="27">
        <f t="shared" si="26"/>
        <v>480000</v>
      </c>
    </row>
    <row r="711" spans="1:16" x14ac:dyDescent="0.2">
      <c r="A711" s="33">
        <v>46385</v>
      </c>
      <c r="B711" s="30">
        <f t="shared" si="25"/>
        <v>12</v>
      </c>
      <c r="C711" s="30" t="str">
        <f>_xlfn.IFS(Table_13[[#This Row],[Month]]=1,"JAN",Table_13[[#This Row],[Month]]=2,"FEB",B711=3,"MAR",B711=4,"APR",B711=5,"MAY",B711=6,"JUN",B711=7,"JUL",B711=8,"AUG",Table_13[[#This Row],[Month]]=9,"SEPT",B711=10,"OCT",B711=11,"NOV",B711=12,"DEC")</f>
        <v>DEC</v>
      </c>
      <c r="D711" s="2" t="s">
        <v>29</v>
      </c>
      <c r="E711" s="2" t="s">
        <v>12</v>
      </c>
      <c r="F711" s="2" t="s">
        <v>13</v>
      </c>
      <c r="G711" s="2" t="s">
        <v>14</v>
      </c>
      <c r="H711" s="2" t="s">
        <v>34</v>
      </c>
      <c r="I711" s="2" t="s">
        <v>16</v>
      </c>
      <c r="J711" s="15">
        <v>320000</v>
      </c>
      <c r="K711" s="2">
        <v>5</v>
      </c>
      <c r="L711" s="2" t="s">
        <v>37</v>
      </c>
      <c r="M711" s="12">
        <f t="shared" si="18"/>
        <v>256000</v>
      </c>
      <c r="N711" s="10">
        <f>PRODUCT(Table_13[[#This Row],[Unit Price]],Table_13[[#This Row],[Quantity]])</f>
        <v>1600000</v>
      </c>
      <c r="O711" s="16">
        <f>PRODUCT(Table_13[[#This Row],[Cost Price]],Table_13[[#This Row],[Quantity]])</f>
        <v>1280000</v>
      </c>
      <c r="P711" s="27">
        <f t="shared" si="26"/>
        <v>320000</v>
      </c>
    </row>
    <row r="712" spans="1:16" x14ac:dyDescent="0.2">
      <c r="A712" s="33">
        <v>46386</v>
      </c>
      <c r="B712" s="30">
        <f t="shared" si="25"/>
        <v>12</v>
      </c>
      <c r="C712" s="30" t="str">
        <f>_xlfn.IFS(Table_13[[#This Row],[Month]]=1,"JAN",Table_13[[#This Row],[Month]]=2,"FEB",B712=3,"MAR",B712=4,"APR",B712=5,"MAY",B712=6,"JUN",B712=7,"JUL",B712=8,"AUG",Table_13[[#This Row],[Month]]=9,"SEPT",B712=10,"OCT",B712=11,"NOV",B712=12,"DEC")</f>
        <v>DEC</v>
      </c>
      <c r="D712" s="2" t="s">
        <v>11</v>
      </c>
      <c r="E712" s="2" t="s">
        <v>19</v>
      </c>
      <c r="F712" s="2" t="s">
        <v>23</v>
      </c>
      <c r="G712" s="2" t="s">
        <v>20</v>
      </c>
      <c r="H712" s="2" t="s">
        <v>21</v>
      </c>
      <c r="I712" s="2" t="s">
        <v>22</v>
      </c>
      <c r="J712" s="15">
        <v>30000</v>
      </c>
      <c r="K712" s="2">
        <v>3</v>
      </c>
      <c r="L712" s="2" t="s">
        <v>24</v>
      </c>
      <c r="M712" s="12">
        <f t="shared" si="18"/>
        <v>24000</v>
      </c>
      <c r="N712" s="10">
        <f>PRODUCT(Table_13[[#This Row],[Unit Price]],Table_13[[#This Row],[Quantity]])</f>
        <v>90000</v>
      </c>
      <c r="O712" s="16">
        <f>PRODUCT(Table_13[[#This Row],[Cost Price]],Table_13[[#This Row],[Quantity]])</f>
        <v>72000</v>
      </c>
      <c r="P712" s="27">
        <f t="shared" si="26"/>
        <v>18000</v>
      </c>
    </row>
    <row r="713" spans="1:16" x14ac:dyDescent="0.2">
      <c r="A713" s="33">
        <v>46387</v>
      </c>
      <c r="B713" s="30">
        <f t="shared" si="25"/>
        <v>12</v>
      </c>
      <c r="C713" s="30" t="str">
        <f>_xlfn.IFS(Table_13[[#This Row],[Month]]=1,"JAN",Table_13[[#This Row],[Month]]=2,"FEB",B713=3,"MAR",B713=4,"APR",B713=5,"MAY",B713=6,"JUN",B713=7,"JUL",B713=8,"AUG",Table_13[[#This Row],[Month]]=9,"SEPT",B713=10,"OCT",B713=11,"NOV",B713=12,"DEC")</f>
        <v>DEC</v>
      </c>
      <c r="D713" s="2" t="s">
        <v>25</v>
      </c>
      <c r="E713" s="2" t="s">
        <v>12</v>
      </c>
      <c r="F713" s="2" t="s">
        <v>13</v>
      </c>
      <c r="G713" s="2" t="s">
        <v>20</v>
      </c>
      <c r="H713" s="2" t="s">
        <v>21</v>
      </c>
      <c r="I713" s="2" t="s">
        <v>22</v>
      </c>
      <c r="J713" s="15">
        <v>30000</v>
      </c>
      <c r="K713" s="2">
        <v>1</v>
      </c>
      <c r="L713" s="2" t="s">
        <v>24</v>
      </c>
      <c r="M713" s="12">
        <f t="shared" si="18"/>
        <v>24000</v>
      </c>
      <c r="N713" s="10">
        <f>PRODUCT(Table_13[[#This Row],[Unit Price]],Table_13[[#This Row],[Quantity]])</f>
        <v>30000</v>
      </c>
      <c r="O713" s="16">
        <f>PRODUCT(Table_13[[#This Row],[Cost Price]],Table_13[[#This Row],[Quantity]])</f>
        <v>24000</v>
      </c>
      <c r="P713" s="27">
        <f t="shared" si="26"/>
        <v>6000</v>
      </c>
    </row>
    <row r="714" spans="1:16" x14ac:dyDescent="0.2">
      <c r="A714" s="33">
        <v>46388</v>
      </c>
      <c r="B714" s="30">
        <f t="shared" si="25"/>
        <v>1</v>
      </c>
      <c r="C714" s="30" t="str">
        <f>_xlfn.IFS(Table_13[[#This Row],[Month]]=1,"JAN",Table_13[[#This Row],[Month]]=2,"FEB",B714=3,"MAR",B714=4,"APR",B714=5,"MAY",B714=6,"JUN",B714=7,"JUL",B714=8,"AUG",Table_13[[#This Row],[Month]]=9,"SEPT",B714=10,"OCT",B714=11,"NOV",B714=12,"DEC")</f>
        <v>JAN</v>
      </c>
      <c r="D714" s="2" t="s">
        <v>25</v>
      </c>
      <c r="E714" s="2" t="s">
        <v>32</v>
      </c>
      <c r="F714" s="2" t="s">
        <v>23</v>
      </c>
      <c r="G714" s="2" t="s">
        <v>20</v>
      </c>
      <c r="H714" s="2" t="s">
        <v>36</v>
      </c>
      <c r="I714" s="2" t="s">
        <v>31</v>
      </c>
      <c r="J714" s="15">
        <v>150000</v>
      </c>
      <c r="K714" s="2">
        <v>3</v>
      </c>
      <c r="L714" s="2" t="s">
        <v>24</v>
      </c>
      <c r="M714" s="12">
        <f t="shared" si="18"/>
        <v>120000</v>
      </c>
      <c r="N714" s="10">
        <f>PRODUCT(Table_13[[#This Row],[Unit Price]],Table_13[[#This Row],[Quantity]])</f>
        <v>450000</v>
      </c>
      <c r="O714" s="16">
        <f>PRODUCT(Table_13[[#This Row],[Cost Price]],Table_13[[#This Row],[Quantity]])</f>
        <v>360000</v>
      </c>
      <c r="P714" s="27">
        <f t="shared" si="26"/>
        <v>90000</v>
      </c>
    </row>
    <row r="715" spans="1:16" x14ac:dyDescent="0.2">
      <c r="A715" s="33">
        <v>46389</v>
      </c>
      <c r="B715" s="30">
        <f t="shared" si="25"/>
        <v>1</v>
      </c>
      <c r="C715" s="30" t="str">
        <f>_xlfn.IFS(Table_13[[#This Row],[Month]]=1,"JAN",Table_13[[#This Row],[Month]]=2,"FEB",B715=3,"MAR",B715=4,"APR",B715=5,"MAY",B715=6,"JUN",B715=7,"JUL",B715=8,"AUG",Table_13[[#This Row],[Month]]=9,"SEPT",B715=10,"OCT",B715=11,"NOV",B715=12,"DEC")</f>
        <v>JAN</v>
      </c>
      <c r="D715" s="2" t="s">
        <v>25</v>
      </c>
      <c r="E715" s="2" t="s">
        <v>26</v>
      </c>
      <c r="F715" s="2" t="s">
        <v>13</v>
      </c>
      <c r="G715" s="2" t="s">
        <v>14</v>
      </c>
      <c r="H715" s="2" t="s">
        <v>21</v>
      </c>
      <c r="I715" s="2" t="s">
        <v>22</v>
      </c>
      <c r="J715" s="15">
        <v>30000</v>
      </c>
      <c r="K715" s="2">
        <v>5</v>
      </c>
      <c r="L715" s="2" t="s">
        <v>35</v>
      </c>
      <c r="M715" s="12">
        <f t="shared" si="18"/>
        <v>24000</v>
      </c>
      <c r="N715" s="10">
        <f>PRODUCT(Table_13[[#This Row],[Unit Price]],Table_13[[#This Row],[Quantity]])</f>
        <v>150000</v>
      </c>
      <c r="O715" s="16">
        <f>PRODUCT(Table_13[[#This Row],[Cost Price]],Table_13[[#This Row],[Quantity]])</f>
        <v>120000</v>
      </c>
      <c r="P715" s="27">
        <f t="shared" si="26"/>
        <v>30000</v>
      </c>
    </row>
    <row r="716" spans="1:16" x14ac:dyDescent="0.2">
      <c r="A716" s="33">
        <v>46390</v>
      </c>
      <c r="B716" s="30">
        <f t="shared" si="25"/>
        <v>1</v>
      </c>
      <c r="C716" s="30" t="str">
        <f>_xlfn.IFS(Table_13[[#This Row],[Month]]=1,"JAN",Table_13[[#This Row],[Month]]=2,"FEB",B716=3,"MAR",B716=4,"APR",B716=5,"MAY",B716=6,"JUN",B716=7,"JUL",B716=8,"AUG",Table_13[[#This Row],[Month]]=9,"SEPT",B716=10,"OCT",B716=11,"NOV",B716=12,"DEC")</f>
        <v>JAN</v>
      </c>
      <c r="D716" s="2" t="s">
        <v>29</v>
      </c>
      <c r="E716" s="2" t="s">
        <v>32</v>
      </c>
      <c r="F716" s="2" t="s">
        <v>23</v>
      </c>
      <c r="G716" s="2" t="s">
        <v>20</v>
      </c>
      <c r="H716" s="2" t="s">
        <v>33</v>
      </c>
      <c r="I716" s="2" t="s">
        <v>22</v>
      </c>
      <c r="J716" s="15">
        <v>180000</v>
      </c>
      <c r="K716" s="2">
        <v>4</v>
      </c>
      <c r="L716" s="2" t="s">
        <v>24</v>
      </c>
      <c r="M716" s="12">
        <f t="shared" si="18"/>
        <v>144000</v>
      </c>
      <c r="N716" s="10">
        <f>PRODUCT(Table_13[[#This Row],[Unit Price]],Table_13[[#This Row],[Quantity]])</f>
        <v>720000</v>
      </c>
      <c r="O716" s="16">
        <f>PRODUCT(Table_13[[#This Row],[Cost Price]],Table_13[[#This Row],[Quantity]])</f>
        <v>576000</v>
      </c>
      <c r="P716" s="27">
        <f t="shared" si="26"/>
        <v>144000</v>
      </c>
    </row>
    <row r="717" spans="1:16" x14ac:dyDescent="0.2">
      <c r="A717" s="33">
        <v>46391</v>
      </c>
      <c r="B717" s="30">
        <f t="shared" si="25"/>
        <v>1</v>
      </c>
      <c r="C717" s="30" t="str">
        <f>_xlfn.IFS(Table_13[[#This Row],[Month]]=1,"JAN",Table_13[[#This Row],[Month]]=2,"FEB",B717=3,"MAR",B717=4,"APR",B717=5,"MAY",B717=6,"JUN",B717=7,"JUL",B717=8,"AUG",Table_13[[#This Row],[Month]]=9,"SEPT",B717=10,"OCT",B717=11,"NOV",B717=12,"DEC")</f>
        <v>JAN</v>
      </c>
      <c r="D717" s="2" t="s">
        <v>25</v>
      </c>
      <c r="E717" s="2" t="s">
        <v>26</v>
      </c>
      <c r="F717" s="2" t="s">
        <v>23</v>
      </c>
      <c r="G717" s="2" t="s">
        <v>20</v>
      </c>
      <c r="H717" s="2" t="s">
        <v>33</v>
      </c>
      <c r="I717" s="2" t="s">
        <v>22</v>
      </c>
      <c r="J717" s="15">
        <v>180000</v>
      </c>
      <c r="K717" s="2">
        <v>3</v>
      </c>
      <c r="L717" s="2" t="s">
        <v>39</v>
      </c>
      <c r="M717" s="12">
        <f t="shared" si="18"/>
        <v>144000</v>
      </c>
      <c r="N717" s="10">
        <f>PRODUCT(Table_13[[#This Row],[Unit Price]],Table_13[[#This Row],[Quantity]])</f>
        <v>540000</v>
      </c>
      <c r="O717" s="16">
        <f>PRODUCT(Table_13[[#This Row],[Cost Price]],Table_13[[#This Row],[Quantity]])</f>
        <v>432000</v>
      </c>
      <c r="P717" s="27">
        <f t="shared" si="26"/>
        <v>108000</v>
      </c>
    </row>
    <row r="718" spans="1:16" x14ac:dyDescent="0.2">
      <c r="A718" s="33">
        <v>46392</v>
      </c>
      <c r="B718" s="30">
        <f t="shared" si="25"/>
        <v>1</v>
      </c>
      <c r="C718" s="30" t="str">
        <f>_xlfn.IFS(Table_13[[#This Row],[Month]]=1,"JAN",Table_13[[#This Row],[Month]]=2,"FEB",B718=3,"MAR",B718=4,"APR",B718=5,"MAY",B718=6,"JUN",B718=7,"JUL",B718=8,"AUG",Table_13[[#This Row],[Month]]=9,"SEPT",B718=10,"OCT",B718=11,"NOV",B718=12,"DEC")</f>
        <v>JAN</v>
      </c>
      <c r="D718" s="2" t="s">
        <v>18</v>
      </c>
      <c r="E718" s="2" t="s">
        <v>19</v>
      </c>
      <c r="F718" s="2" t="s">
        <v>23</v>
      </c>
      <c r="G718" s="2" t="s">
        <v>20</v>
      </c>
      <c r="H718" s="2" t="s">
        <v>30</v>
      </c>
      <c r="I718" s="2" t="s">
        <v>31</v>
      </c>
      <c r="J718" s="15">
        <v>300000</v>
      </c>
      <c r="K718" s="2">
        <v>8</v>
      </c>
      <c r="L718" s="2" t="s">
        <v>17</v>
      </c>
      <c r="M718" s="12">
        <f t="shared" si="18"/>
        <v>240000</v>
      </c>
      <c r="N718" s="10">
        <f>PRODUCT(Table_13[[#This Row],[Unit Price]],Table_13[[#This Row],[Quantity]])</f>
        <v>2400000</v>
      </c>
      <c r="O718" s="16">
        <f>PRODUCT(Table_13[[#This Row],[Cost Price]],Table_13[[#This Row],[Quantity]])</f>
        <v>1920000</v>
      </c>
      <c r="P718" s="27">
        <f t="shared" si="26"/>
        <v>480000</v>
      </c>
    </row>
    <row r="719" spans="1:16" x14ac:dyDescent="0.2">
      <c r="A719" s="33">
        <v>46393</v>
      </c>
      <c r="B719" s="30">
        <f t="shared" si="25"/>
        <v>1</v>
      </c>
      <c r="C719" s="30" t="str">
        <f>_xlfn.IFS(Table_13[[#This Row],[Month]]=1,"JAN",Table_13[[#This Row],[Month]]=2,"FEB",B719=3,"MAR",B719=4,"APR",B719=5,"MAY",B719=6,"JUN",B719=7,"JUL",B719=8,"AUG",Table_13[[#This Row],[Month]]=9,"SEPT",B719=10,"OCT",B719=11,"NOV",B719=12,"DEC")</f>
        <v>JAN</v>
      </c>
      <c r="D719" s="2" t="s">
        <v>18</v>
      </c>
      <c r="E719" s="2" t="s">
        <v>32</v>
      </c>
      <c r="F719" s="2" t="s">
        <v>23</v>
      </c>
      <c r="G719" s="2" t="s">
        <v>14</v>
      </c>
      <c r="H719" s="2" t="s">
        <v>15</v>
      </c>
      <c r="I719" s="2" t="s">
        <v>16</v>
      </c>
      <c r="J719" s="15">
        <v>85000</v>
      </c>
      <c r="K719" s="2">
        <v>8</v>
      </c>
      <c r="L719" s="2" t="s">
        <v>24</v>
      </c>
      <c r="M719" s="12">
        <f t="shared" si="18"/>
        <v>68000</v>
      </c>
      <c r="N719" s="10">
        <f>PRODUCT(Table_13[[#This Row],[Unit Price]],Table_13[[#This Row],[Quantity]])</f>
        <v>680000</v>
      </c>
      <c r="O719" s="16">
        <f>PRODUCT(Table_13[[#This Row],[Cost Price]],Table_13[[#This Row],[Quantity]])</f>
        <v>544000</v>
      </c>
      <c r="P719" s="27">
        <f t="shared" si="26"/>
        <v>136000</v>
      </c>
    </row>
    <row r="720" spans="1:16" x14ac:dyDescent="0.2">
      <c r="A720" s="33">
        <v>46394</v>
      </c>
      <c r="B720" s="30">
        <f t="shared" si="25"/>
        <v>1</v>
      </c>
      <c r="C720" s="30" t="str">
        <f>_xlfn.IFS(Table_13[[#This Row],[Month]]=1,"JAN",Table_13[[#This Row],[Month]]=2,"FEB",B720=3,"MAR",B720=4,"APR",B720=5,"MAY",B720=6,"JUN",B720=7,"JUL",B720=8,"AUG",Table_13[[#This Row],[Month]]=9,"SEPT",B720=10,"OCT",B720=11,"NOV",B720=12,"DEC")</f>
        <v>JAN</v>
      </c>
      <c r="D720" s="2" t="s">
        <v>29</v>
      </c>
      <c r="E720" s="2" t="s">
        <v>19</v>
      </c>
      <c r="F720" s="2" t="s">
        <v>13</v>
      </c>
      <c r="G720" s="2" t="s">
        <v>20</v>
      </c>
      <c r="H720" s="2" t="s">
        <v>33</v>
      </c>
      <c r="I720" s="2" t="s">
        <v>22</v>
      </c>
      <c r="J720" s="15">
        <v>180000</v>
      </c>
      <c r="K720" s="2">
        <v>1</v>
      </c>
      <c r="L720" s="2" t="s">
        <v>17</v>
      </c>
      <c r="M720" s="12">
        <f t="shared" si="18"/>
        <v>144000</v>
      </c>
      <c r="N720" s="10">
        <f>PRODUCT(Table_13[[#This Row],[Unit Price]],Table_13[[#This Row],[Quantity]])</f>
        <v>180000</v>
      </c>
      <c r="O720" s="16">
        <f>PRODUCT(Table_13[[#This Row],[Cost Price]],Table_13[[#This Row],[Quantity]])</f>
        <v>144000</v>
      </c>
      <c r="P720" s="27">
        <f t="shared" si="26"/>
        <v>36000</v>
      </c>
    </row>
    <row r="721" spans="1:16" x14ac:dyDescent="0.2">
      <c r="A721" s="33">
        <v>46395</v>
      </c>
      <c r="B721" s="30">
        <f t="shared" si="25"/>
        <v>1</v>
      </c>
      <c r="C721" s="30" t="str">
        <f>_xlfn.IFS(Table_13[[#This Row],[Month]]=1,"JAN",Table_13[[#This Row],[Month]]=2,"FEB",B721=3,"MAR",B721=4,"APR",B721=5,"MAY",B721=6,"JUN",B721=7,"JUL",B721=8,"AUG",Table_13[[#This Row],[Month]]=9,"SEPT",B721=10,"OCT",B721=11,"NOV",B721=12,"DEC")</f>
        <v>JAN</v>
      </c>
      <c r="D721" s="2" t="s">
        <v>25</v>
      </c>
      <c r="E721" s="2" t="s">
        <v>12</v>
      </c>
      <c r="F721" s="2" t="s">
        <v>23</v>
      </c>
      <c r="G721" s="2" t="s">
        <v>14</v>
      </c>
      <c r="H721" s="2" t="s">
        <v>38</v>
      </c>
      <c r="I721" s="2" t="s">
        <v>31</v>
      </c>
      <c r="J721" s="15">
        <v>420000</v>
      </c>
      <c r="K721" s="2">
        <v>6</v>
      </c>
      <c r="L721" s="2" t="s">
        <v>24</v>
      </c>
      <c r="M721" s="12">
        <f t="shared" si="18"/>
        <v>336000</v>
      </c>
      <c r="N721" s="10">
        <f>PRODUCT(Table_13[[#This Row],[Unit Price]],Table_13[[#This Row],[Quantity]])</f>
        <v>2520000</v>
      </c>
      <c r="O721" s="16">
        <f>PRODUCT(Table_13[[#This Row],[Cost Price]],Table_13[[#This Row],[Quantity]])</f>
        <v>2016000</v>
      </c>
      <c r="P721" s="27">
        <f t="shared" si="26"/>
        <v>504000</v>
      </c>
    </row>
    <row r="722" spans="1:16" x14ac:dyDescent="0.2">
      <c r="A722" s="33">
        <v>46396</v>
      </c>
      <c r="B722" s="30">
        <f t="shared" si="25"/>
        <v>1</v>
      </c>
      <c r="C722" s="30" t="str">
        <f>_xlfn.IFS(Table_13[[#This Row],[Month]]=1,"JAN",Table_13[[#This Row],[Month]]=2,"FEB",B722=3,"MAR",B722=4,"APR",B722=5,"MAY",B722=6,"JUN",B722=7,"JUL",B722=8,"AUG",Table_13[[#This Row],[Month]]=9,"SEPT",B722=10,"OCT",B722=11,"NOV",B722=12,"DEC")</f>
        <v>JAN</v>
      </c>
      <c r="D722" s="2" t="s">
        <v>11</v>
      </c>
      <c r="E722" s="2" t="s">
        <v>32</v>
      </c>
      <c r="F722" s="2" t="s">
        <v>13</v>
      </c>
      <c r="G722" s="2" t="s">
        <v>20</v>
      </c>
      <c r="H722" s="2" t="s">
        <v>38</v>
      </c>
      <c r="I722" s="2" t="s">
        <v>31</v>
      </c>
      <c r="J722" s="15">
        <v>420000</v>
      </c>
      <c r="K722" s="2">
        <v>4</v>
      </c>
      <c r="L722" s="2" t="s">
        <v>37</v>
      </c>
      <c r="M722" s="12">
        <f t="shared" si="18"/>
        <v>336000</v>
      </c>
      <c r="N722" s="10">
        <f>PRODUCT(Table_13[[#This Row],[Unit Price]],Table_13[[#This Row],[Quantity]])</f>
        <v>1680000</v>
      </c>
      <c r="O722" s="16">
        <f>PRODUCT(Table_13[[#This Row],[Cost Price]],Table_13[[#This Row],[Quantity]])</f>
        <v>1344000</v>
      </c>
      <c r="P722" s="27">
        <f t="shared" si="26"/>
        <v>336000</v>
      </c>
    </row>
    <row r="723" spans="1:16" x14ac:dyDescent="0.2">
      <c r="A723" s="33">
        <v>46397</v>
      </c>
      <c r="B723" s="30">
        <f t="shared" si="25"/>
        <v>1</v>
      </c>
      <c r="C723" s="30" t="str">
        <f>_xlfn.IFS(Table_13[[#This Row],[Month]]=1,"JAN",Table_13[[#This Row],[Month]]=2,"FEB",B723=3,"MAR",B723=4,"APR",B723=5,"MAY",B723=6,"JUN",B723=7,"JUL",B723=8,"AUG",Table_13[[#This Row],[Month]]=9,"SEPT",B723=10,"OCT",B723=11,"NOV",B723=12,"DEC")</f>
        <v>JAN</v>
      </c>
      <c r="D723" s="2" t="s">
        <v>18</v>
      </c>
      <c r="E723" s="2" t="s">
        <v>32</v>
      </c>
      <c r="F723" s="2" t="s">
        <v>23</v>
      </c>
      <c r="G723" s="2" t="s">
        <v>20</v>
      </c>
      <c r="H723" s="2" t="s">
        <v>33</v>
      </c>
      <c r="I723" s="2" t="s">
        <v>22</v>
      </c>
      <c r="J723" s="15">
        <v>180000</v>
      </c>
      <c r="K723" s="2">
        <v>3</v>
      </c>
      <c r="L723" s="2" t="s">
        <v>24</v>
      </c>
      <c r="M723" s="12">
        <f t="shared" si="18"/>
        <v>144000</v>
      </c>
      <c r="N723" s="10">
        <f>PRODUCT(Table_13[[#This Row],[Unit Price]],Table_13[[#This Row],[Quantity]])</f>
        <v>540000</v>
      </c>
      <c r="O723" s="16">
        <f>PRODUCT(Table_13[[#This Row],[Cost Price]],Table_13[[#This Row],[Quantity]])</f>
        <v>432000</v>
      </c>
      <c r="P723" s="27">
        <f t="shared" si="26"/>
        <v>108000</v>
      </c>
    </row>
    <row r="724" spans="1:16" x14ac:dyDescent="0.2">
      <c r="A724" s="33">
        <v>46398</v>
      </c>
      <c r="B724" s="30">
        <f t="shared" si="25"/>
        <v>1</v>
      </c>
      <c r="C724" s="30" t="str">
        <f>_xlfn.IFS(Table_13[[#This Row],[Month]]=1,"JAN",Table_13[[#This Row],[Month]]=2,"FEB",B724=3,"MAR",B724=4,"APR",B724=5,"MAY",B724=6,"JUN",B724=7,"JUL",B724=8,"AUG",Table_13[[#This Row],[Month]]=9,"SEPT",B724=10,"OCT",B724=11,"NOV",B724=12,"DEC")</f>
        <v>JAN</v>
      </c>
      <c r="D724" s="2" t="s">
        <v>25</v>
      </c>
      <c r="E724" s="2" t="s">
        <v>19</v>
      </c>
      <c r="F724" s="2" t="s">
        <v>13</v>
      </c>
      <c r="G724" s="2" t="s">
        <v>14</v>
      </c>
      <c r="H724" s="2" t="s">
        <v>27</v>
      </c>
      <c r="I724" s="2" t="s">
        <v>22</v>
      </c>
      <c r="J724" s="15">
        <v>60000</v>
      </c>
      <c r="K724" s="2">
        <v>3</v>
      </c>
      <c r="L724" s="2" t="s">
        <v>24</v>
      </c>
      <c r="M724" s="12">
        <f t="shared" si="18"/>
        <v>48000</v>
      </c>
      <c r="N724" s="10">
        <f>PRODUCT(Table_13[[#This Row],[Unit Price]],Table_13[[#This Row],[Quantity]])</f>
        <v>180000</v>
      </c>
      <c r="O724" s="16">
        <f>PRODUCT(Table_13[[#This Row],[Cost Price]],Table_13[[#This Row],[Quantity]])</f>
        <v>144000</v>
      </c>
      <c r="P724" s="27">
        <f t="shared" si="26"/>
        <v>36000</v>
      </c>
    </row>
    <row r="725" spans="1:16" x14ac:dyDescent="0.2">
      <c r="A725" s="33">
        <v>46399</v>
      </c>
      <c r="B725" s="30">
        <f t="shared" si="25"/>
        <v>1</v>
      </c>
      <c r="C725" s="30" t="str">
        <f>_xlfn.IFS(Table_13[[#This Row],[Month]]=1,"JAN",Table_13[[#This Row],[Month]]=2,"FEB",B725=3,"MAR",B725=4,"APR",B725=5,"MAY",B725=6,"JUN",B725=7,"JUL",B725=8,"AUG",Table_13[[#This Row],[Month]]=9,"SEPT",B725=10,"OCT",B725=11,"NOV",B725=12,"DEC")</f>
        <v>JAN</v>
      </c>
      <c r="D725" s="2" t="s">
        <v>18</v>
      </c>
      <c r="E725" s="2" t="s">
        <v>32</v>
      </c>
      <c r="F725" s="2" t="s">
        <v>13</v>
      </c>
      <c r="G725" s="2" t="s">
        <v>20</v>
      </c>
      <c r="H725" s="2" t="s">
        <v>36</v>
      </c>
      <c r="I725" s="2" t="s">
        <v>31</v>
      </c>
      <c r="J725" s="15">
        <v>150000</v>
      </c>
      <c r="K725" s="2">
        <v>1</v>
      </c>
      <c r="L725" s="2" t="s">
        <v>28</v>
      </c>
      <c r="M725" s="12">
        <f t="shared" si="18"/>
        <v>120000</v>
      </c>
      <c r="N725" s="10">
        <f>PRODUCT(Table_13[[#This Row],[Unit Price]],Table_13[[#This Row],[Quantity]])</f>
        <v>150000</v>
      </c>
      <c r="O725" s="16">
        <f>PRODUCT(Table_13[[#This Row],[Cost Price]],Table_13[[#This Row],[Quantity]])</f>
        <v>120000</v>
      </c>
      <c r="P725" s="27">
        <f t="shared" si="26"/>
        <v>30000</v>
      </c>
    </row>
    <row r="726" spans="1:16" x14ac:dyDescent="0.2">
      <c r="A726" s="33">
        <v>46400</v>
      </c>
      <c r="B726" s="30">
        <f t="shared" si="25"/>
        <v>1</v>
      </c>
      <c r="C726" s="30" t="str">
        <f>_xlfn.IFS(Table_13[[#This Row],[Month]]=1,"JAN",Table_13[[#This Row],[Month]]=2,"FEB",B726=3,"MAR",B726=4,"APR",B726=5,"MAY",B726=6,"JUN",B726=7,"JUL",B726=8,"AUG",Table_13[[#This Row],[Month]]=9,"SEPT",B726=10,"OCT",B726=11,"NOV",B726=12,"DEC")</f>
        <v>JAN</v>
      </c>
      <c r="D726" s="2" t="s">
        <v>25</v>
      </c>
      <c r="E726" s="2" t="s">
        <v>12</v>
      </c>
      <c r="F726" s="2" t="s">
        <v>23</v>
      </c>
      <c r="G726" s="2" t="s">
        <v>14</v>
      </c>
      <c r="H726" s="2" t="s">
        <v>38</v>
      </c>
      <c r="I726" s="2" t="s">
        <v>31</v>
      </c>
      <c r="J726" s="15">
        <v>420000</v>
      </c>
      <c r="K726" s="2">
        <v>4</v>
      </c>
      <c r="L726" s="2" t="s">
        <v>24</v>
      </c>
      <c r="M726" s="12">
        <f t="shared" si="18"/>
        <v>336000</v>
      </c>
      <c r="N726" s="10">
        <f>PRODUCT(Table_13[[#This Row],[Unit Price]],Table_13[[#This Row],[Quantity]])</f>
        <v>1680000</v>
      </c>
      <c r="O726" s="16">
        <f>PRODUCT(Table_13[[#This Row],[Cost Price]],Table_13[[#This Row],[Quantity]])</f>
        <v>1344000</v>
      </c>
      <c r="P726" s="27">
        <f t="shared" si="26"/>
        <v>336000</v>
      </c>
    </row>
    <row r="727" spans="1:16" x14ac:dyDescent="0.2">
      <c r="A727" s="33">
        <v>46401</v>
      </c>
      <c r="B727" s="30">
        <f t="shared" si="25"/>
        <v>1</v>
      </c>
      <c r="C727" s="30" t="str">
        <f>_xlfn.IFS(Table_13[[#This Row],[Month]]=1,"JAN",Table_13[[#This Row],[Month]]=2,"FEB",B727=3,"MAR",B727=4,"APR",B727=5,"MAY",B727=6,"JUN",B727=7,"JUL",B727=8,"AUG",Table_13[[#This Row],[Month]]=9,"SEPT",B727=10,"OCT",B727=11,"NOV",B727=12,"DEC")</f>
        <v>JAN</v>
      </c>
      <c r="D727" s="2" t="s">
        <v>29</v>
      </c>
      <c r="E727" s="2" t="s">
        <v>19</v>
      </c>
      <c r="F727" s="2" t="s">
        <v>23</v>
      </c>
      <c r="G727" s="2" t="s">
        <v>14</v>
      </c>
      <c r="H727" s="2" t="s">
        <v>40</v>
      </c>
      <c r="I727" s="2" t="s">
        <v>31</v>
      </c>
      <c r="J727" s="15">
        <v>250000</v>
      </c>
      <c r="K727" s="2">
        <v>6</v>
      </c>
      <c r="L727" s="2" t="s">
        <v>28</v>
      </c>
      <c r="M727" s="12">
        <f t="shared" si="18"/>
        <v>200000</v>
      </c>
      <c r="N727" s="10">
        <f>PRODUCT(Table_13[[#This Row],[Unit Price]],Table_13[[#This Row],[Quantity]])</f>
        <v>1500000</v>
      </c>
      <c r="O727" s="16">
        <f>PRODUCT(Table_13[[#This Row],[Cost Price]],Table_13[[#This Row],[Quantity]])</f>
        <v>1200000</v>
      </c>
      <c r="P727" s="27">
        <f t="shared" si="26"/>
        <v>300000</v>
      </c>
    </row>
    <row r="728" spans="1:16" x14ac:dyDescent="0.2">
      <c r="A728" s="33">
        <v>46402</v>
      </c>
      <c r="B728" s="30">
        <f t="shared" si="25"/>
        <v>1</v>
      </c>
      <c r="C728" s="30" t="str">
        <f>_xlfn.IFS(Table_13[[#This Row],[Month]]=1,"JAN",Table_13[[#This Row],[Month]]=2,"FEB",B728=3,"MAR",B728=4,"APR",B728=5,"MAY",B728=6,"JUN",B728=7,"JUL",B728=8,"AUG",Table_13[[#This Row],[Month]]=9,"SEPT",B728=10,"OCT",B728=11,"NOV",B728=12,"DEC")</f>
        <v>JAN</v>
      </c>
      <c r="D728" s="2" t="s">
        <v>25</v>
      </c>
      <c r="E728" s="2" t="s">
        <v>12</v>
      </c>
      <c r="F728" s="2" t="s">
        <v>23</v>
      </c>
      <c r="G728" s="2" t="s">
        <v>20</v>
      </c>
      <c r="H728" s="2" t="s">
        <v>34</v>
      </c>
      <c r="I728" s="2" t="s">
        <v>16</v>
      </c>
      <c r="J728" s="15">
        <v>320000</v>
      </c>
      <c r="K728" s="2">
        <v>1</v>
      </c>
      <c r="L728" s="2" t="s">
        <v>35</v>
      </c>
      <c r="M728" s="12">
        <f t="shared" si="18"/>
        <v>256000</v>
      </c>
      <c r="N728" s="10">
        <f>PRODUCT(Table_13[[#This Row],[Unit Price]],Table_13[[#This Row],[Quantity]])</f>
        <v>320000</v>
      </c>
      <c r="O728" s="16">
        <f>PRODUCT(Table_13[[#This Row],[Cost Price]],Table_13[[#This Row],[Quantity]])</f>
        <v>256000</v>
      </c>
      <c r="P728" s="27">
        <f t="shared" si="26"/>
        <v>64000</v>
      </c>
    </row>
    <row r="729" spans="1:16" x14ac:dyDescent="0.2">
      <c r="A729" s="33">
        <v>46403</v>
      </c>
      <c r="B729" s="30">
        <f t="shared" si="25"/>
        <v>1</v>
      </c>
      <c r="C729" s="30" t="str">
        <f>_xlfn.IFS(Table_13[[#This Row],[Month]]=1,"JAN",Table_13[[#This Row],[Month]]=2,"FEB",B729=3,"MAR",B729=4,"APR",B729=5,"MAY",B729=6,"JUN",B729=7,"JUL",B729=8,"AUG",Table_13[[#This Row],[Month]]=9,"SEPT",B729=10,"OCT",B729=11,"NOV",B729=12,"DEC")</f>
        <v>JAN</v>
      </c>
      <c r="D729" s="2" t="s">
        <v>29</v>
      </c>
      <c r="E729" s="2" t="s">
        <v>32</v>
      </c>
      <c r="F729" s="2" t="s">
        <v>23</v>
      </c>
      <c r="G729" s="2" t="s">
        <v>20</v>
      </c>
      <c r="H729" s="2" t="s">
        <v>41</v>
      </c>
      <c r="I729" s="2" t="s">
        <v>22</v>
      </c>
      <c r="J729" s="15">
        <v>220000</v>
      </c>
      <c r="K729" s="2">
        <v>10</v>
      </c>
      <c r="L729" s="2" t="s">
        <v>39</v>
      </c>
      <c r="M729" s="12">
        <f t="shared" si="18"/>
        <v>176000</v>
      </c>
      <c r="N729" s="10">
        <f>PRODUCT(Table_13[[#This Row],[Unit Price]],Table_13[[#This Row],[Quantity]])</f>
        <v>2200000</v>
      </c>
      <c r="O729" s="16">
        <f>PRODUCT(Table_13[[#This Row],[Cost Price]],Table_13[[#This Row],[Quantity]])</f>
        <v>1760000</v>
      </c>
      <c r="P729" s="27">
        <f t="shared" si="26"/>
        <v>440000</v>
      </c>
    </row>
    <row r="730" spans="1:16" x14ac:dyDescent="0.2">
      <c r="A730" s="33">
        <v>46404</v>
      </c>
      <c r="B730" s="30">
        <f t="shared" si="25"/>
        <v>1</v>
      </c>
      <c r="C730" s="30" t="str">
        <f>_xlfn.IFS(Table_13[[#This Row],[Month]]=1,"JAN",Table_13[[#This Row],[Month]]=2,"FEB",B730=3,"MAR",B730=4,"APR",B730=5,"MAY",B730=6,"JUN",B730=7,"JUL",B730=8,"AUG",Table_13[[#This Row],[Month]]=9,"SEPT",B730=10,"OCT",B730=11,"NOV",B730=12,"DEC")</f>
        <v>JAN</v>
      </c>
      <c r="D730" s="2" t="s">
        <v>29</v>
      </c>
      <c r="E730" s="2" t="s">
        <v>19</v>
      </c>
      <c r="F730" s="2" t="s">
        <v>13</v>
      </c>
      <c r="G730" s="2" t="s">
        <v>14</v>
      </c>
      <c r="H730" s="2" t="s">
        <v>41</v>
      </c>
      <c r="I730" s="2" t="s">
        <v>22</v>
      </c>
      <c r="J730" s="15">
        <v>220000</v>
      </c>
      <c r="K730" s="2">
        <v>5</v>
      </c>
      <c r="L730" s="2" t="s">
        <v>24</v>
      </c>
      <c r="M730" s="12">
        <f t="shared" si="18"/>
        <v>176000</v>
      </c>
      <c r="N730" s="10">
        <f>PRODUCT(Table_13[[#This Row],[Unit Price]],Table_13[[#This Row],[Quantity]])</f>
        <v>1100000</v>
      </c>
      <c r="O730" s="16">
        <f>PRODUCT(Table_13[[#This Row],[Cost Price]],Table_13[[#This Row],[Quantity]])</f>
        <v>880000</v>
      </c>
      <c r="P730" s="27">
        <f t="shared" si="26"/>
        <v>220000</v>
      </c>
    </row>
    <row r="731" spans="1:16" x14ac:dyDescent="0.2">
      <c r="A731" s="33">
        <v>46405</v>
      </c>
      <c r="B731" s="30">
        <f t="shared" si="25"/>
        <v>1</v>
      </c>
      <c r="C731" s="30" t="str">
        <f>_xlfn.IFS(Table_13[[#This Row],[Month]]=1,"JAN",Table_13[[#This Row],[Month]]=2,"FEB",B731=3,"MAR",B731=4,"APR",B731=5,"MAY",B731=6,"JUN",B731=7,"JUL",B731=8,"AUG",Table_13[[#This Row],[Month]]=9,"SEPT",B731=10,"OCT",B731=11,"NOV",B731=12,"DEC")</f>
        <v>JAN</v>
      </c>
      <c r="D731" s="2" t="s">
        <v>25</v>
      </c>
      <c r="E731" s="2" t="s">
        <v>26</v>
      </c>
      <c r="F731" s="2" t="s">
        <v>23</v>
      </c>
      <c r="G731" s="2" t="s">
        <v>20</v>
      </c>
      <c r="H731" s="2" t="s">
        <v>41</v>
      </c>
      <c r="I731" s="2" t="s">
        <v>22</v>
      </c>
      <c r="J731" s="15">
        <v>220000</v>
      </c>
      <c r="K731" s="2">
        <v>8</v>
      </c>
      <c r="L731" s="2" t="s">
        <v>39</v>
      </c>
      <c r="M731" s="12">
        <f t="shared" si="18"/>
        <v>176000</v>
      </c>
      <c r="N731" s="10">
        <f>PRODUCT(Table_13[[#This Row],[Unit Price]],Table_13[[#This Row],[Quantity]])</f>
        <v>1760000</v>
      </c>
      <c r="O731" s="16">
        <f>PRODUCT(Table_13[[#This Row],[Cost Price]],Table_13[[#This Row],[Quantity]])</f>
        <v>1408000</v>
      </c>
      <c r="P731" s="27">
        <f t="shared" si="26"/>
        <v>352000</v>
      </c>
    </row>
    <row r="732" spans="1:16" x14ac:dyDescent="0.2">
      <c r="A732" s="33">
        <v>46406</v>
      </c>
      <c r="B732" s="30">
        <f t="shared" si="25"/>
        <v>1</v>
      </c>
      <c r="C732" s="30" t="str">
        <f>_xlfn.IFS(Table_13[[#This Row],[Month]]=1,"JAN",Table_13[[#This Row],[Month]]=2,"FEB",B732=3,"MAR",B732=4,"APR",B732=5,"MAY",B732=6,"JUN",B732=7,"JUL",B732=8,"AUG",Table_13[[#This Row],[Month]]=9,"SEPT",B732=10,"OCT",B732=11,"NOV",B732=12,"DEC")</f>
        <v>JAN</v>
      </c>
      <c r="D732" s="2" t="s">
        <v>18</v>
      </c>
      <c r="E732" s="2" t="s">
        <v>12</v>
      </c>
      <c r="F732" s="2" t="s">
        <v>13</v>
      </c>
      <c r="G732" s="2" t="s">
        <v>14</v>
      </c>
      <c r="H732" s="2" t="s">
        <v>41</v>
      </c>
      <c r="I732" s="2" t="s">
        <v>22</v>
      </c>
      <c r="J732" s="15">
        <v>220000</v>
      </c>
      <c r="K732" s="2">
        <v>9</v>
      </c>
      <c r="L732" s="2" t="s">
        <v>28</v>
      </c>
      <c r="M732" s="12">
        <f t="shared" si="18"/>
        <v>176000</v>
      </c>
      <c r="N732" s="10">
        <f>PRODUCT(Table_13[[#This Row],[Unit Price]],Table_13[[#This Row],[Quantity]])</f>
        <v>1980000</v>
      </c>
      <c r="O732" s="16">
        <f>PRODUCT(Table_13[[#This Row],[Cost Price]],Table_13[[#This Row],[Quantity]])</f>
        <v>1584000</v>
      </c>
      <c r="P732" s="27">
        <f t="shared" si="26"/>
        <v>396000</v>
      </c>
    </row>
    <row r="733" spans="1:16" x14ac:dyDescent="0.2">
      <c r="A733" s="33">
        <v>46407</v>
      </c>
      <c r="B733" s="30">
        <f t="shared" si="25"/>
        <v>1</v>
      </c>
      <c r="C733" s="30" t="str">
        <f>_xlfn.IFS(Table_13[[#This Row],[Month]]=1,"JAN",Table_13[[#This Row],[Month]]=2,"FEB",B733=3,"MAR",B733=4,"APR",B733=5,"MAY",B733=6,"JUN",B733=7,"JUL",B733=8,"AUG",Table_13[[#This Row],[Month]]=9,"SEPT",B733=10,"OCT",B733=11,"NOV",B733=12,"DEC")</f>
        <v>JAN</v>
      </c>
      <c r="D733" s="2" t="s">
        <v>29</v>
      </c>
      <c r="E733" s="2" t="s">
        <v>26</v>
      </c>
      <c r="F733" s="2" t="s">
        <v>23</v>
      </c>
      <c r="G733" s="2" t="s">
        <v>14</v>
      </c>
      <c r="H733" s="2" t="s">
        <v>30</v>
      </c>
      <c r="I733" s="2" t="s">
        <v>31</v>
      </c>
      <c r="J733" s="15">
        <v>300000</v>
      </c>
      <c r="K733" s="2">
        <v>7</v>
      </c>
      <c r="L733" s="2" t="s">
        <v>39</v>
      </c>
      <c r="M733" s="12">
        <f t="shared" si="18"/>
        <v>240000</v>
      </c>
      <c r="N733" s="10">
        <f>PRODUCT(Table_13[[#This Row],[Unit Price]],Table_13[[#This Row],[Quantity]])</f>
        <v>2100000</v>
      </c>
      <c r="O733" s="16">
        <f>PRODUCT(Table_13[[#This Row],[Cost Price]],Table_13[[#This Row],[Quantity]])</f>
        <v>1680000</v>
      </c>
      <c r="P733" s="27">
        <f t="shared" si="26"/>
        <v>420000</v>
      </c>
    </row>
    <row r="734" spans="1:16" x14ac:dyDescent="0.2">
      <c r="A734" s="33">
        <v>46408</v>
      </c>
      <c r="B734" s="30">
        <f t="shared" si="25"/>
        <v>1</v>
      </c>
      <c r="C734" s="30" t="str">
        <f>_xlfn.IFS(Table_13[[#This Row],[Month]]=1,"JAN",Table_13[[#This Row],[Month]]=2,"FEB",B734=3,"MAR",B734=4,"APR",B734=5,"MAY",B734=6,"JUN",B734=7,"JUL",B734=8,"AUG",Table_13[[#This Row],[Month]]=9,"SEPT",B734=10,"OCT",B734=11,"NOV",B734=12,"DEC")</f>
        <v>JAN</v>
      </c>
      <c r="D734" s="2" t="s">
        <v>11</v>
      </c>
      <c r="E734" s="2" t="s">
        <v>32</v>
      </c>
      <c r="F734" s="2" t="s">
        <v>13</v>
      </c>
      <c r="G734" s="2" t="s">
        <v>14</v>
      </c>
      <c r="H734" s="2" t="s">
        <v>38</v>
      </c>
      <c r="I734" s="2" t="s">
        <v>31</v>
      </c>
      <c r="J734" s="15">
        <v>420000</v>
      </c>
      <c r="K734" s="2">
        <v>1</v>
      </c>
      <c r="L734" s="2" t="s">
        <v>28</v>
      </c>
      <c r="M734" s="12">
        <f t="shared" si="18"/>
        <v>336000</v>
      </c>
      <c r="N734" s="10">
        <f>PRODUCT(Table_13[[#This Row],[Unit Price]],Table_13[[#This Row],[Quantity]])</f>
        <v>420000</v>
      </c>
      <c r="O734" s="16">
        <f>PRODUCT(Table_13[[#This Row],[Cost Price]],Table_13[[#This Row],[Quantity]])</f>
        <v>336000</v>
      </c>
      <c r="P734" s="27">
        <f t="shared" si="26"/>
        <v>84000</v>
      </c>
    </row>
    <row r="735" spans="1:16" x14ac:dyDescent="0.2">
      <c r="A735" s="33">
        <v>46409</v>
      </c>
      <c r="B735" s="30">
        <f t="shared" si="25"/>
        <v>1</v>
      </c>
      <c r="C735" s="30" t="str">
        <f>_xlfn.IFS(Table_13[[#This Row],[Month]]=1,"JAN",Table_13[[#This Row],[Month]]=2,"FEB",B735=3,"MAR",B735=4,"APR",B735=5,"MAY",B735=6,"JUN",B735=7,"JUL",B735=8,"AUG",Table_13[[#This Row],[Month]]=9,"SEPT",B735=10,"OCT",B735=11,"NOV",B735=12,"DEC")</f>
        <v>JAN</v>
      </c>
      <c r="D735" s="2" t="s">
        <v>11</v>
      </c>
      <c r="E735" s="2" t="s">
        <v>19</v>
      </c>
      <c r="F735" s="2" t="s">
        <v>23</v>
      </c>
      <c r="G735" s="2" t="s">
        <v>20</v>
      </c>
      <c r="H735" s="2" t="s">
        <v>33</v>
      </c>
      <c r="I735" s="2" t="s">
        <v>22</v>
      </c>
      <c r="J735" s="15">
        <v>180000</v>
      </c>
      <c r="K735" s="2">
        <v>6</v>
      </c>
      <c r="L735" s="2" t="s">
        <v>28</v>
      </c>
      <c r="M735" s="12">
        <f t="shared" si="18"/>
        <v>144000</v>
      </c>
      <c r="N735" s="10">
        <f>PRODUCT(Table_13[[#This Row],[Unit Price]],Table_13[[#This Row],[Quantity]])</f>
        <v>1080000</v>
      </c>
      <c r="O735" s="16">
        <f>PRODUCT(Table_13[[#This Row],[Cost Price]],Table_13[[#This Row],[Quantity]])</f>
        <v>864000</v>
      </c>
      <c r="P735" s="27">
        <f t="shared" si="26"/>
        <v>216000</v>
      </c>
    </row>
    <row r="736" spans="1:16" x14ac:dyDescent="0.2">
      <c r="A736" s="33">
        <v>46410</v>
      </c>
      <c r="B736" s="30">
        <f t="shared" si="25"/>
        <v>1</v>
      </c>
      <c r="C736" s="30" t="str">
        <f>_xlfn.IFS(Table_13[[#This Row],[Month]]=1,"JAN",Table_13[[#This Row],[Month]]=2,"FEB",B736=3,"MAR",B736=4,"APR",B736=5,"MAY",B736=6,"JUN",B736=7,"JUL",B736=8,"AUG",Table_13[[#This Row],[Month]]=9,"SEPT",B736=10,"OCT",B736=11,"NOV",B736=12,"DEC")</f>
        <v>JAN</v>
      </c>
      <c r="D736" s="2" t="s">
        <v>29</v>
      </c>
      <c r="E736" s="2" t="s">
        <v>12</v>
      </c>
      <c r="F736" s="2" t="s">
        <v>13</v>
      </c>
      <c r="G736" s="2" t="s">
        <v>14</v>
      </c>
      <c r="H736" s="2" t="s">
        <v>40</v>
      </c>
      <c r="I736" s="2" t="s">
        <v>31</v>
      </c>
      <c r="J736" s="15">
        <v>250000</v>
      </c>
      <c r="K736" s="2">
        <v>3</v>
      </c>
      <c r="L736" s="2" t="s">
        <v>28</v>
      </c>
      <c r="M736" s="12">
        <f t="shared" si="18"/>
        <v>200000</v>
      </c>
      <c r="N736" s="10">
        <f>PRODUCT(Table_13[[#This Row],[Unit Price]],Table_13[[#This Row],[Quantity]])</f>
        <v>750000</v>
      </c>
      <c r="O736" s="16">
        <f>PRODUCT(Table_13[[#This Row],[Cost Price]],Table_13[[#This Row],[Quantity]])</f>
        <v>600000</v>
      </c>
      <c r="P736" s="27">
        <f t="shared" si="26"/>
        <v>150000</v>
      </c>
    </row>
    <row r="737" spans="1:16" x14ac:dyDescent="0.2">
      <c r="A737" s="33">
        <v>46411</v>
      </c>
      <c r="B737" s="30">
        <f t="shared" si="25"/>
        <v>1</v>
      </c>
      <c r="C737" s="30" t="str">
        <f>_xlfn.IFS(Table_13[[#This Row],[Month]]=1,"JAN",Table_13[[#This Row],[Month]]=2,"FEB",B737=3,"MAR",B737=4,"APR",B737=5,"MAY",B737=6,"JUN",B737=7,"JUL",B737=8,"AUG",Table_13[[#This Row],[Month]]=9,"SEPT",B737=10,"OCT",B737=11,"NOV",B737=12,"DEC")</f>
        <v>JAN</v>
      </c>
      <c r="D737" s="2" t="s">
        <v>29</v>
      </c>
      <c r="E737" s="2" t="s">
        <v>32</v>
      </c>
      <c r="F737" s="2" t="s">
        <v>13</v>
      </c>
      <c r="G737" s="2" t="s">
        <v>14</v>
      </c>
      <c r="H737" s="2" t="s">
        <v>34</v>
      </c>
      <c r="I737" s="2" t="s">
        <v>16</v>
      </c>
      <c r="J737" s="15">
        <v>320000</v>
      </c>
      <c r="K737" s="2">
        <v>2</v>
      </c>
      <c r="L737" s="2" t="s">
        <v>17</v>
      </c>
      <c r="M737" s="12">
        <f t="shared" si="18"/>
        <v>256000</v>
      </c>
      <c r="N737" s="10">
        <f>PRODUCT(Table_13[[#This Row],[Unit Price]],Table_13[[#This Row],[Quantity]])</f>
        <v>640000</v>
      </c>
      <c r="O737" s="16">
        <f>PRODUCT(Table_13[[#This Row],[Cost Price]],Table_13[[#This Row],[Quantity]])</f>
        <v>512000</v>
      </c>
      <c r="P737" s="27">
        <f t="shared" si="26"/>
        <v>128000</v>
      </c>
    </row>
    <row r="738" spans="1:16" x14ac:dyDescent="0.2">
      <c r="A738" s="33">
        <v>46412</v>
      </c>
      <c r="B738" s="30">
        <f t="shared" si="25"/>
        <v>1</v>
      </c>
      <c r="C738" s="30" t="str">
        <f>_xlfn.IFS(Table_13[[#This Row],[Month]]=1,"JAN",Table_13[[#This Row],[Month]]=2,"FEB",B738=3,"MAR",B738=4,"APR",B738=5,"MAY",B738=6,"JUN",B738=7,"JUL",B738=8,"AUG",Table_13[[#This Row],[Month]]=9,"SEPT",B738=10,"OCT",B738=11,"NOV",B738=12,"DEC")</f>
        <v>JAN</v>
      </c>
      <c r="D738" s="2" t="s">
        <v>18</v>
      </c>
      <c r="E738" s="2" t="s">
        <v>19</v>
      </c>
      <c r="F738" s="2" t="s">
        <v>23</v>
      </c>
      <c r="G738" s="2" t="s">
        <v>14</v>
      </c>
      <c r="H738" s="2" t="s">
        <v>27</v>
      </c>
      <c r="I738" s="2" t="s">
        <v>22</v>
      </c>
      <c r="J738" s="15">
        <v>60000</v>
      </c>
      <c r="K738" s="2">
        <v>3</v>
      </c>
      <c r="L738" s="2" t="s">
        <v>24</v>
      </c>
      <c r="M738" s="12">
        <f t="shared" si="18"/>
        <v>48000</v>
      </c>
      <c r="N738" s="10">
        <f>PRODUCT(Table_13[[#This Row],[Unit Price]],Table_13[[#This Row],[Quantity]])</f>
        <v>180000</v>
      </c>
      <c r="O738" s="16">
        <f>PRODUCT(Table_13[[#This Row],[Cost Price]],Table_13[[#This Row],[Quantity]])</f>
        <v>144000</v>
      </c>
      <c r="P738" s="27">
        <f t="shared" si="26"/>
        <v>36000</v>
      </c>
    </row>
    <row r="739" spans="1:16" x14ac:dyDescent="0.2">
      <c r="A739" s="33">
        <v>46413</v>
      </c>
      <c r="B739" s="30">
        <f t="shared" si="25"/>
        <v>1</v>
      </c>
      <c r="C739" s="30" t="str">
        <f>_xlfn.IFS(Table_13[[#This Row],[Month]]=1,"JAN",Table_13[[#This Row],[Month]]=2,"FEB",B739=3,"MAR",B739=4,"APR",B739=5,"MAY",B739=6,"JUN",B739=7,"JUL",B739=8,"AUG",Table_13[[#This Row],[Month]]=9,"SEPT",B739=10,"OCT",B739=11,"NOV",B739=12,"DEC")</f>
        <v>JAN</v>
      </c>
      <c r="D739" s="2" t="s">
        <v>25</v>
      </c>
      <c r="E739" s="2" t="s">
        <v>32</v>
      </c>
      <c r="F739" s="2" t="s">
        <v>23</v>
      </c>
      <c r="G739" s="2" t="s">
        <v>20</v>
      </c>
      <c r="H739" s="2" t="s">
        <v>21</v>
      </c>
      <c r="I739" s="2" t="s">
        <v>22</v>
      </c>
      <c r="J739" s="15">
        <v>30000</v>
      </c>
      <c r="K739" s="2">
        <v>9</v>
      </c>
      <c r="L739" s="2" t="s">
        <v>24</v>
      </c>
      <c r="M739" s="12">
        <f t="shared" si="18"/>
        <v>24000</v>
      </c>
      <c r="N739" s="10">
        <f>PRODUCT(Table_13[[#This Row],[Unit Price]],Table_13[[#This Row],[Quantity]])</f>
        <v>270000</v>
      </c>
      <c r="O739" s="16">
        <f>PRODUCT(Table_13[[#This Row],[Cost Price]],Table_13[[#This Row],[Quantity]])</f>
        <v>216000</v>
      </c>
      <c r="P739" s="27">
        <f t="shared" si="26"/>
        <v>54000</v>
      </c>
    </row>
    <row r="740" spans="1:16" x14ac:dyDescent="0.2">
      <c r="A740" s="33">
        <v>46414</v>
      </c>
      <c r="B740" s="30">
        <f t="shared" si="25"/>
        <v>1</v>
      </c>
      <c r="C740" s="30" t="str">
        <f>_xlfn.IFS(Table_13[[#This Row],[Month]]=1,"JAN",Table_13[[#This Row],[Month]]=2,"FEB",B740=3,"MAR",B740=4,"APR",B740=5,"MAY",B740=6,"JUN",B740=7,"JUL",B740=8,"AUG",Table_13[[#This Row],[Month]]=9,"SEPT",B740=10,"OCT",B740=11,"NOV",B740=12,"DEC")</f>
        <v>JAN</v>
      </c>
      <c r="D740" s="2" t="s">
        <v>18</v>
      </c>
      <c r="E740" s="2" t="s">
        <v>26</v>
      </c>
      <c r="F740" s="2" t="s">
        <v>23</v>
      </c>
      <c r="G740" s="2" t="s">
        <v>20</v>
      </c>
      <c r="H740" s="2" t="s">
        <v>33</v>
      </c>
      <c r="I740" s="2" t="s">
        <v>22</v>
      </c>
      <c r="J740" s="15">
        <v>180000</v>
      </c>
      <c r="K740" s="2">
        <v>6</v>
      </c>
      <c r="L740" s="2" t="s">
        <v>24</v>
      </c>
      <c r="M740" s="12">
        <f t="shared" si="18"/>
        <v>144000</v>
      </c>
      <c r="N740" s="10">
        <f>PRODUCT(Table_13[[#This Row],[Unit Price]],Table_13[[#This Row],[Quantity]])</f>
        <v>1080000</v>
      </c>
      <c r="O740" s="16">
        <f>PRODUCT(Table_13[[#This Row],[Cost Price]],Table_13[[#This Row],[Quantity]])</f>
        <v>864000</v>
      </c>
      <c r="P740" s="27">
        <f t="shared" si="26"/>
        <v>216000</v>
      </c>
    </row>
    <row r="741" spans="1:16" x14ac:dyDescent="0.2">
      <c r="A741" s="33">
        <v>46415</v>
      </c>
      <c r="B741" s="30">
        <f t="shared" si="25"/>
        <v>1</v>
      </c>
      <c r="C741" s="30" t="str">
        <f>_xlfn.IFS(Table_13[[#This Row],[Month]]=1,"JAN",Table_13[[#This Row],[Month]]=2,"FEB",B741=3,"MAR",B741=4,"APR",B741=5,"MAY",B741=6,"JUN",B741=7,"JUL",B741=8,"AUG",Table_13[[#This Row],[Month]]=9,"SEPT",B741=10,"OCT",B741=11,"NOV",B741=12,"DEC")</f>
        <v>JAN</v>
      </c>
      <c r="D741" s="2" t="s">
        <v>25</v>
      </c>
      <c r="E741" s="2" t="s">
        <v>26</v>
      </c>
      <c r="F741" s="2" t="s">
        <v>23</v>
      </c>
      <c r="G741" s="2" t="s">
        <v>14</v>
      </c>
      <c r="H741" s="2" t="s">
        <v>27</v>
      </c>
      <c r="I741" s="2" t="s">
        <v>22</v>
      </c>
      <c r="J741" s="15">
        <v>60000</v>
      </c>
      <c r="K741" s="2">
        <v>8</v>
      </c>
      <c r="L741" s="2" t="s">
        <v>37</v>
      </c>
      <c r="M741" s="12">
        <f t="shared" si="18"/>
        <v>48000</v>
      </c>
      <c r="N741" s="10">
        <f>PRODUCT(Table_13[[#This Row],[Unit Price]],Table_13[[#This Row],[Quantity]])</f>
        <v>480000</v>
      </c>
      <c r="O741" s="16">
        <f>PRODUCT(Table_13[[#This Row],[Cost Price]],Table_13[[#This Row],[Quantity]])</f>
        <v>384000</v>
      </c>
      <c r="P741" s="27">
        <f t="shared" si="26"/>
        <v>96000</v>
      </c>
    </row>
    <row r="742" spans="1:16" x14ac:dyDescent="0.2">
      <c r="A742" s="33">
        <v>46416</v>
      </c>
      <c r="B742" s="30">
        <f t="shared" si="25"/>
        <v>1</v>
      </c>
      <c r="C742" s="30" t="str">
        <f>_xlfn.IFS(Table_13[[#This Row],[Month]]=1,"JAN",Table_13[[#This Row],[Month]]=2,"FEB",B742=3,"MAR",B742=4,"APR",B742=5,"MAY",B742=6,"JUN",B742=7,"JUL",B742=8,"AUG",Table_13[[#This Row],[Month]]=9,"SEPT",B742=10,"OCT",B742=11,"NOV",B742=12,"DEC")</f>
        <v>JAN</v>
      </c>
      <c r="D742" s="2" t="s">
        <v>25</v>
      </c>
      <c r="E742" s="2" t="s">
        <v>26</v>
      </c>
      <c r="F742" s="2" t="s">
        <v>23</v>
      </c>
      <c r="G742" s="2" t="s">
        <v>14</v>
      </c>
      <c r="H742" s="2" t="s">
        <v>27</v>
      </c>
      <c r="I742" s="2" t="s">
        <v>22</v>
      </c>
      <c r="J742" s="15">
        <v>60000</v>
      </c>
      <c r="K742" s="2">
        <v>8</v>
      </c>
      <c r="L742" s="2" t="s">
        <v>39</v>
      </c>
      <c r="M742" s="12">
        <f t="shared" si="18"/>
        <v>48000</v>
      </c>
      <c r="N742" s="10">
        <f>PRODUCT(Table_13[[#This Row],[Unit Price]],Table_13[[#This Row],[Quantity]])</f>
        <v>480000</v>
      </c>
      <c r="O742" s="16">
        <f>PRODUCT(Table_13[[#This Row],[Cost Price]],Table_13[[#This Row],[Quantity]])</f>
        <v>384000</v>
      </c>
      <c r="P742" s="27">
        <f t="shared" si="26"/>
        <v>96000</v>
      </c>
    </row>
    <row r="743" spans="1:16" x14ac:dyDescent="0.2">
      <c r="A743" s="33">
        <v>46417</v>
      </c>
      <c r="B743" s="30">
        <f t="shared" si="25"/>
        <v>1</v>
      </c>
      <c r="C743" s="30" t="str">
        <f>_xlfn.IFS(Table_13[[#This Row],[Month]]=1,"JAN",Table_13[[#This Row],[Month]]=2,"FEB",B743=3,"MAR",B743=4,"APR",B743=5,"MAY",B743=6,"JUN",B743=7,"JUL",B743=8,"AUG",Table_13[[#This Row],[Month]]=9,"SEPT",B743=10,"OCT",B743=11,"NOV",B743=12,"DEC")</f>
        <v>JAN</v>
      </c>
      <c r="D743" s="2" t="s">
        <v>25</v>
      </c>
      <c r="E743" s="2" t="s">
        <v>26</v>
      </c>
      <c r="F743" s="2" t="s">
        <v>23</v>
      </c>
      <c r="G743" s="2" t="s">
        <v>20</v>
      </c>
      <c r="H743" s="2" t="s">
        <v>40</v>
      </c>
      <c r="I743" s="2" t="s">
        <v>31</v>
      </c>
      <c r="J743" s="15">
        <v>250000</v>
      </c>
      <c r="K743" s="2">
        <v>3</v>
      </c>
      <c r="L743" s="2" t="s">
        <v>35</v>
      </c>
      <c r="M743" s="12">
        <f t="shared" si="18"/>
        <v>200000</v>
      </c>
      <c r="N743" s="10">
        <f>PRODUCT(Table_13[[#This Row],[Unit Price]],Table_13[[#This Row],[Quantity]])</f>
        <v>750000</v>
      </c>
      <c r="O743" s="16">
        <f>PRODUCT(Table_13[[#This Row],[Cost Price]],Table_13[[#This Row],[Quantity]])</f>
        <v>600000</v>
      </c>
      <c r="P743" s="27">
        <f t="shared" si="26"/>
        <v>150000</v>
      </c>
    </row>
    <row r="744" spans="1:16" x14ac:dyDescent="0.2">
      <c r="A744" s="33">
        <v>46418</v>
      </c>
      <c r="B744" s="30">
        <f t="shared" si="25"/>
        <v>1</v>
      </c>
      <c r="C744" s="30" t="str">
        <f>_xlfn.IFS(Table_13[[#This Row],[Month]]=1,"JAN",Table_13[[#This Row],[Month]]=2,"FEB",B744=3,"MAR",B744=4,"APR",B744=5,"MAY",B744=6,"JUN",B744=7,"JUL",B744=8,"AUG",Table_13[[#This Row],[Month]]=9,"SEPT",B744=10,"OCT",B744=11,"NOV",B744=12,"DEC")</f>
        <v>JAN</v>
      </c>
      <c r="D744" s="2" t="s">
        <v>29</v>
      </c>
      <c r="E744" s="2" t="s">
        <v>26</v>
      </c>
      <c r="F744" s="2" t="s">
        <v>23</v>
      </c>
      <c r="G744" s="2" t="s">
        <v>20</v>
      </c>
      <c r="H744" s="2" t="s">
        <v>15</v>
      </c>
      <c r="I744" s="2" t="s">
        <v>16</v>
      </c>
      <c r="J744" s="15">
        <v>85000</v>
      </c>
      <c r="K744" s="2">
        <v>6</v>
      </c>
      <c r="L744" s="2" t="s">
        <v>37</v>
      </c>
      <c r="M744" s="12">
        <f t="shared" si="18"/>
        <v>68000</v>
      </c>
      <c r="N744" s="10">
        <f>PRODUCT(Table_13[[#This Row],[Unit Price]],Table_13[[#This Row],[Quantity]])</f>
        <v>510000</v>
      </c>
      <c r="O744" s="16">
        <f>PRODUCT(Table_13[[#This Row],[Cost Price]],Table_13[[#This Row],[Quantity]])</f>
        <v>408000</v>
      </c>
      <c r="P744" s="27">
        <f t="shared" si="26"/>
        <v>102000</v>
      </c>
    </row>
    <row r="745" spans="1:16" x14ac:dyDescent="0.2">
      <c r="A745" s="33">
        <v>46419</v>
      </c>
      <c r="B745" s="30">
        <f t="shared" si="25"/>
        <v>2</v>
      </c>
      <c r="C745" s="30" t="str">
        <f>_xlfn.IFS(Table_13[[#This Row],[Month]]=1,"JAN",Table_13[[#This Row],[Month]]=2,"FEB",B745=3,"MAR",B745=4,"APR",B745=5,"MAY",B745=6,"JUN",B745=7,"JUL",B745=8,"AUG",Table_13[[#This Row],[Month]]=9,"SEPT",B745=10,"OCT",B745=11,"NOV",B745=12,"DEC")</f>
        <v>FEB</v>
      </c>
      <c r="D745" s="2" t="s">
        <v>18</v>
      </c>
      <c r="E745" s="2" t="s">
        <v>32</v>
      </c>
      <c r="F745" s="2" t="s">
        <v>23</v>
      </c>
      <c r="G745" s="2" t="s">
        <v>14</v>
      </c>
      <c r="H745" s="2" t="s">
        <v>41</v>
      </c>
      <c r="I745" s="2" t="s">
        <v>22</v>
      </c>
      <c r="J745" s="15">
        <v>220000</v>
      </c>
      <c r="K745" s="2">
        <v>9</v>
      </c>
      <c r="L745" s="2" t="s">
        <v>28</v>
      </c>
      <c r="M745" s="12">
        <f t="shared" si="18"/>
        <v>176000</v>
      </c>
      <c r="N745" s="10">
        <f>PRODUCT(Table_13[[#This Row],[Unit Price]],Table_13[[#This Row],[Quantity]])</f>
        <v>1980000</v>
      </c>
      <c r="O745" s="16">
        <f>PRODUCT(Table_13[[#This Row],[Cost Price]],Table_13[[#This Row],[Quantity]])</f>
        <v>1584000</v>
      </c>
      <c r="P745" s="27">
        <f t="shared" si="26"/>
        <v>396000</v>
      </c>
    </row>
    <row r="746" spans="1:16" x14ac:dyDescent="0.2">
      <c r="A746" s="33">
        <v>46420</v>
      </c>
      <c r="B746" s="30">
        <f t="shared" si="25"/>
        <v>2</v>
      </c>
      <c r="C746" s="30" t="str">
        <f>_xlfn.IFS(Table_13[[#This Row],[Month]]=1,"JAN",Table_13[[#This Row],[Month]]=2,"FEB",B746=3,"MAR",B746=4,"APR",B746=5,"MAY",B746=6,"JUN",B746=7,"JUL",B746=8,"AUG",Table_13[[#This Row],[Month]]=9,"SEPT",B746=10,"OCT",B746=11,"NOV",B746=12,"DEC")</f>
        <v>FEB</v>
      </c>
      <c r="D746" s="2" t="s">
        <v>29</v>
      </c>
      <c r="E746" s="2" t="s">
        <v>32</v>
      </c>
      <c r="F746" s="2" t="s">
        <v>23</v>
      </c>
      <c r="G746" s="2" t="s">
        <v>20</v>
      </c>
      <c r="H746" s="2" t="s">
        <v>40</v>
      </c>
      <c r="I746" s="2" t="s">
        <v>31</v>
      </c>
      <c r="J746" s="15">
        <v>250000</v>
      </c>
      <c r="K746" s="2">
        <v>4</v>
      </c>
      <c r="L746" s="2" t="s">
        <v>28</v>
      </c>
      <c r="M746" s="12">
        <f t="shared" si="18"/>
        <v>200000</v>
      </c>
      <c r="N746" s="10">
        <f>PRODUCT(Table_13[[#This Row],[Unit Price]],Table_13[[#This Row],[Quantity]])</f>
        <v>1000000</v>
      </c>
      <c r="O746" s="16">
        <f>PRODUCT(Table_13[[#This Row],[Cost Price]],Table_13[[#This Row],[Quantity]])</f>
        <v>800000</v>
      </c>
      <c r="P746" s="27">
        <f t="shared" si="26"/>
        <v>200000</v>
      </c>
    </row>
    <row r="747" spans="1:16" x14ac:dyDescent="0.2">
      <c r="A747" s="33">
        <v>46421</v>
      </c>
      <c r="B747" s="30">
        <f t="shared" si="25"/>
        <v>2</v>
      </c>
      <c r="C747" s="30" t="str">
        <f>_xlfn.IFS(Table_13[[#This Row],[Month]]=1,"JAN",Table_13[[#This Row],[Month]]=2,"FEB",B747=3,"MAR",B747=4,"APR",B747=5,"MAY",B747=6,"JUN",B747=7,"JUL",B747=8,"AUG",Table_13[[#This Row],[Month]]=9,"SEPT",B747=10,"OCT",B747=11,"NOV",B747=12,"DEC")</f>
        <v>FEB</v>
      </c>
      <c r="D747" s="2" t="s">
        <v>25</v>
      </c>
      <c r="E747" s="2" t="s">
        <v>26</v>
      </c>
      <c r="F747" s="2" t="s">
        <v>23</v>
      </c>
      <c r="G747" s="2" t="s">
        <v>20</v>
      </c>
      <c r="H747" s="2" t="s">
        <v>40</v>
      </c>
      <c r="I747" s="2" t="s">
        <v>31</v>
      </c>
      <c r="J747" s="15">
        <v>250000</v>
      </c>
      <c r="K747" s="2">
        <v>3</v>
      </c>
      <c r="L747" s="2" t="s">
        <v>17</v>
      </c>
      <c r="M747" s="12">
        <f t="shared" si="18"/>
        <v>200000</v>
      </c>
      <c r="N747" s="10">
        <f>PRODUCT(Table_13[[#This Row],[Unit Price]],Table_13[[#This Row],[Quantity]])</f>
        <v>750000</v>
      </c>
      <c r="O747" s="16">
        <f>PRODUCT(Table_13[[#This Row],[Cost Price]],Table_13[[#This Row],[Quantity]])</f>
        <v>600000</v>
      </c>
      <c r="P747" s="27">
        <f t="shared" si="26"/>
        <v>150000</v>
      </c>
    </row>
    <row r="748" spans="1:16" x14ac:dyDescent="0.2">
      <c r="A748" s="33">
        <v>46422</v>
      </c>
      <c r="B748" s="30">
        <f t="shared" si="25"/>
        <v>2</v>
      </c>
      <c r="C748" s="30" t="str">
        <f>_xlfn.IFS(Table_13[[#This Row],[Month]]=1,"JAN",Table_13[[#This Row],[Month]]=2,"FEB",B748=3,"MAR",B748=4,"APR",B748=5,"MAY",B748=6,"JUN",B748=7,"JUL",B748=8,"AUG",Table_13[[#This Row],[Month]]=9,"SEPT",B748=10,"OCT",B748=11,"NOV",B748=12,"DEC")</f>
        <v>FEB</v>
      </c>
      <c r="D748" s="2" t="s">
        <v>25</v>
      </c>
      <c r="E748" s="2" t="s">
        <v>32</v>
      </c>
      <c r="F748" s="2" t="s">
        <v>23</v>
      </c>
      <c r="G748" s="2" t="s">
        <v>20</v>
      </c>
      <c r="H748" s="2" t="s">
        <v>21</v>
      </c>
      <c r="I748" s="2" t="s">
        <v>22</v>
      </c>
      <c r="J748" s="15">
        <v>30000</v>
      </c>
      <c r="K748" s="2">
        <v>10</v>
      </c>
      <c r="L748" s="2" t="s">
        <v>17</v>
      </c>
      <c r="M748" s="12">
        <f t="shared" si="18"/>
        <v>24000</v>
      </c>
      <c r="N748" s="10">
        <f>PRODUCT(Table_13[[#This Row],[Unit Price]],Table_13[[#This Row],[Quantity]])</f>
        <v>300000</v>
      </c>
      <c r="O748" s="16">
        <f>PRODUCT(Table_13[[#This Row],[Cost Price]],Table_13[[#This Row],[Quantity]])</f>
        <v>240000</v>
      </c>
      <c r="P748" s="27">
        <f t="shared" si="26"/>
        <v>60000</v>
      </c>
    </row>
    <row r="749" spans="1:16" x14ac:dyDescent="0.2">
      <c r="A749" s="33">
        <v>46423</v>
      </c>
      <c r="B749" s="30">
        <f t="shared" si="25"/>
        <v>2</v>
      </c>
      <c r="C749" s="30" t="str">
        <f>_xlfn.IFS(Table_13[[#This Row],[Month]]=1,"JAN",Table_13[[#This Row],[Month]]=2,"FEB",B749=3,"MAR",B749=4,"APR",B749=5,"MAY",B749=6,"JUN",B749=7,"JUL",B749=8,"AUG",Table_13[[#This Row],[Month]]=9,"SEPT",B749=10,"OCT",B749=11,"NOV",B749=12,"DEC")</f>
        <v>FEB</v>
      </c>
      <c r="D749" s="2" t="s">
        <v>29</v>
      </c>
      <c r="E749" s="2" t="s">
        <v>26</v>
      </c>
      <c r="F749" s="2" t="s">
        <v>23</v>
      </c>
      <c r="G749" s="2" t="s">
        <v>20</v>
      </c>
      <c r="H749" s="2" t="s">
        <v>30</v>
      </c>
      <c r="I749" s="2" t="s">
        <v>31</v>
      </c>
      <c r="J749" s="15">
        <v>300000</v>
      </c>
      <c r="K749" s="2">
        <v>4</v>
      </c>
      <c r="L749" s="2" t="s">
        <v>39</v>
      </c>
      <c r="M749" s="12">
        <f t="shared" si="18"/>
        <v>240000</v>
      </c>
      <c r="N749" s="10">
        <f>PRODUCT(Table_13[[#This Row],[Unit Price]],Table_13[[#This Row],[Quantity]])</f>
        <v>1200000</v>
      </c>
      <c r="O749" s="16">
        <f>PRODUCT(Table_13[[#This Row],[Cost Price]],Table_13[[#This Row],[Quantity]])</f>
        <v>960000</v>
      </c>
      <c r="P749" s="27">
        <f t="shared" si="26"/>
        <v>240000</v>
      </c>
    </row>
    <row r="750" spans="1:16" x14ac:dyDescent="0.2">
      <c r="A750" s="33">
        <v>46424</v>
      </c>
      <c r="B750" s="30">
        <f t="shared" si="25"/>
        <v>2</v>
      </c>
      <c r="C750" s="30" t="str">
        <f>_xlfn.IFS(Table_13[[#This Row],[Month]]=1,"JAN",Table_13[[#This Row],[Month]]=2,"FEB",B750=3,"MAR",B750=4,"APR",B750=5,"MAY",B750=6,"JUN",B750=7,"JUL",B750=8,"AUG",Table_13[[#This Row],[Month]]=9,"SEPT",B750=10,"OCT",B750=11,"NOV",B750=12,"DEC")</f>
        <v>FEB</v>
      </c>
      <c r="D750" s="2" t="s">
        <v>25</v>
      </c>
      <c r="E750" s="2" t="s">
        <v>12</v>
      </c>
      <c r="F750" s="2" t="s">
        <v>23</v>
      </c>
      <c r="G750" s="2" t="s">
        <v>20</v>
      </c>
      <c r="H750" s="2" t="s">
        <v>34</v>
      </c>
      <c r="I750" s="2" t="s">
        <v>16</v>
      </c>
      <c r="J750" s="15">
        <v>320000</v>
      </c>
      <c r="K750" s="2">
        <v>2</v>
      </c>
      <c r="L750" s="2" t="s">
        <v>35</v>
      </c>
      <c r="M750" s="12">
        <f t="shared" si="18"/>
        <v>256000</v>
      </c>
      <c r="N750" s="10">
        <f>PRODUCT(Table_13[[#This Row],[Unit Price]],Table_13[[#This Row],[Quantity]])</f>
        <v>640000</v>
      </c>
      <c r="O750" s="16">
        <f>PRODUCT(Table_13[[#This Row],[Cost Price]],Table_13[[#This Row],[Quantity]])</f>
        <v>512000</v>
      </c>
      <c r="P750" s="27">
        <f t="shared" si="26"/>
        <v>128000</v>
      </c>
    </row>
    <row r="751" spans="1:16" x14ac:dyDescent="0.2">
      <c r="A751" s="33">
        <v>46425</v>
      </c>
      <c r="B751" s="30">
        <f t="shared" si="25"/>
        <v>2</v>
      </c>
      <c r="C751" s="30" t="str">
        <f>_xlfn.IFS(Table_13[[#This Row],[Month]]=1,"JAN",Table_13[[#This Row],[Month]]=2,"FEB",B751=3,"MAR",B751=4,"APR",B751=5,"MAY",B751=6,"JUN",B751=7,"JUL",B751=8,"AUG",Table_13[[#This Row],[Month]]=9,"SEPT",B751=10,"OCT",B751=11,"NOV",B751=12,"DEC")</f>
        <v>FEB</v>
      </c>
      <c r="D751" s="2" t="s">
        <v>25</v>
      </c>
      <c r="E751" s="2" t="s">
        <v>32</v>
      </c>
      <c r="F751" s="2" t="s">
        <v>23</v>
      </c>
      <c r="G751" s="2" t="s">
        <v>20</v>
      </c>
      <c r="H751" s="2" t="s">
        <v>38</v>
      </c>
      <c r="I751" s="2" t="s">
        <v>31</v>
      </c>
      <c r="J751" s="15">
        <v>420000</v>
      </c>
      <c r="K751" s="2">
        <v>8</v>
      </c>
      <c r="L751" s="2" t="s">
        <v>39</v>
      </c>
      <c r="M751" s="12">
        <f t="shared" si="18"/>
        <v>336000</v>
      </c>
      <c r="N751" s="10">
        <f>PRODUCT(Table_13[[#This Row],[Unit Price]],Table_13[[#This Row],[Quantity]])</f>
        <v>3360000</v>
      </c>
      <c r="O751" s="16">
        <f>PRODUCT(Table_13[[#This Row],[Cost Price]],Table_13[[#This Row],[Quantity]])</f>
        <v>2688000</v>
      </c>
      <c r="P751" s="27">
        <f t="shared" si="26"/>
        <v>672000</v>
      </c>
    </row>
    <row r="752" spans="1:16" x14ac:dyDescent="0.2">
      <c r="A752" s="33">
        <v>46426</v>
      </c>
      <c r="B752" s="30">
        <f t="shared" si="25"/>
        <v>2</v>
      </c>
      <c r="C752" s="30" t="str">
        <f>_xlfn.IFS(Table_13[[#This Row],[Month]]=1,"JAN",Table_13[[#This Row],[Month]]=2,"FEB",B752=3,"MAR",B752=4,"APR",B752=5,"MAY",B752=6,"JUN",B752=7,"JUL",B752=8,"AUG",Table_13[[#This Row],[Month]]=9,"SEPT",B752=10,"OCT",B752=11,"NOV",B752=12,"DEC")</f>
        <v>FEB</v>
      </c>
      <c r="D752" s="2" t="s">
        <v>25</v>
      </c>
      <c r="E752" s="2" t="s">
        <v>32</v>
      </c>
      <c r="F752" s="2" t="s">
        <v>23</v>
      </c>
      <c r="G752" s="2" t="s">
        <v>20</v>
      </c>
      <c r="H752" s="2" t="s">
        <v>21</v>
      </c>
      <c r="I752" s="2" t="s">
        <v>22</v>
      </c>
      <c r="J752" s="15">
        <v>30000</v>
      </c>
      <c r="K752" s="2">
        <v>2</v>
      </c>
      <c r="L752" s="2" t="s">
        <v>24</v>
      </c>
      <c r="M752" s="12">
        <f t="shared" si="18"/>
        <v>24000</v>
      </c>
      <c r="N752" s="10">
        <f>PRODUCT(Table_13[[#This Row],[Unit Price]],Table_13[[#This Row],[Quantity]])</f>
        <v>60000</v>
      </c>
      <c r="O752" s="16">
        <f>PRODUCT(Table_13[[#This Row],[Cost Price]],Table_13[[#This Row],[Quantity]])</f>
        <v>48000</v>
      </c>
      <c r="P752" s="27">
        <f t="shared" si="26"/>
        <v>12000</v>
      </c>
    </row>
    <row r="753" spans="1:16" x14ac:dyDescent="0.2">
      <c r="A753" s="33">
        <v>46427</v>
      </c>
      <c r="B753" s="30">
        <f t="shared" si="25"/>
        <v>2</v>
      </c>
      <c r="C753" s="30" t="str">
        <f>_xlfn.IFS(Table_13[[#This Row],[Month]]=1,"JAN",Table_13[[#This Row],[Month]]=2,"FEB",B753=3,"MAR",B753=4,"APR",B753=5,"MAY",B753=6,"JUN",B753=7,"JUL",B753=8,"AUG",Table_13[[#This Row],[Month]]=9,"SEPT",B753=10,"OCT",B753=11,"NOV",B753=12,"DEC")</f>
        <v>FEB</v>
      </c>
      <c r="D753" s="2" t="s">
        <v>29</v>
      </c>
      <c r="E753" s="2" t="s">
        <v>32</v>
      </c>
      <c r="F753" s="2" t="s">
        <v>23</v>
      </c>
      <c r="G753" s="2" t="s">
        <v>20</v>
      </c>
      <c r="H753" s="2" t="s">
        <v>36</v>
      </c>
      <c r="I753" s="2" t="s">
        <v>31</v>
      </c>
      <c r="J753" s="15">
        <v>150000</v>
      </c>
      <c r="K753" s="2">
        <v>3</v>
      </c>
      <c r="L753" s="2" t="s">
        <v>17</v>
      </c>
      <c r="M753" s="12">
        <f t="shared" si="18"/>
        <v>120000</v>
      </c>
      <c r="N753" s="10">
        <f>PRODUCT(Table_13[[#This Row],[Unit Price]],Table_13[[#This Row],[Quantity]])</f>
        <v>450000</v>
      </c>
      <c r="O753" s="16">
        <f>PRODUCT(Table_13[[#This Row],[Cost Price]],Table_13[[#This Row],[Quantity]])</f>
        <v>360000</v>
      </c>
      <c r="P753" s="27">
        <f t="shared" si="26"/>
        <v>90000</v>
      </c>
    </row>
    <row r="754" spans="1:16" x14ac:dyDescent="0.2">
      <c r="A754" s="33">
        <v>46428</v>
      </c>
      <c r="B754" s="30">
        <f t="shared" si="25"/>
        <v>2</v>
      </c>
      <c r="C754" s="30" t="str">
        <f>_xlfn.IFS(Table_13[[#This Row],[Month]]=1,"JAN",Table_13[[#This Row],[Month]]=2,"FEB",B754=3,"MAR",B754=4,"APR",B754=5,"MAY",B754=6,"JUN",B754=7,"JUL",B754=8,"AUG",Table_13[[#This Row],[Month]]=9,"SEPT",B754=10,"OCT",B754=11,"NOV",B754=12,"DEC")</f>
        <v>FEB</v>
      </c>
      <c r="D754" s="2" t="s">
        <v>25</v>
      </c>
      <c r="E754" s="2" t="s">
        <v>19</v>
      </c>
      <c r="F754" s="2" t="s">
        <v>23</v>
      </c>
      <c r="G754" s="2" t="s">
        <v>20</v>
      </c>
      <c r="H754" s="2" t="s">
        <v>41</v>
      </c>
      <c r="I754" s="2" t="s">
        <v>22</v>
      </c>
      <c r="J754" s="15">
        <v>220000</v>
      </c>
      <c r="K754" s="2">
        <v>6</v>
      </c>
      <c r="L754" s="2" t="s">
        <v>24</v>
      </c>
      <c r="M754" s="12">
        <f t="shared" si="18"/>
        <v>176000</v>
      </c>
      <c r="N754" s="10">
        <f>PRODUCT(Table_13[[#This Row],[Unit Price]],Table_13[[#This Row],[Quantity]])</f>
        <v>1320000</v>
      </c>
      <c r="O754" s="16">
        <f>PRODUCT(Table_13[[#This Row],[Cost Price]],Table_13[[#This Row],[Quantity]])</f>
        <v>1056000</v>
      </c>
      <c r="P754" s="27">
        <f t="shared" si="26"/>
        <v>264000</v>
      </c>
    </row>
    <row r="755" spans="1:16" x14ac:dyDescent="0.2">
      <c r="A755" s="33">
        <v>46429</v>
      </c>
      <c r="B755" s="30">
        <f t="shared" si="25"/>
        <v>2</v>
      </c>
      <c r="C755" s="30" t="str">
        <f>_xlfn.IFS(Table_13[[#This Row],[Month]]=1,"JAN",Table_13[[#This Row],[Month]]=2,"FEB",B755=3,"MAR",B755=4,"APR",B755=5,"MAY",B755=6,"JUN",B755=7,"JUL",B755=8,"AUG",Table_13[[#This Row],[Month]]=9,"SEPT",B755=10,"OCT",B755=11,"NOV",B755=12,"DEC")</f>
        <v>FEB</v>
      </c>
      <c r="D755" s="2" t="s">
        <v>11</v>
      </c>
      <c r="E755" s="2" t="s">
        <v>12</v>
      </c>
      <c r="F755" s="2" t="s">
        <v>23</v>
      </c>
      <c r="G755" s="2" t="s">
        <v>14</v>
      </c>
      <c r="H755" s="2" t="s">
        <v>27</v>
      </c>
      <c r="I755" s="2" t="s">
        <v>22</v>
      </c>
      <c r="J755" s="15">
        <v>60000</v>
      </c>
      <c r="K755" s="2">
        <v>7</v>
      </c>
      <c r="L755" s="2" t="s">
        <v>35</v>
      </c>
      <c r="M755" s="12">
        <f t="shared" si="18"/>
        <v>48000</v>
      </c>
      <c r="N755" s="10">
        <f>PRODUCT(Table_13[[#This Row],[Unit Price]],Table_13[[#This Row],[Quantity]])</f>
        <v>420000</v>
      </c>
      <c r="O755" s="16">
        <f>PRODUCT(Table_13[[#This Row],[Cost Price]],Table_13[[#This Row],[Quantity]])</f>
        <v>336000</v>
      </c>
      <c r="P755" s="27">
        <f t="shared" si="26"/>
        <v>84000</v>
      </c>
    </row>
    <row r="756" spans="1:16" x14ac:dyDescent="0.2">
      <c r="A756" s="33">
        <v>46430</v>
      </c>
      <c r="B756" s="30">
        <f t="shared" si="25"/>
        <v>2</v>
      </c>
      <c r="C756" s="30" t="str">
        <f>_xlfn.IFS(Table_13[[#This Row],[Month]]=1,"JAN",Table_13[[#This Row],[Month]]=2,"FEB",B756=3,"MAR",B756=4,"APR",B756=5,"MAY",B756=6,"JUN",B756=7,"JUL",B756=8,"AUG",Table_13[[#This Row],[Month]]=9,"SEPT",B756=10,"OCT",B756=11,"NOV",B756=12,"DEC")</f>
        <v>FEB</v>
      </c>
      <c r="D756" s="2" t="s">
        <v>25</v>
      </c>
      <c r="E756" s="2" t="s">
        <v>12</v>
      </c>
      <c r="F756" s="2" t="s">
        <v>13</v>
      </c>
      <c r="G756" s="2" t="s">
        <v>14</v>
      </c>
      <c r="H756" s="2" t="s">
        <v>15</v>
      </c>
      <c r="I756" s="2" t="s">
        <v>16</v>
      </c>
      <c r="J756" s="15">
        <v>85000</v>
      </c>
      <c r="K756" s="2">
        <v>7</v>
      </c>
      <c r="L756" s="2" t="s">
        <v>35</v>
      </c>
      <c r="M756" s="12">
        <f t="shared" si="18"/>
        <v>68000</v>
      </c>
      <c r="N756" s="10">
        <f>PRODUCT(Table_13[[#This Row],[Unit Price]],Table_13[[#This Row],[Quantity]])</f>
        <v>595000</v>
      </c>
      <c r="O756" s="16">
        <f>PRODUCT(Table_13[[#This Row],[Cost Price]],Table_13[[#This Row],[Quantity]])</f>
        <v>476000</v>
      </c>
      <c r="P756" s="27">
        <f t="shared" si="26"/>
        <v>119000</v>
      </c>
    </row>
    <row r="757" spans="1:16" x14ac:dyDescent="0.2">
      <c r="A757" s="33">
        <v>46431</v>
      </c>
      <c r="B757" s="30">
        <f t="shared" si="25"/>
        <v>2</v>
      </c>
      <c r="C757" s="30" t="str">
        <f>_xlfn.IFS(Table_13[[#This Row],[Month]]=1,"JAN",Table_13[[#This Row],[Month]]=2,"FEB",B757=3,"MAR",B757=4,"APR",B757=5,"MAY",B757=6,"JUN",B757=7,"JUL",B757=8,"AUG",Table_13[[#This Row],[Month]]=9,"SEPT",B757=10,"OCT",B757=11,"NOV",B757=12,"DEC")</f>
        <v>FEB</v>
      </c>
      <c r="D757" s="2" t="s">
        <v>11</v>
      </c>
      <c r="E757" s="2" t="s">
        <v>19</v>
      </c>
      <c r="F757" s="2" t="s">
        <v>13</v>
      </c>
      <c r="G757" s="2" t="s">
        <v>14</v>
      </c>
      <c r="H757" s="2" t="s">
        <v>38</v>
      </c>
      <c r="I757" s="2" t="s">
        <v>31</v>
      </c>
      <c r="J757" s="15">
        <v>420000</v>
      </c>
      <c r="K757" s="2">
        <v>6</v>
      </c>
      <c r="L757" s="2" t="s">
        <v>17</v>
      </c>
      <c r="M757" s="12">
        <f t="shared" si="18"/>
        <v>336000</v>
      </c>
      <c r="N757" s="10">
        <f>PRODUCT(Table_13[[#This Row],[Unit Price]],Table_13[[#This Row],[Quantity]])</f>
        <v>2520000</v>
      </c>
      <c r="O757" s="16">
        <f>PRODUCT(Table_13[[#This Row],[Cost Price]],Table_13[[#This Row],[Quantity]])</f>
        <v>2016000</v>
      </c>
      <c r="P757" s="27">
        <f t="shared" si="26"/>
        <v>504000</v>
      </c>
    </row>
    <row r="758" spans="1:16" x14ac:dyDescent="0.2">
      <c r="A758" s="33">
        <v>46432</v>
      </c>
      <c r="B758" s="30">
        <f t="shared" si="25"/>
        <v>2</v>
      </c>
      <c r="C758" s="30" t="str">
        <f>_xlfn.IFS(Table_13[[#This Row],[Month]]=1,"JAN",Table_13[[#This Row],[Month]]=2,"FEB",B758=3,"MAR",B758=4,"APR",B758=5,"MAY",B758=6,"JUN",B758=7,"JUL",B758=8,"AUG",Table_13[[#This Row],[Month]]=9,"SEPT",B758=10,"OCT",B758=11,"NOV",B758=12,"DEC")</f>
        <v>FEB</v>
      </c>
      <c r="D758" s="2" t="s">
        <v>11</v>
      </c>
      <c r="E758" s="2" t="s">
        <v>12</v>
      </c>
      <c r="F758" s="2" t="s">
        <v>13</v>
      </c>
      <c r="G758" s="2" t="s">
        <v>20</v>
      </c>
      <c r="H758" s="2" t="s">
        <v>30</v>
      </c>
      <c r="I758" s="2" t="s">
        <v>31</v>
      </c>
      <c r="J758" s="15">
        <v>300000</v>
      </c>
      <c r="K758" s="2">
        <v>3</v>
      </c>
      <c r="L758" s="2" t="s">
        <v>28</v>
      </c>
      <c r="M758" s="12">
        <f t="shared" si="18"/>
        <v>240000</v>
      </c>
      <c r="N758" s="10">
        <f>PRODUCT(Table_13[[#This Row],[Unit Price]],Table_13[[#This Row],[Quantity]])</f>
        <v>900000</v>
      </c>
      <c r="O758" s="16">
        <f>PRODUCT(Table_13[[#This Row],[Cost Price]],Table_13[[#This Row],[Quantity]])</f>
        <v>720000</v>
      </c>
      <c r="P758" s="27">
        <f t="shared" si="26"/>
        <v>180000</v>
      </c>
    </row>
    <row r="759" spans="1:16" x14ac:dyDescent="0.2">
      <c r="A759" s="33">
        <v>46433</v>
      </c>
      <c r="B759" s="30">
        <f t="shared" si="25"/>
        <v>2</v>
      </c>
      <c r="C759" s="30" t="str">
        <f>_xlfn.IFS(Table_13[[#This Row],[Month]]=1,"JAN",Table_13[[#This Row],[Month]]=2,"FEB",B759=3,"MAR",B759=4,"APR",B759=5,"MAY",B759=6,"JUN",B759=7,"JUL",B759=8,"AUG",Table_13[[#This Row],[Month]]=9,"SEPT",B759=10,"OCT",B759=11,"NOV",B759=12,"DEC")</f>
        <v>FEB</v>
      </c>
      <c r="D759" s="2" t="s">
        <v>29</v>
      </c>
      <c r="E759" s="2" t="s">
        <v>32</v>
      </c>
      <c r="F759" s="2" t="s">
        <v>13</v>
      </c>
      <c r="G759" s="2" t="s">
        <v>14</v>
      </c>
      <c r="H759" s="2" t="s">
        <v>41</v>
      </c>
      <c r="I759" s="2" t="s">
        <v>22</v>
      </c>
      <c r="J759" s="15">
        <v>220000</v>
      </c>
      <c r="K759" s="2">
        <v>10</v>
      </c>
      <c r="L759" s="2" t="s">
        <v>17</v>
      </c>
      <c r="M759" s="12">
        <f t="shared" si="18"/>
        <v>176000</v>
      </c>
      <c r="N759" s="10">
        <f>PRODUCT(Table_13[[#This Row],[Unit Price]],Table_13[[#This Row],[Quantity]])</f>
        <v>2200000</v>
      </c>
      <c r="O759" s="16">
        <f>PRODUCT(Table_13[[#This Row],[Cost Price]],Table_13[[#This Row],[Quantity]])</f>
        <v>1760000</v>
      </c>
      <c r="P759" s="27">
        <f t="shared" si="26"/>
        <v>440000</v>
      </c>
    </row>
    <row r="760" spans="1:16" x14ac:dyDescent="0.2">
      <c r="A760" s="33">
        <v>46434</v>
      </c>
      <c r="B760" s="30">
        <f t="shared" si="25"/>
        <v>2</v>
      </c>
      <c r="C760" s="30" t="str">
        <f>_xlfn.IFS(Table_13[[#This Row],[Month]]=1,"JAN",Table_13[[#This Row],[Month]]=2,"FEB",B760=3,"MAR",B760=4,"APR",B760=5,"MAY",B760=6,"JUN",B760=7,"JUL",B760=8,"AUG",Table_13[[#This Row],[Month]]=9,"SEPT",B760=10,"OCT",B760=11,"NOV",B760=12,"DEC")</f>
        <v>FEB</v>
      </c>
      <c r="D760" s="2" t="s">
        <v>29</v>
      </c>
      <c r="E760" s="2" t="s">
        <v>12</v>
      </c>
      <c r="F760" s="2" t="s">
        <v>23</v>
      </c>
      <c r="G760" s="2" t="s">
        <v>20</v>
      </c>
      <c r="H760" s="2" t="s">
        <v>15</v>
      </c>
      <c r="I760" s="2" t="s">
        <v>16</v>
      </c>
      <c r="J760" s="15">
        <v>85000</v>
      </c>
      <c r="K760" s="2">
        <v>4</v>
      </c>
      <c r="L760" s="2" t="s">
        <v>35</v>
      </c>
      <c r="M760" s="12">
        <f t="shared" si="18"/>
        <v>68000</v>
      </c>
      <c r="N760" s="10">
        <f>PRODUCT(Table_13[[#This Row],[Unit Price]],Table_13[[#This Row],[Quantity]])</f>
        <v>340000</v>
      </c>
      <c r="O760" s="16">
        <f>PRODUCT(Table_13[[#This Row],[Cost Price]],Table_13[[#This Row],[Quantity]])</f>
        <v>272000</v>
      </c>
      <c r="P760" s="27">
        <f t="shared" si="26"/>
        <v>68000</v>
      </c>
    </row>
    <row r="761" spans="1:16" x14ac:dyDescent="0.2">
      <c r="A761" s="33">
        <v>46435</v>
      </c>
      <c r="B761" s="30">
        <f t="shared" si="25"/>
        <v>2</v>
      </c>
      <c r="C761" s="30" t="str">
        <f>_xlfn.IFS(Table_13[[#This Row],[Month]]=1,"JAN",Table_13[[#This Row],[Month]]=2,"FEB",B761=3,"MAR",B761=4,"APR",B761=5,"MAY",B761=6,"JUN",B761=7,"JUL",B761=8,"AUG",Table_13[[#This Row],[Month]]=9,"SEPT",B761=10,"OCT",B761=11,"NOV",B761=12,"DEC")</f>
        <v>FEB</v>
      </c>
      <c r="D761" s="2" t="s">
        <v>29</v>
      </c>
      <c r="E761" s="2" t="s">
        <v>19</v>
      </c>
      <c r="F761" s="2" t="s">
        <v>13</v>
      </c>
      <c r="G761" s="2" t="s">
        <v>20</v>
      </c>
      <c r="H761" s="2" t="s">
        <v>34</v>
      </c>
      <c r="I761" s="2" t="s">
        <v>16</v>
      </c>
      <c r="J761" s="15">
        <v>320000</v>
      </c>
      <c r="K761" s="2">
        <v>4</v>
      </c>
      <c r="L761" s="2" t="s">
        <v>39</v>
      </c>
      <c r="M761" s="12">
        <f t="shared" si="18"/>
        <v>256000</v>
      </c>
      <c r="N761" s="10">
        <f>PRODUCT(Table_13[[#This Row],[Unit Price]],Table_13[[#This Row],[Quantity]])</f>
        <v>1280000</v>
      </c>
      <c r="O761" s="16">
        <f>PRODUCT(Table_13[[#This Row],[Cost Price]],Table_13[[#This Row],[Quantity]])</f>
        <v>1024000</v>
      </c>
      <c r="P761" s="27">
        <f t="shared" si="26"/>
        <v>256000</v>
      </c>
    </row>
    <row r="762" spans="1:16" x14ac:dyDescent="0.2">
      <c r="A762" s="33">
        <v>46436</v>
      </c>
      <c r="B762" s="30">
        <f t="shared" si="25"/>
        <v>2</v>
      </c>
      <c r="C762" s="30" t="str">
        <f>_xlfn.IFS(Table_13[[#This Row],[Month]]=1,"JAN",Table_13[[#This Row],[Month]]=2,"FEB",B762=3,"MAR",B762=4,"APR",B762=5,"MAY",B762=6,"JUN",B762=7,"JUL",B762=8,"AUG",Table_13[[#This Row],[Month]]=9,"SEPT",B762=10,"OCT",B762=11,"NOV",B762=12,"DEC")</f>
        <v>FEB</v>
      </c>
      <c r="D762" s="2" t="s">
        <v>25</v>
      </c>
      <c r="E762" s="2" t="s">
        <v>32</v>
      </c>
      <c r="F762" s="2" t="s">
        <v>13</v>
      </c>
      <c r="G762" s="2" t="s">
        <v>20</v>
      </c>
      <c r="H762" s="2" t="s">
        <v>36</v>
      </c>
      <c r="I762" s="2" t="s">
        <v>31</v>
      </c>
      <c r="J762" s="15">
        <v>150000</v>
      </c>
      <c r="K762" s="2">
        <v>6</v>
      </c>
      <c r="L762" s="2" t="s">
        <v>39</v>
      </c>
      <c r="M762" s="12">
        <f t="shared" si="18"/>
        <v>120000</v>
      </c>
      <c r="N762" s="10">
        <f>PRODUCT(Table_13[[#This Row],[Unit Price]],Table_13[[#This Row],[Quantity]])</f>
        <v>900000</v>
      </c>
      <c r="O762" s="16">
        <f>PRODUCT(Table_13[[#This Row],[Cost Price]],Table_13[[#This Row],[Quantity]])</f>
        <v>720000</v>
      </c>
      <c r="P762" s="27">
        <f t="shared" si="26"/>
        <v>180000</v>
      </c>
    </row>
    <row r="763" spans="1:16" x14ac:dyDescent="0.2">
      <c r="A763" s="33">
        <v>46437</v>
      </c>
      <c r="B763" s="30">
        <f t="shared" si="25"/>
        <v>2</v>
      </c>
      <c r="C763" s="30" t="str">
        <f>_xlfn.IFS(Table_13[[#This Row],[Month]]=1,"JAN",Table_13[[#This Row],[Month]]=2,"FEB",B763=3,"MAR",B763=4,"APR",B763=5,"MAY",B763=6,"JUN",B763=7,"JUL",B763=8,"AUG",Table_13[[#This Row],[Month]]=9,"SEPT",B763=10,"OCT",B763=11,"NOV",B763=12,"DEC")</f>
        <v>FEB</v>
      </c>
      <c r="D763" s="2" t="s">
        <v>11</v>
      </c>
      <c r="E763" s="2" t="s">
        <v>19</v>
      </c>
      <c r="F763" s="2" t="s">
        <v>13</v>
      </c>
      <c r="G763" s="2" t="s">
        <v>20</v>
      </c>
      <c r="H763" s="2" t="s">
        <v>34</v>
      </c>
      <c r="I763" s="2" t="s">
        <v>16</v>
      </c>
      <c r="J763" s="15">
        <v>320000</v>
      </c>
      <c r="K763" s="2">
        <v>2</v>
      </c>
      <c r="L763" s="2" t="s">
        <v>39</v>
      </c>
      <c r="M763" s="12">
        <f t="shared" si="18"/>
        <v>256000</v>
      </c>
      <c r="N763" s="10">
        <f>PRODUCT(Table_13[[#This Row],[Unit Price]],Table_13[[#This Row],[Quantity]])</f>
        <v>640000</v>
      </c>
      <c r="O763" s="16">
        <f>PRODUCT(Table_13[[#This Row],[Cost Price]],Table_13[[#This Row],[Quantity]])</f>
        <v>512000</v>
      </c>
      <c r="P763" s="27">
        <f t="shared" si="26"/>
        <v>128000</v>
      </c>
    </row>
    <row r="764" spans="1:16" x14ac:dyDescent="0.2">
      <c r="A764" s="33">
        <v>46438</v>
      </c>
      <c r="B764" s="30">
        <f t="shared" si="25"/>
        <v>2</v>
      </c>
      <c r="C764" s="30" t="str">
        <f>_xlfn.IFS(Table_13[[#This Row],[Month]]=1,"JAN",Table_13[[#This Row],[Month]]=2,"FEB",B764=3,"MAR",B764=4,"APR",B764=5,"MAY",B764=6,"JUN",B764=7,"JUL",B764=8,"AUG",Table_13[[#This Row],[Month]]=9,"SEPT",B764=10,"OCT",B764=11,"NOV",B764=12,"DEC")</f>
        <v>FEB</v>
      </c>
      <c r="D764" s="2" t="s">
        <v>29</v>
      </c>
      <c r="E764" s="2" t="s">
        <v>26</v>
      </c>
      <c r="F764" s="2" t="s">
        <v>13</v>
      </c>
      <c r="G764" s="2" t="s">
        <v>14</v>
      </c>
      <c r="H764" s="2" t="s">
        <v>34</v>
      </c>
      <c r="I764" s="2" t="s">
        <v>16</v>
      </c>
      <c r="J764" s="15">
        <v>320000</v>
      </c>
      <c r="K764" s="2">
        <v>10</v>
      </c>
      <c r="L764" s="2" t="s">
        <v>39</v>
      </c>
      <c r="M764" s="12">
        <f t="shared" si="18"/>
        <v>256000</v>
      </c>
      <c r="N764" s="10">
        <f>PRODUCT(Table_13[[#This Row],[Unit Price]],Table_13[[#This Row],[Quantity]])</f>
        <v>3200000</v>
      </c>
      <c r="O764" s="16">
        <f>PRODUCT(Table_13[[#This Row],[Cost Price]],Table_13[[#This Row],[Quantity]])</f>
        <v>2560000</v>
      </c>
      <c r="P764" s="27">
        <f t="shared" si="26"/>
        <v>640000</v>
      </c>
    </row>
    <row r="765" spans="1:16" x14ac:dyDescent="0.2">
      <c r="A765" s="33">
        <v>46439</v>
      </c>
      <c r="B765" s="30">
        <f t="shared" si="25"/>
        <v>2</v>
      </c>
      <c r="C765" s="30" t="str">
        <f>_xlfn.IFS(Table_13[[#This Row],[Month]]=1,"JAN",Table_13[[#This Row],[Month]]=2,"FEB",B765=3,"MAR",B765=4,"APR",B765=5,"MAY",B765=6,"JUN",B765=7,"JUL",B765=8,"AUG",Table_13[[#This Row],[Month]]=9,"SEPT",B765=10,"OCT",B765=11,"NOV",B765=12,"DEC")</f>
        <v>FEB</v>
      </c>
      <c r="D765" s="2" t="s">
        <v>25</v>
      </c>
      <c r="E765" s="2" t="s">
        <v>19</v>
      </c>
      <c r="F765" s="2" t="s">
        <v>23</v>
      </c>
      <c r="G765" s="2" t="s">
        <v>14</v>
      </c>
      <c r="H765" s="2" t="s">
        <v>38</v>
      </c>
      <c r="I765" s="2" t="s">
        <v>31</v>
      </c>
      <c r="J765" s="15">
        <v>420000</v>
      </c>
      <c r="K765" s="2">
        <v>8</v>
      </c>
      <c r="L765" s="2" t="s">
        <v>17</v>
      </c>
      <c r="M765" s="12">
        <f t="shared" si="18"/>
        <v>336000</v>
      </c>
      <c r="N765" s="10">
        <f>PRODUCT(Table_13[[#This Row],[Unit Price]],Table_13[[#This Row],[Quantity]])</f>
        <v>3360000</v>
      </c>
      <c r="O765" s="16">
        <f>PRODUCT(Table_13[[#This Row],[Cost Price]],Table_13[[#This Row],[Quantity]])</f>
        <v>2688000</v>
      </c>
      <c r="P765" s="27">
        <f t="shared" si="26"/>
        <v>672000</v>
      </c>
    </row>
    <row r="766" spans="1:16" x14ac:dyDescent="0.2">
      <c r="A766" s="33">
        <v>46440</v>
      </c>
      <c r="B766" s="30">
        <f t="shared" si="25"/>
        <v>2</v>
      </c>
      <c r="C766" s="30" t="str">
        <f>_xlfn.IFS(Table_13[[#This Row],[Month]]=1,"JAN",Table_13[[#This Row],[Month]]=2,"FEB",B766=3,"MAR",B766=4,"APR",B766=5,"MAY",B766=6,"JUN",B766=7,"JUL",B766=8,"AUG",Table_13[[#This Row],[Month]]=9,"SEPT",B766=10,"OCT",B766=11,"NOV",B766=12,"DEC")</f>
        <v>FEB</v>
      </c>
      <c r="D766" s="2" t="s">
        <v>29</v>
      </c>
      <c r="E766" s="2" t="s">
        <v>12</v>
      </c>
      <c r="F766" s="2" t="s">
        <v>23</v>
      </c>
      <c r="G766" s="2" t="s">
        <v>14</v>
      </c>
      <c r="H766" s="2" t="s">
        <v>36</v>
      </c>
      <c r="I766" s="2" t="s">
        <v>31</v>
      </c>
      <c r="J766" s="15">
        <v>150000</v>
      </c>
      <c r="K766" s="2">
        <v>5</v>
      </c>
      <c r="L766" s="2" t="s">
        <v>37</v>
      </c>
      <c r="M766" s="12">
        <f t="shared" si="18"/>
        <v>120000</v>
      </c>
      <c r="N766" s="10">
        <f>PRODUCT(Table_13[[#This Row],[Unit Price]],Table_13[[#This Row],[Quantity]])</f>
        <v>750000</v>
      </c>
      <c r="O766" s="16">
        <f>PRODUCT(Table_13[[#This Row],[Cost Price]],Table_13[[#This Row],[Quantity]])</f>
        <v>600000</v>
      </c>
      <c r="P766" s="27">
        <f t="shared" si="26"/>
        <v>150000</v>
      </c>
    </row>
    <row r="767" spans="1:16" x14ac:dyDescent="0.2">
      <c r="A767" s="33">
        <v>46441</v>
      </c>
      <c r="B767" s="30">
        <f t="shared" si="25"/>
        <v>2</v>
      </c>
      <c r="C767" s="30" t="str">
        <f>_xlfn.IFS(Table_13[[#This Row],[Month]]=1,"JAN",Table_13[[#This Row],[Month]]=2,"FEB",B767=3,"MAR",B767=4,"APR",B767=5,"MAY",B767=6,"JUN",B767=7,"JUL",B767=8,"AUG",Table_13[[#This Row],[Month]]=9,"SEPT",B767=10,"OCT",B767=11,"NOV",B767=12,"DEC")</f>
        <v>FEB</v>
      </c>
      <c r="D767" s="2" t="s">
        <v>11</v>
      </c>
      <c r="E767" s="2" t="s">
        <v>26</v>
      </c>
      <c r="F767" s="2" t="s">
        <v>23</v>
      </c>
      <c r="G767" s="2" t="s">
        <v>20</v>
      </c>
      <c r="H767" s="2" t="s">
        <v>15</v>
      </c>
      <c r="I767" s="2" t="s">
        <v>16</v>
      </c>
      <c r="J767" s="15">
        <v>85000</v>
      </c>
      <c r="K767" s="2">
        <v>1</v>
      </c>
      <c r="L767" s="2" t="s">
        <v>37</v>
      </c>
      <c r="M767" s="12">
        <f t="shared" ref="M767:M1021" si="27">J767-J767*0.2</f>
        <v>68000</v>
      </c>
      <c r="N767" s="10">
        <f>PRODUCT(Table_13[[#This Row],[Unit Price]],Table_13[[#This Row],[Quantity]])</f>
        <v>85000</v>
      </c>
      <c r="O767" s="16">
        <f>PRODUCT(Table_13[[#This Row],[Cost Price]],Table_13[[#This Row],[Quantity]])</f>
        <v>68000</v>
      </c>
      <c r="P767" s="27">
        <f t="shared" si="26"/>
        <v>17000</v>
      </c>
    </row>
    <row r="768" spans="1:16" x14ac:dyDescent="0.2">
      <c r="A768" s="33">
        <v>46442</v>
      </c>
      <c r="B768" s="30">
        <f t="shared" si="25"/>
        <v>2</v>
      </c>
      <c r="C768" s="30" t="str">
        <f>_xlfn.IFS(Table_13[[#This Row],[Month]]=1,"JAN",Table_13[[#This Row],[Month]]=2,"FEB",B768=3,"MAR",B768=4,"APR",B768=5,"MAY",B768=6,"JUN",B768=7,"JUL",B768=8,"AUG",Table_13[[#This Row],[Month]]=9,"SEPT",B768=10,"OCT",B768=11,"NOV",B768=12,"DEC")</f>
        <v>FEB</v>
      </c>
      <c r="D768" s="2" t="s">
        <v>18</v>
      </c>
      <c r="E768" s="2" t="s">
        <v>32</v>
      </c>
      <c r="F768" s="2" t="s">
        <v>23</v>
      </c>
      <c r="G768" s="2" t="s">
        <v>20</v>
      </c>
      <c r="H768" s="2" t="s">
        <v>38</v>
      </c>
      <c r="I768" s="2" t="s">
        <v>31</v>
      </c>
      <c r="J768" s="15">
        <v>420000</v>
      </c>
      <c r="K768" s="2">
        <v>2</v>
      </c>
      <c r="L768" s="2" t="s">
        <v>39</v>
      </c>
      <c r="M768" s="12">
        <f t="shared" si="27"/>
        <v>336000</v>
      </c>
      <c r="N768" s="10">
        <f>PRODUCT(Table_13[[#This Row],[Unit Price]],Table_13[[#This Row],[Quantity]])</f>
        <v>840000</v>
      </c>
      <c r="O768" s="16">
        <f>PRODUCT(Table_13[[#This Row],[Cost Price]],Table_13[[#This Row],[Quantity]])</f>
        <v>672000</v>
      </c>
      <c r="P768" s="27">
        <f t="shared" si="26"/>
        <v>168000</v>
      </c>
    </row>
    <row r="769" spans="1:16" x14ac:dyDescent="0.2">
      <c r="A769" s="33">
        <v>46443</v>
      </c>
      <c r="B769" s="30">
        <f t="shared" si="25"/>
        <v>2</v>
      </c>
      <c r="C769" s="30" t="str">
        <f>_xlfn.IFS(Table_13[[#This Row],[Month]]=1,"JAN",Table_13[[#This Row],[Month]]=2,"FEB",B769=3,"MAR",B769=4,"APR",B769=5,"MAY",B769=6,"JUN",B769=7,"JUL",B769=8,"AUG",Table_13[[#This Row],[Month]]=9,"SEPT",B769=10,"OCT",B769=11,"NOV",B769=12,"DEC")</f>
        <v>FEB</v>
      </c>
      <c r="D769" s="2" t="s">
        <v>18</v>
      </c>
      <c r="E769" s="2" t="s">
        <v>32</v>
      </c>
      <c r="F769" s="2" t="s">
        <v>13</v>
      </c>
      <c r="G769" s="2" t="s">
        <v>20</v>
      </c>
      <c r="H769" s="2" t="s">
        <v>33</v>
      </c>
      <c r="I769" s="2" t="s">
        <v>22</v>
      </c>
      <c r="J769" s="15">
        <v>180000</v>
      </c>
      <c r="K769" s="2">
        <v>6</v>
      </c>
      <c r="L769" s="2" t="s">
        <v>39</v>
      </c>
      <c r="M769" s="12">
        <f t="shared" si="27"/>
        <v>144000</v>
      </c>
      <c r="N769" s="10">
        <f>PRODUCT(Table_13[[#This Row],[Unit Price]],Table_13[[#This Row],[Quantity]])</f>
        <v>1080000</v>
      </c>
      <c r="O769" s="16">
        <f>PRODUCT(Table_13[[#This Row],[Cost Price]],Table_13[[#This Row],[Quantity]])</f>
        <v>864000</v>
      </c>
      <c r="P769" s="27">
        <f t="shared" si="26"/>
        <v>216000</v>
      </c>
    </row>
    <row r="770" spans="1:16" x14ac:dyDescent="0.2">
      <c r="A770" s="33">
        <v>46444</v>
      </c>
      <c r="B770" s="30">
        <f t="shared" ref="B770:B833" si="28">MONTH(A770)</f>
        <v>2</v>
      </c>
      <c r="C770" s="30" t="str">
        <f>_xlfn.IFS(Table_13[[#This Row],[Month]]=1,"JAN",Table_13[[#This Row],[Month]]=2,"FEB",B770=3,"MAR",B770=4,"APR",B770=5,"MAY",B770=6,"JUN",B770=7,"JUL",B770=8,"AUG",Table_13[[#This Row],[Month]]=9,"SEPT",B770=10,"OCT",B770=11,"NOV",B770=12,"DEC")</f>
        <v>FEB</v>
      </c>
      <c r="D770" s="2" t="s">
        <v>18</v>
      </c>
      <c r="E770" s="2" t="s">
        <v>12</v>
      </c>
      <c r="F770" s="2" t="s">
        <v>13</v>
      </c>
      <c r="G770" s="2" t="s">
        <v>20</v>
      </c>
      <c r="H770" s="2" t="s">
        <v>41</v>
      </c>
      <c r="I770" s="2" t="s">
        <v>22</v>
      </c>
      <c r="J770" s="15">
        <v>220000</v>
      </c>
      <c r="K770" s="2">
        <v>7</v>
      </c>
      <c r="L770" s="2" t="s">
        <v>17</v>
      </c>
      <c r="M770" s="12">
        <f t="shared" si="27"/>
        <v>176000</v>
      </c>
      <c r="N770" s="10">
        <f>PRODUCT(Table_13[[#This Row],[Unit Price]],Table_13[[#This Row],[Quantity]])</f>
        <v>1540000</v>
      </c>
      <c r="O770" s="16">
        <f>PRODUCT(Table_13[[#This Row],[Cost Price]],Table_13[[#This Row],[Quantity]])</f>
        <v>1232000</v>
      </c>
      <c r="P770" s="27">
        <f t="shared" ref="P770:P833" si="29">N770-O770</f>
        <v>308000</v>
      </c>
    </row>
    <row r="771" spans="1:16" x14ac:dyDescent="0.2">
      <c r="A771" s="33">
        <v>46445</v>
      </c>
      <c r="B771" s="30">
        <f t="shared" si="28"/>
        <v>2</v>
      </c>
      <c r="C771" s="30" t="str">
        <f>_xlfn.IFS(Table_13[[#This Row],[Month]]=1,"JAN",Table_13[[#This Row],[Month]]=2,"FEB",B771=3,"MAR",B771=4,"APR",B771=5,"MAY",B771=6,"JUN",B771=7,"JUL",B771=8,"AUG",Table_13[[#This Row],[Month]]=9,"SEPT",B771=10,"OCT",B771=11,"NOV",B771=12,"DEC")</f>
        <v>FEB</v>
      </c>
      <c r="D771" s="2" t="s">
        <v>18</v>
      </c>
      <c r="E771" s="2" t="s">
        <v>12</v>
      </c>
      <c r="F771" s="2" t="s">
        <v>13</v>
      </c>
      <c r="G771" s="2" t="s">
        <v>14</v>
      </c>
      <c r="H771" s="2" t="s">
        <v>41</v>
      </c>
      <c r="I771" s="2" t="s">
        <v>22</v>
      </c>
      <c r="J771" s="15">
        <v>220000</v>
      </c>
      <c r="K771" s="2">
        <v>5</v>
      </c>
      <c r="L771" s="2" t="s">
        <v>24</v>
      </c>
      <c r="M771" s="12">
        <f t="shared" si="27"/>
        <v>176000</v>
      </c>
      <c r="N771" s="10">
        <f>PRODUCT(Table_13[[#This Row],[Unit Price]],Table_13[[#This Row],[Quantity]])</f>
        <v>1100000</v>
      </c>
      <c r="O771" s="16">
        <f>PRODUCT(Table_13[[#This Row],[Cost Price]],Table_13[[#This Row],[Quantity]])</f>
        <v>880000</v>
      </c>
      <c r="P771" s="27">
        <f t="shared" si="29"/>
        <v>220000</v>
      </c>
    </row>
    <row r="772" spans="1:16" x14ac:dyDescent="0.2">
      <c r="A772" s="33">
        <v>46446</v>
      </c>
      <c r="B772" s="30">
        <f t="shared" si="28"/>
        <v>2</v>
      </c>
      <c r="C772" s="30" t="str">
        <f>_xlfn.IFS(Table_13[[#This Row],[Month]]=1,"JAN",Table_13[[#This Row],[Month]]=2,"FEB",B772=3,"MAR",B772=4,"APR",B772=5,"MAY",B772=6,"JUN",B772=7,"JUL",B772=8,"AUG",Table_13[[#This Row],[Month]]=9,"SEPT",B772=10,"OCT",B772=11,"NOV",B772=12,"DEC")</f>
        <v>FEB</v>
      </c>
      <c r="D772" s="2" t="s">
        <v>29</v>
      </c>
      <c r="E772" s="2" t="s">
        <v>12</v>
      </c>
      <c r="F772" s="2" t="s">
        <v>13</v>
      </c>
      <c r="G772" s="2" t="s">
        <v>20</v>
      </c>
      <c r="H772" s="2" t="s">
        <v>30</v>
      </c>
      <c r="I772" s="2" t="s">
        <v>31</v>
      </c>
      <c r="J772" s="15">
        <v>300000</v>
      </c>
      <c r="K772" s="2">
        <v>6</v>
      </c>
      <c r="L772" s="2" t="s">
        <v>28</v>
      </c>
      <c r="M772" s="12">
        <f t="shared" si="27"/>
        <v>240000</v>
      </c>
      <c r="N772" s="10">
        <f>PRODUCT(Table_13[[#This Row],[Unit Price]],Table_13[[#This Row],[Quantity]])</f>
        <v>1800000</v>
      </c>
      <c r="O772" s="16">
        <f>PRODUCT(Table_13[[#This Row],[Cost Price]],Table_13[[#This Row],[Quantity]])</f>
        <v>1440000</v>
      </c>
      <c r="P772" s="27">
        <f t="shared" si="29"/>
        <v>360000</v>
      </c>
    </row>
    <row r="773" spans="1:16" x14ac:dyDescent="0.2">
      <c r="A773" s="33">
        <v>46447</v>
      </c>
      <c r="B773" s="30">
        <f t="shared" si="28"/>
        <v>3</v>
      </c>
      <c r="C773" s="30" t="str">
        <f>_xlfn.IFS(Table_13[[#This Row],[Month]]=1,"JAN",Table_13[[#This Row],[Month]]=2,"FEB",B773=3,"MAR",B773=4,"APR",B773=5,"MAY",B773=6,"JUN",B773=7,"JUL",B773=8,"AUG",Table_13[[#This Row],[Month]]=9,"SEPT",B773=10,"OCT",B773=11,"NOV",B773=12,"DEC")</f>
        <v>MAR</v>
      </c>
      <c r="D773" s="2" t="s">
        <v>11</v>
      </c>
      <c r="E773" s="2" t="s">
        <v>26</v>
      </c>
      <c r="F773" s="2" t="s">
        <v>13</v>
      </c>
      <c r="G773" s="2" t="s">
        <v>20</v>
      </c>
      <c r="H773" s="2" t="s">
        <v>40</v>
      </c>
      <c r="I773" s="2" t="s">
        <v>31</v>
      </c>
      <c r="J773" s="15">
        <v>250000</v>
      </c>
      <c r="K773" s="2">
        <v>4</v>
      </c>
      <c r="L773" s="2" t="s">
        <v>28</v>
      </c>
      <c r="M773" s="12">
        <f t="shared" si="27"/>
        <v>200000</v>
      </c>
      <c r="N773" s="10">
        <f>PRODUCT(Table_13[[#This Row],[Unit Price]],Table_13[[#This Row],[Quantity]])</f>
        <v>1000000</v>
      </c>
      <c r="O773" s="16">
        <f>PRODUCT(Table_13[[#This Row],[Cost Price]],Table_13[[#This Row],[Quantity]])</f>
        <v>800000</v>
      </c>
      <c r="P773" s="27">
        <f t="shared" si="29"/>
        <v>200000</v>
      </c>
    </row>
    <row r="774" spans="1:16" x14ac:dyDescent="0.2">
      <c r="A774" s="33">
        <v>46448</v>
      </c>
      <c r="B774" s="30">
        <f t="shared" si="28"/>
        <v>3</v>
      </c>
      <c r="C774" s="30" t="str">
        <f>_xlfn.IFS(Table_13[[#This Row],[Month]]=1,"JAN",Table_13[[#This Row],[Month]]=2,"FEB",B774=3,"MAR",B774=4,"APR",B774=5,"MAY",B774=6,"JUN",B774=7,"JUL",B774=8,"AUG",Table_13[[#This Row],[Month]]=9,"SEPT",B774=10,"OCT",B774=11,"NOV",B774=12,"DEC")</f>
        <v>MAR</v>
      </c>
      <c r="D774" s="2" t="s">
        <v>29</v>
      </c>
      <c r="E774" s="2" t="s">
        <v>19</v>
      </c>
      <c r="F774" s="2" t="s">
        <v>23</v>
      </c>
      <c r="G774" s="2" t="s">
        <v>14</v>
      </c>
      <c r="H774" s="2" t="s">
        <v>34</v>
      </c>
      <c r="I774" s="2" t="s">
        <v>16</v>
      </c>
      <c r="J774" s="15">
        <v>320000</v>
      </c>
      <c r="K774" s="2">
        <v>5</v>
      </c>
      <c r="L774" s="2" t="s">
        <v>24</v>
      </c>
      <c r="M774" s="12">
        <f t="shared" si="27"/>
        <v>256000</v>
      </c>
      <c r="N774" s="10">
        <f>PRODUCT(Table_13[[#This Row],[Unit Price]],Table_13[[#This Row],[Quantity]])</f>
        <v>1600000</v>
      </c>
      <c r="O774" s="16">
        <f>PRODUCT(Table_13[[#This Row],[Cost Price]],Table_13[[#This Row],[Quantity]])</f>
        <v>1280000</v>
      </c>
      <c r="P774" s="27">
        <f t="shared" si="29"/>
        <v>320000</v>
      </c>
    </row>
    <row r="775" spans="1:16" x14ac:dyDescent="0.2">
      <c r="A775" s="33">
        <v>46449</v>
      </c>
      <c r="B775" s="30">
        <f t="shared" si="28"/>
        <v>3</v>
      </c>
      <c r="C775" s="30" t="str">
        <f>_xlfn.IFS(Table_13[[#This Row],[Month]]=1,"JAN",Table_13[[#This Row],[Month]]=2,"FEB",B775=3,"MAR",B775=4,"APR",B775=5,"MAY",B775=6,"JUN",B775=7,"JUL",B775=8,"AUG",Table_13[[#This Row],[Month]]=9,"SEPT",B775=10,"OCT",B775=11,"NOV",B775=12,"DEC")</f>
        <v>MAR</v>
      </c>
      <c r="D775" s="2" t="s">
        <v>29</v>
      </c>
      <c r="E775" s="2" t="s">
        <v>12</v>
      </c>
      <c r="F775" s="2" t="s">
        <v>13</v>
      </c>
      <c r="G775" s="2" t="s">
        <v>20</v>
      </c>
      <c r="H775" s="2" t="s">
        <v>30</v>
      </c>
      <c r="I775" s="2" t="s">
        <v>31</v>
      </c>
      <c r="J775" s="15">
        <v>300000</v>
      </c>
      <c r="K775" s="2">
        <v>10</v>
      </c>
      <c r="L775" s="2" t="s">
        <v>39</v>
      </c>
      <c r="M775" s="12">
        <f t="shared" si="27"/>
        <v>240000</v>
      </c>
      <c r="N775" s="10">
        <f>PRODUCT(Table_13[[#This Row],[Unit Price]],Table_13[[#This Row],[Quantity]])</f>
        <v>3000000</v>
      </c>
      <c r="O775" s="16">
        <f>PRODUCT(Table_13[[#This Row],[Cost Price]],Table_13[[#This Row],[Quantity]])</f>
        <v>2400000</v>
      </c>
      <c r="P775" s="27">
        <f t="shared" si="29"/>
        <v>600000</v>
      </c>
    </row>
    <row r="776" spans="1:16" x14ac:dyDescent="0.2">
      <c r="A776" s="33">
        <v>46450</v>
      </c>
      <c r="B776" s="30">
        <f t="shared" si="28"/>
        <v>3</v>
      </c>
      <c r="C776" s="30" t="str">
        <f>_xlfn.IFS(Table_13[[#This Row],[Month]]=1,"JAN",Table_13[[#This Row],[Month]]=2,"FEB",B776=3,"MAR",B776=4,"APR",B776=5,"MAY",B776=6,"JUN",B776=7,"JUL",B776=8,"AUG",Table_13[[#This Row],[Month]]=9,"SEPT",B776=10,"OCT",B776=11,"NOV",B776=12,"DEC")</f>
        <v>MAR</v>
      </c>
      <c r="D776" s="2" t="s">
        <v>29</v>
      </c>
      <c r="E776" s="2" t="s">
        <v>12</v>
      </c>
      <c r="F776" s="2" t="s">
        <v>13</v>
      </c>
      <c r="G776" s="2" t="s">
        <v>20</v>
      </c>
      <c r="H776" s="2" t="s">
        <v>27</v>
      </c>
      <c r="I776" s="2" t="s">
        <v>22</v>
      </c>
      <c r="J776" s="15">
        <v>60000</v>
      </c>
      <c r="K776" s="2">
        <v>5</v>
      </c>
      <c r="L776" s="2" t="s">
        <v>37</v>
      </c>
      <c r="M776" s="12">
        <f t="shared" si="27"/>
        <v>48000</v>
      </c>
      <c r="N776" s="10">
        <f>PRODUCT(Table_13[[#This Row],[Unit Price]],Table_13[[#This Row],[Quantity]])</f>
        <v>300000</v>
      </c>
      <c r="O776" s="16">
        <f>PRODUCT(Table_13[[#This Row],[Cost Price]],Table_13[[#This Row],[Quantity]])</f>
        <v>240000</v>
      </c>
      <c r="P776" s="27">
        <f t="shared" si="29"/>
        <v>60000</v>
      </c>
    </row>
    <row r="777" spans="1:16" x14ac:dyDescent="0.2">
      <c r="A777" s="33">
        <v>46451</v>
      </c>
      <c r="B777" s="30">
        <f t="shared" si="28"/>
        <v>3</v>
      </c>
      <c r="C777" s="30" t="str">
        <f>_xlfn.IFS(Table_13[[#This Row],[Month]]=1,"JAN",Table_13[[#This Row],[Month]]=2,"FEB",B777=3,"MAR",B777=4,"APR",B777=5,"MAY",B777=6,"JUN",B777=7,"JUL",B777=8,"AUG",Table_13[[#This Row],[Month]]=9,"SEPT",B777=10,"OCT",B777=11,"NOV",B777=12,"DEC")</f>
        <v>MAR</v>
      </c>
      <c r="D777" s="2" t="s">
        <v>29</v>
      </c>
      <c r="E777" s="2" t="s">
        <v>26</v>
      </c>
      <c r="F777" s="2" t="s">
        <v>13</v>
      </c>
      <c r="G777" s="2" t="s">
        <v>14</v>
      </c>
      <c r="H777" s="2" t="s">
        <v>38</v>
      </c>
      <c r="I777" s="2" t="s">
        <v>31</v>
      </c>
      <c r="J777" s="15">
        <v>420000</v>
      </c>
      <c r="K777" s="2">
        <v>8</v>
      </c>
      <c r="L777" s="2" t="s">
        <v>35</v>
      </c>
      <c r="M777" s="12">
        <f t="shared" si="27"/>
        <v>336000</v>
      </c>
      <c r="N777" s="10">
        <f>PRODUCT(Table_13[[#This Row],[Unit Price]],Table_13[[#This Row],[Quantity]])</f>
        <v>3360000</v>
      </c>
      <c r="O777" s="16">
        <f>PRODUCT(Table_13[[#This Row],[Cost Price]],Table_13[[#This Row],[Quantity]])</f>
        <v>2688000</v>
      </c>
      <c r="P777" s="27">
        <f t="shared" si="29"/>
        <v>672000</v>
      </c>
    </row>
    <row r="778" spans="1:16" x14ac:dyDescent="0.2">
      <c r="A778" s="33">
        <v>46452</v>
      </c>
      <c r="B778" s="30">
        <f t="shared" si="28"/>
        <v>3</v>
      </c>
      <c r="C778" s="30" t="str">
        <f>_xlfn.IFS(Table_13[[#This Row],[Month]]=1,"JAN",Table_13[[#This Row],[Month]]=2,"FEB",B778=3,"MAR",B778=4,"APR",B778=5,"MAY",B778=6,"JUN",B778=7,"JUL",B778=8,"AUG",Table_13[[#This Row],[Month]]=9,"SEPT",B778=10,"OCT",B778=11,"NOV",B778=12,"DEC")</f>
        <v>MAR</v>
      </c>
      <c r="D778" s="2" t="s">
        <v>11</v>
      </c>
      <c r="E778" s="2" t="s">
        <v>32</v>
      </c>
      <c r="F778" s="2" t="s">
        <v>23</v>
      </c>
      <c r="G778" s="2" t="s">
        <v>14</v>
      </c>
      <c r="H778" s="2" t="s">
        <v>30</v>
      </c>
      <c r="I778" s="2" t="s">
        <v>31</v>
      </c>
      <c r="J778" s="15">
        <v>300000</v>
      </c>
      <c r="K778" s="2">
        <v>1</v>
      </c>
      <c r="L778" s="2" t="s">
        <v>24</v>
      </c>
      <c r="M778" s="12">
        <f t="shared" si="27"/>
        <v>240000</v>
      </c>
      <c r="N778" s="10">
        <f>PRODUCT(Table_13[[#This Row],[Unit Price]],Table_13[[#This Row],[Quantity]])</f>
        <v>300000</v>
      </c>
      <c r="O778" s="16">
        <f>PRODUCT(Table_13[[#This Row],[Cost Price]],Table_13[[#This Row],[Quantity]])</f>
        <v>240000</v>
      </c>
      <c r="P778" s="27">
        <f t="shared" si="29"/>
        <v>60000</v>
      </c>
    </row>
    <row r="779" spans="1:16" x14ac:dyDescent="0.2">
      <c r="A779" s="33">
        <v>46453</v>
      </c>
      <c r="B779" s="30">
        <f t="shared" si="28"/>
        <v>3</v>
      </c>
      <c r="C779" s="30" t="str">
        <f>_xlfn.IFS(Table_13[[#This Row],[Month]]=1,"JAN",Table_13[[#This Row],[Month]]=2,"FEB",B779=3,"MAR",B779=4,"APR",B779=5,"MAY",B779=6,"JUN",B779=7,"JUL",B779=8,"AUG",Table_13[[#This Row],[Month]]=9,"SEPT",B779=10,"OCT",B779=11,"NOV",B779=12,"DEC")</f>
        <v>MAR</v>
      </c>
      <c r="D779" s="2" t="s">
        <v>11</v>
      </c>
      <c r="E779" s="2" t="s">
        <v>26</v>
      </c>
      <c r="F779" s="2" t="s">
        <v>23</v>
      </c>
      <c r="G779" s="2" t="s">
        <v>20</v>
      </c>
      <c r="H779" s="2" t="s">
        <v>38</v>
      </c>
      <c r="I779" s="2" t="s">
        <v>31</v>
      </c>
      <c r="J779" s="15">
        <v>420000</v>
      </c>
      <c r="K779" s="2">
        <v>2</v>
      </c>
      <c r="L779" s="2" t="s">
        <v>37</v>
      </c>
      <c r="M779" s="12">
        <f t="shared" si="27"/>
        <v>336000</v>
      </c>
      <c r="N779" s="10">
        <f>PRODUCT(Table_13[[#This Row],[Unit Price]],Table_13[[#This Row],[Quantity]])</f>
        <v>840000</v>
      </c>
      <c r="O779" s="16">
        <f>PRODUCT(Table_13[[#This Row],[Cost Price]],Table_13[[#This Row],[Quantity]])</f>
        <v>672000</v>
      </c>
      <c r="P779" s="27">
        <f t="shared" si="29"/>
        <v>168000</v>
      </c>
    </row>
    <row r="780" spans="1:16" x14ac:dyDescent="0.2">
      <c r="A780" s="33">
        <v>46454</v>
      </c>
      <c r="B780" s="30">
        <f t="shared" si="28"/>
        <v>3</v>
      </c>
      <c r="C780" s="30" t="str">
        <f>_xlfn.IFS(Table_13[[#This Row],[Month]]=1,"JAN",Table_13[[#This Row],[Month]]=2,"FEB",B780=3,"MAR",B780=4,"APR",B780=5,"MAY",B780=6,"JUN",B780=7,"JUL",B780=8,"AUG",Table_13[[#This Row],[Month]]=9,"SEPT",B780=10,"OCT",B780=11,"NOV",B780=12,"DEC")</f>
        <v>MAR</v>
      </c>
      <c r="D780" s="2" t="s">
        <v>25</v>
      </c>
      <c r="E780" s="2" t="s">
        <v>19</v>
      </c>
      <c r="F780" s="2" t="s">
        <v>23</v>
      </c>
      <c r="G780" s="2" t="s">
        <v>14</v>
      </c>
      <c r="H780" s="2" t="s">
        <v>38</v>
      </c>
      <c r="I780" s="2" t="s">
        <v>31</v>
      </c>
      <c r="J780" s="15">
        <v>420000</v>
      </c>
      <c r="K780" s="2">
        <v>7</v>
      </c>
      <c r="L780" s="2" t="s">
        <v>35</v>
      </c>
      <c r="M780" s="12">
        <f t="shared" si="27"/>
        <v>336000</v>
      </c>
      <c r="N780" s="10">
        <f>PRODUCT(Table_13[[#This Row],[Unit Price]],Table_13[[#This Row],[Quantity]])</f>
        <v>2940000</v>
      </c>
      <c r="O780" s="16">
        <f>PRODUCT(Table_13[[#This Row],[Cost Price]],Table_13[[#This Row],[Quantity]])</f>
        <v>2352000</v>
      </c>
      <c r="P780" s="27">
        <f t="shared" si="29"/>
        <v>588000</v>
      </c>
    </row>
    <row r="781" spans="1:16" x14ac:dyDescent="0.2">
      <c r="A781" s="33">
        <v>46455</v>
      </c>
      <c r="B781" s="30">
        <f t="shared" si="28"/>
        <v>3</v>
      </c>
      <c r="C781" s="30" t="str">
        <f>_xlfn.IFS(Table_13[[#This Row],[Month]]=1,"JAN",Table_13[[#This Row],[Month]]=2,"FEB",B781=3,"MAR",B781=4,"APR",B781=5,"MAY",B781=6,"JUN",B781=7,"JUL",B781=8,"AUG",Table_13[[#This Row],[Month]]=9,"SEPT",B781=10,"OCT",B781=11,"NOV",B781=12,"DEC")</f>
        <v>MAR</v>
      </c>
      <c r="D781" s="2" t="s">
        <v>11</v>
      </c>
      <c r="E781" s="2" t="s">
        <v>26</v>
      </c>
      <c r="F781" s="2" t="s">
        <v>23</v>
      </c>
      <c r="G781" s="2" t="s">
        <v>14</v>
      </c>
      <c r="H781" s="2" t="s">
        <v>33</v>
      </c>
      <c r="I781" s="2" t="s">
        <v>22</v>
      </c>
      <c r="J781" s="15">
        <v>180000</v>
      </c>
      <c r="K781" s="2">
        <v>8</v>
      </c>
      <c r="L781" s="2" t="s">
        <v>28</v>
      </c>
      <c r="M781" s="12">
        <f t="shared" si="27"/>
        <v>144000</v>
      </c>
      <c r="N781" s="10">
        <f>PRODUCT(Table_13[[#This Row],[Unit Price]],Table_13[[#This Row],[Quantity]])</f>
        <v>1440000</v>
      </c>
      <c r="O781" s="16">
        <f>PRODUCT(Table_13[[#This Row],[Cost Price]],Table_13[[#This Row],[Quantity]])</f>
        <v>1152000</v>
      </c>
      <c r="P781" s="27">
        <f t="shared" si="29"/>
        <v>288000</v>
      </c>
    </row>
    <row r="782" spans="1:16" x14ac:dyDescent="0.2">
      <c r="A782" s="33">
        <v>46456</v>
      </c>
      <c r="B782" s="30">
        <f t="shared" si="28"/>
        <v>3</v>
      </c>
      <c r="C782" s="30" t="str">
        <f>_xlfn.IFS(Table_13[[#This Row],[Month]]=1,"JAN",Table_13[[#This Row],[Month]]=2,"FEB",B782=3,"MAR",B782=4,"APR",B782=5,"MAY",B782=6,"JUN",B782=7,"JUL",B782=8,"AUG",Table_13[[#This Row],[Month]]=9,"SEPT",B782=10,"OCT",B782=11,"NOV",B782=12,"DEC")</f>
        <v>MAR</v>
      </c>
      <c r="D782" s="2" t="s">
        <v>11</v>
      </c>
      <c r="E782" s="2" t="s">
        <v>26</v>
      </c>
      <c r="F782" s="2" t="s">
        <v>13</v>
      </c>
      <c r="G782" s="2" t="s">
        <v>14</v>
      </c>
      <c r="H782" s="2" t="s">
        <v>27</v>
      </c>
      <c r="I782" s="2" t="s">
        <v>22</v>
      </c>
      <c r="J782" s="15">
        <v>60000</v>
      </c>
      <c r="K782" s="2">
        <v>7</v>
      </c>
      <c r="L782" s="2" t="s">
        <v>28</v>
      </c>
      <c r="M782" s="12">
        <f t="shared" si="27"/>
        <v>48000</v>
      </c>
      <c r="N782" s="10">
        <f>PRODUCT(Table_13[[#This Row],[Unit Price]],Table_13[[#This Row],[Quantity]])</f>
        <v>420000</v>
      </c>
      <c r="O782" s="16">
        <f>PRODUCT(Table_13[[#This Row],[Cost Price]],Table_13[[#This Row],[Quantity]])</f>
        <v>336000</v>
      </c>
      <c r="P782" s="27">
        <f t="shared" si="29"/>
        <v>84000</v>
      </c>
    </row>
    <row r="783" spans="1:16" x14ac:dyDescent="0.2">
      <c r="A783" s="33">
        <v>46457</v>
      </c>
      <c r="B783" s="30">
        <f t="shared" si="28"/>
        <v>3</v>
      </c>
      <c r="C783" s="30" t="str">
        <f>_xlfn.IFS(Table_13[[#This Row],[Month]]=1,"JAN",Table_13[[#This Row],[Month]]=2,"FEB",B783=3,"MAR",B783=4,"APR",B783=5,"MAY",B783=6,"JUN",B783=7,"JUL",B783=8,"AUG",Table_13[[#This Row],[Month]]=9,"SEPT",B783=10,"OCT",B783=11,"NOV",B783=12,"DEC")</f>
        <v>MAR</v>
      </c>
      <c r="D783" s="2" t="s">
        <v>18</v>
      </c>
      <c r="E783" s="2" t="s">
        <v>19</v>
      </c>
      <c r="F783" s="2" t="s">
        <v>23</v>
      </c>
      <c r="G783" s="2" t="s">
        <v>14</v>
      </c>
      <c r="H783" s="2" t="s">
        <v>38</v>
      </c>
      <c r="I783" s="2" t="s">
        <v>31</v>
      </c>
      <c r="J783" s="15">
        <v>420000</v>
      </c>
      <c r="K783" s="2">
        <v>7</v>
      </c>
      <c r="L783" s="2" t="s">
        <v>28</v>
      </c>
      <c r="M783" s="12">
        <f t="shared" si="27"/>
        <v>336000</v>
      </c>
      <c r="N783" s="10">
        <f>PRODUCT(Table_13[[#This Row],[Unit Price]],Table_13[[#This Row],[Quantity]])</f>
        <v>2940000</v>
      </c>
      <c r="O783" s="16">
        <f>PRODUCT(Table_13[[#This Row],[Cost Price]],Table_13[[#This Row],[Quantity]])</f>
        <v>2352000</v>
      </c>
      <c r="P783" s="27">
        <f t="shared" si="29"/>
        <v>588000</v>
      </c>
    </row>
    <row r="784" spans="1:16" x14ac:dyDescent="0.2">
      <c r="A784" s="33">
        <v>46458</v>
      </c>
      <c r="B784" s="30">
        <f t="shared" si="28"/>
        <v>3</v>
      </c>
      <c r="C784" s="30" t="str">
        <f>_xlfn.IFS(Table_13[[#This Row],[Month]]=1,"JAN",Table_13[[#This Row],[Month]]=2,"FEB",B784=3,"MAR",B784=4,"APR",B784=5,"MAY",B784=6,"JUN",B784=7,"JUL",B784=8,"AUG",Table_13[[#This Row],[Month]]=9,"SEPT",B784=10,"OCT",B784=11,"NOV",B784=12,"DEC")</f>
        <v>MAR</v>
      </c>
      <c r="D784" s="2" t="s">
        <v>18</v>
      </c>
      <c r="E784" s="2" t="s">
        <v>12</v>
      </c>
      <c r="F784" s="2" t="s">
        <v>13</v>
      </c>
      <c r="G784" s="2" t="s">
        <v>14</v>
      </c>
      <c r="H784" s="2" t="s">
        <v>33</v>
      </c>
      <c r="I784" s="2" t="s">
        <v>22</v>
      </c>
      <c r="J784" s="15">
        <v>180000</v>
      </c>
      <c r="K784" s="2">
        <v>5</v>
      </c>
      <c r="L784" s="2" t="s">
        <v>39</v>
      </c>
      <c r="M784" s="12">
        <f t="shared" si="27"/>
        <v>144000</v>
      </c>
      <c r="N784" s="10">
        <f>PRODUCT(Table_13[[#This Row],[Unit Price]],Table_13[[#This Row],[Quantity]])</f>
        <v>900000</v>
      </c>
      <c r="O784" s="16">
        <f>PRODUCT(Table_13[[#This Row],[Cost Price]],Table_13[[#This Row],[Quantity]])</f>
        <v>720000</v>
      </c>
      <c r="P784" s="27">
        <f t="shared" si="29"/>
        <v>180000</v>
      </c>
    </row>
    <row r="785" spans="1:16" x14ac:dyDescent="0.2">
      <c r="A785" s="33">
        <v>46459</v>
      </c>
      <c r="B785" s="30">
        <f t="shared" si="28"/>
        <v>3</v>
      </c>
      <c r="C785" s="30" t="str">
        <f>_xlfn.IFS(Table_13[[#This Row],[Month]]=1,"JAN",Table_13[[#This Row],[Month]]=2,"FEB",B785=3,"MAR",B785=4,"APR",B785=5,"MAY",B785=6,"JUN",B785=7,"JUL",B785=8,"AUG",Table_13[[#This Row],[Month]]=9,"SEPT",B785=10,"OCT",B785=11,"NOV",B785=12,"DEC")</f>
        <v>MAR</v>
      </c>
      <c r="D785" s="2" t="s">
        <v>18</v>
      </c>
      <c r="E785" s="2" t="s">
        <v>26</v>
      </c>
      <c r="F785" s="2" t="s">
        <v>23</v>
      </c>
      <c r="G785" s="2" t="s">
        <v>20</v>
      </c>
      <c r="H785" s="2" t="s">
        <v>38</v>
      </c>
      <c r="I785" s="2" t="s">
        <v>31</v>
      </c>
      <c r="J785" s="15">
        <v>420000</v>
      </c>
      <c r="K785" s="2">
        <v>9</v>
      </c>
      <c r="L785" s="2" t="s">
        <v>39</v>
      </c>
      <c r="M785" s="12">
        <f t="shared" si="27"/>
        <v>336000</v>
      </c>
      <c r="N785" s="10">
        <f>PRODUCT(Table_13[[#This Row],[Unit Price]],Table_13[[#This Row],[Quantity]])</f>
        <v>3780000</v>
      </c>
      <c r="O785" s="16">
        <f>PRODUCT(Table_13[[#This Row],[Cost Price]],Table_13[[#This Row],[Quantity]])</f>
        <v>3024000</v>
      </c>
      <c r="P785" s="27">
        <f t="shared" si="29"/>
        <v>756000</v>
      </c>
    </row>
    <row r="786" spans="1:16" x14ac:dyDescent="0.2">
      <c r="A786" s="33">
        <v>46460</v>
      </c>
      <c r="B786" s="30">
        <f t="shared" si="28"/>
        <v>3</v>
      </c>
      <c r="C786" s="30" t="str">
        <f>_xlfn.IFS(Table_13[[#This Row],[Month]]=1,"JAN",Table_13[[#This Row],[Month]]=2,"FEB",B786=3,"MAR",B786=4,"APR",B786=5,"MAY",B786=6,"JUN",B786=7,"JUL",B786=8,"AUG",Table_13[[#This Row],[Month]]=9,"SEPT",B786=10,"OCT",B786=11,"NOV",B786=12,"DEC")</f>
        <v>MAR</v>
      </c>
      <c r="D786" s="2" t="s">
        <v>18</v>
      </c>
      <c r="E786" s="2" t="s">
        <v>26</v>
      </c>
      <c r="F786" s="2" t="s">
        <v>23</v>
      </c>
      <c r="G786" s="2" t="s">
        <v>20</v>
      </c>
      <c r="H786" s="2" t="s">
        <v>30</v>
      </c>
      <c r="I786" s="2" t="s">
        <v>31</v>
      </c>
      <c r="J786" s="15">
        <v>300000</v>
      </c>
      <c r="K786" s="2">
        <v>7</v>
      </c>
      <c r="L786" s="2" t="s">
        <v>35</v>
      </c>
      <c r="M786" s="12">
        <f t="shared" si="27"/>
        <v>240000</v>
      </c>
      <c r="N786" s="10">
        <f>PRODUCT(Table_13[[#This Row],[Unit Price]],Table_13[[#This Row],[Quantity]])</f>
        <v>2100000</v>
      </c>
      <c r="O786" s="16">
        <f>PRODUCT(Table_13[[#This Row],[Cost Price]],Table_13[[#This Row],[Quantity]])</f>
        <v>1680000</v>
      </c>
      <c r="P786" s="27">
        <f t="shared" si="29"/>
        <v>420000</v>
      </c>
    </row>
    <row r="787" spans="1:16" x14ac:dyDescent="0.2">
      <c r="A787" s="33">
        <v>46461</v>
      </c>
      <c r="B787" s="30">
        <f t="shared" si="28"/>
        <v>3</v>
      </c>
      <c r="C787" s="30" t="str">
        <f>_xlfn.IFS(Table_13[[#This Row],[Month]]=1,"JAN",Table_13[[#This Row],[Month]]=2,"FEB",B787=3,"MAR",B787=4,"APR",B787=5,"MAY",B787=6,"JUN",B787=7,"JUL",B787=8,"AUG",Table_13[[#This Row],[Month]]=9,"SEPT",B787=10,"OCT",B787=11,"NOV",B787=12,"DEC")</f>
        <v>MAR</v>
      </c>
      <c r="D787" s="2" t="s">
        <v>11</v>
      </c>
      <c r="E787" s="2" t="s">
        <v>32</v>
      </c>
      <c r="F787" s="2" t="s">
        <v>13</v>
      </c>
      <c r="G787" s="2" t="s">
        <v>20</v>
      </c>
      <c r="H787" s="2" t="s">
        <v>36</v>
      </c>
      <c r="I787" s="2" t="s">
        <v>31</v>
      </c>
      <c r="J787" s="15">
        <v>150000</v>
      </c>
      <c r="K787" s="2">
        <v>3</v>
      </c>
      <c r="L787" s="2" t="s">
        <v>24</v>
      </c>
      <c r="M787" s="12">
        <f t="shared" si="27"/>
        <v>120000</v>
      </c>
      <c r="N787" s="10">
        <f>PRODUCT(Table_13[[#This Row],[Unit Price]],Table_13[[#This Row],[Quantity]])</f>
        <v>450000</v>
      </c>
      <c r="O787" s="16">
        <f>PRODUCT(Table_13[[#This Row],[Cost Price]],Table_13[[#This Row],[Quantity]])</f>
        <v>360000</v>
      </c>
      <c r="P787" s="27">
        <f t="shared" si="29"/>
        <v>90000</v>
      </c>
    </row>
    <row r="788" spans="1:16" x14ac:dyDescent="0.2">
      <c r="A788" s="33">
        <v>46462</v>
      </c>
      <c r="B788" s="30">
        <f t="shared" si="28"/>
        <v>3</v>
      </c>
      <c r="C788" s="30" t="str">
        <f>_xlfn.IFS(Table_13[[#This Row],[Month]]=1,"JAN",Table_13[[#This Row],[Month]]=2,"FEB",B788=3,"MAR",B788=4,"APR",B788=5,"MAY",B788=6,"JUN",B788=7,"JUL",B788=8,"AUG",Table_13[[#This Row],[Month]]=9,"SEPT",B788=10,"OCT",B788=11,"NOV",B788=12,"DEC")</f>
        <v>MAR</v>
      </c>
      <c r="D788" s="2" t="s">
        <v>11</v>
      </c>
      <c r="E788" s="2" t="s">
        <v>19</v>
      </c>
      <c r="F788" s="2" t="s">
        <v>13</v>
      </c>
      <c r="G788" s="2" t="s">
        <v>20</v>
      </c>
      <c r="H788" s="2" t="s">
        <v>30</v>
      </c>
      <c r="I788" s="2" t="s">
        <v>31</v>
      </c>
      <c r="J788" s="15">
        <v>300000</v>
      </c>
      <c r="K788" s="2">
        <v>10</v>
      </c>
      <c r="L788" s="2" t="s">
        <v>39</v>
      </c>
      <c r="M788" s="12">
        <f t="shared" si="27"/>
        <v>240000</v>
      </c>
      <c r="N788" s="10">
        <f>PRODUCT(Table_13[[#This Row],[Unit Price]],Table_13[[#This Row],[Quantity]])</f>
        <v>3000000</v>
      </c>
      <c r="O788" s="16">
        <f>PRODUCT(Table_13[[#This Row],[Cost Price]],Table_13[[#This Row],[Quantity]])</f>
        <v>2400000</v>
      </c>
      <c r="P788" s="27">
        <f t="shared" si="29"/>
        <v>600000</v>
      </c>
    </row>
    <row r="789" spans="1:16" x14ac:dyDescent="0.2">
      <c r="A789" s="33">
        <v>46463</v>
      </c>
      <c r="B789" s="30">
        <f t="shared" si="28"/>
        <v>3</v>
      </c>
      <c r="C789" s="30" t="str">
        <f>_xlfn.IFS(Table_13[[#This Row],[Month]]=1,"JAN",Table_13[[#This Row],[Month]]=2,"FEB",B789=3,"MAR",B789=4,"APR",B789=5,"MAY",B789=6,"JUN",B789=7,"JUL",B789=8,"AUG",Table_13[[#This Row],[Month]]=9,"SEPT",B789=10,"OCT",B789=11,"NOV",B789=12,"DEC")</f>
        <v>MAR</v>
      </c>
      <c r="D789" s="2" t="s">
        <v>18</v>
      </c>
      <c r="E789" s="2" t="s">
        <v>12</v>
      </c>
      <c r="F789" s="2" t="s">
        <v>13</v>
      </c>
      <c r="G789" s="2" t="s">
        <v>14</v>
      </c>
      <c r="H789" s="2" t="s">
        <v>38</v>
      </c>
      <c r="I789" s="2" t="s">
        <v>31</v>
      </c>
      <c r="J789" s="15">
        <v>420000</v>
      </c>
      <c r="K789" s="2">
        <v>8</v>
      </c>
      <c r="L789" s="2" t="s">
        <v>39</v>
      </c>
      <c r="M789" s="12">
        <f t="shared" si="27"/>
        <v>336000</v>
      </c>
      <c r="N789" s="10">
        <f>PRODUCT(Table_13[[#This Row],[Unit Price]],Table_13[[#This Row],[Quantity]])</f>
        <v>3360000</v>
      </c>
      <c r="O789" s="16">
        <f>PRODUCT(Table_13[[#This Row],[Cost Price]],Table_13[[#This Row],[Quantity]])</f>
        <v>2688000</v>
      </c>
      <c r="P789" s="27">
        <f t="shared" si="29"/>
        <v>672000</v>
      </c>
    </row>
    <row r="790" spans="1:16" x14ac:dyDescent="0.2">
      <c r="A790" s="33">
        <v>46464</v>
      </c>
      <c r="B790" s="30">
        <f t="shared" si="28"/>
        <v>3</v>
      </c>
      <c r="C790" s="30" t="str">
        <f>_xlfn.IFS(Table_13[[#This Row],[Month]]=1,"JAN",Table_13[[#This Row],[Month]]=2,"FEB",B790=3,"MAR",B790=4,"APR",B790=5,"MAY",B790=6,"JUN",B790=7,"JUL",B790=8,"AUG",Table_13[[#This Row],[Month]]=9,"SEPT",B790=10,"OCT",B790=11,"NOV",B790=12,"DEC")</f>
        <v>MAR</v>
      </c>
      <c r="D790" s="2" t="s">
        <v>11</v>
      </c>
      <c r="E790" s="2" t="s">
        <v>26</v>
      </c>
      <c r="F790" s="2" t="s">
        <v>23</v>
      </c>
      <c r="G790" s="2" t="s">
        <v>20</v>
      </c>
      <c r="H790" s="2" t="s">
        <v>41</v>
      </c>
      <c r="I790" s="2" t="s">
        <v>22</v>
      </c>
      <c r="J790" s="15">
        <v>220000</v>
      </c>
      <c r="K790" s="2">
        <v>2</v>
      </c>
      <c r="L790" s="2" t="s">
        <v>28</v>
      </c>
      <c r="M790" s="12">
        <f t="shared" si="27"/>
        <v>176000</v>
      </c>
      <c r="N790" s="10">
        <f>PRODUCT(Table_13[[#This Row],[Unit Price]],Table_13[[#This Row],[Quantity]])</f>
        <v>440000</v>
      </c>
      <c r="O790" s="16">
        <f>PRODUCT(Table_13[[#This Row],[Cost Price]],Table_13[[#This Row],[Quantity]])</f>
        <v>352000</v>
      </c>
      <c r="P790" s="27">
        <f t="shared" si="29"/>
        <v>88000</v>
      </c>
    </row>
    <row r="791" spans="1:16" x14ac:dyDescent="0.2">
      <c r="A791" s="33">
        <v>46465</v>
      </c>
      <c r="B791" s="30">
        <f t="shared" si="28"/>
        <v>3</v>
      </c>
      <c r="C791" s="30" t="str">
        <f>_xlfn.IFS(Table_13[[#This Row],[Month]]=1,"JAN",Table_13[[#This Row],[Month]]=2,"FEB",B791=3,"MAR",B791=4,"APR",B791=5,"MAY",B791=6,"JUN",B791=7,"JUL",B791=8,"AUG",Table_13[[#This Row],[Month]]=9,"SEPT",B791=10,"OCT",B791=11,"NOV",B791=12,"DEC")</f>
        <v>MAR</v>
      </c>
      <c r="D791" s="2" t="s">
        <v>11</v>
      </c>
      <c r="E791" s="2" t="s">
        <v>32</v>
      </c>
      <c r="F791" s="2" t="s">
        <v>13</v>
      </c>
      <c r="G791" s="2" t="s">
        <v>14</v>
      </c>
      <c r="H791" s="2" t="s">
        <v>36</v>
      </c>
      <c r="I791" s="2" t="s">
        <v>31</v>
      </c>
      <c r="J791" s="15">
        <v>150000</v>
      </c>
      <c r="K791" s="2">
        <v>4</v>
      </c>
      <c r="L791" s="2" t="s">
        <v>17</v>
      </c>
      <c r="M791" s="12">
        <f t="shared" si="27"/>
        <v>120000</v>
      </c>
      <c r="N791" s="10">
        <f>PRODUCT(Table_13[[#This Row],[Unit Price]],Table_13[[#This Row],[Quantity]])</f>
        <v>600000</v>
      </c>
      <c r="O791" s="16">
        <f>PRODUCT(Table_13[[#This Row],[Cost Price]],Table_13[[#This Row],[Quantity]])</f>
        <v>480000</v>
      </c>
      <c r="P791" s="27">
        <f t="shared" si="29"/>
        <v>120000</v>
      </c>
    </row>
    <row r="792" spans="1:16" x14ac:dyDescent="0.2">
      <c r="A792" s="33">
        <v>46466</v>
      </c>
      <c r="B792" s="30">
        <f t="shared" si="28"/>
        <v>3</v>
      </c>
      <c r="C792" s="30" t="str">
        <f>_xlfn.IFS(Table_13[[#This Row],[Month]]=1,"JAN",Table_13[[#This Row],[Month]]=2,"FEB",B792=3,"MAR",B792=4,"APR",B792=5,"MAY",B792=6,"JUN",B792=7,"JUL",B792=8,"AUG",Table_13[[#This Row],[Month]]=9,"SEPT",B792=10,"OCT",B792=11,"NOV",B792=12,"DEC")</f>
        <v>MAR</v>
      </c>
      <c r="D792" s="2" t="s">
        <v>11</v>
      </c>
      <c r="E792" s="2" t="s">
        <v>19</v>
      </c>
      <c r="F792" s="2" t="s">
        <v>13</v>
      </c>
      <c r="G792" s="2" t="s">
        <v>14</v>
      </c>
      <c r="H792" s="2" t="s">
        <v>21</v>
      </c>
      <c r="I792" s="2" t="s">
        <v>22</v>
      </c>
      <c r="J792" s="15">
        <v>30000</v>
      </c>
      <c r="K792" s="2">
        <v>8</v>
      </c>
      <c r="L792" s="2" t="s">
        <v>35</v>
      </c>
      <c r="M792" s="12">
        <f t="shared" si="27"/>
        <v>24000</v>
      </c>
      <c r="N792" s="10">
        <f>PRODUCT(Table_13[[#This Row],[Unit Price]],Table_13[[#This Row],[Quantity]])</f>
        <v>240000</v>
      </c>
      <c r="O792" s="16">
        <f>PRODUCT(Table_13[[#This Row],[Cost Price]],Table_13[[#This Row],[Quantity]])</f>
        <v>192000</v>
      </c>
      <c r="P792" s="27">
        <f t="shared" si="29"/>
        <v>48000</v>
      </c>
    </row>
    <row r="793" spans="1:16" x14ac:dyDescent="0.2">
      <c r="A793" s="33">
        <v>46467</v>
      </c>
      <c r="B793" s="30">
        <f t="shared" si="28"/>
        <v>3</v>
      </c>
      <c r="C793" s="30" t="str">
        <f>_xlfn.IFS(Table_13[[#This Row],[Month]]=1,"JAN",Table_13[[#This Row],[Month]]=2,"FEB",B793=3,"MAR",B793=4,"APR",B793=5,"MAY",B793=6,"JUN",B793=7,"JUL",B793=8,"AUG",Table_13[[#This Row],[Month]]=9,"SEPT",B793=10,"OCT",B793=11,"NOV",B793=12,"DEC")</f>
        <v>MAR</v>
      </c>
      <c r="D793" s="2" t="s">
        <v>11</v>
      </c>
      <c r="E793" s="2" t="s">
        <v>26</v>
      </c>
      <c r="F793" s="2" t="s">
        <v>23</v>
      </c>
      <c r="G793" s="2" t="s">
        <v>20</v>
      </c>
      <c r="H793" s="2" t="s">
        <v>38</v>
      </c>
      <c r="I793" s="2" t="s">
        <v>31</v>
      </c>
      <c r="J793" s="15">
        <v>420000</v>
      </c>
      <c r="K793" s="2">
        <v>3</v>
      </c>
      <c r="L793" s="2" t="s">
        <v>37</v>
      </c>
      <c r="M793" s="12">
        <f t="shared" si="27"/>
        <v>336000</v>
      </c>
      <c r="N793" s="10">
        <f>PRODUCT(Table_13[[#This Row],[Unit Price]],Table_13[[#This Row],[Quantity]])</f>
        <v>1260000</v>
      </c>
      <c r="O793" s="16">
        <f>PRODUCT(Table_13[[#This Row],[Cost Price]],Table_13[[#This Row],[Quantity]])</f>
        <v>1008000</v>
      </c>
      <c r="P793" s="27">
        <f t="shared" si="29"/>
        <v>252000</v>
      </c>
    </row>
    <row r="794" spans="1:16" x14ac:dyDescent="0.2">
      <c r="A794" s="33">
        <v>46468</v>
      </c>
      <c r="B794" s="30">
        <f t="shared" si="28"/>
        <v>3</v>
      </c>
      <c r="C794" s="30" t="str">
        <f>_xlfn.IFS(Table_13[[#This Row],[Month]]=1,"JAN",Table_13[[#This Row],[Month]]=2,"FEB",B794=3,"MAR",B794=4,"APR",B794=5,"MAY",B794=6,"JUN",B794=7,"JUL",B794=8,"AUG",Table_13[[#This Row],[Month]]=9,"SEPT",B794=10,"OCT",B794=11,"NOV",B794=12,"DEC")</f>
        <v>MAR</v>
      </c>
      <c r="D794" s="2" t="s">
        <v>11</v>
      </c>
      <c r="E794" s="2" t="s">
        <v>12</v>
      </c>
      <c r="F794" s="2" t="s">
        <v>23</v>
      </c>
      <c r="G794" s="2" t="s">
        <v>20</v>
      </c>
      <c r="H794" s="2" t="s">
        <v>30</v>
      </c>
      <c r="I794" s="2" t="s">
        <v>31</v>
      </c>
      <c r="J794" s="15">
        <v>300000</v>
      </c>
      <c r="K794" s="2">
        <v>4</v>
      </c>
      <c r="L794" s="2" t="s">
        <v>39</v>
      </c>
      <c r="M794" s="12">
        <f t="shared" si="27"/>
        <v>240000</v>
      </c>
      <c r="N794" s="10">
        <f>PRODUCT(Table_13[[#This Row],[Unit Price]],Table_13[[#This Row],[Quantity]])</f>
        <v>1200000</v>
      </c>
      <c r="O794" s="16">
        <f>PRODUCT(Table_13[[#This Row],[Cost Price]],Table_13[[#This Row],[Quantity]])</f>
        <v>960000</v>
      </c>
      <c r="P794" s="27">
        <f t="shared" si="29"/>
        <v>240000</v>
      </c>
    </row>
    <row r="795" spans="1:16" x14ac:dyDescent="0.2">
      <c r="A795" s="33">
        <v>46469</v>
      </c>
      <c r="B795" s="30">
        <f t="shared" si="28"/>
        <v>3</v>
      </c>
      <c r="C795" s="30" t="str">
        <f>_xlfn.IFS(Table_13[[#This Row],[Month]]=1,"JAN",Table_13[[#This Row],[Month]]=2,"FEB",B795=3,"MAR",B795=4,"APR",B795=5,"MAY",B795=6,"JUN",B795=7,"JUL",B795=8,"AUG",Table_13[[#This Row],[Month]]=9,"SEPT",B795=10,"OCT",B795=11,"NOV",B795=12,"DEC")</f>
        <v>MAR</v>
      </c>
      <c r="D795" s="2" t="s">
        <v>11</v>
      </c>
      <c r="E795" s="2" t="s">
        <v>19</v>
      </c>
      <c r="F795" s="2" t="s">
        <v>13</v>
      </c>
      <c r="G795" s="2" t="s">
        <v>14</v>
      </c>
      <c r="H795" s="2" t="s">
        <v>40</v>
      </c>
      <c r="I795" s="2" t="s">
        <v>31</v>
      </c>
      <c r="J795" s="15">
        <v>250000</v>
      </c>
      <c r="K795" s="2">
        <v>6</v>
      </c>
      <c r="L795" s="2" t="s">
        <v>24</v>
      </c>
      <c r="M795" s="12">
        <f t="shared" si="27"/>
        <v>200000</v>
      </c>
      <c r="N795" s="10">
        <f>PRODUCT(Table_13[[#This Row],[Unit Price]],Table_13[[#This Row],[Quantity]])</f>
        <v>1500000</v>
      </c>
      <c r="O795" s="16">
        <f>PRODUCT(Table_13[[#This Row],[Cost Price]],Table_13[[#This Row],[Quantity]])</f>
        <v>1200000</v>
      </c>
      <c r="P795" s="27">
        <f t="shared" si="29"/>
        <v>300000</v>
      </c>
    </row>
    <row r="796" spans="1:16" x14ac:dyDescent="0.2">
      <c r="A796" s="33">
        <v>46470</v>
      </c>
      <c r="B796" s="30">
        <f t="shared" si="28"/>
        <v>3</v>
      </c>
      <c r="C796" s="30" t="str">
        <f>_xlfn.IFS(Table_13[[#This Row],[Month]]=1,"JAN",Table_13[[#This Row],[Month]]=2,"FEB",B796=3,"MAR",B796=4,"APR",B796=5,"MAY",B796=6,"JUN",B796=7,"JUL",B796=8,"AUG",Table_13[[#This Row],[Month]]=9,"SEPT",B796=10,"OCT",B796=11,"NOV",B796=12,"DEC")</f>
        <v>MAR</v>
      </c>
      <c r="D796" s="2" t="s">
        <v>11</v>
      </c>
      <c r="E796" s="2" t="s">
        <v>26</v>
      </c>
      <c r="F796" s="2" t="s">
        <v>23</v>
      </c>
      <c r="G796" s="2" t="s">
        <v>20</v>
      </c>
      <c r="H796" s="2" t="s">
        <v>34</v>
      </c>
      <c r="I796" s="2" t="s">
        <v>16</v>
      </c>
      <c r="J796" s="15">
        <v>320000</v>
      </c>
      <c r="K796" s="2">
        <v>6</v>
      </c>
      <c r="L796" s="2" t="s">
        <v>35</v>
      </c>
      <c r="M796" s="12">
        <f t="shared" si="27"/>
        <v>256000</v>
      </c>
      <c r="N796" s="10">
        <f>PRODUCT(Table_13[[#This Row],[Unit Price]],Table_13[[#This Row],[Quantity]])</f>
        <v>1920000</v>
      </c>
      <c r="O796" s="16">
        <f>PRODUCT(Table_13[[#This Row],[Cost Price]],Table_13[[#This Row],[Quantity]])</f>
        <v>1536000</v>
      </c>
      <c r="P796" s="27">
        <f t="shared" si="29"/>
        <v>384000</v>
      </c>
    </row>
    <row r="797" spans="1:16" x14ac:dyDescent="0.2">
      <c r="A797" s="33">
        <v>46471</v>
      </c>
      <c r="B797" s="30">
        <f t="shared" si="28"/>
        <v>3</v>
      </c>
      <c r="C797" s="30" t="str">
        <f>_xlfn.IFS(Table_13[[#This Row],[Month]]=1,"JAN",Table_13[[#This Row],[Month]]=2,"FEB",B797=3,"MAR",B797=4,"APR",B797=5,"MAY",B797=6,"JUN",B797=7,"JUL",B797=8,"AUG",Table_13[[#This Row],[Month]]=9,"SEPT",B797=10,"OCT",B797=11,"NOV",B797=12,"DEC")</f>
        <v>MAR</v>
      </c>
      <c r="D797" s="2" t="s">
        <v>11</v>
      </c>
      <c r="E797" s="2" t="s">
        <v>26</v>
      </c>
      <c r="F797" s="2" t="s">
        <v>13</v>
      </c>
      <c r="G797" s="2" t="s">
        <v>14</v>
      </c>
      <c r="H797" s="2" t="s">
        <v>33</v>
      </c>
      <c r="I797" s="2" t="s">
        <v>22</v>
      </c>
      <c r="J797" s="15">
        <v>180000</v>
      </c>
      <c r="K797" s="2">
        <v>5</v>
      </c>
      <c r="L797" s="2" t="s">
        <v>35</v>
      </c>
      <c r="M797" s="12">
        <f t="shared" si="27"/>
        <v>144000</v>
      </c>
      <c r="N797" s="10">
        <f>PRODUCT(Table_13[[#This Row],[Unit Price]],Table_13[[#This Row],[Quantity]])</f>
        <v>900000</v>
      </c>
      <c r="O797" s="16">
        <f>PRODUCT(Table_13[[#This Row],[Cost Price]],Table_13[[#This Row],[Quantity]])</f>
        <v>720000</v>
      </c>
      <c r="P797" s="27">
        <f t="shared" si="29"/>
        <v>180000</v>
      </c>
    </row>
    <row r="798" spans="1:16" x14ac:dyDescent="0.2">
      <c r="A798" s="33">
        <v>46472</v>
      </c>
      <c r="B798" s="30">
        <f t="shared" si="28"/>
        <v>3</v>
      </c>
      <c r="C798" s="30" t="str">
        <f>_xlfn.IFS(Table_13[[#This Row],[Month]]=1,"JAN",Table_13[[#This Row],[Month]]=2,"FEB",B798=3,"MAR",B798=4,"APR",B798=5,"MAY",B798=6,"JUN",B798=7,"JUL",B798=8,"AUG",Table_13[[#This Row],[Month]]=9,"SEPT",B798=10,"OCT",B798=11,"NOV",B798=12,"DEC")</f>
        <v>MAR</v>
      </c>
      <c r="D798" s="2" t="s">
        <v>11</v>
      </c>
      <c r="E798" s="2" t="s">
        <v>12</v>
      </c>
      <c r="F798" s="2" t="s">
        <v>13</v>
      </c>
      <c r="G798" s="2" t="s">
        <v>14</v>
      </c>
      <c r="H798" s="2" t="s">
        <v>36</v>
      </c>
      <c r="I798" s="2" t="s">
        <v>31</v>
      </c>
      <c r="J798" s="15">
        <v>150000</v>
      </c>
      <c r="K798" s="2">
        <v>1</v>
      </c>
      <c r="L798" s="2" t="s">
        <v>28</v>
      </c>
      <c r="M798" s="12">
        <f t="shared" si="27"/>
        <v>120000</v>
      </c>
      <c r="N798" s="10">
        <f>PRODUCT(Table_13[[#This Row],[Unit Price]],Table_13[[#This Row],[Quantity]])</f>
        <v>150000</v>
      </c>
      <c r="O798" s="16">
        <f>PRODUCT(Table_13[[#This Row],[Cost Price]],Table_13[[#This Row],[Quantity]])</f>
        <v>120000</v>
      </c>
      <c r="P798" s="27">
        <f t="shared" si="29"/>
        <v>30000</v>
      </c>
    </row>
    <row r="799" spans="1:16" x14ac:dyDescent="0.2">
      <c r="A799" s="33">
        <v>46473</v>
      </c>
      <c r="B799" s="30">
        <f t="shared" si="28"/>
        <v>3</v>
      </c>
      <c r="C799" s="30" t="str">
        <f>_xlfn.IFS(Table_13[[#This Row],[Month]]=1,"JAN",Table_13[[#This Row],[Month]]=2,"FEB",B799=3,"MAR",B799=4,"APR",B799=5,"MAY",B799=6,"JUN",B799=7,"JUL",B799=8,"AUG",Table_13[[#This Row],[Month]]=9,"SEPT",B799=10,"OCT",B799=11,"NOV",B799=12,"DEC")</f>
        <v>MAR</v>
      </c>
      <c r="D799" s="2" t="s">
        <v>11</v>
      </c>
      <c r="E799" s="2" t="s">
        <v>12</v>
      </c>
      <c r="F799" s="2" t="s">
        <v>13</v>
      </c>
      <c r="G799" s="2" t="s">
        <v>20</v>
      </c>
      <c r="H799" s="2" t="s">
        <v>27</v>
      </c>
      <c r="I799" s="2" t="s">
        <v>22</v>
      </c>
      <c r="J799" s="15">
        <v>60000</v>
      </c>
      <c r="K799" s="2">
        <v>3</v>
      </c>
      <c r="L799" s="2" t="s">
        <v>39</v>
      </c>
      <c r="M799" s="12">
        <f t="shared" si="27"/>
        <v>48000</v>
      </c>
      <c r="N799" s="10">
        <f>PRODUCT(Table_13[[#This Row],[Unit Price]],Table_13[[#This Row],[Quantity]])</f>
        <v>180000</v>
      </c>
      <c r="O799" s="16">
        <f>PRODUCT(Table_13[[#This Row],[Cost Price]],Table_13[[#This Row],[Quantity]])</f>
        <v>144000</v>
      </c>
      <c r="P799" s="27">
        <f t="shared" si="29"/>
        <v>36000</v>
      </c>
    </row>
    <row r="800" spans="1:16" x14ac:dyDescent="0.2">
      <c r="A800" s="33">
        <v>46474</v>
      </c>
      <c r="B800" s="30">
        <f t="shared" si="28"/>
        <v>3</v>
      </c>
      <c r="C800" s="30" t="str">
        <f>_xlfn.IFS(Table_13[[#This Row],[Month]]=1,"JAN",Table_13[[#This Row],[Month]]=2,"FEB",B800=3,"MAR",B800=4,"APR",B800=5,"MAY",B800=6,"JUN",B800=7,"JUL",B800=8,"AUG",Table_13[[#This Row],[Month]]=9,"SEPT",B800=10,"OCT",B800=11,"NOV",B800=12,"DEC")</f>
        <v>MAR</v>
      </c>
      <c r="D800" s="2" t="s">
        <v>18</v>
      </c>
      <c r="E800" s="2" t="s">
        <v>32</v>
      </c>
      <c r="F800" s="2" t="s">
        <v>23</v>
      </c>
      <c r="G800" s="2" t="s">
        <v>14</v>
      </c>
      <c r="H800" s="2" t="s">
        <v>15</v>
      </c>
      <c r="I800" s="2" t="s">
        <v>16</v>
      </c>
      <c r="J800" s="15">
        <v>85000</v>
      </c>
      <c r="K800" s="2">
        <v>10</v>
      </c>
      <c r="L800" s="2" t="s">
        <v>24</v>
      </c>
      <c r="M800" s="12">
        <f t="shared" si="27"/>
        <v>68000</v>
      </c>
      <c r="N800" s="10">
        <f>PRODUCT(Table_13[[#This Row],[Unit Price]],Table_13[[#This Row],[Quantity]])</f>
        <v>850000</v>
      </c>
      <c r="O800" s="16">
        <f>PRODUCT(Table_13[[#This Row],[Cost Price]],Table_13[[#This Row],[Quantity]])</f>
        <v>680000</v>
      </c>
      <c r="P800" s="27">
        <f t="shared" si="29"/>
        <v>170000</v>
      </c>
    </row>
    <row r="801" spans="1:16" x14ac:dyDescent="0.2">
      <c r="A801" s="33">
        <v>46475</v>
      </c>
      <c r="B801" s="30">
        <f t="shared" si="28"/>
        <v>3</v>
      </c>
      <c r="C801" s="30" t="str">
        <f>_xlfn.IFS(Table_13[[#This Row],[Month]]=1,"JAN",Table_13[[#This Row],[Month]]=2,"FEB",B801=3,"MAR",B801=4,"APR",B801=5,"MAY",B801=6,"JUN",B801=7,"JUL",B801=8,"AUG",Table_13[[#This Row],[Month]]=9,"SEPT",B801=10,"OCT",B801=11,"NOV",B801=12,"DEC")</f>
        <v>MAR</v>
      </c>
      <c r="D801" s="2" t="s">
        <v>11</v>
      </c>
      <c r="E801" s="2" t="s">
        <v>32</v>
      </c>
      <c r="F801" s="2" t="s">
        <v>23</v>
      </c>
      <c r="G801" s="2" t="s">
        <v>20</v>
      </c>
      <c r="H801" s="2" t="s">
        <v>36</v>
      </c>
      <c r="I801" s="2" t="s">
        <v>31</v>
      </c>
      <c r="J801" s="15">
        <v>150000</v>
      </c>
      <c r="K801" s="2">
        <v>3</v>
      </c>
      <c r="L801" s="2" t="s">
        <v>37</v>
      </c>
      <c r="M801" s="12">
        <f t="shared" si="27"/>
        <v>120000</v>
      </c>
      <c r="N801" s="10">
        <f>PRODUCT(Table_13[[#This Row],[Unit Price]],Table_13[[#This Row],[Quantity]])</f>
        <v>450000</v>
      </c>
      <c r="O801" s="16">
        <f>PRODUCT(Table_13[[#This Row],[Cost Price]],Table_13[[#This Row],[Quantity]])</f>
        <v>360000</v>
      </c>
      <c r="P801" s="27">
        <f t="shared" si="29"/>
        <v>90000</v>
      </c>
    </row>
    <row r="802" spans="1:16" x14ac:dyDescent="0.2">
      <c r="A802" s="33">
        <v>46476</v>
      </c>
      <c r="B802" s="30">
        <f t="shared" si="28"/>
        <v>3</v>
      </c>
      <c r="C802" s="30" t="str">
        <f>_xlfn.IFS(Table_13[[#This Row],[Month]]=1,"JAN",Table_13[[#This Row],[Month]]=2,"FEB",B802=3,"MAR",B802=4,"APR",B802=5,"MAY",B802=6,"JUN",B802=7,"JUL",B802=8,"AUG",Table_13[[#This Row],[Month]]=9,"SEPT",B802=10,"OCT",B802=11,"NOV",B802=12,"DEC")</f>
        <v>MAR</v>
      </c>
      <c r="D802" s="2" t="s">
        <v>25</v>
      </c>
      <c r="E802" s="2" t="s">
        <v>12</v>
      </c>
      <c r="F802" s="2" t="s">
        <v>23</v>
      </c>
      <c r="G802" s="2" t="s">
        <v>20</v>
      </c>
      <c r="H802" s="2" t="s">
        <v>38</v>
      </c>
      <c r="I802" s="2" t="s">
        <v>31</v>
      </c>
      <c r="J802" s="15">
        <v>420000</v>
      </c>
      <c r="K802" s="2">
        <v>9</v>
      </c>
      <c r="L802" s="2" t="s">
        <v>37</v>
      </c>
      <c r="M802" s="12">
        <f t="shared" si="27"/>
        <v>336000</v>
      </c>
      <c r="N802" s="10">
        <f>PRODUCT(Table_13[[#This Row],[Unit Price]],Table_13[[#This Row],[Quantity]])</f>
        <v>3780000</v>
      </c>
      <c r="O802" s="16">
        <f>PRODUCT(Table_13[[#This Row],[Cost Price]],Table_13[[#This Row],[Quantity]])</f>
        <v>3024000</v>
      </c>
      <c r="P802" s="27">
        <f t="shared" si="29"/>
        <v>756000</v>
      </c>
    </row>
    <row r="803" spans="1:16" x14ac:dyDescent="0.2">
      <c r="A803" s="33">
        <v>46477</v>
      </c>
      <c r="B803" s="30">
        <f t="shared" si="28"/>
        <v>3</v>
      </c>
      <c r="C803" s="30" t="str">
        <f>_xlfn.IFS(Table_13[[#This Row],[Month]]=1,"JAN",Table_13[[#This Row],[Month]]=2,"FEB",B803=3,"MAR",B803=4,"APR",B803=5,"MAY",B803=6,"JUN",B803=7,"JUL",B803=8,"AUG",Table_13[[#This Row],[Month]]=9,"SEPT",B803=10,"OCT",B803=11,"NOV",B803=12,"DEC")</f>
        <v>MAR</v>
      </c>
      <c r="D803" s="2" t="s">
        <v>25</v>
      </c>
      <c r="E803" s="2" t="s">
        <v>32</v>
      </c>
      <c r="F803" s="2" t="s">
        <v>13</v>
      </c>
      <c r="G803" s="2" t="s">
        <v>20</v>
      </c>
      <c r="H803" s="2" t="s">
        <v>41</v>
      </c>
      <c r="I803" s="2" t="s">
        <v>22</v>
      </c>
      <c r="J803" s="15">
        <v>220000</v>
      </c>
      <c r="K803" s="2">
        <v>1</v>
      </c>
      <c r="L803" s="2" t="s">
        <v>35</v>
      </c>
      <c r="M803" s="12">
        <f t="shared" si="27"/>
        <v>176000</v>
      </c>
      <c r="N803" s="10">
        <f>PRODUCT(Table_13[[#This Row],[Unit Price]],Table_13[[#This Row],[Quantity]])</f>
        <v>220000</v>
      </c>
      <c r="O803" s="16">
        <f>PRODUCT(Table_13[[#This Row],[Cost Price]],Table_13[[#This Row],[Quantity]])</f>
        <v>176000</v>
      </c>
      <c r="P803" s="27">
        <f t="shared" si="29"/>
        <v>44000</v>
      </c>
    </row>
    <row r="804" spans="1:16" x14ac:dyDescent="0.2">
      <c r="A804" s="33">
        <v>46478</v>
      </c>
      <c r="B804" s="30">
        <f t="shared" si="28"/>
        <v>4</v>
      </c>
      <c r="C804" s="30" t="str">
        <f>_xlfn.IFS(Table_13[[#This Row],[Month]]=1,"JAN",Table_13[[#This Row],[Month]]=2,"FEB",B804=3,"MAR",B804=4,"APR",B804=5,"MAY",B804=6,"JUN",B804=7,"JUL",B804=8,"AUG",Table_13[[#This Row],[Month]]=9,"SEPT",B804=10,"OCT",B804=11,"NOV",B804=12,"DEC")</f>
        <v>APR</v>
      </c>
      <c r="D804" s="2" t="s">
        <v>18</v>
      </c>
      <c r="E804" s="2" t="s">
        <v>32</v>
      </c>
      <c r="F804" s="2" t="s">
        <v>23</v>
      </c>
      <c r="G804" s="2" t="s">
        <v>14</v>
      </c>
      <c r="H804" s="2" t="s">
        <v>15</v>
      </c>
      <c r="I804" s="2" t="s">
        <v>16</v>
      </c>
      <c r="J804" s="15">
        <v>85000</v>
      </c>
      <c r="K804" s="2">
        <v>4</v>
      </c>
      <c r="L804" s="2" t="s">
        <v>24</v>
      </c>
      <c r="M804" s="12">
        <f t="shared" si="27"/>
        <v>68000</v>
      </c>
      <c r="N804" s="10">
        <f>PRODUCT(Table_13[[#This Row],[Unit Price]],Table_13[[#This Row],[Quantity]])</f>
        <v>340000</v>
      </c>
      <c r="O804" s="16">
        <f>PRODUCT(Table_13[[#This Row],[Cost Price]],Table_13[[#This Row],[Quantity]])</f>
        <v>272000</v>
      </c>
      <c r="P804" s="27">
        <f t="shared" si="29"/>
        <v>68000</v>
      </c>
    </row>
    <row r="805" spans="1:16" x14ac:dyDescent="0.2">
      <c r="A805" s="33">
        <v>46479</v>
      </c>
      <c r="B805" s="30">
        <f t="shared" si="28"/>
        <v>4</v>
      </c>
      <c r="C805" s="30" t="str">
        <f>_xlfn.IFS(Table_13[[#This Row],[Month]]=1,"JAN",Table_13[[#This Row],[Month]]=2,"FEB",B805=3,"MAR",B805=4,"APR",B805=5,"MAY",B805=6,"JUN",B805=7,"JUL",B805=8,"AUG",Table_13[[#This Row],[Month]]=9,"SEPT",B805=10,"OCT",B805=11,"NOV",B805=12,"DEC")</f>
        <v>APR</v>
      </c>
      <c r="D805" s="2" t="s">
        <v>11</v>
      </c>
      <c r="E805" s="2" t="s">
        <v>12</v>
      </c>
      <c r="F805" s="2" t="s">
        <v>13</v>
      </c>
      <c r="G805" s="2" t="s">
        <v>14</v>
      </c>
      <c r="H805" s="2" t="s">
        <v>38</v>
      </c>
      <c r="I805" s="2" t="s">
        <v>31</v>
      </c>
      <c r="J805" s="15">
        <v>420000</v>
      </c>
      <c r="K805" s="2">
        <v>6</v>
      </c>
      <c r="L805" s="2" t="s">
        <v>37</v>
      </c>
      <c r="M805" s="12">
        <f t="shared" si="27"/>
        <v>336000</v>
      </c>
      <c r="N805" s="10">
        <f>PRODUCT(Table_13[[#This Row],[Unit Price]],Table_13[[#This Row],[Quantity]])</f>
        <v>2520000</v>
      </c>
      <c r="O805" s="16">
        <f>PRODUCT(Table_13[[#This Row],[Cost Price]],Table_13[[#This Row],[Quantity]])</f>
        <v>2016000</v>
      </c>
      <c r="P805" s="27">
        <f t="shared" si="29"/>
        <v>504000</v>
      </c>
    </row>
    <row r="806" spans="1:16" x14ac:dyDescent="0.2">
      <c r="A806" s="33">
        <v>46480</v>
      </c>
      <c r="B806" s="30">
        <f t="shared" si="28"/>
        <v>4</v>
      </c>
      <c r="C806" s="30" t="str">
        <f>_xlfn.IFS(Table_13[[#This Row],[Month]]=1,"JAN",Table_13[[#This Row],[Month]]=2,"FEB",B806=3,"MAR",B806=4,"APR",B806=5,"MAY",B806=6,"JUN",B806=7,"JUL",B806=8,"AUG",Table_13[[#This Row],[Month]]=9,"SEPT",B806=10,"OCT",B806=11,"NOV",B806=12,"DEC")</f>
        <v>APR</v>
      </c>
      <c r="D806" s="2" t="s">
        <v>29</v>
      </c>
      <c r="E806" s="2" t="s">
        <v>32</v>
      </c>
      <c r="F806" s="2" t="s">
        <v>23</v>
      </c>
      <c r="G806" s="2" t="s">
        <v>14</v>
      </c>
      <c r="H806" s="2" t="s">
        <v>38</v>
      </c>
      <c r="I806" s="2" t="s">
        <v>31</v>
      </c>
      <c r="J806" s="15">
        <v>420000</v>
      </c>
      <c r="K806" s="2">
        <v>6</v>
      </c>
      <c r="L806" s="2" t="s">
        <v>28</v>
      </c>
      <c r="M806" s="12">
        <f t="shared" si="27"/>
        <v>336000</v>
      </c>
      <c r="N806" s="10">
        <f>PRODUCT(Table_13[[#This Row],[Unit Price]],Table_13[[#This Row],[Quantity]])</f>
        <v>2520000</v>
      </c>
      <c r="O806" s="16">
        <f>PRODUCT(Table_13[[#This Row],[Cost Price]],Table_13[[#This Row],[Quantity]])</f>
        <v>2016000</v>
      </c>
      <c r="P806" s="27">
        <f t="shared" si="29"/>
        <v>504000</v>
      </c>
    </row>
    <row r="807" spans="1:16" x14ac:dyDescent="0.2">
      <c r="A807" s="33">
        <v>46481</v>
      </c>
      <c r="B807" s="30">
        <f t="shared" si="28"/>
        <v>4</v>
      </c>
      <c r="C807" s="30" t="str">
        <f>_xlfn.IFS(Table_13[[#This Row],[Month]]=1,"JAN",Table_13[[#This Row],[Month]]=2,"FEB",B807=3,"MAR",B807=4,"APR",B807=5,"MAY",B807=6,"JUN",B807=7,"JUL",B807=8,"AUG",Table_13[[#This Row],[Month]]=9,"SEPT",B807=10,"OCT",B807=11,"NOV",B807=12,"DEC")</f>
        <v>APR</v>
      </c>
      <c r="D807" s="2" t="s">
        <v>18</v>
      </c>
      <c r="E807" s="2" t="s">
        <v>12</v>
      </c>
      <c r="F807" s="2" t="s">
        <v>13</v>
      </c>
      <c r="G807" s="2" t="s">
        <v>14</v>
      </c>
      <c r="H807" s="2" t="s">
        <v>30</v>
      </c>
      <c r="I807" s="2" t="s">
        <v>31</v>
      </c>
      <c r="J807" s="15">
        <v>300000</v>
      </c>
      <c r="K807" s="2">
        <v>10</v>
      </c>
      <c r="L807" s="2" t="s">
        <v>35</v>
      </c>
      <c r="M807" s="12">
        <f t="shared" si="27"/>
        <v>240000</v>
      </c>
      <c r="N807" s="10">
        <f>PRODUCT(Table_13[[#This Row],[Unit Price]],Table_13[[#This Row],[Quantity]])</f>
        <v>3000000</v>
      </c>
      <c r="O807" s="16">
        <f>PRODUCT(Table_13[[#This Row],[Cost Price]],Table_13[[#This Row],[Quantity]])</f>
        <v>2400000</v>
      </c>
      <c r="P807" s="27">
        <f t="shared" si="29"/>
        <v>600000</v>
      </c>
    </row>
    <row r="808" spans="1:16" x14ac:dyDescent="0.2">
      <c r="A808" s="33">
        <v>46482</v>
      </c>
      <c r="B808" s="30">
        <f t="shared" si="28"/>
        <v>4</v>
      </c>
      <c r="C808" s="30" t="str">
        <f>_xlfn.IFS(Table_13[[#This Row],[Month]]=1,"JAN",Table_13[[#This Row],[Month]]=2,"FEB",B808=3,"MAR",B808=4,"APR",B808=5,"MAY",B808=6,"JUN",B808=7,"JUL",B808=8,"AUG",Table_13[[#This Row],[Month]]=9,"SEPT",B808=10,"OCT",B808=11,"NOV",B808=12,"DEC")</f>
        <v>APR</v>
      </c>
      <c r="D808" s="2" t="s">
        <v>25</v>
      </c>
      <c r="E808" s="2" t="s">
        <v>19</v>
      </c>
      <c r="F808" s="2" t="s">
        <v>13</v>
      </c>
      <c r="G808" s="2" t="s">
        <v>20</v>
      </c>
      <c r="H808" s="2" t="s">
        <v>41</v>
      </c>
      <c r="I808" s="2" t="s">
        <v>22</v>
      </c>
      <c r="J808" s="15">
        <v>220000</v>
      </c>
      <c r="K808" s="2">
        <v>4</v>
      </c>
      <c r="L808" s="2" t="s">
        <v>28</v>
      </c>
      <c r="M808" s="12">
        <f t="shared" si="27"/>
        <v>176000</v>
      </c>
      <c r="N808" s="10">
        <f>PRODUCT(Table_13[[#This Row],[Unit Price]],Table_13[[#This Row],[Quantity]])</f>
        <v>880000</v>
      </c>
      <c r="O808" s="16">
        <f>PRODUCT(Table_13[[#This Row],[Cost Price]],Table_13[[#This Row],[Quantity]])</f>
        <v>704000</v>
      </c>
      <c r="P808" s="27">
        <f t="shared" si="29"/>
        <v>176000</v>
      </c>
    </row>
    <row r="809" spans="1:16" x14ac:dyDescent="0.2">
      <c r="A809" s="33">
        <v>46483</v>
      </c>
      <c r="B809" s="30">
        <f t="shared" si="28"/>
        <v>4</v>
      </c>
      <c r="C809" s="30" t="str">
        <f>_xlfn.IFS(Table_13[[#This Row],[Month]]=1,"JAN",Table_13[[#This Row],[Month]]=2,"FEB",B809=3,"MAR",B809=4,"APR",B809=5,"MAY",B809=6,"JUN",B809=7,"JUL",B809=8,"AUG",Table_13[[#This Row],[Month]]=9,"SEPT",B809=10,"OCT",B809=11,"NOV",B809=12,"DEC")</f>
        <v>APR</v>
      </c>
      <c r="D809" s="2" t="s">
        <v>11</v>
      </c>
      <c r="E809" s="2" t="s">
        <v>32</v>
      </c>
      <c r="F809" s="2" t="s">
        <v>13</v>
      </c>
      <c r="G809" s="2" t="s">
        <v>20</v>
      </c>
      <c r="H809" s="2" t="s">
        <v>33</v>
      </c>
      <c r="I809" s="2" t="s">
        <v>22</v>
      </c>
      <c r="J809" s="15">
        <v>180000</v>
      </c>
      <c r="K809" s="2">
        <v>8</v>
      </c>
      <c r="L809" s="2" t="s">
        <v>37</v>
      </c>
      <c r="M809" s="12">
        <f t="shared" si="27"/>
        <v>144000</v>
      </c>
      <c r="N809" s="10">
        <f>PRODUCT(Table_13[[#This Row],[Unit Price]],Table_13[[#This Row],[Quantity]])</f>
        <v>1440000</v>
      </c>
      <c r="O809" s="16">
        <f>PRODUCT(Table_13[[#This Row],[Cost Price]],Table_13[[#This Row],[Quantity]])</f>
        <v>1152000</v>
      </c>
      <c r="P809" s="27">
        <f t="shared" si="29"/>
        <v>288000</v>
      </c>
    </row>
    <row r="810" spans="1:16" x14ac:dyDescent="0.2">
      <c r="A810" s="33">
        <v>46484</v>
      </c>
      <c r="B810" s="30">
        <f t="shared" si="28"/>
        <v>4</v>
      </c>
      <c r="C810" s="30" t="str">
        <f>_xlfn.IFS(Table_13[[#This Row],[Month]]=1,"JAN",Table_13[[#This Row],[Month]]=2,"FEB",B810=3,"MAR",B810=4,"APR",B810=5,"MAY",B810=6,"JUN",B810=7,"JUL",B810=8,"AUG",Table_13[[#This Row],[Month]]=9,"SEPT",B810=10,"OCT",B810=11,"NOV",B810=12,"DEC")</f>
        <v>APR</v>
      </c>
      <c r="D810" s="2" t="s">
        <v>11</v>
      </c>
      <c r="E810" s="2" t="s">
        <v>32</v>
      </c>
      <c r="F810" s="2" t="s">
        <v>13</v>
      </c>
      <c r="G810" s="2" t="s">
        <v>14</v>
      </c>
      <c r="H810" s="2" t="s">
        <v>40</v>
      </c>
      <c r="I810" s="2" t="s">
        <v>31</v>
      </c>
      <c r="J810" s="15">
        <v>250000</v>
      </c>
      <c r="K810" s="2">
        <v>3</v>
      </c>
      <c r="L810" s="2" t="s">
        <v>17</v>
      </c>
      <c r="M810" s="12">
        <f t="shared" si="27"/>
        <v>200000</v>
      </c>
      <c r="N810" s="10">
        <f>PRODUCT(Table_13[[#This Row],[Unit Price]],Table_13[[#This Row],[Quantity]])</f>
        <v>750000</v>
      </c>
      <c r="O810" s="16">
        <f>PRODUCT(Table_13[[#This Row],[Cost Price]],Table_13[[#This Row],[Quantity]])</f>
        <v>600000</v>
      </c>
      <c r="P810" s="27">
        <f t="shared" si="29"/>
        <v>150000</v>
      </c>
    </row>
    <row r="811" spans="1:16" x14ac:dyDescent="0.2">
      <c r="A811" s="33">
        <v>46485</v>
      </c>
      <c r="B811" s="30">
        <f t="shared" si="28"/>
        <v>4</v>
      </c>
      <c r="C811" s="30" t="str">
        <f>_xlfn.IFS(Table_13[[#This Row],[Month]]=1,"JAN",Table_13[[#This Row],[Month]]=2,"FEB",B811=3,"MAR",B811=4,"APR",B811=5,"MAY",B811=6,"JUN",B811=7,"JUL",B811=8,"AUG",Table_13[[#This Row],[Month]]=9,"SEPT",B811=10,"OCT",B811=11,"NOV",B811=12,"DEC")</f>
        <v>APR</v>
      </c>
      <c r="D811" s="2" t="s">
        <v>29</v>
      </c>
      <c r="E811" s="2" t="s">
        <v>26</v>
      </c>
      <c r="F811" s="2" t="s">
        <v>23</v>
      </c>
      <c r="G811" s="2" t="s">
        <v>14</v>
      </c>
      <c r="H811" s="2" t="s">
        <v>30</v>
      </c>
      <c r="I811" s="2" t="s">
        <v>31</v>
      </c>
      <c r="J811" s="15">
        <v>300000</v>
      </c>
      <c r="K811" s="2">
        <v>7</v>
      </c>
      <c r="L811" s="2" t="s">
        <v>17</v>
      </c>
      <c r="M811" s="12">
        <f t="shared" si="27"/>
        <v>240000</v>
      </c>
      <c r="N811" s="10">
        <f>PRODUCT(Table_13[[#This Row],[Unit Price]],Table_13[[#This Row],[Quantity]])</f>
        <v>2100000</v>
      </c>
      <c r="O811" s="16">
        <f>PRODUCT(Table_13[[#This Row],[Cost Price]],Table_13[[#This Row],[Quantity]])</f>
        <v>1680000</v>
      </c>
      <c r="P811" s="27">
        <f t="shared" si="29"/>
        <v>420000</v>
      </c>
    </row>
    <row r="812" spans="1:16" x14ac:dyDescent="0.2">
      <c r="A812" s="33">
        <v>46486</v>
      </c>
      <c r="B812" s="30">
        <f t="shared" si="28"/>
        <v>4</v>
      </c>
      <c r="C812" s="30" t="str">
        <f>_xlfn.IFS(Table_13[[#This Row],[Month]]=1,"JAN",Table_13[[#This Row],[Month]]=2,"FEB",B812=3,"MAR",B812=4,"APR",B812=5,"MAY",B812=6,"JUN",B812=7,"JUL",B812=8,"AUG",Table_13[[#This Row],[Month]]=9,"SEPT",B812=10,"OCT",B812=11,"NOV",B812=12,"DEC")</f>
        <v>APR</v>
      </c>
      <c r="D812" s="2" t="s">
        <v>29</v>
      </c>
      <c r="E812" s="2" t="s">
        <v>32</v>
      </c>
      <c r="F812" s="2" t="s">
        <v>13</v>
      </c>
      <c r="G812" s="2" t="s">
        <v>20</v>
      </c>
      <c r="H812" s="2" t="s">
        <v>30</v>
      </c>
      <c r="I812" s="2" t="s">
        <v>31</v>
      </c>
      <c r="J812" s="15">
        <v>300000</v>
      </c>
      <c r="K812" s="2">
        <v>7</v>
      </c>
      <c r="L812" s="2" t="s">
        <v>39</v>
      </c>
      <c r="M812" s="12">
        <f t="shared" si="27"/>
        <v>240000</v>
      </c>
      <c r="N812" s="10">
        <f>PRODUCT(Table_13[[#This Row],[Unit Price]],Table_13[[#This Row],[Quantity]])</f>
        <v>2100000</v>
      </c>
      <c r="O812" s="16">
        <f>PRODUCT(Table_13[[#This Row],[Cost Price]],Table_13[[#This Row],[Quantity]])</f>
        <v>1680000</v>
      </c>
      <c r="P812" s="27">
        <f t="shared" si="29"/>
        <v>420000</v>
      </c>
    </row>
    <row r="813" spans="1:16" x14ac:dyDescent="0.2">
      <c r="A813" s="33">
        <v>46487</v>
      </c>
      <c r="B813" s="30">
        <f t="shared" si="28"/>
        <v>4</v>
      </c>
      <c r="C813" s="30" t="str">
        <f>_xlfn.IFS(Table_13[[#This Row],[Month]]=1,"JAN",Table_13[[#This Row],[Month]]=2,"FEB",B813=3,"MAR",B813=4,"APR",B813=5,"MAY",B813=6,"JUN",B813=7,"JUL",B813=8,"AUG",Table_13[[#This Row],[Month]]=9,"SEPT",B813=10,"OCT",B813=11,"NOV",B813=12,"DEC")</f>
        <v>APR</v>
      </c>
      <c r="D813" s="2" t="s">
        <v>29</v>
      </c>
      <c r="E813" s="2" t="s">
        <v>32</v>
      </c>
      <c r="F813" s="2" t="s">
        <v>23</v>
      </c>
      <c r="G813" s="2" t="s">
        <v>20</v>
      </c>
      <c r="H813" s="2" t="s">
        <v>40</v>
      </c>
      <c r="I813" s="2" t="s">
        <v>31</v>
      </c>
      <c r="J813" s="15">
        <v>250000</v>
      </c>
      <c r="K813" s="2">
        <v>1</v>
      </c>
      <c r="L813" s="2" t="s">
        <v>37</v>
      </c>
      <c r="M813" s="12">
        <f t="shared" si="27"/>
        <v>200000</v>
      </c>
      <c r="N813" s="10">
        <f>PRODUCT(Table_13[[#This Row],[Unit Price]],Table_13[[#This Row],[Quantity]])</f>
        <v>250000</v>
      </c>
      <c r="O813" s="16">
        <f>PRODUCT(Table_13[[#This Row],[Cost Price]],Table_13[[#This Row],[Quantity]])</f>
        <v>200000</v>
      </c>
      <c r="P813" s="27">
        <f t="shared" si="29"/>
        <v>50000</v>
      </c>
    </row>
    <row r="814" spans="1:16" x14ac:dyDescent="0.2">
      <c r="A814" s="33">
        <v>46488</v>
      </c>
      <c r="B814" s="30">
        <f t="shared" si="28"/>
        <v>4</v>
      </c>
      <c r="C814" s="30" t="str">
        <f>_xlfn.IFS(Table_13[[#This Row],[Month]]=1,"JAN",Table_13[[#This Row],[Month]]=2,"FEB",B814=3,"MAR",B814=4,"APR",B814=5,"MAY",B814=6,"JUN",B814=7,"JUL",B814=8,"AUG",Table_13[[#This Row],[Month]]=9,"SEPT",B814=10,"OCT",B814=11,"NOV",B814=12,"DEC")</f>
        <v>APR</v>
      </c>
      <c r="D814" s="2" t="s">
        <v>11</v>
      </c>
      <c r="E814" s="2" t="s">
        <v>19</v>
      </c>
      <c r="F814" s="2" t="s">
        <v>23</v>
      </c>
      <c r="G814" s="2" t="s">
        <v>14</v>
      </c>
      <c r="H814" s="2" t="s">
        <v>30</v>
      </c>
      <c r="I814" s="2" t="s">
        <v>31</v>
      </c>
      <c r="J814" s="15">
        <v>300000</v>
      </c>
      <c r="K814" s="2">
        <v>3</v>
      </c>
      <c r="L814" s="2" t="s">
        <v>35</v>
      </c>
      <c r="M814" s="12">
        <f t="shared" si="27"/>
        <v>240000</v>
      </c>
      <c r="N814" s="10">
        <f>PRODUCT(Table_13[[#This Row],[Unit Price]],Table_13[[#This Row],[Quantity]])</f>
        <v>900000</v>
      </c>
      <c r="O814" s="16">
        <f>PRODUCT(Table_13[[#This Row],[Cost Price]],Table_13[[#This Row],[Quantity]])</f>
        <v>720000</v>
      </c>
      <c r="P814" s="27">
        <f t="shared" si="29"/>
        <v>180000</v>
      </c>
    </row>
    <row r="815" spans="1:16" x14ac:dyDescent="0.2">
      <c r="A815" s="33">
        <v>46489</v>
      </c>
      <c r="B815" s="30">
        <f t="shared" si="28"/>
        <v>4</v>
      </c>
      <c r="C815" s="30" t="str">
        <f>_xlfn.IFS(Table_13[[#This Row],[Month]]=1,"JAN",Table_13[[#This Row],[Month]]=2,"FEB",B815=3,"MAR",B815=4,"APR",B815=5,"MAY",B815=6,"JUN",B815=7,"JUL",B815=8,"AUG",Table_13[[#This Row],[Month]]=9,"SEPT",B815=10,"OCT",B815=11,"NOV",B815=12,"DEC")</f>
        <v>APR</v>
      </c>
      <c r="D815" s="2" t="s">
        <v>25</v>
      </c>
      <c r="E815" s="2" t="s">
        <v>12</v>
      </c>
      <c r="F815" s="2" t="s">
        <v>13</v>
      </c>
      <c r="G815" s="2" t="s">
        <v>14</v>
      </c>
      <c r="H815" s="2" t="s">
        <v>38</v>
      </c>
      <c r="I815" s="2" t="s">
        <v>31</v>
      </c>
      <c r="J815" s="15">
        <v>420000</v>
      </c>
      <c r="K815" s="2">
        <v>10</v>
      </c>
      <c r="L815" s="2" t="s">
        <v>28</v>
      </c>
      <c r="M815" s="12">
        <f t="shared" si="27"/>
        <v>336000</v>
      </c>
      <c r="N815" s="10">
        <f>PRODUCT(Table_13[[#This Row],[Unit Price]],Table_13[[#This Row],[Quantity]])</f>
        <v>4200000</v>
      </c>
      <c r="O815" s="16">
        <f>PRODUCT(Table_13[[#This Row],[Cost Price]],Table_13[[#This Row],[Quantity]])</f>
        <v>3360000</v>
      </c>
      <c r="P815" s="27">
        <f t="shared" si="29"/>
        <v>840000</v>
      </c>
    </row>
    <row r="816" spans="1:16" x14ac:dyDescent="0.2">
      <c r="A816" s="33">
        <v>46490</v>
      </c>
      <c r="B816" s="30">
        <f t="shared" si="28"/>
        <v>4</v>
      </c>
      <c r="C816" s="30" t="str">
        <f>_xlfn.IFS(Table_13[[#This Row],[Month]]=1,"JAN",Table_13[[#This Row],[Month]]=2,"FEB",B816=3,"MAR",B816=4,"APR",B816=5,"MAY",B816=6,"JUN",B816=7,"JUL",B816=8,"AUG",Table_13[[#This Row],[Month]]=9,"SEPT",B816=10,"OCT",B816=11,"NOV",B816=12,"DEC")</f>
        <v>APR</v>
      </c>
      <c r="D816" s="2" t="s">
        <v>29</v>
      </c>
      <c r="E816" s="2" t="s">
        <v>26</v>
      </c>
      <c r="F816" s="2" t="s">
        <v>23</v>
      </c>
      <c r="G816" s="2" t="s">
        <v>14</v>
      </c>
      <c r="H816" s="2" t="s">
        <v>27</v>
      </c>
      <c r="I816" s="2" t="s">
        <v>22</v>
      </c>
      <c r="J816" s="15">
        <v>60000</v>
      </c>
      <c r="K816" s="2">
        <v>9</v>
      </c>
      <c r="L816" s="2" t="s">
        <v>35</v>
      </c>
      <c r="M816" s="12">
        <f t="shared" si="27"/>
        <v>48000</v>
      </c>
      <c r="N816" s="10">
        <f>PRODUCT(Table_13[[#This Row],[Unit Price]],Table_13[[#This Row],[Quantity]])</f>
        <v>540000</v>
      </c>
      <c r="O816" s="16">
        <f>PRODUCT(Table_13[[#This Row],[Cost Price]],Table_13[[#This Row],[Quantity]])</f>
        <v>432000</v>
      </c>
      <c r="P816" s="27">
        <f t="shared" si="29"/>
        <v>108000</v>
      </c>
    </row>
    <row r="817" spans="1:16" x14ac:dyDescent="0.2">
      <c r="A817" s="33">
        <v>46491</v>
      </c>
      <c r="B817" s="30">
        <f t="shared" si="28"/>
        <v>4</v>
      </c>
      <c r="C817" s="30" t="str">
        <f>_xlfn.IFS(Table_13[[#This Row],[Month]]=1,"JAN",Table_13[[#This Row],[Month]]=2,"FEB",B817=3,"MAR",B817=4,"APR",B817=5,"MAY",B817=6,"JUN",B817=7,"JUL",B817=8,"AUG",Table_13[[#This Row],[Month]]=9,"SEPT",B817=10,"OCT",B817=11,"NOV",B817=12,"DEC")</f>
        <v>APR</v>
      </c>
      <c r="D817" s="2" t="s">
        <v>11</v>
      </c>
      <c r="E817" s="2" t="s">
        <v>12</v>
      </c>
      <c r="F817" s="2" t="s">
        <v>13</v>
      </c>
      <c r="G817" s="2" t="s">
        <v>14</v>
      </c>
      <c r="H817" s="2" t="s">
        <v>40</v>
      </c>
      <c r="I817" s="2" t="s">
        <v>31</v>
      </c>
      <c r="J817" s="15">
        <v>250000</v>
      </c>
      <c r="K817" s="2">
        <v>4</v>
      </c>
      <c r="L817" s="2" t="s">
        <v>28</v>
      </c>
      <c r="M817" s="12">
        <f t="shared" si="27"/>
        <v>200000</v>
      </c>
      <c r="N817" s="10">
        <f>PRODUCT(Table_13[[#This Row],[Unit Price]],Table_13[[#This Row],[Quantity]])</f>
        <v>1000000</v>
      </c>
      <c r="O817" s="16">
        <f>PRODUCT(Table_13[[#This Row],[Cost Price]],Table_13[[#This Row],[Quantity]])</f>
        <v>800000</v>
      </c>
      <c r="P817" s="27">
        <f t="shared" si="29"/>
        <v>200000</v>
      </c>
    </row>
    <row r="818" spans="1:16" x14ac:dyDescent="0.2">
      <c r="A818" s="33">
        <v>46492</v>
      </c>
      <c r="B818" s="30">
        <f t="shared" si="28"/>
        <v>4</v>
      </c>
      <c r="C818" s="30" t="str">
        <f>_xlfn.IFS(Table_13[[#This Row],[Month]]=1,"JAN",Table_13[[#This Row],[Month]]=2,"FEB",B818=3,"MAR",B818=4,"APR",B818=5,"MAY",B818=6,"JUN",B818=7,"JUL",B818=8,"AUG",Table_13[[#This Row],[Month]]=9,"SEPT",B818=10,"OCT",B818=11,"NOV",B818=12,"DEC")</f>
        <v>APR</v>
      </c>
      <c r="D818" s="2" t="s">
        <v>18</v>
      </c>
      <c r="E818" s="2" t="s">
        <v>26</v>
      </c>
      <c r="F818" s="2" t="s">
        <v>13</v>
      </c>
      <c r="G818" s="2" t="s">
        <v>14</v>
      </c>
      <c r="H818" s="2" t="s">
        <v>40</v>
      </c>
      <c r="I818" s="2" t="s">
        <v>31</v>
      </c>
      <c r="J818" s="15">
        <v>250000</v>
      </c>
      <c r="K818" s="2">
        <v>3</v>
      </c>
      <c r="L818" s="2" t="s">
        <v>37</v>
      </c>
      <c r="M818" s="12">
        <f t="shared" si="27"/>
        <v>200000</v>
      </c>
      <c r="N818" s="10">
        <f>PRODUCT(Table_13[[#This Row],[Unit Price]],Table_13[[#This Row],[Quantity]])</f>
        <v>750000</v>
      </c>
      <c r="O818" s="16">
        <f>PRODUCT(Table_13[[#This Row],[Cost Price]],Table_13[[#This Row],[Quantity]])</f>
        <v>600000</v>
      </c>
      <c r="P818" s="27">
        <f t="shared" si="29"/>
        <v>150000</v>
      </c>
    </row>
    <row r="819" spans="1:16" x14ac:dyDescent="0.2">
      <c r="A819" s="33">
        <v>46493</v>
      </c>
      <c r="B819" s="30">
        <f t="shared" si="28"/>
        <v>4</v>
      </c>
      <c r="C819" s="30" t="str">
        <f>_xlfn.IFS(Table_13[[#This Row],[Month]]=1,"JAN",Table_13[[#This Row],[Month]]=2,"FEB",B819=3,"MAR",B819=4,"APR",B819=5,"MAY",B819=6,"JUN",B819=7,"JUL",B819=8,"AUG",Table_13[[#This Row],[Month]]=9,"SEPT",B819=10,"OCT",B819=11,"NOV",B819=12,"DEC")</f>
        <v>APR</v>
      </c>
      <c r="D819" s="2" t="s">
        <v>11</v>
      </c>
      <c r="E819" s="2" t="s">
        <v>32</v>
      </c>
      <c r="F819" s="2" t="s">
        <v>13</v>
      </c>
      <c r="G819" s="2" t="s">
        <v>20</v>
      </c>
      <c r="H819" s="2" t="s">
        <v>27</v>
      </c>
      <c r="I819" s="2" t="s">
        <v>22</v>
      </c>
      <c r="J819" s="15">
        <v>60000</v>
      </c>
      <c r="K819" s="2">
        <v>3</v>
      </c>
      <c r="L819" s="2" t="s">
        <v>17</v>
      </c>
      <c r="M819" s="12">
        <f t="shared" si="27"/>
        <v>48000</v>
      </c>
      <c r="N819" s="10">
        <f>PRODUCT(Table_13[[#This Row],[Unit Price]],Table_13[[#This Row],[Quantity]])</f>
        <v>180000</v>
      </c>
      <c r="O819" s="16">
        <f>PRODUCT(Table_13[[#This Row],[Cost Price]],Table_13[[#This Row],[Quantity]])</f>
        <v>144000</v>
      </c>
      <c r="P819" s="27">
        <f t="shared" si="29"/>
        <v>36000</v>
      </c>
    </row>
    <row r="820" spans="1:16" x14ac:dyDescent="0.2">
      <c r="A820" s="33">
        <v>46494</v>
      </c>
      <c r="B820" s="30">
        <f t="shared" si="28"/>
        <v>4</v>
      </c>
      <c r="C820" s="30" t="str">
        <f>_xlfn.IFS(Table_13[[#This Row],[Month]]=1,"JAN",Table_13[[#This Row],[Month]]=2,"FEB",B820=3,"MAR",B820=4,"APR",B820=5,"MAY",B820=6,"JUN",B820=7,"JUL",B820=8,"AUG",Table_13[[#This Row],[Month]]=9,"SEPT",B820=10,"OCT",B820=11,"NOV",B820=12,"DEC")</f>
        <v>APR</v>
      </c>
      <c r="D820" s="2" t="s">
        <v>11</v>
      </c>
      <c r="E820" s="2" t="s">
        <v>19</v>
      </c>
      <c r="F820" s="2" t="s">
        <v>23</v>
      </c>
      <c r="G820" s="2" t="s">
        <v>14</v>
      </c>
      <c r="H820" s="2" t="s">
        <v>34</v>
      </c>
      <c r="I820" s="2" t="s">
        <v>16</v>
      </c>
      <c r="J820" s="15">
        <v>320000</v>
      </c>
      <c r="K820" s="2">
        <v>1</v>
      </c>
      <c r="L820" s="2" t="s">
        <v>24</v>
      </c>
      <c r="M820" s="12">
        <f t="shared" si="27"/>
        <v>256000</v>
      </c>
      <c r="N820" s="10">
        <f>PRODUCT(Table_13[[#This Row],[Unit Price]],Table_13[[#This Row],[Quantity]])</f>
        <v>320000</v>
      </c>
      <c r="O820" s="16">
        <f>PRODUCT(Table_13[[#This Row],[Cost Price]],Table_13[[#This Row],[Quantity]])</f>
        <v>256000</v>
      </c>
      <c r="P820" s="27">
        <f t="shared" si="29"/>
        <v>64000</v>
      </c>
    </row>
    <row r="821" spans="1:16" x14ac:dyDescent="0.2">
      <c r="A821" s="33">
        <v>46495</v>
      </c>
      <c r="B821" s="30">
        <f t="shared" si="28"/>
        <v>4</v>
      </c>
      <c r="C821" s="30" t="str">
        <f>_xlfn.IFS(Table_13[[#This Row],[Month]]=1,"JAN",Table_13[[#This Row],[Month]]=2,"FEB",B821=3,"MAR",B821=4,"APR",B821=5,"MAY",B821=6,"JUN",B821=7,"JUL",B821=8,"AUG",Table_13[[#This Row],[Month]]=9,"SEPT",B821=10,"OCT",B821=11,"NOV",B821=12,"DEC")</f>
        <v>APR</v>
      </c>
      <c r="D821" s="2" t="s">
        <v>29</v>
      </c>
      <c r="E821" s="2" t="s">
        <v>32</v>
      </c>
      <c r="F821" s="2" t="s">
        <v>23</v>
      </c>
      <c r="G821" s="2" t="s">
        <v>20</v>
      </c>
      <c r="H821" s="2" t="s">
        <v>27</v>
      </c>
      <c r="I821" s="2" t="s">
        <v>22</v>
      </c>
      <c r="J821" s="15">
        <v>60000</v>
      </c>
      <c r="K821" s="2">
        <v>8</v>
      </c>
      <c r="L821" s="2" t="s">
        <v>24</v>
      </c>
      <c r="M821" s="12">
        <f t="shared" si="27"/>
        <v>48000</v>
      </c>
      <c r="N821" s="10">
        <f>PRODUCT(Table_13[[#This Row],[Unit Price]],Table_13[[#This Row],[Quantity]])</f>
        <v>480000</v>
      </c>
      <c r="O821" s="16">
        <f>PRODUCT(Table_13[[#This Row],[Cost Price]],Table_13[[#This Row],[Quantity]])</f>
        <v>384000</v>
      </c>
      <c r="P821" s="27">
        <f t="shared" si="29"/>
        <v>96000</v>
      </c>
    </row>
    <row r="822" spans="1:16" x14ac:dyDescent="0.2">
      <c r="A822" s="33">
        <v>46496</v>
      </c>
      <c r="B822" s="30">
        <f t="shared" si="28"/>
        <v>4</v>
      </c>
      <c r="C822" s="30" t="str">
        <f>_xlfn.IFS(Table_13[[#This Row],[Month]]=1,"JAN",Table_13[[#This Row],[Month]]=2,"FEB",B822=3,"MAR",B822=4,"APR",B822=5,"MAY",B822=6,"JUN",B822=7,"JUL",B822=8,"AUG",Table_13[[#This Row],[Month]]=9,"SEPT",B822=10,"OCT",B822=11,"NOV",B822=12,"DEC")</f>
        <v>APR</v>
      </c>
      <c r="D822" s="2" t="s">
        <v>18</v>
      </c>
      <c r="E822" s="2" t="s">
        <v>26</v>
      </c>
      <c r="F822" s="2" t="s">
        <v>23</v>
      </c>
      <c r="G822" s="2" t="s">
        <v>20</v>
      </c>
      <c r="H822" s="2" t="s">
        <v>40</v>
      </c>
      <c r="I822" s="2" t="s">
        <v>31</v>
      </c>
      <c r="J822" s="15">
        <v>250000</v>
      </c>
      <c r="K822" s="2">
        <v>5</v>
      </c>
      <c r="L822" s="2" t="s">
        <v>35</v>
      </c>
      <c r="M822" s="12">
        <f t="shared" si="27"/>
        <v>200000</v>
      </c>
      <c r="N822" s="10">
        <f>PRODUCT(Table_13[[#This Row],[Unit Price]],Table_13[[#This Row],[Quantity]])</f>
        <v>1250000</v>
      </c>
      <c r="O822" s="16">
        <f>PRODUCT(Table_13[[#This Row],[Cost Price]],Table_13[[#This Row],[Quantity]])</f>
        <v>1000000</v>
      </c>
      <c r="P822" s="27">
        <f t="shared" si="29"/>
        <v>250000</v>
      </c>
    </row>
    <row r="823" spans="1:16" x14ac:dyDescent="0.2">
      <c r="A823" s="33">
        <v>46497</v>
      </c>
      <c r="B823" s="30">
        <f t="shared" si="28"/>
        <v>4</v>
      </c>
      <c r="C823" s="30" t="str">
        <f>_xlfn.IFS(Table_13[[#This Row],[Month]]=1,"JAN",Table_13[[#This Row],[Month]]=2,"FEB",B823=3,"MAR",B823=4,"APR",B823=5,"MAY",B823=6,"JUN",B823=7,"JUL",B823=8,"AUG",Table_13[[#This Row],[Month]]=9,"SEPT",B823=10,"OCT",B823=11,"NOV",B823=12,"DEC")</f>
        <v>APR</v>
      </c>
      <c r="D823" s="2" t="s">
        <v>11</v>
      </c>
      <c r="E823" s="2" t="s">
        <v>12</v>
      </c>
      <c r="F823" s="2" t="s">
        <v>23</v>
      </c>
      <c r="G823" s="2" t="s">
        <v>20</v>
      </c>
      <c r="H823" s="2" t="s">
        <v>34</v>
      </c>
      <c r="I823" s="2" t="s">
        <v>16</v>
      </c>
      <c r="J823" s="15">
        <v>320000</v>
      </c>
      <c r="K823" s="2">
        <v>2</v>
      </c>
      <c r="L823" s="2" t="s">
        <v>39</v>
      </c>
      <c r="M823" s="12">
        <f t="shared" si="27"/>
        <v>256000</v>
      </c>
      <c r="N823" s="10">
        <f>PRODUCT(Table_13[[#This Row],[Unit Price]],Table_13[[#This Row],[Quantity]])</f>
        <v>640000</v>
      </c>
      <c r="O823" s="16">
        <f>PRODUCT(Table_13[[#This Row],[Cost Price]],Table_13[[#This Row],[Quantity]])</f>
        <v>512000</v>
      </c>
      <c r="P823" s="27">
        <f t="shared" si="29"/>
        <v>128000</v>
      </c>
    </row>
    <row r="824" spans="1:16" x14ac:dyDescent="0.2">
      <c r="A824" s="33">
        <v>46498</v>
      </c>
      <c r="B824" s="30">
        <f t="shared" si="28"/>
        <v>4</v>
      </c>
      <c r="C824" s="30" t="str">
        <f>_xlfn.IFS(Table_13[[#This Row],[Month]]=1,"JAN",Table_13[[#This Row],[Month]]=2,"FEB",B824=3,"MAR",B824=4,"APR",B824=5,"MAY",B824=6,"JUN",B824=7,"JUL",B824=8,"AUG",Table_13[[#This Row],[Month]]=9,"SEPT",B824=10,"OCT",B824=11,"NOV",B824=12,"DEC")</f>
        <v>APR</v>
      </c>
      <c r="D824" s="2" t="s">
        <v>25</v>
      </c>
      <c r="E824" s="2" t="s">
        <v>26</v>
      </c>
      <c r="F824" s="2" t="s">
        <v>23</v>
      </c>
      <c r="G824" s="2" t="s">
        <v>14</v>
      </c>
      <c r="H824" s="2" t="s">
        <v>41</v>
      </c>
      <c r="I824" s="2" t="s">
        <v>22</v>
      </c>
      <c r="J824" s="15">
        <v>220000</v>
      </c>
      <c r="K824" s="2">
        <v>5</v>
      </c>
      <c r="L824" s="2" t="s">
        <v>24</v>
      </c>
      <c r="M824" s="12">
        <f t="shared" si="27"/>
        <v>176000</v>
      </c>
      <c r="N824" s="10">
        <f>PRODUCT(Table_13[[#This Row],[Unit Price]],Table_13[[#This Row],[Quantity]])</f>
        <v>1100000</v>
      </c>
      <c r="O824" s="16">
        <f>PRODUCT(Table_13[[#This Row],[Cost Price]],Table_13[[#This Row],[Quantity]])</f>
        <v>880000</v>
      </c>
      <c r="P824" s="27">
        <f t="shared" si="29"/>
        <v>220000</v>
      </c>
    </row>
    <row r="825" spans="1:16" x14ac:dyDescent="0.2">
      <c r="A825" s="33">
        <v>46499</v>
      </c>
      <c r="B825" s="30">
        <f t="shared" si="28"/>
        <v>4</v>
      </c>
      <c r="C825" s="30" t="str">
        <f>_xlfn.IFS(Table_13[[#This Row],[Month]]=1,"JAN",Table_13[[#This Row],[Month]]=2,"FEB",B825=3,"MAR",B825=4,"APR",B825=5,"MAY",B825=6,"JUN",B825=7,"JUL",B825=8,"AUG",Table_13[[#This Row],[Month]]=9,"SEPT",B825=10,"OCT",B825=11,"NOV",B825=12,"DEC")</f>
        <v>APR</v>
      </c>
      <c r="D825" s="2" t="s">
        <v>11</v>
      </c>
      <c r="E825" s="2" t="s">
        <v>19</v>
      </c>
      <c r="F825" s="2" t="s">
        <v>23</v>
      </c>
      <c r="G825" s="2" t="s">
        <v>20</v>
      </c>
      <c r="H825" s="2" t="s">
        <v>40</v>
      </c>
      <c r="I825" s="2" t="s">
        <v>31</v>
      </c>
      <c r="J825" s="15">
        <v>250000</v>
      </c>
      <c r="K825" s="2">
        <v>3</v>
      </c>
      <c r="L825" s="2" t="s">
        <v>17</v>
      </c>
      <c r="M825" s="12">
        <f t="shared" si="27"/>
        <v>200000</v>
      </c>
      <c r="N825" s="10">
        <f>PRODUCT(Table_13[[#This Row],[Unit Price]],Table_13[[#This Row],[Quantity]])</f>
        <v>750000</v>
      </c>
      <c r="O825" s="16">
        <f>PRODUCT(Table_13[[#This Row],[Cost Price]],Table_13[[#This Row],[Quantity]])</f>
        <v>600000</v>
      </c>
      <c r="P825" s="27">
        <f t="shared" si="29"/>
        <v>150000</v>
      </c>
    </row>
    <row r="826" spans="1:16" x14ac:dyDescent="0.2">
      <c r="A826" s="33">
        <v>46500</v>
      </c>
      <c r="B826" s="30">
        <f t="shared" si="28"/>
        <v>4</v>
      </c>
      <c r="C826" s="30" t="str">
        <f>_xlfn.IFS(Table_13[[#This Row],[Month]]=1,"JAN",Table_13[[#This Row],[Month]]=2,"FEB",B826=3,"MAR",B826=4,"APR",B826=5,"MAY",B826=6,"JUN",B826=7,"JUL",B826=8,"AUG",Table_13[[#This Row],[Month]]=9,"SEPT",B826=10,"OCT",B826=11,"NOV",B826=12,"DEC")</f>
        <v>APR</v>
      </c>
      <c r="D826" s="2" t="s">
        <v>11</v>
      </c>
      <c r="E826" s="2" t="s">
        <v>26</v>
      </c>
      <c r="F826" s="2" t="s">
        <v>13</v>
      </c>
      <c r="G826" s="2" t="s">
        <v>20</v>
      </c>
      <c r="H826" s="2" t="s">
        <v>15</v>
      </c>
      <c r="I826" s="2" t="s">
        <v>16</v>
      </c>
      <c r="J826" s="15">
        <v>85000</v>
      </c>
      <c r="K826" s="2">
        <v>10</v>
      </c>
      <c r="L826" s="2" t="s">
        <v>28</v>
      </c>
      <c r="M826" s="12">
        <f t="shared" si="27"/>
        <v>68000</v>
      </c>
      <c r="N826" s="10">
        <f>PRODUCT(Table_13[[#This Row],[Unit Price]],Table_13[[#This Row],[Quantity]])</f>
        <v>850000</v>
      </c>
      <c r="O826" s="16">
        <f>PRODUCT(Table_13[[#This Row],[Cost Price]],Table_13[[#This Row],[Quantity]])</f>
        <v>680000</v>
      </c>
      <c r="P826" s="27">
        <f t="shared" si="29"/>
        <v>170000</v>
      </c>
    </row>
    <row r="827" spans="1:16" x14ac:dyDescent="0.2">
      <c r="A827" s="33">
        <v>46501</v>
      </c>
      <c r="B827" s="30">
        <f t="shared" si="28"/>
        <v>4</v>
      </c>
      <c r="C827" s="30" t="str">
        <f>_xlfn.IFS(Table_13[[#This Row],[Month]]=1,"JAN",Table_13[[#This Row],[Month]]=2,"FEB",B827=3,"MAR",B827=4,"APR",B827=5,"MAY",B827=6,"JUN",B827=7,"JUL",B827=8,"AUG",Table_13[[#This Row],[Month]]=9,"SEPT",B827=10,"OCT",B827=11,"NOV",B827=12,"DEC")</f>
        <v>APR</v>
      </c>
      <c r="D827" s="2" t="s">
        <v>25</v>
      </c>
      <c r="E827" s="2" t="s">
        <v>12</v>
      </c>
      <c r="F827" s="2" t="s">
        <v>13</v>
      </c>
      <c r="G827" s="2" t="s">
        <v>20</v>
      </c>
      <c r="H827" s="2" t="s">
        <v>38</v>
      </c>
      <c r="I827" s="2" t="s">
        <v>31</v>
      </c>
      <c r="J827" s="15">
        <v>420000</v>
      </c>
      <c r="K827" s="2">
        <v>6</v>
      </c>
      <c r="L827" s="2" t="s">
        <v>35</v>
      </c>
      <c r="M827" s="12">
        <f t="shared" si="27"/>
        <v>336000</v>
      </c>
      <c r="N827" s="10">
        <f>PRODUCT(Table_13[[#This Row],[Unit Price]],Table_13[[#This Row],[Quantity]])</f>
        <v>2520000</v>
      </c>
      <c r="O827" s="16">
        <f>PRODUCT(Table_13[[#This Row],[Cost Price]],Table_13[[#This Row],[Quantity]])</f>
        <v>2016000</v>
      </c>
      <c r="P827" s="27">
        <f t="shared" si="29"/>
        <v>504000</v>
      </c>
    </row>
    <row r="828" spans="1:16" x14ac:dyDescent="0.2">
      <c r="A828" s="33">
        <v>46502</v>
      </c>
      <c r="B828" s="30">
        <f t="shared" si="28"/>
        <v>4</v>
      </c>
      <c r="C828" s="30" t="str">
        <f>_xlfn.IFS(Table_13[[#This Row],[Month]]=1,"JAN",Table_13[[#This Row],[Month]]=2,"FEB",B828=3,"MAR",B828=4,"APR",B828=5,"MAY",B828=6,"JUN",B828=7,"JUL",B828=8,"AUG",Table_13[[#This Row],[Month]]=9,"SEPT",B828=10,"OCT",B828=11,"NOV",B828=12,"DEC")</f>
        <v>APR</v>
      </c>
      <c r="D828" s="2" t="s">
        <v>29</v>
      </c>
      <c r="E828" s="2" t="s">
        <v>19</v>
      </c>
      <c r="F828" s="2" t="s">
        <v>13</v>
      </c>
      <c r="G828" s="2" t="s">
        <v>20</v>
      </c>
      <c r="H828" s="2" t="s">
        <v>36</v>
      </c>
      <c r="I828" s="2" t="s">
        <v>31</v>
      </c>
      <c r="J828" s="15">
        <v>150000</v>
      </c>
      <c r="K828" s="2">
        <v>5</v>
      </c>
      <c r="L828" s="2" t="s">
        <v>24</v>
      </c>
      <c r="M828" s="12">
        <f t="shared" si="27"/>
        <v>120000</v>
      </c>
      <c r="N828" s="10">
        <f>PRODUCT(Table_13[[#This Row],[Unit Price]],Table_13[[#This Row],[Quantity]])</f>
        <v>750000</v>
      </c>
      <c r="O828" s="16">
        <f>PRODUCT(Table_13[[#This Row],[Cost Price]],Table_13[[#This Row],[Quantity]])</f>
        <v>600000</v>
      </c>
      <c r="P828" s="27">
        <f t="shared" si="29"/>
        <v>150000</v>
      </c>
    </row>
    <row r="829" spans="1:16" x14ac:dyDescent="0.2">
      <c r="A829" s="33">
        <v>46503</v>
      </c>
      <c r="B829" s="30">
        <f t="shared" si="28"/>
        <v>4</v>
      </c>
      <c r="C829" s="30" t="str">
        <f>_xlfn.IFS(Table_13[[#This Row],[Month]]=1,"JAN",Table_13[[#This Row],[Month]]=2,"FEB",B829=3,"MAR",B829=4,"APR",B829=5,"MAY",B829=6,"JUN",B829=7,"JUL",B829=8,"AUG",Table_13[[#This Row],[Month]]=9,"SEPT",B829=10,"OCT",B829=11,"NOV",B829=12,"DEC")</f>
        <v>APR</v>
      </c>
      <c r="D829" s="2" t="s">
        <v>29</v>
      </c>
      <c r="E829" s="2" t="s">
        <v>12</v>
      </c>
      <c r="F829" s="2" t="s">
        <v>13</v>
      </c>
      <c r="G829" s="2" t="s">
        <v>20</v>
      </c>
      <c r="H829" s="2" t="s">
        <v>34</v>
      </c>
      <c r="I829" s="2" t="s">
        <v>16</v>
      </c>
      <c r="J829" s="15">
        <v>320000</v>
      </c>
      <c r="K829" s="2">
        <v>3</v>
      </c>
      <c r="L829" s="2" t="s">
        <v>37</v>
      </c>
      <c r="M829" s="12">
        <f t="shared" si="27"/>
        <v>256000</v>
      </c>
      <c r="N829" s="10">
        <f>PRODUCT(Table_13[[#This Row],[Unit Price]],Table_13[[#This Row],[Quantity]])</f>
        <v>960000</v>
      </c>
      <c r="O829" s="16">
        <f>PRODUCT(Table_13[[#This Row],[Cost Price]],Table_13[[#This Row],[Quantity]])</f>
        <v>768000</v>
      </c>
      <c r="P829" s="27">
        <f t="shared" si="29"/>
        <v>192000</v>
      </c>
    </row>
    <row r="830" spans="1:16" x14ac:dyDescent="0.2">
      <c r="A830" s="33">
        <v>46504</v>
      </c>
      <c r="B830" s="30">
        <f t="shared" si="28"/>
        <v>4</v>
      </c>
      <c r="C830" s="30" t="str">
        <f>_xlfn.IFS(Table_13[[#This Row],[Month]]=1,"JAN",Table_13[[#This Row],[Month]]=2,"FEB",B830=3,"MAR",B830=4,"APR",B830=5,"MAY",B830=6,"JUN",B830=7,"JUL",B830=8,"AUG",Table_13[[#This Row],[Month]]=9,"SEPT",B830=10,"OCT",B830=11,"NOV",B830=12,"DEC")</f>
        <v>APR</v>
      </c>
      <c r="D830" s="2" t="s">
        <v>29</v>
      </c>
      <c r="E830" s="2" t="s">
        <v>32</v>
      </c>
      <c r="F830" s="2" t="s">
        <v>23</v>
      </c>
      <c r="G830" s="2" t="s">
        <v>14</v>
      </c>
      <c r="H830" s="2" t="s">
        <v>21</v>
      </c>
      <c r="I830" s="2" t="s">
        <v>22</v>
      </c>
      <c r="J830" s="15">
        <v>30000</v>
      </c>
      <c r="K830" s="2">
        <v>1</v>
      </c>
      <c r="L830" s="2" t="s">
        <v>35</v>
      </c>
      <c r="M830" s="12">
        <f t="shared" si="27"/>
        <v>24000</v>
      </c>
      <c r="N830" s="10">
        <f>PRODUCT(Table_13[[#This Row],[Unit Price]],Table_13[[#This Row],[Quantity]])</f>
        <v>30000</v>
      </c>
      <c r="O830" s="16">
        <f>PRODUCT(Table_13[[#This Row],[Cost Price]],Table_13[[#This Row],[Quantity]])</f>
        <v>24000</v>
      </c>
      <c r="P830" s="27">
        <f t="shared" si="29"/>
        <v>6000</v>
      </c>
    </row>
    <row r="831" spans="1:16" x14ac:dyDescent="0.2">
      <c r="A831" s="33">
        <v>46505</v>
      </c>
      <c r="B831" s="30">
        <f t="shared" si="28"/>
        <v>4</v>
      </c>
      <c r="C831" s="30" t="str">
        <f>_xlfn.IFS(Table_13[[#This Row],[Month]]=1,"JAN",Table_13[[#This Row],[Month]]=2,"FEB",B831=3,"MAR",B831=4,"APR",B831=5,"MAY",B831=6,"JUN",B831=7,"JUL",B831=8,"AUG",Table_13[[#This Row],[Month]]=9,"SEPT",B831=10,"OCT",B831=11,"NOV",B831=12,"DEC")</f>
        <v>APR</v>
      </c>
      <c r="D831" s="2" t="s">
        <v>11</v>
      </c>
      <c r="E831" s="2" t="s">
        <v>26</v>
      </c>
      <c r="F831" s="2" t="s">
        <v>13</v>
      </c>
      <c r="G831" s="2" t="s">
        <v>14</v>
      </c>
      <c r="H831" s="2" t="s">
        <v>33</v>
      </c>
      <c r="I831" s="2" t="s">
        <v>22</v>
      </c>
      <c r="J831" s="15">
        <v>180000</v>
      </c>
      <c r="K831" s="2">
        <v>10</v>
      </c>
      <c r="L831" s="2" t="s">
        <v>35</v>
      </c>
      <c r="M831" s="12">
        <f t="shared" si="27"/>
        <v>144000</v>
      </c>
      <c r="N831" s="10">
        <f>PRODUCT(Table_13[[#This Row],[Unit Price]],Table_13[[#This Row],[Quantity]])</f>
        <v>1800000</v>
      </c>
      <c r="O831" s="16">
        <f>PRODUCT(Table_13[[#This Row],[Cost Price]],Table_13[[#This Row],[Quantity]])</f>
        <v>1440000</v>
      </c>
      <c r="P831" s="27">
        <f t="shared" si="29"/>
        <v>360000</v>
      </c>
    </row>
    <row r="832" spans="1:16" x14ac:dyDescent="0.2">
      <c r="A832" s="33">
        <v>46506</v>
      </c>
      <c r="B832" s="30">
        <f t="shared" si="28"/>
        <v>4</v>
      </c>
      <c r="C832" s="30" t="str">
        <f>_xlfn.IFS(Table_13[[#This Row],[Month]]=1,"JAN",Table_13[[#This Row],[Month]]=2,"FEB",B832=3,"MAR",B832=4,"APR",B832=5,"MAY",B832=6,"JUN",B832=7,"JUL",B832=8,"AUG",Table_13[[#This Row],[Month]]=9,"SEPT",B832=10,"OCT",B832=11,"NOV",B832=12,"DEC")</f>
        <v>APR</v>
      </c>
      <c r="D832" s="2" t="s">
        <v>25</v>
      </c>
      <c r="E832" s="2" t="s">
        <v>12</v>
      </c>
      <c r="F832" s="2" t="s">
        <v>23</v>
      </c>
      <c r="G832" s="2" t="s">
        <v>20</v>
      </c>
      <c r="H832" s="2" t="s">
        <v>33</v>
      </c>
      <c r="I832" s="2" t="s">
        <v>22</v>
      </c>
      <c r="J832" s="15">
        <v>180000</v>
      </c>
      <c r="K832" s="2">
        <v>3</v>
      </c>
      <c r="L832" s="2" t="s">
        <v>17</v>
      </c>
      <c r="M832" s="12">
        <f t="shared" si="27"/>
        <v>144000</v>
      </c>
      <c r="N832" s="10">
        <f>PRODUCT(Table_13[[#This Row],[Unit Price]],Table_13[[#This Row],[Quantity]])</f>
        <v>540000</v>
      </c>
      <c r="O832" s="16">
        <f>PRODUCT(Table_13[[#This Row],[Cost Price]],Table_13[[#This Row],[Quantity]])</f>
        <v>432000</v>
      </c>
      <c r="P832" s="27">
        <f t="shared" si="29"/>
        <v>108000</v>
      </c>
    </row>
    <row r="833" spans="1:16" x14ac:dyDescent="0.2">
      <c r="A833" s="33">
        <v>46507</v>
      </c>
      <c r="B833" s="30">
        <f t="shared" si="28"/>
        <v>4</v>
      </c>
      <c r="C833" s="30" t="str">
        <f>_xlfn.IFS(Table_13[[#This Row],[Month]]=1,"JAN",Table_13[[#This Row],[Month]]=2,"FEB",B833=3,"MAR",B833=4,"APR",B833=5,"MAY",B833=6,"JUN",B833=7,"JUL",B833=8,"AUG",Table_13[[#This Row],[Month]]=9,"SEPT",B833=10,"OCT",B833=11,"NOV",B833=12,"DEC")</f>
        <v>APR</v>
      </c>
      <c r="D833" s="2" t="s">
        <v>18</v>
      </c>
      <c r="E833" s="2" t="s">
        <v>12</v>
      </c>
      <c r="F833" s="2" t="s">
        <v>23</v>
      </c>
      <c r="G833" s="2" t="s">
        <v>14</v>
      </c>
      <c r="H833" s="2" t="s">
        <v>38</v>
      </c>
      <c r="I833" s="2" t="s">
        <v>31</v>
      </c>
      <c r="J833" s="15">
        <v>420000</v>
      </c>
      <c r="K833" s="2">
        <v>3</v>
      </c>
      <c r="L833" s="2" t="s">
        <v>24</v>
      </c>
      <c r="M833" s="12">
        <f t="shared" si="27"/>
        <v>336000</v>
      </c>
      <c r="N833" s="10">
        <f>PRODUCT(Table_13[[#This Row],[Unit Price]],Table_13[[#This Row],[Quantity]])</f>
        <v>1260000</v>
      </c>
      <c r="O833" s="16">
        <f>PRODUCT(Table_13[[#This Row],[Cost Price]],Table_13[[#This Row],[Quantity]])</f>
        <v>1008000</v>
      </c>
      <c r="P833" s="27">
        <f t="shared" si="29"/>
        <v>252000</v>
      </c>
    </row>
    <row r="834" spans="1:16" x14ac:dyDescent="0.2">
      <c r="A834" s="33">
        <v>46508</v>
      </c>
      <c r="B834" s="30">
        <f t="shared" ref="B834:B897" si="30">MONTH(A834)</f>
        <v>5</v>
      </c>
      <c r="C834" s="30" t="str">
        <f>_xlfn.IFS(Table_13[[#This Row],[Month]]=1,"JAN",Table_13[[#This Row],[Month]]=2,"FEB",B834=3,"MAR",B834=4,"APR",B834=5,"MAY",B834=6,"JUN",B834=7,"JUL",B834=8,"AUG",Table_13[[#This Row],[Month]]=9,"SEPT",B834=10,"OCT",B834=11,"NOV",B834=12,"DEC")</f>
        <v>MAY</v>
      </c>
      <c r="D834" s="2" t="s">
        <v>18</v>
      </c>
      <c r="E834" s="2" t="s">
        <v>19</v>
      </c>
      <c r="F834" s="2" t="s">
        <v>13</v>
      </c>
      <c r="G834" s="2" t="s">
        <v>14</v>
      </c>
      <c r="H834" s="2" t="s">
        <v>41</v>
      </c>
      <c r="I834" s="2" t="s">
        <v>22</v>
      </c>
      <c r="J834" s="15">
        <v>220000</v>
      </c>
      <c r="K834" s="2">
        <v>6</v>
      </c>
      <c r="L834" s="2" t="s">
        <v>37</v>
      </c>
      <c r="M834" s="12">
        <f t="shared" si="27"/>
        <v>176000</v>
      </c>
      <c r="N834" s="10">
        <f>PRODUCT(Table_13[[#This Row],[Unit Price]],Table_13[[#This Row],[Quantity]])</f>
        <v>1320000</v>
      </c>
      <c r="O834" s="16">
        <f>PRODUCT(Table_13[[#This Row],[Cost Price]],Table_13[[#This Row],[Quantity]])</f>
        <v>1056000</v>
      </c>
      <c r="P834" s="27">
        <f t="shared" ref="P834:P897" si="31">N834-O834</f>
        <v>264000</v>
      </c>
    </row>
    <row r="835" spans="1:16" x14ac:dyDescent="0.2">
      <c r="A835" s="33">
        <v>46509</v>
      </c>
      <c r="B835" s="30">
        <f t="shared" si="30"/>
        <v>5</v>
      </c>
      <c r="C835" s="30" t="str">
        <f>_xlfn.IFS(Table_13[[#This Row],[Month]]=1,"JAN",Table_13[[#This Row],[Month]]=2,"FEB",B835=3,"MAR",B835=4,"APR",B835=5,"MAY",B835=6,"JUN",B835=7,"JUL",B835=8,"AUG",Table_13[[#This Row],[Month]]=9,"SEPT",B835=10,"OCT",B835=11,"NOV",B835=12,"DEC")</f>
        <v>MAY</v>
      </c>
      <c r="D835" s="2" t="s">
        <v>25</v>
      </c>
      <c r="E835" s="2" t="s">
        <v>26</v>
      </c>
      <c r="F835" s="2" t="s">
        <v>13</v>
      </c>
      <c r="G835" s="2" t="s">
        <v>14</v>
      </c>
      <c r="H835" s="2" t="s">
        <v>27</v>
      </c>
      <c r="I835" s="2" t="s">
        <v>22</v>
      </c>
      <c r="J835" s="15">
        <v>60000</v>
      </c>
      <c r="K835" s="2">
        <v>10</v>
      </c>
      <c r="L835" s="2" t="s">
        <v>35</v>
      </c>
      <c r="M835" s="12">
        <f t="shared" si="27"/>
        <v>48000</v>
      </c>
      <c r="N835" s="10">
        <f>PRODUCT(Table_13[[#This Row],[Unit Price]],Table_13[[#This Row],[Quantity]])</f>
        <v>600000</v>
      </c>
      <c r="O835" s="16">
        <f>PRODUCT(Table_13[[#This Row],[Cost Price]],Table_13[[#This Row],[Quantity]])</f>
        <v>480000</v>
      </c>
      <c r="P835" s="27">
        <f t="shared" si="31"/>
        <v>120000</v>
      </c>
    </row>
    <row r="836" spans="1:16" x14ac:dyDescent="0.2">
      <c r="A836" s="33">
        <v>46510</v>
      </c>
      <c r="B836" s="30">
        <f t="shared" si="30"/>
        <v>5</v>
      </c>
      <c r="C836" s="30" t="str">
        <f>_xlfn.IFS(Table_13[[#This Row],[Month]]=1,"JAN",Table_13[[#This Row],[Month]]=2,"FEB",B836=3,"MAR",B836=4,"APR",B836=5,"MAY",B836=6,"JUN",B836=7,"JUL",B836=8,"AUG",Table_13[[#This Row],[Month]]=9,"SEPT",B836=10,"OCT",B836=11,"NOV",B836=12,"DEC")</f>
        <v>MAY</v>
      </c>
      <c r="D836" s="2" t="s">
        <v>25</v>
      </c>
      <c r="E836" s="2" t="s">
        <v>19</v>
      </c>
      <c r="F836" s="2" t="s">
        <v>13</v>
      </c>
      <c r="G836" s="2" t="s">
        <v>20</v>
      </c>
      <c r="H836" s="2" t="s">
        <v>33</v>
      </c>
      <c r="I836" s="2" t="s">
        <v>22</v>
      </c>
      <c r="J836" s="15">
        <v>180000</v>
      </c>
      <c r="K836" s="2">
        <v>10</v>
      </c>
      <c r="L836" s="2" t="s">
        <v>28</v>
      </c>
      <c r="M836" s="12">
        <f t="shared" si="27"/>
        <v>144000</v>
      </c>
      <c r="N836" s="10">
        <f>PRODUCT(Table_13[[#This Row],[Unit Price]],Table_13[[#This Row],[Quantity]])</f>
        <v>1800000</v>
      </c>
      <c r="O836" s="16">
        <f>PRODUCT(Table_13[[#This Row],[Cost Price]],Table_13[[#This Row],[Quantity]])</f>
        <v>1440000</v>
      </c>
      <c r="P836" s="27">
        <f t="shared" si="31"/>
        <v>360000</v>
      </c>
    </row>
    <row r="837" spans="1:16" x14ac:dyDescent="0.2">
      <c r="A837" s="33">
        <v>46511</v>
      </c>
      <c r="B837" s="30">
        <f t="shared" si="30"/>
        <v>5</v>
      </c>
      <c r="C837" s="30" t="str">
        <f>_xlfn.IFS(Table_13[[#This Row],[Month]]=1,"JAN",Table_13[[#This Row],[Month]]=2,"FEB",B837=3,"MAR",B837=4,"APR",B837=5,"MAY",B837=6,"JUN",B837=7,"JUL",B837=8,"AUG",Table_13[[#This Row],[Month]]=9,"SEPT",B837=10,"OCT",B837=11,"NOV",B837=12,"DEC")</f>
        <v>MAY</v>
      </c>
      <c r="D837" s="2" t="s">
        <v>18</v>
      </c>
      <c r="E837" s="2" t="s">
        <v>12</v>
      </c>
      <c r="F837" s="2" t="s">
        <v>23</v>
      </c>
      <c r="G837" s="2" t="s">
        <v>20</v>
      </c>
      <c r="H837" s="2" t="s">
        <v>41</v>
      </c>
      <c r="I837" s="2" t="s">
        <v>22</v>
      </c>
      <c r="J837" s="15">
        <v>220000</v>
      </c>
      <c r="K837" s="2">
        <v>4</v>
      </c>
      <c r="L837" s="2" t="s">
        <v>24</v>
      </c>
      <c r="M837" s="12">
        <f t="shared" si="27"/>
        <v>176000</v>
      </c>
      <c r="N837" s="10">
        <f>PRODUCT(Table_13[[#This Row],[Unit Price]],Table_13[[#This Row],[Quantity]])</f>
        <v>880000</v>
      </c>
      <c r="O837" s="16">
        <f>PRODUCT(Table_13[[#This Row],[Cost Price]],Table_13[[#This Row],[Quantity]])</f>
        <v>704000</v>
      </c>
      <c r="P837" s="27">
        <f t="shared" si="31"/>
        <v>176000</v>
      </c>
    </row>
    <row r="838" spans="1:16" x14ac:dyDescent="0.2">
      <c r="A838" s="33">
        <v>46512</v>
      </c>
      <c r="B838" s="30">
        <f t="shared" si="30"/>
        <v>5</v>
      </c>
      <c r="C838" s="30" t="str">
        <f>_xlfn.IFS(Table_13[[#This Row],[Month]]=1,"JAN",Table_13[[#This Row],[Month]]=2,"FEB",B838=3,"MAR",B838=4,"APR",B838=5,"MAY",B838=6,"JUN",B838=7,"JUL",B838=8,"AUG",Table_13[[#This Row],[Month]]=9,"SEPT",B838=10,"OCT",B838=11,"NOV",B838=12,"DEC")</f>
        <v>MAY</v>
      </c>
      <c r="D838" s="2" t="s">
        <v>25</v>
      </c>
      <c r="E838" s="2" t="s">
        <v>32</v>
      </c>
      <c r="F838" s="2" t="s">
        <v>23</v>
      </c>
      <c r="G838" s="2" t="s">
        <v>20</v>
      </c>
      <c r="H838" s="2" t="s">
        <v>40</v>
      </c>
      <c r="I838" s="2" t="s">
        <v>31</v>
      </c>
      <c r="J838" s="15">
        <v>250000</v>
      </c>
      <c r="K838" s="2">
        <v>4</v>
      </c>
      <c r="L838" s="2" t="s">
        <v>35</v>
      </c>
      <c r="M838" s="12">
        <f t="shared" si="27"/>
        <v>200000</v>
      </c>
      <c r="N838" s="10">
        <f>PRODUCT(Table_13[[#This Row],[Unit Price]],Table_13[[#This Row],[Quantity]])</f>
        <v>1000000</v>
      </c>
      <c r="O838" s="16">
        <f>PRODUCT(Table_13[[#This Row],[Cost Price]],Table_13[[#This Row],[Quantity]])</f>
        <v>800000</v>
      </c>
      <c r="P838" s="27">
        <f t="shared" si="31"/>
        <v>200000</v>
      </c>
    </row>
    <row r="839" spans="1:16" x14ac:dyDescent="0.2">
      <c r="A839" s="33">
        <v>46513</v>
      </c>
      <c r="B839" s="30">
        <f t="shared" si="30"/>
        <v>5</v>
      </c>
      <c r="C839" s="30" t="str">
        <f>_xlfn.IFS(Table_13[[#This Row],[Month]]=1,"JAN",Table_13[[#This Row],[Month]]=2,"FEB",B839=3,"MAR",B839=4,"APR",B839=5,"MAY",B839=6,"JUN",B839=7,"JUL",B839=8,"AUG",Table_13[[#This Row],[Month]]=9,"SEPT",B839=10,"OCT",B839=11,"NOV",B839=12,"DEC")</f>
        <v>MAY</v>
      </c>
      <c r="D839" s="2" t="s">
        <v>25</v>
      </c>
      <c r="E839" s="2" t="s">
        <v>19</v>
      </c>
      <c r="F839" s="2" t="s">
        <v>23</v>
      </c>
      <c r="G839" s="2" t="s">
        <v>20</v>
      </c>
      <c r="H839" s="2" t="s">
        <v>21</v>
      </c>
      <c r="I839" s="2" t="s">
        <v>22</v>
      </c>
      <c r="J839" s="15">
        <v>30000</v>
      </c>
      <c r="K839" s="2">
        <v>2</v>
      </c>
      <c r="L839" s="2" t="s">
        <v>39</v>
      </c>
      <c r="M839" s="12">
        <f t="shared" si="27"/>
        <v>24000</v>
      </c>
      <c r="N839" s="10">
        <f>PRODUCT(Table_13[[#This Row],[Unit Price]],Table_13[[#This Row],[Quantity]])</f>
        <v>60000</v>
      </c>
      <c r="O839" s="16">
        <f>PRODUCT(Table_13[[#This Row],[Cost Price]],Table_13[[#This Row],[Quantity]])</f>
        <v>48000</v>
      </c>
      <c r="P839" s="27">
        <f t="shared" si="31"/>
        <v>12000</v>
      </c>
    </row>
    <row r="840" spans="1:16" x14ac:dyDescent="0.2">
      <c r="A840" s="33">
        <v>46514</v>
      </c>
      <c r="B840" s="30">
        <f t="shared" si="30"/>
        <v>5</v>
      </c>
      <c r="C840" s="30" t="str">
        <f>_xlfn.IFS(Table_13[[#This Row],[Month]]=1,"JAN",Table_13[[#This Row],[Month]]=2,"FEB",B840=3,"MAR",B840=4,"APR",B840=5,"MAY",B840=6,"JUN",B840=7,"JUL",B840=8,"AUG",Table_13[[#This Row],[Month]]=9,"SEPT",B840=10,"OCT",B840=11,"NOV",B840=12,"DEC")</f>
        <v>MAY</v>
      </c>
      <c r="D840" s="2" t="s">
        <v>11</v>
      </c>
      <c r="E840" s="2" t="s">
        <v>26</v>
      </c>
      <c r="F840" s="2" t="s">
        <v>13</v>
      </c>
      <c r="G840" s="2" t="s">
        <v>20</v>
      </c>
      <c r="H840" s="2" t="s">
        <v>33</v>
      </c>
      <c r="I840" s="2" t="s">
        <v>22</v>
      </c>
      <c r="J840" s="15">
        <v>180000</v>
      </c>
      <c r="K840" s="2">
        <v>6</v>
      </c>
      <c r="L840" s="2" t="s">
        <v>28</v>
      </c>
      <c r="M840" s="12">
        <f t="shared" si="27"/>
        <v>144000</v>
      </c>
      <c r="N840" s="10">
        <f>PRODUCT(Table_13[[#This Row],[Unit Price]],Table_13[[#This Row],[Quantity]])</f>
        <v>1080000</v>
      </c>
      <c r="O840" s="16">
        <f>PRODUCT(Table_13[[#This Row],[Cost Price]],Table_13[[#This Row],[Quantity]])</f>
        <v>864000</v>
      </c>
      <c r="P840" s="27">
        <f t="shared" si="31"/>
        <v>216000</v>
      </c>
    </row>
    <row r="841" spans="1:16" x14ac:dyDescent="0.2">
      <c r="A841" s="33">
        <v>46515</v>
      </c>
      <c r="B841" s="30">
        <f t="shared" si="30"/>
        <v>5</v>
      </c>
      <c r="C841" s="30" t="str">
        <f>_xlfn.IFS(Table_13[[#This Row],[Month]]=1,"JAN",Table_13[[#This Row],[Month]]=2,"FEB",B841=3,"MAR",B841=4,"APR",B841=5,"MAY",B841=6,"JUN",B841=7,"JUL",B841=8,"AUG",Table_13[[#This Row],[Month]]=9,"SEPT",B841=10,"OCT",B841=11,"NOV",B841=12,"DEC")</f>
        <v>MAY</v>
      </c>
      <c r="D841" s="2" t="s">
        <v>25</v>
      </c>
      <c r="E841" s="2" t="s">
        <v>32</v>
      </c>
      <c r="F841" s="2" t="s">
        <v>23</v>
      </c>
      <c r="G841" s="2" t="s">
        <v>20</v>
      </c>
      <c r="H841" s="2" t="s">
        <v>33</v>
      </c>
      <c r="I841" s="2" t="s">
        <v>22</v>
      </c>
      <c r="J841" s="15">
        <v>180000</v>
      </c>
      <c r="K841" s="2">
        <v>8</v>
      </c>
      <c r="L841" s="2" t="s">
        <v>39</v>
      </c>
      <c r="M841" s="12">
        <f t="shared" si="27"/>
        <v>144000</v>
      </c>
      <c r="N841" s="10">
        <f>PRODUCT(Table_13[[#This Row],[Unit Price]],Table_13[[#This Row],[Quantity]])</f>
        <v>1440000</v>
      </c>
      <c r="O841" s="16">
        <f>PRODUCT(Table_13[[#This Row],[Cost Price]],Table_13[[#This Row],[Quantity]])</f>
        <v>1152000</v>
      </c>
      <c r="P841" s="27">
        <f t="shared" si="31"/>
        <v>288000</v>
      </c>
    </row>
    <row r="842" spans="1:16" x14ac:dyDescent="0.2">
      <c r="A842" s="33">
        <v>46516</v>
      </c>
      <c r="B842" s="30">
        <f t="shared" si="30"/>
        <v>5</v>
      </c>
      <c r="C842" s="30" t="str">
        <f>_xlfn.IFS(Table_13[[#This Row],[Month]]=1,"JAN",Table_13[[#This Row],[Month]]=2,"FEB",B842=3,"MAR",B842=4,"APR",B842=5,"MAY",B842=6,"JUN",B842=7,"JUL",B842=8,"AUG",Table_13[[#This Row],[Month]]=9,"SEPT",B842=10,"OCT",B842=11,"NOV",B842=12,"DEC")</f>
        <v>MAY</v>
      </c>
      <c r="D842" s="2" t="s">
        <v>11</v>
      </c>
      <c r="E842" s="2" t="s">
        <v>19</v>
      </c>
      <c r="F842" s="2" t="s">
        <v>23</v>
      </c>
      <c r="G842" s="2" t="s">
        <v>20</v>
      </c>
      <c r="H842" s="2" t="s">
        <v>38</v>
      </c>
      <c r="I842" s="2" t="s">
        <v>31</v>
      </c>
      <c r="J842" s="15">
        <v>420000</v>
      </c>
      <c r="K842" s="2">
        <v>3</v>
      </c>
      <c r="L842" s="2" t="s">
        <v>17</v>
      </c>
      <c r="M842" s="12">
        <f t="shared" si="27"/>
        <v>336000</v>
      </c>
      <c r="N842" s="10">
        <f>PRODUCT(Table_13[[#This Row],[Unit Price]],Table_13[[#This Row],[Quantity]])</f>
        <v>1260000</v>
      </c>
      <c r="O842" s="16">
        <f>PRODUCT(Table_13[[#This Row],[Cost Price]],Table_13[[#This Row],[Quantity]])</f>
        <v>1008000</v>
      </c>
      <c r="P842" s="27">
        <f t="shared" si="31"/>
        <v>252000</v>
      </c>
    </row>
    <row r="843" spans="1:16" x14ac:dyDescent="0.2">
      <c r="A843" s="33">
        <v>46517</v>
      </c>
      <c r="B843" s="30">
        <f t="shared" si="30"/>
        <v>5</v>
      </c>
      <c r="C843" s="30" t="str">
        <f>_xlfn.IFS(Table_13[[#This Row],[Month]]=1,"JAN",Table_13[[#This Row],[Month]]=2,"FEB",B843=3,"MAR",B843=4,"APR",B843=5,"MAY",B843=6,"JUN",B843=7,"JUL",B843=8,"AUG",Table_13[[#This Row],[Month]]=9,"SEPT",B843=10,"OCT",B843=11,"NOV",B843=12,"DEC")</f>
        <v>MAY</v>
      </c>
      <c r="D843" s="2" t="s">
        <v>29</v>
      </c>
      <c r="E843" s="2" t="s">
        <v>26</v>
      </c>
      <c r="F843" s="2" t="s">
        <v>23</v>
      </c>
      <c r="G843" s="2" t="s">
        <v>14</v>
      </c>
      <c r="H843" s="2" t="s">
        <v>21</v>
      </c>
      <c r="I843" s="2" t="s">
        <v>22</v>
      </c>
      <c r="J843" s="15">
        <v>30000</v>
      </c>
      <c r="K843" s="2">
        <v>10</v>
      </c>
      <c r="L843" s="2" t="s">
        <v>28</v>
      </c>
      <c r="M843" s="12">
        <f t="shared" si="27"/>
        <v>24000</v>
      </c>
      <c r="N843" s="10">
        <f>PRODUCT(Table_13[[#This Row],[Unit Price]],Table_13[[#This Row],[Quantity]])</f>
        <v>300000</v>
      </c>
      <c r="O843" s="16">
        <f>PRODUCT(Table_13[[#This Row],[Cost Price]],Table_13[[#This Row],[Quantity]])</f>
        <v>240000</v>
      </c>
      <c r="P843" s="27">
        <f t="shared" si="31"/>
        <v>60000</v>
      </c>
    </row>
    <row r="844" spans="1:16" x14ac:dyDescent="0.2">
      <c r="A844" s="33">
        <v>46518</v>
      </c>
      <c r="B844" s="30">
        <f t="shared" si="30"/>
        <v>5</v>
      </c>
      <c r="C844" s="30" t="str">
        <f>_xlfn.IFS(Table_13[[#This Row],[Month]]=1,"JAN",Table_13[[#This Row],[Month]]=2,"FEB",B844=3,"MAR",B844=4,"APR",B844=5,"MAY",B844=6,"JUN",B844=7,"JUL",B844=8,"AUG",Table_13[[#This Row],[Month]]=9,"SEPT",B844=10,"OCT",B844=11,"NOV",B844=12,"DEC")</f>
        <v>MAY</v>
      </c>
      <c r="D844" s="2" t="s">
        <v>18</v>
      </c>
      <c r="E844" s="2" t="s">
        <v>26</v>
      </c>
      <c r="F844" s="2" t="s">
        <v>23</v>
      </c>
      <c r="G844" s="2" t="s">
        <v>14</v>
      </c>
      <c r="H844" s="2" t="s">
        <v>15</v>
      </c>
      <c r="I844" s="2" t="s">
        <v>16</v>
      </c>
      <c r="J844" s="15">
        <v>85000</v>
      </c>
      <c r="K844" s="2">
        <v>7</v>
      </c>
      <c r="L844" s="2" t="s">
        <v>39</v>
      </c>
      <c r="M844" s="12">
        <f t="shared" si="27"/>
        <v>68000</v>
      </c>
      <c r="N844" s="10">
        <f>PRODUCT(Table_13[[#This Row],[Unit Price]],Table_13[[#This Row],[Quantity]])</f>
        <v>595000</v>
      </c>
      <c r="O844" s="16">
        <f>PRODUCT(Table_13[[#This Row],[Cost Price]],Table_13[[#This Row],[Quantity]])</f>
        <v>476000</v>
      </c>
      <c r="P844" s="27">
        <f t="shared" si="31"/>
        <v>119000</v>
      </c>
    </row>
    <row r="845" spans="1:16" x14ac:dyDescent="0.2">
      <c r="A845" s="33">
        <v>46519</v>
      </c>
      <c r="B845" s="30">
        <f t="shared" si="30"/>
        <v>5</v>
      </c>
      <c r="C845" s="30" t="str">
        <f>_xlfn.IFS(Table_13[[#This Row],[Month]]=1,"JAN",Table_13[[#This Row],[Month]]=2,"FEB",B845=3,"MAR",B845=4,"APR",B845=5,"MAY",B845=6,"JUN",B845=7,"JUL",B845=8,"AUG",Table_13[[#This Row],[Month]]=9,"SEPT",B845=10,"OCT",B845=11,"NOV",B845=12,"DEC")</f>
        <v>MAY</v>
      </c>
      <c r="D845" s="2" t="s">
        <v>11</v>
      </c>
      <c r="E845" s="2" t="s">
        <v>12</v>
      </c>
      <c r="F845" s="2" t="s">
        <v>13</v>
      </c>
      <c r="G845" s="2" t="s">
        <v>20</v>
      </c>
      <c r="H845" s="2" t="s">
        <v>21</v>
      </c>
      <c r="I845" s="2" t="s">
        <v>22</v>
      </c>
      <c r="J845" s="15">
        <v>30000</v>
      </c>
      <c r="K845" s="2">
        <v>5</v>
      </c>
      <c r="L845" s="2" t="s">
        <v>17</v>
      </c>
      <c r="M845" s="12">
        <f t="shared" si="27"/>
        <v>24000</v>
      </c>
      <c r="N845" s="10">
        <f>PRODUCT(Table_13[[#This Row],[Unit Price]],Table_13[[#This Row],[Quantity]])</f>
        <v>150000</v>
      </c>
      <c r="O845" s="16">
        <f>PRODUCT(Table_13[[#This Row],[Cost Price]],Table_13[[#This Row],[Quantity]])</f>
        <v>120000</v>
      </c>
      <c r="P845" s="27">
        <f t="shared" si="31"/>
        <v>30000</v>
      </c>
    </row>
    <row r="846" spans="1:16" x14ac:dyDescent="0.2">
      <c r="A846" s="33">
        <v>46520</v>
      </c>
      <c r="B846" s="30">
        <f t="shared" si="30"/>
        <v>5</v>
      </c>
      <c r="C846" s="30" t="str">
        <f>_xlfn.IFS(Table_13[[#This Row],[Month]]=1,"JAN",Table_13[[#This Row],[Month]]=2,"FEB",B846=3,"MAR",B846=4,"APR",B846=5,"MAY",B846=6,"JUN",B846=7,"JUL",B846=8,"AUG",Table_13[[#This Row],[Month]]=9,"SEPT",B846=10,"OCT",B846=11,"NOV",B846=12,"DEC")</f>
        <v>MAY</v>
      </c>
      <c r="D846" s="2" t="s">
        <v>29</v>
      </c>
      <c r="E846" s="2" t="s">
        <v>12</v>
      </c>
      <c r="F846" s="2" t="s">
        <v>13</v>
      </c>
      <c r="G846" s="2" t="s">
        <v>20</v>
      </c>
      <c r="H846" s="2" t="s">
        <v>30</v>
      </c>
      <c r="I846" s="2" t="s">
        <v>31</v>
      </c>
      <c r="J846" s="15">
        <v>300000</v>
      </c>
      <c r="K846" s="2">
        <v>5</v>
      </c>
      <c r="L846" s="2" t="s">
        <v>39</v>
      </c>
      <c r="M846" s="12">
        <f t="shared" si="27"/>
        <v>240000</v>
      </c>
      <c r="N846" s="10">
        <f>PRODUCT(Table_13[[#This Row],[Unit Price]],Table_13[[#This Row],[Quantity]])</f>
        <v>1500000</v>
      </c>
      <c r="O846" s="16">
        <f>PRODUCT(Table_13[[#This Row],[Cost Price]],Table_13[[#This Row],[Quantity]])</f>
        <v>1200000</v>
      </c>
      <c r="P846" s="27">
        <f t="shared" si="31"/>
        <v>300000</v>
      </c>
    </row>
    <row r="847" spans="1:16" x14ac:dyDescent="0.2">
      <c r="A847" s="33">
        <v>46521</v>
      </c>
      <c r="B847" s="30">
        <f t="shared" si="30"/>
        <v>5</v>
      </c>
      <c r="C847" s="30" t="str">
        <f>_xlfn.IFS(Table_13[[#This Row],[Month]]=1,"JAN",Table_13[[#This Row],[Month]]=2,"FEB",B847=3,"MAR",B847=4,"APR",B847=5,"MAY",B847=6,"JUN",B847=7,"JUL",B847=8,"AUG",Table_13[[#This Row],[Month]]=9,"SEPT",B847=10,"OCT",B847=11,"NOV",B847=12,"DEC")</f>
        <v>MAY</v>
      </c>
      <c r="D847" s="2" t="s">
        <v>11</v>
      </c>
      <c r="E847" s="2" t="s">
        <v>26</v>
      </c>
      <c r="F847" s="2" t="s">
        <v>23</v>
      </c>
      <c r="G847" s="2" t="s">
        <v>20</v>
      </c>
      <c r="H847" s="2" t="s">
        <v>15</v>
      </c>
      <c r="I847" s="2" t="s">
        <v>16</v>
      </c>
      <c r="J847" s="15">
        <v>85000</v>
      </c>
      <c r="K847" s="2">
        <v>8</v>
      </c>
      <c r="L847" s="2" t="s">
        <v>28</v>
      </c>
      <c r="M847" s="12">
        <f t="shared" si="27"/>
        <v>68000</v>
      </c>
      <c r="N847" s="10">
        <f>PRODUCT(Table_13[[#This Row],[Unit Price]],Table_13[[#This Row],[Quantity]])</f>
        <v>680000</v>
      </c>
      <c r="O847" s="16">
        <f>PRODUCT(Table_13[[#This Row],[Cost Price]],Table_13[[#This Row],[Quantity]])</f>
        <v>544000</v>
      </c>
      <c r="P847" s="27">
        <f t="shared" si="31"/>
        <v>136000</v>
      </c>
    </row>
    <row r="848" spans="1:16" x14ac:dyDescent="0.2">
      <c r="A848" s="33">
        <v>46522</v>
      </c>
      <c r="B848" s="30">
        <f t="shared" si="30"/>
        <v>5</v>
      </c>
      <c r="C848" s="30" t="str">
        <f>_xlfn.IFS(Table_13[[#This Row],[Month]]=1,"JAN",Table_13[[#This Row],[Month]]=2,"FEB",B848=3,"MAR",B848=4,"APR",B848=5,"MAY",B848=6,"JUN",B848=7,"JUL",B848=8,"AUG",Table_13[[#This Row],[Month]]=9,"SEPT",B848=10,"OCT",B848=11,"NOV",B848=12,"DEC")</f>
        <v>MAY</v>
      </c>
      <c r="D848" s="2" t="s">
        <v>25</v>
      </c>
      <c r="E848" s="2" t="s">
        <v>32</v>
      </c>
      <c r="F848" s="2" t="s">
        <v>23</v>
      </c>
      <c r="G848" s="2" t="s">
        <v>20</v>
      </c>
      <c r="H848" s="2" t="s">
        <v>41</v>
      </c>
      <c r="I848" s="2" t="s">
        <v>22</v>
      </c>
      <c r="J848" s="15">
        <v>220000</v>
      </c>
      <c r="K848" s="2">
        <v>7</v>
      </c>
      <c r="L848" s="2" t="s">
        <v>24</v>
      </c>
      <c r="M848" s="12">
        <f t="shared" si="27"/>
        <v>176000</v>
      </c>
      <c r="N848" s="10">
        <f>PRODUCT(Table_13[[#This Row],[Unit Price]],Table_13[[#This Row],[Quantity]])</f>
        <v>1540000</v>
      </c>
      <c r="O848" s="16">
        <f>PRODUCT(Table_13[[#This Row],[Cost Price]],Table_13[[#This Row],[Quantity]])</f>
        <v>1232000</v>
      </c>
      <c r="P848" s="27">
        <f t="shared" si="31"/>
        <v>308000</v>
      </c>
    </row>
    <row r="849" spans="1:16" x14ac:dyDescent="0.2">
      <c r="A849" s="33">
        <v>46523</v>
      </c>
      <c r="B849" s="30">
        <f t="shared" si="30"/>
        <v>5</v>
      </c>
      <c r="C849" s="30" t="str">
        <f>_xlfn.IFS(Table_13[[#This Row],[Month]]=1,"JAN",Table_13[[#This Row],[Month]]=2,"FEB",B849=3,"MAR",B849=4,"APR",B849=5,"MAY",B849=6,"JUN",B849=7,"JUL",B849=8,"AUG",Table_13[[#This Row],[Month]]=9,"SEPT",B849=10,"OCT",B849=11,"NOV",B849=12,"DEC")</f>
        <v>MAY</v>
      </c>
      <c r="D849" s="2" t="s">
        <v>29</v>
      </c>
      <c r="E849" s="2" t="s">
        <v>19</v>
      </c>
      <c r="F849" s="2" t="s">
        <v>13</v>
      </c>
      <c r="G849" s="2" t="s">
        <v>14</v>
      </c>
      <c r="H849" s="2" t="s">
        <v>15</v>
      </c>
      <c r="I849" s="2" t="s">
        <v>16</v>
      </c>
      <c r="J849" s="15">
        <v>85000</v>
      </c>
      <c r="K849" s="2">
        <v>8</v>
      </c>
      <c r="L849" s="2" t="s">
        <v>24</v>
      </c>
      <c r="M849" s="12">
        <f t="shared" si="27"/>
        <v>68000</v>
      </c>
      <c r="N849" s="10">
        <f>PRODUCT(Table_13[[#This Row],[Unit Price]],Table_13[[#This Row],[Quantity]])</f>
        <v>680000</v>
      </c>
      <c r="O849" s="16">
        <f>PRODUCT(Table_13[[#This Row],[Cost Price]],Table_13[[#This Row],[Quantity]])</f>
        <v>544000</v>
      </c>
      <c r="P849" s="27">
        <f t="shared" si="31"/>
        <v>136000</v>
      </c>
    </row>
    <row r="850" spans="1:16" x14ac:dyDescent="0.2">
      <c r="A850" s="33">
        <v>46524</v>
      </c>
      <c r="B850" s="30">
        <f t="shared" si="30"/>
        <v>5</v>
      </c>
      <c r="C850" s="30" t="str">
        <f>_xlfn.IFS(Table_13[[#This Row],[Month]]=1,"JAN",Table_13[[#This Row],[Month]]=2,"FEB",B850=3,"MAR",B850=4,"APR",B850=5,"MAY",B850=6,"JUN",B850=7,"JUL",B850=8,"AUG",Table_13[[#This Row],[Month]]=9,"SEPT",B850=10,"OCT",B850=11,"NOV",B850=12,"DEC")</f>
        <v>MAY</v>
      </c>
      <c r="D850" s="2" t="s">
        <v>18</v>
      </c>
      <c r="E850" s="2" t="s">
        <v>32</v>
      </c>
      <c r="F850" s="2" t="s">
        <v>23</v>
      </c>
      <c r="G850" s="2" t="s">
        <v>14</v>
      </c>
      <c r="H850" s="2" t="s">
        <v>36</v>
      </c>
      <c r="I850" s="2" t="s">
        <v>31</v>
      </c>
      <c r="J850" s="15">
        <v>150000</v>
      </c>
      <c r="K850" s="2">
        <v>5</v>
      </c>
      <c r="L850" s="2" t="s">
        <v>35</v>
      </c>
      <c r="M850" s="12">
        <f t="shared" si="27"/>
        <v>120000</v>
      </c>
      <c r="N850" s="10">
        <f>PRODUCT(Table_13[[#This Row],[Unit Price]],Table_13[[#This Row],[Quantity]])</f>
        <v>750000</v>
      </c>
      <c r="O850" s="16">
        <f>PRODUCT(Table_13[[#This Row],[Cost Price]],Table_13[[#This Row],[Quantity]])</f>
        <v>600000</v>
      </c>
      <c r="P850" s="27">
        <f t="shared" si="31"/>
        <v>150000</v>
      </c>
    </row>
    <row r="851" spans="1:16" x14ac:dyDescent="0.2">
      <c r="A851" s="33">
        <v>46525</v>
      </c>
      <c r="B851" s="30">
        <f t="shared" si="30"/>
        <v>5</v>
      </c>
      <c r="C851" s="30" t="str">
        <f>_xlfn.IFS(Table_13[[#This Row],[Month]]=1,"JAN",Table_13[[#This Row],[Month]]=2,"FEB",B851=3,"MAR",B851=4,"APR",B851=5,"MAY",B851=6,"JUN",B851=7,"JUL",B851=8,"AUG",Table_13[[#This Row],[Month]]=9,"SEPT",B851=10,"OCT",B851=11,"NOV",B851=12,"DEC")</f>
        <v>MAY</v>
      </c>
      <c r="D851" s="2" t="s">
        <v>18</v>
      </c>
      <c r="E851" s="2" t="s">
        <v>12</v>
      </c>
      <c r="F851" s="2" t="s">
        <v>13</v>
      </c>
      <c r="G851" s="2" t="s">
        <v>20</v>
      </c>
      <c r="H851" s="2" t="s">
        <v>27</v>
      </c>
      <c r="I851" s="2" t="s">
        <v>22</v>
      </c>
      <c r="J851" s="15">
        <v>60000</v>
      </c>
      <c r="K851" s="2">
        <v>10</v>
      </c>
      <c r="L851" s="2" t="s">
        <v>24</v>
      </c>
      <c r="M851" s="12">
        <f t="shared" si="27"/>
        <v>48000</v>
      </c>
      <c r="N851" s="10">
        <f>PRODUCT(Table_13[[#This Row],[Unit Price]],Table_13[[#This Row],[Quantity]])</f>
        <v>600000</v>
      </c>
      <c r="O851" s="16">
        <f>PRODUCT(Table_13[[#This Row],[Cost Price]],Table_13[[#This Row],[Quantity]])</f>
        <v>480000</v>
      </c>
      <c r="P851" s="27">
        <f t="shared" si="31"/>
        <v>120000</v>
      </c>
    </row>
    <row r="852" spans="1:16" x14ac:dyDescent="0.2">
      <c r="A852" s="33">
        <v>46526</v>
      </c>
      <c r="B852" s="30">
        <f t="shared" si="30"/>
        <v>5</v>
      </c>
      <c r="C852" s="30" t="str">
        <f>_xlfn.IFS(Table_13[[#This Row],[Month]]=1,"JAN",Table_13[[#This Row],[Month]]=2,"FEB",B852=3,"MAR",B852=4,"APR",B852=5,"MAY",B852=6,"JUN",B852=7,"JUL",B852=8,"AUG",Table_13[[#This Row],[Month]]=9,"SEPT",B852=10,"OCT",B852=11,"NOV",B852=12,"DEC")</f>
        <v>MAY</v>
      </c>
      <c r="D852" s="2" t="s">
        <v>11</v>
      </c>
      <c r="E852" s="2" t="s">
        <v>26</v>
      </c>
      <c r="F852" s="2" t="s">
        <v>23</v>
      </c>
      <c r="G852" s="2" t="s">
        <v>14</v>
      </c>
      <c r="H852" s="2" t="s">
        <v>41</v>
      </c>
      <c r="I852" s="2" t="s">
        <v>22</v>
      </c>
      <c r="J852" s="15">
        <v>220000</v>
      </c>
      <c r="K852" s="2">
        <v>1</v>
      </c>
      <c r="L852" s="2" t="s">
        <v>17</v>
      </c>
      <c r="M852" s="12">
        <f t="shared" si="27"/>
        <v>176000</v>
      </c>
      <c r="N852" s="10">
        <f>PRODUCT(Table_13[[#This Row],[Unit Price]],Table_13[[#This Row],[Quantity]])</f>
        <v>220000</v>
      </c>
      <c r="O852" s="16">
        <f>PRODUCT(Table_13[[#This Row],[Cost Price]],Table_13[[#This Row],[Quantity]])</f>
        <v>176000</v>
      </c>
      <c r="P852" s="27">
        <f t="shared" si="31"/>
        <v>44000</v>
      </c>
    </row>
    <row r="853" spans="1:16" x14ac:dyDescent="0.2">
      <c r="A853" s="33">
        <v>46527</v>
      </c>
      <c r="B853" s="30">
        <f t="shared" si="30"/>
        <v>5</v>
      </c>
      <c r="C853" s="30" t="str">
        <f>_xlfn.IFS(Table_13[[#This Row],[Month]]=1,"JAN",Table_13[[#This Row],[Month]]=2,"FEB",B853=3,"MAR",B853=4,"APR",B853=5,"MAY",B853=6,"JUN",B853=7,"JUL",B853=8,"AUG",Table_13[[#This Row],[Month]]=9,"SEPT",B853=10,"OCT",B853=11,"NOV",B853=12,"DEC")</f>
        <v>MAY</v>
      </c>
      <c r="D853" s="2" t="s">
        <v>29</v>
      </c>
      <c r="E853" s="2" t="s">
        <v>19</v>
      </c>
      <c r="F853" s="2" t="s">
        <v>23</v>
      </c>
      <c r="G853" s="2" t="s">
        <v>14</v>
      </c>
      <c r="H853" s="2" t="s">
        <v>21</v>
      </c>
      <c r="I853" s="2" t="s">
        <v>22</v>
      </c>
      <c r="J853" s="15">
        <v>30000</v>
      </c>
      <c r="K853" s="2">
        <v>3</v>
      </c>
      <c r="L853" s="2" t="s">
        <v>28</v>
      </c>
      <c r="M853" s="12">
        <f t="shared" si="27"/>
        <v>24000</v>
      </c>
      <c r="N853" s="10">
        <f>PRODUCT(Table_13[[#This Row],[Unit Price]],Table_13[[#This Row],[Quantity]])</f>
        <v>90000</v>
      </c>
      <c r="O853" s="16">
        <f>PRODUCT(Table_13[[#This Row],[Cost Price]],Table_13[[#This Row],[Quantity]])</f>
        <v>72000</v>
      </c>
      <c r="P853" s="27">
        <f t="shared" si="31"/>
        <v>18000</v>
      </c>
    </row>
    <row r="854" spans="1:16" x14ac:dyDescent="0.2">
      <c r="A854" s="33">
        <v>46528</v>
      </c>
      <c r="B854" s="30">
        <f t="shared" si="30"/>
        <v>5</v>
      </c>
      <c r="C854" s="30" t="str">
        <f>_xlfn.IFS(Table_13[[#This Row],[Month]]=1,"JAN",Table_13[[#This Row],[Month]]=2,"FEB",B854=3,"MAR",B854=4,"APR",B854=5,"MAY",B854=6,"JUN",B854=7,"JUL",B854=8,"AUG",Table_13[[#This Row],[Month]]=9,"SEPT",B854=10,"OCT",B854=11,"NOV",B854=12,"DEC")</f>
        <v>MAY</v>
      </c>
      <c r="D854" s="2" t="s">
        <v>25</v>
      </c>
      <c r="E854" s="2" t="s">
        <v>19</v>
      </c>
      <c r="F854" s="2" t="s">
        <v>23</v>
      </c>
      <c r="G854" s="2" t="s">
        <v>14</v>
      </c>
      <c r="H854" s="2" t="s">
        <v>38</v>
      </c>
      <c r="I854" s="2" t="s">
        <v>31</v>
      </c>
      <c r="J854" s="15">
        <v>420000</v>
      </c>
      <c r="K854" s="2">
        <v>1</v>
      </c>
      <c r="L854" s="2" t="s">
        <v>35</v>
      </c>
      <c r="M854" s="12">
        <f t="shared" si="27"/>
        <v>336000</v>
      </c>
      <c r="N854" s="10">
        <f>PRODUCT(Table_13[[#This Row],[Unit Price]],Table_13[[#This Row],[Quantity]])</f>
        <v>420000</v>
      </c>
      <c r="O854" s="16">
        <f>PRODUCT(Table_13[[#This Row],[Cost Price]],Table_13[[#This Row],[Quantity]])</f>
        <v>336000</v>
      </c>
      <c r="P854" s="27">
        <f t="shared" si="31"/>
        <v>84000</v>
      </c>
    </row>
    <row r="855" spans="1:16" x14ac:dyDescent="0.2">
      <c r="A855" s="33">
        <v>46529</v>
      </c>
      <c r="B855" s="30">
        <f t="shared" si="30"/>
        <v>5</v>
      </c>
      <c r="C855" s="30" t="str">
        <f>_xlfn.IFS(Table_13[[#This Row],[Month]]=1,"JAN",Table_13[[#This Row],[Month]]=2,"FEB",B855=3,"MAR",B855=4,"APR",B855=5,"MAY",B855=6,"JUN",B855=7,"JUL",B855=8,"AUG",Table_13[[#This Row],[Month]]=9,"SEPT",B855=10,"OCT",B855=11,"NOV",B855=12,"DEC")</f>
        <v>MAY</v>
      </c>
      <c r="D855" s="2" t="s">
        <v>18</v>
      </c>
      <c r="E855" s="2" t="s">
        <v>12</v>
      </c>
      <c r="F855" s="2" t="s">
        <v>13</v>
      </c>
      <c r="G855" s="2" t="s">
        <v>20</v>
      </c>
      <c r="H855" s="2" t="s">
        <v>21</v>
      </c>
      <c r="I855" s="2" t="s">
        <v>22</v>
      </c>
      <c r="J855" s="15">
        <v>30000</v>
      </c>
      <c r="K855" s="2">
        <v>5</v>
      </c>
      <c r="L855" s="2" t="s">
        <v>39</v>
      </c>
      <c r="M855" s="12">
        <f t="shared" si="27"/>
        <v>24000</v>
      </c>
      <c r="N855" s="10">
        <f>PRODUCT(Table_13[[#This Row],[Unit Price]],Table_13[[#This Row],[Quantity]])</f>
        <v>150000</v>
      </c>
      <c r="O855" s="16">
        <f>PRODUCT(Table_13[[#This Row],[Cost Price]],Table_13[[#This Row],[Quantity]])</f>
        <v>120000</v>
      </c>
      <c r="P855" s="27">
        <f t="shared" si="31"/>
        <v>30000</v>
      </c>
    </row>
    <row r="856" spans="1:16" x14ac:dyDescent="0.2">
      <c r="A856" s="33">
        <v>46530</v>
      </c>
      <c r="B856" s="30">
        <f t="shared" si="30"/>
        <v>5</v>
      </c>
      <c r="C856" s="30" t="str">
        <f>_xlfn.IFS(Table_13[[#This Row],[Month]]=1,"JAN",Table_13[[#This Row],[Month]]=2,"FEB",B856=3,"MAR",B856=4,"APR",B856=5,"MAY",B856=6,"JUN",B856=7,"JUL",B856=8,"AUG",Table_13[[#This Row],[Month]]=9,"SEPT",B856=10,"OCT",B856=11,"NOV",B856=12,"DEC")</f>
        <v>MAY</v>
      </c>
      <c r="D856" s="2" t="s">
        <v>18</v>
      </c>
      <c r="E856" s="2" t="s">
        <v>32</v>
      </c>
      <c r="F856" s="2" t="s">
        <v>23</v>
      </c>
      <c r="G856" s="2" t="s">
        <v>14</v>
      </c>
      <c r="H856" s="2" t="s">
        <v>38</v>
      </c>
      <c r="I856" s="2" t="s">
        <v>31</v>
      </c>
      <c r="J856" s="15">
        <v>420000</v>
      </c>
      <c r="K856" s="2">
        <v>7</v>
      </c>
      <c r="L856" s="2" t="s">
        <v>17</v>
      </c>
      <c r="M856" s="12">
        <f t="shared" si="27"/>
        <v>336000</v>
      </c>
      <c r="N856" s="10">
        <f>PRODUCT(Table_13[[#This Row],[Unit Price]],Table_13[[#This Row],[Quantity]])</f>
        <v>2940000</v>
      </c>
      <c r="O856" s="16">
        <f>PRODUCT(Table_13[[#This Row],[Cost Price]],Table_13[[#This Row],[Quantity]])</f>
        <v>2352000</v>
      </c>
      <c r="P856" s="27">
        <f t="shared" si="31"/>
        <v>588000</v>
      </c>
    </row>
    <row r="857" spans="1:16" x14ac:dyDescent="0.2">
      <c r="A857" s="33">
        <v>46531</v>
      </c>
      <c r="B857" s="30">
        <f t="shared" si="30"/>
        <v>5</v>
      </c>
      <c r="C857" s="30" t="str">
        <f>_xlfn.IFS(Table_13[[#This Row],[Month]]=1,"JAN",Table_13[[#This Row],[Month]]=2,"FEB",B857=3,"MAR",B857=4,"APR",B857=5,"MAY",B857=6,"JUN",B857=7,"JUL",B857=8,"AUG",Table_13[[#This Row],[Month]]=9,"SEPT",B857=10,"OCT",B857=11,"NOV",B857=12,"DEC")</f>
        <v>MAY</v>
      </c>
      <c r="D857" s="2" t="s">
        <v>25</v>
      </c>
      <c r="E857" s="2" t="s">
        <v>19</v>
      </c>
      <c r="F857" s="2" t="s">
        <v>13</v>
      </c>
      <c r="G857" s="2" t="s">
        <v>20</v>
      </c>
      <c r="H857" s="2" t="s">
        <v>33</v>
      </c>
      <c r="I857" s="2" t="s">
        <v>22</v>
      </c>
      <c r="J857" s="15">
        <v>180000</v>
      </c>
      <c r="K857" s="2">
        <v>8</v>
      </c>
      <c r="L857" s="2" t="s">
        <v>37</v>
      </c>
      <c r="M857" s="12">
        <f t="shared" si="27"/>
        <v>144000</v>
      </c>
      <c r="N857" s="10">
        <f>PRODUCT(Table_13[[#This Row],[Unit Price]],Table_13[[#This Row],[Quantity]])</f>
        <v>1440000</v>
      </c>
      <c r="O857" s="16">
        <f>PRODUCT(Table_13[[#This Row],[Cost Price]],Table_13[[#This Row],[Quantity]])</f>
        <v>1152000</v>
      </c>
      <c r="P857" s="27">
        <f t="shared" si="31"/>
        <v>288000</v>
      </c>
    </row>
    <row r="858" spans="1:16" x14ac:dyDescent="0.2">
      <c r="A858" s="33">
        <v>46532</v>
      </c>
      <c r="B858" s="30">
        <f t="shared" si="30"/>
        <v>5</v>
      </c>
      <c r="C858" s="30" t="str">
        <f>_xlfn.IFS(Table_13[[#This Row],[Month]]=1,"JAN",Table_13[[#This Row],[Month]]=2,"FEB",B858=3,"MAR",B858=4,"APR",B858=5,"MAY",B858=6,"JUN",B858=7,"JUL",B858=8,"AUG",Table_13[[#This Row],[Month]]=9,"SEPT",B858=10,"OCT",B858=11,"NOV",B858=12,"DEC")</f>
        <v>MAY</v>
      </c>
      <c r="D858" s="2" t="s">
        <v>11</v>
      </c>
      <c r="E858" s="2" t="s">
        <v>32</v>
      </c>
      <c r="F858" s="2" t="s">
        <v>23</v>
      </c>
      <c r="G858" s="2" t="s">
        <v>20</v>
      </c>
      <c r="H858" s="2" t="s">
        <v>41</v>
      </c>
      <c r="I858" s="2" t="s">
        <v>22</v>
      </c>
      <c r="J858" s="15">
        <v>220000</v>
      </c>
      <c r="K858" s="2">
        <v>3</v>
      </c>
      <c r="L858" s="2" t="s">
        <v>28</v>
      </c>
      <c r="M858" s="12">
        <f t="shared" si="27"/>
        <v>176000</v>
      </c>
      <c r="N858" s="10">
        <f>PRODUCT(Table_13[[#This Row],[Unit Price]],Table_13[[#This Row],[Quantity]])</f>
        <v>660000</v>
      </c>
      <c r="O858" s="16">
        <f>PRODUCT(Table_13[[#This Row],[Cost Price]],Table_13[[#This Row],[Quantity]])</f>
        <v>528000</v>
      </c>
      <c r="P858" s="27">
        <f t="shared" si="31"/>
        <v>132000</v>
      </c>
    </row>
    <row r="859" spans="1:16" x14ac:dyDescent="0.2">
      <c r="A859" s="33">
        <v>46533</v>
      </c>
      <c r="B859" s="30">
        <f t="shared" si="30"/>
        <v>5</v>
      </c>
      <c r="C859" s="30" t="str">
        <f>_xlfn.IFS(Table_13[[#This Row],[Month]]=1,"JAN",Table_13[[#This Row],[Month]]=2,"FEB",B859=3,"MAR",B859=4,"APR",B859=5,"MAY",B859=6,"JUN",B859=7,"JUL",B859=8,"AUG",Table_13[[#This Row],[Month]]=9,"SEPT",B859=10,"OCT",B859=11,"NOV",B859=12,"DEC")</f>
        <v>MAY</v>
      </c>
      <c r="D859" s="2" t="s">
        <v>18</v>
      </c>
      <c r="E859" s="2" t="s">
        <v>32</v>
      </c>
      <c r="F859" s="2" t="s">
        <v>13</v>
      </c>
      <c r="G859" s="2" t="s">
        <v>14</v>
      </c>
      <c r="H859" s="2" t="s">
        <v>38</v>
      </c>
      <c r="I859" s="2" t="s">
        <v>31</v>
      </c>
      <c r="J859" s="15">
        <v>420000</v>
      </c>
      <c r="K859" s="2">
        <v>3</v>
      </c>
      <c r="L859" s="2" t="s">
        <v>17</v>
      </c>
      <c r="M859" s="12">
        <f t="shared" si="27"/>
        <v>336000</v>
      </c>
      <c r="N859" s="10">
        <f>PRODUCT(Table_13[[#This Row],[Unit Price]],Table_13[[#This Row],[Quantity]])</f>
        <v>1260000</v>
      </c>
      <c r="O859" s="16">
        <f>PRODUCT(Table_13[[#This Row],[Cost Price]],Table_13[[#This Row],[Quantity]])</f>
        <v>1008000</v>
      </c>
      <c r="P859" s="27">
        <f t="shared" si="31"/>
        <v>252000</v>
      </c>
    </row>
    <row r="860" spans="1:16" x14ac:dyDescent="0.2">
      <c r="A860" s="33">
        <v>46534</v>
      </c>
      <c r="B860" s="30">
        <f t="shared" si="30"/>
        <v>5</v>
      </c>
      <c r="C860" s="30" t="str">
        <f>_xlfn.IFS(Table_13[[#This Row],[Month]]=1,"JAN",Table_13[[#This Row],[Month]]=2,"FEB",B860=3,"MAR",B860=4,"APR",B860=5,"MAY",B860=6,"JUN",B860=7,"JUL",B860=8,"AUG",Table_13[[#This Row],[Month]]=9,"SEPT",B860=10,"OCT",B860=11,"NOV",B860=12,"DEC")</f>
        <v>MAY</v>
      </c>
      <c r="D860" s="2" t="s">
        <v>18</v>
      </c>
      <c r="E860" s="2" t="s">
        <v>26</v>
      </c>
      <c r="F860" s="2" t="s">
        <v>13</v>
      </c>
      <c r="G860" s="2" t="s">
        <v>14</v>
      </c>
      <c r="H860" s="2" t="s">
        <v>33</v>
      </c>
      <c r="I860" s="2" t="s">
        <v>22</v>
      </c>
      <c r="J860" s="15">
        <v>180000</v>
      </c>
      <c r="K860" s="2">
        <v>5</v>
      </c>
      <c r="L860" s="2" t="s">
        <v>39</v>
      </c>
      <c r="M860" s="12">
        <f t="shared" si="27"/>
        <v>144000</v>
      </c>
      <c r="N860" s="10">
        <f>PRODUCT(Table_13[[#This Row],[Unit Price]],Table_13[[#This Row],[Quantity]])</f>
        <v>900000</v>
      </c>
      <c r="O860" s="16">
        <f>PRODUCT(Table_13[[#This Row],[Cost Price]],Table_13[[#This Row],[Quantity]])</f>
        <v>720000</v>
      </c>
      <c r="P860" s="27">
        <f t="shared" si="31"/>
        <v>180000</v>
      </c>
    </row>
    <row r="861" spans="1:16" x14ac:dyDescent="0.2">
      <c r="A861" s="33">
        <v>46535</v>
      </c>
      <c r="B861" s="30">
        <f t="shared" si="30"/>
        <v>5</v>
      </c>
      <c r="C861" s="30" t="str">
        <f>_xlfn.IFS(Table_13[[#This Row],[Month]]=1,"JAN",Table_13[[#This Row],[Month]]=2,"FEB",B861=3,"MAR",B861=4,"APR",B861=5,"MAY",B861=6,"JUN",B861=7,"JUL",B861=8,"AUG",Table_13[[#This Row],[Month]]=9,"SEPT",B861=10,"OCT",B861=11,"NOV",B861=12,"DEC")</f>
        <v>MAY</v>
      </c>
      <c r="D861" s="2" t="s">
        <v>11</v>
      </c>
      <c r="E861" s="2" t="s">
        <v>26</v>
      </c>
      <c r="F861" s="2" t="s">
        <v>23</v>
      </c>
      <c r="G861" s="2" t="s">
        <v>14</v>
      </c>
      <c r="H861" s="2" t="s">
        <v>41</v>
      </c>
      <c r="I861" s="2" t="s">
        <v>22</v>
      </c>
      <c r="J861" s="15">
        <v>220000</v>
      </c>
      <c r="K861" s="2">
        <v>5</v>
      </c>
      <c r="L861" s="2" t="s">
        <v>28</v>
      </c>
      <c r="M861" s="12">
        <f t="shared" si="27"/>
        <v>176000</v>
      </c>
      <c r="N861" s="10">
        <f>PRODUCT(Table_13[[#This Row],[Unit Price]],Table_13[[#This Row],[Quantity]])</f>
        <v>1100000</v>
      </c>
      <c r="O861" s="16">
        <f>PRODUCT(Table_13[[#This Row],[Cost Price]],Table_13[[#This Row],[Quantity]])</f>
        <v>880000</v>
      </c>
      <c r="P861" s="27">
        <f t="shared" si="31"/>
        <v>220000</v>
      </c>
    </row>
    <row r="862" spans="1:16" x14ac:dyDescent="0.2">
      <c r="A862" s="33">
        <v>46536</v>
      </c>
      <c r="B862" s="30">
        <f t="shared" si="30"/>
        <v>5</v>
      </c>
      <c r="C862" s="30" t="str">
        <f>_xlfn.IFS(Table_13[[#This Row],[Month]]=1,"JAN",Table_13[[#This Row],[Month]]=2,"FEB",B862=3,"MAR",B862=4,"APR",B862=5,"MAY",B862=6,"JUN",B862=7,"JUL",B862=8,"AUG",Table_13[[#This Row],[Month]]=9,"SEPT",B862=10,"OCT",B862=11,"NOV",B862=12,"DEC")</f>
        <v>MAY</v>
      </c>
      <c r="D862" s="2" t="s">
        <v>29</v>
      </c>
      <c r="E862" s="2" t="s">
        <v>32</v>
      </c>
      <c r="F862" s="2" t="s">
        <v>23</v>
      </c>
      <c r="G862" s="2" t="s">
        <v>14</v>
      </c>
      <c r="H862" s="2" t="s">
        <v>40</v>
      </c>
      <c r="I862" s="2" t="s">
        <v>31</v>
      </c>
      <c r="J862" s="15">
        <v>250000</v>
      </c>
      <c r="K862" s="2">
        <v>2</v>
      </c>
      <c r="L862" s="2" t="s">
        <v>35</v>
      </c>
      <c r="M862" s="12">
        <f t="shared" si="27"/>
        <v>200000</v>
      </c>
      <c r="N862" s="10">
        <f>PRODUCT(Table_13[[#This Row],[Unit Price]],Table_13[[#This Row],[Quantity]])</f>
        <v>500000</v>
      </c>
      <c r="O862" s="16">
        <f>PRODUCT(Table_13[[#This Row],[Cost Price]],Table_13[[#This Row],[Quantity]])</f>
        <v>400000</v>
      </c>
      <c r="P862" s="27">
        <f t="shared" si="31"/>
        <v>100000</v>
      </c>
    </row>
    <row r="863" spans="1:16" x14ac:dyDescent="0.2">
      <c r="A863" s="33">
        <v>46537</v>
      </c>
      <c r="B863" s="30">
        <f t="shared" si="30"/>
        <v>5</v>
      </c>
      <c r="C863" s="30" t="str">
        <f>_xlfn.IFS(Table_13[[#This Row],[Month]]=1,"JAN",Table_13[[#This Row],[Month]]=2,"FEB",B863=3,"MAR",B863=4,"APR",B863=5,"MAY",B863=6,"JUN",B863=7,"JUL",B863=8,"AUG",Table_13[[#This Row],[Month]]=9,"SEPT",B863=10,"OCT",B863=11,"NOV",B863=12,"DEC")</f>
        <v>MAY</v>
      </c>
      <c r="D863" s="2" t="s">
        <v>18</v>
      </c>
      <c r="E863" s="2" t="s">
        <v>26</v>
      </c>
      <c r="F863" s="2" t="s">
        <v>23</v>
      </c>
      <c r="G863" s="2" t="s">
        <v>14</v>
      </c>
      <c r="H863" s="2" t="s">
        <v>38</v>
      </c>
      <c r="I863" s="2" t="s">
        <v>31</v>
      </c>
      <c r="J863" s="15">
        <v>420000</v>
      </c>
      <c r="K863" s="2">
        <v>3</v>
      </c>
      <c r="L863" s="2" t="s">
        <v>35</v>
      </c>
      <c r="M863" s="12">
        <f t="shared" si="27"/>
        <v>336000</v>
      </c>
      <c r="N863" s="10">
        <f>PRODUCT(Table_13[[#This Row],[Unit Price]],Table_13[[#This Row],[Quantity]])</f>
        <v>1260000</v>
      </c>
      <c r="O863" s="16">
        <f>PRODUCT(Table_13[[#This Row],[Cost Price]],Table_13[[#This Row],[Quantity]])</f>
        <v>1008000</v>
      </c>
      <c r="P863" s="27">
        <f t="shared" si="31"/>
        <v>252000</v>
      </c>
    </row>
    <row r="864" spans="1:16" x14ac:dyDescent="0.2">
      <c r="A864" s="33">
        <v>46538</v>
      </c>
      <c r="B864" s="30">
        <f t="shared" si="30"/>
        <v>5</v>
      </c>
      <c r="C864" s="30" t="str">
        <f>_xlfn.IFS(Table_13[[#This Row],[Month]]=1,"JAN",Table_13[[#This Row],[Month]]=2,"FEB",B864=3,"MAR",B864=4,"APR",B864=5,"MAY",B864=6,"JUN",B864=7,"JUL",B864=8,"AUG",Table_13[[#This Row],[Month]]=9,"SEPT",B864=10,"OCT",B864=11,"NOV",B864=12,"DEC")</f>
        <v>MAY</v>
      </c>
      <c r="D864" s="2" t="s">
        <v>18</v>
      </c>
      <c r="E864" s="2" t="s">
        <v>19</v>
      </c>
      <c r="F864" s="2" t="s">
        <v>23</v>
      </c>
      <c r="G864" s="2" t="s">
        <v>14</v>
      </c>
      <c r="H864" s="2" t="s">
        <v>38</v>
      </c>
      <c r="I864" s="2" t="s">
        <v>31</v>
      </c>
      <c r="J864" s="15">
        <v>420000</v>
      </c>
      <c r="K864" s="2">
        <v>8</v>
      </c>
      <c r="L864" s="2" t="s">
        <v>28</v>
      </c>
      <c r="M864" s="12">
        <f t="shared" si="27"/>
        <v>336000</v>
      </c>
      <c r="N864" s="10">
        <f>PRODUCT(Table_13[[#This Row],[Unit Price]],Table_13[[#This Row],[Quantity]])</f>
        <v>3360000</v>
      </c>
      <c r="O864" s="16">
        <f>PRODUCT(Table_13[[#This Row],[Cost Price]],Table_13[[#This Row],[Quantity]])</f>
        <v>2688000</v>
      </c>
      <c r="P864" s="27">
        <f t="shared" si="31"/>
        <v>672000</v>
      </c>
    </row>
    <row r="865" spans="1:16" x14ac:dyDescent="0.2">
      <c r="A865" s="33">
        <v>46539</v>
      </c>
      <c r="B865" s="30">
        <f t="shared" si="30"/>
        <v>6</v>
      </c>
      <c r="C865" s="30" t="str">
        <f>_xlfn.IFS(Table_13[[#This Row],[Month]]=1,"JAN",Table_13[[#This Row],[Month]]=2,"FEB",B865=3,"MAR",B865=4,"APR",B865=5,"MAY",B865=6,"JUN",B865=7,"JUL",B865=8,"AUG",Table_13[[#This Row],[Month]]=9,"SEPT",B865=10,"OCT",B865=11,"NOV",B865=12,"DEC")</f>
        <v>JUN</v>
      </c>
      <c r="D865" s="2" t="s">
        <v>18</v>
      </c>
      <c r="E865" s="2" t="s">
        <v>12</v>
      </c>
      <c r="F865" s="2" t="s">
        <v>23</v>
      </c>
      <c r="G865" s="2" t="s">
        <v>14</v>
      </c>
      <c r="H865" s="2" t="s">
        <v>38</v>
      </c>
      <c r="I865" s="2" t="s">
        <v>31</v>
      </c>
      <c r="J865" s="15">
        <v>420000</v>
      </c>
      <c r="K865" s="2">
        <v>7</v>
      </c>
      <c r="L865" s="2" t="s">
        <v>17</v>
      </c>
      <c r="M865" s="12">
        <f t="shared" si="27"/>
        <v>336000</v>
      </c>
      <c r="N865" s="10">
        <f>PRODUCT(Table_13[[#This Row],[Unit Price]],Table_13[[#This Row],[Quantity]])</f>
        <v>2940000</v>
      </c>
      <c r="O865" s="16">
        <f>PRODUCT(Table_13[[#This Row],[Cost Price]],Table_13[[#This Row],[Quantity]])</f>
        <v>2352000</v>
      </c>
      <c r="P865" s="27">
        <f t="shared" si="31"/>
        <v>588000</v>
      </c>
    </row>
    <row r="866" spans="1:16" x14ac:dyDescent="0.2">
      <c r="A866" s="33">
        <v>46540</v>
      </c>
      <c r="B866" s="30">
        <f t="shared" si="30"/>
        <v>6</v>
      </c>
      <c r="C866" s="30" t="str">
        <f>_xlfn.IFS(Table_13[[#This Row],[Month]]=1,"JAN",Table_13[[#This Row],[Month]]=2,"FEB",B866=3,"MAR",B866=4,"APR",B866=5,"MAY",B866=6,"JUN",B866=7,"JUL",B866=8,"AUG",Table_13[[#This Row],[Month]]=9,"SEPT",B866=10,"OCT",B866=11,"NOV",B866=12,"DEC")</f>
        <v>JUN</v>
      </c>
      <c r="D866" s="2" t="s">
        <v>11</v>
      </c>
      <c r="E866" s="2" t="s">
        <v>26</v>
      </c>
      <c r="F866" s="2" t="s">
        <v>23</v>
      </c>
      <c r="G866" s="2" t="s">
        <v>14</v>
      </c>
      <c r="H866" s="2" t="s">
        <v>34</v>
      </c>
      <c r="I866" s="2" t="s">
        <v>16</v>
      </c>
      <c r="J866" s="15">
        <v>320000</v>
      </c>
      <c r="K866" s="2">
        <v>6</v>
      </c>
      <c r="L866" s="2" t="s">
        <v>28</v>
      </c>
      <c r="M866" s="12">
        <f t="shared" si="27"/>
        <v>256000</v>
      </c>
      <c r="N866" s="10">
        <f>PRODUCT(Table_13[[#This Row],[Unit Price]],Table_13[[#This Row],[Quantity]])</f>
        <v>1920000</v>
      </c>
      <c r="O866" s="16">
        <f>PRODUCT(Table_13[[#This Row],[Cost Price]],Table_13[[#This Row],[Quantity]])</f>
        <v>1536000</v>
      </c>
      <c r="P866" s="27">
        <f t="shared" si="31"/>
        <v>384000</v>
      </c>
    </row>
    <row r="867" spans="1:16" x14ac:dyDescent="0.2">
      <c r="A867" s="33">
        <v>46541</v>
      </c>
      <c r="B867" s="30">
        <f t="shared" si="30"/>
        <v>6</v>
      </c>
      <c r="C867" s="30" t="str">
        <f>_xlfn.IFS(Table_13[[#This Row],[Month]]=1,"JAN",Table_13[[#This Row],[Month]]=2,"FEB",B867=3,"MAR",B867=4,"APR",B867=5,"MAY",B867=6,"JUN",B867=7,"JUL",B867=8,"AUG",Table_13[[#This Row],[Month]]=9,"SEPT",B867=10,"OCT",B867=11,"NOV",B867=12,"DEC")</f>
        <v>JUN</v>
      </c>
      <c r="D867" s="2" t="s">
        <v>29</v>
      </c>
      <c r="E867" s="2" t="s">
        <v>26</v>
      </c>
      <c r="F867" s="2" t="s">
        <v>23</v>
      </c>
      <c r="G867" s="2" t="s">
        <v>14</v>
      </c>
      <c r="H867" s="2" t="s">
        <v>27</v>
      </c>
      <c r="I867" s="2" t="s">
        <v>22</v>
      </c>
      <c r="J867" s="15">
        <v>60000</v>
      </c>
      <c r="K867" s="2">
        <v>3</v>
      </c>
      <c r="L867" s="2" t="s">
        <v>28</v>
      </c>
      <c r="M867" s="12">
        <f t="shared" si="27"/>
        <v>48000</v>
      </c>
      <c r="N867" s="10">
        <f>PRODUCT(Table_13[[#This Row],[Unit Price]],Table_13[[#This Row],[Quantity]])</f>
        <v>180000</v>
      </c>
      <c r="O867" s="16">
        <f>PRODUCT(Table_13[[#This Row],[Cost Price]],Table_13[[#This Row],[Quantity]])</f>
        <v>144000</v>
      </c>
      <c r="P867" s="27">
        <f t="shared" si="31"/>
        <v>36000</v>
      </c>
    </row>
    <row r="868" spans="1:16" x14ac:dyDescent="0.2">
      <c r="A868" s="33">
        <v>46542</v>
      </c>
      <c r="B868" s="30">
        <f t="shared" si="30"/>
        <v>6</v>
      </c>
      <c r="C868" s="30" t="str">
        <f>_xlfn.IFS(Table_13[[#This Row],[Month]]=1,"JAN",Table_13[[#This Row],[Month]]=2,"FEB",B868=3,"MAR",B868=4,"APR",B868=5,"MAY",B868=6,"JUN",B868=7,"JUL",B868=8,"AUG",Table_13[[#This Row],[Month]]=9,"SEPT",B868=10,"OCT",B868=11,"NOV",B868=12,"DEC")</f>
        <v>JUN</v>
      </c>
      <c r="D868" s="2" t="s">
        <v>11</v>
      </c>
      <c r="E868" s="2" t="s">
        <v>12</v>
      </c>
      <c r="F868" s="2" t="s">
        <v>23</v>
      </c>
      <c r="G868" s="2" t="s">
        <v>20</v>
      </c>
      <c r="H868" s="2" t="s">
        <v>15</v>
      </c>
      <c r="I868" s="2" t="s">
        <v>16</v>
      </c>
      <c r="J868" s="15">
        <v>85000</v>
      </c>
      <c r="K868" s="2">
        <v>8</v>
      </c>
      <c r="L868" s="2" t="s">
        <v>17</v>
      </c>
      <c r="M868" s="12">
        <f t="shared" si="27"/>
        <v>68000</v>
      </c>
      <c r="N868" s="10">
        <f>PRODUCT(Table_13[[#This Row],[Unit Price]],Table_13[[#This Row],[Quantity]])</f>
        <v>680000</v>
      </c>
      <c r="O868" s="16">
        <f>PRODUCT(Table_13[[#This Row],[Cost Price]],Table_13[[#This Row],[Quantity]])</f>
        <v>544000</v>
      </c>
      <c r="P868" s="27">
        <f t="shared" si="31"/>
        <v>136000</v>
      </c>
    </row>
    <row r="869" spans="1:16" x14ac:dyDescent="0.2">
      <c r="A869" s="33">
        <v>46543</v>
      </c>
      <c r="B869" s="30">
        <f t="shared" si="30"/>
        <v>6</v>
      </c>
      <c r="C869" s="30" t="str">
        <f>_xlfn.IFS(Table_13[[#This Row],[Month]]=1,"JAN",Table_13[[#This Row],[Month]]=2,"FEB",B869=3,"MAR",B869=4,"APR",B869=5,"MAY",B869=6,"JUN",B869=7,"JUL",B869=8,"AUG",Table_13[[#This Row],[Month]]=9,"SEPT",B869=10,"OCT",B869=11,"NOV",B869=12,"DEC")</f>
        <v>JUN</v>
      </c>
      <c r="D869" s="2" t="s">
        <v>11</v>
      </c>
      <c r="E869" s="2" t="s">
        <v>12</v>
      </c>
      <c r="F869" s="2" t="s">
        <v>23</v>
      </c>
      <c r="G869" s="2" t="s">
        <v>20</v>
      </c>
      <c r="H869" s="2" t="s">
        <v>33</v>
      </c>
      <c r="I869" s="2" t="s">
        <v>22</v>
      </c>
      <c r="J869" s="15">
        <v>180000</v>
      </c>
      <c r="K869" s="2">
        <v>9</v>
      </c>
      <c r="L869" s="2" t="s">
        <v>35</v>
      </c>
      <c r="M869" s="12">
        <f t="shared" si="27"/>
        <v>144000</v>
      </c>
      <c r="N869" s="10">
        <f>PRODUCT(Table_13[[#This Row],[Unit Price]],Table_13[[#This Row],[Quantity]])</f>
        <v>1620000</v>
      </c>
      <c r="O869" s="16">
        <f>PRODUCT(Table_13[[#This Row],[Cost Price]],Table_13[[#This Row],[Quantity]])</f>
        <v>1296000</v>
      </c>
      <c r="P869" s="27">
        <f t="shared" si="31"/>
        <v>324000</v>
      </c>
    </row>
    <row r="870" spans="1:16" x14ac:dyDescent="0.2">
      <c r="A870" s="33">
        <v>46544</v>
      </c>
      <c r="B870" s="30">
        <f t="shared" si="30"/>
        <v>6</v>
      </c>
      <c r="C870" s="30" t="str">
        <f>_xlfn.IFS(Table_13[[#This Row],[Month]]=1,"JAN",Table_13[[#This Row],[Month]]=2,"FEB",B870=3,"MAR",B870=4,"APR",B870=5,"MAY",B870=6,"JUN",B870=7,"JUL",B870=8,"AUG",Table_13[[#This Row],[Month]]=9,"SEPT",B870=10,"OCT",B870=11,"NOV",B870=12,"DEC")</f>
        <v>JUN</v>
      </c>
      <c r="D870" s="2" t="s">
        <v>11</v>
      </c>
      <c r="E870" s="2" t="s">
        <v>26</v>
      </c>
      <c r="F870" s="2" t="s">
        <v>23</v>
      </c>
      <c r="G870" s="2" t="s">
        <v>20</v>
      </c>
      <c r="H870" s="2" t="s">
        <v>41</v>
      </c>
      <c r="I870" s="2" t="s">
        <v>22</v>
      </c>
      <c r="J870" s="15">
        <v>220000</v>
      </c>
      <c r="K870" s="2">
        <v>5</v>
      </c>
      <c r="L870" s="2" t="s">
        <v>35</v>
      </c>
      <c r="M870" s="12">
        <f t="shared" si="27"/>
        <v>176000</v>
      </c>
      <c r="N870" s="10">
        <f>PRODUCT(Table_13[[#This Row],[Unit Price]],Table_13[[#This Row],[Quantity]])</f>
        <v>1100000</v>
      </c>
      <c r="O870" s="16">
        <f>PRODUCT(Table_13[[#This Row],[Cost Price]],Table_13[[#This Row],[Quantity]])</f>
        <v>880000</v>
      </c>
      <c r="P870" s="27">
        <f t="shared" si="31"/>
        <v>220000</v>
      </c>
    </row>
    <row r="871" spans="1:16" x14ac:dyDescent="0.2">
      <c r="A871" s="33">
        <v>46545</v>
      </c>
      <c r="B871" s="30">
        <f t="shared" si="30"/>
        <v>6</v>
      </c>
      <c r="C871" s="30" t="str">
        <f>_xlfn.IFS(Table_13[[#This Row],[Month]]=1,"JAN",Table_13[[#This Row],[Month]]=2,"FEB",B871=3,"MAR",B871=4,"APR",B871=5,"MAY",B871=6,"JUN",B871=7,"JUL",B871=8,"AUG",Table_13[[#This Row],[Month]]=9,"SEPT",B871=10,"OCT",B871=11,"NOV",B871=12,"DEC")</f>
        <v>JUN</v>
      </c>
      <c r="D871" s="2" t="s">
        <v>25</v>
      </c>
      <c r="E871" s="2" t="s">
        <v>26</v>
      </c>
      <c r="F871" s="2" t="s">
        <v>23</v>
      </c>
      <c r="G871" s="2" t="s">
        <v>20</v>
      </c>
      <c r="H871" s="2" t="s">
        <v>33</v>
      </c>
      <c r="I871" s="2" t="s">
        <v>22</v>
      </c>
      <c r="J871" s="15">
        <v>180000</v>
      </c>
      <c r="K871" s="2">
        <v>5</v>
      </c>
      <c r="L871" s="2" t="s">
        <v>35</v>
      </c>
      <c r="M871" s="12">
        <f t="shared" si="27"/>
        <v>144000</v>
      </c>
      <c r="N871" s="10">
        <f>PRODUCT(Table_13[[#This Row],[Unit Price]],Table_13[[#This Row],[Quantity]])</f>
        <v>900000</v>
      </c>
      <c r="O871" s="16">
        <f>PRODUCT(Table_13[[#This Row],[Cost Price]],Table_13[[#This Row],[Quantity]])</f>
        <v>720000</v>
      </c>
      <c r="P871" s="27">
        <f t="shared" si="31"/>
        <v>180000</v>
      </c>
    </row>
    <row r="872" spans="1:16" x14ac:dyDescent="0.2">
      <c r="A872" s="33">
        <v>46546</v>
      </c>
      <c r="B872" s="30">
        <f t="shared" si="30"/>
        <v>6</v>
      </c>
      <c r="C872" s="30" t="str">
        <f>_xlfn.IFS(Table_13[[#This Row],[Month]]=1,"JAN",Table_13[[#This Row],[Month]]=2,"FEB",B872=3,"MAR",B872=4,"APR",B872=5,"MAY",B872=6,"JUN",B872=7,"JUL",B872=8,"AUG",Table_13[[#This Row],[Month]]=9,"SEPT",B872=10,"OCT",B872=11,"NOV",B872=12,"DEC")</f>
        <v>JUN</v>
      </c>
      <c r="D872" s="2" t="s">
        <v>11</v>
      </c>
      <c r="E872" s="2" t="s">
        <v>19</v>
      </c>
      <c r="F872" s="2" t="s">
        <v>23</v>
      </c>
      <c r="G872" s="2" t="s">
        <v>14</v>
      </c>
      <c r="H872" s="2" t="s">
        <v>27</v>
      </c>
      <c r="I872" s="2" t="s">
        <v>22</v>
      </c>
      <c r="J872" s="15">
        <v>60000</v>
      </c>
      <c r="K872" s="2">
        <v>7</v>
      </c>
      <c r="L872" s="2" t="s">
        <v>17</v>
      </c>
      <c r="M872" s="12">
        <f t="shared" si="27"/>
        <v>48000</v>
      </c>
      <c r="N872" s="10">
        <f>PRODUCT(Table_13[[#This Row],[Unit Price]],Table_13[[#This Row],[Quantity]])</f>
        <v>420000</v>
      </c>
      <c r="O872" s="16">
        <f>PRODUCT(Table_13[[#This Row],[Cost Price]],Table_13[[#This Row],[Quantity]])</f>
        <v>336000</v>
      </c>
      <c r="P872" s="27">
        <f t="shared" si="31"/>
        <v>84000</v>
      </c>
    </row>
    <row r="873" spans="1:16" x14ac:dyDescent="0.2">
      <c r="A873" s="33">
        <v>46547</v>
      </c>
      <c r="B873" s="30">
        <f t="shared" si="30"/>
        <v>6</v>
      </c>
      <c r="C873" s="30" t="str">
        <f>_xlfn.IFS(Table_13[[#This Row],[Month]]=1,"JAN",Table_13[[#This Row],[Month]]=2,"FEB",B873=3,"MAR",B873=4,"APR",B873=5,"MAY",B873=6,"JUN",B873=7,"JUL",B873=8,"AUG",Table_13[[#This Row],[Month]]=9,"SEPT",B873=10,"OCT",B873=11,"NOV",B873=12,"DEC")</f>
        <v>JUN</v>
      </c>
      <c r="D873" s="2" t="s">
        <v>25</v>
      </c>
      <c r="E873" s="2" t="s">
        <v>26</v>
      </c>
      <c r="F873" s="2" t="s">
        <v>23</v>
      </c>
      <c r="G873" s="2" t="s">
        <v>20</v>
      </c>
      <c r="H873" s="2" t="s">
        <v>36</v>
      </c>
      <c r="I873" s="2" t="s">
        <v>31</v>
      </c>
      <c r="J873" s="15">
        <v>150000</v>
      </c>
      <c r="K873" s="2">
        <v>7</v>
      </c>
      <c r="L873" s="2" t="s">
        <v>35</v>
      </c>
      <c r="M873" s="12">
        <f t="shared" si="27"/>
        <v>120000</v>
      </c>
      <c r="N873" s="10">
        <f>PRODUCT(Table_13[[#This Row],[Unit Price]],Table_13[[#This Row],[Quantity]])</f>
        <v>1050000</v>
      </c>
      <c r="O873" s="16">
        <f>PRODUCT(Table_13[[#This Row],[Cost Price]],Table_13[[#This Row],[Quantity]])</f>
        <v>840000</v>
      </c>
      <c r="P873" s="27">
        <f t="shared" si="31"/>
        <v>210000</v>
      </c>
    </row>
    <row r="874" spans="1:16" x14ac:dyDescent="0.2">
      <c r="A874" s="33">
        <v>46548</v>
      </c>
      <c r="B874" s="30">
        <f t="shared" si="30"/>
        <v>6</v>
      </c>
      <c r="C874" s="30" t="str">
        <f>_xlfn.IFS(Table_13[[#This Row],[Month]]=1,"JAN",Table_13[[#This Row],[Month]]=2,"FEB",B874=3,"MAR",B874=4,"APR",B874=5,"MAY",B874=6,"JUN",B874=7,"JUL",B874=8,"AUG",Table_13[[#This Row],[Month]]=9,"SEPT",B874=10,"OCT",B874=11,"NOV",B874=12,"DEC")</f>
        <v>JUN</v>
      </c>
      <c r="D874" s="2" t="s">
        <v>18</v>
      </c>
      <c r="E874" s="2" t="s">
        <v>12</v>
      </c>
      <c r="F874" s="2" t="s">
        <v>23</v>
      </c>
      <c r="G874" s="2" t="s">
        <v>20</v>
      </c>
      <c r="H874" s="2" t="s">
        <v>21</v>
      </c>
      <c r="I874" s="2" t="s">
        <v>22</v>
      </c>
      <c r="J874" s="15">
        <v>30000</v>
      </c>
      <c r="K874" s="2">
        <v>4</v>
      </c>
      <c r="L874" s="2" t="s">
        <v>37</v>
      </c>
      <c r="M874" s="12">
        <f t="shared" si="27"/>
        <v>24000</v>
      </c>
      <c r="N874" s="10">
        <f>PRODUCT(Table_13[[#This Row],[Unit Price]],Table_13[[#This Row],[Quantity]])</f>
        <v>120000</v>
      </c>
      <c r="O874" s="16">
        <f>PRODUCT(Table_13[[#This Row],[Cost Price]],Table_13[[#This Row],[Quantity]])</f>
        <v>96000</v>
      </c>
      <c r="P874" s="27">
        <f t="shared" si="31"/>
        <v>24000</v>
      </c>
    </row>
    <row r="875" spans="1:16" x14ac:dyDescent="0.2">
      <c r="A875" s="33">
        <v>46549</v>
      </c>
      <c r="B875" s="30">
        <f t="shared" si="30"/>
        <v>6</v>
      </c>
      <c r="C875" s="30" t="str">
        <f>_xlfn.IFS(Table_13[[#This Row],[Month]]=1,"JAN",Table_13[[#This Row],[Month]]=2,"FEB",B875=3,"MAR",B875=4,"APR",B875=5,"MAY",B875=6,"JUN",B875=7,"JUL",B875=8,"AUG",Table_13[[#This Row],[Month]]=9,"SEPT",B875=10,"OCT",B875=11,"NOV",B875=12,"DEC")</f>
        <v>JUN</v>
      </c>
      <c r="D875" s="2" t="s">
        <v>11</v>
      </c>
      <c r="E875" s="2" t="s">
        <v>32</v>
      </c>
      <c r="F875" s="2" t="s">
        <v>23</v>
      </c>
      <c r="G875" s="2" t="s">
        <v>20</v>
      </c>
      <c r="H875" s="2" t="s">
        <v>38</v>
      </c>
      <c r="I875" s="2" t="s">
        <v>31</v>
      </c>
      <c r="J875" s="15">
        <v>420000</v>
      </c>
      <c r="K875" s="2">
        <v>1</v>
      </c>
      <c r="L875" s="2" t="s">
        <v>37</v>
      </c>
      <c r="M875" s="12">
        <f t="shared" si="27"/>
        <v>336000</v>
      </c>
      <c r="N875" s="10">
        <f>PRODUCT(Table_13[[#This Row],[Unit Price]],Table_13[[#This Row],[Quantity]])</f>
        <v>420000</v>
      </c>
      <c r="O875" s="16">
        <f>PRODUCT(Table_13[[#This Row],[Cost Price]],Table_13[[#This Row],[Quantity]])</f>
        <v>336000</v>
      </c>
      <c r="P875" s="27">
        <f t="shared" si="31"/>
        <v>84000</v>
      </c>
    </row>
    <row r="876" spans="1:16" x14ac:dyDescent="0.2">
      <c r="A876" s="33">
        <v>46550</v>
      </c>
      <c r="B876" s="30">
        <f t="shared" si="30"/>
        <v>6</v>
      </c>
      <c r="C876" s="30" t="str">
        <f>_xlfn.IFS(Table_13[[#This Row],[Month]]=1,"JAN",Table_13[[#This Row],[Month]]=2,"FEB",B876=3,"MAR",B876=4,"APR",B876=5,"MAY",B876=6,"JUN",B876=7,"JUL",B876=8,"AUG",Table_13[[#This Row],[Month]]=9,"SEPT",B876=10,"OCT",B876=11,"NOV",B876=12,"DEC")</f>
        <v>JUN</v>
      </c>
      <c r="D876" s="2" t="s">
        <v>11</v>
      </c>
      <c r="E876" s="2" t="s">
        <v>26</v>
      </c>
      <c r="F876" s="2" t="s">
        <v>23</v>
      </c>
      <c r="G876" s="2" t="s">
        <v>20</v>
      </c>
      <c r="H876" s="2" t="s">
        <v>38</v>
      </c>
      <c r="I876" s="2" t="s">
        <v>31</v>
      </c>
      <c r="J876" s="15">
        <v>420000</v>
      </c>
      <c r="K876" s="2">
        <v>4</v>
      </c>
      <c r="L876" s="2" t="s">
        <v>35</v>
      </c>
      <c r="M876" s="12">
        <f t="shared" si="27"/>
        <v>336000</v>
      </c>
      <c r="N876" s="10">
        <f>PRODUCT(Table_13[[#This Row],[Unit Price]],Table_13[[#This Row],[Quantity]])</f>
        <v>1680000</v>
      </c>
      <c r="O876" s="16">
        <f>PRODUCT(Table_13[[#This Row],[Cost Price]],Table_13[[#This Row],[Quantity]])</f>
        <v>1344000</v>
      </c>
      <c r="P876" s="27">
        <f t="shared" si="31"/>
        <v>336000</v>
      </c>
    </row>
    <row r="877" spans="1:16" x14ac:dyDescent="0.2">
      <c r="A877" s="33">
        <v>46551</v>
      </c>
      <c r="B877" s="30">
        <f t="shared" si="30"/>
        <v>6</v>
      </c>
      <c r="C877" s="30" t="str">
        <f>_xlfn.IFS(Table_13[[#This Row],[Month]]=1,"JAN",Table_13[[#This Row],[Month]]=2,"FEB",B877=3,"MAR",B877=4,"APR",B877=5,"MAY",B877=6,"JUN",B877=7,"JUL",B877=8,"AUG",Table_13[[#This Row],[Month]]=9,"SEPT",B877=10,"OCT",B877=11,"NOV",B877=12,"DEC")</f>
        <v>JUN</v>
      </c>
      <c r="D877" s="2" t="s">
        <v>29</v>
      </c>
      <c r="E877" s="2" t="s">
        <v>26</v>
      </c>
      <c r="F877" s="2" t="s">
        <v>23</v>
      </c>
      <c r="G877" s="2" t="s">
        <v>14</v>
      </c>
      <c r="H877" s="2" t="s">
        <v>15</v>
      </c>
      <c r="I877" s="2" t="s">
        <v>16</v>
      </c>
      <c r="J877" s="15">
        <v>85000</v>
      </c>
      <c r="K877" s="2">
        <v>4</v>
      </c>
      <c r="L877" s="2" t="s">
        <v>35</v>
      </c>
      <c r="M877" s="12">
        <f t="shared" si="27"/>
        <v>68000</v>
      </c>
      <c r="N877" s="10">
        <f>PRODUCT(Table_13[[#This Row],[Unit Price]],Table_13[[#This Row],[Quantity]])</f>
        <v>340000</v>
      </c>
      <c r="O877" s="16">
        <f>PRODUCT(Table_13[[#This Row],[Cost Price]],Table_13[[#This Row],[Quantity]])</f>
        <v>272000</v>
      </c>
      <c r="P877" s="27">
        <f t="shared" si="31"/>
        <v>68000</v>
      </c>
    </row>
    <row r="878" spans="1:16" x14ac:dyDescent="0.2">
      <c r="A878" s="33">
        <v>46552</v>
      </c>
      <c r="B878" s="30">
        <f t="shared" si="30"/>
        <v>6</v>
      </c>
      <c r="C878" s="30" t="str">
        <f>_xlfn.IFS(Table_13[[#This Row],[Month]]=1,"JAN",Table_13[[#This Row],[Month]]=2,"FEB",B878=3,"MAR",B878=4,"APR",B878=5,"MAY",B878=6,"JUN",B878=7,"JUL",B878=8,"AUG",Table_13[[#This Row],[Month]]=9,"SEPT",B878=10,"OCT",B878=11,"NOV",B878=12,"DEC")</f>
        <v>JUN</v>
      </c>
      <c r="D878" s="2" t="s">
        <v>11</v>
      </c>
      <c r="E878" s="2" t="s">
        <v>19</v>
      </c>
      <c r="F878" s="2" t="s">
        <v>23</v>
      </c>
      <c r="G878" s="2" t="s">
        <v>20</v>
      </c>
      <c r="H878" s="2" t="s">
        <v>34</v>
      </c>
      <c r="I878" s="2" t="s">
        <v>16</v>
      </c>
      <c r="J878" s="15">
        <v>320000</v>
      </c>
      <c r="K878" s="2">
        <v>5</v>
      </c>
      <c r="L878" s="2" t="s">
        <v>28</v>
      </c>
      <c r="M878" s="12">
        <f t="shared" si="27"/>
        <v>256000</v>
      </c>
      <c r="N878" s="10">
        <f>PRODUCT(Table_13[[#This Row],[Unit Price]],Table_13[[#This Row],[Quantity]])</f>
        <v>1600000</v>
      </c>
      <c r="O878" s="16">
        <f>PRODUCT(Table_13[[#This Row],[Cost Price]],Table_13[[#This Row],[Quantity]])</f>
        <v>1280000</v>
      </c>
      <c r="P878" s="27">
        <f t="shared" si="31"/>
        <v>320000</v>
      </c>
    </row>
    <row r="879" spans="1:16" x14ac:dyDescent="0.2">
      <c r="A879" s="33">
        <v>46553</v>
      </c>
      <c r="B879" s="30">
        <f t="shared" si="30"/>
        <v>6</v>
      </c>
      <c r="C879" s="30" t="str">
        <f>_xlfn.IFS(Table_13[[#This Row],[Month]]=1,"JAN",Table_13[[#This Row],[Month]]=2,"FEB",B879=3,"MAR",B879=4,"APR",B879=5,"MAY",B879=6,"JUN",B879=7,"JUL",B879=8,"AUG",Table_13[[#This Row],[Month]]=9,"SEPT",B879=10,"OCT",B879=11,"NOV",B879=12,"DEC")</f>
        <v>JUN</v>
      </c>
      <c r="D879" s="2" t="s">
        <v>18</v>
      </c>
      <c r="E879" s="2" t="s">
        <v>12</v>
      </c>
      <c r="F879" s="2" t="s">
        <v>23</v>
      </c>
      <c r="G879" s="2" t="s">
        <v>20</v>
      </c>
      <c r="H879" s="2" t="s">
        <v>15</v>
      </c>
      <c r="I879" s="2" t="s">
        <v>16</v>
      </c>
      <c r="J879" s="15">
        <v>85000</v>
      </c>
      <c r="K879" s="2">
        <v>4</v>
      </c>
      <c r="L879" s="2" t="s">
        <v>28</v>
      </c>
      <c r="M879" s="12">
        <f t="shared" si="27"/>
        <v>68000</v>
      </c>
      <c r="N879" s="10">
        <f>PRODUCT(Table_13[[#This Row],[Unit Price]],Table_13[[#This Row],[Quantity]])</f>
        <v>340000</v>
      </c>
      <c r="O879" s="16">
        <f>PRODUCT(Table_13[[#This Row],[Cost Price]],Table_13[[#This Row],[Quantity]])</f>
        <v>272000</v>
      </c>
      <c r="P879" s="27">
        <f t="shared" si="31"/>
        <v>68000</v>
      </c>
    </row>
    <row r="880" spans="1:16" x14ac:dyDescent="0.2">
      <c r="A880" s="33">
        <v>46554</v>
      </c>
      <c r="B880" s="30">
        <f t="shared" si="30"/>
        <v>6</v>
      </c>
      <c r="C880" s="30" t="str">
        <f>_xlfn.IFS(Table_13[[#This Row],[Month]]=1,"JAN",Table_13[[#This Row],[Month]]=2,"FEB",B880=3,"MAR",B880=4,"APR",B880=5,"MAY",B880=6,"JUN",B880=7,"JUL",B880=8,"AUG",Table_13[[#This Row],[Month]]=9,"SEPT",B880=10,"OCT",B880=11,"NOV",B880=12,"DEC")</f>
        <v>JUN</v>
      </c>
      <c r="D880" s="2" t="s">
        <v>11</v>
      </c>
      <c r="E880" s="2" t="s">
        <v>12</v>
      </c>
      <c r="F880" s="2" t="s">
        <v>23</v>
      </c>
      <c r="G880" s="2" t="s">
        <v>20</v>
      </c>
      <c r="H880" s="2" t="s">
        <v>38</v>
      </c>
      <c r="I880" s="2" t="s">
        <v>31</v>
      </c>
      <c r="J880" s="15">
        <v>420000</v>
      </c>
      <c r="K880" s="2">
        <v>7</v>
      </c>
      <c r="L880" s="2" t="s">
        <v>39</v>
      </c>
      <c r="M880" s="12">
        <f t="shared" si="27"/>
        <v>336000</v>
      </c>
      <c r="N880" s="10">
        <f>PRODUCT(Table_13[[#This Row],[Unit Price]],Table_13[[#This Row],[Quantity]])</f>
        <v>2940000</v>
      </c>
      <c r="O880" s="16">
        <f>PRODUCT(Table_13[[#This Row],[Cost Price]],Table_13[[#This Row],[Quantity]])</f>
        <v>2352000</v>
      </c>
      <c r="P880" s="27">
        <f t="shared" si="31"/>
        <v>588000</v>
      </c>
    </row>
    <row r="881" spans="1:16" x14ac:dyDescent="0.2">
      <c r="A881" s="33">
        <v>46555</v>
      </c>
      <c r="B881" s="30">
        <f t="shared" si="30"/>
        <v>6</v>
      </c>
      <c r="C881" s="30" t="str">
        <f>_xlfn.IFS(Table_13[[#This Row],[Month]]=1,"JAN",Table_13[[#This Row],[Month]]=2,"FEB",B881=3,"MAR",B881=4,"APR",B881=5,"MAY",B881=6,"JUN",B881=7,"JUL",B881=8,"AUG",Table_13[[#This Row],[Month]]=9,"SEPT",B881=10,"OCT",B881=11,"NOV",B881=12,"DEC")</f>
        <v>JUN</v>
      </c>
      <c r="D881" s="2" t="s">
        <v>11</v>
      </c>
      <c r="E881" s="2" t="s">
        <v>26</v>
      </c>
      <c r="F881" s="2" t="s">
        <v>23</v>
      </c>
      <c r="G881" s="2" t="s">
        <v>14</v>
      </c>
      <c r="H881" s="2" t="s">
        <v>21</v>
      </c>
      <c r="I881" s="2" t="s">
        <v>22</v>
      </c>
      <c r="J881" s="15">
        <v>30000</v>
      </c>
      <c r="K881" s="2">
        <v>10</v>
      </c>
      <c r="L881" s="2" t="s">
        <v>28</v>
      </c>
      <c r="M881" s="12">
        <f t="shared" si="27"/>
        <v>24000</v>
      </c>
      <c r="N881" s="10">
        <f>PRODUCT(Table_13[[#This Row],[Unit Price]],Table_13[[#This Row],[Quantity]])</f>
        <v>300000</v>
      </c>
      <c r="O881" s="16">
        <f>PRODUCT(Table_13[[#This Row],[Cost Price]],Table_13[[#This Row],[Quantity]])</f>
        <v>240000</v>
      </c>
      <c r="P881" s="27">
        <f t="shared" si="31"/>
        <v>60000</v>
      </c>
    </row>
    <row r="882" spans="1:16" x14ac:dyDescent="0.2">
      <c r="A882" s="33">
        <v>46556</v>
      </c>
      <c r="B882" s="30">
        <f t="shared" si="30"/>
        <v>6</v>
      </c>
      <c r="C882" s="30" t="str">
        <f>_xlfn.IFS(Table_13[[#This Row],[Month]]=1,"JAN",Table_13[[#This Row],[Month]]=2,"FEB",B882=3,"MAR",B882=4,"APR",B882=5,"MAY",B882=6,"JUN",B882=7,"JUL",B882=8,"AUG",Table_13[[#This Row],[Month]]=9,"SEPT",B882=10,"OCT",B882=11,"NOV",B882=12,"DEC")</f>
        <v>JUN</v>
      </c>
      <c r="D882" s="2" t="s">
        <v>11</v>
      </c>
      <c r="E882" s="2" t="s">
        <v>26</v>
      </c>
      <c r="F882" s="2" t="s">
        <v>23</v>
      </c>
      <c r="G882" s="2" t="s">
        <v>14</v>
      </c>
      <c r="H882" s="2" t="s">
        <v>36</v>
      </c>
      <c r="I882" s="2" t="s">
        <v>31</v>
      </c>
      <c r="J882" s="15">
        <v>150000</v>
      </c>
      <c r="K882" s="2">
        <v>10</v>
      </c>
      <c r="L882" s="2" t="s">
        <v>28</v>
      </c>
      <c r="M882" s="12">
        <f t="shared" si="27"/>
        <v>120000</v>
      </c>
      <c r="N882" s="10">
        <f>PRODUCT(Table_13[[#This Row],[Unit Price]],Table_13[[#This Row],[Quantity]])</f>
        <v>1500000</v>
      </c>
      <c r="O882" s="16">
        <f>PRODUCT(Table_13[[#This Row],[Cost Price]],Table_13[[#This Row],[Quantity]])</f>
        <v>1200000</v>
      </c>
      <c r="P882" s="27">
        <f t="shared" si="31"/>
        <v>300000</v>
      </c>
    </row>
    <row r="883" spans="1:16" x14ac:dyDescent="0.2">
      <c r="A883" s="33">
        <v>46557</v>
      </c>
      <c r="B883" s="30">
        <f t="shared" si="30"/>
        <v>6</v>
      </c>
      <c r="C883" s="30" t="str">
        <f>_xlfn.IFS(Table_13[[#This Row],[Month]]=1,"JAN",Table_13[[#This Row],[Month]]=2,"FEB",B883=3,"MAR",B883=4,"APR",B883=5,"MAY",B883=6,"JUN",B883=7,"JUL",B883=8,"AUG",Table_13[[#This Row],[Month]]=9,"SEPT",B883=10,"OCT",B883=11,"NOV",B883=12,"DEC")</f>
        <v>JUN</v>
      </c>
      <c r="D883" s="2" t="s">
        <v>25</v>
      </c>
      <c r="E883" s="2" t="s">
        <v>12</v>
      </c>
      <c r="F883" s="2" t="s">
        <v>23</v>
      </c>
      <c r="G883" s="2" t="s">
        <v>20</v>
      </c>
      <c r="H883" s="2" t="s">
        <v>40</v>
      </c>
      <c r="I883" s="2" t="s">
        <v>31</v>
      </c>
      <c r="J883" s="15">
        <v>250000</v>
      </c>
      <c r="K883" s="2">
        <v>4</v>
      </c>
      <c r="L883" s="2" t="s">
        <v>37</v>
      </c>
      <c r="M883" s="12">
        <f t="shared" si="27"/>
        <v>200000</v>
      </c>
      <c r="N883" s="10">
        <f>PRODUCT(Table_13[[#This Row],[Unit Price]],Table_13[[#This Row],[Quantity]])</f>
        <v>1000000</v>
      </c>
      <c r="O883" s="16">
        <f>PRODUCT(Table_13[[#This Row],[Cost Price]],Table_13[[#This Row],[Quantity]])</f>
        <v>800000</v>
      </c>
      <c r="P883" s="27">
        <f t="shared" si="31"/>
        <v>200000</v>
      </c>
    </row>
    <row r="884" spans="1:16" x14ac:dyDescent="0.2">
      <c r="A884" s="33">
        <v>46558</v>
      </c>
      <c r="B884" s="30">
        <f t="shared" si="30"/>
        <v>6</v>
      </c>
      <c r="C884" s="30" t="str">
        <f>_xlfn.IFS(Table_13[[#This Row],[Month]]=1,"JAN",Table_13[[#This Row],[Month]]=2,"FEB",B884=3,"MAR",B884=4,"APR",B884=5,"MAY",B884=6,"JUN",B884=7,"JUL",B884=8,"AUG",Table_13[[#This Row],[Month]]=9,"SEPT",B884=10,"OCT",B884=11,"NOV",B884=12,"DEC")</f>
        <v>JUN</v>
      </c>
      <c r="D884" s="2" t="s">
        <v>18</v>
      </c>
      <c r="E884" s="2" t="s">
        <v>32</v>
      </c>
      <c r="F884" s="2" t="s">
        <v>13</v>
      </c>
      <c r="G884" s="2" t="s">
        <v>14</v>
      </c>
      <c r="H884" s="2" t="s">
        <v>41</v>
      </c>
      <c r="I884" s="2" t="s">
        <v>22</v>
      </c>
      <c r="J884" s="15">
        <v>220000</v>
      </c>
      <c r="K884" s="2">
        <v>6</v>
      </c>
      <c r="L884" s="2" t="s">
        <v>37</v>
      </c>
      <c r="M884" s="12">
        <f t="shared" si="27"/>
        <v>176000</v>
      </c>
      <c r="N884" s="10">
        <f>PRODUCT(Table_13[[#This Row],[Unit Price]],Table_13[[#This Row],[Quantity]])</f>
        <v>1320000</v>
      </c>
      <c r="O884" s="16">
        <f>PRODUCT(Table_13[[#This Row],[Cost Price]],Table_13[[#This Row],[Quantity]])</f>
        <v>1056000</v>
      </c>
      <c r="P884" s="27">
        <f t="shared" si="31"/>
        <v>264000</v>
      </c>
    </row>
    <row r="885" spans="1:16" x14ac:dyDescent="0.2">
      <c r="A885" s="33">
        <v>46559</v>
      </c>
      <c r="B885" s="30">
        <f t="shared" si="30"/>
        <v>6</v>
      </c>
      <c r="C885" s="30" t="str">
        <f>_xlfn.IFS(Table_13[[#This Row],[Month]]=1,"JAN",Table_13[[#This Row],[Month]]=2,"FEB",B885=3,"MAR",B885=4,"APR",B885=5,"MAY",B885=6,"JUN",B885=7,"JUL",B885=8,"AUG",Table_13[[#This Row],[Month]]=9,"SEPT",B885=10,"OCT",B885=11,"NOV",B885=12,"DEC")</f>
        <v>JUN</v>
      </c>
      <c r="D885" s="2" t="s">
        <v>29</v>
      </c>
      <c r="E885" s="2" t="s">
        <v>12</v>
      </c>
      <c r="F885" s="2" t="s">
        <v>13</v>
      </c>
      <c r="G885" s="2" t="s">
        <v>20</v>
      </c>
      <c r="H885" s="2" t="s">
        <v>36</v>
      </c>
      <c r="I885" s="2" t="s">
        <v>31</v>
      </c>
      <c r="J885" s="15">
        <v>150000</v>
      </c>
      <c r="K885" s="2">
        <v>10</v>
      </c>
      <c r="L885" s="2" t="s">
        <v>24</v>
      </c>
      <c r="M885" s="12">
        <f t="shared" si="27"/>
        <v>120000</v>
      </c>
      <c r="N885" s="10">
        <f>PRODUCT(Table_13[[#This Row],[Unit Price]],Table_13[[#This Row],[Quantity]])</f>
        <v>1500000</v>
      </c>
      <c r="O885" s="16">
        <f>PRODUCT(Table_13[[#This Row],[Cost Price]],Table_13[[#This Row],[Quantity]])</f>
        <v>1200000</v>
      </c>
      <c r="P885" s="27">
        <f t="shared" si="31"/>
        <v>300000</v>
      </c>
    </row>
    <row r="886" spans="1:16" x14ac:dyDescent="0.2">
      <c r="A886" s="33">
        <v>46560</v>
      </c>
      <c r="B886" s="30">
        <f t="shared" si="30"/>
        <v>6</v>
      </c>
      <c r="C886" s="30" t="str">
        <f>_xlfn.IFS(Table_13[[#This Row],[Month]]=1,"JAN",Table_13[[#This Row],[Month]]=2,"FEB",B886=3,"MAR",B886=4,"APR",B886=5,"MAY",B886=6,"JUN",B886=7,"JUL",B886=8,"AUG",Table_13[[#This Row],[Month]]=9,"SEPT",B886=10,"OCT",B886=11,"NOV",B886=12,"DEC")</f>
        <v>JUN</v>
      </c>
      <c r="D886" s="2" t="s">
        <v>18</v>
      </c>
      <c r="E886" s="2" t="s">
        <v>26</v>
      </c>
      <c r="F886" s="2" t="s">
        <v>13</v>
      </c>
      <c r="G886" s="2" t="s">
        <v>14</v>
      </c>
      <c r="H886" s="2" t="s">
        <v>36</v>
      </c>
      <c r="I886" s="2" t="s">
        <v>31</v>
      </c>
      <c r="J886" s="15">
        <v>150000</v>
      </c>
      <c r="K886" s="2">
        <v>2</v>
      </c>
      <c r="L886" s="2" t="s">
        <v>28</v>
      </c>
      <c r="M886" s="12">
        <f t="shared" si="27"/>
        <v>120000</v>
      </c>
      <c r="N886" s="10">
        <f>PRODUCT(Table_13[[#This Row],[Unit Price]],Table_13[[#This Row],[Quantity]])</f>
        <v>300000</v>
      </c>
      <c r="O886" s="16">
        <f>PRODUCT(Table_13[[#This Row],[Cost Price]],Table_13[[#This Row],[Quantity]])</f>
        <v>240000</v>
      </c>
      <c r="P886" s="27">
        <f t="shared" si="31"/>
        <v>60000</v>
      </c>
    </row>
    <row r="887" spans="1:16" x14ac:dyDescent="0.2">
      <c r="A887" s="33">
        <v>46561</v>
      </c>
      <c r="B887" s="30">
        <f t="shared" si="30"/>
        <v>6</v>
      </c>
      <c r="C887" s="30" t="str">
        <f>_xlfn.IFS(Table_13[[#This Row],[Month]]=1,"JAN",Table_13[[#This Row],[Month]]=2,"FEB",B887=3,"MAR",B887=4,"APR",B887=5,"MAY",B887=6,"JUN",B887=7,"JUL",B887=8,"AUG",Table_13[[#This Row],[Month]]=9,"SEPT",B887=10,"OCT",B887=11,"NOV",B887=12,"DEC")</f>
        <v>JUN</v>
      </c>
      <c r="D887" s="2" t="s">
        <v>11</v>
      </c>
      <c r="E887" s="2" t="s">
        <v>12</v>
      </c>
      <c r="F887" s="2" t="s">
        <v>13</v>
      </c>
      <c r="G887" s="2" t="s">
        <v>14</v>
      </c>
      <c r="H887" s="2" t="s">
        <v>40</v>
      </c>
      <c r="I887" s="2" t="s">
        <v>31</v>
      </c>
      <c r="J887" s="15">
        <v>250000</v>
      </c>
      <c r="K887" s="2">
        <v>4</v>
      </c>
      <c r="L887" s="2" t="s">
        <v>35</v>
      </c>
      <c r="M887" s="12">
        <f t="shared" si="27"/>
        <v>200000</v>
      </c>
      <c r="N887" s="10">
        <f>PRODUCT(Table_13[[#This Row],[Unit Price]],Table_13[[#This Row],[Quantity]])</f>
        <v>1000000</v>
      </c>
      <c r="O887" s="16">
        <f>PRODUCT(Table_13[[#This Row],[Cost Price]],Table_13[[#This Row],[Quantity]])</f>
        <v>800000</v>
      </c>
      <c r="P887" s="27">
        <f t="shared" si="31"/>
        <v>200000</v>
      </c>
    </row>
    <row r="888" spans="1:16" x14ac:dyDescent="0.2">
      <c r="A888" s="33">
        <v>46562</v>
      </c>
      <c r="B888" s="30">
        <f t="shared" si="30"/>
        <v>6</v>
      </c>
      <c r="C888" s="30" t="str">
        <f>_xlfn.IFS(Table_13[[#This Row],[Month]]=1,"JAN",Table_13[[#This Row],[Month]]=2,"FEB",B888=3,"MAR",B888=4,"APR",B888=5,"MAY",B888=6,"JUN",B888=7,"JUL",B888=8,"AUG",Table_13[[#This Row],[Month]]=9,"SEPT",B888=10,"OCT",B888=11,"NOV",B888=12,"DEC")</f>
        <v>JUN</v>
      </c>
      <c r="D888" s="2" t="s">
        <v>18</v>
      </c>
      <c r="E888" s="2" t="s">
        <v>12</v>
      </c>
      <c r="F888" s="2" t="s">
        <v>13</v>
      </c>
      <c r="G888" s="2" t="s">
        <v>20</v>
      </c>
      <c r="H888" s="2" t="s">
        <v>36</v>
      </c>
      <c r="I888" s="2" t="s">
        <v>31</v>
      </c>
      <c r="J888" s="15">
        <v>150000</v>
      </c>
      <c r="K888" s="2">
        <v>9</v>
      </c>
      <c r="L888" s="2" t="s">
        <v>24</v>
      </c>
      <c r="M888" s="12">
        <f t="shared" si="27"/>
        <v>120000</v>
      </c>
      <c r="N888" s="10">
        <f>PRODUCT(Table_13[[#This Row],[Unit Price]],Table_13[[#This Row],[Quantity]])</f>
        <v>1350000</v>
      </c>
      <c r="O888" s="16">
        <f>PRODUCT(Table_13[[#This Row],[Cost Price]],Table_13[[#This Row],[Quantity]])</f>
        <v>1080000</v>
      </c>
      <c r="P888" s="27">
        <f t="shared" si="31"/>
        <v>270000</v>
      </c>
    </row>
    <row r="889" spans="1:16" x14ac:dyDescent="0.2">
      <c r="A889" s="33">
        <v>46563</v>
      </c>
      <c r="B889" s="30">
        <f t="shared" si="30"/>
        <v>6</v>
      </c>
      <c r="C889" s="30" t="str">
        <f>_xlfn.IFS(Table_13[[#This Row],[Month]]=1,"JAN",Table_13[[#This Row],[Month]]=2,"FEB",B889=3,"MAR",B889=4,"APR",B889=5,"MAY",B889=6,"JUN",B889=7,"JUL",B889=8,"AUG",Table_13[[#This Row],[Month]]=9,"SEPT",B889=10,"OCT",B889=11,"NOV",B889=12,"DEC")</f>
        <v>JUN</v>
      </c>
      <c r="D889" s="2" t="s">
        <v>29</v>
      </c>
      <c r="E889" s="2" t="s">
        <v>26</v>
      </c>
      <c r="F889" s="2" t="s">
        <v>13</v>
      </c>
      <c r="G889" s="2" t="s">
        <v>20</v>
      </c>
      <c r="H889" s="2" t="s">
        <v>38</v>
      </c>
      <c r="I889" s="2" t="s">
        <v>31</v>
      </c>
      <c r="J889" s="15">
        <v>420000</v>
      </c>
      <c r="K889" s="2">
        <v>7</v>
      </c>
      <c r="L889" s="2" t="s">
        <v>35</v>
      </c>
      <c r="M889" s="12">
        <f t="shared" si="27"/>
        <v>336000</v>
      </c>
      <c r="N889" s="10">
        <f>PRODUCT(Table_13[[#This Row],[Unit Price]],Table_13[[#This Row],[Quantity]])</f>
        <v>2940000</v>
      </c>
      <c r="O889" s="16">
        <f>PRODUCT(Table_13[[#This Row],[Cost Price]],Table_13[[#This Row],[Quantity]])</f>
        <v>2352000</v>
      </c>
      <c r="P889" s="27">
        <f t="shared" si="31"/>
        <v>588000</v>
      </c>
    </row>
    <row r="890" spans="1:16" x14ac:dyDescent="0.2">
      <c r="A890" s="33">
        <v>46564</v>
      </c>
      <c r="B890" s="30">
        <f t="shared" si="30"/>
        <v>6</v>
      </c>
      <c r="C890" s="30" t="str">
        <f>_xlfn.IFS(Table_13[[#This Row],[Month]]=1,"JAN",Table_13[[#This Row],[Month]]=2,"FEB",B890=3,"MAR",B890=4,"APR",B890=5,"MAY",B890=6,"JUN",B890=7,"JUL",B890=8,"AUG",Table_13[[#This Row],[Month]]=9,"SEPT",B890=10,"OCT",B890=11,"NOV",B890=12,"DEC")</f>
        <v>JUN</v>
      </c>
      <c r="D890" s="2" t="s">
        <v>18</v>
      </c>
      <c r="E890" s="2" t="s">
        <v>19</v>
      </c>
      <c r="F890" s="2" t="s">
        <v>13</v>
      </c>
      <c r="G890" s="2" t="s">
        <v>14</v>
      </c>
      <c r="H890" s="2" t="s">
        <v>15</v>
      </c>
      <c r="I890" s="2" t="s">
        <v>16</v>
      </c>
      <c r="J890" s="15">
        <v>85000</v>
      </c>
      <c r="K890" s="2">
        <v>2</v>
      </c>
      <c r="L890" s="2" t="s">
        <v>17</v>
      </c>
      <c r="M890" s="12">
        <f t="shared" si="27"/>
        <v>68000</v>
      </c>
      <c r="N890" s="10">
        <f>PRODUCT(Table_13[[#This Row],[Unit Price]],Table_13[[#This Row],[Quantity]])</f>
        <v>170000</v>
      </c>
      <c r="O890" s="16">
        <f>PRODUCT(Table_13[[#This Row],[Cost Price]],Table_13[[#This Row],[Quantity]])</f>
        <v>136000</v>
      </c>
      <c r="P890" s="27">
        <f t="shared" si="31"/>
        <v>34000</v>
      </c>
    </row>
    <row r="891" spans="1:16" x14ac:dyDescent="0.2">
      <c r="A891" s="33">
        <v>46565</v>
      </c>
      <c r="B891" s="30">
        <f t="shared" si="30"/>
        <v>6</v>
      </c>
      <c r="C891" s="30" t="str">
        <f>_xlfn.IFS(Table_13[[#This Row],[Month]]=1,"JAN",Table_13[[#This Row],[Month]]=2,"FEB",B891=3,"MAR",B891=4,"APR",B891=5,"MAY",B891=6,"JUN",B891=7,"JUL",B891=8,"AUG",Table_13[[#This Row],[Month]]=9,"SEPT",B891=10,"OCT",B891=11,"NOV",B891=12,"DEC")</f>
        <v>JUN</v>
      </c>
      <c r="D891" s="2" t="s">
        <v>25</v>
      </c>
      <c r="E891" s="2" t="s">
        <v>19</v>
      </c>
      <c r="F891" s="2" t="s">
        <v>23</v>
      </c>
      <c r="G891" s="2" t="s">
        <v>20</v>
      </c>
      <c r="H891" s="2" t="s">
        <v>15</v>
      </c>
      <c r="I891" s="2" t="s">
        <v>16</v>
      </c>
      <c r="J891" s="15">
        <v>85000</v>
      </c>
      <c r="K891" s="2">
        <v>1</v>
      </c>
      <c r="L891" s="2" t="s">
        <v>35</v>
      </c>
      <c r="M891" s="12">
        <f t="shared" si="27"/>
        <v>68000</v>
      </c>
      <c r="N891" s="10">
        <f>PRODUCT(Table_13[[#This Row],[Unit Price]],Table_13[[#This Row],[Quantity]])</f>
        <v>85000</v>
      </c>
      <c r="O891" s="16">
        <f>PRODUCT(Table_13[[#This Row],[Cost Price]],Table_13[[#This Row],[Quantity]])</f>
        <v>68000</v>
      </c>
      <c r="P891" s="27">
        <f t="shared" si="31"/>
        <v>17000</v>
      </c>
    </row>
    <row r="892" spans="1:16" x14ac:dyDescent="0.2">
      <c r="A892" s="33">
        <v>46566</v>
      </c>
      <c r="B892" s="30">
        <f t="shared" si="30"/>
        <v>6</v>
      </c>
      <c r="C892" s="30" t="str">
        <f>_xlfn.IFS(Table_13[[#This Row],[Month]]=1,"JAN",Table_13[[#This Row],[Month]]=2,"FEB",B892=3,"MAR",B892=4,"APR",B892=5,"MAY",B892=6,"JUN",B892=7,"JUL",B892=8,"AUG",Table_13[[#This Row],[Month]]=9,"SEPT",B892=10,"OCT",B892=11,"NOV",B892=12,"DEC")</f>
        <v>JUN</v>
      </c>
      <c r="D892" s="2" t="s">
        <v>25</v>
      </c>
      <c r="E892" s="2" t="s">
        <v>26</v>
      </c>
      <c r="F892" s="2" t="s">
        <v>13</v>
      </c>
      <c r="G892" s="2" t="s">
        <v>20</v>
      </c>
      <c r="H892" s="2" t="s">
        <v>38</v>
      </c>
      <c r="I892" s="2" t="s">
        <v>31</v>
      </c>
      <c r="J892" s="15">
        <v>420000</v>
      </c>
      <c r="K892" s="2">
        <v>9</v>
      </c>
      <c r="L892" s="2" t="s">
        <v>17</v>
      </c>
      <c r="M892" s="12">
        <f t="shared" si="27"/>
        <v>336000</v>
      </c>
      <c r="N892" s="10">
        <f>PRODUCT(Table_13[[#This Row],[Unit Price]],Table_13[[#This Row],[Quantity]])</f>
        <v>3780000</v>
      </c>
      <c r="O892" s="16">
        <f>PRODUCT(Table_13[[#This Row],[Cost Price]],Table_13[[#This Row],[Quantity]])</f>
        <v>3024000</v>
      </c>
      <c r="P892" s="27">
        <f t="shared" si="31"/>
        <v>756000</v>
      </c>
    </row>
    <row r="893" spans="1:16" x14ac:dyDescent="0.2">
      <c r="A893" s="33">
        <v>46567</v>
      </c>
      <c r="B893" s="30">
        <f t="shared" si="30"/>
        <v>6</v>
      </c>
      <c r="C893" s="30" t="str">
        <f>_xlfn.IFS(Table_13[[#This Row],[Month]]=1,"JAN",Table_13[[#This Row],[Month]]=2,"FEB",B893=3,"MAR",B893=4,"APR",B893=5,"MAY",B893=6,"JUN",B893=7,"JUL",B893=8,"AUG",Table_13[[#This Row],[Month]]=9,"SEPT",B893=10,"OCT",B893=11,"NOV",B893=12,"DEC")</f>
        <v>JUN</v>
      </c>
      <c r="D893" s="2" t="s">
        <v>29</v>
      </c>
      <c r="E893" s="2" t="s">
        <v>19</v>
      </c>
      <c r="F893" s="2" t="s">
        <v>13</v>
      </c>
      <c r="G893" s="2" t="s">
        <v>20</v>
      </c>
      <c r="H893" s="2" t="s">
        <v>41</v>
      </c>
      <c r="I893" s="2" t="s">
        <v>22</v>
      </c>
      <c r="J893" s="15">
        <v>220000</v>
      </c>
      <c r="K893" s="2">
        <v>2</v>
      </c>
      <c r="L893" s="2" t="s">
        <v>39</v>
      </c>
      <c r="M893" s="12">
        <f t="shared" si="27"/>
        <v>176000</v>
      </c>
      <c r="N893" s="10">
        <f>PRODUCT(Table_13[[#This Row],[Unit Price]],Table_13[[#This Row],[Quantity]])</f>
        <v>440000</v>
      </c>
      <c r="O893" s="16">
        <f>PRODUCT(Table_13[[#This Row],[Cost Price]],Table_13[[#This Row],[Quantity]])</f>
        <v>352000</v>
      </c>
      <c r="P893" s="27">
        <f t="shared" si="31"/>
        <v>88000</v>
      </c>
    </row>
    <row r="894" spans="1:16" x14ac:dyDescent="0.2">
      <c r="A894" s="33">
        <v>46568</v>
      </c>
      <c r="B894" s="30">
        <f t="shared" si="30"/>
        <v>6</v>
      </c>
      <c r="C894" s="30" t="str">
        <f>_xlfn.IFS(Table_13[[#This Row],[Month]]=1,"JAN",Table_13[[#This Row],[Month]]=2,"FEB",B894=3,"MAR",B894=4,"APR",B894=5,"MAY",B894=6,"JUN",B894=7,"JUL",B894=8,"AUG",Table_13[[#This Row],[Month]]=9,"SEPT",B894=10,"OCT",B894=11,"NOV",B894=12,"DEC")</f>
        <v>JUN</v>
      </c>
      <c r="D894" s="2" t="s">
        <v>11</v>
      </c>
      <c r="E894" s="2" t="s">
        <v>26</v>
      </c>
      <c r="F894" s="2" t="s">
        <v>23</v>
      </c>
      <c r="G894" s="2" t="s">
        <v>20</v>
      </c>
      <c r="H894" s="2" t="s">
        <v>41</v>
      </c>
      <c r="I894" s="2" t="s">
        <v>22</v>
      </c>
      <c r="J894" s="15">
        <v>220000</v>
      </c>
      <c r="K894" s="2">
        <v>8</v>
      </c>
      <c r="L894" s="2" t="s">
        <v>37</v>
      </c>
      <c r="M894" s="12">
        <f t="shared" si="27"/>
        <v>176000</v>
      </c>
      <c r="N894" s="10">
        <f>PRODUCT(Table_13[[#This Row],[Unit Price]],Table_13[[#This Row],[Quantity]])</f>
        <v>1760000</v>
      </c>
      <c r="O894" s="16">
        <f>PRODUCT(Table_13[[#This Row],[Cost Price]],Table_13[[#This Row],[Quantity]])</f>
        <v>1408000</v>
      </c>
      <c r="P894" s="27">
        <f t="shared" si="31"/>
        <v>352000</v>
      </c>
    </row>
    <row r="895" spans="1:16" x14ac:dyDescent="0.2">
      <c r="A895" s="33">
        <v>46569</v>
      </c>
      <c r="B895" s="30">
        <f t="shared" si="30"/>
        <v>7</v>
      </c>
      <c r="C895" s="30" t="str">
        <f>_xlfn.IFS(Table_13[[#This Row],[Month]]=1,"JAN",Table_13[[#This Row],[Month]]=2,"FEB",B895=3,"MAR",B895=4,"APR",B895=5,"MAY",B895=6,"JUN",B895=7,"JUL",B895=8,"AUG",Table_13[[#This Row],[Month]]=9,"SEPT",B895=10,"OCT",B895=11,"NOV",B895=12,"DEC")</f>
        <v>JUL</v>
      </c>
      <c r="D895" s="2" t="s">
        <v>29</v>
      </c>
      <c r="E895" s="2" t="s">
        <v>12</v>
      </c>
      <c r="F895" s="2" t="s">
        <v>23</v>
      </c>
      <c r="G895" s="2" t="s">
        <v>14</v>
      </c>
      <c r="H895" s="2" t="s">
        <v>21</v>
      </c>
      <c r="I895" s="2" t="s">
        <v>22</v>
      </c>
      <c r="J895" s="15">
        <v>30000</v>
      </c>
      <c r="K895" s="2">
        <v>9</v>
      </c>
      <c r="L895" s="2" t="s">
        <v>17</v>
      </c>
      <c r="M895" s="12">
        <f t="shared" si="27"/>
        <v>24000</v>
      </c>
      <c r="N895" s="10">
        <f>PRODUCT(Table_13[[#This Row],[Unit Price]],Table_13[[#This Row],[Quantity]])</f>
        <v>270000</v>
      </c>
      <c r="O895" s="16">
        <f>PRODUCT(Table_13[[#This Row],[Cost Price]],Table_13[[#This Row],[Quantity]])</f>
        <v>216000</v>
      </c>
      <c r="P895" s="27">
        <f t="shared" si="31"/>
        <v>54000</v>
      </c>
    </row>
    <row r="896" spans="1:16" x14ac:dyDescent="0.2">
      <c r="A896" s="33">
        <v>46570</v>
      </c>
      <c r="B896" s="30">
        <f t="shared" si="30"/>
        <v>7</v>
      </c>
      <c r="C896" s="30" t="str">
        <f>_xlfn.IFS(Table_13[[#This Row],[Month]]=1,"JAN",Table_13[[#This Row],[Month]]=2,"FEB",B896=3,"MAR",B896=4,"APR",B896=5,"MAY",B896=6,"JUN",B896=7,"JUL",B896=8,"AUG",Table_13[[#This Row],[Month]]=9,"SEPT",B896=10,"OCT",B896=11,"NOV",B896=12,"DEC")</f>
        <v>JUL</v>
      </c>
      <c r="D896" s="2" t="s">
        <v>29</v>
      </c>
      <c r="E896" s="2" t="s">
        <v>32</v>
      </c>
      <c r="F896" s="2" t="s">
        <v>23</v>
      </c>
      <c r="G896" s="2" t="s">
        <v>14</v>
      </c>
      <c r="H896" s="2" t="s">
        <v>34</v>
      </c>
      <c r="I896" s="2" t="s">
        <v>16</v>
      </c>
      <c r="J896" s="15">
        <v>320000</v>
      </c>
      <c r="K896" s="2">
        <v>3</v>
      </c>
      <c r="L896" s="2" t="s">
        <v>37</v>
      </c>
      <c r="M896" s="12">
        <f t="shared" si="27"/>
        <v>256000</v>
      </c>
      <c r="N896" s="10">
        <f>PRODUCT(Table_13[[#This Row],[Unit Price]],Table_13[[#This Row],[Quantity]])</f>
        <v>960000</v>
      </c>
      <c r="O896" s="16">
        <f>PRODUCT(Table_13[[#This Row],[Cost Price]],Table_13[[#This Row],[Quantity]])</f>
        <v>768000</v>
      </c>
      <c r="P896" s="27">
        <f t="shared" si="31"/>
        <v>192000</v>
      </c>
    </row>
    <row r="897" spans="1:16" x14ac:dyDescent="0.2">
      <c r="A897" s="33">
        <v>46571</v>
      </c>
      <c r="B897" s="30">
        <f t="shared" si="30"/>
        <v>7</v>
      </c>
      <c r="C897" s="30" t="str">
        <f>_xlfn.IFS(Table_13[[#This Row],[Month]]=1,"JAN",Table_13[[#This Row],[Month]]=2,"FEB",B897=3,"MAR",B897=4,"APR",B897=5,"MAY",B897=6,"JUN",B897=7,"JUL",B897=8,"AUG",Table_13[[#This Row],[Month]]=9,"SEPT",B897=10,"OCT",B897=11,"NOV",B897=12,"DEC")</f>
        <v>JUL</v>
      </c>
      <c r="D897" s="2" t="s">
        <v>29</v>
      </c>
      <c r="E897" s="2" t="s">
        <v>12</v>
      </c>
      <c r="F897" s="2" t="s">
        <v>13</v>
      </c>
      <c r="G897" s="2" t="s">
        <v>14</v>
      </c>
      <c r="H897" s="2" t="s">
        <v>21</v>
      </c>
      <c r="I897" s="2" t="s">
        <v>22</v>
      </c>
      <c r="J897" s="15">
        <v>30000</v>
      </c>
      <c r="K897" s="2">
        <v>6</v>
      </c>
      <c r="L897" s="2" t="s">
        <v>35</v>
      </c>
      <c r="M897" s="12">
        <f t="shared" si="27"/>
        <v>24000</v>
      </c>
      <c r="N897" s="10">
        <f>PRODUCT(Table_13[[#This Row],[Unit Price]],Table_13[[#This Row],[Quantity]])</f>
        <v>180000</v>
      </c>
      <c r="O897" s="16">
        <f>PRODUCT(Table_13[[#This Row],[Cost Price]],Table_13[[#This Row],[Quantity]])</f>
        <v>144000</v>
      </c>
      <c r="P897" s="27">
        <f t="shared" si="31"/>
        <v>36000</v>
      </c>
    </row>
    <row r="898" spans="1:16" x14ac:dyDescent="0.2">
      <c r="A898" s="33">
        <v>46572</v>
      </c>
      <c r="B898" s="30">
        <f t="shared" ref="B898:B961" si="32">MONTH(A898)</f>
        <v>7</v>
      </c>
      <c r="C898" s="30" t="str">
        <f>_xlfn.IFS(Table_13[[#This Row],[Month]]=1,"JAN",Table_13[[#This Row],[Month]]=2,"FEB",B898=3,"MAR",B898=4,"APR",B898=5,"MAY",B898=6,"JUN",B898=7,"JUL",B898=8,"AUG",Table_13[[#This Row],[Month]]=9,"SEPT",B898=10,"OCT",B898=11,"NOV",B898=12,"DEC")</f>
        <v>JUL</v>
      </c>
      <c r="D898" s="2" t="s">
        <v>29</v>
      </c>
      <c r="E898" s="2" t="s">
        <v>26</v>
      </c>
      <c r="F898" s="2" t="s">
        <v>23</v>
      </c>
      <c r="G898" s="2" t="s">
        <v>14</v>
      </c>
      <c r="H898" s="2" t="s">
        <v>27</v>
      </c>
      <c r="I898" s="2" t="s">
        <v>22</v>
      </c>
      <c r="J898" s="15">
        <v>60000</v>
      </c>
      <c r="K898" s="2">
        <v>7</v>
      </c>
      <c r="L898" s="2" t="s">
        <v>28</v>
      </c>
      <c r="M898" s="12">
        <f t="shared" si="27"/>
        <v>48000</v>
      </c>
      <c r="N898" s="10">
        <f>PRODUCT(Table_13[[#This Row],[Unit Price]],Table_13[[#This Row],[Quantity]])</f>
        <v>420000</v>
      </c>
      <c r="O898" s="16">
        <f>PRODUCT(Table_13[[#This Row],[Cost Price]],Table_13[[#This Row],[Quantity]])</f>
        <v>336000</v>
      </c>
      <c r="P898" s="27">
        <f t="shared" ref="P898:P961" si="33">N898-O898</f>
        <v>84000</v>
      </c>
    </row>
    <row r="899" spans="1:16" x14ac:dyDescent="0.2">
      <c r="A899" s="33">
        <v>46573</v>
      </c>
      <c r="B899" s="30">
        <f t="shared" si="32"/>
        <v>7</v>
      </c>
      <c r="C899" s="30" t="str">
        <f>_xlfn.IFS(Table_13[[#This Row],[Month]]=1,"JAN",Table_13[[#This Row],[Month]]=2,"FEB",B899=3,"MAR",B899=4,"APR",B899=5,"MAY",B899=6,"JUN",B899=7,"JUL",B899=8,"AUG",Table_13[[#This Row],[Month]]=9,"SEPT",B899=10,"OCT",B899=11,"NOV",B899=12,"DEC")</f>
        <v>JUL</v>
      </c>
      <c r="D899" s="2" t="s">
        <v>25</v>
      </c>
      <c r="E899" s="2" t="s">
        <v>26</v>
      </c>
      <c r="F899" s="2" t="s">
        <v>13</v>
      </c>
      <c r="G899" s="2" t="s">
        <v>14</v>
      </c>
      <c r="H899" s="2" t="s">
        <v>33</v>
      </c>
      <c r="I899" s="2" t="s">
        <v>22</v>
      </c>
      <c r="J899" s="15">
        <v>180000</v>
      </c>
      <c r="K899" s="2">
        <v>2</v>
      </c>
      <c r="L899" s="2" t="s">
        <v>35</v>
      </c>
      <c r="M899" s="12">
        <f t="shared" si="27"/>
        <v>144000</v>
      </c>
      <c r="N899" s="10">
        <f>PRODUCT(Table_13[[#This Row],[Unit Price]],Table_13[[#This Row],[Quantity]])</f>
        <v>360000</v>
      </c>
      <c r="O899" s="16">
        <f>PRODUCT(Table_13[[#This Row],[Cost Price]],Table_13[[#This Row],[Quantity]])</f>
        <v>288000</v>
      </c>
      <c r="P899" s="27">
        <f t="shared" si="33"/>
        <v>72000</v>
      </c>
    </row>
    <row r="900" spans="1:16" x14ac:dyDescent="0.2">
      <c r="A900" s="33">
        <v>46574</v>
      </c>
      <c r="B900" s="30">
        <f t="shared" si="32"/>
        <v>7</v>
      </c>
      <c r="C900" s="30" t="str">
        <f>_xlfn.IFS(Table_13[[#This Row],[Month]]=1,"JAN",Table_13[[#This Row],[Month]]=2,"FEB",B900=3,"MAR",B900=4,"APR",B900=5,"MAY",B900=6,"JUN",B900=7,"JUL",B900=8,"AUG",Table_13[[#This Row],[Month]]=9,"SEPT",B900=10,"OCT",B900=11,"NOV",B900=12,"DEC")</f>
        <v>JUL</v>
      </c>
      <c r="D900" s="2" t="s">
        <v>18</v>
      </c>
      <c r="E900" s="2" t="s">
        <v>32</v>
      </c>
      <c r="F900" s="2" t="s">
        <v>23</v>
      </c>
      <c r="G900" s="2" t="s">
        <v>20</v>
      </c>
      <c r="H900" s="2" t="s">
        <v>21</v>
      </c>
      <c r="I900" s="2" t="s">
        <v>22</v>
      </c>
      <c r="J900" s="15">
        <v>30000</v>
      </c>
      <c r="K900" s="2">
        <v>5</v>
      </c>
      <c r="L900" s="2" t="s">
        <v>17</v>
      </c>
      <c r="M900" s="12">
        <f t="shared" si="27"/>
        <v>24000</v>
      </c>
      <c r="N900" s="10">
        <f>PRODUCT(Table_13[[#This Row],[Unit Price]],Table_13[[#This Row],[Quantity]])</f>
        <v>150000</v>
      </c>
      <c r="O900" s="16">
        <f>PRODUCT(Table_13[[#This Row],[Cost Price]],Table_13[[#This Row],[Quantity]])</f>
        <v>120000</v>
      </c>
      <c r="P900" s="27">
        <f t="shared" si="33"/>
        <v>30000</v>
      </c>
    </row>
    <row r="901" spans="1:16" x14ac:dyDescent="0.2">
      <c r="A901" s="33">
        <v>46575</v>
      </c>
      <c r="B901" s="30">
        <f t="shared" si="32"/>
        <v>7</v>
      </c>
      <c r="C901" s="30" t="str">
        <f>_xlfn.IFS(Table_13[[#This Row],[Month]]=1,"JAN",Table_13[[#This Row],[Month]]=2,"FEB",B901=3,"MAR",B901=4,"APR",B901=5,"MAY",B901=6,"JUN",B901=7,"JUL",B901=8,"AUG",Table_13[[#This Row],[Month]]=9,"SEPT",B901=10,"OCT",B901=11,"NOV",B901=12,"DEC")</f>
        <v>JUL</v>
      </c>
      <c r="D901" s="2" t="s">
        <v>11</v>
      </c>
      <c r="E901" s="2" t="s">
        <v>19</v>
      </c>
      <c r="F901" s="2" t="s">
        <v>23</v>
      </c>
      <c r="G901" s="2" t="s">
        <v>20</v>
      </c>
      <c r="H901" s="2" t="s">
        <v>36</v>
      </c>
      <c r="I901" s="2" t="s">
        <v>31</v>
      </c>
      <c r="J901" s="15">
        <v>150000</v>
      </c>
      <c r="K901" s="2">
        <v>2</v>
      </c>
      <c r="L901" s="2" t="s">
        <v>37</v>
      </c>
      <c r="M901" s="12">
        <f t="shared" si="27"/>
        <v>120000</v>
      </c>
      <c r="N901" s="10">
        <f>PRODUCT(Table_13[[#This Row],[Unit Price]],Table_13[[#This Row],[Quantity]])</f>
        <v>300000</v>
      </c>
      <c r="O901" s="16">
        <f>PRODUCT(Table_13[[#This Row],[Cost Price]],Table_13[[#This Row],[Quantity]])</f>
        <v>240000</v>
      </c>
      <c r="P901" s="27">
        <f t="shared" si="33"/>
        <v>60000</v>
      </c>
    </row>
    <row r="902" spans="1:16" x14ac:dyDescent="0.2">
      <c r="A902" s="33">
        <v>46576</v>
      </c>
      <c r="B902" s="30">
        <f t="shared" si="32"/>
        <v>7</v>
      </c>
      <c r="C902" s="30" t="str">
        <f>_xlfn.IFS(Table_13[[#This Row],[Month]]=1,"JAN",Table_13[[#This Row],[Month]]=2,"FEB",B902=3,"MAR",B902=4,"APR",B902=5,"MAY",B902=6,"JUN",B902=7,"JUL",B902=8,"AUG",Table_13[[#This Row],[Month]]=9,"SEPT",B902=10,"OCT",B902=11,"NOV",B902=12,"DEC")</f>
        <v>JUL</v>
      </c>
      <c r="D902" s="2" t="s">
        <v>25</v>
      </c>
      <c r="E902" s="2" t="s">
        <v>12</v>
      </c>
      <c r="F902" s="2" t="s">
        <v>13</v>
      </c>
      <c r="G902" s="2" t="s">
        <v>14</v>
      </c>
      <c r="H902" s="2" t="s">
        <v>21</v>
      </c>
      <c r="I902" s="2" t="s">
        <v>22</v>
      </c>
      <c r="J902" s="15">
        <v>30000</v>
      </c>
      <c r="K902" s="2">
        <v>9</v>
      </c>
      <c r="L902" s="2" t="s">
        <v>39</v>
      </c>
      <c r="M902" s="12">
        <f t="shared" si="27"/>
        <v>24000</v>
      </c>
      <c r="N902" s="10">
        <f>PRODUCT(Table_13[[#This Row],[Unit Price]],Table_13[[#This Row],[Quantity]])</f>
        <v>270000</v>
      </c>
      <c r="O902" s="16">
        <f>PRODUCT(Table_13[[#This Row],[Cost Price]],Table_13[[#This Row],[Quantity]])</f>
        <v>216000</v>
      </c>
      <c r="P902" s="27">
        <f t="shared" si="33"/>
        <v>54000</v>
      </c>
    </row>
    <row r="903" spans="1:16" x14ac:dyDescent="0.2">
      <c r="A903" s="33">
        <v>46577</v>
      </c>
      <c r="B903" s="30">
        <f t="shared" si="32"/>
        <v>7</v>
      </c>
      <c r="C903" s="30" t="str">
        <f>_xlfn.IFS(Table_13[[#This Row],[Month]]=1,"JAN",Table_13[[#This Row],[Month]]=2,"FEB",B903=3,"MAR",B903=4,"APR",B903=5,"MAY",B903=6,"JUN",B903=7,"JUL",B903=8,"AUG",Table_13[[#This Row],[Month]]=9,"SEPT",B903=10,"OCT",B903=11,"NOV",B903=12,"DEC")</f>
        <v>JUL</v>
      </c>
      <c r="D903" s="2" t="s">
        <v>25</v>
      </c>
      <c r="E903" s="2" t="s">
        <v>26</v>
      </c>
      <c r="F903" s="2" t="s">
        <v>23</v>
      </c>
      <c r="G903" s="2" t="s">
        <v>14</v>
      </c>
      <c r="H903" s="2" t="s">
        <v>36</v>
      </c>
      <c r="I903" s="2" t="s">
        <v>31</v>
      </c>
      <c r="J903" s="15">
        <v>150000</v>
      </c>
      <c r="K903" s="2">
        <v>5</v>
      </c>
      <c r="L903" s="2" t="s">
        <v>35</v>
      </c>
      <c r="M903" s="12">
        <f t="shared" si="27"/>
        <v>120000</v>
      </c>
      <c r="N903" s="10">
        <f>PRODUCT(Table_13[[#This Row],[Unit Price]],Table_13[[#This Row],[Quantity]])</f>
        <v>750000</v>
      </c>
      <c r="O903" s="16">
        <f>PRODUCT(Table_13[[#This Row],[Cost Price]],Table_13[[#This Row],[Quantity]])</f>
        <v>600000</v>
      </c>
      <c r="P903" s="27">
        <f t="shared" si="33"/>
        <v>150000</v>
      </c>
    </row>
    <row r="904" spans="1:16" x14ac:dyDescent="0.2">
      <c r="A904" s="33">
        <v>46578</v>
      </c>
      <c r="B904" s="30">
        <f t="shared" si="32"/>
        <v>7</v>
      </c>
      <c r="C904" s="30" t="str">
        <f>_xlfn.IFS(Table_13[[#This Row],[Month]]=1,"JAN",Table_13[[#This Row],[Month]]=2,"FEB",B904=3,"MAR",B904=4,"APR",B904=5,"MAY",B904=6,"JUN",B904=7,"JUL",B904=8,"AUG",Table_13[[#This Row],[Month]]=9,"SEPT",B904=10,"OCT",B904=11,"NOV",B904=12,"DEC")</f>
        <v>JUL</v>
      </c>
      <c r="D904" s="2" t="s">
        <v>25</v>
      </c>
      <c r="E904" s="2" t="s">
        <v>26</v>
      </c>
      <c r="F904" s="2" t="s">
        <v>13</v>
      </c>
      <c r="G904" s="2" t="s">
        <v>20</v>
      </c>
      <c r="H904" s="2" t="s">
        <v>27</v>
      </c>
      <c r="I904" s="2" t="s">
        <v>22</v>
      </c>
      <c r="J904" s="15">
        <v>60000</v>
      </c>
      <c r="K904" s="2">
        <v>8</v>
      </c>
      <c r="L904" s="2" t="s">
        <v>39</v>
      </c>
      <c r="M904" s="12">
        <f t="shared" si="27"/>
        <v>48000</v>
      </c>
      <c r="N904" s="10">
        <f>PRODUCT(Table_13[[#This Row],[Unit Price]],Table_13[[#This Row],[Quantity]])</f>
        <v>480000</v>
      </c>
      <c r="O904" s="16">
        <f>PRODUCT(Table_13[[#This Row],[Cost Price]],Table_13[[#This Row],[Quantity]])</f>
        <v>384000</v>
      </c>
      <c r="P904" s="27">
        <f t="shared" si="33"/>
        <v>96000</v>
      </c>
    </row>
    <row r="905" spans="1:16" x14ac:dyDescent="0.2">
      <c r="A905" s="33">
        <v>46579</v>
      </c>
      <c r="B905" s="30">
        <f t="shared" si="32"/>
        <v>7</v>
      </c>
      <c r="C905" s="30" t="str">
        <f>_xlfn.IFS(Table_13[[#This Row],[Month]]=1,"JAN",Table_13[[#This Row],[Month]]=2,"FEB",B905=3,"MAR",B905=4,"APR",B905=5,"MAY",B905=6,"JUN",B905=7,"JUL",B905=8,"AUG",Table_13[[#This Row],[Month]]=9,"SEPT",B905=10,"OCT",B905=11,"NOV",B905=12,"DEC")</f>
        <v>JUL</v>
      </c>
      <c r="D905" s="2" t="s">
        <v>18</v>
      </c>
      <c r="E905" s="2" t="s">
        <v>19</v>
      </c>
      <c r="F905" s="2" t="s">
        <v>13</v>
      </c>
      <c r="G905" s="2" t="s">
        <v>14</v>
      </c>
      <c r="H905" s="2" t="s">
        <v>36</v>
      </c>
      <c r="I905" s="2" t="s">
        <v>31</v>
      </c>
      <c r="J905" s="15">
        <v>150000</v>
      </c>
      <c r="K905" s="2">
        <v>8</v>
      </c>
      <c r="L905" s="2" t="s">
        <v>37</v>
      </c>
      <c r="M905" s="12">
        <f t="shared" si="27"/>
        <v>120000</v>
      </c>
      <c r="N905" s="10">
        <f>PRODUCT(Table_13[[#This Row],[Unit Price]],Table_13[[#This Row],[Quantity]])</f>
        <v>1200000</v>
      </c>
      <c r="O905" s="16">
        <f>PRODUCT(Table_13[[#This Row],[Cost Price]],Table_13[[#This Row],[Quantity]])</f>
        <v>960000</v>
      </c>
      <c r="P905" s="27">
        <f t="shared" si="33"/>
        <v>240000</v>
      </c>
    </row>
    <row r="906" spans="1:16" x14ac:dyDescent="0.2">
      <c r="A906" s="33">
        <v>46580</v>
      </c>
      <c r="B906" s="30">
        <f t="shared" si="32"/>
        <v>7</v>
      </c>
      <c r="C906" s="30" t="str">
        <f>_xlfn.IFS(Table_13[[#This Row],[Month]]=1,"JAN",Table_13[[#This Row],[Month]]=2,"FEB",B906=3,"MAR",B906=4,"APR",B906=5,"MAY",B906=6,"JUN",B906=7,"JUL",B906=8,"AUG",Table_13[[#This Row],[Month]]=9,"SEPT",B906=10,"OCT",B906=11,"NOV",B906=12,"DEC")</f>
        <v>JUL</v>
      </c>
      <c r="D906" s="2" t="s">
        <v>18</v>
      </c>
      <c r="E906" s="2" t="s">
        <v>26</v>
      </c>
      <c r="F906" s="2" t="s">
        <v>13</v>
      </c>
      <c r="G906" s="2" t="s">
        <v>20</v>
      </c>
      <c r="H906" s="2" t="s">
        <v>15</v>
      </c>
      <c r="I906" s="2" t="s">
        <v>16</v>
      </c>
      <c r="J906" s="15">
        <v>85000</v>
      </c>
      <c r="K906" s="2">
        <v>3</v>
      </c>
      <c r="L906" s="2" t="s">
        <v>39</v>
      </c>
      <c r="M906" s="12">
        <f t="shared" si="27"/>
        <v>68000</v>
      </c>
      <c r="N906" s="10">
        <f>PRODUCT(Table_13[[#This Row],[Unit Price]],Table_13[[#This Row],[Quantity]])</f>
        <v>255000</v>
      </c>
      <c r="O906" s="16">
        <f>PRODUCT(Table_13[[#This Row],[Cost Price]],Table_13[[#This Row],[Quantity]])</f>
        <v>204000</v>
      </c>
      <c r="P906" s="27">
        <f t="shared" si="33"/>
        <v>51000</v>
      </c>
    </row>
    <row r="907" spans="1:16" x14ac:dyDescent="0.2">
      <c r="A907" s="33">
        <v>46581</v>
      </c>
      <c r="B907" s="30">
        <f t="shared" si="32"/>
        <v>7</v>
      </c>
      <c r="C907" s="30" t="str">
        <f>_xlfn.IFS(Table_13[[#This Row],[Month]]=1,"JAN",Table_13[[#This Row],[Month]]=2,"FEB",B907=3,"MAR",B907=4,"APR",B907=5,"MAY",B907=6,"JUN",B907=7,"JUL",B907=8,"AUG",Table_13[[#This Row],[Month]]=9,"SEPT",B907=10,"OCT",B907=11,"NOV",B907=12,"DEC")</f>
        <v>JUL</v>
      </c>
      <c r="D907" s="2" t="s">
        <v>25</v>
      </c>
      <c r="E907" s="2" t="s">
        <v>12</v>
      </c>
      <c r="F907" s="2" t="s">
        <v>23</v>
      </c>
      <c r="G907" s="2" t="s">
        <v>14</v>
      </c>
      <c r="H907" s="2" t="s">
        <v>33</v>
      </c>
      <c r="I907" s="2" t="s">
        <v>22</v>
      </c>
      <c r="J907" s="15">
        <v>180000</v>
      </c>
      <c r="K907" s="2">
        <v>4</v>
      </c>
      <c r="L907" s="2" t="s">
        <v>37</v>
      </c>
      <c r="M907" s="12">
        <f t="shared" si="27"/>
        <v>144000</v>
      </c>
      <c r="N907" s="10">
        <f>PRODUCT(Table_13[[#This Row],[Unit Price]],Table_13[[#This Row],[Quantity]])</f>
        <v>720000</v>
      </c>
      <c r="O907" s="16">
        <f>PRODUCT(Table_13[[#This Row],[Cost Price]],Table_13[[#This Row],[Quantity]])</f>
        <v>576000</v>
      </c>
      <c r="P907" s="27">
        <f t="shared" si="33"/>
        <v>144000</v>
      </c>
    </row>
    <row r="908" spans="1:16" x14ac:dyDescent="0.2">
      <c r="A908" s="33">
        <v>46582</v>
      </c>
      <c r="B908" s="30">
        <f t="shared" si="32"/>
        <v>7</v>
      </c>
      <c r="C908" s="30" t="str">
        <f>_xlfn.IFS(Table_13[[#This Row],[Month]]=1,"JAN",Table_13[[#This Row],[Month]]=2,"FEB",B908=3,"MAR",B908=4,"APR",B908=5,"MAY",B908=6,"JUN",B908=7,"JUL",B908=8,"AUG",Table_13[[#This Row],[Month]]=9,"SEPT",B908=10,"OCT",B908=11,"NOV",B908=12,"DEC")</f>
        <v>JUL</v>
      </c>
      <c r="D908" s="2" t="s">
        <v>29</v>
      </c>
      <c r="E908" s="2" t="s">
        <v>12</v>
      </c>
      <c r="F908" s="2" t="s">
        <v>13</v>
      </c>
      <c r="G908" s="2" t="s">
        <v>14</v>
      </c>
      <c r="H908" s="2" t="s">
        <v>38</v>
      </c>
      <c r="I908" s="2" t="s">
        <v>31</v>
      </c>
      <c r="J908" s="15">
        <v>420000</v>
      </c>
      <c r="K908" s="2">
        <v>7</v>
      </c>
      <c r="L908" s="2" t="s">
        <v>24</v>
      </c>
      <c r="M908" s="12">
        <f t="shared" si="27"/>
        <v>336000</v>
      </c>
      <c r="N908" s="10">
        <f>PRODUCT(Table_13[[#This Row],[Unit Price]],Table_13[[#This Row],[Quantity]])</f>
        <v>2940000</v>
      </c>
      <c r="O908" s="16">
        <f>PRODUCT(Table_13[[#This Row],[Cost Price]],Table_13[[#This Row],[Quantity]])</f>
        <v>2352000</v>
      </c>
      <c r="P908" s="27">
        <f t="shared" si="33"/>
        <v>588000</v>
      </c>
    </row>
    <row r="909" spans="1:16" x14ac:dyDescent="0.2">
      <c r="A909" s="33">
        <v>46583</v>
      </c>
      <c r="B909" s="30">
        <f t="shared" si="32"/>
        <v>7</v>
      </c>
      <c r="C909" s="30" t="str">
        <f>_xlfn.IFS(Table_13[[#This Row],[Month]]=1,"JAN",Table_13[[#This Row],[Month]]=2,"FEB",B909=3,"MAR",B909=4,"APR",B909=5,"MAY",B909=6,"JUN",B909=7,"JUL",B909=8,"AUG",Table_13[[#This Row],[Month]]=9,"SEPT",B909=10,"OCT",B909=11,"NOV",B909=12,"DEC")</f>
        <v>JUL</v>
      </c>
      <c r="D909" s="2" t="s">
        <v>18</v>
      </c>
      <c r="E909" s="2" t="s">
        <v>19</v>
      </c>
      <c r="F909" s="2" t="s">
        <v>13</v>
      </c>
      <c r="G909" s="2" t="s">
        <v>20</v>
      </c>
      <c r="H909" s="2" t="s">
        <v>27</v>
      </c>
      <c r="I909" s="2" t="s">
        <v>22</v>
      </c>
      <c r="J909" s="15">
        <v>60000</v>
      </c>
      <c r="K909" s="2">
        <v>8</v>
      </c>
      <c r="L909" s="2" t="s">
        <v>24</v>
      </c>
      <c r="M909" s="12">
        <f t="shared" si="27"/>
        <v>48000</v>
      </c>
      <c r="N909" s="10">
        <f>PRODUCT(Table_13[[#This Row],[Unit Price]],Table_13[[#This Row],[Quantity]])</f>
        <v>480000</v>
      </c>
      <c r="O909" s="16">
        <f>PRODUCT(Table_13[[#This Row],[Cost Price]],Table_13[[#This Row],[Quantity]])</f>
        <v>384000</v>
      </c>
      <c r="P909" s="27">
        <f t="shared" si="33"/>
        <v>96000</v>
      </c>
    </row>
    <row r="910" spans="1:16" x14ac:dyDescent="0.2">
      <c r="A910" s="33">
        <v>46584</v>
      </c>
      <c r="B910" s="30">
        <f t="shared" si="32"/>
        <v>7</v>
      </c>
      <c r="C910" s="30" t="str">
        <f>_xlfn.IFS(Table_13[[#This Row],[Month]]=1,"JAN",Table_13[[#This Row],[Month]]=2,"FEB",B910=3,"MAR",B910=4,"APR",B910=5,"MAY",B910=6,"JUN",B910=7,"JUL",B910=8,"AUG",Table_13[[#This Row],[Month]]=9,"SEPT",B910=10,"OCT",B910=11,"NOV",B910=12,"DEC")</f>
        <v>JUL</v>
      </c>
      <c r="D910" s="2" t="s">
        <v>25</v>
      </c>
      <c r="E910" s="2" t="s">
        <v>26</v>
      </c>
      <c r="F910" s="2" t="s">
        <v>13</v>
      </c>
      <c r="G910" s="2" t="s">
        <v>20</v>
      </c>
      <c r="H910" s="2" t="s">
        <v>30</v>
      </c>
      <c r="I910" s="2" t="s">
        <v>31</v>
      </c>
      <c r="J910" s="15">
        <v>300000</v>
      </c>
      <c r="K910" s="2">
        <v>1</v>
      </c>
      <c r="L910" s="2" t="s">
        <v>35</v>
      </c>
      <c r="M910" s="12">
        <f t="shared" si="27"/>
        <v>240000</v>
      </c>
      <c r="N910" s="10">
        <f>PRODUCT(Table_13[[#This Row],[Unit Price]],Table_13[[#This Row],[Quantity]])</f>
        <v>300000</v>
      </c>
      <c r="O910" s="16">
        <f>PRODUCT(Table_13[[#This Row],[Cost Price]],Table_13[[#This Row],[Quantity]])</f>
        <v>240000</v>
      </c>
      <c r="P910" s="27">
        <f t="shared" si="33"/>
        <v>60000</v>
      </c>
    </row>
    <row r="911" spans="1:16" x14ac:dyDescent="0.2">
      <c r="A911" s="33">
        <v>46585</v>
      </c>
      <c r="B911" s="30">
        <f t="shared" si="32"/>
        <v>7</v>
      </c>
      <c r="C911" s="30" t="str">
        <f>_xlfn.IFS(Table_13[[#This Row],[Month]]=1,"JAN",Table_13[[#This Row],[Month]]=2,"FEB",B911=3,"MAR",B911=4,"APR",B911=5,"MAY",B911=6,"JUN",B911=7,"JUL",B911=8,"AUG",Table_13[[#This Row],[Month]]=9,"SEPT",B911=10,"OCT",B911=11,"NOV",B911=12,"DEC")</f>
        <v>JUL</v>
      </c>
      <c r="D911" s="2" t="s">
        <v>18</v>
      </c>
      <c r="E911" s="2" t="s">
        <v>26</v>
      </c>
      <c r="F911" s="2" t="s">
        <v>13</v>
      </c>
      <c r="G911" s="2" t="s">
        <v>14</v>
      </c>
      <c r="H911" s="2" t="s">
        <v>21</v>
      </c>
      <c r="I911" s="2" t="s">
        <v>22</v>
      </c>
      <c r="J911" s="15">
        <v>30000</v>
      </c>
      <c r="K911" s="2">
        <v>6</v>
      </c>
      <c r="L911" s="2" t="s">
        <v>35</v>
      </c>
      <c r="M911" s="12">
        <f t="shared" si="27"/>
        <v>24000</v>
      </c>
      <c r="N911" s="10">
        <f>PRODUCT(Table_13[[#This Row],[Unit Price]],Table_13[[#This Row],[Quantity]])</f>
        <v>180000</v>
      </c>
      <c r="O911" s="16">
        <f>PRODUCT(Table_13[[#This Row],[Cost Price]],Table_13[[#This Row],[Quantity]])</f>
        <v>144000</v>
      </c>
      <c r="P911" s="27">
        <f t="shared" si="33"/>
        <v>36000</v>
      </c>
    </row>
    <row r="912" spans="1:16" x14ac:dyDescent="0.2">
      <c r="A912" s="33">
        <v>46586</v>
      </c>
      <c r="B912" s="30">
        <f t="shared" si="32"/>
        <v>7</v>
      </c>
      <c r="C912" s="30" t="str">
        <f>_xlfn.IFS(Table_13[[#This Row],[Month]]=1,"JAN",Table_13[[#This Row],[Month]]=2,"FEB",B912=3,"MAR",B912=4,"APR",B912=5,"MAY",B912=6,"JUN",B912=7,"JUL",B912=8,"AUG",Table_13[[#This Row],[Month]]=9,"SEPT",B912=10,"OCT",B912=11,"NOV",B912=12,"DEC")</f>
        <v>JUL</v>
      </c>
      <c r="D912" s="2" t="s">
        <v>29</v>
      </c>
      <c r="E912" s="2" t="s">
        <v>19</v>
      </c>
      <c r="F912" s="2" t="s">
        <v>23</v>
      </c>
      <c r="G912" s="2" t="s">
        <v>20</v>
      </c>
      <c r="H912" s="2" t="s">
        <v>40</v>
      </c>
      <c r="I912" s="2" t="s">
        <v>31</v>
      </c>
      <c r="J912" s="15">
        <v>250000</v>
      </c>
      <c r="K912" s="2">
        <v>9</v>
      </c>
      <c r="L912" s="2" t="s">
        <v>37</v>
      </c>
      <c r="M912" s="12">
        <f t="shared" si="27"/>
        <v>200000</v>
      </c>
      <c r="N912" s="10">
        <f>PRODUCT(Table_13[[#This Row],[Unit Price]],Table_13[[#This Row],[Quantity]])</f>
        <v>2250000</v>
      </c>
      <c r="O912" s="16">
        <f>PRODUCT(Table_13[[#This Row],[Cost Price]],Table_13[[#This Row],[Quantity]])</f>
        <v>1800000</v>
      </c>
      <c r="P912" s="27">
        <f t="shared" si="33"/>
        <v>450000</v>
      </c>
    </row>
    <row r="913" spans="1:16" x14ac:dyDescent="0.2">
      <c r="A913" s="33">
        <v>46587</v>
      </c>
      <c r="B913" s="30">
        <f t="shared" si="32"/>
        <v>7</v>
      </c>
      <c r="C913" s="30" t="str">
        <f>_xlfn.IFS(Table_13[[#This Row],[Month]]=1,"JAN",Table_13[[#This Row],[Month]]=2,"FEB",B913=3,"MAR",B913=4,"APR",B913=5,"MAY",B913=6,"JUN",B913=7,"JUL",B913=8,"AUG",Table_13[[#This Row],[Month]]=9,"SEPT",B913=10,"OCT",B913=11,"NOV",B913=12,"DEC")</f>
        <v>JUL</v>
      </c>
      <c r="D913" s="2" t="s">
        <v>18</v>
      </c>
      <c r="E913" s="2" t="s">
        <v>26</v>
      </c>
      <c r="F913" s="2" t="s">
        <v>23</v>
      </c>
      <c r="G913" s="2" t="s">
        <v>20</v>
      </c>
      <c r="H913" s="2" t="s">
        <v>38</v>
      </c>
      <c r="I913" s="2" t="s">
        <v>31</v>
      </c>
      <c r="J913" s="15">
        <v>420000</v>
      </c>
      <c r="K913" s="2">
        <v>9</v>
      </c>
      <c r="L913" s="2" t="s">
        <v>35</v>
      </c>
      <c r="M913" s="12">
        <f t="shared" si="27"/>
        <v>336000</v>
      </c>
      <c r="N913" s="10">
        <f>PRODUCT(Table_13[[#This Row],[Unit Price]],Table_13[[#This Row],[Quantity]])</f>
        <v>3780000</v>
      </c>
      <c r="O913" s="16">
        <f>PRODUCT(Table_13[[#This Row],[Cost Price]],Table_13[[#This Row],[Quantity]])</f>
        <v>3024000</v>
      </c>
      <c r="P913" s="27">
        <f t="shared" si="33"/>
        <v>756000</v>
      </c>
    </row>
    <row r="914" spans="1:16" x14ac:dyDescent="0.2">
      <c r="A914" s="33">
        <v>46588</v>
      </c>
      <c r="B914" s="30">
        <f t="shared" si="32"/>
        <v>7</v>
      </c>
      <c r="C914" s="30" t="str">
        <f>_xlfn.IFS(Table_13[[#This Row],[Month]]=1,"JAN",Table_13[[#This Row],[Month]]=2,"FEB",B914=3,"MAR",B914=4,"APR",B914=5,"MAY",B914=6,"JUN",B914=7,"JUL",B914=8,"AUG",Table_13[[#This Row],[Month]]=9,"SEPT",B914=10,"OCT",B914=11,"NOV",B914=12,"DEC")</f>
        <v>JUL</v>
      </c>
      <c r="D914" s="2" t="s">
        <v>18</v>
      </c>
      <c r="E914" s="2" t="s">
        <v>26</v>
      </c>
      <c r="F914" s="2" t="s">
        <v>23</v>
      </c>
      <c r="G914" s="2" t="s">
        <v>20</v>
      </c>
      <c r="H914" s="2" t="s">
        <v>36</v>
      </c>
      <c r="I914" s="2" t="s">
        <v>31</v>
      </c>
      <c r="J914" s="15">
        <v>150000</v>
      </c>
      <c r="K914" s="2">
        <v>9</v>
      </c>
      <c r="L914" s="2" t="s">
        <v>35</v>
      </c>
      <c r="M914" s="12">
        <f t="shared" si="27"/>
        <v>120000</v>
      </c>
      <c r="N914" s="10">
        <f>PRODUCT(Table_13[[#This Row],[Unit Price]],Table_13[[#This Row],[Quantity]])</f>
        <v>1350000</v>
      </c>
      <c r="O914" s="16">
        <f>PRODUCT(Table_13[[#This Row],[Cost Price]],Table_13[[#This Row],[Quantity]])</f>
        <v>1080000</v>
      </c>
      <c r="P914" s="27">
        <f t="shared" si="33"/>
        <v>270000</v>
      </c>
    </row>
    <row r="915" spans="1:16" x14ac:dyDescent="0.2">
      <c r="A915" s="33">
        <v>46589</v>
      </c>
      <c r="B915" s="30">
        <f t="shared" si="32"/>
        <v>7</v>
      </c>
      <c r="C915" s="30" t="str">
        <f>_xlfn.IFS(Table_13[[#This Row],[Month]]=1,"JAN",Table_13[[#This Row],[Month]]=2,"FEB",B915=3,"MAR",B915=4,"APR",B915=5,"MAY",B915=6,"JUN",B915=7,"JUL",B915=8,"AUG",Table_13[[#This Row],[Month]]=9,"SEPT",B915=10,"OCT",B915=11,"NOV",B915=12,"DEC")</f>
        <v>JUL</v>
      </c>
      <c r="D915" s="2" t="s">
        <v>18</v>
      </c>
      <c r="E915" s="2" t="s">
        <v>19</v>
      </c>
      <c r="F915" s="2" t="s">
        <v>23</v>
      </c>
      <c r="G915" s="2" t="s">
        <v>14</v>
      </c>
      <c r="H915" s="2" t="s">
        <v>30</v>
      </c>
      <c r="I915" s="2" t="s">
        <v>31</v>
      </c>
      <c r="J915" s="15">
        <v>300000</v>
      </c>
      <c r="K915" s="2">
        <v>5</v>
      </c>
      <c r="L915" s="2" t="s">
        <v>39</v>
      </c>
      <c r="M915" s="12">
        <f t="shared" si="27"/>
        <v>240000</v>
      </c>
      <c r="N915" s="10">
        <f>PRODUCT(Table_13[[#This Row],[Unit Price]],Table_13[[#This Row],[Quantity]])</f>
        <v>1500000</v>
      </c>
      <c r="O915" s="16">
        <f>PRODUCT(Table_13[[#This Row],[Cost Price]],Table_13[[#This Row],[Quantity]])</f>
        <v>1200000</v>
      </c>
      <c r="P915" s="27">
        <f t="shared" si="33"/>
        <v>300000</v>
      </c>
    </row>
    <row r="916" spans="1:16" x14ac:dyDescent="0.2">
      <c r="A916" s="33">
        <v>46590</v>
      </c>
      <c r="B916" s="30">
        <f t="shared" si="32"/>
        <v>7</v>
      </c>
      <c r="C916" s="30" t="str">
        <f>_xlfn.IFS(Table_13[[#This Row],[Month]]=1,"JAN",Table_13[[#This Row],[Month]]=2,"FEB",B916=3,"MAR",B916=4,"APR",B916=5,"MAY",B916=6,"JUN",B916=7,"JUL",B916=8,"AUG",Table_13[[#This Row],[Month]]=9,"SEPT",B916=10,"OCT",B916=11,"NOV",B916=12,"DEC")</f>
        <v>JUL</v>
      </c>
      <c r="D916" s="2" t="s">
        <v>29</v>
      </c>
      <c r="E916" s="2" t="s">
        <v>32</v>
      </c>
      <c r="F916" s="2" t="s">
        <v>13</v>
      </c>
      <c r="G916" s="2" t="s">
        <v>14</v>
      </c>
      <c r="H916" s="2" t="s">
        <v>21</v>
      </c>
      <c r="I916" s="2" t="s">
        <v>22</v>
      </c>
      <c r="J916" s="15">
        <v>30000</v>
      </c>
      <c r="K916" s="2">
        <v>4</v>
      </c>
      <c r="L916" s="2" t="s">
        <v>35</v>
      </c>
      <c r="M916" s="12">
        <f t="shared" si="27"/>
        <v>24000</v>
      </c>
      <c r="N916" s="10">
        <f>PRODUCT(Table_13[[#This Row],[Unit Price]],Table_13[[#This Row],[Quantity]])</f>
        <v>120000</v>
      </c>
      <c r="O916" s="16">
        <f>PRODUCT(Table_13[[#This Row],[Cost Price]],Table_13[[#This Row],[Quantity]])</f>
        <v>96000</v>
      </c>
      <c r="P916" s="27">
        <f t="shared" si="33"/>
        <v>24000</v>
      </c>
    </row>
    <row r="917" spans="1:16" x14ac:dyDescent="0.2">
      <c r="A917" s="33">
        <v>46591</v>
      </c>
      <c r="B917" s="30">
        <f t="shared" si="32"/>
        <v>7</v>
      </c>
      <c r="C917" s="30" t="str">
        <f>_xlfn.IFS(Table_13[[#This Row],[Month]]=1,"JAN",Table_13[[#This Row],[Month]]=2,"FEB",B917=3,"MAR",B917=4,"APR",B917=5,"MAY",B917=6,"JUN",B917=7,"JUL",B917=8,"AUG",Table_13[[#This Row],[Month]]=9,"SEPT",B917=10,"OCT",B917=11,"NOV",B917=12,"DEC")</f>
        <v>JUL</v>
      </c>
      <c r="D917" s="2" t="s">
        <v>11</v>
      </c>
      <c r="E917" s="2" t="s">
        <v>32</v>
      </c>
      <c r="F917" s="2" t="s">
        <v>13</v>
      </c>
      <c r="G917" s="2" t="s">
        <v>20</v>
      </c>
      <c r="H917" s="2" t="s">
        <v>38</v>
      </c>
      <c r="I917" s="2" t="s">
        <v>31</v>
      </c>
      <c r="J917" s="15">
        <v>420000</v>
      </c>
      <c r="K917" s="2">
        <v>7</v>
      </c>
      <c r="L917" s="2" t="s">
        <v>39</v>
      </c>
      <c r="M917" s="12">
        <f t="shared" si="27"/>
        <v>336000</v>
      </c>
      <c r="N917" s="10">
        <f>PRODUCT(Table_13[[#This Row],[Unit Price]],Table_13[[#This Row],[Quantity]])</f>
        <v>2940000</v>
      </c>
      <c r="O917" s="16">
        <f>PRODUCT(Table_13[[#This Row],[Cost Price]],Table_13[[#This Row],[Quantity]])</f>
        <v>2352000</v>
      </c>
      <c r="P917" s="27">
        <f t="shared" si="33"/>
        <v>588000</v>
      </c>
    </row>
    <row r="918" spans="1:16" x14ac:dyDescent="0.2">
      <c r="A918" s="33">
        <v>46592</v>
      </c>
      <c r="B918" s="30">
        <f t="shared" si="32"/>
        <v>7</v>
      </c>
      <c r="C918" s="30" t="str">
        <f>_xlfn.IFS(Table_13[[#This Row],[Month]]=1,"JAN",Table_13[[#This Row],[Month]]=2,"FEB",B918=3,"MAR",B918=4,"APR",B918=5,"MAY",B918=6,"JUN",B918=7,"JUL",B918=8,"AUG",Table_13[[#This Row],[Month]]=9,"SEPT",B918=10,"OCT",B918=11,"NOV",B918=12,"DEC")</f>
        <v>JUL</v>
      </c>
      <c r="D918" s="2" t="s">
        <v>18</v>
      </c>
      <c r="E918" s="2" t="s">
        <v>19</v>
      </c>
      <c r="F918" s="2" t="s">
        <v>23</v>
      </c>
      <c r="G918" s="2" t="s">
        <v>20</v>
      </c>
      <c r="H918" s="2" t="s">
        <v>34</v>
      </c>
      <c r="I918" s="2" t="s">
        <v>16</v>
      </c>
      <c r="J918" s="15">
        <v>320000</v>
      </c>
      <c r="K918" s="2">
        <v>6</v>
      </c>
      <c r="L918" s="2" t="s">
        <v>35</v>
      </c>
      <c r="M918" s="12">
        <f t="shared" si="27"/>
        <v>256000</v>
      </c>
      <c r="N918" s="10">
        <f>PRODUCT(Table_13[[#This Row],[Unit Price]],Table_13[[#This Row],[Quantity]])</f>
        <v>1920000</v>
      </c>
      <c r="O918" s="16">
        <f>PRODUCT(Table_13[[#This Row],[Cost Price]],Table_13[[#This Row],[Quantity]])</f>
        <v>1536000</v>
      </c>
      <c r="P918" s="27">
        <f t="shared" si="33"/>
        <v>384000</v>
      </c>
    </row>
    <row r="919" spans="1:16" x14ac:dyDescent="0.2">
      <c r="A919" s="33">
        <v>46593</v>
      </c>
      <c r="B919" s="30">
        <f t="shared" si="32"/>
        <v>7</v>
      </c>
      <c r="C919" s="30" t="str">
        <f>_xlfn.IFS(Table_13[[#This Row],[Month]]=1,"JAN",Table_13[[#This Row],[Month]]=2,"FEB",B919=3,"MAR",B919=4,"APR",B919=5,"MAY",B919=6,"JUN",B919=7,"JUL",B919=8,"AUG",Table_13[[#This Row],[Month]]=9,"SEPT",B919=10,"OCT",B919=11,"NOV",B919=12,"DEC")</f>
        <v>JUL</v>
      </c>
      <c r="D919" s="2" t="s">
        <v>25</v>
      </c>
      <c r="E919" s="2" t="s">
        <v>32</v>
      </c>
      <c r="F919" s="2" t="s">
        <v>13</v>
      </c>
      <c r="G919" s="2" t="s">
        <v>14</v>
      </c>
      <c r="H919" s="2" t="s">
        <v>15</v>
      </c>
      <c r="I919" s="2" t="s">
        <v>16</v>
      </c>
      <c r="J919" s="15">
        <v>85000</v>
      </c>
      <c r="K919" s="2">
        <v>2</v>
      </c>
      <c r="L919" s="2" t="s">
        <v>39</v>
      </c>
      <c r="M919" s="12">
        <f t="shared" si="27"/>
        <v>68000</v>
      </c>
      <c r="N919" s="10">
        <f>PRODUCT(Table_13[[#This Row],[Unit Price]],Table_13[[#This Row],[Quantity]])</f>
        <v>170000</v>
      </c>
      <c r="O919" s="16">
        <f>PRODUCT(Table_13[[#This Row],[Cost Price]],Table_13[[#This Row],[Quantity]])</f>
        <v>136000</v>
      </c>
      <c r="P919" s="27">
        <f t="shared" si="33"/>
        <v>34000</v>
      </c>
    </row>
    <row r="920" spans="1:16" x14ac:dyDescent="0.2">
      <c r="A920" s="33">
        <v>46594</v>
      </c>
      <c r="B920" s="30">
        <f t="shared" si="32"/>
        <v>7</v>
      </c>
      <c r="C920" s="30" t="str">
        <f>_xlfn.IFS(Table_13[[#This Row],[Month]]=1,"JAN",Table_13[[#This Row],[Month]]=2,"FEB",B920=3,"MAR",B920=4,"APR",B920=5,"MAY",B920=6,"JUN",B920=7,"JUL",B920=8,"AUG",Table_13[[#This Row],[Month]]=9,"SEPT",B920=10,"OCT",B920=11,"NOV",B920=12,"DEC")</f>
        <v>JUL</v>
      </c>
      <c r="D920" s="2" t="s">
        <v>11</v>
      </c>
      <c r="E920" s="2" t="s">
        <v>19</v>
      </c>
      <c r="F920" s="2" t="s">
        <v>13</v>
      </c>
      <c r="G920" s="2" t="s">
        <v>14</v>
      </c>
      <c r="H920" s="2" t="s">
        <v>36</v>
      </c>
      <c r="I920" s="2" t="s">
        <v>31</v>
      </c>
      <c r="J920" s="15">
        <v>150000</v>
      </c>
      <c r="K920" s="2">
        <v>1</v>
      </c>
      <c r="L920" s="2" t="s">
        <v>39</v>
      </c>
      <c r="M920" s="12">
        <f t="shared" si="27"/>
        <v>120000</v>
      </c>
      <c r="N920" s="10">
        <f>PRODUCT(Table_13[[#This Row],[Unit Price]],Table_13[[#This Row],[Quantity]])</f>
        <v>150000</v>
      </c>
      <c r="O920" s="16">
        <f>PRODUCT(Table_13[[#This Row],[Cost Price]],Table_13[[#This Row],[Quantity]])</f>
        <v>120000</v>
      </c>
      <c r="P920" s="27">
        <f t="shared" si="33"/>
        <v>30000</v>
      </c>
    </row>
    <row r="921" spans="1:16" x14ac:dyDescent="0.2">
      <c r="A921" s="33">
        <v>46595</v>
      </c>
      <c r="B921" s="30">
        <f t="shared" si="32"/>
        <v>7</v>
      </c>
      <c r="C921" s="30" t="str">
        <f>_xlfn.IFS(Table_13[[#This Row],[Month]]=1,"JAN",Table_13[[#This Row],[Month]]=2,"FEB",B921=3,"MAR",B921=4,"APR",B921=5,"MAY",B921=6,"JUN",B921=7,"JUL",B921=8,"AUG",Table_13[[#This Row],[Month]]=9,"SEPT",B921=10,"OCT",B921=11,"NOV",B921=12,"DEC")</f>
        <v>JUL</v>
      </c>
      <c r="D921" s="2" t="s">
        <v>11</v>
      </c>
      <c r="E921" s="2" t="s">
        <v>12</v>
      </c>
      <c r="F921" s="2" t="s">
        <v>23</v>
      </c>
      <c r="G921" s="2" t="s">
        <v>20</v>
      </c>
      <c r="H921" s="2" t="s">
        <v>15</v>
      </c>
      <c r="I921" s="2" t="s">
        <v>16</v>
      </c>
      <c r="J921" s="15">
        <v>85000</v>
      </c>
      <c r="K921" s="2">
        <v>2</v>
      </c>
      <c r="L921" s="2" t="s">
        <v>37</v>
      </c>
      <c r="M921" s="12">
        <f t="shared" si="27"/>
        <v>68000</v>
      </c>
      <c r="N921" s="10">
        <f>PRODUCT(Table_13[[#This Row],[Unit Price]],Table_13[[#This Row],[Quantity]])</f>
        <v>170000</v>
      </c>
      <c r="O921" s="16">
        <f>PRODUCT(Table_13[[#This Row],[Cost Price]],Table_13[[#This Row],[Quantity]])</f>
        <v>136000</v>
      </c>
      <c r="P921" s="27">
        <f t="shared" si="33"/>
        <v>34000</v>
      </c>
    </row>
    <row r="922" spans="1:16" x14ac:dyDescent="0.2">
      <c r="A922" s="33">
        <v>46596</v>
      </c>
      <c r="B922" s="30">
        <f t="shared" si="32"/>
        <v>7</v>
      </c>
      <c r="C922" s="30" t="str">
        <f>_xlfn.IFS(Table_13[[#This Row],[Month]]=1,"JAN",Table_13[[#This Row],[Month]]=2,"FEB",B922=3,"MAR",B922=4,"APR",B922=5,"MAY",B922=6,"JUN",B922=7,"JUL",B922=8,"AUG",Table_13[[#This Row],[Month]]=9,"SEPT",B922=10,"OCT",B922=11,"NOV",B922=12,"DEC")</f>
        <v>JUL</v>
      </c>
      <c r="D922" s="2" t="s">
        <v>11</v>
      </c>
      <c r="E922" s="2" t="s">
        <v>32</v>
      </c>
      <c r="F922" s="2" t="s">
        <v>23</v>
      </c>
      <c r="G922" s="2" t="s">
        <v>14</v>
      </c>
      <c r="H922" s="2" t="s">
        <v>15</v>
      </c>
      <c r="I922" s="2" t="s">
        <v>16</v>
      </c>
      <c r="J922" s="15">
        <v>85000</v>
      </c>
      <c r="K922" s="2">
        <v>1</v>
      </c>
      <c r="L922" s="2" t="s">
        <v>28</v>
      </c>
      <c r="M922" s="12">
        <f t="shared" si="27"/>
        <v>68000</v>
      </c>
      <c r="N922" s="10">
        <f>PRODUCT(Table_13[[#This Row],[Unit Price]],Table_13[[#This Row],[Quantity]])</f>
        <v>85000</v>
      </c>
      <c r="O922" s="16">
        <f>PRODUCT(Table_13[[#This Row],[Cost Price]],Table_13[[#This Row],[Quantity]])</f>
        <v>68000</v>
      </c>
      <c r="P922" s="27">
        <f t="shared" si="33"/>
        <v>17000</v>
      </c>
    </row>
    <row r="923" spans="1:16" x14ac:dyDescent="0.2">
      <c r="A923" s="33">
        <v>46597</v>
      </c>
      <c r="B923" s="30">
        <f t="shared" si="32"/>
        <v>7</v>
      </c>
      <c r="C923" s="30" t="str">
        <f>_xlfn.IFS(Table_13[[#This Row],[Month]]=1,"JAN",Table_13[[#This Row],[Month]]=2,"FEB",B923=3,"MAR",B923=4,"APR",B923=5,"MAY",B923=6,"JUN",B923=7,"JUL",B923=8,"AUG",Table_13[[#This Row],[Month]]=9,"SEPT",B923=10,"OCT",B923=11,"NOV",B923=12,"DEC")</f>
        <v>JUL</v>
      </c>
      <c r="D923" s="2" t="s">
        <v>29</v>
      </c>
      <c r="E923" s="2" t="s">
        <v>26</v>
      </c>
      <c r="F923" s="2" t="s">
        <v>13</v>
      </c>
      <c r="G923" s="2" t="s">
        <v>14</v>
      </c>
      <c r="H923" s="2" t="s">
        <v>33</v>
      </c>
      <c r="I923" s="2" t="s">
        <v>22</v>
      </c>
      <c r="J923" s="15">
        <v>180000</v>
      </c>
      <c r="K923" s="2">
        <v>4</v>
      </c>
      <c r="L923" s="2" t="s">
        <v>39</v>
      </c>
      <c r="M923" s="12">
        <f t="shared" si="27"/>
        <v>144000</v>
      </c>
      <c r="N923" s="10">
        <f>PRODUCT(Table_13[[#This Row],[Unit Price]],Table_13[[#This Row],[Quantity]])</f>
        <v>720000</v>
      </c>
      <c r="O923" s="16">
        <f>PRODUCT(Table_13[[#This Row],[Cost Price]],Table_13[[#This Row],[Quantity]])</f>
        <v>576000</v>
      </c>
      <c r="P923" s="27">
        <f t="shared" si="33"/>
        <v>144000</v>
      </c>
    </row>
    <row r="924" spans="1:16" x14ac:dyDescent="0.2">
      <c r="A924" s="33">
        <v>46598</v>
      </c>
      <c r="B924" s="30">
        <f t="shared" si="32"/>
        <v>7</v>
      </c>
      <c r="C924" s="30" t="str">
        <f>_xlfn.IFS(Table_13[[#This Row],[Month]]=1,"JAN",Table_13[[#This Row],[Month]]=2,"FEB",B924=3,"MAR",B924=4,"APR",B924=5,"MAY",B924=6,"JUN",B924=7,"JUL",B924=8,"AUG",Table_13[[#This Row],[Month]]=9,"SEPT",B924=10,"OCT",B924=11,"NOV",B924=12,"DEC")</f>
        <v>JUL</v>
      </c>
      <c r="D924" s="2" t="s">
        <v>18</v>
      </c>
      <c r="E924" s="2" t="s">
        <v>12</v>
      </c>
      <c r="F924" s="2" t="s">
        <v>23</v>
      </c>
      <c r="G924" s="2" t="s">
        <v>14</v>
      </c>
      <c r="H924" s="2" t="s">
        <v>38</v>
      </c>
      <c r="I924" s="2" t="s">
        <v>31</v>
      </c>
      <c r="J924" s="15">
        <v>420000</v>
      </c>
      <c r="K924" s="2">
        <v>8</v>
      </c>
      <c r="L924" s="2" t="s">
        <v>24</v>
      </c>
      <c r="M924" s="12">
        <f t="shared" si="27"/>
        <v>336000</v>
      </c>
      <c r="N924" s="10">
        <f>PRODUCT(Table_13[[#This Row],[Unit Price]],Table_13[[#This Row],[Quantity]])</f>
        <v>3360000</v>
      </c>
      <c r="O924" s="16">
        <f>PRODUCT(Table_13[[#This Row],[Cost Price]],Table_13[[#This Row],[Quantity]])</f>
        <v>2688000</v>
      </c>
      <c r="P924" s="27">
        <f t="shared" si="33"/>
        <v>672000</v>
      </c>
    </row>
    <row r="925" spans="1:16" x14ac:dyDescent="0.2">
      <c r="A925" s="33">
        <v>46599</v>
      </c>
      <c r="B925" s="30">
        <f t="shared" si="32"/>
        <v>7</v>
      </c>
      <c r="C925" s="30" t="str">
        <f>_xlfn.IFS(Table_13[[#This Row],[Month]]=1,"JAN",Table_13[[#This Row],[Month]]=2,"FEB",B925=3,"MAR",B925=4,"APR",B925=5,"MAY",B925=6,"JUN",B925=7,"JUL",B925=8,"AUG",Table_13[[#This Row],[Month]]=9,"SEPT",B925=10,"OCT",B925=11,"NOV",B925=12,"DEC")</f>
        <v>JUL</v>
      </c>
      <c r="D925" s="2" t="s">
        <v>11</v>
      </c>
      <c r="E925" s="2" t="s">
        <v>26</v>
      </c>
      <c r="F925" s="2" t="s">
        <v>23</v>
      </c>
      <c r="G925" s="2" t="s">
        <v>20</v>
      </c>
      <c r="H925" s="2" t="s">
        <v>33</v>
      </c>
      <c r="I925" s="2" t="s">
        <v>22</v>
      </c>
      <c r="J925" s="15">
        <v>180000</v>
      </c>
      <c r="K925" s="2">
        <v>9</v>
      </c>
      <c r="L925" s="2" t="s">
        <v>24</v>
      </c>
      <c r="M925" s="12">
        <f t="shared" si="27"/>
        <v>144000</v>
      </c>
      <c r="N925" s="10">
        <f>PRODUCT(Table_13[[#This Row],[Unit Price]],Table_13[[#This Row],[Quantity]])</f>
        <v>1620000</v>
      </c>
      <c r="O925" s="16">
        <f>PRODUCT(Table_13[[#This Row],[Cost Price]],Table_13[[#This Row],[Quantity]])</f>
        <v>1296000</v>
      </c>
      <c r="P925" s="27">
        <f t="shared" si="33"/>
        <v>324000</v>
      </c>
    </row>
    <row r="926" spans="1:16" x14ac:dyDescent="0.2">
      <c r="A926" s="33">
        <v>46600</v>
      </c>
      <c r="B926" s="30">
        <f t="shared" si="32"/>
        <v>8</v>
      </c>
      <c r="C926" s="30" t="str">
        <f>_xlfn.IFS(Table_13[[#This Row],[Month]]=1,"JAN",Table_13[[#This Row],[Month]]=2,"FEB",B926=3,"MAR",B926=4,"APR",B926=5,"MAY",B926=6,"JUN",B926=7,"JUL",B926=8,"AUG",Table_13[[#This Row],[Month]]=9,"SEPT",B926=10,"OCT",B926=11,"NOV",B926=12,"DEC")</f>
        <v>AUG</v>
      </c>
      <c r="D926" s="2" t="s">
        <v>29</v>
      </c>
      <c r="E926" s="2" t="s">
        <v>19</v>
      </c>
      <c r="F926" s="2" t="s">
        <v>23</v>
      </c>
      <c r="G926" s="2" t="s">
        <v>20</v>
      </c>
      <c r="H926" s="2" t="s">
        <v>30</v>
      </c>
      <c r="I926" s="2" t="s">
        <v>31</v>
      </c>
      <c r="J926" s="15">
        <v>300000</v>
      </c>
      <c r="K926" s="2">
        <v>5</v>
      </c>
      <c r="L926" s="2" t="s">
        <v>39</v>
      </c>
      <c r="M926" s="12">
        <f t="shared" si="27"/>
        <v>240000</v>
      </c>
      <c r="N926" s="10">
        <f>PRODUCT(Table_13[[#This Row],[Unit Price]],Table_13[[#This Row],[Quantity]])</f>
        <v>1500000</v>
      </c>
      <c r="O926" s="16">
        <f>PRODUCT(Table_13[[#This Row],[Cost Price]],Table_13[[#This Row],[Quantity]])</f>
        <v>1200000</v>
      </c>
      <c r="P926" s="27">
        <f t="shared" si="33"/>
        <v>300000</v>
      </c>
    </row>
    <row r="927" spans="1:16" x14ac:dyDescent="0.2">
      <c r="A927" s="33">
        <v>46601</v>
      </c>
      <c r="B927" s="30">
        <f t="shared" si="32"/>
        <v>8</v>
      </c>
      <c r="C927" s="30" t="str">
        <f>_xlfn.IFS(Table_13[[#This Row],[Month]]=1,"JAN",Table_13[[#This Row],[Month]]=2,"FEB",B927=3,"MAR",B927=4,"APR",B927=5,"MAY",B927=6,"JUN",B927=7,"JUL",B927=8,"AUG",Table_13[[#This Row],[Month]]=9,"SEPT",B927=10,"OCT",B927=11,"NOV",B927=12,"DEC")</f>
        <v>AUG</v>
      </c>
      <c r="D927" s="2" t="s">
        <v>11</v>
      </c>
      <c r="E927" s="2" t="s">
        <v>26</v>
      </c>
      <c r="F927" s="2" t="s">
        <v>23</v>
      </c>
      <c r="G927" s="2" t="s">
        <v>20</v>
      </c>
      <c r="H927" s="2" t="s">
        <v>27</v>
      </c>
      <c r="I927" s="2" t="s">
        <v>22</v>
      </c>
      <c r="J927" s="15">
        <v>60000</v>
      </c>
      <c r="K927" s="2">
        <v>4</v>
      </c>
      <c r="L927" s="2" t="s">
        <v>37</v>
      </c>
      <c r="M927" s="12">
        <f t="shared" si="27"/>
        <v>48000</v>
      </c>
      <c r="N927" s="10">
        <f>PRODUCT(Table_13[[#This Row],[Unit Price]],Table_13[[#This Row],[Quantity]])</f>
        <v>240000</v>
      </c>
      <c r="O927" s="16">
        <f>PRODUCT(Table_13[[#This Row],[Cost Price]],Table_13[[#This Row],[Quantity]])</f>
        <v>192000</v>
      </c>
      <c r="P927" s="27">
        <f t="shared" si="33"/>
        <v>48000</v>
      </c>
    </row>
    <row r="928" spans="1:16" x14ac:dyDescent="0.2">
      <c r="A928" s="33">
        <v>46602</v>
      </c>
      <c r="B928" s="30">
        <f t="shared" si="32"/>
        <v>8</v>
      </c>
      <c r="C928" s="30" t="str">
        <f>_xlfn.IFS(Table_13[[#This Row],[Month]]=1,"JAN",Table_13[[#This Row],[Month]]=2,"FEB",B928=3,"MAR",B928=4,"APR",B928=5,"MAY",B928=6,"JUN",B928=7,"JUL",B928=8,"AUG",Table_13[[#This Row],[Month]]=9,"SEPT",B928=10,"OCT",B928=11,"NOV",B928=12,"DEC")</f>
        <v>AUG</v>
      </c>
      <c r="D928" s="2" t="s">
        <v>18</v>
      </c>
      <c r="E928" s="2" t="s">
        <v>19</v>
      </c>
      <c r="F928" s="2" t="s">
        <v>23</v>
      </c>
      <c r="G928" s="2" t="s">
        <v>14</v>
      </c>
      <c r="H928" s="2" t="s">
        <v>40</v>
      </c>
      <c r="I928" s="2" t="s">
        <v>31</v>
      </c>
      <c r="J928" s="15">
        <v>250000</v>
      </c>
      <c r="K928" s="2">
        <v>4</v>
      </c>
      <c r="L928" s="2" t="s">
        <v>37</v>
      </c>
      <c r="M928" s="12">
        <f t="shared" si="27"/>
        <v>200000</v>
      </c>
      <c r="N928" s="10">
        <f>PRODUCT(Table_13[[#This Row],[Unit Price]],Table_13[[#This Row],[Quantity]])</f>
        <v>1000000</v>
      </c>
      <c r="O928" s="16">
        <f>PRODUCT(Table_13[[#This Row],[Cost Price]],Table_13[[#This Row],[Quantity]])</f>
        <v>800000</v>
      </c>
      <c r="P928" s="27">
        <f t="shared" si="33"/>
        <v>200000</v>
      </c>
    </row>
    <row r="929" spans="1:16" x14ac:dyDescent="0.2">
      <c r="A929" s="33">
        <v>46603</v>
      </c>
      <c r="B929" s="30">
        <f t="shared" si="32"/>
        <v>8</v>
      </c>
      <c r="C929" s="30" t="str">
        <f>_xlfn.IFS(Table_13[[#This Row],[Month]]=1,"JAN",Table_13[[#This Row],[Month]]=2,"FEB",B929=3,"MAR",B929=4,"APR",B929=5,"MAY",B929=6,"JUN",B929=7,"JUL",B929=8,"AUG",Table_13[[#This Row],[Month]]=9,"SEPT",B929=10,"OCT",B929=11,"NOV",B929=12,"DEC")</f>
        <v>AUG</v>
      </c>
      <c r="D929" s="2" t="s">
        <v>29</v>
      </c>
      <c r="E929" s="2" t="s">
        <v>12</v>
      </c>
      <c r="F929" s="2" t="s">
        <v>13</v>
      </c>
      <c r="G929" s="2" t="s">
        <v>20</v>
      </c>
      <c r="H929" s="2" t="s">
        <v>41</v>
      </c>
      <c r="I929" s="2" t="s">
        <v>22</v>
      </c>
      <c r="J929" s="15">
        <v>220000</v>
      </c>
      <c r="K929" s="2">
        <v>6</v>
      </c>
      <c r="L929" s="2" t="s">
        <v>39</v>
      </c>
      <c r="M929" s="12">
        <f t="shared" si="27"/>
        <v>176000</v>
      </c>
      <c r="N929" s="10">
        <f>PRODUCT(Table_13[[#This Row],[Unit Price]],Table_13[[#This Row],[Quantity]])</f>
        <v>1320000</v>
      </c>
      <c r="O929" s="16">
        <f>PRODUCT(Table_13[[#This Row],[Cost Price]],Table_13[[#This Row],[Quantity]])</f>
        <v>1056000</v>
      </c>
      <c r="P929" s="27">
        <f t="shared" si="33"/>
        <v>264000</v>
      </c>
    </row>
    <row r="930" spans="1:16" x14ac:dyDescent="0.2">
      <c r="A930" s="33">
        <v>46604</v>
      </c>
      <c r="B930" s="30">
        <f t="shared" si="32"/>
        <v>8</v>
      </c>
      <c r="C930" s="30" t="str">
        <f>_xlfn.IFS(Table_13[[#This Row],[Month]]=1,"JAN",Table_13[[#This Row],[Month]]=2,"FEB",B930=3,"MAR",B930=4,"APR",B930=5,"MAY",B930=6,"JUN",B930=7,"JUL",B930=8,"AUG",Table_13[[#This Row],[Month]]=9,"SEPT",B930=10,"OCT",B930=11,"NOV",B930=12,"DEC")</f>
        <v>AUG</v>
      </c>
      <c r="D930" s="2" t="s">
        <v>18</v>
      </c>
      <c r="E930" s="2" t="s">
        <v>19</v>
      </c>
      <c r="F930" s="2" t="s">
        <v>23</v>
      </c>
      <c r="G930" s="2" t="s">
        <v>14</v>
      </c>
      <c r="H930" s="2" t="s">
        <v>30</v>
      </c>
      <c r="I930" s="2" t="s">
        <v>31</v>
      </c>
      <c r="J930" s="15">
        <v>300000</v>
      </c>
      <c r="K930" s="2">
        <v>7</v>
      </c>
      <c r="L930" s="2" t="s">
        <v>28</v>
      </c>
      <c r="M930" s="12">
        <f t="shared" si="27"/>
        <v>240000</v>
      </c>
      <c r="N930" s="10">
        <f>PRODUCT(Table_13[[#This Row],[Unit Price]],Table_13[[#This Row],[Quantity]])</f>
        <v>2100000</v>
      </c>
      <c r="O930" s="16">
        <f>PRODUCT(Table_13[[#This Row],[Cost Price]],Table_13[[#This Row],[Quantity]])</f>
        <v>1680000</v>
      </c>
      <c r="P930" s="27">
        <f t="shared" si="33"/>
        <v>420000</v>
      </c>
    </row>
    <row r="931" spans="1:16" x14ac:dyDescent="0.2">
      <c r="A931" s="33">
        <v>46605</v>
      </c>
      <c r="B931" s="30">
        <f t="shared" si="32"/>
        <v>8</v>
      </c>
      <c r="C931" s="30" t="str">
        <f>_xlfn.IFS(Table_13[[#This Row],[Month]]=1,"JAN",Table_13[[#This Row],[Month]]=2,"FEB",B931=3,"MAR",B931=4,"APR",B931=5,"MAY",B931=6,"JUN",B931=7,"JUL",B931=8,"AUG",Table_13[[#This Row],[Month]]=9,"SEPT",B931=10,"OCT",B931=11,"NOV",B931=12,"DEC")</f>
        <v>AUG</v>
      </c>
      <c r="D931" s="2" t="s">
        <v>25</v>
      </c>
      <c r="E931" s="2" t="s">
        <v>19</v>
      </c>
      <c r="F931" s="2" t="s">
        <v>13</v>
      </c>
      <c r="G931" s="2" t="s">
        <v>14</v>
      </c>
      <c r="H931" s="2" t="s">
        <v>38</v>
      </c>
      <c r="I931" s="2" t="s">
        <v>31</v>
      </c>
      <c r="J931" s="15">
        <v>420000</v>
      </c>
      <c r="K931" s="2">
        <v>10</v>
      </c>
      <c r="L931" s="2" t="s">
        <v>28</v>
      </c>
      <c r="M931" s="12">
        <f t="shared" si="27"/>
        <v>336000</v>
      </c>
      <c r="N931" s="10">
        <f>PRODUCT(Table_13[[#This Row],[Unit Price]],Table_13[[#This Row],[Quantity]])</f>
        <v>4200000</v>
      </c>
      <c r="O931" s="16">
        <f>PRODUCT(Table_13[[#This Row],[Cost Price]],Table_13[[#This Row],[Quantity]])</f>
        <v>3360000</v>
      </c>
      <c r="P931" s="27">
        <f t="shared" si="33"/>
        <v>840000</v>
      </c>
    </row>
    <row r="932" spans="1:16" x14ac:dyDescent="0.2">
      <c r="A932" s="33">
        <v>46606</v>
      </c>
      <c r="B932" s="30">
        <f t="shared" si="32"/>
        <v>8</v>
      </c>
      <c r="C932" s="30" t="str">
        <f>_xlfn.IFS(Table_13[[#This Row],[Month]]=1,"JAN",Table_13[[#This Row],[Month]]=2,"FEB",B932=3,"MAR",B932=4,"APR",B932=5,"MAY",B932=6,"JUN",B932=7,"JUL",B932=8,"AUG",Table_13[[#This Row],[Month]]=9,"SEPT",B932=10,"OCT",B932=11,"NOV",B932=12,"DEC")</f>
        <v>AUG</v>
      </c>
      <c r="D932" s="2" t="s">
        <v>11</v>
      </c>
      <c r="E932" s="2" t="s">
        <v>19</v>
      </c>
      <c r="F932" s="2" t="s">
        <v>23</v>
      </c>
      <c r="G932" s="2" t="s">
        <v>20</v>
      </c>
      <c r="H932" s="2" t="s">
        <v>21</v>
      </c>
      <c r="I932" s="2" t="s">
        <v>22</v>
      </c>
      <c r="J932" s="15">
        <v>30000</v>
      </c>
      <c r="K932" s="2">
        <v>7</v>
      </c>
      <c r="L932" s="2" t="s">
        <v>28</v>
      </c>
      <c r="M932" s="12">
        <f t="shared" si="27"/>
        <v>24000</v>
      </c>
      <c r="N932" s="10">
        <f>PRODUCT(Table_13[[#This Row],[Unit Price]],Table_13[[#This Row],[Quantity]])</f>
        <v>210000</v>
      </c>
      <c r="O932" s="16">
        <f>PRODUCT(Table_13[[#This Row],[Cost Price]],Table_13[[#This Row],[Quantity]])</f>
        <v>168000</v>
      </c>
      <c r="P932" s="27">
        <f t="shared" si="33"/>
        <v>42000</v>
      </c>
    </row>
    <row r="933" spans="1:16" x14ac:dyDescent="0.2">
      <c r="A933" s="33">
        <v>46607</v>
      </c>
      <c r="B933" s="30">
        <f t="shared" si="32"/>
        <v>8</v>
      </c>
      <c r="C933" s="30" t="str">
        <f>_xlfn.IFS(Table_13[[#This Row],[Month]]=1,"JAN",Table_13[[#This Row],[Month]]=2,"FEB",B933=3,"MAR",B933=4,"APR",B933=5,"MAY",B933=6,"JUN",B933=7,"JUL",B933=8,"AUG",Table_13[[#This Row],[Month]]=9,"SEPT",B933=10,"OCT",B933=11,"NOV",B933=12,"DEC")</f>
        <v>AUG</v>
      </c>
      <c r="D933" s="2" t="s">
        <v>29</v>
      </c>
      <c r="E933" s="2" t="s">
        <v>19</v>
      </c>
      <c r="F933" s="2" t="s">
        <v>23</v>
      </c>
      <c r="G933" s="2" t="s">
        <v>14</v>
      </c>
      <c r="H933" s="2" t="s">
        <v>41</v>
      </c>
      <c r="I933" s="2" t="s">
        <v>22</v>
      </c>
      <c r="J933" s="15">
        <v>220000</v>
      </c>
      <c r="K933" s="2">
        <v>8</v>
      </c>
      <c r="L933" s="2" t="s">
        <v>37</v>
      </c>
      <c r="M933" s="12">
        <f t="shared" si="27"/>
        <v>176000</v>
      </c>
      <c r="N933" s="10">
        <f>PRODUCT(Table_13[[#This Row],[Unit Price]],Table_13[[#This Row],[Quantity]])</f>
        <v>1760000</v>
      </c>
      <c r="O933" s="16">
        <f>PRODUCT(Table_13[[#This Row],[Cost Price]],Table_13[[#This Row],[Quantity]])</f>
        <v>1408000</v>
      </c>
      <c r="P933" s="27">
        <f t="shared" si="33"/>
        <v>352000</v>
      </c>
    </row>
    <row r="934" spans="1:16" x14ac:dyDescent="0.2">
      <c r="A934" s="33">
        <v>46608</v>
      </c>
      <c r="B934" s="30">
        <f t="shared" si="32"/>
        <v>8</v>
      </c>
      <c r="C934" s="30" t="str">
        <f>_xlfn.IFS(Table_13[[#This Row],[Month]]=1,"JAN",Table_13[[#This Row],[Month]]=2,"FEB",B934=3,"MAR",B934=4,"APR",B934=5,"MAY",B934=6,"JUN",B934=7,"JUL",B934=8,"AUG",Table_13[[#This Row],[Month]]=9,"SEPT",B934=10,"OCT",B934=11,"NOV",B934=12,"DEC")</f>
        <v>AUG</v>
      </c>
      <c r="D934" s="2" t="s">
        <v>25</v>
      </c>
      <c r="E934" s="2" t="s">
        <v>32</v>
      </c>
      <c r="F934" s="2" t="s">
        <v>13</v>
      </c>
      <c r="G934" s="2" t="s">
        <v>20</v>
      </c>
      <c r="H934" s="2" t="s">
        <v>34</v>
      </c>
      <c r="I934" s="2" t="s">
        <v>16</v>
      </c>
      <c r="J934" s="15">
        <v>320000</v>
      </c>
      <c r="K934" s="2">
        <v>9</v>
      </c>
      <c r="L934" s="2" t="s">
        <v>24</v>
      </c>
      <c r="M934" s="12">
        <f t="shared" si="27"/>
        <v>256000</v>
      </c>
      <c r="N934" s="10">
        <f>PRODUCT(Table_13[[#This Row],[Unit Price]],Table_13[[#This Row],[Quantity]])</f>
        <v>2880000</v>
      </c>
      <c r="O934" s="16">
        <f>PRODUCT(Table_13[[#This Row],[Cost Price]],Table_13[[#This Row],[Quantity]])</f>
        <v>2304000</v>
      </c>
      <c r="P934" s="27">
        <f t="shared" si="33"/>
        <v>576000</v>
      </c>
    </row>
    <row r="935" spans="1:16" x14ac:dyDescent="0.2">
      <c r="A935" s="33">
        <v>46609</v>
      </c>
      <c r="B935" s="30">
        <f t="shared" si="32"/>
        <v>8</v>
      </c>
      <c r="C935" s="30" t="str">
        <f>_xlfn.IFS(Table_13[[#This Row],[Month]]=1,"JAN",Table_13[[#This Row],[Month]]=2,"FEB",B935=3,"MAR",B935=4,"APR",B935=5,"MAY",B935=6,"JUN",B935=7,"JUL",B935=8,"AUG",Table_13[[#This Row],[Month]]=9,"SEPT",B935=10,"OCT",B935=11,"NOV",B935=12,"DEC")</f>
        <v>AUG</v>
      </c>
      <c r="D935" s="2" t="s">
        <v>18</v>
      </c>
      <c r="E935" s="2" t="s">
        <v>26</v>
      </c>
      <c r="F935" s="2" t="s">
        <v>23</v>
      </c>
      <c r="G935" s="2" t="s">
        <v>20</v>
      </c>
      <c r="H935" s="2" t="s">
        <v>33</v>
      </c>
      <c r="I935" s="2" t="s">
        <v>22</v>
      </c>
      <c r="J935" s="15">
        <v>180000</v>
      </c>
      <c r="K935" s="2">
        <v>8</v>
      </c>
      <c r="L935" s="2" t="s">
        <v>28</v>
      </c>
      <c r="M935" s="12">
        <f t="shared" si="27"/>
        <v>144000</v>
      </c>
      <c r="N935" s="10">
        <f>PRODUCT(Table_13[[#This Row],[Unit Price]],Table_13[[#This Row],[Quantity]])</f>
        <v>1440000</v>
      </c>
      <c r="O935" s="16">
        <f>PRODUCT(Table_13[[#This Row],[Cost Price]],Table_13[[#This Row],[Quantity]])</f>
        <v>1152000</v>
      </c>
      <c r="P935" s="27">
        <f t="shared" si="33"/>
        <v>288000</v>
      </c>
    </row>
    <row r="936" spans="1:16" x14ac:dyDescent="0.2">
      <c r="A936" s="33">
        <v>46610</v>
      </c>
      <c r="B936" s="30">
        <f t="shared" si="32"/>
        <v>8</v>
      </c>
      <c r="C936" s="30" t="str">
        <f>_xlfn.IFS(Table_13[[#This Row],[Month]]=1,"JAN",Table_13[[#This Row],[Month]]=2,"FEB",B936=3,"MAR",B936=4,"APR",B936=5,"MAY",B936=6,"JUN",B936=7,"JUL",B936=8,"AUG",Table_13[[#This Row],[Month]]=9,"SEPT",B936=10,"OCT",B936=11,"NOV",B936=12,"DEC")</f>
        <v>AUG</v>
      </c>
      <c r="D936" s="2" t="s">
        <v>29</v>
      </c>
      <c r="E936" s="2" t="s">
        <v>12</v>
      </c>
      <c r="F936" s="2" t="s">
        <v>13</v>
      </c>
      <c r="G936" s="2" t="s">
        <v>14</v>
      </c>
      <c r="H936" s="2" t="s">
        <v>21</v>
      </c>
      <c r="I936" s="2" t="s">
        <v>22</v>
      </c>
      <c r="J936" s="15">
        <v>30000</v>
      </c>
      <c r="K936" s="2">
        <v>5</v>
      </c>
      <c r="L936" s="2" t="s">
        <v>35</v>
      </c>
      <c r="M936" s="12">
        <f t="shared" si="27"/>
        <v>24000</v>
      </c>
      <c r="N936" s="10">
        <f>PRODUCT(Table_13[[#This Row],[Unit Price]],Table_13[[#This Row],[Quantity]])</f>
        <v>150000</v>
      </c>
      <c r="O936" s="16">
        <f>PRODUCT(Table_13[[#This Row],[Cost Price]],Table_13[[#This Row],[Quantity]])</f>
        <v>120000</v>
      </c>
      <c r="P936" s="27">
        <f t="shared" si="33"/>
        <v>30000</v>
      </c>
    </row>
    <row r="937" spans="1:16" x14ac:dyDescent="0.2">
      <c r="A937" s="33">
        <v>46611</v>
      </c>
      <c r="B937" s="30">
        <f t="shared" si="32"/>
        <v>8</v>
      </c>
      <c r="C937" s="30" t="str">
        <f>_xlfn.IFS(Table_13[[#This Row],[Month]]=1,"JAN",Table_13[[#This Row],[Month]]=2,"FEB",B937=3,"MAR",B937=4,"APR",B937=5,"MAY",B937=6,"JUN",B937=7,"JUL",B937=8,"AUG",Table_13[[#This Row],[Month]]=9,"SEPT",B937=10,"OCT",B937=11,"NOV",B937=12,"DEC")</f>
        <v>AUG</v>
      </c>
      <c r="D937" s="2" t="s">
        <v>25</v>
      </c>
      <c r="E937" s="2" t="s">
        <v>26</v>
      </c>
      <c r="F937" s="2" t="s">
        <v>13</v>
      </c>
      <c r="G937" s="2" t="s">
        <v>20</v>
      </c>
      <c r="H937" s="2" t="s">
        <v>34</v>
      </c>
      <c r="I937" s="2" t="s">
        <v>16</v>
      </c>
      <c r="J937" s="15">
        <v>320000</v>
      </c>
      <c r="K937" s="2">
        <v>8</v>
      </c>
      <c r="L937" s="2" t="s">
        <v>28</v>
      </c>
      <c r="M937" s="12">
        <f t="shared" si="27"/>
        <v>256000</v>
      </c>
      <c r="N937" s="10">
        <f>PRODUCT(Table_13[[#This Row],[Unit Price]],Table_13[[#This Row],[Quantity]])</f>
        <v>2560000</v>
      </c>
      <c r="O937" s="16">
        <f>PRODUCT(Table_13[[#This Row],[Cost Price]],Table_13[[#This Row],[Quantity]])</f>
        <v>2048000</v>
      </c>
      <c r="P937" s="27">
        <f t="shared" si="33"/>
        <v>512000</v>
      </c>
    </row>
    <row r="938" spans="1:16" x14ac:dyDescent="0.2">
      <c r="A938" s="33">
        <v>46612</v>
      </c>
      <c r="B938" s="30">
        <f t="shared" si="32"/>
        <v>8</v>
      </c>
      <c r="C938" s="30" t="str">
        <f>_xlfn.IFS(Table_13[[#This Row],[Month]]=1,"JAN",Table_13[[#This Row],[Month]]=2,"FEB",B938=3,"MAR",B938=4,"APR",B938=5,"MAY",B938=6,"JUN",B938=7,"JUL",B938=8,"AUG",Table_13[[#This Row],[Month]]=9,"SEPT",B938=10,"OCT",B938=11,"NOV",B938=12,"DEC")</f>
        <v>AUG</v>
      </c>
      <c r="D938" s="2" t="s">
        <v>29</v>
      </c>
      <c r="E938" s="2" t="s">
        <v>19</v>
      </c>
      <c r="F938" s="2" t="s">
        <v>13</v>
      </c>
      <c r="G938" s="2" t="s">
        <v>20</v>
      </c>
      <c r="H938" s="2" t="s">
        <v>34</v>
      </c>
      <c r="I938" s="2" t="s">
        <v>16</v>
      </c>
      <c r="J938" s="15">
        <v>320000</v>
      </c>
      <c r="K938" s="2">
        <v>8</v>
      </c>
      <c r="L938" s="2" t="s">
        <v>24</v>
      </c>
      <c r="M938" s="12">
        <f t="shared" si="27"/>
        <v>256000</v>
      </c>
      <c r="N938" s="10">
        <f>PRODUCT(Table_13[[#This Row],[Unit Price]],Table_13[[#This Row],[Quantity]])</f>
        <v>2560000</v>
      </c>
      <c r="O938" s="16">
        <f>PRODUCT(Table_13[[#This Row],[Cost Price]],Table_13[[#This Row],[Quantity]])</f>
        <v>2048000</v>
      </c>
      <c r="P938" s="27">
        <f t="shared" si="33"/>
        <v>512000</v>
      </c>
    </row>
    <row r="939" spans="1:16" x14ac:dyDescent="0.2">
      <c r="A939" s="33">
        <v>46613</v>
      </c>
      <c r="B939" s="30">
        <f t="shared" si="32"/>
        <v>8</v>
      </c>
      <c r="C939" s="30" t="str">
        <f>_xlfn.IFS(Table_13[[#This Row],[Month]]=1,"JAN",Table_13[[#This Row],[Month]]=2,"FEB",B939=3,"MAR",B939=4,"APR",B939=5,"MAY",B939=6,"JUN",B939=7,"JUL",B939=8,"AUG",Table_13[[#This Row],[Month]]=9,"SEPT",B939=10,"OCT",B939=11,"NOV",B939=12,"DEC")</f>
        <v>AUG</v>
      </c>
      <c r="D939" s="2" t="s">
        <v>18</v>
      </c>
      <c r="E939" s="2" t="s">
        <v>26</v>
      </c>
      <c r="F939" s="2" t="s">
        <v>23</v>
      </c>
      <c r="G939" s="2" t="s">
        <v>20</v>
      </c>
      <c r="H939" s="2" t="s">
        <v>21</v>
      </c>
      <c r="I939" s="2" t="s">
        <v>22</v>
      </c>
      <c r="J939" s="15">
        <v>30000</v>
      </c>
      <c r="K939" s="2">
        <v>4</v>
      </c>
      <c r="L939" s="2" t="s">
        <v>28</v>
      </c>
      <c r="M939" s="12">
        <f t="shared" si="27"/>
        <v>24000</v>
      </c>
      <c r="N939" s="10">
        <f>PRODUCT(Table_13[[#This Row],[Unit Price]],Table_13[[#This Row],[Quantity]])</f>
        <v>120000</v>
      </c>
      <c r="O939" s="16">
        <f>PRODUCT(Table_13[[#This Row],[Cost Price]],Table_13[[#This Row],[Quantity]])</f>
        <v>96000</v>
      </c>
      <c r="P939" s="27">
        <f t="shared" si="33"/>
        <v>24000</v>
      </c>
    </row>
    <row r="940" spans="1:16" x14ac:dyDescent="0.2">
      <c r="A940" s="33">
        <v>46614</v>
      </c>
      <c r="B940" s="30">
        <f t="shared" si="32"/>
        <v>8</v>
      </c>
      <c r="C940" s="30" t="str">
        <f>_xlfn.IFS(Table_13[[#This Row],[Month]]=1,"JAN",Table_13[[#This Row],[Month]]=2,"FEB",B940=3,"MAR",B940=4,"APR",B940=5,"MAY",B940=6,"JUN",B940=7,"JUL",B940=8,"AUG",Table_13[[#This Row],[Month]]=9,"SEPT",B940=10,"OCT",B940=11,"NOV",B940=12,"DEC")</f>
        <v>AUG</v>
      </c>
      <c r="D940" s="2" t="s">
        <v>11</v>
      </c>
      <c r="E940" s="2" t="s">
        <v>32</v>
      </c>
      <c r="F940" s="2" t="s">
        <v>13</v>
      </c>
      <c r="G940" s="2" t="s">
        <v>20</v>
      </c>
      <c r="H940" s="2" t="s">
        <v>33</v>
      </c>
      <c r="I940" s="2" t="s">
        <v>22</v>
      </c>
      <c r="J940" s="15">
        <v>180000</v>
      </c>
      <c r="K940" s="2">
        <v>3</v>
      </c>
      <c r="L940" s="2" t="s">
        <v>35</v>
      </c>
      <c r="M940" s="12">
        <f t="shared" si="27"/>
        <v>144000</v>
      </c>
      <c r="N940" s="10">
        <f>PRODUCT(Table_13[[#This Row],[Unit Price]],Table_13[[#This Row],[Quantity]])</f>
        <v>540000</v>
      </c>
      <c r="O940" s="16">
        <f>PRODUCT(Table_13[[#This Row],[Cost Price]],Table_13[[#This Row],[Quantity]])</f>
        <v>432000</v>
      </c>
      <c r="P940" s="27">
        <f t="shared" si="33"/>
        <v>108000</v>
      </c>
    </row>
    <row r="941" spans="1:16" x14ac:dyDescent="0.2">
      <c r="A941" s="33">
        <v>46615</v>
      </c>
      <c r="B941" s="30">
        <f t="shared" si="32"/>
        <v>8</v>
      </c>
      <c r="C941" s="30" t="str">
        <f>_xlfn.IFS(Table_13[[#This Row],[Month]]=1,"JAN",Table_13[[#This Row],[Month]]=2,"FEB",B941=3,"MAR",B941=4,"APR",B941=5,"MAY",B941=6,"JUN",B941=7,"JUL",B941=8,"AUG",Table_13[[#This Row],[Month]]=9,"SEPT",B941=10,"OCT",B941=11,"NOV",B941=12,"DEC")</f>
        <v>AUG</v>
      </c>
      <c r="D941" s="2" t="s">
        <v>29</v>
      </c>
      <c r="E941" s="2" t="s">
        <v>26</v>
      </c>
      <c r="F941" s="2" t="s">
        <v>13</v>
      </c>
      <c r="G941" s="2" t="s">
        <v>14</v>
      </c>
      <c r="H941" s="2" t="s">
        <v>33</v>
      </c>
      <c r="I941" s="2" t="s">
        <v>22</v>
      </c>
      <c r="J941" s="15">
        <v>180000</v>
      </c>
      <c r="K941" s="2">
        <v>9</v>
      </c>
      <c r="L941" s="2" t="s">
        <v>35</v>
      </c>
      <c r="M941" s="12">
        <f t="shared" si="27"/>
        <v>144000</v>
      </c>
      <c r="N941" s="10">
        <f>PRODUCT(Table_13[[#This Row],[Unit Price]],Table_13[[#This Row],[Quantity]])</f>
        <v>1620000</v>
      </c>
      <c r="O941" s="16">
        <f>PRODUCT(Table_13[[#This Row],[Cost Price]],Table_13[[#This Row],[Quantity]])</f>
        <v>1296000</v>
      </c>
      <c r="P941" s="27">
        <f t="shared" si="33"/>
        <v>324000</v>
      </c>
    </row>
    <row r="942" spans="1:16" x14ac:dyDescent="0.2">
      <c r="A942" s="33">
        <v>46616</v>
      </c>
      <c r="B942" s="30">
        <f t="shared" si="32"/>
        <v>8</v>
      </c>
      <c r="C942" s="30" t="str">
        <f>_xlfn.IFS(Table_13[[#This Row],[Month]]=1,"JAN",Table_13[[#This Row],[Month]]=2,"FEB",B942=3,"MAR",B942=4,"APR",B942=5,"MAY",B942=6,"JUN",B942=7,"JUL",B942=8,"AUG",Table_13[[#This Row],[Month]]=9,"SEPT",B942=10,"OCT",B942=11,"NOV",B942=12,"DEC")</f>
        <v>AUG</v>
      </c>
      <c r="D942" s="2" t="s">
        <v>29</v>
      </c>
      <c r="E942" s="2" t="s">
        <v>19</v>
      </c>
      <c r="F942" s="2" t="s">
        <v>23</v>
      </c>
      <c r="G942" s="2" t="s">
        <v>20</v>
      </c>
      <c r="H942" s="2" t="s">
        <v>33</v>
      </c>
      <c r="I942" s="2" t="s">
        <v>22</v>
      </c>
      <c r="J942" s="15">
        <v>180000</v>
      </c>
      <c r="K942" s="2">
        <v>1</v>
      </c>
      <c r="L942" s="2" t="s">
        <v>28</v>
      </c>
      <c r="M942" s="12">
        <f t="shared" si="27"/>
        <v>144000</v>
      </c>
      <c r="N942" s="10">
        <f>PRODUCT(Table_13[[#This Row],[Unit Price]],Table_13[[#This Row],[Quantity]])</f>
        <v>180000</v>
      </c>
      <c r="O942" s="16">
        <f>PRODUCT(Table_13[[#This Row],[Cost Price]],Table_13[[#This Row],[Quantity]])</f>
        <v>144000</v>
      </c>
      <c r="P942" s="27">
        <f t="shared" si="33"/>
        <v>36000</v>
      </c>
    </row>
    <row r="943" spans="1:16" x14ac:dyDescent="0.2">
      <c r="A943" s="33">
        <v>46617</v>
      </c>
      <c r="B943" s="30">
        <f t="shared" si="32"/>
        <v>8</v>
      </c>
      <c r="C943" s="30" t="str">
        <f>_xlfn.IFS(Table_13[[#This Row],[Month]]=1,"JAN",Table_13[[#This Row],[Month]]=2,"FEB",B943=3,"MAR",B943=4,"APR",B943=5,"MAY",B943=6,"JUN",B943=7,"JUL",B943=8,"AUG",Table_13[[#This Row],[Month]]=9,"SEPT",B943=10,"OCT",B943=11,"NOV",B943=12,"DEC")</f>
        <v>AUG</v>
      </c>
      <c r="D943" s="2" t="s">
        <v>11</v>
      </c>
      <c r="E943" s="2" t="s">
        <v>32</v>
      </c>
      <c r="F943" s="2" t="s">
        <v>23</v>
      </c>
      <c r="G943" s="2" t="s">
        <v>14</v>
      </c>
      <c r="H943" s="2" t="s">
        <v>41</v>
      </c>
      <c r="I943" s="2" t="s">
        <v>22</v>
      </c>
      <c r="J943" s="15">
        <v>220000</v>
      </c>
      <c r="K943" s="2">
        <v>6</v>
      </c>
      <c r="L943" s="2" t="s">
        <v>24</v>
      </c>
      <c r="M943" s="12">
        <f t="shared" si="27"/>
        <v>176000</v>
      </c>
      <c r="N943" s="10">
        <f>PRODUCT(Table_13[[#This Row],[Unit Price]],Table_13[[#This Row],[Quantity]])</f>
        <v>1320000</v>
      </c>
      <c r="O943" s="16">
        <f>PRODUCT(Table_13[[#This Row],[Cost Price]],Table_13[[#This Row],[Quantity]])</f>
        <v>1056000</v>
      </c>
      <c r="P943" s="27">
        <f t="shared" si="33"/>
        <v>264000</v>
      </c>
    </row>
    <row r="944" spans="1:16" x14ac:dyDescent="0.2">
      <c r="A944" s="33">
        <v>46618</v>
      </c>
      <c r="B944" s="30">
        <f t="shared" si="32"/>
        <v>8</v>
      </c>
      <c r="C944" s="30" t="str">
        <f>_xlfn.IFS(Table_13[[#This Row],[Month]]=1,"JAN",Table_13[[#This Row],[Month]]=2,"FEB",B944=3,"MAR",B944=4,"APR",B944=5,"MAY",B944=6,"JUN",B944=7,"JUL",B944=8,"AUG",Table_13[[#This Row],[Month]]=9,"SEPT",B944=10,"OCT",B944=11,"NOV",B944=12,"DEC")</f>
        <v>AUG</v>
      </c>
      <c r="D944" s="2" t="s">
        <v>18</v>
      </c>
      <c r="E944" s="2" t="s">
        <v>19</v>
      </c>
      <c r="F944" s="2" t="s">
        <v>13</v>
      </c>
      <c r="G944" s="2" t="s">
        <v>14</v>
      </c>
      <c r="H944" s="2" t="s">
        <v>30</v>
      </c>
      <c r="I944" s="2" t="s">
        <v>31</v>
      </c>
      <c r="J944" s="15">
        <v>300000</v>
      </c>
      <c r="K944" s="2">
        <v>3</v>
      </c>
      <c r="L944" s="2" t="s">
        <v>24</v>
      </c>
      <c r="M944" s="12">
        <f t="shared" si="27"/>
        <v>240000</v>
      </c>
      <c r="N944" s="10">
        <f>PRODUCT(Table_13[[#This Row],[Unit Price]],Table_13[[#This Row],[Quantity]])</f>
        <v>900000</v>
      </c>
      <c r="O944" s="16">
        <f>PRODUCT(Table_13[[#This Row],[Cost Price]],Table_13[[#This Row],[Quantity]])</f>
        <v>720000</v>
      </c>
      <c r="P944" s="27">
        <f t="shared" si="33"/>
        <v>180000</v>
      </c>
    </row>
    <row r="945" spans="1:16" x14ac:dyDescent="0.2">
      <c r="A945" s="33">
        <v>46619</v>
      </c>
      <c r="B945" s="30">
        <f t="shared" si="32"/>
        <v>8</v>
      </c>
      <c r="C945" s="30" t="str">
        <f>_xlfn.IFS(Table_13[[#This Row],[Month]]=1,"JAN",Table_13[[#This Row],[Month]]=2,"FEB",B945=3,"MAR",B945=4,"APR",B945=5,"MAY",B945=6,"JUN",B945=7,"JUL",B945=8,"AUG",Table_13[[#This Row],[Month]]=9,"SEPT",B945=10,"OCT",B945=11,"NOV",B945=12,"DEC")</f>
        <v>AUG</v>
      </c>
      <c r="D945" s="2" t="s">
        <v>25</v>
      </c>
      <c r="E945" s="2" t="s">
        <v>19</v>
      </c>
      <c r="F945" s="2" t="s">
        <v>23</v>
      </c>
      <c r="G945" s="2" t="s">
        <v>20</v>
      </c>
      <c r="H945" s="2" t="s">
        <v>34</v>
      </c>
      <c r="I945" s="2" t="s">
        <v>16</v>
      </c>
      <c r="J945" s="15">
        <v>320000</v>
      </c>
      <c r="K945" s="2">
        <v>1</v>
      </c>
      <c r="L945" s="2" t="s">
        <v>35</v>
      </c>
      <c r="M945" s="12">
        <f t="shared" si="27"/>
        <v>256000</v>
      </c>
      <c r="N945" s="10">
        <f>PRODUCT(Table_13[[#This Row],[Unit Price]],Table_13[[#This Row],[Quantity]])</f>
        <v>320000</v>
      </c>
      <c r="O945" s="16">
        <f>PRODUCT(Table_13[[#This Row],[Cost Price]],Table_13[[#This Row],[Quantity]])</f>
        <v>256000</v>
      </c>
      <c r="P945" s="27">
        <f t="shared" si="33"/>
        <v>64000</v>
      </c>
    </row>
    <row r="946" spans="1:16" x14ac:dyDescent="0.2">
      <c r="A946" s="33">
        <v>46620</v>
      </c>
      <c r="B946" s="30">
        <f t="shared" si="32"/>
        <v>8</v>
      </c>
      <c r="C946" s="30" t="str">
        <f>_xlfn.IFS(Table_13[[#This Row],[Month]]=1,"JAN",Table_13[[#This Row],[Month]]=2,"FEB",B946=3,"MAR",B946=4,"APR",B946=5,"MAY",B946=6,"JUN",B946=7,"JUL",B946=8,"AUG",Table_13[[#This Row],[Month]]=9,"SEPT",B946=10,"OCT",B946=11,"NOV",B946=12,"DEC")</f>
        <v>AUG</v>
      </c>
      <c r="D946" s="2" t="s">
        <v>25</v>
      </c>
      <c r="E946" s="2" t="s">
        <v>12</v>
      </c>
      <c r="F946" s="2" t="s">
        <v>23</v>
      </c>
      <c r="G946" s="2" t="s">
        <v>20</v>
      </c>
      <c r="H946" s="2" t="s">
        <v>36</v>
      </c>
      <c r="I946" s="2" t="s">
        <v>31</v>
      </c>
      <c r="J946" s="15">
        <v>150000</v>
      </c>
      <c r="K946" s="2">
        <v>6</v>
      </c>
      <c r="L946" s="2" t="s">
        <v>35</v>
      </c>
      <c r="M946" s="12">
        <f t="shared" si="27"/>
        <v>120000</v>
      </c>
      <c r="N946" s="10">
        <f>PRODUCT(Table_13[[#This Row],[Unit Price]],Table_13[[#This Row],[Quantity]])</f>
        <v>900000</v>
      </c>
      <c r="O946" s="16">
        <f>PRODUCT(Table_13[[#This Row],[Cost Price]],Table_13[[#This Row],[Quantity]])</f>
        <v>720000</v>
      </c>
      <c r="P946" s="27">
        <f t="shared" si="33"/>
        <v>180000</v>
      </c>
    </row>
    <row r="947" spans="1:16" x14ac:dyDescent="0.2">
      <c r="A947" s="33">
        <v>46621</v>
      </c>
      <c r="B947" s="30">
        <f t="shared" si="32"/>
        <v>8</v>
      </c>
      <c r="C947" s="30" t="str">
        <f>_xlfn.IFS(Table_13[[#This Row],[Month]]=1,"JAN",Table_13[[#This Row],[Month]]=2,"FEB",B947=3,"MAR",B947=4,"APR",B947=5,"MAY",B947=6,"JUN",B947=7,"JUL",B947=8,"AUG",Table_13[[#This Row],[Month]]=9,"SEPT",B947=10,"OCT",B947=11,"NOV",B947=12,"DEC")</f>
        <v>AUG</v>
      </c>
      <c r="D947" s="2" t="s">
        <v>18</v>
      </c>
      <c r="E947" s="2" t="s">
        <v>19</v>
      </c>
      <c r="F947" s="2" t="s">
        <v>23</v>
      </c>
      <c r="G947" s="2" t="s">
        <v>20</v>
      </c>
      <c r="H947" s="2" t="s">
        <v>41</v>
      </c>
      <c r="I947" s="2" t="s">
        <v>22</v>
      </c>
      <c r="J947" s="15">
        <v>220000</v>
      </c>
      <c r="K947" s="2">
        <v>7</v>
      </c>
      <c r="L947" s="2" t="s">
        <v>24</v>
      </c>
      <c r="M947" s="12">
        <f t="shared" si="27"/>
        <v>176000</v>
      </c>
      <c r="N947" s="10">
        <f>PRODUCT(Table_13[[#This Row],[Unit Price]],Table_13[[#This Row],[Quantity]])</f>
        <v>1540000</v>
      </c>
      <c r="O947" s="16">
        <f>PRODUCT(Table_13[[#This Row],[Cost Price]],Table_13[[#This Row],[Quantity]])</f>
        <v>1232000</v>
      </c>
      <c r="P947" s="27">
        <f t="shared" si="33"/>
        <v>308000</v>
      </c>
    </row>
    <row r="948" spans="1:16" x14ac:dyDescent="0.2">
      <c r="A948" s="33">
        <v>46622</v>
      </c>
      <c r="B948" s="30">
        <f t="shared" si="32"/>
        <v>8</v>
      </c>
      <c r="C948" s="30" t="str">
        <f>_xlfn.IFS(Table_13[[#This Row],[Month]]=1,"JAN",Table_13[[#This Row],[Month]]=2,"FEB",B948=3,"MAR",B948=4,"APR",B948=5,"MAY",B948=6,"JUN",B948=7,"JUL",B948=8,"AUG",Table_13[[#This Row],[Month]]=9,"SEPT",B948=10,"OCT",B948=11,"NOV",B948=12,"DEC")</f>
        <v>AUG</v>
      </c>
      <c r="D948" s="2" t="s">
        <v>11</v>
      </c>
      <c r="E948" s="2" t="s">
        <v>19</v>
      </c>
      <c r="F948" s="2" t="s">
        <v>13</v>
      </c>
      <c r="G948" s="2" t="s">
        <v>14</v>
      </c>
      <c r="H948" s="2" t="s">
        <v>41</v>
      </c>
      <c r="I948" s="2" t="s">
        <v>22</v>
      </c>
      <c r="J948" s="15">
        <v>220000</v>
      </c>
      <c r="K948" s="2">
        <v>1</v>
      </c>
      <c r="L948" s="2" t="s">
        <v>28</v>
      </c>
      <c r="M948" s="12">
        <f t="shared" si="27"/>
        <v>176000</v>
      </c>
      <c r="N948" s="10">
        <f>PRODUCT(Table_13[[#This Row],[Unit Price]],Table_13[[#This Row],[Quantity]])</f>
        <v>220000</v>
      </c>
      <c r="O948" s="16">
        <f>PRODUCT(Table_13[[#This Row],[Cost Price]],Table_13[[#This Row],[Quantity]])</f>
        <v>176000</v>
      </c>
      <c r="P948" s="27">
        <f t="shared" si="33"/>
        <v>44000</v>
      </c>
    </row>
    <row r="949" spans="1:16" x14ac:dyDescent="0.2">
      <c r="A949" s="33">
        <v>46623</v>
      </c>
      <c r="B949" s="30">
        <f t="shared" si="32"/>
        <v>8</v>
      </c>
      <c r="C949" s="30" t="str">
        <f>_xlfn.IFS(Table_13[[#This Row],[Month]]=1,"JAN",Table_13[[#This Row],[Month]]=2,"FEB",B949=3,"MAR",B949=4,"APR",B949=5,"MAY",B949=6,"JUN",B949=7,"JUL",B949=8,"AUG",Table_13[[#This Row],[Month]]=9,"SEPT",B949=10,"OCT",B949=11,"NOV",B949=12,"DEC")</f>
        <v>AUG</v>
      </c>
      <c r="D949" s="2" t="s">
        <v>18</v>
      </c>
      <c r="E949" s="2" t="s">
        <v>12</v>
      </c>
      <c r="F949" s="2" t="s">
        <v>13</v>
      </c>
      <c r="G949" s="2" t="s">
        <v>14</v>
      </c>
      <c r="H949" s="2" t="s">
        <v>15</v>
      </c>
      <c r="I949" s="2" t="s">
        <v>16</v>
      </c>
      <c r="J949" s="15">
        <v>85000</v>
      </c>
      <c r="K949" s="2">
        <v>4</v>
      </c>
      <c r="L949" s="2" t="s">
        <v>35</v>
      </c>
      <c r="M949" s="12">
        <f t="shared" si="27"/>
        <v>68000</v>
      </c>
      <c r="N949" s="10">
        <f>PRODUCT(Table_13[[#This Row],[Unit Price]],Table_13[[#This Row],[Quantity]])</f>
        <v>340000</v>
      </c>
      <c r="O949" s="16">
        <f>PRODUCT(Table_13[[#This Row],[Cost Price]],Table_13[[#This Row],[Quantity]])</f>
        <v>272000</v>
      </c>
      <c r="P949" s="27">
        <f t="shared" si="33"/>
        <v>68000</v>
      </c>
    </row>
    <row r="950" spans="1:16" x14ac:dyDescent="0.2">
      <c r="A950" s="33">
        <v>46624</v>
      </c>
      <c r="B950" s="30">
        <f t="shared" si="32"/>
        <v>8</v>
      </c>
      <c r="C950" s="30" t="str">
        <f>_xlfn.IFS(Table_13[[#This Row],[Month]]=1,"JAN",Table_13[[#This Row],[Month]]=2,"FEB",B950=3,"MAR",B950=4,"APR",B950=5,"MAY",B950=6,"JUN",B950=7,"JUL",B950=8,"AUG",Table_13[[#This Row],[Month]]=9,"SEPT",B950=10,"OCT",B950=11,"NOV",B950=12,"DEC")</f>
        <v>AUG</v>
      </c>
      <c r="D950" s="2" t="s">
        <v>11</v>
      </c>
      <c r="E950" s="2" t="s">
        <v>32</v>
      </c>
      <c r="F950" s="2" t="s">
        <v>23</v>
      </c>
      <c r="G950" s="2" t="s">
        <v>14</v>
      </c>
      <c r="H950" s="2" t="s">
        <v>40</v>
      </c>
      <c r="I950" s="2" t="s">
        <v>31</v>
      </c>
      <c r="J950" s="15">
        <v>250000</v>
      </c>
      <c r="K950" s="2">
        <v>10</v>
      </c>
      <c r="L950" s="2" t="s">
        <v>35</v>
      </c>
      <c r="M950" s="12">
        <f t="shared" si="27"/>
        <v>200000</v>
      </c>
      <c r="N950" s="10">
        <f>PRODUCT(Table_13[[#This Row],[Unit Price]],Table_13[[#This Row],[Quantity]])</f>
        <v>2500000</v>
      </c>
      <c r="O950" s="16">
        <f>PRODUCT(Table_13[[#This Row],[Cost Price]],Table_13[[#This Row],[Quantity]])</f>
        <v>2000000</v>
      </c>
      <c r="P950" s="27">
        <f t="shared" si="33"/>
        <v>500000</v>
      </c>
    </row>
    <row r="951" spans="1:16" x14ac:dyDescent="0.2">
      <c r="A951" s="33">
        <v>46625</v>
      </c>
      <c r="B951" s="30">
        <f t="shared" si="32"/>
        <v>8</v>
      </c>
      <c r="C951" s="30" t="str">
        <f>_xlfn.IFS(Table_13[[#This Row],[Month]]=1,"JAN",Table_13[[#This Row],[Month]]=2,"FEB",B951=3,"MAR",B951=4,"APR",B951=5,"MAY",B951=6,"JUN",B951=7,"JUL",B951=8,"AUG",Table_13[[#This Row],[Month]]=9,"SEPT",B951=10,"OCT",B951=11,"NOV",B951=12,"DEC")</f>
        <v>AUG</v>
      </c>
      <c r="D951" s="2" t="s">
        <v>29</v>
      </c>
      <c r="E951" s="2" t="s">
        <v>32</v>
      </c>
      <c r="F951" s="2" t="s">
        <v>13</v>
      </c>
      <c r="G951" s="2" t="s">
        <v>20</v>
      </c>
      <c r="H951" s="2" t="s">
        <v>34</v>
      </c>
      <c r="I951" s="2" t="s">
        <v>16</v>
      </c>
      <c r="J951" s="15">
        <v>320000</v>
      </c>
      <c r="K951" s="2">
        <v>1</v>
      </c>
      <c r="L951" s="2" t="s">
        <v>37</v>
      </c>
      <c r="M951" s="12">
        <f t="shared" si="27"/>
        <v>256000</v>
      </c>
      <c r="N951" s="10">
        <f>PRODUCT(Table_13[[#This Row],[Unit Price]],Table_13[[#This Row],[Quantity]])</f>
        <v>320000</v>
      </c>
      <c r="O951" s="16">
        <f>PRODUCT(Table_13[[#This Row],[Cost Price]],Table_13[[#This Row],[Quantity]])</f>
        <v>256000</v>
      </c>
      <c r="P951" s="27">
        <f t="shared" si="33"/>
        <v>64000</v>
      </c>
    </row>
    <row r="952" spans="1:16" x14ac:dyDescent="0.2">
      <c r="A952" s="33">
        <v>46626</v>
      </c>
      <c r="B952" s="30">
        <f t="shared" si="32"/>
        <v>8</v>
      </c>
      <c r="C952" s="30" t="str">
        <f>_xlfn.IFS(Table_13[[#This Row],[Month]]=1,"JAN",Table_13[[#This Row],[Month]]=2,"FEB",B952=3,"MAR",B952=4,"APR",B952=5,"MAY",B952=6,"JUN",B952=7,"JUL",B952=8,"AUG",Table_13[[#This Row],[Month]]=9,"SEPT",B952=10,"OCT",B952=11,"NOV",B952=12,"DEC")</f>
        <v>AUG</v>
      </c>
      <c r="D952" s="2" t="s">
        <v>11</v>
      </c>
      <c r="E952" s="2" t="s">
        <v>12</v>
      </c>
      <c r="F952" s="2" t="s">
        <v>23</v>
      </c>
      <c r="G952" s="2" t="s">
        <v>20</v>
      </c>
      <c r="H952" s="2" t="s">
        <v>27</v>
      </c>
      <c r="I952" s="2" t="s">
        <v>22</v>
      </c>
      <c r="J952" s="15">
        <v>60000</v>
      </c>
      <c r="K952" s="2">
        <v>8</v>
      </c>
      <c r="L952" s="2" t="s">
        <v>24</v>
      </c>
      <c r="M952" s="12">
        <f t="shared" si="27"/>
        <v>48000</v>
      </c>
      <c r="N952" s="10">
        <f>PRODUCT(Table_13[[#This Row],[Unit Price]],Table_13[[#This Row],[Quantity]])</f>
        <v>480000</v>
      </c>
      <c r="O952" s="16">
        <f>PRODUCT(Table_13[[#This Row],[Cost Price]],Table_13[[#This Row],[Quantity]])</f>
        <v>384000</v>
      </c>
      <c r="P952" s="27">
        <f t="shared" si="33"/>
        <v>96000</v>
      </c>
    </row>
    <row r="953" spans="1:16" x14ac:dyDescent="0.2">
      <c r="A953" s="33">
        <v>46627</v>
      </c>
      <c r="B953" s="30">
        <f t="shared" si="32"/>
        <v>8</v>
      </c>
      <c r="C953" s="30" t="str">
        <f>_xlfn.IFS(Table_13[[#This Row],[Month]]=1,"JAN",Table_13[[#This Row],[Month]]=2,"FEB",B953=3,"MAR",B953=4,"APR",B953=5,"MAY",B953=6,"JUN",B953=7,"JUL",B953=8,"AUG",Table_13[[#This Row],[Month]]=9,"SEPT",B953=10,"OCT",B953=11,"NOV",B953=12,"DEC")</f>
        <v>AUG</v>
      </c>
      <c r="D953" s="2" t="s">
        <v>29</v>
      </c>
      <c r="E953" s="2" t="s">
        <v>32</v>
      </c>
      <c r="F953" s="2" t="s">
        <v>13</v>
      </c>
      <c r="G953" s="2" t="s">
        <v>20</v>
      </c>
      <c r="H953" s="2" t="s">
        <v>38</v>
      </c>
      <c r="I953" s="2" t="s">
        <v>31</v>
      </c>
      <c r="J953" s="15">
        <v>420000</v>
      </c>
      <c r="K953" s="2">
        <v>2</v>
      </c>
      <c r="L953" s="2" t="s">
        <v>37</v>
      </c>
      <c r="M953" s="12">
        <f t="shared" si="27"/>
        <v>336000</v>
      </c>
      <c r="N953" s="10">
        <f>PRODUCT(Table_13[[#This Row],[Unit Price]],Table_13[[#This Row],[Quantity]])</f>
        <v>840000</v>
      </c>
      <c r="O953" s="16">
        <f>PRODUCT(Table_13[[#This Row],[Cost Price]],Table_13[[#This Row],[Quantity]])</f>
        <v>672000</v>
      </c>
      <c r="P953" s="27">
        <f t="shared" si="33"/>
        <v>168000</v>
      </c>
    </row>
    <row r="954" spans="1:16" x14ac:dyDescent="0.2">
      <c r="A954" s="33">
        <v>46628</v>
      </c>
      <c r="B954" s="30">
        <f t="shared" si="32"/>
        <v>8</v>
      </c>
      <c r="C954" s="30" t="str">
        <f>_xlfn.IFS(Table_13[[#This Row],[Month]]=1,"JAN",Table_13[[#This Row],[Month]]=2,"FEB",B954=3,"MAR",B954=4,"APR",B954=5,"MAY",B954=6,"JUN",B954=7,"JUL",B954=8,"AUG",Table_13[[#This Row],[Month]]=9,"SEPT",B954=10,"OCT",B954=11,"NOV",B954=12,"DEC")</f>
        <v>AUG</v>
      </c>
      <c r="D954" s="2" t="s">
        <v>29</v>
      </c>
      <c r="E954" s="2" t="s">
        <v>26</v>
      </c>
      <c r="F954" s="2" t="s">
        <v>23</v>
      </c>
      <c r="G954" s="2" t="s">
        <v>14</v>
      </c>
      <c r="H954" s="2" t="s">
        <v>40</v>
      </c>
      <c r="I954" s="2" t="s">
        <v>31</v>
      </c>
      <c r="J954" s="15">
        <v>250000</v>
      </c>
      <c r="K954" s="2">
        <v>2</v>
      </c>
      <c r="L954" s="2" t="s">
        <v>17</v>
      </c>
      <c r="M954" s="12">
        <f t="shared" si="27"/>
        <v>200000</v>
      </c>
      <c r="N954" s="10">
        <f>PRODUCT(Table_13[[#This Row],[Unit Price]],Table_13[[#This Row],[Quantity]])</f>
        <v>500000</v>
      </c>
      <c r="O954" s="16">
        <f>PRODUCT(Table_13[[#This Row],[Cost Price]],Table_13[[#This Row],[Quantity]])</f>
        <v>400000</v>
      </c>
      <c r="P954" s="27">
        <f t="shared" si="33"/>
        <v>100000</v>
      </c>
    </row>
    <row r="955" spans="1:16" x14ac:dyDescent="0.2">
      <c r="A955" s="33">
        <v>46629</v>
      </c>
      <c r="B955" s="30">
        <f t="shared" si="32"/>
        <v>8</v>
      </c>
      <c r="C955" s="30" t="str">
        <f>_xlfn.IFS(Table_13[[#This Row],[Month]]=1,"JAN",Table_13[[#This Row],[Month]]=2,"FEB",B955=3,"MAR",B955=4,"APR",B955=5,"MAY",B955=6,"JUN",B955=7,"JUL",B955=8,"AUG",Table_13[[#This Row],[Month]]=9,"SEPT",B955=10,"OCT",B955=11,"NOV",B955=12,"DEC")</f>
        <v>AUG</v>
      </c>
      <c r="D955" s="2" t="s">
        <v>11</v>
      </c>
      <c r="E955" s="2" t="s">
        <v>19</v>
      </c>
      <c r="F955" s="2" t="s">
        <v>13</v>
      </c>
      <c r="G955" s="2" t="s">
        <v>20</v>
      </c>
      <c r="H955" s="2" t="s">
        <v>41</v>
      </c>
      <c r="I955" s="2" t="s">
        <v>22</v>
      </c>
      <c r="J955" s="15">
        <v>220000</v>
      </c>
      <c r="K955" s="2">
        <v>6</v>
      </c>
      <c r="L955" s="2" t="s">
        <v>39</v>
      </c>
      <c r="M955" s="12">
        <f t="shared" si="27"/>
        <v>176000</v>
      </c>
      <c r="N955" s="10">
        <f>PRODUCT(Table_13[[#This Row],[Unit Price]],Table_13[[#This Row],[Quantity]])</f>
        <v>1320000</v>
      </c>
      <c r="O955" s="16">
        <f>PRODUCT(Table_13[[#This Row],[Cost Price]],Table_13[[#This Row],[Quantity]])</f>
        <v>1056000</v>
      </c>
      <c r="P955" s="27">
        <f t="shared" si="33"/>
        <v>264000</v>
      </c>
    </row>
    <row r="956" spans="1:16" x14ac:dyDescent="0.2">
      <c r="A956" s="33">
        <v>46630</v>
      </c>
      <c r="B956" s="30">
        <f t="shared" si="32"/>
        <v>8</v>
      </c>
      <c r="C956" s="30" t="str">
        <f>_xlfn.IFS(Table_13[[#This Row],[Month]]=1,"JAN",Table_13[[#This Row],[Month]]=2,"FEB",B956=3,"MAR",B956=4,"APR",B956=5,"MAY",B956=6,"JUN",B956=7,"JUL",B956=8,"AUG",Table_13[[#This Row],[Month]]=9,"SEPT",B956=10,"OCT",B956=11,"NOV",B956=12,"DEC")</f>
        <v>AUG</v>
      </c>
      <c r="D956" s="2" t="s">
        <v>29</v>
      </c>
      <c r="E956" s="2" t="s">
        <v>19</v>
      </c>
      <c r="F956" s="2" t="s">
        <v>23</v>
      </c>
      <c r="G956" s="2" t="s">
        <v>20</v>
      </c>
      <c r="H956" s="2" t="s">
        <v>27</v>
      </c>
      <c r="I956" s="2" t="s">
        <v>22</v>
      </c>
      <c r="J956" s="15">
        <v>60000</v>
      </c>
      <c r="K956" s="2">
        <v>1</v>
      </c>
      <c r="L956" s="2" t="s">
        <v>35</v>
      </c>
      <c r="M956" s="12">
        <f t="shared" si="27"/>
        <v>48000</v>
      </c>
      <c r="N956" s="10">
        <f>PRODUCT(Table_13[[#This Row],[Unit Price]],Table_13[[#This Row],[Quantity]])</f>
        <v>60000</v>
      </c>
      <c r="O956" s="16">
        <f>PRODUCT(Table_13[[#This Row],[Cost Price]],Table_13[[#This Row],[Quantity]])</f>
        <v>48000</v>
      </c>
      <c r="P956" s="27">
        <f t="shared" si="33"/>
        <v>12000</v>
      </c>
    </row>
    <row r="957" spans="1:16" x14ac:dyDescent="0.2">
      <c r="A957" s="33">
        <v>46631</v>
      </c>
      <c r="B957" s="30">
        <f t="shared" si="32"/>
        <v>9</v>
      </c>
      <c r="C957" s="30" t="str">
        <f>_xlfn.IFS(Table_13[[#This Row],[Month]]=1,"JAN",Table_13[[#This Row],[Month]]=2,"FEB",B957=3,"MAR",B957=4,"APR",B957=5,"MAY",B957=6,"JUN",B957=7,"JUL",B957=8,"AUG",Table_13[[#This Row],[Month]]=9,"SEPT",B957=10,"OCT",B957=11,"NOV",B957=12,"DEC")</f>
        <v>SEPT</v>
      </c>
      <c r="D957" s="2" t="s">
        <v>11</v>
      </c>
      <c r="E957" s="2" t="s">
        <v>12</v>
      </c>
      <c r="F957" s="2" t="s">
        <v>13</v>
      </c>
      <c r="G957" s="2" t="s">
        <v>20</v>
      </c>
      <c r="H957" s="2" t="s">
        <v>15</v>
      </c>
      <c r="I957" s="2" t="s">
        <v>16</v>
      </c>
      <c r="J957" s="15">
        <v>85000</v>
      </c>
      <c r="K957" s="2">
        <v>9</v>
      </c>
      <c r="L957" s="2" t="s">
        <v>39</v>
      </c>
      <c r="M957" s="12">
        <f t="shared" si="27"/>
        <v>68000</v>
      </c>
      <c r="N957" s="10">
        <f>PRODUCT(Table_13[[#This Row],[Unit Price]],Table_13[[#This Row],[Quantity]])</f>
        <v>765000</v>
      </c>
      <c r="O957" s="16">
        <f>PRODUCT(Table_13[[#This Row],[Cost Price]],Table_13[[#This Row],[Quantity]])</f>
        <v>612000</v>
      </c>
      <c r="P957" s="27">
        <f t="shared" si="33"/>
        <v>153000</v>
      </c>
    </row>
    <row r="958" spans="1:16" x14ac:dyDescent="0.2">
      <c r="A958" s="33">
        <v>46632</v>
      </c>
      <c r="B958" s="30">
        <f t="shared" si="32"/>
        <v>9</v>
      </c>
      <c r="C958" s="30" t="str">
        <f>_xlfn.IFS(Table_13[[#This Row],[Month]]=1,"JAN",Table_13[[#This Row],[Month]]=2,"FEB",B958=3,"MAR",B958=4,"APR",B958=5,"MAY",B958=6,"JUN",B958=7,"JUL",B958=8,"AUG",Table_13[[#This Row],[Month]]=9,"SEPT",B958=10,"OCT",B958=11,"NOV",B958=12,"DEC")</f>
        <v>SEPT</v>
      </c>
      <c r="D958" s="2" t="s">
        <v>25</v>
      </c>
      <c r="E958" s="2" t="s">
        <v>19</v>
      </c>
      <c r="F958" s="2" t="s">
        <v>13</v>
      </c>
      <c r="G958" s="2" t="s">
        <v>20</v>
      </c>
      <c r="H958" s="2" t="s">
        <v>27</v>
      </c>
      <c r="I958" s="2" t="s">
        <v>22</v>
      </c>
      <c r="J958" s="15">
        <v>60000</v>
      </c>
      <c r="K958" s="2">
        <v>9</v>
      </c>
      <c r="L958" s="2" t="s">
        <v>37</v>
      </c>
      <c r="M958" s="12">
        <f t="shared" si="27"/>
        <v>48000</v>
      </c>
      <c r="N958" s="10">
        <f>PRODUCT(Table_13[[#This Row],[Unit Price]],Table_13[[#This Row],[Quantity]])</f>
        <v>540000</v>
      </c>
      <c r="O958" s="16">
        <f>PRODUCT(Table_13[[#This Row],[Cost Price]],Table_13[[#This Row],[Quantity]])</f>
        <v>432000</v>
      </c>
      <c r="P958" s="27">
        <f t="shared" si="33"/>
        <v>108000</v>
      </c>
    </row>
    <row r="959" spans="1:16" x14ac:dyDescent="0.2">
      <c r="A959" s="33">
        <v>46633</v>
      </c>
      <c r="B959" s="30">
        <f t="shared" si="32"/>
        <v>9</v>
      </c>
      <c r="C959" s="30" t="str">
        <f>_xlfn.IFS(Table_13[[#This Row],[Month]]=1,"JAN",Table_13[[#This Row],[Month]]=2,"FEB",B959=3,"MAR",B959=4,"APR",B959=5,"MAY",B959=6,"JUN",B959=7,"JUL",B959=8,"AUG",Table_13[[#This Row],[Month]]=9,"SEPT",B959=10,"OCT",B959=11,"NOV",B959=12,"DEC")</f>
        <v>SEPT</v>
      </c>
      <c r="D959" s="2" t="s">
        <v>18</v>
      </c>
      <c r="E959" s="2" t="s">
        <v>26</v>
      </c>
      <c r="F959" s="2" t="s">
        <v>23</v>
      </c>
      <c r="G959" s="2" t="s">
        <v>20</v>
      </c>
      <c r="H959" s="2" t="s">
        <v>15</v>
      </c>
      <c r="I959" s="2" t="s">
        <v>16</v>
      </c>
      <c r="J959" s="15">
        <v>85000</v>
      </c>
      <c r="K959" s="2">
        <v>7</v>
      </c>
      <c r="L959" s="2" t="s">
        <v>24</v>
      </c>
      <c r="M959" s="12">
        <f t="shared" si="27"/>
        <v>68000</v>
      </c>
      <c r="N959" s="10">
        <f>PRODUCT(Table_13[[#This Row],[Unit Price]],Table_13[[#This Row],[Quantity]])</f>
        <v>595000</v>
      </c>
      <c r="O959" s="16">
        <f>PRODUCT(Table_13[[#This Row],[Cost Price]],Table_13[[#This Row],[Quantity]])</f>
        <v>476000</v>
      </c>
      <c r="P959" s="27">
        <f t="shared" si="33"/>
        <v>119000</v>
      </c>
    </row>
    <row r="960" spans="1:16" x14ac:dyDescent="0.2">
      <c r="A960" s="33">
        <v>46634</v>
      </c>
      <c r="B960" s="30">
        <f t="shared" si="32"/>
        <v>9</v>
      </c>
      <c r="C960" s="30" t="str">
        <f>_xlfn.IFS(Table_13[[#This Row],[Month]]=1,"JAN",Table_13[[#This Row],[Month]]=2,"FEB",B960=3,"MAR",B960=4,"APR",B960=5,"MAY",B960=6,"JUN",B960=7,"JUL",B960=8,"AUG",Table_13[[#This Row],[Month]]=9,"SEPT",B960=10,"OCT",B960=11,"NOV",B960=12,"DEC")</f>
        <v>SEPT</v>
      </c>
      <c r="D960" s="2" t="s">
        <v>25</v>
      </c>
      <c r="E960" s="2" t="s">
        <v>32</v>
      </c>
      <c r="F960" s="2" t="s">
        <v>13</v>
      </c>
      <c r="G960" s="2" t="s">
        <v>14</v>
      </c>
      <c r="H960" s="2" t="s">
        <v>34</v>
      </c>
      <c r="I960" s="2" t="s">
        <v>16</v>
      </c>
      <c r="J960" s="15">
        <v>320000</v>
      </c>
      <c r="K960" s="2">
        <v>4</v>
      </c>
      <c r="L960" s="2" t="s">
        <v>28</v>
      </c>
      <c r="M960" s="12">
        <f t="shared" si="27"/>
        <v>256000</v>
      </c>
      <c r="N960" s="10">
        <f>PRODUCT(Table_13[[#This Row],[Unit Price]],Table_13[[#This Row],[Quantity]])</f>
        <v>1280000</v>
      </c>
      <c r="O960" s="16">
        <f>PRODUCT(Table_13[[#This Row],[Cost Price]],Table_13[[#This Row],[Quantity]])</f>
        <v>1024000</v>
      </c>
      <c r="P960" s="27">
        <f t="shared" si="33"/>
        <v>256000</v>
      </c>
    </row>
    <row r="961" spans="1:16" x14ac:dyDescent="0.2">
      <c r="A961" s="33">
        <v>46635</v>
      </c>
      <c r="B961" s="30">
        <f t="shared" si="32"/>
        <v>9</v>
      </c>
      <c r="C961" s="30" t="str">
        <f>_xlfn.IFS(Table_13[[#This Row],[Month]]=1,"JAN",Table_13[[#This Row],[Month]]=2,"FEB",B961=3,"MAR",B961=4,"APR",B961=5,"MAY",B961=6,"JUN",B961=7,"JUL",B961=8,"AUG",Table_13[[#This Row],[Month]]=9,"SEPT",B961=10,"OCT",B961=11,"NOV",B961=12,"DEC")</f>
        <v>SEPT</v>
      </c>
      <c r="D961" s="2" t="s">
        <v>25</v>
      </c>
      <c r="E961" s="2" t="s">
        <v>32</v>
      </c>
      <c r="F961" s="2" t="s">
        <v>23</v>
      </c>
      <c r="G961" s="2" t="s">
        <v>14</v>
      </c>
      <c r="H961" s="2" t="s">
        <v>40</v>
      </c>
      <c r="I961" s="2" t="s">
        <v>31</v>
      </c>
      <c r="J961" s="15">
        <v>250000</v>
      </c>
      <c r="K961" s="2">
        <v>4</v>
      </c>
      <c r="L961" s="2" t="s">
        <v>35</v>
      </c>
      <c r="M961" s="12">
        <f t="shared" si="27"/>
        <v>200000</v>
      </c>
      <c r="N961" s="10">
        <f>PRODUCT(Table_13[[#This Row],[Unit Price]],Table_13[[#This Row],[Quantity]])</f>
        <v>1000000</v>
      </c>
      <c r="O961" s="16">
        <f>PRODUCT(Table_13[[#This Row],[Cost Price]],Table_13[[#This Row],[Quantity]])</f>
        <v>800000</v>
      </c>
      <c r="P961" s="27">
        <f t="shared" si="33"/>
        <v>200000</v>
      </c>
    </row>
    <row r="962" spans="1:16" x14ac:dyDescent="0.2">
      <c r="A962" s="33">
        <v>46636</v>
      </c>
      <c r="B962" s="30">
        <f t="shared" ref="B962:B1025" si="34">MONTH(A962)</f>
        <v>9</v>
      </c>
      <c r="C962" s="30" t="str">
        <f>_xlfn.IFS(Table_13[[#This Row],[Month]]=1,"JAN",Table_13[[#This Row],[Month]]=2,"FEB",B962=3,"MAR",B962=4,"APR",B962=5,"MAY",B962=6,"JUN",B962=7,"JUL",B962=8,"AUG",Table_13[[#This Row],[Month]]=9,"SEPT",B962=10,"OCT",B962=11,"NOV",B962=12,"DEC")</f>
        <v>SEPT</v>
      </c>
      <c r="D962" s="2" t="s">
        <v>18</v>
      </c>
      <c r="E962" s="2" t="s">
        <v>26</v>
      </c>
      <c r="F962" s="2" t="s">
        <v>23</v>
      </c>
      <c r="G962" s="2" t="s">
        <v>14</v>
      </c>
      <c r="H962" s="2" t="s">
        <v>27</v>
      </c>
      <c r="I962" s="2" t="s">
        <v>22</v>
      </c>
      <c r="J962" s="15">
        <v>60000</v>
      </c>
      <c r="K962" s="2">
        <v>8</v>
      </c>
      <c r="L962" s="2" t="s">
        <v>24</v>
      </c>
      <c r="M962" s="12">
        <f t="shared" si="27"/>
        <v>48000</v>
      </c>
      <c r="N962" s="10">
        <f>PRODUCT(Table_13[[#This Row],[Unit Price]],Table_13[[#This Row],[Quantity]])</f>
        <v>480000</v>
      </c>
      <c r="O962" s="16">
        <f>PRODUCT(Table_13[[#This Row],[Cost Price]],Table_13[[#This Row],[Quantity]])</f>
        <v>384000</v>
      </c>
      <c r="P962" s="27">
        <f t="shared" ref="P962:P1025" si="35">N962-O962</f>
        <v>96000</v>
      </c>
    </row>
    <row r="963" spans="1:16" x14ac:dyDescent="0.2">
      <c r="A963" s="33">
        <v>46637</v>
      </c>
      <c r="B963" s="30">
        <f t="shared" si="34"/>
        <v>9</v>
      </c>
      <c r="C963" s="30" t="str">
        <f>_xlfn.IFS(Table_13[[#This Row],[Month]]=1,"JAN",Table_13[[#This Row],[Month]]=2,"FEB",B963=3,"MAR",B963=4,"APR",B963=5,"MAY",B963=6,"JUN",B963=7,"JUL",B963=8,"AUG",Table_13[[#This Row],[Month]]=9,"SEPT",B963=10,"OCT",B963=11,"NOV",B963=12,"DEC")</f>
        <v>SEPT</v>
      </c>
      <c r="D963" s="2" t="s">
        <v>11</v>
      </c>
      <c r="E963" s="2" t="s">
        <v>26</v>
      </c>
      <c r="F963" s="2" t="s">
        <v>23</v>
      </c>
      <c r="G963" s="2" t="s">
        <v>14</v>
      </c>
      <c r="H963" s="2" t="s">
        <v>38</v>
      </c>
      <c r="I963" s="2" t="s">
        <v>31</v>
      </c>
      <c r="J963" s="15">
        <v>420000</v>
      </c>
      <c r="K963" s="2">
        <v>2</v>
      </c>
      <c r="L963" s="2" t="s">
        <v>39</v>
      </c>
      <c r="M963" s="12">
        <f t="shared" si="27"/>
        <v>336000</v>
      </c>
      <c r="N963" s="10">
        <f>PRODUCT(Table_13[[#This Row],[Unit Price]],Table_13[[#This Row],[Quantity]])</f>
        <v>840000</v>
      </c>
      <c r="O963" s="16">
        <f>PRODUCT(Table_13[[#This Row],[Cost Price]],Table_13[[#This Row],[Quantity]])</f>
        <v>672000</v>
      </c>
      <c r="P963" s="27">
        <f t="shared" si="35"/>
        <v>168000</v>
      </c>
    </row>
    <row r="964" spans="1:16" x14ac:dyDescent="0.2">
      <c r="A964" s="33">
        <v>46638</v>
      </c>
      <c r="B964" s="30">
        <f t="shared" si="34"/>
        <v>9</v>
      </c>
      <c r="C964" s="30" t="str">
        <f>_xlfn.IFS(Table_13[[#This Row],[Month]]=1,"JAN",Table_13[[#This Row],[Month]]=2,"FEB",B964=3,"MAR",B964=4,"APR",B964=5,"MAY",B964=6,"JUN",B964=7,"JUL",B964=8,"AUG",Table_13[[#This Row],[Month]]=9,"SEPT",B964=10,"OCT",B964=11,"NOV",B964=12,"DEC")</f>
        <v>SEPT</v>
      </c>
      <c r="D964" s="2" t="s">
        <v>18</v>
      </c>
      <c r="E964" s="2" t="s">
        <v>32</v>
      </c>
      <c r="F964" s="2" t="s">
        <v>23</v>
      </c>
      <c r="G964" s="2" t="s">
        <v>20</v>
      </c>
      <c r="H964" s="2" t="s">
        <v>36</v>
      </c>
      <c r="I964" s="2" t="s">
        <v>31</v>
      </c>
      <c r="J964" s="15">
        <v>150000</v>
      </c>
      <c r="K964" s="2">
        <v>1</v>
      </c>
      <c r="L964" s="2" t="s">
        <v>35</v>
      </c>
      <c r="M964" s="12">
        <f t="shared" si="27"/>
        <v>120000</v>
      </c>
      <c r="N964" s="10">
        <f>PRODUCT(Table_13[[#This Row],[Unit Price]],Table_13[[#This Row],[Quantity]])</f>
        <v>150000</v>
      </c>
      <c r="O964" s="16">
        <f>PRODUCT(Table_13[[#This Row],[Cost Price]],Table_13[[#This Row],[Quantity]])</f>
        <v>120000</v>
      </c>
      <c r="P964" s="27">
        <f t="shared" si="35"/>
        <v>30000</v>
      </c>
    </row>
    <row r="965" spans="1:16" x14ac:dyDescent="0.2">
      <c r="A965" s="33">
        <v>46639</v>
      </c>
      <c r="B965" s="30">
        <f t="shared" si="34"/>
        <v>9</v>
      </c>
      <c r="C965" s="30" t="str">
        <f>_xlfn.IFS(Table_13[[#This Row],[Month]]=1,"JAN",Table_13[[#This Row],[Month]]=2,"FEB",B965=3,"MAR",B965=4,"APR",B965=5,"MAY",B965=6,"JUN",B965=7,"JUL",B965=8,"AUG",Table_13[[#This Row],[Month]]=9,"SEPT",B965=10,"OCT",B965=11,"NOV",B965=12,"DEC")</f>
        <v>SEPT</v>
      </c>
      <c r="D965" s="2" t="s">
        <v>25</v>
      </c>
      <c r="E965" s="2" t="s">
        <v>19</v>
      </c>
      <c r="F965" s="2" t="s">
        <v>13</v>
      </c>
      <c r="G965" s="2" t="s">
        <v>14</v>
      </c>
      <c r="H965" s="2" t="s">
        <v>40</v>
      </c>
      <c r="I965" s="2" t="s">
        <v>31</v>
      </c>
      <c r="J965" s="15">
        <v>250000</v>
      </c>
      <c r="K965" s="2">
        <v>8</v>
      </c>
      <c r="L965" s="2" t="s">
        <v>37</v>
      </c>
      <c r="M965" s="12">
        <f t="shared" si="27"/>
        <v>200000</v>
      </c>
      <c r="N965" s="10">
        <f>PRODUCT(Table_13[[#This Row],[Unit Price]],Table_13[[#This Row],[Quantity]])</f>
        <v>2000000</v>
      </c>
      <c r="O965" s="16">
        <f>PRODUCT(Table_13[[#This Row],[Cost Price]],Table_13[[#This Row],[Quantity]])</f>
        <v>1600000</v>
      </c>
      <c r="P965" s="27">
        <f t="shared" si="35"/>
        <v>400000</v>
      </c>
    </row>
    <row r="966" spans="1:16" x14ac:dyDescent="0.2">
      <c r="A966" s="33">
        <v>46640</v>
      </c>
      <c r="B966" s="30">
        <f t="shared" si="34"/>
        <v>9</v>
      </c>
      <c r="C966" s="30" t="str">
        <f>_xlfn.IFS(Table_13[[#This Row],[Month]]=1,"JAN",Table_13[[#This Row],[Month]]=2,"FEB",B966=3,"MAR",B966=4,"APR",B966=5,"MAY",B966=6,"JUN",B966=7,"JUL",B966=8,"AUG",Table_13[[#This Row],[Month]]=9,"SEPT",B966=10,"OCT",B966=11,"NOV",B966=12,"DEC")</f>
        <v>SEPT</v>
      </c>
      <c r="D966" s="2" t="s">
        <v>11</v>
      </c>
      <c r="E966" s="2" t="s">
        <v>32</v>
      </c>
      <c r="F966" s="2" t="s">
        <v>13</v>
      </c>
      <c r="G966" s="2" t="s">
        <v>14</v>
      </c>
      <c r="H966" s="2" t="s">
        <v>30</v>
      </c>
      <c r="I966" s="2" t="s">
        <v>31</v>
      </c>
      <c r="J966" s="15">
        <v>300000</v>
      </c>
      <c r="K966" s="2">
        <v>10</v>
      </c>
      <c r="L966" s="2" t="s">
        <v>39</v>
      </c>
      <c r="M966" s="12">
        <f t="shared" si="27"/>
        <v>240000</v>
      </c>
      <c r="N966" s="10">
        <f>PRODUCT(Table_13[[#This Row],[Unit Price]],Table_13[[#This Row],[Quantity]])</f>
        <v>3000000</v>
      </c>
      <c r="O966" s="16">
        <f>PRODUCT(Table_13[[#This Row],[Cost Price]],Table_13[[#This Row],[Quantity]])</f>
        <v>2400000</v>
      </c>
      <c r="P966" s="27">
        <f t="shared" si="35"/>
        <v>600000</v>
      </c>
    </row>
    <row r="967" spans="1:16" x14ac:dyDescent="0.2">
      <c r="A967" s="33">
        <v>46641</v>
      </c>
      <c r="B967" s="30">
        <f t="shared" si="34"/>
        <v>9</v>
      </c>
      <c r="C967" s="30" t="str">
        <f>_xlfn.IFS(Table_13[[#This Row],[Month]]=1,"JAN",Table_13[[#This Row],[Month]]=2,"FEB",B967=3,"MAR",B967=4,"APR",B967=5,"MAY",B967=6,"JUN",B967=7,"JUL",B967=8,"AUG",Table_13[[#This Row],[Month]]=9,"SEPT",B967=10,"OCT",B967=11,"NOV",B967=12,"DEC")</f>
        <v>SEPT</v>
      </c>
      <c r="D967" s="2" t="s">
        <v>18</v>
      </c>
      <c r="E967" s="2" t="s">
        <v>19</v>
      </c>
      <c r="F967" s="2" t="s">
        <v>23</v>
      </c>
      <c r="G967" s="2" t="s">
        <v>20</v>
      </c>
      <c r="H967" s="2" t="s">
        <v>27</v>
      </c>
      <c r="I967" s="2" t="s">
        <v>22</v>
      </c>
      <c r="J967" s="15">
        <v>60000</v>
      </c>
      <c r="K967" s="2">
        <v>3</v>
      </c>
      <c r="L967" s="2" t="s">
        <v>24</v>
      </c>
      <c r="M967" s="12">
        <f t="shared" si="27"/>
        <v>48000</v>
      </c>
      <c r="N967" s="10">
        <f>PRODUCT(Table_13[[#This Row],[Unit Price]],Table_13[[#This Row],[Quantity]])</f>
        <v>180000</v>
      </c>
      <c r="O967" s="16">
        <f>PRODUCT(Table_13[[#This Row],[Cost Price]],Table_13[[#This Row],[Quantity]])</f>
        <v>144000</v>
      </c>
      <c r="P967" s="27">
        <f t="shared" si="35"/>
        <v>36000</v>
      </c>
    </row>
    <row r="968" spans="1:16" x14ac:dyDescent="0.2">
      <c r="A968" s="33">
        <v>46642</v>
      </c>
      <c r="B968" s="30">
        <f t="shared" si="34"/>
        <v>9</v>
      </c>
      <c r="C968" s="30" t="str">
        <f>_xlfn.IFS(Table_13[[#This Row],[Month]]=1,"JAN",Table_13[[#This Row],[Month]]=2,"FEB",B968=3,"MAR",B968=4,"APR",B968=5,"MAY",B968=6,"JUN",B968=7,"JUL",B968=8,"AUG",Table_13[[#This Row],[Month]]=9,"SEPT",B968=10,"OCT",B968=11,"NOV",B968=12,"DEC")</f>
        <v>SEPT</v>
      </c>
      <c r="D968" s="2" t="s">
        <v>11</v>
      </c>
      <c r="E968" s="2" t="s">
        <v>32</v>
      </c>
      <c r="F968" s="2" t="s">
        <v>23</v>
      </c>
      <c r="G968" s="2" t="s">
        <v>14</v>
      </c>
      <c r="H968" s="2" t="s">
        <v>15</v>
      </c>
      <c r="I968" s="2" t="s">
        <v>16</v>
      </c>
      <c r="J968" s="15">
        <v>85000</v>
      </c>
      <c r="K968" s="2">
        <v>1</v>
      </c>
      <c r="L968" s="2" t="s">
        <v>24</v>
      </c>
      <c r="M968" s="12">
        <f t="shared" si="27"/>
        <v>68000</v>
      </c>
      <c r="N968" s="10">
        <f>PRODUCT(Table_13[[#This Row],[Unit Price]],Table_13[[#This Row],[Quantity]])</f>
        <v>85000</v>
      </c>
      <c r="O968" s="16">
        <f>PRODUCT(Table_13[[#This Row],[Cost Price]],Table_13[[#This Row],[Quantity]])</f>
        <v>68000</v>
      </c>
      <c r="P968" s="27">
        <f t="shared" si="35"/>
        <v>17000</v>
      </c>
    </row>
    <row r="969" spans="1:16" x14ac:dyDescent="0.2">
      <c r="A969" s="33">
        <v>46643</v>
      </c>
      <c r="B969" s="30">
        <f t="shared" si="34"/>
        <v>9</v>
      </c>
      <c r="C969" s="30" t="str">
        <f>_xlfn.IFS(Table_13[[#This Row],[Month]]=1,"JAN",Table_13[[#This Row],[Month]]=2,"FEB",B969=3,"MAR",B969=4,"APR",B969=5,"MAY",B969=6,"JUN",B969=7,"JUL",B969=8,"AUG",Table_13[[#This Row],[Month]]=9,"SEPT",B969=10,"OCT",B969=11,"NOV",B969=12,"DEC")</f>
        <v>SEPT</v>
      </c>
      <c r="D969" s="2" t="s">
        <v>18</v>
      </c>
      <c r="E969" s="2" t="s">
        <v>19</v>
      </c>
      <c r="F969" s="2" t="s">
        <v>23</v>
      </c>
      <c r="G969" s="2" t="s">
        <v>14</v>
      </c>
      <c r="H969" s="2" t="s">
        <v>33</v>
      </c>
      <c r="I969" s="2" t="s">
        <v>22</v>
      </c>
      <c r="J969" s="15">
        <v>180000</v>
      </c>
      <c r="K969" s="2">
        <v>7</v>
      </c>
      <c r="L969" s="2" t="s">
        <v>17</v>
      </c>
      <c r="M969" s="12">
        <f t="shared" si="27"/>
        <v>144000</v>
      </c>
      <c r="N969" s="10">
        <f>PRODUCT(Table_13[[#This Row],[Unit Price]],Table_13[[#This Row],[Quantity]])</f>
        <v>1260000</v>
      </c>
      <c r="O969" s="16">
        <f>PRODUCT(Table_13[[#This Row],[Cost Price]],Table_13[[#This Row],[Quantity]])</f>
        <v>1008000</v>
      </c>
      <c r="P969" s="27">
        <f t="shared" si="35"/>
        <v>252000</v>
      </c>
    </row>
    <row r="970" spans="1:16" x14ac:dyDescent="0.2">
      <c r="A970" s="33">
        <v>46644</v>
      </c>
      <c r="B970" s="30">
        <f t="shared" si="34"/>
        <v>9</v>
      </c>
      <c r="C970" s="30" t="str">
        <f>_xlfn.IFS(Table_13[[#This Row],[Month]]=1,"JAN",Table_13[[#This Row],[Month]]=2,"FEB",B970=3,"MAR",B970=4,"APR",B970=5,"MAY",B970=6,"JUN",B970=7,"JUL",B970=8,"AUG",Table_13[[#This Row],[Month]]=9,"SEPT",B970=10,"OCT",B970=11,"NOV",B970=12,"DEC")</f>
        <v>SEPT</v>
      </c>
      <c r="D970" s="2" t="s">
        <v>18</v>
      </c>
      <c r="E970" s="2" t="s">
        <v>26</v>
      </c>
      <c r="F970" s="2" t="s">
        <v>23</v>
      </c>
      <c r="G970" s="2" t="s">
        <v>14</v>
      </c>
      <c r="H970" s="2" t="s">
        <v>40</v>
      </c>
      <c r="I970" s="2" t="s">
        <v>31</v>
      </c>
      <c r="J970" s="15">
        <v>250000</v>
      </c>
      <c r="K970" s="2">
        <v>6</v>
      </c>
      <c r="L970" s="2" t="s">
        <v>28</v>
      </c>
      <c r="M970" s="12">
        <f t="shared" si="27"/>
        <v>200000</v>
      </c>
      <c r="N970" s="10">
        <f>PRODUCT(Table_13[[#This Row],[Unit Price]],Table_13[[#This Row],[Quantity]])</f>
        <v>1500000</v>
      </c>
      <c r="O970" s="16">
        <f>PRODUCT(Table_13[[#This Row],[Cost Price]],Table_13[[#This Row],[Quantity]])</f>
        <v>1200000</v>
      </c>
      <c r="P970" s="27">
        <f t="shared" si="35"/>
        <v>300000</v>
      </c>
    </row>
    <row r="971" spans="1:16" x14ac:dyDescent="0.2">
      <c r="A971" s="33">
        <v>46645</v>
      </c>
      <c r="B971" s="30">
        <f t="shared" si="34"/>
        <v>9</v>
      </c>
      <c r="C971" s="30" t="str">
        <f>_xlfn.IFS(Table_13[[#This Row],[Month]]=1,"JAN",Table_13[[#This Row],[Month]]=2,"FEB",B971=3,"MAR",B971=4,"APR",B971=5,"MAY",B971=6,"JUN",B971=7,"JUL",B971=8,"AUG",Table_13[[#This Row],[Month]]=9,"SEPT",B971=10,"OCT",B971=11,"NOV",B971=12,"DEC")</f>
        <v>SEPT</v>
      </c>
      <c r="D971" s="2" t="s">
        <v>11</v>
      </c>
      <c r="E971" s="2" t="s">
        <v>12</v>
      </c>
      <c r="F971" s="2" t="s">
        <v>23</v>
      </c>
      <c r="G971" s="2" t="s">
        <v>14</v>
      </c>
      <c r="H971" s="2" t="s">
        <v>38</v>
      </c>
      <c r="I971" s="2" t="s">
        <v>31</v>
      </c>
      <c r="J971" s="15">
        <v>420000</v>
      </c>
      <c r="K971" s="2">
        <v>3</v>
      </c>
      <c r="L971" s="2" t="s">
        <v>17</v>
      </c>
      <c r="M971" s="12">
        <f t="shared" si="27"/>
        <v>336000</v>
      </c>
      <c r="N971" s="10">
        <f>PRODUCT(Table_13[[#This Row],[Unit Price]],Table_13[[#This Row],[Quantity]])</f>
        <v>1260000</v>
      </c>
      <c r="O971" s="16">
        <f>PRODUCT(Table_13[[#This Row],[Cost Price]],Table_13[[#This Row],[Quantity]])</f>
        <v>1008000</v>
      </c>
      <c r="P971" s="27">
        <f t="shared" si="35"/>
        <v>252000</v>
      </c>
    </row>
    <row r="972" spans="1:16" x14ac:dyDescent="0.2">
      <c r="A972" s="33">
        <v>46646</v>
      </c>
      <c r="B972" s="30">
        <f t="shared" si="34"/>
        <v>9</v>
      </c>
      <c r="C972" s="30" t="str">
        <f>_xlfn.IFS(Table_13[[#This Row],[Month]]=1,"JAN",Table_13[[#This Row],[Month]]=2,"FEB",B972=3,"MAR",B972=4,"APR",B972=5,"MAY",B972=6,"JUN",B972=7,"JUL",B972=8,"AUG",Table_13[[#This Row],[Month]]=9,"SEPT",B972=10,"OCT",B972=11,"NOV",B972=12,"DEC")</f>
        <v>SEPT</v>
      </c>
      <c r="D972" s="2" t="s">
        <v>11</v>
      </c>
      <c r="E972" s="2" t="s">
        <v>12</v>
      </c>
      <c r="F972" s="2" t="s">
        <v>13</v>
      </c>
      <c r="G972" s="2" t="s">
        <v>14</v>
      </c>
      <c r="H972" s="2" t="s">
        <v>21</v>
      </c>
      <c r="I972" s="2" t="s">
        <v>22</v>
      </c>
      <c r="J972" s="15">
        <v>30000</v>
      </c>
      <c r="K972" s="2">
        <v>1</v>
      </c>
      <c r="L972" s="2" t="s">
        <v>28</v>
      </c>
      <c r="M972" s="12">
        <f t="shared" si="27"/>
        <v>24000</v>
      </c>
      <c r="N972" s="10">
        <f>PRODUCT(Table_13[[#This Row],[Unit Price]],Table_13[[#This Row],[Quantity]])</f>
        <v>30000</v>
      </c>
      <c r="O972" s="16">
        <f>PRODUCT(Table_13[[#This Row],[Cost Price]],Table_13[[#This Row],[Quantity]])</f>
        <v>24000</v>
      </c>
      <c r="P972" s="27">
        <f t="shared" si="35"/>
        <v>6000</v>
      </c>
    </row>
    <row r="973" spans="1:16" x14ac:dyDescent="0.2">
      <c r="A973" s="33">
        <v>46647</v>
      </c>
      <c r="B973" s="30">
        <f t="shared" si="34"/>
        <v>9</v>
      </c>
      <c r="C973" s="30" t="str">
        <f>_xlfn.IFS(Table_13[[#This Row],[Month]]=1,"JAN",Table_13[[#This Row],[Month]]=2,"FEB",B973=3,"MAR",B973=4,"APR",B973=5,"MAY",B973=6,"JUN",B973=7,"JUL",B973=8,"AUG",Table_13[[#This Row],[Month]]=9,"SEPT",B973=10,"OCT",B973=11,"NOV",B973=12,"DEC")</f>
        <v>SEPT</v>
      </c>
      <c r="D973" s="2" t="s">
        <v>29</v>
      </c>
      <c r="E973" s="2" t="s">
        <v>12</v>
      </c>
      <c r="F973" s="2" t="s">
        <v>23</v>
      </c>
      <c r="G973" s="2" t="s">
        <v>20</v>
      </c>
      <c r="H973" s="2" t="s">
        <v>40</v>
      </c>
      <c r="I973" s="2" t="s">
        <v>31</v>
      </c>
      <c r="J973" s="15">
        <v>250000</v>
      </c>
      <c r="K973" s="2">
        <v>3</v>
      </c>
      <c r="L973" s="2" t="s">
        <v>17</v>
      </c>
      <c r="M973" s="12">
        <f t="shared" si="27"/>
        <v>200000</v>
      </c>
      <c r="N973" s="10">
        <f>PRODUCT(Table_13[[#This Row],[Unit Price]],Table_13[[#This Row],[Quantity]])</f>
        <v>750000</v>
      </c>
      <c r="O973" s="16">
        <f>PRODUCT(Table_13[[#This Row],[Cost Price]],Table_13[[#This Row],[Quantity]])</f>
        <v>600000</v>
      </c>
      <c r="P973" s="27">
        <f t="shared" si="35"/>
        <v>150000</v>
      </c>
    </row>
    <row r="974" spans="1:16" x14ac:dyDescent="0.2">
      <c r="A974" s="33">
        <v>46648</v>
      </c>
      <c r="B974" s="30">
        <f t="shared" si="34"/>
        <v>9</v>
      </c>
      <c r="C974" s="30" t="str">
        <f>_xlfn.IFS(Table_13[[#This Row],[Month]]=1,"JAN",Table_13[[#This Row],[Month]]=2,"FEB",B974=3,"MAR",B974=4,"APR",B974=5,"MAY",B974=6,"JUN",B974=7,"JUL",B974=8,"AUG",Table_13[[#This Row],[Month]]=9,"SEPT",B974=10,"OCT",B974=11,"NOV",B974=12,"DEC")</f>
        <v>SEPT</v>
      </c>
      <c r="D974" s="2" t="s">
        <v>18</v>
      </c>
      <c r="E974" s="2" t="s">
        <v>26</v>
      </c>
      <c r="F974" s="2" t="s">
        <v>13</v>
      </c>
      <c r="G974" s="2" t="s">
        <v>14</v>
      </c>
      <c r="H974" s="2" t="s">
        <v>34</v>
      </c>
      <c r="I974" s="2" t="s">
        <v>16</v>
      </c>
      <c r="J974" s="15">
        <v>320000</v>
      </c>
      <c r="K974" s="2">
        <v>10</v>
      </c>
      <c r="L974" s="2" t="s">
        <v>17</v>
      </c>
      <c r="M974" s="12">
        <f t="shared" si="27"/>
        <v>256000</v>
      </c>
      <c r="N974" s="10">
        <f>PRODUCT(Table_13[[#This Row],[Unit Price]],Table_13[[#This Row],[Quantity]])</f>
        <v>3200000</v>
      </c>
      <c r="O974" s="16">
        <f>PRODUCT(Table_13[[#This Row],[Cost Price]],Table_13[[#This Row],[Quantity]])</f>
        <v>2560000</v>
      </c>
      <c r="P974" s="27">
        <f t="shared" si="35"/>
        <v>640000</v>
      </c>
    </row>
    <row r="975" spans="1:16" x14ac:dyDescent="0.2">
      <c r="A975" s="33">
        <v>46649</v>
      </c>
      <c r="B975" s="30">
        <f t="shared" si="34"/>
        <v>9</v>
      </c>
      <c r="C975" s="30" t="str">
        <f>_xlfn.IFS(Table_13[[#This Row],[Month]]=1,"JAN",Table_13[[#This Row],[Month]]=2,"FEB",B975=3,"MAR",B975=4,"APR",B975=5,"MAY",B975=6,"JUN",B975=7,"JUL",B975=8,"AUG",Table_13[[#This Row],[Month]]=9,"SEPT",B975=10,"OCT",B975=11,"NOV",B975=12,"DEC")</f>
        <v>SEPT</v>
      </c>
      <c r="D975" s="2" t="s">
        <v>11</v>
      </c>
      <c r="E975" s="2" t="s">
        <v>12</v>
      </c>
      <c r="F975" s="2" t="s">
        <v>13</v>
      </c>
      <c r="G975" s="2" t="s">
        <v>20</v>
      </c>
      <c r="H975" s="2" t="s">
        <v>40</v>
      </c>
      <c r="I975" s="2" t="s">
        <v>31</v>
      </c>
      <c r="J975" s="15">
        <v>250000</v>
      </c>
      <c r="K975" s="2">
        <v>7</v>
      </c>
      <c r="L975" s="2" t="s">
        <v>24</v>
      </c>
      <c r="M975" s="12">
        <f t="shared" si="27"/>
        <v>200000</v>
      </c>
      <c r="N975" s="10">
        <f>PRODUCT(Table_13[[#This Row],[Unit Price]],Table_13[[#This Row],[Quantity]])</f>
        <v>1750000</v>
      </c>
      <c r="O975" s="16">
        <f>PRODUCT(Table_13[[#This Row],[Cost Price]],Table_13[[#This Row],[Quantity]])</f>
        <v>1400000</v>
      </c>
      <c r="P975" s="27">
        <f t="shared" si="35"/>
        <v>350000</v>
      </c>
    </row>
    <row r="976" spans="1:16" x14ac:dyDescent="0.2">
      <c r="A976" s="33">
        <v>46650</v>
      </c>
      <c r="B976" s="30">
        <f t="shared" si="34"/>
        <v>9</v>
      </c>
      <c r="C976" s="30" t="str">
        <f>_xlfn.IFS(Table_13[[#This Row],[Month]]=1,"JAN",Table_13[[#This Row],[Month]]=2,"FEB",B976=3,"MAR",B976=4,"APR",B976=5,"MAY",B976=6,"JUN",B976=7,"JUL",B976=8,"AUG",Table_13[[#This Row],[Month]]=9,"SEPT",B976=10,"OCT",B976=11,"NOV",B976=12,"DEC")</f>
        <v>SEPT</v>
      </c>
      <c r="D976" s="2" t="s">
        <v>29</v>
      </c>
      <c r="E976" s="2" t="s">
        <v>19</v>
      </c>
      <c r="F976" s="2" t="s">
        <v>23</v>
      </c>
      <c r="G976" s="2" t="s">
        <v>14</v>
      </c>
      <c r="H976" s="2" t="s">
        <v>34</v>
      </c>
      <c r="I976" s="2" t="s">
        <v>16</v>
      </c>
      <c r="J976" s="15">
        <v>320000</v>
      </c>
      <c r="K976" s="2">
        <v>2</v>
      </c>
      <c r="L976" s="2" t="s">
        <v>28</v>
      </c>
      <c r="M976" s="12">
        <f t="shared" si="27"/>
        <v>256000</v>
      </c>
      <c r="N976" s="10">
        <f>PRODUCT(Table_13[[#This Row],[Unit Price]],Table_13[[#This Row],[Quantity]])</f>
        <v>640000</v>
      </c>
      <c r="O976" s="16">
        <f>PRODUCT(Table_13[[#This Row],[Cost Price]],Table_13[[#This Row],[Quantity]])</f>
        <v>512000</v>
      </c>
      <c r="P976" s="27">
        <f t="shared" si="35"/>
        <v>128000</v>
      </c>
    </row>
    <row r="977" spans="1:16" x14ac:dyDescent="0.2">
      <c r="A977" s="33">
        <v>46651</v>
      </c>
      <c r="B977" s="30">
        <f t="shared" si="34"/>
        <v>9</v>
      </c>
      <c r="C977" s="30" t="str">
        <f>_xlfn.IFS(Table_13[[#This Row],[Month]]=1,"JAN",Table_13[[#This Row],[Month]]=2,"FEB",B977=3,"MAR",B977=4,"APR",B977=5,"MAY",B977=6,"JUN",B977=7,"JUL",B977=8,"AUG",Table_13[[#This Row],[Month]]=9,"SEPT",B977=10,"OCT",B977=11,"NOV",B977=12,"DEC")</f>
        <v>SEPT</v>
      </c>
      <c r="D977" s="2" t="s">
        <v>29</v>
      </c>
      <c r="E977" s="2" t="s">
        <v>12</v>
      </c>
      <c r="F977" s="2" t="s">
        <v>23</v>
      </c>
      <c r="G977" s="2" t="s">
        <v>20</v>
      </c>
      <c r="H977" s="2" t="s">
        <v>41</v>
      </c>
      <c r="I977" s="2" t="s">
        <v>22</v>
      </c>
      <c r="J977" s="15">
        <v>220000</v>
      </c>
      <c r="K977" s="2">
        <v>5</v>
      </c>
      <c r="L977" s="2" t="s">
        <v>35</v>
      </c>
      <c r="M977" s="12">
        <f t="shared" si="27"/>
        <v>176000</v>
      </c>
      <c r="N977" s="10">
        <f>PRODUCT(Table_13[[#This Row],[Unit Price]],Table_13[[#This Row],[Quantity]])</f>
        <v>1100000</v>
      </c>
      <c r="O977" s="16">
        <f>PRODUCT(Table_13[[#This Row],[Cost Price]],Table_13[[#This Row],[Quantity]])</f>
        <v>880000</v>
      </c>
      <c r="P977" s="27">
        <f t="shared" si="35"/>
        <v>220000</v>
      </c>
    </row>
    <row r="978" spans="1:16" x14ac:dyDescent="0.2">
      <c r="A978" s="33">
        <v>46652</v>
      </c>
      <c r="B978" s="30">
        <f t="shared" si="34"/>
        <v>9</v>
      </c>
      <c r="C978" s="30" t="str">
        <f>_xlfn.IFS(Table_13[[#This Row],[Month]]=1,"JAN",Table_13[[#This Row],[Month]]=2,"FEB",B978=3,"MAR",B978=4,"APR",B978=5,"MAY",B978=6,"JUN",B978=7,"JUL",B978=8,"AUG",Table_13[[#This Row],[Month]]=9,"SEPT",B978=10,"OCT",B978=11,"NOV",B978=12,"DEC")</f>
        <v>SEPT</v>
      </c>
      <c r="D978" s="2" t="s">
        <v>29</v>
      </c>
      <c r="E978" s="2" t="s">
        <v>32</v>
      </c>
      <c r="F978" s="2" t="s">
        <v>23</v>
      </c>
      <c r="G978" s="2" t="s">
        <v>20</v>
      </c>
      <c r="H978" s="2" t="s">
        <v>38</v>
      </c>
      <c r="I978" s="2" t="s">
        <v>31</v>
      </c>
      <c r="J978" s="15">
        <v>420000</v>
      </c>
      <c r="K978" s="2">
        <v>3</v>
      </c>
      <c r="L978" s="2" t="s">
        <v>35</v>
      </c>
      <c r="M978" s="12">
        <f t="shared" si="27"/>
        <v>336000</v>
      </c>
      <c r="N978" s="10">
        <f>PRODUCT(Table_13[[#This Row],[Unit Price]],Table_13[[#This Row],[Quantity]])</f>
        <v>1260000</v>
      </c>
      <c r="O978" s="16">
        <f>PRODUCT(Table_13[[#This Row],[Cost Price]],Table_13[[#This Row],[Quantity]])</f>
        <v>1008000</v>
      </c>
      <c r="P978" s="27">
        <f t="shared" si="35"/>
        <v>252000</v>
      </c>
    </row>
    <row r="979" spans="1:16" x14ac:dyDescent="0.2">
      <c r="A979" s="33">
        <v>46653</v>
      </c>
      <c r="B979" s="30">
        <f t="shared" si="34"/>
        <v>9</v>
      </c>
      <c r="C979" s="30" t="str">
        <f>_xlfn.IFS(Table_13[[#This Row],[Month]]=1,"JAN",Table_13[[#This Row],[Month]]=2,"FEB",B979=3,"MAR",B979=4,"APR",B979=5,"MAY",B979=6,"JUN",B979=7,"JUL",B979=8,"AUG",Table_13[[#This Row],[Month]]=9,"SEPT",B979=10,"OCT",B979=11,"NOV",B979=12,"DEC")</f>
        <v>SEPT</v>
      </c>
      <c r="D979" s="2" t="s">
        <v>29</v>
      </c>
      <c r="E979" s="2" t="s">
        <v>19</v>
      </c>
      <c r="F979" s="2" t="s">
        <v>23</v>
      </c>
      <c r="G979" s="2" t="s">
        <v>14</v>
      </c>
      <c r="H979" s="2" t="s">
        <v>41</v>
      </c>
      <c r="I979" s="2" t="s">
        <v>22</v>
      </c>
      <c r="J979" s="15">
        <v>220000</v>
      </c>
      <c r="K979" s="2">
        <v>3</v>
      </c>
      <c r="L979" s="2" t="s">
        <v>28</v>
      </c>
      <c r="M979" s="12">
        <f t="shared" si="27"/>
        <v>176000</v>
      </c>
      <c r="N979" s="10">
        <f>PRODUCT(Table_13[[#This Row],[Unit Price]],Table_13[[#This Row],[Quantity]])</f>
        <v>660000</v>
      </c>
      <c r="O979" s="16">
        <f>PRODUCT(Table_13[[#This Row],[Cost Price]],Table_13[[#This Row],[Quantity]])</f>
        <v>528000</v>
      </c>
      <c r="P979" s="27">
        <f t="shared" si="35"/>
        <v>132000</v>
      </c>
    </row>
    <row r="980" spans="1:16" x14ac:dyDescent="0.2">
      <c r="A980" s="33">
        <v>46654</v>
      </c>
      <c r="B980" s="30">
        <f t="shared" si="34"/>
        <v>9</v>
      </c>
      <c r="C980" s="30" t="str">
        <f>_xlfn.IFS(Table_13[[#This Row],[Month]]=1,"JAN",Table_13[[#This Row],[Month]]=2,"FEB",B980=3,"MAR",B980=4,"APR",B980=5,"MAY",B980=6,"JUN",B980=7,"JUL",B980=8,"AUG",Table_13[[#This Row],[Month]]=9,"SEPT",B980=10,"OCT",B980=11,"NOV",B980=12,"DEC")</f>
        <v>SEPT</v>
      </c>
      <c r="D980" s="2" t="s">
        <v>25</v>
      </c>
      <c r="E980" s="2" t="s">
        <v>12</v>
      </c>
      <c r="F980" s="2" t="s">
        <v>23</v>
      </c>
      <c r="G980" s="2" t="s">
        <v>14</v>
      </c>
      <c r="H980" s="2" t="s">
        <v>34</v>
      </c>
      <c r="I980" s="2" t="s">
        <v>16</v>
      </c>
      <c r="J980" s="15">
        <v>320000</v>
      </c>
      <c r="K980" s="2">
        <v>5</v>
      </c>
      <c r="L980" s="2" t="s">
        <v>24</v>
      </c>
      <c r="M980" s="12">
        <f t="shared" si="27"/>
        <v>256000</v>
      </c>
      <c r="N980" s="10">
        <f>PRODUCT(Table_13[[#This Row],[Unit Price]],Table_13[[#This Row],[Quantity]])</f>
        <v>1600000</v>
      </c>
      <c r="O980" s="16">
        <f>PRODUCT(Table_13[[#This Row],[Cost Price]],Table_13[[#This Row],[Quantity]])</f>
        <v>1280000</v>
      </c>
      <c r="P980" s="27">
        <f t="shared" si="35"/>
        <v>320000</v>
      </c>
    </row>
    <row r="981" spans="1:16" x14ac:dyDescent="0.2">
      <c r="A981" s="33">
        <v>46655</v>
      </c>
      <c r="B981" s="30">
        <f t="shared" si="34"/>
        <v>9</v>
      </c>
      <c r="C981" s="30" t="str">
        <f>_xlfn.IFS(Table_13[[#This Row],[Month]]=1,"JAN",Table_13[[#This Row],[Month]]=2,"FEB",B981=3,"MAR",B981=4,"APR",B981=5,"MAY",B981=6,"JUN",B981=7,"JUL",B981=8,"AUG",Table_13[[#This Row],[Month]]=9,"SEPT",B981=10,"OCT",B981=11,"NOV",B981=12,"DEC")</f>
        <v>SEPT</v>
      </c>
      <c r="D981" s="2" t="s">
        <v>18</v>
      </c>
      <c r="E981" s="2" t="s">
        <v>26</v>
      </c>
      <c r="F981" s="2" t="s">
        <v>13</v>
      </c>
      <c r="G981" s="2" t="s">
        <v>20</v>
      </c>
      <c r="H981" s="2" t="s">
        <v>15</v>
      </c>
      <c r="I981" s="2" t="s">
        <v>16</v>
      </c>
      <c r="J981" s="15">
        <v>85000</v>
      </c>
      <c r="K981" s="2">
        <v>8</v>
      </c>
      <c r="L981" s="2" t="s">
        <v>17</v>
      </c>
      <c r="M981" s="12">
        <f t="shared" si="27"/>
        <v>68000</v>
      </c>
      <c r="N981" s="10">
        <f>PRODUCT(Table_13[[#This Row],[Unit Price]],Table_13[[#This Row],[Quantity]])</f>
        <v>680000</v>
      </c>
      <c r="O981" s="16">
        <f>PRODUCT(Table_13[[#This Row],[Cost Price]],Table_13[[#This Row],[Quantity]])</f>
        <v>544000</v>
      </c>
      <c r="P981" s="27">
        <f t="shared" si="35"/>
        <v>136000</v>
      </c>
    </row>
    <row r="982" spans="1:16" x14ac:dyDescent="0.2">
      <c r="A982" s="33">
        <v>46656</v>
      </c>
      <c r="B982" s="30">
        <f t="shared" si="34"/>
        <v>9</v>
      </c>
      <c r="C982" s="30" t="str">
        <f>_xlfn.IFS(Table_13[[#This Row],[Month]]=1,"JAN",Table_13[[#This Row],[Month]]=2,"FEB",B982=3,"MAR",B982=4,"APR",B982=5,"MAY",B982=6,"JUN",B982=7,"JUL",B982=8,"AUG",Table_13[[#This Row],[Month]]=9,"SEPT",B982=10,"OCT",B982=11,"NOV",B982=12,"DEC")</f>
        <v>SEPT</v>
      </c>
      <c r="D982" s="2" t="s">
        <v>18</v>
      </c>
      <c r="E982" s="2" t="s">
        <v>32</v>
      </c>
      <c r="F982" s="2" t="s">
        <v>23</v>
      </c>
      <c r="G982" s="2" t="s">
        <v>20</v>
      </c>
      <c r="H982" s="2" t="s">
        <v>36</v>
      </c>
      <c r="I982" s="2" t="s">
        <v>31</v>
      </c>
      <c r="J982" s="15">
        <v>150000</v>
      </c>
      <c r="K982" s="2">
        <v>9</v>
      </c>
      <c r="L982" s="2" t="s">
        <v>39</v>
      </c>
      <c r="M982" s="12">
        <f t="shared" si="27"/>
        <v>120000</v>
      </c>
      <c r="N982" s="10">
        <f>PRODUCT(Table_13[[#This Row],[Unit Price]],Table_13[[#This Row],[Quantity]])</f>
        <v>1350000</v>
      </c>
      <c r="O982" s="16">
        <f>PRODUCT(Table_13[[#This Row],[Cost Price]],Table_13[[#This Row],[Quantity]])</f>
        <v>1080000</v>
      </c>
      <c r="P982" s="27">
        <f t="shared" si="35"/>
        <v>270000</v>
      </c>
    </row>
    <row r="983" spans="1:16" x14ac:dyDescent="0.2">
      <c r="A983" s="33">
        <v>46657</v>
      </c>
      <c r="B983" s="30">
        <f t="shared" si="34"/>
        <v>9</v>
      </c>
      <c r="C983" s="30" t="str">
        <f>_xlfn.IFS(Table_13[[#This Row],[Month]]=1,"JAN",Table_13[[#This Row],[Month]]=2,"FEB",B983=3,"MAR",B983=4,"APR",B983=5,"MAY",B983=6,"JUN",B983=7,"JUL",B983=8,"AUG",Table_13[[#This Row],[Month]]=9,"SEPT",B983=10,"OCT",B983=11,"NOV",B983=12,"DEC")</f>
        <v>SEPT</v>
      </c>
      <c r="D983" s="2" t="s">
        <v>11</v>
      </c>
      <c r="E983" s="2" t="s">
        <v>12</v>
      </c>
      <c r="F983" s="2" t="s">
        <v>23</v>
      </c>
      <c r="G983" s="2" t="s">
        <v>14</v>
      </c>
      <c r="H983" s="2" t="s">
        <v>40</v>
      </c>
      <c r="I983" s="2" t="s">
        <v>31</v>
      </c>
      <c r="J983" s="15">
        <v>250000</v>
      </c>
      <c r="K983" s="2">
        <v>4</v>
      </c>
      <c r="L983" s="2" t="s">
        <v>35</v>
      </c>
      <c r="M983" s="12">
        <f t="shared" si="27"/>
        <v>200000</v>
      </c>
      <c r="N983" s="10">
        <f>PRODUCT(Table_13[[#This Row],[Unit Price]],Table_13[[#This Row],[Quantity]])</f>
        <v>1000000</v>
      </c>
      <c r="O983" s="16">
        <f>PRODUCT(Table_13[[#This Row],[Cost Price]],Table_13[[#This Row],[Quantity]])</f>
        <v>800000</v>
      </c>
      <c r="P983" s="27">
        <f t="shared" si="35"/>
        <v>200000</v>
      </c>
    </row>
    <row r="984" spans="1:16" x14ac:dyDescent="0.2">
      <c r="A984" s="33">
        <v>46658</v>
      </c>
      <c r="B984" s="30">
        <f t="shared" si="34"/>
        <v>9</v>
      </c>
      <c r="C984" s="30" t="str">
        <f>_xlfn.IFS(Table_13[[#This Row],[Month]]=1,"JAN",Table_13[[#This Row],[Month]]=2,"FEB",B984=3,"MAR",B984=4,"APR",B984=5,"MAY",B984=6,"JUN",B984=7,"JUL",B984=8,"AUG",Table_13[[#This Row],[Month]]=9,"SEPT",B984=10,"OCT",B984=11,"NOV",B984=12,"DEC")</f>
        <v>SEPT</v>
      </c>
      <c r="D984" s="2" t="s">
        <v>29</v>
      </c>
      <c r="E984" s="2" t="s">
        <v>19</v>
      </c>
      <c r="F984" s="2" t="s">
        <v>13</v>
      </c>
      <c r="G984" s="2" t="s">
        <v>20</v>
      </c>
      <c r="H984" s="2" t="s">
        <v>41</v>
      </c>
      <c r="I984" s="2" t="s">
        <v>22</v>
      </c>
      <c r="J984" s="15">
        <v>220000</v>
      </c>
      <c r="K984" s="2">
        <v>4</v>
      </c>
      <c r="L984" s="2" t="s">
        <v>35</v>
      </c>
      <c r="M984" s="12">
        <f t="shared" si="27"/>
        <v>176000</v>
      </c>
      <c r="N984" s="10">
        <f>PRODUCT(Table_13[[#This Row],[Unit Price]],Table_13[[#This Row],[Quantity]])</f>
        <v>880000</v>
      </c>
      <c r="O984" s="16">
        <f>PRODUCT(Table_13[[#This Row],[Cost Price]],Table_13[[#This Row],[Quantity]])</f>
        <v>704000</v>
      </c>
      <c r="P984" s="27">
        <f t="shared" si="35"/>
        <v>176000</v>
      </c>
    </row>
    <row r="985" spans="1:16" x14ac:dyDescent="0.2">
      <c r="A985" s="33">
        <v>46659</v>
      </c>
      <c r="B985" s="30">
        <f t="shared" si="34"/>
        <v>9</v>
      </c>
      <c r="C985" s="30" t="str">
        <f>_xlfn.IFS(Table_13[[#This Row],[Month]]=1,"JAN",Table_13[[#This Row],[Month]]=2,"FEB",B985=3,"MAR",B985=4,"APR",B985=5,"MAY",B985=6,"JUN",B985=7,"JUL",B985=8,"AUG",Table_13[[#This Row],[Month]]=9,"SEPT",B985=10,"OCT",B985=11,"NOV",B985=12,"DEC")</f>
        <v>SEPT</v>
      </c>
      <c r="D985" s="2" t="s">
        <v>29</v>
      </c>
      <c r="E985" s="2" t="s">
        <v>12</v>
      </c>
      <c r="F985" s="2" t="s">
        <v>23</v>
      </c>
      <c r="G985" s="2" t="s">
        <v>20</v>
      </c>
      <c r="H985" s="2" t="s">
        <v>15</v>
      </c>
      <c r="I985" s="2" t="s">
        <v>16</v>
      </c>
      <c r="J985" s="15">
        <v>85000</v>
      </c>
      <c r="K985" s="2">
        <v>2</v>
      </c>
      <c r="L985" s="2" t="s">
        <v>17</v>
      </c>
      <c r="M985" s="12">
        <f t="shared" si="27"/>
        <v>68000</v>
      </c>
      <c r="N985" s="10">
        <f>PRODUCT(Table_13[[#This Row],[Unit Price]],Table_13[[#This Row],[Quantity]])</f>
        <v>170000</v>
      </c>
      <c r="O985" s="16">
        <f>PRODUCT(Table_13[[#This Row],[Cost Price]],Table_13[[#This Row],[Quantity]])</f>
        <v>136000</v>
      </c>
      <c r="P985" s="27">
        <f t="shared" si="35"/>
        <v>34000</v>
      </c>
    </row>
    <row r="986" spans="1:16" x14ac:dyDescent="0.2">
      <c r="A986" s="33">
        <v>46660</v>
      </c>
      <c r="B986" s="30">
        <f t="shared" si="34"/>
        <v>9</v>
      </c>
      <c r="C986" s="30" t="str">
        <f>_xlfn.IFS(Table_13[[#This Row],[Month]]=1,"JAN",Table_13[[#This Row],[Month]]=2,"FEB",B986=3,"MAR",B986=4,"APR",B986=5,"MAY",B986=6,"JUN",B986=7,"JUL",B986=8,"AUG",Table_13[[#This Row],[Month]]=9,"SEPT",B986=10,"OCT",B986=11,"NOV",B986=12,"DEC")</f>
        <v>SEPT</v>
      </c>
      <c r="D986" s="2" t="s">
        <v>18</v>
      </c>
      <c r="E986" s="2" t="s">
        <v>12</v>
      </c>
      <c r="F986" s="2" t="s">
        <v>13</v>
      </c>
      <c r="G986" s="2" t="s">
        <v>14</v>
      </c>
      <c r="H986" s="2" t="s">
        <v>40</v>
      </c>
      <c r="I986" s="2" t="s">
        <v>31</v>
      </c>
      <c r="J986" s="15">
        <v>250000</v>
      </c>
      <c r="K986" s="2">
        <v>3</v>
      </c>
      <c r="L986" s="2" t="s">
        <v>35</v>
      </c>
      <c r="M986" s="12">
        <f t="shared" si="27"/>
        <v>200000</v>
      </c>
      <c r="N986" s="10">
        <f>PRODUCT(Table_13[[#This Row],[Unit Price]],Table_13[[#This Row],[Quantity]])</f>
        <v>750000</v>
      </c>
      <c r="O986" s="16">
        <f>PRODUCT(Table_13[[#This Row],[Cost Price]],Table_13[[#This Row],[Quantity]])</f>
        <v>600000</v>
      </c>
      <c r="P986" s="27">
        <f t="shared" si="35"/>
        <v>150000</v>
      </c>
    </row>
    <row r="987" spans="1:16" x14ac:dyDescent="0.2">
      <c r="A987" s="33">
        <v>46661</v>
      </c>
      <c r="B987" s="30">
        <f t="shared" si="34"/>
        <v>10</v>
      </c>
      <c r="C987" s="30" t="str">
        <f>_xlfn.IFS(Table_13[[#This Row],[Month]]=1,"JAN",Table_13[[#This Row],[Month]]=2,"FEB",B987=3,"MAR",B987=4,"APR",B987=5,"MAY",B987=6,"JUN",B987=7,"JUL",B987=8,"AUG",Table_13[[#This Row],[Month]]=9,"SEPT",B987=10,"OCT",B987=11,"NOV",B987=12,"DEC")</f>
        <v>OCT</v>
      </c>
      <c r="D987" s="2" t="s">
        <v>29</v>
      </c>
      <c r="E987" s="2" t="s">
        <v>26</v>
      </c>
      <c r="F987" s="2" t="s">
        <v>23</v>
      </c>
      <c r="G987" s="2" t="s">
        <v>14</v>
      </c>
      <c r="H987" s="2" t="s">
        <v>36</v>
      </c>
      <c r="I987" s="2" t="s">
        <v>31</v>
      </c>
      <c r="J987" s="15">
        <v>150000</v>
      </c>
      <c r="K987" s="2">
        <v>4</v>
      </c>
      <c r="L987" s="2" t="s">
        <v>35</v>
      </c>
      <c r="M987" s="12">
        <f t="shared" si="27"/>
        <v>120000</v>
      </c>
      <c r="N987" s="10">
        <f>PRODUCT(Table_13[[#This Row],[Unit Price]],Table_13[[#This Row],[Quantity]])</f>
        <v>600000</v>
      </c>
      <c r="O987" s="16">
        <f>PRODUCT(Table_13[[#This Row],[Cost Price]],Table_13[[#This Row],[Quantity]])</f>
        <v>480000</v>
      </c>
      <c r="P987" s="27">
        <f t="shared" si="35"/>
        <v>120000</v>
      </c>
    </row>
    <row r="988" spans="1:16" x14ac:dyDescent="0.2">
      <c r="A988" s="33">
        <v>46662</v>
      </c>
      <c r="B988" s="30">
        <f t="shared" si="34"/>
        <v>10</v>
      </c>
      <c r="C988" s="30" t="str">
        <f>_xlfn.IFS(Table_13[[#This Row],[Month]]=1,"JAN",Table_13[[#This Row],[Month]]=2,"FEB",B988=3,"MAR",B988=4,"APR",B988=5,"MAY",B988=6,"JUN",B988=7,"JUL",B988=8,"AUG",Table_13[[#This Row],[Month]]=9,"SEPT",B988=10,"OCT",B988=11,"NOV",B988=12,"DEC")</f>
        <v>OCT</v>
      </c>
      <c r="D988" s="2" t="s">
        <v>29</v>
      </c>
      <c r="E988" s="2" t="s">
        <v>12</v>
      </c>
      <c r="F988" s="2" t="s">
        <v>13</v>
      </c>
      <c r="G988" s="2" t="s">
        <v>14</v>
      </c>
      <c r="H988" s="2" t="s">
        <v>15</v>
      </c>
      <c r="I988" s="2" t="s">
        <v>16</v>
      </c>
      <c r="J988" s="15">
        <v>85000</v>
      </c>
      <c r="K988" s="2">
        <v>2</v>
      </c>
      <c r="L988" s="2" t="s">
        <v>17</v>
      </c>
      <c r="M988" s="12">
        <f t="shared" si="27"/>
        <v>68000</v>
      </c>
      <c r="N988" s="10">
        <f>PRODUCT(Table_13[[#This Row],[Unit Price]],Table_13[[#This Row],[Quantity]])</f>
        <v>170000</v>
      </c>
      <c r="O988" s="16">
        <f>PRODUCT(Table_13[[#This Row],[Cost Price]],Table_13[[#This Row],[Quantity]])</f>
        <v>136000</v>
      </c>
      <c r="P988" s="27">
        <f t="shared" si="35"/>
        <v>34000</v>
      </c>
    </row>
    <row r="989" spans="1:16" x14ac:dyDescent="0.2">
      <c r="A989" s="33">
        <v>46663</v>
      </c>
      <c r="B989" s="30">
        <f t="shared" si="34"/>
        <v>10</v>
      </c>
      <c r="C989" s="30" t="str">
        <f>_xlfn.IFS(Table_13[[#This Row],[Month]]=1,"JAN",Table_13[[#This Row],[Month]]=2,"FEB",B989=3,"MAR",B989=4,"APR",B989=5,"MAY",B989=6,"JUN",B989=7,"JUL",B989=8,"AUG",Table_13[[#This Row],[Month]]=9,"SEPT",B989=10,"OCT",B989=11,"NOV",B989=12,"DEC")</f>
        <v>OCT</v>
      </c>
      <c r="D989" s="2" t="s">
        <v>11</v>
      </c>
      <c r="E989" s="2" t="s">
        <v>26</v>
      </c>
      <c r="F989" s="2" t="s">
        <v>23</v>
      </c>
      <c r="G989" s="2" t="s">
        <v>20</v>
      </c>
      <c r="H989" s="2" t="s">
        <v>36</v>
      </c>
      <c r="I989" s="2" t="s">
        <v>31</v>
      </c>
      <c r="J989" s="15">
        <v>150000</v>
      </c>
      <c r="K989" s="2">
        <v>4</v>
      </c>
      <c r="L989" s="2" t="s">
        <v>28</v>
      </c>
      <c r="M989" s="12">
        <f t="shared" si="27"/>
        <v>120000</v>
      </c>
      <c r="N989" s="10">
        <f>PRODUCT(Table_13[[#This Row],[Unit Price]],Table_13[[#This Row],[Quantity]])</f>
        <v>600000</v>
      </c>
      <c r="O989" s="16">
        <f>PRODUCT(Table_13[[#This Row],[Cost Price]],Table_13[[#This Row],[Quantity]])</f>
        <v>480000</v>
      </c>
      <c r="P989" s="27">
        <f t="shared" si="35"/>
        <v>120000</v>
      </c>
    </row>
    <row r="990" spans="1:16" x14ac:dyDescent="0.2">
      <c r="A990" s="33">
        <v>46664</v>
      </c>
      <c r="B990" s="30">
        <f t="shared" si="34"/>
        <v>10</v>
      </c>
      <c r="C990" s="30" t="str">
        <f>_xlfn.IFS(Table_13[[#This Row],[Month]]=1,"JAN",Table_13[[#This Row],[Month]]=2,"FEB",B990=3,"MAR",B990=4,"APR",B990=5,"MAY",B990=6,"JUN",B990=7,"JUL",B990=8,"AUG",Table_13[[#This Row],[Month]]=9,"SEPT",B990=10,"OCT",B990=11,"NOV",B990=12,"DEC")</f>
        <v>OCT</v>
      </c>
      <c r="D990" s="2" t="s">
        <v>29</v>
      </c>
      <c r="E990" s="2" t="s">
        <v>12</v>
      </c>
      <c r="F990" s="2" t="s">
        <v>13</v>
      </c>
      <c r="G990" s="2" t="s">
        <v>14</v>
      </c>
      <c r="H990" s="2" t="s">
        <v>36</v>
      </c>
      <c r="I990" s="2" t="s">
        <v>31</v>
      </c>
      <c r="J990" s="15">
        <v>150000</v>
      </c>
      <c r="K990" s="2">
        <v>3</v>
      </c>
      <c r="L990" s="2" t="s">
        <v>24</v>
      </c>
      <c r="M990" s="12">
        <f t="shared" si="27"/>
        <v>120000</v>
      </c>
      <c r="N990" s="10">
        <f>PRODUCT(Table_13[[#This Row],[Unit Price]],Table_13[[#This Row],[Quantity]])</f>
        <v>450000</v>
      </c>
      <c r="O990" s="16">
        <f>PRODUCT(Table_13[[#This Row],[Cost Price]],Table_13[[#This Row],[Quantity]])</f>
        <v>360000</v>
      </c>
      <c r="P990" s="27">
        <f t="shared" si="35"/>
        <v>90000</v>
      </c>
    </row>
    <row r="991" spans="1:16" x14ac:dyDescent="0.2">
      <c r="A991" s="33">
        <v>46665</v>
      </c>
      <c r="B991" s="30">
        <f t="shared" si="34"/>
        <v>10</v>
      </c>
      <c r="C991" s="30" t="str">
        <f>_xlfn.IFS(Table_13[[#This Row],[Month]]=1,"JAN",Table_13[[#This Row],[Month]]=2,"FEB",B991=3,"MAR",B991=4,"APR",B991=5,"MAY",B991=6,"JUN",B991=7,"JUL",B991=8,"AUG",Table_13[[#This Row],[Month]]=9,"SEPT",B991=10,"OCT",B991=11,"NOV",B991=12,"DEC")</f>
        <v>OCT</v>
      </c>
      <c r="D991" s="2" t="s">
        <v>29</v>
      </c>
      <c r="E991" s="2" t="s">
        <v>12</v>
      </c>
      <c r="F991" s="2" t="s">
        <v>23</v>
      </c>
      <c r="G991" s="2" t="s">
        <v>14</v>
      </c>
      <c r="H991" s="2" t="s">
        <v>21</v>
      </c>
      <c r="I991" s="2" t="s">
        <v>22</v>
      </c>
      <c r="J991" s="15">
        <v>30000</v>
      </c>
      <c r="K991" s="2">
        <v>3</v>
      </c>
      <c r="L991" s="2" t="s">
        <v>24</v>
      </c>
      <c r="M991" s="12">
        <f t="shared" si="27"/>
        <v>24000</v>
      </c>
      <c r="N991" s="10">
        <f>PRODUCT(Table_13[[#This Row],[Unit Price]],Table_13[[#This Row],[Quantity]])</f>
        <v>90000</v>
      </c>
      <c r="O991" s="16">
        <f>PRODUCT(Table_13[[#This Row],[Cost Price]],Table_13[[#This Row],[Quantity]])</f>
        <v>72000</v>
      </c>
      <c r="P991" s="27">
        <f t="shared" si="35"/>
        <v>18000</v>
      </c>
    </row>
    <row r="992" spans="1:16" x14ac:dyDescent="0.2">
      <c r="A992" s="33">
        <v>46666</v>
      </c>
      <c r="B992" s="30">
        <f t="shared" si="34"/>
        <v>10</v>
      </c>
      <c r="C992" s="30" t="str">
        <f>_xlfn.IFS(Table_13[[#This Row],[Month]]=1,"JAN",Table_13[[#This Row],[Month]]=2,"FEB",B992=3,"MAR",B992=4,"APR",B992=5,"MAY",B992=6,"JUN",B992=7,"JUL",B992=8,"AUG",Table_13[[#This Row],[Month]]=9,"SEPT",B992=10,"OCT",B992=11,"NOV",B992=12,"DEC")</f>
        <v>OCT</v>
      </c>
      <c r="D992" s="2" t="s">
        <v>29</v>
      </c>
      <c r="E992" s="2" t="s">
        <v>19</v>
      </c>
      <c r="F992" s="2" t="s">
        <v>23</v>
      </c>
      <c r="G992" s="2" t="s">
        <v>20</v>
      </c>
      <c r="H992" s="2" t="s">
        <v>34</v>
      </c>
      <c r="I992" s="2" t="s">
        <v>16</v>
      </c>
      <c r="J992" s="15">
        <v>320000</v>
      </c>
      <c r="K992" s="2">
        <v>5</v>
      </c>
      <c r="L992" s="2" t="s">
        <v>39</v>
      </c>
      <c r="M992" s="12">
        <f t="shared" si="27"/>
        <v>256000</v>
      </c>
      <c r="N992" s="10">
        <f>PRODUCT(Table_13[[#This Row],[Unit Price]],Table_13[[#This Row],[Quantity]])</f>
        <v>1600000</v>
      </c>
      <c r="O992" s="16">
        <f>PRODUCT(Table_13[[#This Row],[Cost Price]],Table_13[[#This Row],[Quantity]])</f>
        <v>1280000</v>
      </c>
      <c r="P992" s="27">
        <f t="shared" si="35"/>
        <v>320000</v>
      </c>
    </row>
    <row r="993" spans="1:16" x14ac:dyDescent="0.2">
      <c r="A993" s="33">
        <v>46667</v>
      </c>
      <c r="B993" s="30">
        <f t="shared" si="34"/>
        <v>10</v>
      </c>
      <c r="C993" s="30" t="str">
        <f>_xlfn.IFS(Table_13[[#This Row],[Month]]=1,"JAN",Table_13[[#This Row],[Month]]=2,"FEB",B993=3,"MAR",B993=4,"APR",B993=5,"MAY",B993=6,"JUN",B993=7,"JUL",B993=8,"AUG",Table_13[[#This Row],[Month]]=9,"SEPT",B993=10,"OCT",B993=11,"NOV",B993=12,"DEC")</f>
        <v>OCT</v>
      </c>
      <c r="D993" s="2" t="s">
        <v>18</v>
      </c>
      <c r="E993" s="2" t="s">
        <v>32</v>
      </c>
      <c r="F993" s="2" t="s">
        <v>23</v>
      </c>
      <c r="G993" s="2" t="s">
        <v>14</v>
      </c>
      <c r="H993" s="2" t="s">
        <v>40</v>
      </c>
      <c r="I993" s="2" t="s">
        <v>31</v>
      </c>
      <c r="J993" s="15">
        <v>250000</v>
      </c>
      <c r="K993" s="2">
        <v>3</v>
      </c>
      <c r="L993" s="2" t="s">
        <v>17</v>
      </c>
      <c r="M993" s="12">
        <f t="shared" si="27"/>
        <v>200000</v>
      </c>
      <c r="N993" s="10">
        <f>PRODUCT(Table_13[[#This Row],[Unit Price]],Table_13[[#This Row],[Quantity]])</f>
        <v>750000</v>
      </c>
      <c r="O993" s="16">
        <f>PRODUCT(Table_13[[#This Row],[Cost Price]],Table_13[[#This Row],[Quantity]])</f>
        <v>600000</v>
      </c>
      <c r="P993" s="27">
        <f t="shared" si="35"/>
        <v>150000</v>
      </c>
    </row>
    <row r="994" spans="1:16" x14ac:dyDescent="0.2">
      <c r="A994" s="33">
        <v>46668</v>
      </c>
      <c r="B994" s="30">
        <f t="shared" si="34"/>
        <v>10</v>
      </c>
      <c r="C994" s="30" t="str">
        <f>_xlfn.IFS(Table_13[[#This Row],[Month]]=1,"JAN",Table_13[[#This Row],[Month]]=2,"FEB",B994=3,"MAR",B994=4,"APR",B994=5,"MAY",B994=6,"JUN",B994=7,"JUL",B994=8,"AUG",Table_13[[#This Row],[Month]]=9,"SEPT",B994=10,"OCT",B994=11,"NOV",B994=12,"DEC")</f>
        <v>OCT</v>
      </c>
      <c r="D994" s="2" t="s">
        <v>18</v>
      </c>
      <c r="E994" s="2" t="s">
        <v>26</v>
      </c>
      <c r="F994" s="2" t="s">
        <v>23</v>
      </c>
      <c r="G994" s="2" t="s">
        <v>20</v>
      </c>
      <c r="H994" s="2" t="s">
        <v>27</v>
      </c>
      <c r="I994" s="2" t="s">
        <v>22</v>
      </c>
      <c r="J994" s="15">
        <v>60000</v>
      </c>
      <c r="K994" s="2">
        <v>10</v>
      </c>
      <c r="L994" s="2" t="s">
        <v>39</v>
      </c>
      <c r="M994" s="12">
        <f t="shared" si="27"/>
        <v>48000</v>
      </c>
      <c r="N994" s="10">
        <f>PRODUCT(Table_13[[#This Row],[Unit Price]],Table_13[[#This Row],[Quantity]])</f>
        <v>600000</v>
      </c>
      <c r="O994" s="16">
        <f>PRODUCT(Table_13[[#This Row],[Cost Price]],Table_13[[#This Row],[Quantity]])</f>
        <v>480000</v>
      </c>
      <c r="P994" s="27">
        <f t="shared" si="35"/>
        <v>120000</v>
      </c>
    </row>
    <row r="995" spans="1:16" x14ac:dyDescent="0.2">
      <c r="A995" s="33">
        <v>46669</v>
      </c>
      <c r="B995" s="30">
        <f t="shared" si="34"/>
        <v>10</v>
      </c>
      <c r="C995" s="30" t="str">
        <f>_xlfn.IFS(Table_13[[#This Row],[Month]]=1,"JAN",Table_13[[#This Row],[Month]]=2,"FEB",B995=3,"MAR",B995=4,"APR",B995=5,"MAY",B995=6,"JUN",B995=7,"JUL",B995=8,"AUG",Table_13[[#This Row],[Month]]=9,"SEPT",B995=10,"OCT",B995=11,"NOV",B995=12,"DEC")</f>
        <v>OCT</v>
      </c>
      <c r="D995" s="2" t="s">
        <v>29</v>
      </c>
      <c r="E995" s="2" t="s">
        <v>12</v>
      </c>
      <c r="F995" s="2" t="s">
        <v>13</v>
      </c>
      <c r="G995" s="2" t="s">
        <v>20</v>
      </c>
      <c r="H995" s="2" t="s">
        <v>27</v>
      </c>
      <c r="I995" s="2" t="s">
        <v>22</v>
      </c>
      <c r="J995" s="15">
        <v>60000</v>
      </c>
      <c r="K995" s="2">
        <v>3</v>
      </c>
      <c r="L995" s="2" t="s">
        <v>37</v>
      </c>
      <c r="M995" s="12">
        <f t="shared" si="27"/>
        <v>48000</v>
      </c>
      <c r="N995" s="10">
        <f>PRODUCT(Table_13[[#This Row],[Unit Price]],Table_13[[#This Row],[Quantity]])</f>
        <v>180000</v>
      </c>
      <c r="O995" s="16">
        <f>PRODUCT(Table_13[[#This Row],[Cost Price]],Table_13[[#This Row],[Quantity]])</f>
        <v>144000</v>
      </c>
      <c r="P995" s="27">
        <f t="shared" si="35"/>
        <v>36000</v>
      </c>
    </row>
    <row r="996" spans="1:16" x14ac:dyDescent="0.2">
      <c r="A996" s="33">
        <v>46670</v>
      </c>
      <c r="B996" s="30">
        <f t="shared" si="34"/>
        <v>10</v>
      </c>
      <c r="C996" s="30" t="str">
        <f>_xlfn.IFS(Table_13[[#This Row],[Month]]=1,"JAN",Table_13[[#This Row],[Month]]=2,"FEB",B996=3,"MAR",B996=4,"APR",B996=5,"MAY",B996=6,"JUN",B996=7,"JUL",B996=8,"AUG",Table_13[[#This Row],[Month]]=9,"SEPT",B996=10,"OCT",B996=11,"NOV",B996=12,"DEC")</f>
        <v>OCT</v>
      </c>
      <c r="D996" s="2" t="s">
        <v>18</v>
      </c>
      <c r="E996" s="2" t="s">
        <v>19</v>
      </c>
      <c r="F996" s="2" t="s">
        <v>23</v>
      </c>
      <c r="G996" s="2" t="s">
        <v>20</v>
      </c>
      <c r="H996" s="2" t="s">
        <v>15</v>
      </c>
      <c r="I996" s="2" t="s">
        <v>16</v>
      </c>
      <c r="J996" s="15">
        <v>85000</v>
      </c>
      <c r="K996" s="2">
        <v>9</v>
      </c>
      <c r="L996" s="2" t="s">
        <v>35</v>
      </c>
      <c r="M996" s="12">
        <f t="shared" si="27"/>
        <v>68000</v>
      </c>
      <c r="N996" s="10">
        <f>PRODUCT(Table_13[[#This Row],[Unit Price]],Table_13[[#This Row],[Quantity]])</f>
        <v>765000</v>
      </c>
      <c r="O996" s="16">
        <f>PRODUCT(Table_13[[#This Row],[Cost Price]],Table_13[[#This Row],[Quantity]])</f>
        <v>612000</v>
      </c>
      <c r="P996" s="27">
        <f t="shared" si="35"/>
        <v>153000</v>
      </c>
    </row>
    <row r="997" spans="1:16" x14ac:dyDescent="0.2">
      <c r="A997" s="33">
        <v>46671</v>
      </c>
      <c r="B997" s="30">
        <f t="shared" si="34"/>
        <v>10</v>
      </c>
      <c r="C997" s="30" t="str">
        <f>_xlfn.IFS(Table_13[[#This Row],[Month]]=1,"JAN",Table_13[[#This Row],[Month]]=2,"FEB",B997=3,"MAR",B997=4,"APR",B997=5,"MAY",B997=6,"JUN",B997=7,"JUL",B997=8,"AUG",Table_13[[#This Row],[Month]]=9,"SEPT",B997=10,"OCT",B997=11,"NOV",B997=12,"DEC")</f>
        <v>OCT</v>
      </c>
      <c r="D997" s="2" t="s">
        <v>18</v>
      </c>
      <c r="E997" s="2" t="s">
        <v>32</v>
      </c>
      <c r="F997" s="2" t="s">
        <v>23</v>
      </c>
      <c r="G997" s="2" t="s">
        <v>20</v>
      </c>
      <c r="H997" s="2" t="s">
        <v>38</v>
      </c>
      <c r="I997" s="2" t="s">
        <v>31</v>
      </c>
      <c r="J997" s="15">
        <v>420000</v>
      </c>
      <c r="K997" s="2">
        <v>4</v>
      </c>
      <c r="L997" s="2" t="s">
        <v>35</v>
      </c>
      <c r="M997" s="12">
        <f t="shared" si="27"/>
        <v>336000</v>
      </c>
      <c r="N997" s="10">
        <f>PRODUCT(Table_13[[#This Row],[Unit Price]],Table_13[[#This Row],[Quantity]])</f>
        <v>1680000</v>
      </c>
      <c r="O997" s="16">
        <f>PRODUCT(Table_13[[#This Row],[Cost Price]],Table_13[[#This Row],[Quantity]])</f>
        <v>1344000</v>
      </c>
      <c r="P997" s="27">
        <f t="shared" si="35"/>
        <v>336000</v>
      </c>
    </row>
    <row r="998" spans="1:16" x14ac:dyDescent="0.2">
      <c r="A998" s="33">
        <v>46672</v>
      </c>
      <c r="B998" s="30">
        <f t="shared" si="34"/>
        <v>10</v>
      </c>
      <c r="C998" s="30" t="str">
        <f>_xlfn.IFS(Table_13[[#This Row],[Month]]=1,"JAN",Table_13[[#This Row],[Month]]=2,"FEB",B998=3,"MAR",B998=4,"APR",B998=5,"MAY",B998=6,"JUN",B998=7,"JUL",B998=8,"AUG",Table_13[[#This Row],[Month]]=9,"SEPT",B998=10,"OCT",B998=11,"NOV",B998=12,"DEC")</f>
        <v>OCT</v>
      </c>
      <c r="D998" s="2" t="s">
        <v>29</v>
      </c>
      <c r="E998" s="2" t="s">
        <v>26</v>
      </c>
      <c r="F998" s="2" t="s">
        <v>23</v>
      </c>
      <c r="G998" s="2" t="s">
        <v>14</v>
      </c>
      <c r="H998" s="2" t="s">
        <v>36</v>
      </c>
      <c r="I998" s="2" t="s">
        <v>31</v>
      </c>
      <c r="J998" s="15">
        <v>150000</v>
      </c>
      <c r="K998" s="2">
        <v>6</v>
      </c>
      <c r="L998" s="2" t="s">
        <v>37</v>
      </c>
      <c r="M998" s="12">
        <f t="shared" si="27"/>
        <v>120000</v>
      </c>
      <c r="N998" s="10">
        <f>PRODUCT(Table_13[[#This Row],[Unit Price]],Table_13[[#This Row],[Quantity]])</f>
        <v>900000</v>
      </c>
      <c r="O998" s="16">
        <f>PRODUCT(Table_13[[#This Row],[Cost Price]],Table_13[[#This Row],[Quantity]])</f>
        <v>720000</v>
      </c>
      <c r="P998" s="27">
        <f t="shared" si="35"/>
        <v>180000</v>
      </c>
    </row>
    <row r="999" spans="1:16" x14ac:dyDescent="0.2">
      <c r="A999" s="33">
        <v>46673</v>
      </c>
      <c r="B999" s="30">
        <f t="shared" si="34"/>
        <v>10</v>
      </c>
      <c r="C999" s="30" t="str">
        <f>_xlfn.IFS(Table_13[[#This Row],[Month]]=1,"JAN",Table_13[[#This Row],[Month]]=2,"FEB",B999=3,"MAR",B999=4,"APR",B999=5,"MAY",B999=6,"JUN",B999=7,"JUL",B999=8,"AUG",Table_13[[#This Row],[Month]]=9,"SEPT",B999=10,"OCT",B999=11,"NOV",B999=12,"DEC")</f>
        <v>OCT</v>
      </c>
      <c r="D999" s="2" t="s">
        <v>29</v>
      </c>
      <c r="E999" s="2" t="s">
        <v>26</v>
      </c>
      <c r="F999" s="2" t="s">
        <v>23</v>
      </c>
      <c r="G999" s="2" t="s">
        <v>14</v>
      </c>
      <c r="H999" s="2" t="s">
        <v>34</v>
      </c>
      <c r="I999" s="2" t="s">
        <v>16</v>
      </c>
      <c r="J999" s="15">
        <v>320000</v>
      </c>
      <c r="K999" s="2">
        <v>3</v>
      </c>
      <c r="L999" s="2" t="s">
        <v>35</v>
      </c>
      <c r="M999" s="12">
        <f t="shared" si="27"/>
        <v>256000</v>
      </c>
      <c r="N999" s="10">
        <f>PRODUCT(Table_13[[#This Row],[Unit Price]],Table_13[[#This Row],[Quantity]])</f>
        <v>960000</v>
      </c>
      <c r="O999" s="16">
        <f>PRODUCT(Table_13[[#This Row],[Cost Price]],Table_13[[#This Row],[Quantity]])</f>
        <v>768000</v>
      </c>
      <c r="P999" s="27">
        <f t="shared" si="35"/>
        <v>192000</v>
      </c>
    </row>
    <row r="1000" spans="1:16" x14ac:dyDescent="0.2">
      <c r="A1000" s="33">
        <v>46674</v>
      </c>
      <c r="B1000" s="30">
        <f t="shared" si="34"/>
        <v>10</v>
      </c>
      <c r="C1000" s="30" t="str">
        <f>_xlfn.IFS(Table_13[[#This Row],[Month]]=1,"JAN",Table_13[[#This Row],[Month]]=2,"FEB",B1000=3,"MAR",B1000=4,"APR",B1000=5,"MAY",B1000=6,"JUN",B1000=7,"JUL",B1000=8,"AUG",Table_13[[#This Row],[Month]]=9,"SEPT",B1000=10,"OCT",B1000=11,"NOV",B1000=12,"DEC")</f>
        <v>OCT</v>
      </c>
      <c r="D1000" s="2" t="s">
        <v>25</v>
      </c>
      <c r="E1000" s="2" t="s">
        <v>32</v>
      </c>
      <c r="F1000" s="2" t="s">
        <v>13</v>
      </c>
      <c r="G1000" s="2" t="s">
        <v>20</v>
      </c>
      <c r="H1000" s="2" t="s">
        <v>30</v>
      </c>
      <c r="I1000" s="2" t="s">
        <v>31</v>
      </c>
      <c r="J1000" s="15">
        <v>300000</v>
      </c>
      <c r="K1000" s="2">
        <v>2</v>
      </c>
      <c r="L1000" s="2" t="s">
        <v>17</v>
      </c>
      <c r="M1000" s="12">
        <f t="shared" si="27"/>
        <v>240000</v>
      </c>
      <c r="N1000" s="10">
        <f>PRODUCT(Table_13[[#This Row],[Unit Price]],Table_13[[#This Row],[Quantity]])</f>
        <v>600000</v>
      </c>
      <c r="O1000" s="16">
        <f>PRODUCT(Table_13[[#This Row],[Cost Price]],Table_13[[#This Row],[Quantity]])</f>
        <v>480000</v>
      </c>
      <c r="P1000" s="27">
        <f t="shared" si="35"/>
        <v>120000</v>
      </c>
    </row>
    <row r="1001" spans="1:16" x14ac:dyDescent="0.2">
      <c r="A1001" s="33">
        <v>46675</v>
      </c>
      <c r="B1001" s="30">
        <f t="shared" si="34"/>
        <v>10</v>
      </c>
      <c r="C1001" s="30" t="str">
        <f>_xlfn.IFS(Table_13[[#This Row],[Month]]=1,"JAN",Table_13[[#This Row],[Month]]=2,"FEB",B1001=3,"MAR",B1001=4,"APR",B1001=5,"MAY",B1001=6,"JUN",B1001=7,"JUL",B1001=8,"AUG",Table_13[[#This Row],[Month]]=9,"SEPT",B1001=10,"OCT",B1001=11,"NOV",B1001=12,"DEC")</f>
        <v>OCT</v>
      </c>
      <c r="D1001" s="2" t="s">
        <v>18</v>
      </c>
      <c r="E1001" s="2" t="s">
        <v>26</v>
      </c>
      <c r="F1001" s="2" t="s">
        <v>23</v>
      </c>
      <c r="G1001" s="2" t="s">
        <v>14</v>
      </c>
      <c r="H1001" s="2" t="s">
        <v>36</v>
      </c>
      <c r="I1001" s="2" t="s">
        <v>31</v>
      </c>
      <c r="J1001" s="15">
        <v>150000</v>
      </c>
      <c r="K1001" s="2">
        <v>10</v>
      </c>
      <c r="L1001" s="2" t="s">
        <v>37</v>
      </c>
      <c r="M1001" s="12">
        <f t="shared" si="27"/>
        <v>120000</v>
      </c>
      <c r="N1001" s="10">
        <f>PRODUCT(Table_13[[#This Row],[Unit Price]],Table_13[[#This Row],[Quantity]])</f>
        <v>1500000</v>
      </c>
      <c r="O1001" s="16">
        <f>PRODUCT(Table_13[[#This Row],[Cost Price]],Table_13[[#This Row],[Quantity]])</f>
        <v>1200000</v>
      </c>
      <c r="P1001" s="27">
        <f t="shared" si="35"/>
        <v>300000</v>
      </c>
    </row>
    <row r="1002" spans="1:16" x14ac:dyDescent="0.2">
      <c r="A1002" s="33">
        <v>46676</v>
      </c>
      <c r="B1002" s="30">
        <f t="shared" si="34"/>
        <v>10</v>
      </c>
      <c r="C1002" s="30" t="str">
        <f>_xlfn.IFS(Table_13[[#This Row],[Month]]=1,"JAN",Table_13[[#This Row],[Month]]=2,"FEB",B1002=3,"MAR",B1002=4,"APR",B1002=5,"MAY",B1002=6,"JUN",B1002=7,"JUL",B1002=8,"AUG",Table_13[[#This Row],[Month]]=9,"SEPT",B1002=10,"OCT",B1002=11,"NOV",B1002=12,"DEC")</f>
        <v>OCT</v>
      </c>
      <c r="D1002" s="2" t="s">
        <v>18</v>
      </c>
      <c r="E1002" s="2" t="s">
        <v>32</v>
      </c>
      <c r="F1002" s="2" t="s">
        <v>13</v>
      </c>
      <c r="G1002" s="2" t="s">
        <v>20</v>
      </c>
      <c r="H1002" s="2" t="s">
        <v>38</v>
      </c>
      <c r="I1002" s="2" t="s">
        <v>31</v>
      </c>
      <c r="J1002" s="15">
        <v>420000</v>
      </c>
      <c r="K1002" s="2">
        <v>10</v>
      </c>
      <c r="L1002" s="2" t="s">
        <v>28</v>
      </c>
      <c r="M1002" s="12">
        <f t="shared" si="27"/>
        <v>336000</v>
      </c>
      <c r="N1002" s="10">
        <f>PRODUCT(Table_13[[#This Row],[Unit Price]],Table_13[[#This Row],[Quantity]])</f>
        <v>4200000</v>
      </c>
      <c r="O1002" s="16">
        <f>PRODUCT(Table_13[[#This Row],[Cost Price]],Table_13[[#This Row],[Quantity]])</f>
        <v>3360000</v>
      </c>
      <c r="P1002" s="27">
        <f t="shared" si="35"/>
        <v>840000</v>
      </c>
    </row>
    <row r="1003" spans="1:16" x14ac:dyDescent="0.2">
      <c r="A1003" s="33">
        <v>46677</v>
      </c>
      <c r="B1003" s="30">
        <f t="shared" si="34"/>
        <v>10</v>
      </c>
      <c r="C1003" s="30" t="str">
        <f>_xlfn.IFS(Table_13[[#This Row],[Month]]=1,"JAN",Table_13[[#This Row],[Month]]=2,"FEB",B1003=3,"MAR",B1003=4,"APR",B1003=5,"MAY",B1003=6,"JUN",B1003=7,"JUL",B1003=8,"AUG",Table_13[[#This Row],[Month]]=9,"SEPT",B1003=10,"OCT",B1003=11,"NOV",B1003=12,"DEC")</f>
        <v>OCT</v>
      </c>
      <c r="D1003" s="2" t="s">
        <v>29</v>
      </c>
      <c r="E1003" s="2" t="s">
        <v>32</v>
      </c>
      <c r="F1003" s="2" t="s">
        <v>23</v>
      </c>
      <c r="G1003" s="2" t="s">
        <v>20</v>
      </c>
      <c r="H1003" s="2" t="s">
        <v>33</v>
      </c>
      <c r="I1003" s="2" t="s">
        <v>22</v>
      </c>
      <c r="J1003" s="15">
        <v>180000</v>
      </c>
      <c r="K1003" s="2">
        <v>5</v>
      </c>
      <c r="L1003" s="2" t="s">
        <v>37</v>
      </c>
      <c r="M1003" s="12">
        <f t="shared" si="27"/>
        <v>144000</v>
      </c>
      <c r="N1003" s="10">
        <f>PRODUCT(Table_13[[#This Row],[Unit Price]],Table_13[[#This Row],[Quantity]])</f>
        <v>900000</v>
      </c>
      <c r="O1003" s="16">
        <f>PRODUCT(Table_13[[#This Row],[Cost Price]],Table_13[[#This Row],[Quantity]])</f>
        <v>720000</v>
      </c>
      <c r="P1003" s="27">
        <f t="shared" si="35"/>
        <v>180000</v>
      </c>
    </row>
    <row r="1004" spans="1:16" x14ac:dyDescent="0.2">
      <c r="A1004" s="33">
        <v>46678</v>
      </c>
      <c r="B1004" s="30">
        <f t="shared" si="34"/>
        <v>10</v>
      </c>
      <c r="C1004" s="30" t="str">
        <f>_xlfn.IFS(Table_13[[#This Row],[Month]]=1,"JAN",Table_13[[#This Row],[Month]]=2,"FEB",B1004=3,"MAR",B1004=4,"APR",B1004=5,"MAY",B1004=6,"JUN",B1004=7,"JUL",B1004=8,"AUG",Table_13[[#This Row],[Month]]=9,"SEPT",B1004=10,"OCT",B1004=11,"NOV",B1004=12,"DEC")</f>
        <v>OCT</v>
      </c>
      <c r="D1004" s="2" t="s">
        <v>18</v>
      </c>
      <c r="E1004" s="2" t="s">
        <v>32</v>
      </c>
      <c r="F1004" s="2" t="s">
        <v>23</v>
      </c>
      <c r="G1004" s="2" t="s">
        <v>20</v>
      </c>
      <c r="H1004" s="2" t="s">
        <v>40</v>
      </c>
      <c r="I1004" s="2" t="s">
        <v>31</v>
      </c>
      <c r="J1004" s="15">
        <v>250000</v>
      </c>
      <c r="K1004" s="2">
        <v>7</v>
      </c>
      <c r="L1004" s="2" t="s">
        <v>28</v>
      </c>
      <c r="M1004" s="12">
        <f t="shared" si="27"/>
        <v>200000</v>
      </c>
      <c r="N1004" s="10">
        <f>PRODUCT(Table_13[[#This Row],[Unit Price]],Table_13[[#This Row],[Quantity]])</f>
        <v>1750000</v>
      </c>
      <c r="O1004" s="16">
        <f>PRODUCT(Table_13[[#This Row],[Cost Price]],Table_13[[#This Row],[Quantity]])</f>
        <v>1400000</v>
      </c>
      <c r="P1004" s="27">
        <f t="shared" si="35"/>
        <v>350000</v>
      </c>
    </row>
    <row r="1005" spans="1:16" x14ac:dyDescent="0.2">
      <c r="A1005" s="33">
        <v>46679</v>
      </c>
      <c r="B1005" s="30">
        <f t="shared" si="34"/>
        <v>10</v>
      </c>
      <c r="C1005" s="30" t="str">
        <f>_xlfn.IFS(Table_13[[#This Row],[Month]]=1,"JAN",Table_13[[#This Row],[Month]]=2,"FEB",B1005=3,"MAR",B1005=4,"APR",B1005=5,"MAY",B1005=6,"JUN",B1005=7,"JUL",B1005=8,"AUG",Table_13[[#This Row],[Month]]=9,"SEPT",B1005=10,"OCT",B1005=11,"NOV",B1005=12,"DEC")</f>
        <v>OCT</v>
      </c>
      <c r="D1005" s="2" t="s">
        <v>11</v>
      </c>
      <c r="E1005" s="2" t="s">
        <v>19</v>
      </c>
      <c r="F1005" s="2" t="s">
        <v>13</v>
      </c>
      <c r="G1005" s="2" t="s">
        <v>20</v>
      </c>
      <c r="H1005" s="2" t="s">
        <v>34</v>
      </c>
      <c r="I1005" s="2" t="s">
        <v>16</v>
      </c>
      <c r="J1005" s="15">
        <v>320000</v>
      </c>
      <c r="K1005" s="2">
        <v>4</v>
      </c>
      <c r="L1005" s="2" t="s">
        <v>24</v>
      </c>
      <c r="M1005" s="12">
        <f t="shared" si="27"/>
        <v>256000</v>
      </c>
      <c r="N1005" s="10">
        <f>PRODUCT(Table_13[[#This Row],[Unit Price]],Table_13[[#This Row],[Quantity]])</f>
        <v>1280000</v>
      </c>
      <c r="O1005" s="16">
        <f>PRODUCT(Table_13[[#This Row],[Cost Price]],Table_13[[#This Row],[Quantity]])</f>
        <v>1024000</v>
      </c>
      <c r="P1005" s="27">
        <f t="shared" si="35"/>
        <v>256000</v>
      </c>
    </row>
    <row r="1006" spans="1:16" x14ac:dyDescent="0.2">
      <c r="A1006" s="33">
        <v>46680</v>
      </c>
      <c r="B1006" s="30">
        <f t="shared" si="34"/>
        <v>10</v>
      </c>
      <c r="C1006" s="30" t="str">
        <f>_xlfn.IFS(Table_13[[#This Row],[Month]]=1,"JAN",Table_13[[#This Row],[Month]]=2,"FEB",B1006=3,"MAR",B1006=4,"APR",B1006=5,"MAY",B1006=6,"JUN",B1006=7,"JUL",B1006=8,"AUG",Table_13[[#This Row],[Month]]=9,"SEPT",B1006=10,"OCT",B1006=11,"NOV",B1006=12,"DEC")</f>
        <v>OCT</v>
      </c>
      <c r="D1006" s="2" t="s">
        <v>18</v>
      </c>
      <c r="E1006" s="2" t="s">
        <v>19</v>
      </c>
      <c r="F1006" s="2" t="s">
        <v>13</v>
      </c>
      <c r="G1006" s="2" t="s">
        <v>14</v>
      </c>
      <c r="H1006" s="2" t="s">
        <v>21</v>
      </c>
      <c r="I1006" s="2" t="s">
        <v>22</v>
      </c>
      <c r="J1006" s="15">
        <v>30000</v>
      </c>
      <c r="K1006" s="2">
        <v>2</v>
      </c>
      <c r="L1006" s="2" t="s">
        <v>17</v>
      </c>
      <c r="M1006" s="12">
        <f t="shared" si="27"/>
        <v>24000</v>
      </c>
      <c r="N1006" s="10">
        <f>PRODUCT(Table_13[[#This Row],[Unit Price]],Table_13[[#This Row],[Quantity]])</f>
        <v>60000</v>
      </c>
      <c r="O1006" s="16">
        <f>PRODUCT(Table_13[[#This Row],[Cost Price]],Table_13[[#This Row],[Quantity]])</f>
        <v>48000</v>
      </c>
      <c r="P1006" s="27">
        <f t="shared" si="35"/>
        <v>12000</v>
      </c>
    </row>
    <row r="1007" spans="1:16" x14ac:dyDescent="0.2">
      <c r="A1007" s="33">
        <v>46681</v>
      </c>
      <c r="B1007" s="30">
        <f t="shared" si="34"/>
        <v>10</v>
      </c>
      <c r="C1007" s="30" t="str">
        <f>_xlfn.IFS(Table_13[[#This Row],[Month]]=1,"JAN",Table_13[[#This Row],[Month]]=2,"FEB",B1007=3,"MAR",B1007=4,"APR",B1007=5,"MAY",B1007=6,"JUN",B1007=7,"JUL",B1007=8,"AUG",Table_13[[#This Row],[Month]]=9,"SEPT",B1007=10,"OCT",B1007=11,"NOV",B1007=12,"DEC")</f>
        <v>OCT</v>
      </c>
      <c r="D1007" s="2" t="s">
        <v>29</v>
      </c>
      <c r="E1007" s="2" t="s">
        <v>32</v>
      </c>
      <c r="F1007" s="2" t="s">
        <v>13</v>
      </c>
      <c r="G1007" s="2" t="s">
        <v>14</v>
      </c>
      <c r="H1007" s="2" t="s">
        <v>36</v>
      </c>
      <c r="I1007" s="2" t="s">
        <v>31</v>
      </c>
      <c r="J1007" s="15">
        <v>150000</v>
      </c>
      <c r="K1007" s="2">
        <v>4</v>
      </c>
      <c r="L1007" s="2" t="s">
        <v>17</v>
      </c>
      <c r="M1007" s="12">
        <f t="shared" si="27"/>
        <v>120000</v>
      </c>
      <c r="N1007" s="10">
        <f>PRODUCT(Table_13[[#This Row],[Unit Price]],Table_13[[#This Row],[Quantity]])</f>
        <v>600000</v>
      </c>
      <c r="O1007" s="16">
        <f>PRODUCT(Table_13[[#This Row],[Cost Price]],Table_13[[#This Row],[Quantity]])</f>
        <v>480000</v>
      </c>
      <c r="P1007" s="27">
        <f t="shared" si="35"/>
        <v>120000</v>
      </c>
    </row>
    <row r="1008" spans="1:16" x14ac:dyDescent="0.2">
      <c r="A1008" s="33">
        <v>46682</v>
      </c>
      <c r="B1008" s="30">
        <f t="shared" si="34"/>
        <v>10</v>
      </c>
      <c r="C1008" s="30" t="str">
        <f>_xlfn.IFS(Table_13[[#This Row],[Month]]=1,"JAN",Table_13[[#This Row],[Month]]=2,"FEB",B1008=3,"MAR",B1008=4,"APR",B1008=5,"MAY",B1008=6,"JUN",B1008=7,"JUL",B1008=8,"AUG",Table_13[[#This Row],[Month]]=9,"SEPT",B1008=10,"OCT",B1008=11,"NOV",B1008=12,"DEC")</f>
        <v>OCT</v>
      </c>
      <c r="D1008" s="2" t="s">
        <v>29</v>
      </c>
      <c r="E1008" s="2" t="s">
        <v>26</v>
      </c>
      <c r="F1008" s="2" t="s">
        <v>23</v>
      </c>
      <c r="G1008" s="2" t="s">
        <v>20</v>
      </c>
      <c r="H1008" s="2" t="s">
        <v>27</v>
      </c>
      <c r="I1008" s="2" t="s">
        <v>22</v>
      </c>
      <c r="J1008" s="15">
        <v>60000</v>
      </c>
      <c r="K1008" s="2">
        <v>4</v>
      </c>
      <c r="L1008" s="2" t="s">
        <v>28</v>
      </c>
      <c r="M1008" s="12">
        <f t="shared" si="27"/>
        <v>48000</v>
      </c>
      <c r="N1008" s="10">
        <f>PRODUCT(Table_13[[#This Row],[Unit Price]],Table_13[[#This Row],[Quantity]])</f>
        <v>240000</v>
      </c>
      <c r="O1008" s="16">
        <f>PRODUCT(Table_13[[#This Row],[Cost Price]],Table_13[[#This Row],[Quantity]])</f>
        <v>192000</v>
      </c>
      <c r="P1008" s="27">
        <f t="shared" si="35"/>
        <v>48000</v>
      </c>
    </row>
    <row r="1009" spans="1:16" x14ac:dyDescent="0.2">
      <c r="A1009" s="33">
        <v>46683</v>
      </c>
      <c r="B1009" s="30">
        <f t="shared" si="34"/>
        <v>10</v>
      </c>
      <c r="C1009" s="30" t="str">
        <f>_xlfn.IFS(Table_13[[#This Row],[Month]]=1,"JAN",Table_13[[#This Row],[Month]]=2,"FEB",B1009=3,"MAR",B1009=4,"APR",B1009=5,"MAY",B1009=6,"JUN",B1009=7,"JUL",B1009=8,"AUG",Table_13[[#This Row],[Month]]=9,"SEPT",B1009=10,"OCT",B1009=11,"NOV",B1009=12,"DEC")</f>
        <v>OCT</v>
      </c>
      <c r="D1009" s="2" t="s">
        <v>18</v>
      </c>
      <c r="E1009" s="2" t="s">
        <v>32</v>
      </c>
      <c r="F1009" s="2" t="s">
        <v>13</v>
      </c>
      <c r="G1009" s="2" t="s">
        <v>20</v>
      </c>
      <c r="H1009" s="2" t="s">
        <v>34</v>
      </c>
      <c r="I1009" s="2" t="s">
        <v>16</v>
      </c>
      <c r="J1009" s="15">
        <v>320000</v>
      </c>
      <c r="K1009" s="2">
        <v>4</v>
      </c>
      <c r="L1009" s="2" t="s">
        <v>37</v>
      </c>
      <c r="M1009" s="12">
        <f t="shared" si="27"/>
        <v>256000</v>
      </c>
      <c r="N1009" s="10">
        <f>PRODUCT(Table_13[[#This Row],[Unit Price]],Table_13[[#This Row],[Quantity]])</f>
        <v>1280000</v>
      </c>
      <c r="O1009" s="16">
        <f>PRODUCT(Table_13[[#This Row],[Cost Price]],Table_13[[#This Row],[Quantity]])</f>
        <v>1024000</v>
      </c>
      <c r="P1009" s="27">
        <f t="shared" si="35"/>
        <v>256000</v>
      </c>
    </row>
    <row r="1010" spans="1:16" x14ac:dyDescent="0.2">
      <c r="A1010" s="33">
        <v>46684</v>
      </c>
      <c r="B1010" s="30">
        <f t="shared" si="34"/>
        <v>10</v>
      </c>
      <c r="C1010" s="30" t="str">
        <f>_xlfn.IFS(Table_13[[#This Row],[Month]]=1,"JAN",Table_13[[#This Row],[Month]]=2,"FEB",B1010=3,"MAR",B1010=4,"APR",B1010=5,"MAY",B1010=6,"JUN",B1010=7,"JUL",B1010=8,"AUG",Table_13[[#This Row],[Month]]=9,"SEPT",B1010=10,"OCT",B1010=11,"NOV",B1010=12,"DEC")</f>
        <v>OCT</v>
      </c>
      <c r="D1010" s="2" t="s">
        <v>29</v>
      </c>
      <c r="E1010" s="2" t="s">
        <v>19</v>
      </c>
      <c r="F1010" s="2" t="s">
        <v>13</v>
      </c>
      <c r="G1010" s="2" t="s">
        <v>14</v>
      </c>
      <c r="H1010" s="2" t="s">
        <v>27</v>
      </c>
      <c r="I1010" s="2" t="s">
        <v>22</v>
      </c>
      <c r="J1010" s="15">
        <v>60000</v>
      </c>
      <c r="K1010" s="2">
        <v>2</v>
      </c>
      <c r="L1010" s="2" t="s">
        <v>24</v>
      </c>
      <c r="M1010" s="12">
        <f t="shared" si="27"/>
        <v>48000</v>
      </c>
      <c r="N1010" s="10">
        <f>PRODUCT(Table_13[[#This Row],[Unit Price]],Table_13[[#This Row],[Quantity]])</f>
        <v>120000</v>
      </c>
      <c r="O1010" s="16">
        <f>PRODUCT(Table_13[[#This Row],[Cost Price]],Table_13[[#This Row],[Quantity]])</f>
        <v>96000</v>
      </c>
      <c r="P1010" s="27">
        <f t="shared" si="35"/>
        <v>24000</v>
      </c>
    </row>
    <row r="1011" spans="1:16" x14ac:dyDescent="0.2">
      <c r="A1011" s="33">
        <v>46685</v>
      </c>
      <c r="B1011" s="30">
        <f t="shared" si="34"/>
        <v>10</v>
      </c>
      <c r="C1011" s="30" t="str">
        <f>_xlfn.IFS(Table_13[[#This Row],[Month]]=1,"JAN",Table_13[[#This Row],[Month]]=2,"FEB",B1011=3,"MAR",B1011=4,"APR",B1011=5,"MAY",B1011=6,"JUN",B1011=7,"JUL",B1011=8,"AUG",Table_13[[#This Row],[Month]]=9,"SEPT",B1011=10,"OCT",B1011=11,"NOV",B1011=12,"DEC")</f>
        <v>OCT</v>
      </c>
      <c r="D1011" s="2" t="s">
        <v>11</v>
      </c>
      <c r="E1011" s="2" t="s">
        <v>12</v>
      </c>
      <c r="F1011" s="2" t="s">
        <v>23</v>
      </c>
      <c r="G1011" s="2" t="s">
        <v>14</v>
      </c>
      <c r="H1011" s="2" t="s">
        <v>21</v>
      </c>
      <c r="I1011" s="2" t="s">
        <v>22</v>
      </c>
      <c r="J1011" s="15">
        <v>30000</v>
      </c>
      <c r="K1011" s="2">
        <v>7</v>
      </c>
      <c r="L1011" s="2" t="s">
        <v>35</v>
      </c>
      <c r="M1011" s="12">
        <f t="shared" si="27"/>
        <v>24000</v>
      </c>
      <c r="N1011" s="10">
        <f>PRODUCT(Table_13[[#This Row],[Unit Price]],Table_13[[#This Row],[Quantity]])</f>
        <v>210000</v>
      </c>
      <c r="O1011" s="16">
        <f>PRODUCT(Table_13[[#This Row],[Cost Price]],Table_13[[#This Row],[Quantity]])</f>
        <v>168000</v>
      </c>
      <c r="P1011" s="27">
        <f t="shared" si="35"/>
        <v>42000</v>
      </c>
    </row>
    <row r="1012" spans="1:16" x14ac:dyDescent="0.2">
      <c r="A1012" s="33">
        <v>46686</v>
      </c>
      <c r="B1012" s="30">
        <f t="shared" si="34"/>
        <v>10</v>
      </c>
      <c r="C1012" s="30" t="str">
        <f>_xlfn.IFS(Table_13[[#This Row],[Month]]=1,"JAN",Table_13[[#This Row],[Month]]=2,"FEB",B1012=3,"MAR",B1012=4,"APR",B1012=5,"MAY",B1012=6,"JUN",B1012=7,"JUL",B1012=8,"AUG",Table_13[[#This Row],[Month]]=9,"SEPT",B1012=10,"OCT",B1012=11,"NOV",B1012=12,"DEC")</f>
        <v>OCT</v>
      </c>
      <c r="D1012" s="2" t="s">
        <v>18</v>
      </c>
      <c r="E1012" s="2" t="s">
        <v>12</v>
      </c>
      <c r="F1012" s="2" t="s">
        <v>13</v>
      </c>
      <c r="G1012" s="2" t="s">
        <v>20</v>
      </c>
      <c r="H1012" s="2" t="s">
        <v>40</v>
      </c>
      <c r="I1012" s="2" t="s">
        <v>31</v>
      </c>
      <c r="J1012" s="15">
        <v>250000</v>
      </c>
      <c r="K1012" s="2">
        <v>6</v>
      </c>
      <c r="L1012" s="2" t="s">
        <v>35</v>
      </c>
      <c r="M1012" s="12">
        <f t="shared" si="27"/>
        <v>200000</v>
      </c>
      <c r="N1012" s="10">
        <f>PRODUCT(Table_13[[#This Row],[Unit Price]],Table_13[[#This Row],[Quantity]])</f>
        <v>1500000</v>
      </c>
      <c r="O1012" s="16">
        <f>PRODUCT(Table_13[[#This Row],[Cost Price]],Table_13[[#This Row],[Quantity]])</f>
        <v>1200000</v>
      </c>
      <c r="P1012" s="27">
        <f t="shared" si="35"/>
        <v>300000</v>
      </c>
    </row>
    <row r="1013" spans="1:16" x14ac:dyDescent="0.2">
      <c r="A1013" s="33">
        <v>46687</v>
      </c>
      <c r="B1013" s="30">
        <f t="shared" si="34"/>
        <v>10</v>
      </c>
      <c r="C1013" s="30" t="str">
        <f>_xlfn.IFS(Table_13[[#This Row],[Month]]=1,"JAN",Table_13[[#This Row],[Month]]=2,"FEB",B1013=3,"MAR",B1013=4,"APR",B1013=5,"MAY",B1013=6,"JUN",B1013=7,"JUL",B1013=8,"AUG",Table_13[[#This Row],[Month]]=9,"SEPT",B1013=10,"OCT",B1013=11,"NOV",B1013=12,"DEC")</f>
        <v>OCT</v>
      </c>
      <c r="D1013" s="2" t="s">
        <v>29</v>
      </c>
      <c r="E1013" s="2" t="s">
        <v>26</v>
      </c>
      <c r="F1013" s="2" t="s">
        <v>13</v>
      </c>
      <c r="G1013" s="2" t="s">
        <v>14</v>
      </c>
      <c r="H1013" s="2" t="s">
        <v>41</v>
      </c>
      <c r="I1013" s="2" t="s">
        <v>22</v>
      </c>
      <c r="J1013" s="15">
        <v>220000</v>
      </c>
      <c r="K1013" s="2">
        <v>9</v>
      </c>
      <c r="L1013" s="2" t="s">
        <v>17</v>
      </c>
      <c r="M1013" s="12">
        <f t="shared" si="27"/>
        <v>176000</v>
      </c>
      <c r="N1013" s="10">
        <f>PRODUCT(Table_13[[#This Row],[Unit Price]],Table_13[[#This Row],[Quantity]])</f>
        <v>1980000</v>
      </c>
      <c r="O1013" s="16">
        <f>PRODUCT(Table_13[[#This Row],[Cost Price]],Table_13[[#This Row],[Quantity]])</f>
        <v>1584000</v>
      </c>
      <c r="P1013" s="27">
        <f t="shared" si="35"/>
        <v>396000</v>
      </c>
    </row>
    <row r="1014" spans="1:16" x14ac:dyDescent="0.2">
      <c r="A1014" s="33">
        <v>46688</v>
      </c>
      <c r="B1014" s="30">
        <f t="shared" si="34"/>
        <v>10</v>
      </c>
      <c r="C1014" s="30" t="str">
        <f>_xlfn.IFS(Table_13[[#This Row],[Month]]=1,"JAN",Table_13[[#This Row],[Month]]=2,"FEB",B1014=3,"MAR",B1014=4,"APR",B1014=5,"MAY",B1014=6,"JUN",B1014=7,"JUL",B1014=8,"AUG",Table_13[[#This Row],[Month]]=9,"SEPT",B1014=10,"OCT",B1014=11,"NOV",B1014=12,"DEC")</f>
        <v>OCT</v>
      </c>
      <c r="D1014" s="2" t="s">
        <v>18</v>
      </c>
      <c r="E1014" s="2" t="s">
        <v>26</v>
      </c>
      <c r="F1014" s="2" t="s">
        <v>23</v>
      </c>
      <c r="G1014" s="2" t="s">
        <v>14</v>
      </c>
      <c r="H1014" s="2" t="s">
        <v>30</v>
      </c>
      <c r="I1014" s="2" t="s">
        <v>31</v>
      </c>
      <c r="J1014" s="15">
        <v>300000</v>
      </c>
      <c r="K1014" s="2">
        <v>2</v>
      </c>
      <c r="L1014" s="2" t="s">
        <v>24</v>
      </c>
      <c r="M1014" s="12">
        <f t="shared" si="27"/>
        <v>240000</v>
      </c>
      <c r="N1014" s="10">
        <f>PRODUCT(Table_13[[#This Row],[Unit Price]],Table_13[[#This Row],[Quantity]])</f>
        <v>600000</v>
      </c>
      <c r="O1014" s="16">
        <f>PRODUCT(Table_13[[#This Row],[Cost Price]],Table_13[[#This Row],[Quantity]])</f>
        <v>480000</v>
      </c>
      <c r="P1014" s="27">
        <f t="shared" si="35"/>
        <v>120000</v>
      </c>
    </row>
    <row r="1015" spans="1:16" x14ac:dyDescent="0.2">
      <c r="A1015" s="33">
        <v>46689</v>
      </c>
      <c r="B1015" s="30">
        <f t="shared" si="34"/>
        <v>10</v>
      </c>
      <c r="C1015" s="30" t="str">
        <f>_xlfn.IFS(Table_13[[#This Row],[Month]]=1,"JAN",Table_13[[#This Row],[Month]]=2,"FEB",B1015=3,"MAR",B1015=4,"APR",B1015=5,"MAY",B1015=6,"JUN",B1015=7,"JUL",B1015=8,"AUG",Table_13[[#This Row],[Month]]=9,"SEPT",B1015=10,"OCT",B1015=11,"NOV",B1015=12,"DEC")</f>
        <v>OCT</v>
      </c>
      <c r="D1015" s="2" t="s">
        <v>11</v>
      </c>
      <c r="E1015" s="2" t="s">
        <v>26</v>
      </c>
      <c r="F1015" s="2" t="s">
        <v>13</v>
      </c>
      <c r="G1015" s="2" t="s">
        <v>20</v>
      </c>
      <c r="H1015" s="2" t="s">
        <v>38</v>
      </c>
      <c r="I1015" s="2" t="s">
        <v>31</v>
      </c>
      <c r="J1015" s="15">
        <v>420000</v>
      </c>
      <c r="K1015" s="2">
        <v>2</v>
      </c>
      <c r="L1015" s="2" t="s">
        <v>24</v>
      </c>
      <c r="M1015" s="12">
        <f t="shared" si="27"/>
        <v>336000</v>
      </c>
      <c r="N1015" s="10">
        <f>PRODUCT(Table_13[[#This Row],[Unit Price]],Table_13[[#This Row],[Quantity]])</f>
        <v>840000</v>
      </c>
      <c r="O1015" s="16">
        <f>PRODUCT(Table_13[[#This Row],[Cost Price]],Table_13[[#This Row],[Quantity]])</f>
        <v>672000</v>
      </c>
      <c r="P1015" s="27">
        <f t="shared" si="35"/>
        <v>168000</v>
      </c>
    </row>
    <row r="1016" spans="1:16" x14ac:dyDescent="0.2">
      <c r="A1016" s="33">
        <v>46690</v>
      </c>
      <c r="B1016" s="30">
        <f t="shared" si="34"/>
        <v>10</v>
      </c>
      <c r="C1016" s="30" t="str">
        <f>_xlfn.IFS(Table_13[[#This Row],[Month]]=1,"JAN",Table_13[[#This Row],[Month]]=2,"FEB",B1016=3,"MAR",B1016=4,"APR",B1016=5,"MAY",B1016=6,"JUN",B1016=7,"JUL",B1016=8,"AUG",Table_13[[#This Row],[Month]]=9,"SEPT",B1016=10,"OCT",B1016=11,"NOV",B1016=12,"DEC")</f>
        <v>OCT</v>
      </c>
      <c r="D1016" s="2" t="s">
        <v>25</v>
      </c>
      <c r="E1016" s="2" t="s">
        <v>19</v>
      </c>
      <c r="F1016" s="2" t="s">
        <v>13</v>
      </c>
      <c r="G1016" s="2" t="s">
        <v>20</v>
      </c>
      <c r="H1016" s="2" t="s">
        <v>41</v>
      </c>
      <c r="I1016" s="2" t="s">
        <v>22</v>
      </c>
      <c r="J1016" s="15">
        <v>220000</v>
      </c>
      <c r="K1016" s="2">
        <v>3</v>
      </c>
      <c r="L1016" s="2" t="s">
        <v>35</v>
      </c>
      <c r="M1016" s="12">
        <f t="shared" si="27"/>
        <v>176000</v>
      </c>
      <c r="N1016" s="10">
        <f>PRODUCT(Table_13[[#This Row],[Unit Price]],Table_13[[#This Row],[Quantity]])</f>
        <v>660000</v>
      </c>
      <c r="O1016" s="16">
        <f>PRODUCT(Table_13[[#This Row],[Cost Price]],Table_13[[#This Row],[Quantity]])</f>
        <v>528000</v>
      </c>
      <c r="P1016" s="27">
        <f t="shared" si="35"/>
        <v>132000</v>
      </c>
    </row>
    <row r="1017" spans="1:16" x14ac:dyDescent="0.2">
      <c r="A1017" s="33">
        <v>46691</v>
      </c>
      <c r="B1017" s="30">
        <f t="shared" si="34"/>
        <v>10</v>
      </c>
      <c r="C1017" s="30" t="str">
        <f>_xlfn.IFS(Table_13[[#This Row],[Month]]=1,"JAN",Table_13[[#This Row],[Month]]=2,"FEB",B1017=3,"MAR",B1017=4,"APR",B1017=5,"MAY",B1017=6,"JUN",B1017=7,"JUL",B1017=8,"AUG",Table_13[[#This Row],[Month]]=9,"SEPT",B1017=10,"OCT",B1017=11,"NOV",B1017=12,"DEC")</f>
        <v>OCT</v>
      </c>
      <c r="D1017" s="2" t="s">
        <v>25</v>
      </c>
      <c r="E1017" s="2" t="s">
        <v>12</v>
      </c>
      <c r="F1017" s="2" t="s">
        <v>23</v>
      </c>
      <c r="G1017" s="2" t="s">
        <v>14</v>
      </c>
      <c r="H1017" s="2" t="s">
        <v>41</v>
      </c>
      <c r="I1017" s="2" t="s">
        <v>22</v>
      </c>
      <c r="J1017" s="15">
        <v>220000</v>
      </c>
      <c r="K1017" s="2">
        <v>10</v>
      </c>
      <c r="L1017" s="2" t="s">
        <v>35</v>
      </c>
      <c r="M1017" s="12">
        <f t="shared" si="27"/>
        <v>176000</v>
      </c>
      <c r="N1017" s="10">
        <f>PRODUCT(Table_13[[#This Row],[Unit Price]],Table_13[[#This Row],[Quantity]])</f>
        <v>2200000</v>
      </c>
      <c r="O1017" s="16">
        <f>PRODUCT(Table_13[[#This Row],[Cost Price]],Table_13[[#This Row],[Quantity]])</f>
        <v>1760000</v>
      </c>
      <c r="P1017" s="27">
        <f t="shared" si="35"/>
        <v>440000</v>
      </c>
    </row>
    <row r="1018" spans="1:16" x14ac:dyDescent="0.2">
      <c r="A1018" s="33">
        <v>46692</v>
      </c>
      <c r="B1018" s="30">
        <f t="shared" si="34"/>
        <v>11</v>
      </c>
      <c r="C1018" s="30" t="str">
        <f>_xlfn.IFS(Table_13[[#This Row],[Month]]=1,"JAN",Table_13[[#This Row],[Month]]=2,"FEB",B1018=3,"MAR",B1018=4,"APR",B1018=5,"MAY",B1018=6,"JUN",B1018=7,"JUL",B1018=8,"AUG",Table_13[[#This Row],[Month]]=9,"SEPT",B1018=10,"OCT",B1018=11,"NOV",B1018=12,"DEC")</f>
        <v>NOV</v>
      </c>
      <c r="D1018" s="2" t="s">
        <v>25</v>
      </c>
      <c r="E1018" s="2" t="s">
        <v>32</v>
      </c>
      <c r="F1018" s="2" t="s">
        <v>23</v>
      </c>
      <c r="G1018" s="2" t="s">
        <v>20</v>
      </c>
      <c r="H1018" s="2" t="s">
        <v>40</v>
      </c>
      <c r="I1018" s="2" t="s">
        <v>31</v>
      </c>
      <c r="J1018" s="15">
        <v>250000</v>
      </c>
      <c r="K1018" s="2">
        <v>8</v>
      </c>
      <c r="L1018" s="2" t="s">
        <v>17</v>
      </c>
      <c r="M1018" s="12">
        <f t="shared" si="27"/>
        <v>200000</v>
      </c>
      <c r="N1018" s="10">
        <f>PRODUCT(Table_13[[#This Row],[Unit Price]],Table_13[[#This Row],[Quantity]])</f>
        <v>2000000</v>
      </c>
      <c r="O1018" s="16">
        <f>PRODUCT(Table_13[[#This Row],[Cost Price]],Table_13[[#This Row],[Quantity]])</f>
        <v>1600000</v>
      </c>
      <c r="P1018" s="27">
        <f t="shared" si="35"/>
        <v>400000</v>
      </c>
    </row>
    <row r="1019" spans="1:16" x14ac:dyDescent="0.2">
      <c r="A1019" s="33">
        <v>46693</v>
      </c>
      <c r="B1019" s="30">
        <f t="shared" si="34"/>
        <v>11</v>
      </c>
      <c r="C1019" s="30" t="str">
        <f>_xlfn.IFS(Table_13[[#This Row],[Month]]=1,"JAN",Table_13[[#This Row],[Month]]=2,"FEB",B1019=3,"MAR",B1019=4,"APR",B1019=5,"MAY",B1019=6,"JUN",B1019=7,"JUL",B1019=8,"AUG",Table_13[[#This Row],[Month]]=9,"SEPT",B1019=10,"OCT",B1019=11,"NOV",B1019=12,"DEC")</f>
        <v>NOV</v>
      </c>
      <c r="D1019" s="2" t="s">
        <v>18</v>
      </c>
      <c r="E1019" s="2" t="s">
        <v>32</v>
      </c>
      <c r="F1019" s="2" t="s">
        <v>13</v>
      </c>
      <c r="G1019" s="2" t="s">
        <v>14</v>
      </c>
      <c r="H1019" s="2" t="s">
        <v>27</v>
      </c>
      <c r="I1019" s="2" t="s">
        <v>22</v>
      </c>
      <c r="J1019" s="15">
        <v>60000</v>
      </c>
      <c r="K1019" s="2">
        <v>6</v>
      </c>
      <c r="L1019" s="2" t="s">
        <v>28</v>
      </c>
      <c r="M1019" s="12">
        <f t="shared" si="27"/>
        <v>48000</v>
      </c>
      <c r="N1019" s="10">
        <f>PRODUCT(Table_13[[#This Row],[Unit Price]],Table_13[[#This Row],[Quantity]])</f>
        <v>360000</v>
      </c>
      <c r="O1019" s="16">
        <f>PRODUCT(Table_13[[#This Row],[Cost Price]],Table_13[[#This Row],[Quantity]])</f>
        <v>288000</v>
      </c>
      <c r="P1019" s="27">
        <f t="shared" si="35"/>
        <v>72000</v>
      </c>
    </row>
    <row r="1020" spans="1:16" x14ac:dyDescent="0.2">
      <c r="A1020" s="33">
        <v>46694</v>
      </c>
      <c r="B1020" s="30">
        <f t="shared" si="34"/>
        <v>11</v>
      </c>
      <c r="C1020" s="30" t="str">
        <f>_xlfn.IFS(Table_13[[#This Row],[Month]]=1,"JAN",Table_13[[#This Row],[Month]]=2,"FEB",B1020=3,"MAR",B1020=4,"APR",B1020=5,"MAY",B1020=6,"JUN",B1020=7,"JUL",B1020=8,"AUG",Table_13[[#This Row],[Month]]=9,"SEPT",B1020=10,"OCT",B1020=11,"NOV",B1020=12,"DEC")</f>
        <v>NOV</v>
      </c>
      <c r="D1020" s="2" t="s">
        <v>18</v>
      </c>
      <c r="E1020" s="2" t="s">
        <v>19</v>
      </c>
      <c r="F1020" s="2" t="s">
        <v>13</v>
      </c>
      <c r="G1020" s="2" t="s">
        <v>14</v>
      </c>
      <c r="H1020" s="2" t="s">
        <v>34</v>
      </c>
      <c r="I1020" s="2" t="s">
        <v>16</v>
      </c>
      <c r="J1020" s="15">
        <v>320000</v>
      </c>
      <c r="K1020" s="2">
        <v>4</v>
      </c>
      <c r="L1020" s="2" t="s">
        <v>39</v>
      </c>
      <c r="M1020" s="12">
        <f t="shared" si="27"/>
        <v>256000</v>
      </c>
      <c r="N1020" s="10">
        <f>PRODUCT(Table_13[[#This Row],[Unit Price]],Table_13[[#This Row],[Quantity]])</f>
        <v>1280000</v>
      </c>
      <c r="O1020" s="16">
        <f>PRODUCT(Table_13[[#This Row],[Cost Price]],Table_13[[#This Row],[Quantity]])</f>
        <v>1024000</v>
      </c>
      <c r="P1020" s="27">
        <f t="shared" si="35"/>
        <v>256000</v>
      </c>
    </row>
    <row r="1021" spans="1:16" x14ac:dyDescent="0.2">
      <c r="A1021" s="33">
        <v>46695</v>
      </c>
      <c r="B1021" s="30">
        <f t="shared" si="34"/>
        <v>11</v>
      </c>
      <c r="C1021" s="30" t="str">
        <f>_xlfn.IFS(Table_13[[#This Row],[Month]]=1,"JAN",Table_13[[#This Row],[Month]]=2,"FEB",B1021=3,"MAR",B1021=4,"APR",B1021=5,"MAY",B1021=6,"JUN",B1021=7,"JUL",B1021=8,"AUG",Table_13[[#This Row],[Month]]=9,"SEPT",B1021=10,"OCT",B1021=11,"NOV",B1021=12,"DEC")</f>
        <v>NOV</v>
      </c>
      <c r="D1021" s="2" t="s">
        <v>18</v>
      </c>
      <c r="E1021" s="2" t="s">
        <v>12</v>
      </c>
      <c r="F1021" s="2" t="s">
        <v>13</v>
      </c>
      <c r="G1021" s="2" t="s">
        <v>20</v>
      </c>
      <c r="H1021" s="2" t="s">
        <v>33</v>
      </c>
      <c r="I1021" s="2" t="s">
        <v>22</v>
      </c>
      <c r="J1021" s="15">
        <v>180000</v>
      </c>
      <c r="K1021" s="2">
        <v>7</v>
      </c>
      <c r="L1021" s="2" t="s">
        <v>39</v>
      </c>
      <c r="M1021" s="12">
        <f t="shared" si="27"/>
        <v>144000</v>
      </c>
      <c r="N1021" s="10">
        <f>PRODUCT(Table_13[[#This Row],[Unit Price]],Table_13[[#This Row],[Quantity]])</f>
        <v>1260000</v>
      </c>
      <c r="O1021" s="16">
        <f>PRODUCT(Table_13[[#This Row],[Cost Price]],Table_13[[#This Row],[Quantity]])</f>
        <v>1008000</v>
      </c>
      <c r="P1021" s="27">
        <f t="shared" si="35"/>
        <v>252000</v>
      </c>
    </row>
    <row r="1022" spans="1:16" x14ac:dyDescent="0.2">
      <c r="A1022" s="33">
        <v>46696</v>
      </c>
      <c r="B1022" s="30">
        <f t="shared" si="34"/>
        <v>11</v>
      </c>
      <c r="C1022" s="30" t="str">
        <f>_xlfn.IFS(Table_13[[#This Row],[Month]]=1,"JAN",Table_13[[#This Row],[Month]]=2,"FEB",B1022=3,"MAR",B1022=4,"APR",B1022=5,"MAY",B1022=6,"JUN",B1022=7,"JUL",B1022=8,"AUG",Table_13[[#This Row],[Month]]=9,"SEPT",B1022=10,"OCT",B1022=11,"NOV",B1022=12,"DEC")</f>
        <v>NOV</v>
      </c>
      <c r="D1022" s="2" t="s">
        <v>18</v>
      </c>
      <c r="E1022" s="2" t="s">
        <v>12</v>
      </c>
      <c r="F1022" s="2" t="s">
        <v>13</v>
      </c>
      <c r="G1022" s="2" t="s">
        <v>14</v>
      </c>
      <c r="H1022" s="2" t="s">
        <v>27</v>
      </c>
      <c r="I1022" s="2" t="s">
        <v>22</v>
      </c>
      <c r="J1022" s="15">
        <v>60000</v>
      </c>
      <c r="K1022" s="2">
        <v>7</v>
      </c>
      <c r="L1022" s="2" t="s">
        <v>17</v>
      </c>
      <c r="M1022" s="12">
        <f t="shared" ref="M1022:M1276" si="36">J1022-J1022*0.2</f>
        <v>48000</v>
      </c>
      <c r="N1022" s="10">
        <f>PRODUCT(Table_13[[#This Row],[Unit Price]],Table_13[[#This Row],[Quantity]])</f>
        <v>420000</v>
      </c>
      <c r="O1022" s="16">
        <f>PRODUCT(Table_13[[#This Row],[Cost Price]],Table_13[[#This Row],[Quantity]])</f>
        <v>336000</v>
      </c>
      <c r="P1022" s="27">
        <f t="shared" si="35"/>
        <v>84000</v>
      </c>
    </row>
    <row r="1023" spans="1:16" x14ac:dyDescent="0.2">
      <c r="A1023" s="33">
        <v>46697</v>
      </c>
      <c r="B1023" s="30">
        <f t="shared" si="34"/>
        <v>11</v>
      </c>
      <c r="C1023" s="30" t="str">
        <f>_xlfn.IFS(Table_13[[#This Row],[Month]]=1,"JAN",Table_13[[#This Row],[Month]]=2,"FEB",B1023=3,"MAR",B1023=4,"APR",B1023=5,"MAY",B1023=6,"JUN",B1023=7,"JUL",B1023=8,"AUG",Table_13[[#This Row],[Month]]=9,"SEPT",B1023=10,"OCT",B1023=11,"NOV",B1023=12,"DEC")</f>
        <v>NOV</v>
      </c>
      <c r="D1023" s="2" t="s">
        <v>25</v>
      </c>
      <c r="E1023" s="2" t="s">
        <v>32</v>
      </c>
      <c r="F1023" s="2" t="s">
        <v>13</v>
      </c>
      <c r="G1023" s="2" t="s">
        <v>14</v>
      </c>
      <c r="H1023" s="2" t="s">
        <v>33</v>
      </c>
      <c r="I1023" s="2" t="s">
        <v>22</v>
      </c>
      <c r="J1023" s="15">
        <v>180000</v>
      </c>
      <c r="K1023" s="2">
        <v>9</v>
      </c>
      <c r="L1023" s="2" t="s">
        <v>24</v>
      </c>
      <c r="M1023" s="12">
        <f t="shared" si="36"/>
        <v>144000</v>
      </c>
      <c r="N1023" s="10">
        <f>PRODUCT(Table_13[[#This Row],[Unit Price]],Table_13[[#This Row],[Quantity]])</f>
        <v>1620000</v>
      </c>
      <c r="O1023" s="16">
        <f>PRODUCT(Table_13[[#This Row],[Cost Price]],Table_13[[#This Row],[Quantity]])</f>
        <v>1296000</v>
      </c>
      <c r="P1023" s="27">
        <f t="shared" si="35"/>
        <v>324000</v>
      </c>
    </row>
    <row r="1024" spans="1:16" x14ac:dyDescent="0.2">
      <c r="A1024" s="33">
        <v>46698</v>
      </c>
      <c r="B1024" s="30">
        <f t="shared" si="34"/>
        <v>11</v>
      </c>
      <c r="C1024" s="30" t="str">
        <f>_xlfn.IFS(Table_13[[#This Row],[Month]]=1,"JAN",Table_13[[#This Row],[Month]]=2,"FEB",B1024=3,"MAR",B1024=4,"APR",B1024=5,"MAY",B1024=6,"JUN",B1024=7,"JUL",B1024=8,"AUG",Table_13[[#This Row],[Month]]=9,"SEPT",B1024=10,"OCT",B1024=11,"NOV",B1024=12,"DEC")</f>
        <v>NOV</v>
      </c>
      <c r="D1024" s="2" t="s">
        <v>29</v>
      </c>
      <c r="E1024" s="2" t="s">
        <v>12</v>
      </c>
      <c r="F1024" s="2" t="s">
        <v>23</v>
      </c>
      <c r="G1024" s="2" t="s">
        <v>14</v>
      </c>
      <c r="H1024" s="2" t="s">
        <v>21</v>
      </c>
      <c r="I1024" s="2" t="s">
        <v>22</v>
      </c>
      <c r="J1024" s="15">
        <v>30000</v>
      </c>
      <c r="K1024" s="2">
        <v>6</v>
      </c>
      <c r="L1024" s="2" t="s">
        <v>24</v>
      </c>
      <c r="M1024" s="12">
        <f t="shared" si="36"/>
        <v>24000</v>
      </c>
      <c r="N1024" s="10">
        <f>PRODUCT(Table_13[[#This Row],[Unit Price]],Table_13[[#This Row],[Quantity]])</f>
        <v>180000</v>
      </c>
      <c r="O1024" s="16">
        <f>PRODUCT(Table_13[[#This Row],[Cost Price]],Table_13[[#This Row],[Quantity]])</f>
        <v>144000</v>
      </c>
      <c r="P1024" s="27">
        <f t="shared" si="35"/>
        <v>36000</v>
      </c>
    </row>
    <row r="1025" spans="1:16" x14ac:dyDescent="0.2">
      <c r="A1025" s="33">
        <v>46699</v>
      </c>
      <c r="B1025" s="30">
        <f t="shared" si="34"/>
        <v>11</v>
      </c>
      <c r="C1025" s="30" t="str">
        <f>_xlfn.IFS(Table_13[[#This Row],[Month]]=1,"JAN",Table_13[[#This Row],[Month]]=2,"FEB",B1025=3,"MAR",B1025=4,"APR",B1025=5,"MAY",B1025=6,"JUN",B1025=7,"JUL",B1025=8,"AUG",Table_13[[#This Row],[Month]]=9,"SEPT",B1025=10,"OCT",B1025=11,"NOV",B1025=12,"DEC")</f>
        <v>NOV</v>
      </c>
      <c r="D1025" s="2" t="s">
        <v>25</v>
      </c>
      <c r="E1025" s="2" t="s">
        <v>19</v>
      </c>
      <c r="F1025" s="2" t="s">
        <v>13</v>
      </c>
      <c r="G1025" s="2" t="s">
        <v>14</v>
      </c>
      <c r="H1025" s="2" t="s">
        <v>30</v>
      </c>
      <c r="I1025" s="2" t="s">
        <v>31</v>
      </c>
      <c r="J1025" s="15">
        <v>300000</v>
      </c>
      <c r="K1025" s="2">
        <v>10</v>
      </c>
      <c r="L1025" s="2" t="s">
        <v>37</v>
      </c>
      <c r="M1025" s="12">
        <f t="shared" si="36"/>
        <v>240000</v>
      </c>
      <c r="N1025" s="10">
        <f>PRODUCT(Table_13[[#This Row],[Unit Price]],Table_13[[#This Row],[Quantity]])</f>
        <v>3000000</v>
      </c>
      <c r="O1025" s="16">
        <f>PRODUCT(Table_13[[#This Row],[Cost Price]],Table_13[[#This Row],[Quantity]])</f>
        <v>2400000</v>
      </c>
      <c r="P1025" s="27">
        <f t="shared" si="35"/>
        <v>600000</v>
      </c>
    </row>
    <row r="1026" spans="1:16" x14ac:dyDescent="0.2">
      <c r="A1026" s="33">
        <v>46700</v>
      </c>
      <c r="B1026" s="30">
        <f t="shared" ref="B1026:B1089" si="37">MONTH(A1026)</f>
        <v>11</v>
      </c>
      <c r="C1026" s="30" t="str">
        <f>_xlfn.IFS(Table_13[[#This Row],[Month]]=1,"JAN",Table_13[[#This Row],[Month]]=2,"FEB",B1026=3,"MAR",B1026=4,"APR",B1026=5,"MAY",B1026=6,"JUN",B1026=7,"JUL",B1026=8,"AUG",Table_13[[#This Row],[Month]]=9,"SEPT",B1026=10,"OCT",B1026=11,"NOV",B1026=12,"DEC")</f>
        <v>NOV</v>
      </c>
      <c r="D1026" s="2" t="s">
        <v>25</v>
      </c>
      <c r="E1026" s="2" t="s">
        <v>32</v>
      </c>
      <c r="F1026" s="2" t="s">
        <v>23</v>
      </c>
      <c r="G1026" s="2" t="s">
        <v>14</v>
      </c>
      <c r="H1026" s="2" t="s">
        <v>21</v>
      </c>
      <c r="I1026" s="2" t="s">
        <v>22</v>
      </c>
      <c r="J1026" s="15">
        <v>30000</v>
      </c>
      <c r="K1026" s="2">
        <v>2</v>
      </c>
      <c r="L1026" s="2" t="s">
        <v>28</v>
      </c>
      <c r="M1026" s="12">
        <f t="shared" si="36"/>
        <v>24000</v>
      </c>
      <c r="N1026" s="10">
        <f>PRODUCT(Table_13[[#This Row],[Unit Price]],Table_13[[#This Row],[Quantity]])</f>
        <v>60000</v>
      </c>
      <c r="O1026" s="16">
        <f>PRODUCT(Table_13[[#This Row],[Cost Price]],Table_13[[#This Row],[Quantity]])</f>
        <v>48000</v>
      </c>
      <c r="P1026" s="27">
        <f t="shared" ref="P1026:P1089" si="38">N1026-O1026</f>
        <v>12000</v>
      </c>
    </row>
    <row r="1027" spans="1:16" x14ac:dyDescent="0.2">
      <c r="A1027" s="33">
        <v>46701</v>
      </c>
      <c r="B1027" s="30">
        <f t="shared" si="37"/>
        <v>11</v>
      </c>
      <c r="C1027" s="30" t="str">
        <f>_xlfn.IFS(Table_13[[#This Row],[Month]]=1,"JAN",Table_13[[#This Row],[Month]]=2,"FEB",B1027=3,"MAR",B1027=4,"APR",B1027=5,"MAY",B1027=6,"JUN",B1027=7,"JUL",B1027=8,"AUG",Table_13[[#This Row],[Month]]=9,"SEPT",B1027=10,"OCT",B1027=11,"NOV",B1027=12,"DEC")</f>
        <v>NOV</v>
      </c>
      <c r="D1027" s="2" t="s">
        <v>18</v>
      </c>
      <c r="E1027" s="2" t="s">
        <v>26</v>
      </c>
      <c r="F1027" s="2" t="s">
        <v>23</v>
      </c>
      <c r="G1027" s="2" t="s">
        <v>14</v>
      </c>
      <c r="H1027" s="2" t="s">
        <v>21</v>
      </c>
      <c r="I1027" s="2" t="s">
        <v>22</v>
      </c>
      <c r="J1027" s="15">
        <v>30000</v>
      </c>
      <c r="K1027" s="2">
        <v>8</v>
      </c>
      <c r="L1027" s="2" t="s">
        <v>39</v>
      </c>
      <c r="M1027" s="12">
        <f t="shared" si="36"/>
        <v>24000</v>
      </c>
      <c r="N1027" s="10">
        <f>PRODUCT(Table_13[[#This Row],[Unit Price]],Table_13[[#This Row],[Quantity]])</f>
        <v>240000</v>
      </c>
      <c r="O1027" s="16">
        <f>PRODUCT(Table_13[[#This Row],[Cost Price]],Table_13[[#This Row],[Quantity]])</f>
        <v>192000</v>
      </c>
      <c r="P1027" s="27">
        <f t="shared" si="38"/>
        <v>48000</v>
      </c>
    </row>
    <row r="1028" spans="1:16" x14ac:dyDescent="0.2">
      <c r="A1028" s="33">
        <v>46702</v>
      </c>
      <c r="B1028" s="30">
        <f t="shared" si="37"/>
        <v>11</v>
      </c>
      <c r="C1028" s="30" t="str">
        <f>_xlfn.IFS(Table_13[[#This Row],[Month]]=1,"JAN",Table_13[[#This Row],[Month]]=2,"FEB",B1028=3,"MAR",B1028=4,"APR",B1028=5,"MAY",B1028=6,"JUN",B1028=7,"JUL",B1028=8,"AUG",Table_13[[#This Row],[Month]]=9,"SEPT",B1028=10,"OCT",B1028=11,"NOV",B1028=12,"DEC")</f>
        <v>NOV</v>
      </c>
      <c r="D1028" s="2" t="s">
        <v>25</v>
      </c>
      <c r="E1028" s="2" t="s">
        <v>26</v>
      </c>
      <c r="F1028" s="2" t="s">
        <v>23</v>
      </c>
      <c r="G1028" s="2" t="s">
        <v>20</v>
      </c>
      <c r="H1028" s="2" t="s">
        <v>21</v>
      </c>
      <c r="I1028" s="2" t="s">
        <v>22</v>
      </c>
      <c r="J1028" s="15">
        <v>30000</v>
      </c>
      <c r="K1028" s="2">
        <v>9</v>
      </c>
      <c r="L1028" s="2" t="s">
        <v>28</v>
      </c>
      <c r="M1028" s="12">
        <f t="shared" si="36"/>
        <v>24000</v>
      </c>
      <c r="N1028" s="10">
        <f>PRODUCT(Table_13[[#This Row],[Unit Price]],Table_13[[#This Row],[Quantity]])</f>
        <v>270000</v>
      </c>
      <c r="O1028" s="16">
        <f>PRODUCT(Table_13[[#This Row],[Cost Price]],Table_13[[#This Row],[Quantity]])</f>
        <v>216000</v>
      </c>
      <c r="P1028" s="27">
        <f t="shared" si="38"/>
        <v>54000</v>
      </c>
    </row>
    <row r="1029" spans="1:16" x14ac:dyDescent="0.2">
      <c r="A1029" s="33">
        <v>46703</v>
      </c>
      <c r="B1029" s="30">
        <f t="shared" si="37"/>
        <v>11</v>
      </c>
      <c r="C1029" s="30" t="str">
        <f>_xlfn.IFS(Table_13[[#This Row],[Month]]=1,"JAN",Table_13[[#This Row],[Month]]=2,"FEB",B1029=3,"MAR",B1029=4,"APR",B1029=5,"MAY",B1029=6,"JUN",B1029=7,"JUL",B1029=8,"AUG",Table_13[[#This Row],[Month]]=9,"SEPT",B1029=10,"OCT",B1029=11,"NOV",B1029=12,"DEC")</f>
        <v>NOV</v>
      </c>
      <c r="D1029" s="2" t="s">
        <v>29</v>
      </c>
      <c r="E1029" s="2" t="s">
        <v>12</v>
      </c>
      <c r="F1029" s="2" t="s">
        <v>13</v>
      </c>
      <c r="G1029" s="2" t="s">
        <v>20</v>
      </c>
      <c r="H1029" s="2" t="s">
        <v>41</v>
      </c>
      <c r="I1029" s="2" t="s">
        <v>22</v>
      </c>
      <c r="J1029" s="15">
        <v>220000</v>
      </c>
      <c r="K1029" s="2">
        <v>2</v>
      </c>
      <c r="L1029" s="2" t="s">
        <v>39</v>
      </c>
      <c r="M1029" s="12">
        <f t="shared" si="36"/>
        <v>176000</v>
      </c>
      <c r="N1029" s="10">
        <f>PRODUCT(Table_13[[#This Row],[Unit Price]],Table_13[[#This Row],[Quantity]])</f>
        <v>440000</v>
      </c>
      <c r="O1029" s="16">
        <f>PRODUCT(Table_13[[#This Row],[Cost Price]],Table_13[[#This Row],[Quantity]])</f>
        <v>352000</v>
      </c>
      <c r="P1029" s="27">
        <f t="shared" si="38"/>
        <v>88000</v>
      </c>
    </row>
    <row r="1030" spans="1:16" x14ac:dyDescent="0.2">
      <c r="A1030" s="33">
        <v>46704</v>
      </c>
      <c r="B1030" s="30">
        <f t="shared" si="37"/>
        <v>11</v>
      </c>
      <c r="C1030" s="30" t="str">
        <f>_xlfn.IFS(Table_13[[#This Row],[Month]]=1,"JAN",Table_13[[#This Row],[Month]]=2,"FEB",B1030=3,"MAR",B1030=4,"APR",B1030=5,"MAY",B1030=6,"JUN",B1030=7,"JUL",B1030=8,"AUG",Table_13[[#This Row],[Month]]=9,"SEPT",B1030=10,"OCT",B1030=11,"NOV",B1030=12,"DEC")</f>
        <v>NOV</v>
      </c>
      <c r="D1030" s="2" t="s">
        <v>25</v>
      </c>
      <c r="E1030" s="2" t="s">
        <v>26</v>
      </c>
      <c r="F1030" s="2" t="s">
        <v>13</v>
      </c>
      <c r="G1030" s="2" t="s">
        <v>20</v>
      </c>
      <c r="H1030" s="2" t="s">
        <v>41</v>
      </c>
      <c r="I1030" s="2" t="s">
        <v>22</v>
      </c>
      <c r="J1030" s="15">
        <v>220000</v>
      </c>
      <c r="K1030" s="2">
        <v>3</v>
      </c>
      <c r="L1030" s="2" t="s">
        <v>39</v>
      </c>
      <c r="M1030" s="12">
        <f t="shared" si="36"/>
        <v>176000</v>
      </c>
      <c r="N1030" s="10">
        <f>PRODUCT(Table_13[[#This Row],[Unit Price]],Table_13[[#This Row],[Quantity]])</f>
        <v>660000</v>
      </c>
      <c r="O1030" s="16">
        <f>PRODUCT(Table_13[[#This Row],[Cost Price]],Table_13[[#This Row],[Quantity]])</f>
        <v>528000</v>
      </c>
      <c r="P1030" s="27">
        <f t="shared" si="38"/>
        <v>132000</v>
      </c>
    </row>
    <row r="1031" spans="1:16" x14ac:dyDescent="0.2">
      <c r="A1031" s="33">
        <v>46705</v>
      </c>
      <c r="B1031" s="30">
        <f t="shared" si="37"/>
        <v>11</v>
      </c>
      <c r="C1031" s="30" t="str">
        <f>_xlfn.IFS(Table_13[[#This Row],[Month]]=1,"JAN",Table_13[[#This Row],[Month]]=2,"FEB",B1031=3,"MAR",B1031=4,"APR",B1031=5,"MAY",B1031=6,"JUN",B1031=7,"JUL",B1031=8,"AUG",Table_13[[#This Row],[Month]]=9,"SEPT",B1031=10,"OCT",B1031=11,"NOV",B1031=12,"DEC")</f>
        <v>NOV</v>
      </c>
      <c r="D1031" s="2" t="s">
        <v>25</v>
      </c>
      <c r="E1031" s="2" t="s">
        <v>32</v>
      </c>
      <c r="F1031" s="2" t="s">
        <v>13</v>
      </c>
      <c r="G1031" s="2" t="s">
        <v>20</v>
      </c>
      <c r="H1031" s="2" t="s">
        <v>15</v>
      </c>
      <c r="I1031" s="2" t="s">
        <v>16</v>
      </c>
      <c r="J1031" s="15">
        <v>85000</v>
      </c>
      <c r="K1031" s="2">
        <v>3</v>
      </c>
      <c r="L1031" s="2" t="s">
        <v>24</v>
      </c>
      <c r="M1031" s="12">
        <f t="shared" si="36"/>
        <v>68000</v>
      </c>
      <c r="N1031" s="10">
        <f>PRODUCT(Table_13[[#This Row],[Unit Price]],Table_13[[#This Row],[Quantity]])</f>
        <v>255000</v>
      </c>
      <c r="O1031" s="16">
        <f>PRODUCT(Table_13[[#This Row],[Cost Price]],Table_13[[#This Row],[Quantity]])</f>
        <v>204000</v>
      </c>
      <c r="P1031" s="27">
        <f t="shared" si="38"/>
        <v>51000</v>
      </c>
    </row>
    <row r="1032" spans="1:16" x14ac:dyDescent="0.2">
      <c r="A1032" s="33">
        <v>46706</v>
      </c>
      <c r="B1032" s="30">
        <f t="shared" si="37"/>
        <v>11</v>
      </c>
      <c r="C1032" s="30" t="str">
        <f>_xlfn.IFS(Table_13[[#This Row],[Month]]=1,"JAN",Table_13[[#This Row],[Month]]=2,"FEB",B1032=3,"MAR",B1032=4,"APR",B1032=5,"MAY",B1032=6,"JUN",B1032=7,"JUL",B1032=8,"AUG",Table_13[[#This Row],[Month]]=9,"SEPT",B1032=10,"OCT",B1032=11,"NOV",B1032=12,"DEC")</f>
        <v>NOV</v>
      </c>
      <c r="D1032" s="2" t="s">
        <v>11</v>
      </c>
      <c r="E1032" s="2" t="s">
        <v>19</v>
      </c>
      <c r="F1032" s="2" t="s">
        <v>23</v>
      </c>
      <c r="G1032" s="2" t="s">
        <v>14</v>
      </c>
      <c r="H1032" s="2" t="s">
        <v>27</v>
      </c>
      <c r="I1032" s="2" t="s">
        <v>22</v>
      </c>
      <c r="J1032" s="15">
        <v>60000</v>
      </c>
      <c r="K1032" s="2">
        <v>3</v>
      </c>
      <c r="L1032" s="2" t="s">
        <v>35</v>
      </c>
      <c r="M1032" s="12">
        <f t="shared" si="36"/>
        <v>48000</v>
      </c>
      <c r="N1032" s="10">
        <f>PRODUCT(Table_13[[#This Row],[Unit Price]],Table_13[[#This Row],[Quantity]])</f>
        <v>180000</v>
      </c>
      <c r="O1032" s="16">
        <f>PRODUCT(Table_13[[#This Row],[Cost Price]],Table_13[[#This Row],[Quantity]])</f>
        <v>144000</v>
      </c>
      <c r="P1032" s="27">
        <f t="shared" si="38"/>
        <v>36000</v>
      </c>
    </row>
    <row r="1033" spans="1:16" x14ac:dyDescent="0.2">
      <c r="A1033" s="33">
        <v>46707</v>
      </c>
      <c r="B1033" s="30">
        <f t="shared" si="37"/>
        <v>11</v>
      </c>
      <c r="C1033" s="30" t="str">
        <f>_xlfn.IFS(Table_13[[#This Row],[Month]]=1,"JAN",Table_13[[#This Row],[Month]]=2,"FEB",B1033=3,"MAR",B1033=4,"APR",B1033=5,"MAY",B1033=6,"JUN",B1033=7,"JUL",B1033=8,"AUG",Table_13[[#This Row],[Month]]=9,"SEPT",B1033=10,"OCT",B1033=11,"NOV",B1033=12,"DEC")</f>
        <v>NOV</v>
      </c>
      <c r="D1033" s="2" t="s">
        <v>11</v>
      </c>
      <c r="E1033" s="2" t="s">
        <v>26</v>
      </c>
      <c r="F1033" s="2" t="s">
        <v>23</v>
      </c>
      <c r="G1033" s="2" t="s">
        <v>20</v>
      </c>
      <c r="H1033" s="2" t="s">
        <v>41</v>
      </c>
      <c r="I1033" s="2" t="s">
        <v>22</v>
      </c>
      <c r="J1033" s="15">
        <v>220000</v>
      </c>
      <c r="K1033" s="2">
        <v>3</v>
      </c>
      <c r="L1033" s="2" t="s">
        <v>39</v>
      </c>
      <c r="M1033" s="12">
        <f t="shared" si="36"/>
        <v>176000</v>
      </c>
      <c r="N1033" s="10">
        <f>PRODUCT(Table_13[[#This Row],[Unit Price]],Table_13[[#This Row],[Quantity]])</f>
        <v>660000</v>
      </c>
      <c r="O1033" s="16">
        <f>PRODUCT(Table_13[[#This Row],[Cost Price]],Table_13[[#This Row],[Quantity]])</f>
        <v>528000</v>
      </c>
      <c r="P1033" s="27">
        <f t="shared" si="38"/>
        <v>132000</v>
      </c>
    </row>
    <row r="1034" spans="1:16" x14ac:dyDescent="0.2">
      <c r="A1034" s="33">
        <v>46708</v>
      </c>
      <c r="B1034" s="30">
        <f t="shared" si="37"/>
        <v>11</v>
      </c>
      <c r="C1034" s="30" t="str">
        <f>_xlfn.IFS(Table_13[[#This Row],[Month]]=1,"JAN",Table_13[[#This Row],[Month]]=2,"FEB",B1034=3,"MAR",B1034=4,"APR",B1034=5,"MAY",B1034=6,"JUN",B1034=7,"JUL",B1034=8,"AUG",Table_13[[#This Row],[Month]]=9,"SEPT",B1034=10,"OCT",B1034=11,"NOV",B1034=12,"DEC")</f>
        <v>NOV</v>
      </c>
      <c r="D1034" s="2" t="s">
        <v>11</v>
      </c>
      <c r="E1034" s="2" t="s">
        <v>12</v>
      </c>
      <c r="F1034" s="2" t="s">
        <v>13</v>
      </c>
      <c r="G1034" s="2" t="s">
        <v>20</v>
      </c>
      <c r="H1034" s="2" t="s">
        <v>21</v>
      </c>
      <c r="I1034" s="2" t="s">
        <v>22</v>
      </c>
      <c r="J1034" s="15">
        <v>30000</v>
      </c>
      <c r="K1034" s="2">
        <v>1</v>
      </c>
      <c r="L1034" s="2" t="s">
        <v>17</v>
      </c>
      <c r="M1034" s="12">
        <f t="shared" si="36"/>
        <v>24000</v>
      </c>
      <c r="N1034" s="10">
        <f>PRODUCT(Table_13[[#This Row],[Unit Price]],Table_13[[#This Row],[Quantity]])</f>
        <v>30000</v>
      </c>
      <c r="O1034" s="16">
        <f>PRODUCT(Table_13[[#This Row],[Cost Price]],Table_13[[#This Row],[Quantity]])</f>
        <v>24000</v>
      </c>
      <c r="P1034" s="27">
        <f t="shared" si="38"/>
        <v>6000</v>
      </c>
    </row>
    <row r="1035" spans="1:16" x14ac:dyDescent="0.2">
      <c r="A1035" s="33">
        <v>46709</v>
      </c>
      <c r="B1035" s="30">
        <f t="shared" si="37"/>
        <v>11</v>
      </c>
      <c r="C1035" s="30" t="str">
        <f>_xlfn.IFS(Table_13[[#This Row],[Month]]=1,"JAN",Table_13[[#This Row],[Month]]=2,"FEB",B1035=3,"MAR",B1035=4,"APR",B1035=5,"MAY",B1035=6,"JUN",B1035=7,"JUL",B1035=8,"AUG",Table_13[[#This Row],[Month]]=9,"SEPT",B1035=10,"OCT",B1035=11,"NOV",B1035=12,"DEC")</f>
        <v>NOV</v>
      </c>
      <c r="D1035" s="2" t="s">
        <v>18</v>
      </c>
      <c r="E1035" s="2" t="s">
        <v>32</v>
      </c>
      <c r="F1035" s="2" t="s">
        <v>23</v>
      </c>
      <c r="G1035" s="2" t="s">
        <v>20</v>
      </c>
      <c r="H1035" s="2" t="s">
        <v>38</v>
      </c>
      <c r="I1035" s="2" t="s">
        <v>31</v>
      </c>
      <c r="J1035" s="15">
        <v>420000</v>
      </c>
      <c r="K1035" s="2">
        <v>1</v>
      </c>
      <c r="L1035" s="2" t="s">
        <v>39</v>
      </c>
      <c r="M1035" s="12">
        <f t="shared" si="36"/>
        <v>336000</v>
      </c>
      <c r="N1035" s="10">
        <f>PRODUCT(Table_13[[#This Row],[Unit Price]],Table_13[[#This Row],[Quantity]])</f>
        <v>420000</v>
      </c>
      <c r="O1035" s="16">
        <f>PRODUCT(Table_13[[#This Row],[Cost Price]],Table_13[[#This Row],[Quantity]])</f>
        <v>336000</v>
      </c>
      <c r="P1035" s="27">
        <f t="shared" si="38"/>
        <v>84000</v>
      </c>
    </row>
    <row r="1036" spans="1:16" x14ac:dyDescent="0.2">
      <c r="A1036" s="33">
        <v>46710</v>
      </c>
      <c r="B1036" s="30">
        <f t="shared" si="37"/>
        <v>11</v>
      </c>
      <c r="C1036" s="30" t="str">
        <f>_xlfn.IFS(Table_13[[#This Row],[Month]]=1,"JAN",Table_13[[#This Row],[Month]]=2,"FEB",B1036=3,"MAR",B1036=4,"APR",B1036=5,"MAY",B1036=6,"JUN",B1036=7,"JUL",B1036=8,"AUG",Table_13[[#This Row],[Month]]=9,"SEPT",B1036=10,"OCT",B1036=11,"NOV",B1036=12,"DEC")</f>
        <v>NOV</v>
      </c>
      <c r="D1036" s="2" t="s">
        <v>11</v>
      </c>
      <c r="E1036" s="2" t="s">
        <v>19</v>
      </c>
      <c r="F1036" s="2" t="s">
        <v>13</v>
      </c>
      <c r="G1036" s="2" t="s">
        <v>20</v>
      </c>
      <c r="H1036" s="2" t="s">
        <v>41</v>
      </c>
      <c r="I1036" s="2" t="s">
        <v>22</v>
      </c>
      <c r="J1036" s="15">
        <v>220000</v>
      </c>
      <c r="K1036" s="2">
        <v>10</v>
      </c>
      <c r="L1036" s="2" t="s">
        <v>24</v>
      </c>
      <c r="M1036" s="12">
        <f t="shared" si="36"/>
        <v>176000</v>
      </c>
      <c r="N1036" s="10">
        <f>PRODUCT(Table_13[[#This Row],[Unit Price]],Table_13[[#This Row],[Quantity]])</f>
        <v>2200000</v>
      </c>
      <c r="O1036" s="16">
        <f>PRODUCT(Table_13[[#This Row],[Cost Price]],Table_13[[#This Row],[Quantity]])</f>
        <v>1760000</v>
      </c>
      <c r="P1036" s="27">
        <f t="shared" si="38"/>
        <v>440000</v>
      </c>
    </row>
    <row r="1037" spans="1:16" x14ac:dyDescent="0.2">
      <c r="A1037" s="33">
        <v>46711</v>
      </c>
      <c r="B1037" s="30">
        <f t="shared" si="37"/>
        <v>11</v>
      </c>
      <c r="C1037" s="30" t="str">
        <f>_xlfn.IFS(Table_13[[#This Row],[Month]]=1,"JAN",Table_13[[#This Row],[Month]]=2,"FEB",B1037=3,"MAR",B1037=4,"APR",B1037=5,"MAY",B1037=6,"JUN",B1037=7,"JUL",B1037=8,"AUG",Table_13[[#This Row],[Month]]=9,"SEPT",B1037=10,"OCT",B1037=11,"NOV",B1037=12,"DEC")</f>
        <v>NOV</v>
      </c>
      <c r="D1037" s="2" t="s">
        <v>25</v>
      </c>
      <c r="E1037" s="2" t="s">
        <v>26</v>
      </c>
      <c r="F1037" s="2" t="s">
        <v>23</v>
      </c>
      <c r="G1037" s="2" t="s">
        <v>20</v>
      </c>
      <c r="H1037" s="2" t="s">
        <v>33</v>
      </c>
      <c r="I1037" s="2" t="s">
        <v>22</v>
      </c>
      <c r="J1037" s="15">
        <v>180000</v>
      </c>
      <c r="K1037" s="2">
        <v>10</v>
      </c>
      <c r="L1037" s="2" t="s">
        <v>39</v>
      </c>
      <c r="M1037" s="12">
        <f t="shared" si="36"/>
        <v>144000</v>
      </c>
      <c r="N1037" s="10">
        <f>PRODUCT(Table_13[[#This Row],[Unit Price]],Table_13[[#This Row],[Quantity]])</f>
        <v>1800000</v>
      </c>
      <c r="O1037" s="16">
        <f>PRODUCT(Table_13[[#This Row],[Cost Price]],Table_13[[#This Row],[Quantity]])</f>
        <v>1440000</v>
      </c>
      <c r="P1037" s="27">
        <f t="shared" si="38"/>
        <v>360000</v>
      </c>
    </row>
    <row r="1038" spans="1:16" x14ac:dyDescent="0.2">
      <c r="A1038" s="33">
        <v>46712</v>
      </c>
      <c r="B1038" s="30">
        <f t="shared" si="37"/>
        <v>11</v>
      </c>
      <c r="C1038" s="30" t="str">
        <f>_xlfn.IFS(Table_13[[#This Row],[Month]]=1,"JAN",Table_13[[#This Row],[Month]]=2,"FEB",B1038=3,"MAR",B1038=4,"APR",B1038=5,"MAY",B1038=6,"JUN",B1038=7,"JUL",B1038=8,"AUG",Table_13[[#This Row],[Month]]=9,"SEPT",B1038=10,"OCT",B1038=11,"NOV",B1038=12,"DEC")</f>
        <v>NOV</v>
      </c>
      <c r="D1038" s="2" t="s">
        <v>25</v>
      </c>
      <c r="E1038" s="2" t="s">
        <v>12</v>
      </c>
      <c r="F1038" s="2" t="s">
        <v>13</v>
      </c>
      <c r="G1038" s="2" t="s">
        <v>14</v>
      </c>
      <c r="H1038" s="2" t="s">
        <v>38</v>
      </c>
      <c r="I1038" s="2" t="s">
        <v>31</v>
      </c>
      <c r="J1038" s="15">
        <v>420000</v>
      </c>
      <c r="K1038" s="2">
        <v>3</v>
      </c>
      <c r="L1038" s="2" t="s">
        <v>37</v>
      </c>
      <c r="M1038" s="12">
        <f t="shared" si="36"/>
        <v>336000</v>
      </c>
      <c r="N1038" s="10">
        <f>PRODUCT(Table_13[[#This Row],[Unit Price]],Table_13[[#This Row],[Quantity]])</f>
        <v>1260000</v>
      </c>
      <c r="O1038" s="16">
        <f>PRODUCT(Table_13[[#This Row],[Cost Price]],Table_13[[#This Row],[Quantity]])</f>
        <v>1008000</v>
      </c>
      <c r="P1038" s="27">
        <f t="shared" si="38"/>
        <v>252000</v>
      </c>
    </row>
    <row r="1039" spans="1:16" x14ac:dyDescent="0.2">
      <c r="A1039" s="33">
        <v>46713</v>
      </c>
      <c r="B1039" s="30">
        <f t="shared" si="37"/>
        <v>11</v>
      </c>
      <c r="C1039" s="30" t="str">
        <f>_xlfn.IFS(Table_13[[#This Row],[Month]]=1,"JAN",Table_13[[#This Row],[Month]]=2,"FEB",B1039=3,"MAR",B1039=4,"APR",B1039=5,"MAY",B1039=6,"JUN",B1039=7,"JUL",B1039=8,"AUG",Table_13[[#This Row],[Month]]=9,"SEPT",B1039=10,"OCT",B1039=11,"NOV",B1039=12,"DEC")</f>
        <v>NOV</v>
      </c>
      <c r="D1039" s="2" t="s">
        <v>11</v>
      </c>
      <c r="E1039" s="2" t="s">
        <v>32</v>
      </c>
      <c r="F1039" s="2" t="s">
        <v>23</v>
      </c>
      <c r="G1039" s="2" t="s">
        <v>14</v>
      </c>
      <c r="H1039" s="2" t="s">
        <v>15</v>
      </c>
      <c r="I1039" s="2" t="s">
        <v>16</v>
      </c>
      <c r="J1039" s="15">
        <v>85000</v>
      </c>
      <c r="K1039" s="2">
        <v>4</v>
      </c>
      <c r="L1039" s="2" t="s">
        <v>28</v>
      </c>
      <c r="M1039" s="12">
        <f t="shared" si="36"/>
        <v>68000</v>
      </c>
      <c r="N1039" s="10">
        <f>PRODUCT(Table_13[[#This Row],[Unit Price]],Table_13[[#This Row],[Quantity]])</f>
        <v>340000</v>
      </c>
      <c r="O1039" s="16">
        <f>PRODUCT(Table_13[[#This Row],[Cost Price]],Table_13[[#This Row],[Quantity]])</f>
        <v>272000</v>
      </c>
      <c r="P1039" s="27">
        <f t="shared" si="38"/>
        <v>68000</v>
      </c>
    </row>
    <row r="1040" spans="1:16" x14ac:dyDescent="0.2">
      <c r="A1040" s="33">
        <v>46714</v>
      </c>
      <c r="B1040" s="30">
        <f t="shared" si="37"/>
        <v>11</v>
      </c>
      <c r="C1040" s="30" t="str">
        <f>_xlfn.IFS(Table_13[[#This Row],[Month]]=1,"JAN",Table_13[[#This Row],[Month]]=2,"FEB",B1040=3,"MAR",B1040=4,"APR",B1040=5,"MAY",B1040=6,"JUN",B1040=7,"JUL",B1040=8,"AUG",Table_13[[#This Row],[Month]]=9,"SEPT",B1040=10,"OCT",B1040=11,"NOV",B1040=12,"DEC")</f>
        <v>NOV</v>
      </c>
      <c r="D1040" s="2" t="s">
        <v>25</v>
      </c>
      <c r="E1040" s="2" t="s">
        <v>26</v>
      </c>
      <c r="F1040" s="2" t="s">
        <v>23</v>
      </c>
      <c r="G1040" s="2" t="s">
        <v>14</v>
      </c>
      <c r="H1040" s="2" t="s">
        <v>34</v>
      </c>
      <c r="I1040" s="2" t="s">
        <v>16</v>
      </c>
      <c r="J1040" s="15">
        <v>320000</v>
      </c>
      <c r="K1040" s="2">
        <v>4</v>
      </c>
      <c r="L1040" s="2" t="s">
        <v>35</v>
      </c>
      <c r="M1040" s="12">
        <f t="shared" si="36"/>
        <v>256000</v>
      </c>
      <c r="N1040" s="10">
        <f>PRODUCT(Table_13[[#This Row],[Unit Price]],Table_13[[#This Row],[Quantity]])</f>
        <v>1280000</v>
      </c>
      <c r="O1040" s="16">
        <f>PRODUCT(Table_13[[#This Row],[Cost Price]],Table_13[[#This Row],[Quantity]])</f>
        <v>1024000</v>
      </c>
      <c r="P1040" s="27">
        <f t="shared" si="38"/>
        <v>256000</v>
      </c>
    </row>
    <row r="1041" spans="1:16" x14ac:dyDescent="0.2">
      <c r="A1041" s="33">
        <v>46715</v>
      </c>
      <c r="B1041" s="30">
        <f t="shared" si="37"/>
        <v>11</v>
      </c>
      <c r="C1041" s="30" t="str">
        <f>_xlfn.IFS(Table_13[[#This Row],[Month]]=1,"JAN",Table_13[[#This Row],[Month]]=2,"FEB",B1041=3,"MAR",B1041=4,"APR",B1041=5,"MAY",B1041=6,"JUN",B1041=7,"JUL",B1041=8,"AUG",Table_13[[#This Row],[Month]]=9,"SEPT",B1041=10,"OCT",B1041=11,"NOV",B1041=12,"DEC")</f>
        <v>NOV</v>
      </c>
      <c r="D1041" s="2" t="s">
        <v>11</v>
      </c>
      <c r="E1041" s="2" t="s">
        <v>32</v>
      </c>
      <c r="F1041" s="2" t="s">
        <v>13</v>
      </c>
      <c r="G1041" s="2" t="s">
        <v>20</v>
      </c>
      <c r="H1041" s="2" t="s">
        <v>41</v>
      </c>
      <c r="I1041" s="2" t="s">
        <v>22</v>
      </c>
      <c r="J1041" s="15">
        <v>220000</v>
      </c>
      <c r="K1041" s="2">
        <v>1</v>
      </c>
      <c r="L1041" s="2" t="s">
        <v>37</v>
      </c>
      <c r="M1041" s="12">
        <f t="shared" si="36"/>
        <v>176000</v>
      </c>
      <c r="N1041" s="10">
        <f>PRODUCT(Table_13[[#This Row],[Unit Price]],Table_13[[#This Row],[Quantity]])</f>
        <v>220000</v>
      </c>
      <c r="O1041" s="16">
        <f>PRODUCT(Table_13[[#This Row],[Cost Price]],Table_13[[#This Row],[Quantity]])</f>
        <v>176000</v>
      </c>
      <c r="P1041" s="27">
        <f t="shared" si="38"/>
        <v>44000</v>
      </c>
    </row>
    <row r="1042" spans="1:16" x14ac:dyDescent="0.2">
      <c r="A1042" s="33">
        <v>46716</v>
      </c>
      <c r="B1042" s="30">
        <f t="shared" si="37"/>
        <v>11</v>
      </c>
      <c r="C1042" s="30" t="str">
        <f>_xlfn.IFS(Table_13[[#This Row],[Month]]=1,"JAN",Table_13[[#This Row],[Month]]=2,"FEB",B1042=3,"MAR",B1042=4,"APR",B1042=5,"MAY",B1042=6,"JUN",B1042=7,"JUL",B1042=8,"AUG",Table_13[[#This Row],[Month]]=9,"SEPT",B1042=10,"OCT",B1042=11,"NOV",B1042=12,"DEC")</f>
        <v>NOV</v>
      </c>
      <c r="D1042" s="2" t="s">
        <v>25</v>
      </c>
      <c r="E1042" s="2" t="s">
        <v>19</v>
      </c>
      <c r="F1042" s="2" t="s">
        <v>23</v>
      </c>
      <c r="G1042" s="2" t="s">
        <v>20</v>
      </c>
      <c r="H1042" s="2" t="s">
        <v>15</v>
      </c>
      <c r="I1042" s="2" t="s">
        <v>16</v>
      </c>
      <c r="J1042" s="15">
        <v>85000</v>
      </c>
      <c r="K1042" s="2">
        <v>1</v>
      </c>
      <c r="L1042" s="2" t="s">
        <v>24</v>
      </c>
      <c r="M1042" s="12">
        <f t="shared" si="36"/>
        <v>68000</v>
      </c>
      <c r="N1042" s="10">
        <f>PRODUCT(Table_13[[#This Row],[Unit Price]],Table_13[[#This Row],[Quantity]])</f>
        <v>85000</v>
      </c>
      <c r="O1042" s="16">
        <f>PRODUCT(Table_13[[#This Row],[Cost Price]],Table_13[[#This Row],[Quantity]])</f>
        <v>68000</v>
      </c>
      <c r="P1042" s="27">
        <f t="shared" si="38"/>
        <v>17000</v>
      </c>
    </row>
    <row r="1043" spans="1:16" x14ac:dyDescent="0.2">
      <c r="A1043" s="33">
        <v>46717</v>
      </c>
      <c r="B1043" s="30">
        <f t="shared" si="37"/>
        <v>11</v>
      </c>
      <c r="C1043" s="30" t="str">
        <f>_xlfn.IFS(Table_13[[#This Row],[Month]]=1,"JAN",Table_13[[#This Row],[Month]]=2,"FEB",B1043=3,"MAR",B1043=4,"APR",B1043=5,"MAY",B1043=6,"JUN",B1043=7,"JUL",B1043=8,"AUG",Table_13[[#This Row],[Month]]=9,"SEPT",B1043=10,"OCT",B1043=11,"NOV",B1043=12,"DEC")</f>
        <v>NOV</v>
      </c>
      <c r="D1043" s="2" t="s">
        <v>11</v>
      </c>
      <c r="E1043" s="2" t="s">
        <v>32</v>
      </c>
      <c r="F1043" s="2" t="s">
        <v>13</v>
      </c>
      <c r="G1043" s="2" t="s">
        <v>14</v>
      </c>
      <c r="H1043" s="2" t="s">
        <v>36</v>
      </c>
      <c r="I1043" s="2" t="s">
        <v>31</v>
      </c>
      <c r="J1043" s="15">
        <v>150000</v>
      </c>
      <c r="K1043" s="2">
        <v>8</v>
      </c>
      <c r="L1043" s="2" t="s">
        <v>39</v>
      </c>
      <c r="M1043" s="12">
        <f t="shared" si="36"/>
        <v>120000</v>
      </c>
      <c r="N1043" s="10">
        <f>PRODUCT(Table_13[[#This Row],[Unit Price]],Table_13[[#This Row],[Quantity]])</f>
        <v>1200000</v>
      </c>
      <c r="O1043" s="16">
        <f>PRODUCT(Table_13[[#This Row],[Cost Price]],Table_13[[#This Row],[Quantity]])</f>
        <v>960000</v>
      </c>
      <c r="P1043" s="27">
        <f t="shared" si="38"/>
        <v>240000</v>
      </c>
    </row>
    <row r="1044" spans="1:16" x14ac:dyDescent="0.2">
      <c r="A1044" s="33">
        <v>46718</v>
      </c>
      <c r="B1044" s="30">
        <f t="shared" si="37"/>
        <v>11</v>
      </c>
      <c r="C1044" s="30" t="str">
        <f>_xlfn.IFS(Table_13[[#This Row],[Month]]=1,"JAN",Table_13[[#This Row],[Month]]=2,"FEB",B1044=3,"MAR",B1044=4,"APR",B1044=5,"MAY",B1044=6,"JUN",B1044=7,"JUL",B1044=8,"AUG",Table_13[[#This Row],[Month]]=9,"SEPT",B1044=10,"OCT",B1044=11,"NOV",B1044=12,"DEC")</f>
        <v>NOV</v>
      </c>
      <c r="D1044" s="2" t="s">
        <v>29</v>
      </c>
      <c r="E1044" s="2" t="s">
        <v>19</v>
      </c>
      <c r="F1044" s="2" t="s">
        <v>23</v>
      </c>
      <c r="G1044" s="2" t="s">
        <v>14</v>
      </c>
      <c r="H1044" s="2" t="s">
        <v>36</v>
      </c>
      <c r="I1044" s="2" t="s">
        <v>31</v>
      </c>
      <c r="J1044" s="15">
        <v>150000</v>
      </c>
      <c r="K1044" s="2">
        <v>9</v>
      </c>
      <c r="L1044" s="2" t="s">
        <v>17</v>
      </c>
      <c r="M1044" s="12">
        <f t="shared" si="36"/>
        <v>120000</v>
      </c>
      <c r="N1044" s="10">
        <f>PRODUCT(Table_13[[#This Row],[Unit Price]],Table_13[[#This Row],[Quantity]])</f>
        <v>1350000</v>
      </c>
      <c r="O1044" s="16">
        <f>PRODUCT(Table_13[[#This Row],[Cost Price]],Table_13[[#This Row],[Quantity]])</f>
        <v>1080000</v>
      </c>
      <c r="P1044" s="27">
        <f t="shared" si="38"/>
        <v>270000</v>
      </c>
    </row>
    <row r="1045" spans="1:16" x14ac:dyDescent="0.2">
      <c r="A1045" s="33">
        <v>46719</v>
      </c>
      <c r="B1045" s="30">
        <f t="shared" si="37"/>
        <v>11</v>
      </c>
      <c r="C1045" s="30" t="str">
        <f>_xlfn.IFS(Table_13[[#This Row],[Month]]=1,"JAN",Table_13[[#This Row],[Month]]=2,"FEB",B1045=3,"MAR",B1045=4,"APR",B1045=5,"MAY",B1045=6,"JUN",B1045=7,"JUL",B1045=8,"AUG",Table_13[[#This Row],[Month]]=9,"SEPT",B1045=10,"OCT",B1045=11,"NOV",B1045=12,"DEC")</f>
        <v>NOV</v>
      </c>
      <c r="D1045" s="2" t="s">
        <v>11</v>
      </c>
      <c r="E1045" s="2" t="s">
        <v>19</v>
      </c>
      <c r="F1045" s="2" t="s">
        <v>23</v>
      </c>
      <c r="G1045" s="2" t="s">
        <v>14</v>
      </c>
      <c r="H1045" s="2" t="s">
        <v>30</v>
      </c>
      <c r="I1045" s="2" t="s">
        <v>31</v>
      </c>
      <c r="J1045" s="15">
        <v>300000</v>
      </c>
      <c r="K1045" s="2">
        <v>3</v>
      </c>
      <c r="L1045" s="2" t="s">
        <v>17</v>
      </c>
      <c r="M1045" s="12">
        <f t="shared" si="36"/>
        <v>240000</v>
      </c>
      <c r="N1045" s="10">
        <f>PRODUCT(Table_13[[#This Row],[Unit Price]],Table_13[[#This Row],[Quantity]])</f>
        <v>900000</v>
      </c>
      <c r="O1045" s="16">
        <f>PRODUCT(Table_13[[#This Row],[Cost Price]],Table_13[[#This Row],[Quantity]])</f>
        <v>720000</v>
      </c>
      <c r="P1045" s="27">
        <f t="shared" si="38"/>
        <v>180000</v>
      </c>
    </row>
    <row r="1046" spans="1:16" x14ac:dyDescent="0.2">
      <c r="A1046" s="33">
        <v>46720</v>
      </c>
      <c r="B1046" s="30">
        <f t="shared" si="37"/>
        <v>11</v>
      </c>
      <c r="C1046" s="30" t="str">
        <f>_xlfn.IFS(Table_13[[#This Row],[Month]]=1,"JAN",Table_13[[#This Row],[Month]]=2,"FEB",B1046=3,"MAR",B1046=4,"APR",B1046=5,"MAY",B1046=6,"JUN",B1046=7,"JUL",B1046=8,"AUG",Table_13[[#This Row],[Month]]=9,"SEPT",B1046=10,"OCT",B1046=11,"NOV",B1046=12,"DEC")</f>
        <v>NOV</v>
      </c>
      <c r="D1046" s="2" t="s">
        <v>29</v>
      </c>
      <c r="E1046" s="2" t="s">
        <v>32</v>
      </c>
      <c r="F1046" s="2" t="s">
        <v>23</v>
      </c>
      <c r="G1046" s="2" t="s">
        <v>14</v>
      </c>
      <c r="H1046" s="2" t="s">
        <v>36</v>
      </c>
      <c r="I1046" s="2" t="s">
        <v>31</v>
      </c>
      <c r="J1046" s="15">
        <v>150000</v>
      </c>
      <c r="K1046" s="2">
        <v>10</v>
      </c>
      <c r="L1046" s="2" t="s">
        <v>35</v>
      </c>
      <c r="M1046" s="12">
        <f t="shared" si="36"/>
        <v>120000</v>
      </c>
      <c r="N1046" s="10">
        <f>PRODUCT(Table_13[[#This Row],[Unit Price]],Table_13[[#This Row],[Quantity]])</f>
        <v>1500000</v>
      </c>
      <c r="O1046" s="16">
        <f>PRODUCT(Table_13[[#This Row],[Cost Price]],Table_13[[#This Row],[Quantity]])</f>
        <v>1200000</v>
      </c>
      <c r="P1046" s="27">
        <f t="shared" si="38"/>
        <v>300000</v>
      </c>
    </row>
    <row r="1047" spans="1:16" x14ac:dyDescent="0.2">
      <c r="A1047" s="33">
        <v>46721</v>
      </c>
      <c r="B1047" s="30">
        <f t="shared" si="37"/>
        <v>11</v>
      </c>
      <c r="C1047" s="30" t="str">
        <f>_xlfn.IFS(Table_13[[#This Row],[Month]]=1,"JAN",Table_13[[#This Row],[Month]]=2,"FEB",B1047=3,"MAR",B1047=4,"APR",B1047=5,"MAY",B1047=6,"JUN",B1047=7,"JUL",B1047=8,"AUG",Table_13[[#This Row],[Month]]=9,"SEPT",B1047=10,"OCT",B1047=11,"NOV",B1047=12,"DEC")</f>
        <v>NOV</v>
      </c>
      <c r="D1047" s="2" t="s">
        <v>11</v>
      </c>
      <c r="E1047" s="2" t="s">
        <v>32</v>
      </c>
      <c r="F1047" s="2" t="s">
        <v>13</v>
      </c>
      <c r="G1047" s="2" t="s">
        <v>20</v>
      </c>
      <c r="H1047" s="2" t="s">
        <v>15</v>
      </c>
      <c r="I1047" s="2" t="s">
        <v>16</v>
      </c>
      <c r="J1047" s="15">
        <v>85000</v>
      </c>
      <c r="K1047" s="2">
        <v>2</v>
      </c>
      <c r="L1047" s="2" t="s">
        <v>35</v>
      </c>
      <c r="M1047" s="12">
        <f t="shared" si="36"/>
        <v>68000</v>
      </c>
      <c r="N1047" s="10">
        <f>PRODUCT(Table_13[[#This Row],[Unit Price]],Table_13[[#This Row],[Quantity]])</f>
        <v>170000</v>
      </c>
      <c r="O1047" s="16">
        <f>PRODUCT(Table_13[[#This Row],[Cost Price]],Table_13[[#This Row],[Quantity]])</f>
        <v>136000</v>
      </c>
      <c r="P1047" s="27">
        <f t="shared" si="38"/>
        <v>34000</v>
      </c>
    </row>
    <row r="1048" spans="1:16" x14ac:dyDescent="0.2">
      <c r="A1048" s="33">
        <v>46722</v>
      </c>
      <c r="B1048" s="30">
        <f t="shared" si="37"/>
        <v>12</v>
      </c>
      <c r="C1048" s="30" t="str">
        <f>_xlfn.IFS(Table_13[[#This Row],[Month]]=1,"JAN",Table_13[[#This Row],[Month]]=2,"FEB",B1048=3,"MAR",B1048=4,"APR",B1048=5,"MAY",B1048=6,"JUN",B1048=7,"JUL",B1048=8,"AUG",Table_13[[#This Row],[Month]]=9,"SEPT",B1048=10,"OCT",B1048=11,"NOV",B1048=12,"DEC")</f>
        <v>DEC</v>
      </c>
      <c r="D1048" s="2" t="s">
        <v>18</v>
      </c>
      <c r="E1048" s="2" t="s">
        <v>12</v>
      </c>
      <c r="F1048" s="2" t="s">
        <v>23</v>
      </c>
      <c r="G1048" s="2" t="s">
        <v>20</v>
      </c>
      <c r="H1048" s="2" t="s">
        <v>38</v>
      </c>
      <c r="I1048" s="2" t="s">
        <v>31</v>
      </c>
      <c r="J1048" s="15">
        <v>420000</v>
      </c>
      <c r="K1048" s="2">
        <v>9</v>
      </c>
      <c r="L1048" s="2" t="s">
        <v>24</v>
      </c>
      <c r="M1048" s="12">
        <f t="shared" si="36"/>
        <v>336000</v>
      </c>
      <c r="N1048" s="10">
        <f>PRODUCT(Table_13[[#This Row],[Unit Price]],Table_13[[#This Row],[Quantity]])</f>
        <v>3780000</v>
      </c>
      <c r="O1048" s="16">
        <f>PRODUCT(Table_13[[#This Row],[Cost Price]],Table_13[[#This Row],[Quantity]])</f>
        <v>3024000</v>
      </c>
      <c r="P1048" s="27">
        <f t="shared" si="38"/>
        <v>756000</v>
      </c>
    </row>
    <row r="1049" spans="1:16" x14ac:dyDescent="0.2">
      <c r="A1049" s="33">
        <v>46723</v>
      </c>
      <c r="B1049" s="30">
        <f t="shared" si="37"/>
        <v>12</v>
      </c>
      <c r="C1049" s="30" t="str">
        <f>_xlfn.IFS(Table_13[[#This Row],[Month]]=1,"JAN",Table_13[[#This Row],[Month]]=2,"FEB",B1049=3,"MAR",B1049=4,"APR",B1049=5,"MAY",B1049=6,"JUN",B1049=7,"JUL",B1049=8,"AUG",Table_13[[#This Row],[Month]]=9,"SEPT",B1049=10,"OCT",B1049=11,"NOV",B1049=12,"DEC")</f>
        <v>DEC</v>
      </c>
      <c r="D1049" s="2" t="s">
        <v>11</v>
      </c>
      <c r="E1049" s="2" t="s">
        <v>19</v>
      </c>
      <c r="F1049" s="2" t="s">
        <v>23</v>
      </c>
      <c r="G1049" s="2" t="s">
        <v>14</v>
      </c>
      <c r="H1049" s="2" t="s">
        <v>30</v>
      </c>
      <c r="I1049" s="2" t="s">
        <v>31</v>
      </c>
      <c r="J1049" s="15">
        <v>300000</v>
      </c>
      <c r="K1049" s="2">
        <v>2</v>
      </c>
      <c r="L1049" s="2" t="s">
        <v>39</v>
      </c>
      <c r="M1049" s="12">
        <f t="shared" si="36"/>
        <v>240000</v>
      </c>
      <c r="N1049" s="10">
        <f>PRODUCT(Table_13[[#This Row],[Unit Price]],Table_13[[#This Row],[Quantity]])</f>
        <v>600000</v>
      </c>
      <c r="O1049" s="16">
        <f>PRODUCT(Table_13[[#This Row],[Cost Price]],Table_13[[#This Row],[Quantity]])</f>
        <v>480000</v>
      </c>
      <c r="P1049" s="27">
        <f t="shared" si="38"/>
        <v>120000</v>
      </c>
    </row>
    <row r="1050" spans="1:16" x14ac:dyDescent="0.2">
      <c r="A1050" s="33">
        <v>46724</v>
      </c>
      <c r="B1050" s="30">
        <f t="shared" si="37"/>
        <v>12</v>
      </c>
      <c r="C1050" s="30" t="str">
        <f>_xlfn.IFS(Table_13[[#This Row],[Month]]=1,"JAN",Table_13[[#This Row],[Month]]=2,"FEB",B1050=3,"MAR",B1050=4,"APR",B1050=5,"MAY",B1050=6,"JUN",B1050=7,"JUL",B1050=8,"AUG",Table_13[[#This Row],[Month]]=9,"SEPT",B1050=10,"OCT",B1050=11,"NOV",B1050=12,"DEC")</f>
        <v>DEC</v>
      </c>
      <c r="D1050" s="2" t="s">
        <v>18</v>
      </c>
      <c r="E1050" s="2" t="s">
        <v>26</v>
      </c>
      <c r="F1050" s="2" t="s">
        <v>23</v>
      </c>
      <c r="G1050" s="2" t="s">
        <v>14</v>
      </c>
      <c r="H1050" s="2" t="s">
        <v>36</v>
      </c>
      <c r="I1050" s="2" t="s">
        <v>31</v>
      </c>
      <c r="J1050" s="15">
        <v>150000</v>
      </c>
      <c r="K1050" s="2">
        <v>4</v>
      </c>
      <c r="L1050" s="2" t="s">
        <v>37</v>
      </c>
      <c r="M1050" s="12">
        <f t="shared" si="36"/>
        <v>120000</v>
      </c>
      <c r="N1050" s="10">
        <f>PRODUCT(Table_13[[#This Row],[Unit Price]],Table_13[[#This Row],[Quantity]])</f>
        <v>600000</v>
      </c>
      <c r="O1050" s="16">
        <f>PRODUCT(Table_13[[#This Row],[Cost Price]],Table_13[[#This Row],[Quantity]])</f>
        <v>480000</v>
      </c>
      <c r="P1050" s="27">
        <f t="shared" si="38"/>
        <v>120000</v>
      </c>
    </row>
    <row r="1051" spans="1:16" x14ac:dyDescent="0.2">
      <c r="A1051" s="33">
        <v>46725</v>
      </c>
      <c r="B1051" s="30">
        <f t="shared" si="37"/>
        <v>12</v>
      </c>
      <c r="C1051" s="30" t="str">
        <f>_xlfn.IFS(Table_13[[#This Row],[Month]]=1,"JAN",Table_13[[#This Row],[Month]]=2,"FEB",B1051=3,"MAR",B1051=4,"APR",B1051=5,"MAY",B1051=6,"JUN",B1051=7,"JUL",B1051=8,"AUG",Table_13[[#This Row],[Month]]=9,"SEPT",B1051=10,"OCT",B1051=11,"NOV",B1051=12,"DEC")</f>
        <v>DEC</v>
      </c>
      <c r="D1051" s="2" t="s">
        <v>18</v>
      </c>
      <c r="E1051" s="2" t="s">
        <v>19</v>
      </c>
      <c r="F1051" s="2" t="s">
        <v>13</v>
      </c>
      <c r="G1051" s="2" t="s">
        <v>14</v>
      </c>
      <c r="H1051" s="2" t="s">
        <v>38</v>
      </c>
      <c r="I1051" s="2" t="s">
        <v>31</v>
      </c>
      <c r="J1051" s="15">
        <v>420000</v>
      </c>
      <c r="K1051" s="2">
        <v>9</v>
      </c>
      <c r="L1051" s="2" t="s">
        <v>24</v>
      </c>
      <c r="M1051" s="12">
        <f t="shared" si="36"/>
        <v>336000</v>
      </c>
      <c r="N1051" s="10">
        <f>PRODUCT(Table_13[[#This Row],[Unit Price]],Table_13[[#This Row],[Quantity]])</f>
        <v>3780000</v>
      </c>
      <c r="O1051" s="16">
        <f>PRODUCT(Table_13[[#This Row],[Cost Price]],Table_13[[#This Row],[Quantity]])</f>
        <v>3024000</v>
      </c>
      <c r="P1051" s="27">
        <f t="shared" si="38"/>
        <v>756000</v>
      </c>
    </row>
    <row r="1052" spans="1:16" x14ac:dyDescent="0.2">
      <c r="A1052" s="33">
        <v>46726</v>
      </c>
      <c r="B1052" s="30">
        <f t="shared" si="37"/>
        <v>12</v>
      </c>
      <c r="C1052" s="30" t="str">
        <f>_xlfn.IFS(Table_13[[#This Row],[Month]]=1,"JAN",Table_13[[#This Row],[Month]]=2,"FEB",B1052=3,"MAR",B1052=4,"APR",B1052=5,"MAY",B1052=6,"JUN",B1052=7,"JUL",B1052=8,"AUG",Table_13[[#This Row],[Month]]=9,"SEPT",B1052=10,"OCT",B1052=11,"NOV",B1052=12,"DEC")</f>
        <v>DEC</v>
      </c>
      <c r="D1052" s="2" t="s">
        <v>29</v>
      </c>
      <c r="E1052" s="2" t="s">
        <v>26</v>
      </c>
      <c r="F1052" s="2" t="s">
        <v>13</v>
      </c>
      <c r="G1052" s="2" t="s">
        <v>20</v>
      </c>
      <c r="H1052" s="2" t="s">
        <v>40</v>
      </c>
      <c r="I1052" s="2" t="s">
        <v>31</v>
      </c>
      <c r="J1052" s="15">
        <v>250000</v>
      </c>
      <c r="K1052" s="2">
        <v>5</v>
      </c>
      <c r="L1052" s="2" t="s">
        <v>24</v>
      </c>
      <c r="M1052" s="12">
        <f t="shared" si="36"/>
        <v>200000</v>
      </c>
      <c r="N1052" s="10">
        <f>PRODUCT(Table_13[[#This Row],[Unit Price]],Table_13[[#This Row],[Quantity]])</f>
        <v>1250000</v>
      </c>
      <c r="O1052" s="16">
        <f>PRODUCT(Table_13[[#This Row],[Cost Price]],Table_13[[#This Row],[Quantity]])</f>
        <v>1000000</v>
      </c>
      <c r="P1052" s="27">
        <f t="shared" si="38"/>
        <v>250000</v>
      </c>
    </row>
    <row r="1053" spans="1:16" x14ac:dyDescent="0.2">
      <c r="A1053" s="33">
        <v>46727</v>
      </c>
      <c r="B1053" s="30">
        <f t="shared" si="37"/>
        <v>12</v>
      </c>
      <c r="C1053" s="30" t="str">
        <f>_xlfn.IFS(Table_13[[#This Row],[Month]]=1,"JAN",Table_13[[#This Row],[Month]]=2,"FEB",B1053=3,"MAR",B1053=4,"APR",B1053=5,"MAY",B1053=6,"JUN",B1053=7,"JUL",B1053=8,"AUG",Table_13[[#This Row],[Month]]=9,"SEPT",B1053=10,"OCT",B1053=11,"NOV",B1053=12,"DEC")</f>
        <v>DEC</v>
      </c>
      <c r="D1053" s="2" t="s">
        <v>29</v>
      </c>
      <c r="E1053" s="2" t="s">
        <v>32</v>
      </c>
      <c r="F1053" s="2" t="s">
        <v>23</v>
      </c>
      <c r="G1053" s="2" t="s">
        <v>14</v>
      </c>
      <c r="H1053" s="2" t="s">
        <v>21</v>
      </c>
      <c r="I1053" s="2" t="s">
        <v>22</v>
      </c>
      <c r="J1053" s="15">
        <v>30000</v>
      </c>
      <c r="K1053" s="2">
        <v>10</v>
      </c>
      <c r="L1053" s="2" t="s">
        <v>37</v>
      </c>
      <c r="M1053" s="12">
        <f t="shared" si="36"/>
        <v>24000</v>
      </c>
      <c r="N1053" s="10">
        <f>PRODUCT(Table_13[[#This Row],[Unit Price]],Table_13[[#This Row],[Quantity]])</f>
        <v>300000</v>
      </c>
      <c r="O1053" s="16">
        <f>PRODUCT(Table_13[[#This Row],[Cost Price]],Table_13[[#This Row],[Quantity]])</f>
        <v>240000</v>
      </c>
      <c r="P1053" s="27">
        <f t="shared" si="38"/>
        <v>60000</v>
      </c>
    </row>
    <row r="1054" spans="1:16" x14ac:dyDescent="0.2">
      <c r="A1054" s="33">
        <v>46728</v>
      </c>
      <c r="B1054" s="30">
        <f t="shared" si="37"/>
        <v>12</v>
      </c>
      <c r="C1054" s="30" t="str">
        <f>_xlfn.IFS(Table_13[[#This Row],[Month]]=1,"JAN",Table_13[[#This Row],[Month]]=2,"FEB",B1054=3,"MAR",B1054=4,"APR",B1054=5,"MAY",B1054=6,"JUN",B1054=7,"JUL",B1054=8,"AUG",Table_13[[#This Row],[Month]]=9,"SEPT",B1054=10,"OCT",B1054=11,"NOV",B1054=12,"DEC")</f>
        <v>DEC</v>
      </c>
      <c r="D1054" s="2" t="s">
        <v>25</v>
      </c>
      <c r="E1054" s="2" t="s">
        <v>26</v>
      </c>
      <c r="F1054" s="2" t="s">
        <v>13</v>
      </c>
      <c r="G1054" s="2" t="s">
        <v>20</v>
      </c>
      <c r="H1054" s="2" t="s">
        <v>38</v>
      </c>
      <c r="I1054" s="2" t="s">
        <v>31</v>
      </c>
      <c r="J1054" s="15">
        <v>420000</v>
      </c>
      <c r="K1054" s="2">
        <v>3</v>
      </c>
      <c r="L1054" s="2" t="s">
        <v>17</v>
      </c>
      <c r="M1054" s="12">
        <f t="shared" si="36"/>
        <v>336000</v>
      </c>
      <c r="N1054" s="10">
        <f>PRODUCT(Table_13[[#This Row],[Unit Price]],Table_13[[#This Row],[Quantity]])</f>
        <v>1260000</v>
      </c>
      <c r="O1054" s="16">
        <f>PRODUCT(Table_13[[#This Row],[Cost Price]],Table_13[[#This Row],[Quantity]])</f>
        <v>1008000</v>
      </c>
      <c r="P1054" s="27">
        <f t="shared" si="38"/>
        <v>252000</v>
      </c>
    </row>
    <row r="1055" spans="1:16" x14ac:dyDescent="0.2">
      <c r="A1055" s="33">
        <v>46729</v>
      </c>
      <c r="B1055" s="30">
        <f t="shared" si="37"/>
        <v>12</v>
      </c>
      <c r="C1055" s="30" t="str">
        <f>_xlfn.IFS(Table_13[[#This Row],[Month]]=1,"JAN",Table_13[[#This Row],[Month]]=2,"FEB",B1055=3,"MAR",B1055=4,"APR",B1055=5,"MAY",B1055=6,"JUN",B1055=7,"JUL",B1055=8,"AUG",Table_13[[#This Row],[Month]]=9,"SEPT",B1055=10,"OCT",B1055=11,"NOV",B1055=12,"DEC")</f>
        <v>DEC</v>
      </c>
      <c r="D1055" s="2" t="s">
        <v>25</v>
      </c>
      <c r="E1055" s="2" t="s">
        <v>32</v>
      </c>
      <c r="F1055" s="2" t="s">
        <v>13</v>
      </c>
      <c r="G1055" s="2" t="s">
        <v>14</v>
      </c>
      <c r="H1055" s="2" t="s">
        <v>34</v>
      </c>
      <c r="I1055" s="2" t="s">
        <v>16</v>
      </c>
      <c r="J1055" s="15">
        <v>320000</v>
      </c>
      <c r="K1055" s="2">
        <v>8</v>
      </c>
      <c r="L1055" s="2" t="s">
        <v>37</v>
      </c>
      <c r="M1055" s="12">
        <f t="shared" si="36"/>
        <v>256000</v>
      </c>
      <c r="N1055" s="10">
        <f>PRODUCT(Table_13[[#This Row],[Unit Price]],Table_13[[#This Row],[Quantity]])</f>
        <v>2560000</v>
      </c>
      <c r="O1055" s="16">
        <f>PRODUCT(Table_13[[#This Row],[Cost Price]],Table_13[[#This Row],[Quantity]])</f>
        <v>2048000</v>
      </c>
      <c r="P1055" s="27">
        <f t="shared" si="38"/>
        <v>512000</v>
      </c>
    </row>
    <row r="1056" spans="1:16" x14ac:dyDescent="0.2">
      <c r="A1056" s="33">
        <v>46730</v>
      </c>
      <c r="B1056" s="30">
        <f t="shared" si="37"/>
        <v>12</v>
      </c>
      <c r="C1056" s="30" t="str">
        <f>_xlfn.IFS(Table_13[[#This Row],[Month]]=1,"JAN",Table_13[[#This Row],[Month]]=2,"FEB",B1056=3,"MAR",B1056=4,"APR",B1056=5,"MAY",B1056=6,"JUN",B1056=7,"JUL",B1056=8,"AUG",Table_13[[#This Row],[Month]]=9,"SEPT",B1056=10,"OCT",B1056=11,"NOV",B1056=12,"DEC")</f>
        <v>DEC</v>
      </c>
      <c r="D1056" s="2" t="s">
        <v>29</v>
      </c>
      <c r="E1056" s="2" t="s">
        <v>19</v>
      </c>
      <c r="F1056" s="2" t="s">
        <v>23</v>
      </c>
      <c r="G1056" s="2" t="s">
        <v>14</v>
      </c>
      <c r="H1056" s="2" t="s">
        <v>38</v>
      </c>
      <c r="I1056" s="2" t="s">
        <v>31</v>
      </c>
      <c r="J1056" s="15">
        <v>420000</v>
      </c>
      <c r="K1056" s="2">
        <v>8</v>
      </c>
      <c r="L1056" s="2" t="s">
        <v>37</v>
      </c>
      <c r="M1056" s="12">
        <f t="shared" si="36"/>
        <v>336000</v>
      </c>
      <c r="N1056" s="10">
        <f>PRODUCT(Table_13[[#This Row],[Unit Price]],Table_13[[#This Row],[Quantity]])</f>
        <v>3360000</v>
      </c>
      <c r="O1056" s="16">
        <f>PRODUCT(Table_13[[#This Row],[Cost Price]],Table_13[[#This Row],[Quantity]])</f>
        <v>2688000</v>
      </c>
      <c r="P1056" s="27">
        <f t="shared" si="38"/>
        <v>672000</v>
      </c>
    </row>
    <row r="1057" spans="1:16" x14ac:dyDescent="0.2">
      <c r="A1057" s="33">
        <v>46731</v>
      </c>
      <c r="B1057" s="30">
        <f t="shared" si="37"/>
        <v>12</v>
      </c>
      <c r="C1057" s="30" t="str">
        <f>_xlfn.IFS(Table_13[[#This Row],[Month]]=1,"JAN",Table_13[[#This Row],[Month]]=2,"FEB",B1057=3,"MAR",B1057=4,"APR",B1057=5,"MAY",B1057=6,"JUN",B1057=7,"JUL",B1057=8,"AUG",Table_13[[#This Row],[Month]]=9,"SEPT",B1057=10,"OCT",B1057=11,"NOV",B1057=12,"DEC")</f>
        <v>DEC</v>
      </c>
      <c r="D1057" s="2" t="s">
        <v>25</v>
      </c>
      <c r="E1057" s="2" t="s">
        <v>26</v>
      </c>
      <c r="F1057" s="2" t="s">
        <v>23</v>
      </c>
      <c r="G1057" s="2" t="s">
        <v>14</v>
      </c>
      <c r="H1057" s="2" t="s">
        <v>36</v>
      </c>
      <c r="I1057" s="2" t="s">
        <v>31</v>
      </c>
      <c r="J1057" s="15">
        <v>150000</v>
      </c>
      <c r="K1057" s="2">
        <v>1</v>
      </c>
      <c r="L1057" s="2" t="s">
        <v>37</v>
      </c>
      <c r="M1057" s="12">
        <f t="shared" si="36"/>
        <v>120000</v>
      </c>
      <c r="N1057" s="10">
        <f>PRODUCT(Table_13[[#This Row],[Unit Price]],Table_13[[#This Row],[Quantity]])</f>
        <v>150000</v>
      </c>
      <c r="O1057" s="16">
        <f>PRODUCT(Table_13[[#This Row],[Cost Price]],Table_13[[#This Row],[Quantity]])</f>
        <v>120000</v>
      </c>
      <c r="P1057" s="27">
        <f t="shared" si="38"/>
        <v>30000</v>
      </c>
    </row>
    <row r="1058" spans="1:16" x14ac:dyDescent="0.2">
      <c r="A1058" s="33">
        <v>46732</v>
      </c>
      <c r="B1058" s="30">
        <f t="shared" si="37"/>
        <v>12</v>
      </c>
      <c r="C1058" s="30" t="str">
        <f>_xlfn.IFS(Table_13[[#This Row],[Month]]=1,"JAN",Table_13[[#This Row],[Month]]=2,"FEB",B1058=3,"MAR",B1058=4,"APR",B1058=5,"MAY",B1058=6,"JUN",B1058=7,"JUL",B1058=8,"AUG",Table_13[[#This Row],[Month]]=9,"SEPT",B1058=10,"OCT",B1058=11,"NOV",B1058=12,"DEC")</f>
        <v>DEC</v>
      </c>
      <c r="D1058" s="2" t="s">
        <v>25</v>
      </c>
      <c r="E1058" s="2" t="s">
        <v>19</v>
      </c>
      <c r="F1058" s="2" t="s">
        <v>13</v>
      </c>
      <c r="G1058" s="2" t="s">
        <v>14</v>
      </c>
      <c r="H1058" s="2" t="s">
        <v>27</v>
      </c>
      <c r="I1058" s="2" t="s">
        <v>22</v>
      </c>
      <c r="J1058" s="15">
        <v>60000</v>
      </c>
      <c r="K1058" s="2">
        <v>7</v>
      </c>
      <c r="L1058" s="2" t="s">
        <v>35</v>
      </c>
      <c r="M1058" s="12">
        <f t="shared" si="36"/>
        <v>48000</v>
      </c>
      <c r="N1058" s="10">
        <f>PRODUCT(Table_13[[#This Row],[Unit Price]],Table_13[[#This Row],[Quantity]])</f>
        <v>420000</v>
      </c>
      <c r="O1058" s="16">
        <f>PRODUCT(Table_13[[#This Row],[Cost Price]],Table_13[[#This Row],[Quantity]])</f>
        <v>336000</v>
      </c>
      <c r="P1058" s="27">
        <f t="shared" si="38"/>
        <v>84000</v>
      </c>
    </row>
    <row r="1059" spans="1:16" x14ac:dyDescent="0.2">
      <c r="A1059" s="33">
        <v>46733</v>
      </c>
      <c r="B1059" s="30">
        <f t="shared" si="37"/>
        <v>12</v>
      </c>
      <c r="C1059" s="30" t="str">
        <f>_xlfn.IFS(Table_13[[#This Row],[Month]]=1,"JAN",Table_13[[#This Row],[Month]]=2,"FEB",B1059=3,"MAR",B1059=4,"APR",B1059=5,"MAY",B1059=6,"JUN",B1059=7,"JUL",B1059=8,"AUG",Table_13[[#This Row],[Month]]=9,"SEPT",B1059=10,"OCT",B1059=11,"NOV",B1059=12,"DEC")</f>
        <v>DEC</v>
      </c>
      <c r="D1059" s="2" t="s">
        <v>25</v>
      </c>
      <c r="E1059" s="2" t="s">
        <v>19</v>
      </c>
      <c r="F1059" s="2" t="s">
        <v>13</v>
      </c>
      <c r="G1059" s="2" t="s">
        <v>20</v>
      </c>
      <c r="H1059" s="2" t="s">
        <v>38</v>
      </c>
      <c r="I1059" s="2" t="s">
        <v>31</v>
      </c>
      <c r="J1059" s="15">
        <v>420000</v>
      </c>
      <c r="K1059" s="2">
        <v>9</v>
      </c>
      <c r="L1059" s="2" t="s">
        <v>37</v>
      </c>
      <c r="M1059" s="12">
        <f t="shared" si="36"/>
        <v>336000</v>
      </c>
      <c r="N1059" s="10">
        <f>PRODUCT(Table_13[[#This Row],[Unit Price]],Table_13[[#This Row],[Quantity]])</f>
        <v>3780000</v>
      </c>
      <c r="O1059" s="16">
        <f>PRODUCT(Table_13[[#This Row],[Cost Price]],Table_13[[#This Row],[Quantity]])</f>
        <v>3024000</v>
      </c>
      <c r="P1059" s="27">
        <f t="shared" si="38"/>
        <v>756000</v>
      </c>
    </row>
    <row r="1060" spans="1:16" x14ac:dyDescent="0.2">
      <c r="A1060" s="33">
        <v>46734</v>
      </c>
      <c r="B1060" s="30">
        <f t="shared" si="37"/>
        <v>12</v>
      </c>
      <c r="C1060" s="30" t="str">
        <f>_xlfn.IFS(Table_13[[#This Row],[Month]]=1,"JAN",Table_13[[#This Row],[Month]]=2,"FEB",B1060=3,"MAR",B1060=4,"APR",B1060=5,"MAY",B1060=6,"JUN",B1060=7,"JUL",B1060=8,"AUG",Table_13[[#This Row],[Month]]=9,"SEPT",B1060=10,"OCT",B1060=11,"NOV",B1060=12,"DEC")</f>
        <v>DEC</v>
      </c>
      <c r="D1060" s="2" t="s">
        <v>18</v>
      </c>
      <c r="E1060" s="2" t="s">
        <v>26</v>
      </c>
      <c r="F1060" s="2" t="s">
        <v>23</v>
      </c>
      <c r="G1060" s="2" t="s">
        <v>20</v>
      </c>
      <c r="H1060" s="2" t="s">
        <v>38</v>
      </c>
      <c r="I1060" s="2" t="s">
        <v>31</v>
      </c>
      <c r="J1060" s="15">
        <v>420000</v>
      </c>
      <c r="K1060" s="2">
        <v>6</v>
      </c>
      <c r="L1060" s="2" t="s">
        <v>24</v>
      </c>
      <c r="M1060" s="12">
        <f t="shared" si="36"/>
        <v>336000</v>
      </c>
      <c r="N1060" s="10">
        <f>PRODUCT(Table_13[[#This Row],[Unit Price]],Table_13[[#This Row],[Quantity]])</f>
        <v>2520000</v>
      </c>
      <c r="O1060" s="16">
        <f>PRODUCT(Table_13[[#This Row],[Cost Price]],Table_13[[#This Row],[Quantity]])</f>
        <v>2016000</v>
      </c>
      <c r="P1060" s="27">
        <f t="shared" si="38"/>
        <v>504000</v>
      </c>
    </row>
    <row r="1061" spans="1:16" x14ac:dyDescent="0.2">
      <c r="A1061" s="33">
        <v>46735</v>
      </c>
      <c r="B1061" s="30">
        <f t="shared" si="37"/>
        <v>12</v>
      </c>
      <c r="C1061" s="30" t="str">
        <f>_xlfn.IFS(Table_13[[#This Row],[Month]]=1,"JAN",Table_13[[#This Row],[Month]]=2,"FEB",B1061=3,"MAR",B1061=4,"APR",B1061=5,"MAY",B1061=6,"JUN",B1061=7,"JUL",B1061=8,"AUG",Table_13[[#This Row],[Month]]=9,"SEPT",B1061=10,"OCT",B1061=11,"NOV",B1061=12,"DEC")</f>
        <v>DEC</v>
      </c>
      <c r="D1061" s="2" t="s">
        <v>18</v>
      </c>
      <c r="E1061" s="2" t="s">
        <v>12</v>
      </c>
      <c r="F1061" s="2" t="s">
        <v>13</v>
      </c>
      <c r="G1061" s="2" t="s">
        <v>14</v>
      </c>
      <c r="H1061" s="2" t="s">
        <v>30</v>
      </c>
      <c r="I1061" s="2" t="s">
        <v>31</v>
      </c>
      <c r="J1061" s="15">
        <v>300000</v>
      </c>
      <c r="K1061" s="2">
        <v>9</v>
      </c>
      <c r="L1061" s="2" t="s">
        <v>37</v>
      </c>
      <c r="M1061" s="12">
        <f t="shared" si="36"/>
        <v>240000</v>
      </c>
      <c r="N1061" s="10">
        <f>PRODUCT(Table_13[[#This Row],[Unit Price]],Table_13[[#This Row],[Quantity]])</f>
        <v>2700000</v>
      </c>
      <c r="O1061" s="16">
        <f>PRODUCT(Table_13[[#This Row],[Cost Price]],Table_13[[#This Row],[Quantity]])</f>
        <v>2160000</v>
      </c>
      <c r="P1061" s="27">
        <f t="shared" si="38"/>
        <v>540000</v>
      </c>
    </row>
    <row r="1062" spans="1:16" x14ac:dyDescent="0.2">
      <c r="A1062" s="33">
        <v>46736</v>
      </c>
      <c r="B1062" s="30">
        <f t="shared" si="37"/>
        <v>12</v>
      </c>
      <c r="C1062" s="30" t="str">
        <f>_xlfn.IFS(Table_13[[#This Row],[Month]]=1,"JAN",Table_13[[#This Row],[Month]]=2,"FEB",B1062=3,"MAR",B1062=4,"APR",B1062=5,"MAY",B1062=6,"JUN",B1062=7,"JUL",B1062=8,"AUG",Table_13[[#This Row],[Month]]=9,"SEPT",B1062=10,"OCT",B1062=11,"NOV",B1062=12,"DEC")</f>
        <v>DEC</v>
      </c>
      <c r="D1062" s="2" t="s">
        <v>29</v>
      </c>
      <c r="E1062" s="2" t="s">
        <v>12</v>
      </c>
      <c r="F1062" s="2" t="s">
        <v>23</v>
      </c>
      <c r="G1062" s="2" t="s">
        <v>14</v>
      </c>
      <c r="H1062" s="2" t="s">
        <v>33</v>
      </c>
      <c r="I1062" s="2" t="s">
        <v>22</v>
      </c>
      <c r="J1062" s="15">
        <v>180000</v>
      </c>
      <c r="K1062" s="2">
        <v>5</v>
      </c>
      <c r="L1062" s="2" t="s">
        <v>39</v>
      </c>
      <c r="M1062" s="12">
        <f t="shared" si="36"/>
        <v>144000</v>
      </c>
      <c r="N1062" s="10">
        <f>PRODUCT(Table_13[[#This Row],[Unit Price]],Table_13[[#This Row],[Quantity]])</f>
        <v>900000</v>
      </c>
      <c r="O1062" s="16">
        <f>PRODUCT(Table_13[[#This Row],[Cost Price]],Table_13[[#This Row],[Quantity]])</f>
        <v>720000</v>
      </c>
      <c r="P1062" s="27">
        <f t="shared" si="38"/>
        <v>180000</v>
      </c>
    </row>
    <row r="1063" spans="1:16" x14ac:dyDescent="0.2">
      <c r="A1063" s="33">
        <v>46737</v>
      </c>
      <c r="B1063" s="30">
        <f t="shared" si="37"/>
        <v>12</v>
      </c>
      <c r="C1063" s="30" t="str">
        <f>_xlfn.IFS(Table_13[[#This Row],[Month]]=1,"JAN",Table_13[[#This Row],[Month]]=2,"FEB",B1063=3,"MAR",B1063=4,"APR",B1063=5,"MAY",B1063=6,"JUN",B1063=7,"JUL",B1063=8,"AUG",Table_13[[#This Row],[Month]]=9,"SEPT",B1063=10,"OCT",B1063=11,"NOV",B1063=12,"DEC")</f>
        <v>DEC</v>
      </c>
      <c r="D1063" s="2" t="s">
        <v>25</v>
      </c>
      <c r="E1063" s="2" t="s">
        <v>26</v>
      </c>
      <c r="F1063" s="2" t="s">
        <v>13</v>
      </c>
      <c r="G1063" s="2" t="s">
        <v>20</v>
      </c>
      <c r="H1063" s="2" t="s">
        <v>36</v>
      </c>
      <c r="I1063" s="2" t="s">
        <v>31</v>
      </c>
      <c r="J1063" s="15">
        <v>150000</v>
      </c>
      <c r="K1063" s="2">
        <v>5</v>
      </c>
      <c r="L1063" s="2" t="s">
        <v>28</v>
      </c>
      <c r="M1063" s="12">
        <f t="shared" si="36"/>
        <v>120000</v>
      </c>
      <c r="N1063" s="10">
        <f>PRODUCT(Table_13[[#This Row],[Unit Price]],Table_13[[#This Row],[Quantity]])</f>
        <v>750000</v>
      </c>
      <c r="O1063" s="16">
        <f>PRODUCT(Table_13[[#This Row],[Cost Price]],Table_13[[#This Row],[Quantity]])</f>
        <v>600000</v>
      </c>
      <c r="P1063" s="27">
        <f t="shared" si="38"/>
        <v>150000</v>
      </c>
    </row>
    <row r="1064" spans="1:16" x14ac:dyDescent="0.2">
      <c r="A1064" s="33">
        <v>46738</v>
      </c>
      <c r="B1064" s="30">
        <f t="shared" si="37"/>
        <v>12</v>
      </c>
      <c r="C1064" s="30" t="str">
        <f>_xlfn.IFS(Table_13[[#This Row],[Month]]=1,"JAN",Table_13[[#This Row],[Month]]=2,"FEB",B1064=3,"MAR",B1064=4,"APR",B1064=5,"MAY",B1064=6,"JUN",B1064=7,"JUL",B1064=8,"AUG",Table_13[[#This Row],[Month]]=9,"SEPT",B1064=10,"OCT",B1064=11,"NOV",B1064=12,"DEC")</f>
        <v>DEC</v>
      </c>
      <c r="D1064" s="2" t="s">
        <v>18</v>
      </c>
      <c r="E1064" s="2" t="s">
        <v>12</v>
      </c>
      <c r="F1064" s="2" t="s">
        <v>13</v>
      </c>
      <c r="G1064" s="2" t="s">
        <v>14</v>
      </c>
      <c r="H1064" s="2" t="s">
        <v>15</v>
      </c>
      <c r="I1064" s="2" t="s">
        <v>16</v>
      </c>
      <c r="J1064" s="15">
        <v>85000</v>
      </c>
      <c r="K1064" s="2">
        <v>9</v>
      </c>
      <c r="L1064" s="2" t="s">
        <v>28</v>
      </c>
      <c r="M1064" s="12">
        <f t="shared" si="36"/>
        <v>68000</v>
      </c>
      <c r="N1064" s="10">
        <f>PRODUCT(Table_13[[#This Row],[Unit Price]],Table_13[[#This Row],[Quantity]])</f>
        <v>765000</v>
      </c>
      <c r="O1064" s="16">
        <f>PRODUCT(Table_13[[#This Row],[Cost Price]],Table_13[[#This Row],[Quantity]])</f>
        <v>612000</v>
      </c>
      <c r="P1064" s="27">
        <f t="shared" si="38"/>
        <v>153000</v>
      </c>
    </row>
    <row r="1065" spans="1:16" x14ac:dyDescent="0.2">
      <c r="A1065" s="33">
        <v>46739</v>
      </c>
      <c r="B1065" s="30">
        <f t="shared" si="37"/>
        <v>12</v>
      </c>
      <c r="C1065" s="30" t="str">
        <f>_xlfn.IFS(Table_13[[#This Row],[Month]]=1,"JAN",Table_13[[#This Row],[Month]]=2,"FEB",B1065=3,"MAR",B1065=4,"APR",B1065=5,"MAY",B1065=6,"JUN",B1065=7,"JUL",B1065=8,"AUG",Table_13[[#This Row],[Month]]=9,"SEPT",B1065=10,"OCT",B1065=11,"NOV",B1065=12,"DEC")</f>
        <v>DEC</v>
      </c>
      <c r="D1065" s="2" t="s">
        <v>11</v>
      </c>
      <c r="E1065" s="2" t="s">
        <v>32</v>
      </c>
      <c r="F1065" s="2" t="s">
        <v>23</v>
      </c>
      <c r="G1065" s="2" t="s">
        <v>14</v>
      </c>
      <c r="H1065" s="2" t="s">
        <v>38</v>
      </c>
      <c r="I1065" s="2" t="s">
        <v>31</v>
      </c>
      <c r="J1065" s="15">
        <v>420000</v>
      </c>
      <c r="K1065" s="2">
        <v>5</v>
      </c>
      <c r="L1065" s="2" t="s">
        <v>39</v>
      </c>
      <c r="M1065" s="12">
        <f t="shared" si="36"/>
        <v>336000</v>
      </c>
      <c r="N1065" s="10">
        <f>PRODUCT(Table_13[[#This Row],[Unit Price]],Table_13[[#This Row],[Quantity]])</f>
        <v>2100000</v>
      </c>
      <c r="O1065" s="16">
        <f>PRODUCT(Table_13[[#This Row],[Cost Price]],Table_13[[#This Row],[Quantity]])</f>
        <v>1680000</v>
      </c>
      <c r="P1065" s="27">
        <f t="shared" si="38"/>
        <v>420000</v>
      </c>
    </row>
    <row r="1066" spans="1:16" x14ac:dyDescent="0.2">
      <c r="A1066" s="33">
        <v>46740</v>
      </c>
      <c r="B1066" s="30">
        <f t="shared" si="37"/>
        <v>12</v>
      </c>
      <c r="C1066" s="30" t="str">
        <f>_xlfn.IFS(Table_13[[#This Row],[Month]]=1,"JAN",Table_13[[#This Row],[Month]]=2,"FEB",B1066=3,"MAR",B1066=4,"APR",B1066=5,"MAY",B1066=6,"JUN",B1066=7,"JUL",B1066=8,"AUG",Table_13[[#This Row],[Month]]=9,"SEPT",B1066=10,"OCT",B1066=11,"NOV",B1066=12,"DEC")</f>
        <v>DEC</v>
      </c>
      <c r="D1066" s="2" t="s">
        <v>18</v>
      </c>
      <c r="E1066" s="2" t="s">
        <v>19</v>
      </c>
      <c r="F1066" s="2" t="s">
        <v>13</v>
      </c>
      <c r="G1066" s="2" t="s">
        <v>20</v>
      </c>
      <c r="H1066" s="2" t="s">
        <v>34</v>
      </c>
      <c r="I1066" s="2" t="s">
        <v>16</v>
      </c>
      <c r="J1066" s="15">
        <v>320000</v>
      </c>
      <c r="K1066" s="2">
        <v>4</v>
      </c>
      <c r="L1066" s="2" t="s">
        <v>28</v>
      </c>
      <c r="M1066" s="12">
        <f t="shared" si="36"/>
        <v>256000</v>
      </c>
      <c r="N1066" s="10">
        <f>PRODUCT(Table_13[[#This Row],[Unit Price]],Table_13[[#This Row],[Quantity]])</f>
        <v>1280000</v>
      </c>
      <c r="O1066" s="16">
        <f>PRODUCT(Table_13[[#This Row],[Cost Price]],Table_13[[#This Row],[Quantity]])</f>
        <v>1024000</v>
      </c>
      <c r="P1066" s="27">
        <f t="shared" si="38"/>
        <v>256000</v>
      </c>
    </row>
    <row r="1067" spans="1:16" x14ac:dyDescent="0.2">
      <c r="A1067" s="33">
        <v>46741</v>
      </c>
      <c r="B1067" s="30">
        <f t="shared" si="37"/>
        <v>12</v>
      </c>
      <c r="C1067" s="30" t="str">
        <f>_xlfn.IFS(Table_13[[#This Row],[Month]]=1,"JAN",Table_13[[#This Row],[Month]]=2,"FEB",B1067=3,"MAR",B1067=4,"APR",B1067=5,"MAY",B1067=6,"JUN",B1067=7,"JUL",B1067=8,"AUG",Table_13[[#This Row],[Month]]=9,"SEPT",B1067=10,"OCT",B1067=11,"NOV",B1067=12,"DEC")</f>
        <v>DEC</v>
      </c>
      <c r="D1067" s="2" t="s">
        <v>18</v>
      </c>
      <c r="E1067" s="2" t="s">
        <v>19</v>
      </c>
      <c r="F1067" s="2" t="s">
        <v>23</v>
      </c>
      <c r="G1067" s="2" t="s">
        <v>14</v>
      </c>
      <c r="H1067" s="2" t="s">
        <v>21</v>
      </c>
      <c r="I1067" s="2" t="s">
        <v>22</v>
      </c>
      <c r="J1067" s="15">
        <v>30000</v>
      </c>
      <c r="K1067" s="2">
        <v>4</v>
      </c>
      <c r="L1067" s="2" t="s">
        <v>28</v>
      </c>
      <c r="M1067" s="12">
        <f t="shared" si="36"/>
        <v>24000</v>
      </c>
      <c r="N1067" s="10">
        <f>PRODUCT(Table_13[[#This Row],[Unit Price]],Table_13[[#This Row],[Quantity]])</f>
        <v>120000</v>
      </c>
      <c r="O1067" s="16">
        <f>PRODUCT(Table_13[[#This Row],[Cost Price]],Table_13[[#This Row],[Quantity]])</f>
        <v>96000</v>
      </c>
      <c r="P1067" s="27">
        <f t="shared" si="38"/>
        <v>24000</v>
      </c>
    </row>
    <row r="1068" spans="1:16" x14ac:dyDescent="0.2">
      <c r="A1068" s="33">
        <v>46742</v>
      </c>
      <c r="B1068" s="30">
        <f t="shared" si="37"/>
        <v>12</v>
      </c>
      <c r="C1068" s="30" t="str">
        <f>_xlfn.IFS(Table_13[[#This Row],[Month]]=1,"JAN",Table_13[[#This Row],[Month]]=2,"FEB",B1068=3,"MAR",B1068=4,"APR",B1068=5,"MAY",B1068=6,"JUN",B1068=7,"JUL",B1068=8,"AUG",Table_13[[#This Row],[Month]]=9,"SEPT",B1068=10,"OCT",B1068=11,"NOV",B1068=12,"DEC")</f>
        <v>DEC</v>
      </c>
      <c r="D1068" s="2" t="s">
        <v>25</v>
      </c>
      <c r="E1068" s="2" t="s">
        <v>32</v>
      </c>
      <c r="F1068" s="2" t="s">
        <v>23</v>
      </c>
      <c r="G1068" s="2" t="s">
        <v>20</v>
      </c>
      <c r="H1068" s="2" t="s">
        <v>36</v>
      </c>
      <c r="I1068" s="2" t="s">
        <v>31</v>
      </c>
      <c r="J1068" s="15">
        <v>150000</v>
      </c>
      <c r="K1068" s="2">
        <v>3</v>
      </c>
      <c r="L1068" s="2" t="s">
        <v>37</v>
      </c>
      <c r="M1068" s="12">
        <f t="shared" si="36"/>
        <v>120000</v>
      </c>
      <c r="N1068" s="10">
        <f>PRODUCT(Table_13[[#This Row],[Unit Price]],Table_13[[#This Row],[Quantity]])</f>
        <v>450000</v>
      </c>
      <c r="O1068" s="16">
        <f>PRODUCT(Table_13[[#This Row],[Cost Price]],Table_13[[#This Row],[Quantity]])</f>
        <v>360000</v>
      </c>
      <c r="P1068" s="27">
        <f t="shared" si="38"/>
        <v>90000</v>
      </c>
    </row>
    <row r="1069" spans="1:16" x14ac:dyDescent="0.2">
      <c r="A1069" s="33">
        <v>46743</v>
      </c>
      <c r="B1069" s="30">
        <f t="shared" si="37"/>
        <v>12</v>
      </c>
      <c r="C1069" s="30" t="str">
        <f>_xlfn.IFS(Table_13[[#This Row],[Month]]=1,"JAN",Table_13[[#This Row],[Month]]=2,"FEB",B1069=3,"MAR",B1069=4,"APR",B1069=5,"MAY",B1069=6,"JUN",B1069=7,"JUL",B1069=8,"AUG",Table_13[[#This Row],[Month]]=9,"SEPT",B1069=10,"OCT",B1069=11,"NOV",B1069=12,"DEC")</f>
        <v>DEC</v>
      </c>
      <c r="D1069" s="2" t="s">
        <v>11</v>
      </c>
      <c r="E1069" s="2" t="s">
        <v>19</v>
      </c>
      <c r="F1069" s="2" t="s">
        <v>13</v>
      </c>
      <c r="G1069" s="2" t="s">
        <v>14</v>
      </c>
      <c r="H1069" s="2" t="s">
        <v>41</v>
      </c>
      <c r="I1069" s="2" t="s">
        <v>22</v>
      </c>
      <c r="J1069" s="15">
        <v>220000</v>
      </c>
      <c r="K1069" s="2">
        <v>7</v>
      </c>
      <c r="L1069" s="2" t="s">
        <v>17</v>
      </c>
      <c r="M1069" s="12">
        <f t="shared" si="36"/>
        <v>176000</v>
      </c>
      <c r="N1069" s="10">
        <f>PRODUCT(Table_13[[#This Row],[Unit Price]],Table_13[[#This Row],[Quantity]])</f>
        <v>1540000</v>
      </c>
      <c r="O1069" s="16">
        <f>PRODUCT(Table_13[[#This Row],[Cost Price]],Table_13[[#This Row],[Quantity]])</f>
        <v>1232000</v>
      </c>
      <c r="P1069" s="27">
        <f t="shared" si="38"/>
        <v>308000</v>
      </c>
    </row>
    <row r="1070" spans="1:16" x14ac:dyDescent="0.2">
      <c r="A1070" s="33">
        <v>46744</v>
      </c>
      <c r="B1070" s="30">
        <f t="shared" si="37"/>
        <v>12</v>
      </c>
      <c r="C1070" s="30" t="str">
        <f>_xlfn.IFS(Table_13[[#This Row],[Month]]=1,"JAN",Table_13[[#This Row],[Month]]=2,"FEB",B1070=3,"MAR",B1070=4,"APR",B1070=5,"MAY",B1070=6,"JUN",B1070=7,"JUL",B1070=8,"AUG",Table_13[[#This Row],[Month]]=9,"SEPT",B1070=10,"OCT",B1070=11,"NOV",B1070=12,"DEC")</f>
        <v>DEC</v>
      </c>
      <c r="D1070" s="2" t="s">
        <v>18</v>
      </c>
      <c r="E1070" s="2" t="s">
        <v>12</v>
      </c>
      <c r="F1070" s="2" t="s">
        <v>13</v>
      </c>
      <c r="G1070" s="2" t="s">
        <v>20</v>
      </c>
      <c r="H1070" s="2" t="s">
        <v>33</v>
      </c>
      <c r="I1070" s="2" t="s">
        <v>22</v>
      </c>
      <c r="J1070" s="15">
        <v>180000</v>
      </c>
      <c r="K1070" s="2">
        <v>10</v>
      </c>
      <c r="L1070" s="2" t="s">
        <v>35</v>
      </c>
      <c r="M1070" s="12">
        <f t="shared" si="36"/>
        <v>144000</v>
      </c>
      <c r="N1070" s="10">
        <f>PRODUCT(Table_13[[#This Row],[Unit Price]],Table_13[[#This Row],[Quantity]])</f>
        <v>1800000</v>
      </c>
      <c r="O1070" s="16">
        <f>PRODUCT(Table_13[[#This Row],[Cost Price]],Table_13[[#This Row],[Quantity]])</f>
        <v>1440000</v>
      </c>
      <c r="P1070" s="27">
        <f t="shared" si="38"/>
        <v>360000</v>
      </c>
    </row>
    <row r="1071" spans="1:16" x14ac:dyDescent="0.2">
      <c r="A1071" s="33">
        <v>46745</v>
      </c>
      <c r="B1071" s="30">
        <f t="shared" si="37"/>
        <v>12</v>
      </c>
      <c r="C1071" s="30" t="str">
        <f>_xlfn.IFS(Table_13[[#This Row],[Month]]=1,"JAN",Table_13[[#This Row],[Month]]=2,"FEB",B1071=3,"MAR",B1071=4,"APR",B1071=5,"MAY",B1071=6,"JUN",B1071=7,"JUL",B1071=8,"AUG",Table_13[[#This Row],[Month]]=9,"SEPT",B1071=10,"OCT",B1071=11,"NOV",B1071=12,"DEC")</f>
        <v>DEC</v>
      </c>
      <c r="D1071" s="2" t="s">
        <v>11</v>
      </c>
      <c r="E1071" s="2" t="s">
        <v>32</v>
      </c>
      <c r="F1071" s="2" t="s">
        <v>23</v>
      </c>
      <c r="G1071" s="2" t="s">
        <v>14</v>
      </c>
      <c r="H1071" s="2" t="s">
        <v>15</v>
      </c>
      <c r="I1071" s="2" t="s">
        <v>16</v>
      </c>
      <c r="J1071" s="15">
        <v>85000</v>
      </c>
      <c r="K1071" s="2">
        <v>7</v>
      </c>
      <c r="L1071" s="2" t="s">
        <v>24</v>
      </c>
      <c r="M1071" s="12">
        <f t="shared" si="36"/>
        <v>68000</v>
      </c>
      <c r="N1071" s="10">
        <f>PRODUCT(Table_13[[#This Row],[Unit Price]],Table_13[[#This Row],[Quantity]])</f>
        <v>595000</v>
      </c>
      <c r="O1071" s="16">
        <f>PRODUCT(Table_13[[#This Row],[Cost Price]],Table_13[[#This Row],[Quantity]])</f>
        <v>476000</v>
      </c>
      <c r="P1071" s="27">
        <f t="shared" si="38"/>
        <v>119000</v>
      </c>
    </row>
    <row r="1072" spans="1:16" x14ac:dyDescent="0.2">
      <c r="A1072" s="33">
        <v>46746</v>
      </c>
      <c r="B1072" s="30">
        <f t="shared" si="37"/>
        <v>12</v>
      </c>
      <c r="C1072" s="30" t="str">
        <f>_xlfn.IFS(Table_13[[#This Row],[Month]]=1,"JAN",Table_13[[#This Row],[Month]]=2,"FEB",B1072=3,"MAR",B1072=4,"APR",B1072=5,"MAY",B1072=6,"JUN",B1072=7,"JUL",B1072=8,"AUG",Table_13[[#This Row],[Month]]=9,"SEPT",B1072=10,"OCT",B1072=11,"NOV",B1072=12,"DEC")</f>
        <v>DEC</v>
      </c>
      <c r="D1072" s="2" t="s">
        <v>18</v>
      </c>
      <c r="E1072" s="2" t="s">
        <v>19</v>
      </c>
      <c r="F1072" s="2" t="s">
        <v>13</v>
      </c>
      <c r="G1072" s="2" t="s">
        <v>14</v>
      </c>
      <c r="H1072" s="2" t="s">
        <v>21</v>
      </c>
      <c r="I1072" s="2" t="s">
        <v>22</v>
      </c>
      <c r="J1072" s="15">
        <v>30000</v>
      </c>
      <c r="K1072" s="2">
        <v>3</v>
      </c>
      <c r="L1072" s="2" t="s">
        <v>24</v>
      </c>
      <c r="M1072" s="12">
        <f t="shared" si="36"/>
        <v>24000</v>
      </c>
      <c r="N1072" s="10">
        <f>PRODUCT(Table_13[[#This Row],[Unit Price]],Table_13[[#This Row],[Quantity]])</f>
        <v>90000</v>
      </c>
      <c r="O1072" s="16">
        <f>PRODUCT(Table_13[[#This Row],[Cost Price]],Table_13[[#This Row],[Quantity]])</f>
        <v>72000</v>
      </c>
      <c r="P1072" s="27">
        <f t="shared" si="38"/>
        <v>18000</v>
      </c>
    </row>
    <row r="1073" spans="1:16" x14ac:dyDescent="0.2">
      <c r="A1073" s="33">
        <v>46747</v>
      </c>
      <c r="B1073" s="30">
        <f t="shared" si="37"/>
        <v>12</v>
      </c>
      <c r="C1073" s="30" t="str">
        <f>_xlfn.IFS(Table_13[[#This Row],[Month]]=1,"JAN",Table_13[[#This Row],[Month]]=2,"FEB",B1073=3,"MAR",B1073=4,"APR",B1073=5,"MAY",B1073=6,"JUN",B1073=7,"JUL",B1073=8,"AUG",Table_13[[#This Row],[Month]]=9,"SEPT",B1073=10,"OCT",B1073=11,"NOV",B1073=12,"DEC")</f>
        <v>DEC</v>
      </c>
      <c r="D1073" s="2" t="s">
        <v>29</v>
      </c>
      <c r="E1073" s="2" t="s">
        <v>12</v>
      </c>
      <c r="F1073" s="2" t="s">
        <v>23</v>
      </c>
      <c r="G1073" s="2" t="s">
        <v>14</v>
      </c>
      <c r="H1073" s="2" t="s">
        <v>34</v>
      </c>
      <c r="I1073" s="2" t="s">
        <v>16</v>
      </c>
      <c r="J1073" s="15">
        <v>320000</v>
      </c>
      <c r="K1073" s="2">
        <v>9</v>
      </c>
      <c r="L1073" s="2" t="s">
        <v>37</v>
      </c>
      <c r="M1073" s="12">
        <f t="shared" si="36"/>
        <v>256000</v>
      </c>
      <c r="N1073" s="10">
        <f>PRODUCT(Table_13[[#This Row],[Unit Price]],Table_13[[#This Row],[Quantity]])</f>
        <v>2880000</v>
      </c>
      <c r="O1073" s="16">
        <f>PRODUCT(Table_13[[#This Row],[Cost Price]],Table_13[[#This Row],[Quantity]])</f>
        <v>2304000</v>
      </c>
      <c r="P1073" s="27">
        <f t="shared" si="38"/>
        <v>576000</v>
      </c>
    </row>
    <row r="1074" spans="1:16" x14ac:dyDescent="0.2">
      <c r="A1074" s="33">
        <v>46748</v>
      </c>
      <c r="B1074" s="30">
        <f t="shared" si="37"/>
        <v>12</v>
      </c>
      <c r="C1074" s="30" t="str">
        <f>_xlfn.IFS(Table_13[[#This Row],[Month]]=1,"JAN",Table_13[[#This Row],[Month]]=2,"FEB",B1074=3,"MAR",B1074=4,"APR",B1074=5,"MAY",B1074=6,"JUN",B1074=7,"JUL",B1074=8,"AUG",Table_13[[#This Row],[Month]]=9,"SEPT",B1074=10,"OCT",B1074=11,"NOV",B1074=12,"DEC")</f>
        <v>DEC</v>
      </c>
      <c r="D1074" s="2" t="s">
        <v>11</v>
      </c>
      <c r="E1074" s="2" t="s">
        <v>19</v>
      </c>
      <c r="F1074" s="2" t="s">
        <v>13</v>
      </c>
      <c r="G1074" s="2" t="s">
        <v>20</v>
      </c>
      <c r="H1074" s="2" t="s">
        <v>36</v>
      </c>
      <c r="I1074" s="2" t="s">
        <v>31</v>
      </c>
      <c r="J1074" s="15">
        <v>150000</v>
      </c>
      <c r="K1074" s="2">
        <v>2</v>
      </c>
      <c r="L1074" s="2" t="s">
        <v>24</v>
      </c>
      <c r="M1074" s="12">
        <f t="shared" si="36"/>
        <v>120000</v>
      </c>
      <c r="N1074" s="10">
        <f>PRODUCT(Table_13[[#This Row],[Unit Price]],Table_13[[#This Row],[Quantity]])</f>
        <v>300000</v>
      </c>
      <c r="O1074" s="16">
        <f>PRODUCT(Table_13[[#This Row],[Cost Price]],Table_13[[#This Row],[Quantity]])</f>
        <v>240000</v>
      </c>
      <c r="P1074" s="27">
        <f t="shared" si="38"/>
        <v>60000</v>
      </c>
    </row>
    <row r="1075" spans="1:16" x14ac:dyDescent="0.2">
      <c r="A1075" s="33">
        <v>46749</v>
      </c>
      <c r="B1075" s="30">
        <f t="shared" si="37"/>
        <v>12</v>
      </c>
      <c r="C1075" s="30" t="str">
        <f>_xlfn.IFS(Table_13[[#This Row],[Month]]=1,"JAN",Table_13[[#This Row],[Month]]=2,"FEB",B1075=3,"MAR",B1075=4,"APR",B1075=5,"MAY",B1075=6,"JUN",B1075=7,"JUL",B1075=8,"AUG",Table_13[[#This Row],[Month]]=9,"SEPT",B1075=10,"OCT",B1075=11,"NOV",B1075=12,"DEC")</f>
        <v>DEC</v>
      </c>
      <c r="D1075" s="2" t="s">
        <v>18</v>
      </c>
      <c r="E1075" s="2" t="s">
        <v>19</v>
      </c>
      <c r="F1075" s="2" t="s">
        <v>23</v>
      </c>
      <c r="G1075" s="2" t="s">
        <v>20</v>
      </c>
      <c r="H1075" s="2" t="s">
        <v>33</v>
      </c>
      <c r="I1075" s="2" t="s">
        <v>22</v>
      </c>
      <c r="J1075" s="15">
        <v>180000</v>
      </c>
      <c r="K1075" s="2">
        <v>8</v>
      </c>
      <c r="L1075" s="2" t="s">
        <v>37</v>
      </c>
      <c r="M1075" s="12">
        <f t="shared" si="36"/>
        <v>144000</v>
      </c>
      <c r="N1075" s="10">
        <f>PRODUCT(Table_13[[#This Row],[Unit Price]],Table_13[[#This Row],[Quantity]])</f>
        <v>1440000</v>
      </c>
      <c r="O1075" s="16">
        <f>PRODUCT(Table_13[[#This Row],[Cost Price]],Table_13[[#This Row],[Quantity]])</f>
        <v>1152000</v>
      </c>
      <c r="P1075" s="27">
        <f t="shared" si="38"/>
        <v>288000</v>
      </c>
    </row>
    <row r="1076" spans="1:16" x14ac:dyDescent="0.2">
      <c r="A1076" s="33">
        <v>46750</v>
      </c>
      <c r="B1076" s="30">
        <f t="shared" si="37"/>
        <v>12</v>
      </c>
      <c r="C1076" s="30" t="str">
        <f>_xlfn.IFS(Table_13[[#This Row],[Month]]=1,"JAN",Table_13[[#This Row],[Month]]=2,"FEB",B1076=3,"MAR",B1076=4,"APR",B1076=5,"MAY",B1076=6,"JUN",B1076=7,"JUL",B1076=8,"AUG",Table_13[[#This Row],[Month]]=9,"SEPT",B1076=10,"OCT",B1076=11,"NOV",B1076=12,"DEC")</f>
        <v>DEC</v>
      </c>
      <c r="D1076" s="2" t="s">
        <v>18</v>
      </c>
      <c r="E1076" s="2" t="s">
        <v>19</v>
      </c>
      <c r="F1076" s="2" t="s">
        <v>23</v>
      </c>
      <c r="G1076" s="2" t="s">
        <v>20</v>
      </c>
      <c r="H1076" s="2" t="s">
        <v>15</v>
      </c>
      <c r="I1076" s="2" t="s">
        <v>16</v>
      </c>
      <c r="J1076" s="15">
        <v>85000</v>
      </c>
      <c r="K1076" s="2">
        <v>7</v>
      </c>
      <c r="L1076" s="2" t="s">
        <v>17</v>
      </c>
      <c r="M1076" s="12">
        <f t="shared" si="36"/>
        <v>68000</v>
      </c>
      <c r="N1076" s="10">
        <f>PRODUCT(Table_13[[#This Row],[Unit Price]],Table_13[[#This Row],[Quantity]])</f>
        <v>595000</v>
      </c>
      <c r="O1076" s="16">
        <f>PRODUCT(Table_13[[#This Row],[Cost Price]],Table_13[[#This Row],[Quantity]])</f>
        <v>476000</v>
      </c>
      <c r="P1076" s="27">
        <f t="shared" si="38"/>
        <v>119000</v>
      </c>
    </row>
    <row r="1077" spans="1:16" x14ac:dyDescent="0.2">
      <c r="A1077" s="33">
        <v>46751</v>
      </c>
      <c r="B1077" s="30">
        <f t="shared" si="37"/>
        <v>12</v>
      </c>
      <c r="C1077" s="30" t="str">
        <f>_xlfn.IFS(Table_13[[#This Row],[Month]]=1,"JAN",Table_13[[#This Row],[Month]]=2,"FEB",B1077=3,"MAR",B1077=4,"APR",B1077=5,"MAY",B1077=6,"JUN",B1077=7,"JUL",B1077=8,"AUG",Table_13[[#This Row],[Month]]=9,"SEPT",B1077=10,"OCT",B1077=11,"NOV",B1077=12,"DEC")</f>
        <v>DEC</v>
      </c>
      <c r="D1077" s="2" t="s">
        <v>11</v>
      </c>
      <c r="E1077" s="2" t="s">
        <v>32</v>
      </c>
      <c r="F1077" s="2" t="s">
        <v>23</v>
      </c>
      <c r="G1077" s="2" t="s">
        <v>14</v>
      </c>
      <c r="H1077" s="2" t="s">
        <v>33</v>
      </c>
      <c r="I1077" s="2" t="s">
        <v>22</v>
      </c>
      <c r="J1077" s="15">
        <v>180000</v>
      </c>
      <c r="K1077" s="2">
        <v>8</v>
      </c>
      <c r="L1077" s="2" t="s">
        <v>39</v>
      </c>
      <c r="M1077" s="12">
        <f t="shared" si="36"/>
        <v>144000</v>
      </c>
      <c r="N1077" s="10">
        <f>PRODUCT(Table_13[[#This Row],[Unit Price]],Table_13[[#This Row],[Quantity]])</f>
        <v>1440000</v>
      </c>
      <c r="O1077" s="16">
        <f>PRODUCT(Table_13[[#This Row],[Cost Price]],Table_13[[#This Row],[Quantity]])</f>
        <v>1152000</v>
      </c>
      <c r="P1077" s="27">
        <f t="shared" si="38"/>
        <v>288000</v>
      </c>
    </row>
    <row r="1078" spans="1:16" x14ac:dyDescent="0.2">
      <c r="A1078" s="33">
        <v>46752</v>
      </c>
      <c r="B1078" s="30">
        <f t="shared" si="37"/>
        <v>12</v>
      </c>
      <c r="C1078" s="30" t="str">
        <f>_xlfn.IFS(Table_13[[#This Row],[Month]]=1,"JAN",Table_13[[#This Row],[Month]]=2,"FEB",B1078=3,"MAR",B1078=4,"APR",B1078=5,"MAY",B1078=6,"JUN",B1078=7,"JUL",B1078=8,"AUG",Table_13[[#This Row],[Month]]=9,"SEPT",B1078=10,"OCT",B1078=11,"NOV",B1078=12,"DEC")</f>
        <v>DEC</v>
      </c>
      <c r="D1078" s="2" t="s">
        <v>29</v>
      </c>
      <c r="E1078" s="2" t="s">
        <v>12</v>
      </c>
      <c r="F1078" s="2" t="s">
        <v>23</v>
      </c>
      <c r="G1078" s="2" t="s">
        <v>14</v>
      </c>
      <c r="H1078" s="2" t="s">
        <v>41</v>
      </c>
      <c r="I1078" s="2" t="s">
        <v>22</v>
      </c>
      <c r="J1078" s="15">
        <v>220000</v>
      </c>
      <c r="K1078" s="2">
        <v>5</v>
      </c>
      <c r="L1078" s="2" t="s">
        <v>39</v>
      </c>
      <c r="M1078" s="12">
        <f t="shared" si="36"/>
        <v>176000</v>
      </c>
      <c r="N1078" s="10">
        <f>PRODUCT(Table_13[[#This Row],[Unit Price]],Table_13[[#This Row],[Quantity]])</f>
        <v>1100000</v>
      </c>
      <c r="O1078" s="16">
        <f>PRODUCT(Table_13[[#This Row],[Cost Price]],Table_13[[#This Row],[Quantity]])</f>
        <v>880000</v>
      </c>
      <c r="P1078" s="27">
        <f t="shared" si="38"/>
        <v>220000</v>
      </c>
    </row>
    <row r="1079" spans="1:16" x14ac:dyDescent="0.2">
      <c r="A1079" s="33">
        <v>46753</v>
      </c>
      <c r="B1079" s="30">
        <f t="shared" si="37"/>
        <v>1</v>
      </c>
      <c r="C1079" s="30" t="str">
        <f>_xlfn.IFS(Table_13[[#This Row],[Month]]=1,"JAN",Table_13[[#This Row],[Month]]=2,"FEB",B1079=3,"MAR",B1079=4,"APR",B1079=5,"MAY",B1079=6,"JUN",B1079=7,"JUL",B1079=8,"AUG",Table_13[[#This Row],[Month]]=9,"SEPT",B1079=10,"OCT",B1079=11,"NOV",B1079=12,"DEC")</f>
        <v>JAN</v>
      </c>
      <c r="D1079" s="2" t="s">
        <v>29</v>
      </c>
      <c r="E1079" s="2" t="s">
        <v>26</v>
      </c>
      <c r="F1079" s="2" t="s">
        <v>13</v>
      </c>
      <c r="G1079" s="2" t="s">
        <v>14</v>
      </c>
      <c r="H1079" s="2" t="s">
        <v>30</v>
      </c>
      <c r="I1079" s="2" t="s">
        <v>31</v>
      </c>
      <c r="J1079" s="15">
        <v>300000</v>
      </c>
      <c r="K1079" s="2">
        <v>5</v>
      </c>
      <c r="L1079" s="2" t="s">
        <v>37</v>
      </c>
      <c r="M1079" s="12">
        <f t="shared" si="36"/>
        <v>240000</v>
      </c>
      <c r="N1079" s="10">
        <f>PRODUCT(Table_13[[#This Row],[Unit Price]],Table_13[[#This Row],[Quantity]])</f>
        <v>1500000</v>
      </c>
      <c r="O1079" s="16">
        <f>PRODUCT(Table_13[[#This Row],[Cost Price]],Table_13[[#This Row],[Quantity]])</f>
        <v>1200000</v>
      </c>
      <c r="P1079" s="27">
        <f t="shared" si="38"/>
        <v>300000</v>
      </c>
    </row>
    <row r="1080" spans="1:16" x14ac:dyDescent="0.2">
      <c r="A1080" s="33">
        <v>46754</v>
      </c>
      <c r="B1080" s="30">
        <f t="shared" si="37"/>
        <v>1</v>
      </c>
      <c r="C1080" s="30" t="str">
        <f>_xlfn.IFS(Table_13[[#This Row],[Month]]=1,"JAN",Table_13[[#This Row],[Month]]=2,"FEB",B1080=3,"MAR",B1080=4,"APR",B1080=5,"MAY",B1080=6,"JUN",B1080=7,"JUL",B1080=8,"AUG",Table_13[[#This Row],[Month]]=9,"SEPT",B1080=10,"OCT",B1080=11,"NOV",B1080=12,"DEC")</f>
        <v>JAN</v>
      </c>
      <c r="D1080" s="2" t="s">
        <v>29</v>
      </c>
      <c r="E1080" s="2" t="s">
        <v>32</v>
      </c>
      <c r="F1080" s="2" t="s">
        <v>13</v>
      </c>
      <c r="G1080" s="2" t="s">
        <v>20</v>
      </c>
      <c r="H1080" s="2" t="s">
        <v>40</v>
      </c>
      <c r="I1080" s="2" t="s">
        <v>31</v>
      </c>
      <c r="J1080" s="15">
        <v>250000</v>
      </c>
      <c r="K1080" s="2">
        <v>7</v>
      </c>
      <c r="L1080" s="2" t="s">
        <v>17</v>
      </c>
      <c r="M1080" s="12">
        <f t="shared" si="36"/>
        <v>200000</v>
      </c>
      <c r="N1080" s="10">
        <f>PRODUCT(Table_13[[#This Row],[Unit Price]],Table_13[[#This Row],[Quantity]])</f>
        <v>1750000</v>
      </c>
      <c r="O1080" s="16">
        <f>PRODUCT(Table_13[[#This Row],[Cost Price]],Table_13[[#This Row],[Quantity]])</f>
        <v>1400000</v>
      </c>
      <c r="P1080" s="27">
        <f t="shared" si="38"/>
        <v>350000</v>
      </c>
    </row>
    <row r="1081" spans="1:16" x14ac:dyDescent="0.2">
      <c r="A1081" s="33">
        <v>46755</v>
      </c>
      <c r="B1081" s="30">
        <f t="shared" si="37"/>
        <v>1</v>
      </c>
      <c r="C1081" s="30" t="str">
        <f>_xlfn.IFS(Table_13[[#This Row],[Month]]=1,"JAN",Table_13[[#This Row],[Month]]=2,"FEB",B1081=3,"MAR",B1081=4,"APR",B1081=5,"MAY",B1081=6,"JUN",B1081=7,"JUL",B1081=8,"AUG",Table_13[[#This Row],[Month]]=9,"SEPT",B1081=10,"OCT",B1081=11,"NOV",B1081=12,"DEC")</f>
        <v>JAN</v>
      </c>
      <c r="D1081" s="2" t="s">
        <v>11</v>
      </c>
      <c r="E1081" s="2" t="s">
        <v>32</v>
      </c>
      <c r="F1081" s="2" t="s">
        <v>23</v>
      </c>
      <c r="G1081" s="2" t="s">
        <v>20</v>
      </c>
      <c r="H1081" s="2" t="s">
        <v>27</v>
      </c>
      <c r="I1081" s="2" t="s">
        <v>22</v>
      </c>
      <c r="J1081" s="15">
        <v>60000</v>
      </c>
      <c r="K1081" s="2">
        <v>7</v>
      </c>
      <c r="L1081" s="2" t="s">
        <v>37</v>
      </c>
      <c r="M1081" s="12">
        <f t="shared" si="36"/>
        <v>48000</v>
      </c>
      <c r="N1081" s="10">
        <f>PRODUCT(Table_13[[#This Row],[Unit Price]],Table_13[[#This Row],[Quantity]])</f>
        <v>420000</v>
      </c>
      <c r="O1081" s="16">
        <f>PRODUCT(Table_13[[#This Row],[Cost Price]],Table_13[[#This Row],[Quantity]])</f>
        <v>336000</v>
      </c>
      <c r="P1081" s="27">
        <f t="shared" si="38"/>
        <v>84000</v>
      </c>
    </row>
    <row r="1082" spans="1:16" x14ac:dyDescent="0.2">
      <c r="A1082" s="33">
        <v>46756</v>
      </c>
      <c r="B1082" s="30">
        <f t="shared" si="37"/>
        <v>1</v>
      </c>
      <c r="C1082" s="30" t="str">
        <f>_xlfn.IFS(Table_13[[#This Row],[Month]]=1,"JAN",Table_13[[#This Row],[Month]]=2,"FEB",B1082=3,"MAR",B1082=4,"APR",B1082=5,"MAY",B1082=6,"JUN",B1082=7,"JUL",B1082=8,"AUG",Table_13[[#This Row],[Month]]=9,"SEPT",B1082=10,"OCT",B1082=11,"NOV",B1082=12,"DEC")</f>
        <v>JAN</v>
      </c>
      <c r="D1082" s="2" t="s">
        <v>18</v>
      </c>
      <c r="E1082" s="2" t="s">
        <v>12</v>
      </c>
      <c r="F1082" s="2" t="s">
        <v>23</v>
      </c>
      <c r="G1082" s="2" t="s">
        <v>14</v>
      </c>
      <c r="H1082" s="2" t="s">
        <v>15</v>
      </c>
      <c r="I1082" s="2" t="s">
        <v>16</v>
      </c>
      <c r="J1082" s="15">
        <v>85000</v>
      </c>
      <c r="K1082" s="2">
        <v>2</v>
      </c>
      <c r="L1082" s="2" t="s">
        <v>35</v>
      </c>
      <c r="M1082" s="12">
        <f t="shared" si="36"/>
        <v>68000</v>
      </c>
      <c r="N1082" s="10">
        <f>PRODUCT(Table_13[[#This Row],[Unit Price]],Table_13[[#This Row],[Quantity]])</f>
        <v>170000</v>
      </c>
      <c r="O1082" s="16">
        <f>PRODUCT(Table_13[[#This Row],[Cost Price]],Table_13[[#This Row],[Quantity]])</f>
        <v>136000</v>
      </c>
      <c r="P1082" s="27">
        <f t="shared" si="38"/>
        <v>34000</v>
      </c>
    </row>
    <row r="1083" spans="1:16" x14ac:dyDescent="0.2">
      <c r="A1083" s="33">
        <v>46757</v>
      </c>
      <c r="B1083" s="30">
        <f t="shared" si="37"/>
        <v>1</v>
      </c>
      <c r="C1083" s="30" t="str">
        <f>_xlfn.IFS(Table_13[[#This Row],[Month]]=1,"JAN",Table_13[[#This Row],[Month]]=2,"FEB",B1083=3,"MAR",B1083=4,"APR",B1083=5,"MAY",B1083=6,"JUN",B1083=7,"JUL",B1083=8,"AUG",Table_13[[#This Row],[Month]]=9,"SEPT",B1083=10,"OCT",B1083=11,"NOV",B1083=12,"DEC")</f>
        <v>JAN</v>
      </c>
      <c r="D1083" s="2" t="s">
        <v>11</v>
      </c>
      <c r="E1083" s="2" t="s">
        <v>12</v>
      </c>
      <c r="F1083" s="2" t="s">
        <v>13</v>
      </c>
      <c r="G1083" s="2" t="s">
        <v>20</v>
      </c>
      <c r="H1083" s="2" t="s">
        <v>27</v>
      </c>
      <c r="I1083" s="2" t="s">
        <v>22</v>
      </c>
      <c r="J1083" s="15">
        <v>60000</v>
      </c>
      <c r="K1083" s="2">
        <v>2</v>
      </c>
      <c r="L1083" s="2" t="s">
        <v>39</v>
      </c>
      <c r="M1083" s="12">
        <f t="shared" si="36"/>
        <v>48000</v>
      </c>
      <c r="N1083" s="10">
        <f>PRODUCT(Table_13[[#This Row],[Unit Price]],Table_13[[#This Row],[Quantity]])</f>
        <v>120000</v>
      </c>
      <c r="O1083" s="16">
        <f>PRODUCT(Table_13[[#This Row],[Cost Price]],Table_13[[#This Row],[Quantity]])</f>
        <v>96000</v>
      </c>
      <c r="P1083" s="27">
        <f t="shared" si="38"/>
        <v>24000</v>
      </c>
    </row>
    <row r="1084" spans="1:16" x14ac:dyDescent="0.2">
      <c r="A1084" s="33">
        <v>46758</v>
      </c>
      <c r="B1084" s="30">
        <f t="shared" si="37"/>
        <v>1</v>
      </c>
      <c r="C1084" s="30" t="str">
        <f>_xlfn.IFS(Table_13[[#This Row],[Month]]=1,"JAN",Table_13[[#This Row],[Month]]=2,"FEB",B1084=3,"MAR",B1084=4,"APR",B1084=5,"MAY",B1084=6,"JUN",B1084=7,"JUL",B1084=8,"AUG",Table_13[[#This Row],[Month]]=9,"SEPT",B1084=10,"OCT",B1084=11,"NOV",B1084=12,"DEC")</f>
        <v>JAN</v>
      </c>
      <c r="D1084" s="2" t="s">
        <v>18</v>
      </c>
      <c r="E1084" s="2" t="s">
        <v>32</v>
      </c>
      <c r="F1084" s="2" t="s">
        <v>23</v>
      </c>
      <c r="G1084" s="2" t="s">
        <v>14</v>
      </c>
      <c r="H1084" s="2" t="s">
        <v>21</v>
      </c>
      <c r="I1084" s="2" t="s">
        <v>22</v>
      </c>
      <c r="J1084" s="15">
        <v>30000</v>
      </c>
      <c r="K1084" s="2">
        <v>10</v>
      </c>
      <c r="L1084" s="2" t="s">
        <v>39</v>
      </c>
      <c r="M1084" s="12">
        <f t="shared" si="36"/>
        <v>24000</v>
      </c>
      <c r="N1084" s="10">
        <f>PRODUCT(Table_13[[#This Row],[Unit Price]],Table_13[[#This Row],[Quantity]])</f>
        <v>300000</v>
      </c>
      <c r="O1084" s="16">
        <f>PRODUCT(Table_13[[#This Row],[Cost Price]],Table_13[[#This Row],[Quantity]])</f>
        <v>240000</v>
      </c>
      <c r="P1084" s="27">
        <f t="shared" si="38"/>
        <v>60000</v>
      </c>
    </row>
    <row r="1085" spans="1:16" x14ac:dyDescent="0.2">
      <c r="A1085" s="33">
        <v>46759</v>
      </c>
      <c r="B1085" s="30">
        <f t="shared" si="37"/>
        <v>1</v>
      </c>
      <c r="C1085" s="30" t="str">
        <f>_xlfn.IFS(Table_13[[#This Row],[Month]]=1,"JAN",Table_13[[#This Row],[Month]]=2,"FEB",B1085=3,"MAR",B1085=4,"APR",B1085=5,"MAY",B1085=6,"JUN",B1085=7,"JUL",B1085=8,"AUG",Table_13[[#This Row],[Month]]=9,"SEPT",B1085=10,"OCT",B1085=11,"NOV",B1085=12,"DEC")</f>
        <v>JAN</v>
      </c>
      <c r="D1085" s="2" t="s">
        <v>29</v>
      </c>
      <c r="E1085" s="2" t="s">
        <v>19</v>
      </c>
      <c r="F1085" s="2" t="s">
        <v>23</v>
      </c>
      <c r="G1085" s="2" t="s">
        <v>20</v>
      </c>
      <c r="H1085" s="2" t="s">
        <v>38</v>
      </c>
      <c r="I1085" s="2" t="s">
        <v>31</v>
      </c>
      <c r="J1085" s="15">
        <v>420000</v>
      </c>
      <c r="K1085" s="2">
        <v>8</v>
      </c>
      <c r="L1085" s="2" t="s">
        <v>24</v>
      </c>
      <c r="M1085" s="12">
        <f t="shared" si="36"/>
        <v>336000</v>
      </c>
      <c r="N1085" s="10">
        <f>PRODUCT(Table_13[[#This Row],[Unit Price]],Table_13[[#This Row],[Quantity]])</f>
        <v>3360000</v>
      </c>
      <c r="O1085" s="16">
        <f>PRODUCT(Table_13[[#This Row],[Cost Price]],Table_13[[#This Row],[Quantity]])</f>
        <v>2688000</v>
      </c>
      <c r="P1085" s="27">
        <f t="shared" si="38"/>
        <v>672000</v>
      </c>
    </row>
    <row r="1086" spans="1:16" x14ac:dyDescent="0.2">
      <c r="A1086" s="33">
        <v>46760</v>
      </c>
      <c r="B1086" s="30">
        <f t="shared" si="37"/>
        <v>1</v>
      </c>
      <c r="C1086" s="30" t="str">
        <f>_xlfn.IFS(Table_13[[#This Row],[Month]]=1,"JAN",Table_13[[#This Row],[Month]]=2,"FEB",B1086=3,"MAR",B1086=4,"APR",B1086=5,"MAY",B1086=6,"JUN",B1086=7,"JUL",B1086=8,"AUG",Table_13[[#This Row],[Month]]=9,"SEPT",B1086=10,"OCT",B1086=11,"NOV",B1086=12,"DEC")</f>
        <v>JAN</v>
      </c>
      <c r="D1086" s="2" t="s">
        <v>11</v>
      </c>
      <c r="E1086" s="2" t="s">
        <v>19</v>
      </c>
      <c r="F1086" s="2" t="s">
        <v>23</v>
      </c>
      <c r="G1086" s="2" t="s">
        <v>14</v>
      </c>
      <c r="H1086" s="2" t="s">
        <v>27</v>
      </c>
      <c r="I1086" s="2" t="s">
        <v>22</v>
      </c>
      <c r="J1086" s="15">
        <v>60000</v>
      </c>
      <c r="K1086" s="2">
        <v>2</v>
      </c>
      <c r="L1086" s="2" t="s">
        <v>37</v>
      </c>
      <c r="M1086" s="12">
        <f t="shared" si="36"/>
        <v>48000</v>
      </c>
      <c r="N1086" s="10">
        <f>PRODUCT(Table_13[[#This Row],[Unit Price]],Table_13[[#This Row],[Quantity]])</f>
        <v>120000</v>
      </c>
      <c r="O1086" s="16">
        <f>PRODUCT(Table_13[[#This Row],[Cost Price]],Table_13[[#This Row],[Quantity]])</f>
        <v>96000</v>
      </c>
      <c r="P1086" s="27">
        <f t="shared" si="38"/>
        <v>24000</v>
      </c>
    </row>
    <row r="1087" spans="1:16" x14ac:dyDescent="0.2">
      <c r="A1087" s="33">
        <v>46761</v>
      </c>
      <c r="B1087" s="30">
        <f t="shared" si="37"/>
        <v>1</v>
      </c>
      <c r="C1087" s="30" t="str">
        <f>_xlfn.IFS(Table_13[[#This Row],[Month]]=1,"JAN",Table_13[[#This Row],[Month]]=2,"FEB",B1087=3,"MAR",B1087=4,"APR",B1087=5,"MAY",B1087=6,"JUN",B1087=7,"JUL",B1087=8,"AUG",Table_13[[#This Row],[Month]]=9,"SEPT",B1087=10,"OCT",B1087=11,"NOV",B1087=12,"DEC")</f>
        <v>JAN</v>
      </c>
      <c r="D1087" s="2" t="s">
        <v>25</v>
      </c>
      <c r="E1087" s="2" t="s">
        <v>26</v>
      </c>
      <c r="F1087" s="2" t="s">
        <v>23</v>
      </c>
      <c r="G1087" s="2" t="s">
        <v>20</v>
      </c>
      <c r="H1087" s="2" t="s">
        <v>15</v>
      </c>
      <c r="I1087" s="2" t="s">
        <v>16</v>
      </c>
      <c r="J1087" s="15">
        <v>85000</v>
      </c>
      <c r="K1087" s="2">
        <v>8</v>
      </c>
      <c r="L1087" s="2" t="s">
        <v>39</v>
      </c>
      <c r="M1087" s="12">
        <f t="shared" si="36"/>
        <v>68000</v>
      </c>
      <c r="N1087" s="10">
        <f>PRODUCT(Table_13[[#This Row],[Unit Price]],Table_13[[#This Row],[Quantity]])</f>
        <v>680000</v>
      </c>
      <c r="O1087" s="16">
        <f>PRODUCT(Table_13[[#This Row],[Cost Price]],Table_13[[#This Row],[Quantity]])</f>
        <v>544000</v>
      </c>
      <c r="P1087" s="27">
        <f t="shared" si="38"/>
        <v>136000</v>
      </c>
    </row>
    <row r="1088" spans="1:16" x14ac:dyDescent="0.2">
      <c r="A1088" s="33">
        <v>46762</v>
      </c>
      <c r="B1088" s="30">
        <f t="shared" si="37"/>
        <v>1</v>
      </c>
      <c r="C1088" s="30" t="str">
        <f>_xlfn.IFS(Table_13[[#This Row],[Month]]=1,"JAN",Table_13[[#This Row],[Month]]=2,"FEB",B1088=3,"MAR",B1088=4,"APR",B1088=5,"MAY",B1088=6,"JUN",B1088=7,"JUL",B1088=8,"AUG",Table_13[[#This Row],[Month]]=9,"SEPT",B1088=10,"OCT",B1088=11,"NOV",B1088=12,"DEC")</f>
        <v>JAN</v>
      </c>
      <c r="D1088" s="2" t="s">
        <v>11</v>
      </c>
      <c r="E1088" s="2" t="s">
        <v>12</v>
      </c>
      <c r="F1088" s="2" t="s">
        <v>13</v>
      </c>
      <c r="G1088" s="2" t="s">
        <v>20</v>
      </c>
      <c r="H1088" s="2" t="s">
        <v>38</v>
      </c>
      <c r="I1088" s="2" t="s">
        <v>31</v>
      </c>
      <c r="J1088" s="15">
        <v>420000</v>
      </c>
      <c r="K1088" s="2">
        <v>7</v>
      </c>
      <c r="L1088" s="2" t="s">
        <v>35</v>
      </c>
      <c r="M1088" s="12">
        <f t="shared" si="36"/>
        <v>336000</v>
      </c>
      <c r="N1088" s="10">
        <f>PRODUCT(Table_13[[#This Row],[Unit Price]],Table_13[[#This Row],[Quantity]])</f>
        <v>2940000</v>
      </c>
      <c r="O1088" s="16">
        <f>PRODUCT(Table_13[[#This Row],[Cost Price]],Table_13[[#This Row],[Quantity]])</f>
        <v>2352000</v>
      </c>
      <c r="P1088" s="27">
        <f t="shared" si="38"/>
        <v>588000</v>
      </c>
    </row>
    <row r="1089" spans="1:16" x14ac:dyDescent="0.2">
      <c r="A1089" s="33">
        <v>46763</v>
      </c>
      <c r="B1089" s="30">
        <f t="shared" si="37"/>
        <v>1</v>
      </c>
      <c r="C1089" s="30" t="str">
        <f>_xlfn.IFS(Table_13[[#This Row],[Month]]=1,"JAN",Table_13[[#This Row],[Month]]=2,"FEB",B1089=3,"MAR",B1089=4,"APR",B1089=5,"MAY",B1089=6,"JUN",B1089=7,"JUL",B1089=8,"AUG",Table_13[[#This Row],[Month]]=9,"SEPT",B1089=10,"OCT",B1089=11,"NOV",B1089=12,"DEC")</f>
        <v>JAN</v>
      </c>
      <c r="D1089" s="2" t="s">
        <v>18</v>
      </c>
      <c r="E1089" s="2" t="s">
        <v>32</v>
      </c>
      <c r="F1089" s="2" t="s">
        <v>13</v>
      </c>
      <c r="G1089" s="2" t="s">
        <v>20</v>
      </c>
      <c r="H1089" s="2" t="s">
        <v>30</v>
      </c>
      <c r="I1089" s="2" t="s">
        <v>31</v>
      </c>
      <c r="J1089" s="15">
        <v>300000</v>
      </c>
      <c r="K1089" s="2">
        <v>6</v>
      </c>
      <c r="L1089" s="2" t="s">
        <v>39</v>
      </c>
      <c r="M1089" s="12">
        <f t="shared" si="36"/>
        <v>240000</v>
      </c>
      <c r="N1089" s="10">
        <f>PRODUCT(Table_13[[#This Row],[Unit Price]],Table_13[[#This Row],[Quantity]])</f>
        <v>1800000</v>
      </c>
      <c r="O1089" s="16">
        <f>PRODUCT(Table_13[[#This Row],[Cost Price]],Table_13[[#This Row],[Quantity]])</f>
        <v>1440000</v>
      </c>
      <c r="P1089" s="27">
        <f t="shared" si="38"/>
        <v>360000</v>
      </c>
    </row>
    <row r="1090" spans="1:16" x14ac:dyDescent="0.2">
      <c r="A1090" s="33">
        <v>46764</v>
      </c>
      <c r="B1090" s="30">
        <f t="shared" ref="B1090:B1153" si="39">MONTH(A1090)</f>
        <v>1</v>
      </c>
      <c r="C1090" s="30" t="str">
        <f>_xlfn.IFS(Table_13[[#This Row],[Month]]=1,"JAN",Table_13[[#This Row],[Month]]=2,"FEB",B1090=3,"MAR",B1090=4,"APR",B1090=5,"MAY",B1090=6,"JUN",B1090=7,"JUL",B1090=8,"AUG",Table_13[[#This Row],[Month]]=9,"SEPT",B1090=10,"OCT",B1090=11,"NOV",B1090=12,"DEC")</f>
        <v>JAN</v>
      </c>
      <c r="D1090" s="2" t="s">
        <v>29</v>
      </c>
      <c r="E1090" s="2" t="s">
        <v>12</v>
      </c>
      <c r="F1090" s="2" t="s">
        <v>13</v>
      </c>
      <c r="G1090" s="2" t="s">
        <v>14</v>
      </c>
      <c r="H1090" s="2" t="s">
        <v>38</v>
      </c>
      <c r="I1090" s="2" t="s">
        <v>31</v>
      </c>
      <c r="J1090" s="15">
        <v>420000</v>
      </c>
      <c r="K1090" s="2">
        <v>2</v>
      </c>
      <c r="L1090" s="2" t="s">
        <v>37</v>
      </c>
      <c r="M1090" s="12">
        <f t="shared" si="36"/>
        <v>336000</v>
      </c>
      <c r="N1090" s="10">
        <f>PRODUCT(Table_13[[#This Row],[Unit Price]],Table_13[[#This Row],[Quantity]])</f>
        <v>840000</v>
      </c>
      <c r="O1090" s="16">
        <f>PRODUCT(Table_13[[#This Row],[Cost Price]],Table_13[[#This Row],[Quantity]])</f>
        <v>672000</v>
      </c>
      <c r="P1090" s="27">
        <f t="shared" ref="P1090:P1153" si="40">N1090-O1090</f>
        <v>168000</v>
      </c>
    </row>
    <row r="1091" spans="1:16" x14ac:dyDescent="0.2">
      <c r="A1091" s="33">
        <v>46765</v>
      </c>
      <c r="B1091" s="30">
        <f t="shared" si="39"/>
        <v>1</v>
      </c>
      <c r="C1091" s="30" t="str">
        <f>_xlfn.IFS(Table_13[[#This Row],[Month]]=1,"JAN",Table_13[[#This Row],[Month]]=2,"FEB",B1091=3,"MAR",B1091=4,"APR",B1091=5,"MAY",B1091=6,"JUN",B1091=7,"JUL",B1091=8,"AUG",Table_13[[#This Row],[Month]]=9,"SEPT",B1091=10,"OCT",B1091=11,"NOV",B1091=12,"DEC")</f>
        <v>JAN</v>
      </c>
      <c r="D1091" s="2" t="s">
        <v>29</v>
      </c>
      <c r="E1091" s="2" t="s">
        <v>12</v>
      </c>
      <c r="F1091" s="2" t="s">
        <v>23</v>
      </c>
      <c r="G1091" s="2" t="s">
        <v>14</v>
      </c>
      <c r="H1091" s="2" t="s">
        <v>30</v>
      </c>
      <c r="I1091" s="2" t="s">
        <v>31</v>
      </c>
      <c r="J1091" s="15">
        <v>300000</v>
      </c>
      <c r="K1091" s="2">
        <v>8</v>
      </c>
      <c r="L1091" s="2" t="s">
        <v>35</v>
      </c>
      <c r="M1091" s="12">
        <f t="shared" si="36"/>
        <v>240000</v>
      </c>
      <c r="N1091" s="10">
        <f>PRODUCT(Table_13[[#This Row],[Unit Price]],Table_13[[#This Row],[Quantity]])</f>
        <v>2400000</v>
      </c>
      <c r="O1091" s="16">
        <f>PRODUCT(Table_13[[#This Row],[Cost Price]],Table_13[[#This Row],[Quantity]])</f>
        <v>1920000</v>
      </c>
      <c r="P1091" s="27">
        <f t="shared" si="40"/>
        <v>480000</v>
      </c>
    </row>
    <row r="1092" spans="1:16" x14ac:dyDescent="0.2">
      <c r="A1092" s="33">
        <v>46766</v>
      </c>
      <c r="B1092" s="30">
        <f t="shared" si="39"/>
        <v>1</v>
      </c>
      <c r="C1092" s="30" t="str">
        <f>_xlfn.IFS(Table_13[[#This Row],[Month]]=1,"JAN",Table_13[[#This Row],[Month]]=2,"FEB",B1092=3,"MAR",B1092=4,"APR",B1092=5,"MAY",B1092=6,"JUN",B1092=7,"JUL",B1092=8,"AUG",Table_13[[#This Row],[Month]]=9,"SEPT",B1092=10,"OCT",B1092=11,"NOV",B1092=12,"DEC")</f>
        <v>JAN</v>
      </c>
      <c r="D1092" s="2" t="s">
        <v>29</v>
      </c>
      <c r="E1092" s="2" t="s">
        <v>26</v>
      </c>
      <c r="F1092" s="2" t="s">
        <v>13</v>
      </c>
      <c r="G1092" s="2" t="s">
        <v>14</v>
      </c>
      <c r="H1092" s="2" t="s">
        <v>40</v>
      </c>
      <c r="I1092" s="2" t="s">
        <v>31</v>
      </c>
      <c r="J1092" s="15">
        <v>250000</v>
      </c>
      <c r="K1092" s="2">
        <v>5</v>
      </c>
      <c r="L1092" s="2" t="s">
        <v>35</v>
      </c>
      <c r="M1092" s="12">
        <f t="shared" si="36"/>
        <v>200000</v>
      </c>
      <c r="N1092" s="10">
        <f>PRODUCT(Table_13[[#This Row],[Unit Price]],Table_13[[#This Row],[Quantity]])</f>
        <v>1250000</v>
      </c>
      <c r="O1092" s="16">
        <f>PRODUCT(Table_13[[#This Row],[Cost Price]],Table_13[[#This Row],[Quantity]])</f>
        <v>1000000</v>
      </c>
      <c r="P1092" s="27">
        <f t="shared" si="40"/>
        <v>250000</v>
      </c>
    </row>
    <row r="1093" spans="1:16" x14ac:dyDescent="0.2">
      <c r="A1093" s="33">
        <v>46767</v>
      </c>
      <c r="B1093" s="30">
        <f t="shared" si="39"/>
        <v>1</v>
      </c>
      <c r="C1093" s="30" t="str">
        <f>_xlfn.IFS(Table_13[[#This Row],[Month]]=1,"JAN",Table_13[[#This Row],[Month]]=2,"FEB",B1093=3,"MAR",B1093=4,"APR",B1093=5,"MAY",B1093=6,"JUN",B1093=7,"JUL",B1093=8,"AUG",Table_13[[#This Row],[Month]]=9,"SEPT",B1093=10,"OCT",B1093=11,"NOV",B1093=12,"DEC")</f>
        <v>JAN</v>
      </c>
      <c r="D1093" s="2" t="s">
        <v>18</v>
      </c>
      <c r="E1093" s="2" t="s">
        <v>32</v>
      </c>
      <c r="F1093" s="2" t="s">
        <v>23</v>
      </c>
      <c r="G1093" s="2" t="s">
        <v>20</v>
      </c>
      <c r="H1093" s="2" t="s">
        <v>38</v>
      </c>
      <c r="I1093" s="2" t="s">
        <v>31</v>
      </c>
      <c r="J1093" s="15">
        <v>420000</v>
      </c>
      <c r="K1093" s="2">
        <v>5</v>
      </c>
      <c r="L1093" s="2" t="s">
        <v>35</v>
      </c>
      <c r="M1093" s="12">
        <f t="shared" si="36"/>
        <v>336000</v>
      </c>
      <c r="N1093" s="10">
        <f>PRODUCT(Table_13[[#This Row],[Unit Price]],Table_13[[#This Row],[Quantity]])</f>
        <v>2100000</v>
      </c>
      <c r="O1093" s="16">
        <f>PRODUCT(Table_13[[#This Row],[Cost Price]],Table_13[[#This Row],[Quantity]])</f>
        <v>1680000</v>
      </c>
      <c r="P1093" s="27">
        <f t="shared" si="40"/>
        <v>420000</v>
      </c>
    </row>
    <row r="1094" spans="1:16" x14ac:dyDescent="0.2">
      <c r="A1094" s="33">
        <v>46768</v>
      </c>
      <c r="B1094" s="30">
        <f t="shared" si="39"/>
        <v>1</v>
      </c>
      <c r="C1094" s="30" t="str">
        <f>_xlfn.IFS(Table_13[[#This Row],[Month]]=1,"JAN",Table_13[[#This Row],[Month]]=2,"FEB",B1094=3,"MAR",B1094=4,"APR",B1094=5,"MAY",B1094=6,"JUN",B1094=7,"JUL",B1094=8,"AUG",Table_13[[#This Row],[Month]]=9,"SEPT",B1094=10,"OCT",B1094=11,"NOV",B1094=12,"DEC")</f>
        <v>JAN</v>
      </c>
      <c r="D1094" s="2" t="s">
        <v>18</v>
      </c>
      <c r="E1094" s="2" t="s">
        <v>26</v>
      </c>
      <c r="F1094" s="2" t="s">
        <v>23</v>
      </c>
      <c r="G1094" s="2" t="s">
        <v>14</v>
      </c>
      <c r="H1094" s="2" t="s">
        <v>38</v>
      </c>
      <c r="I1094" s="2" t="s">
        <v>31</v>
      </c>
      <c r="J1094" s="15">
        <v>420000</v>
      </c>
      <c r="K1094" s="2">
        <v>10</v>
      </c>
      <c r="L1094" s="2" t="s">
        <v>24</v>
      </c>
      <c r="M1094" s="12">
        <f t="shared" si="36"/>
        <v>336000</v>
      </c>
      <c r="N1094" s="10">
        <f>PRODUCT(Table_13[[#This Row],[Unit Price]],Table_13[[#This Row],[Quantity]])</f>
        <v>4200000</v>
      </c>
      <c r="O1094" s="16">
        <f>PRODUCT(Table_13[[#This Row],[Cost Price]],Table_13[[#This Row],[Quantity]])</f>
        <v>3360000</v>
      </c>
      <c r="P1094" s="27">
        <f t="shared" si="40"/>
        <v>840000</v>
      </c>
    </row>
    <row r="1095" spans="1:16" x14ac:dyDescent="0.2">
      <c r="A1095" s="33">
        <v>46769</v>
      </c>
      <c r="B1095" s="30">
        <f t="shared" si="39"/>
        <v>1</v>
      </c>
      <c r="C1095" s="30" t="str">
        <f>_xlfn.IFS(Table_13[[#This Row],[Month]]=1,"JAN",Table_13[[#This Row],[Month]]=2,"FEB",B1095=3,"MAR",B1095=4,"APR",B1095=5,"MAY",B1095=6,"JUN",B1095=7,"JUL",B1095=8,"AUG",Table_13[[#This Row],[Month]]=9,"SEPT",B1095=10,"OCT",B1095=11,"NOV",B1095=12,"DEC")</f>
        <v>JAN</v>
      </c>
      <c r="D1095" s="2" t="s">
        <v>29</v>
      </c>
      <c r="E1095" s="2" t="s">
        <v>26</v>
      </c>
      <c r="F1095" s="2" t="s">
        <v>13</v>
      </c>
      <c r="G1095" s="2" t="s">
        <v>14</v>
      </c>
      <c r="H1095" s="2" t="s">
        <v>34</v>
      </c>
      <c r="I1095" s="2" t="s">
        <v>16</v>
      </c>
      <c r="J1095" s="15">
        <v>320000</v>
      </c>
      <c r="K1095" s="2">
        <v>1</v>
      </c>
      <c r="L1095" s="2" t="s">
        <v>28</v>
      </c>
      <c r="M1095" s="12">
        <f t="shared" si="36"/>
        <v>256000</v>
      </c>
      <c r="N1095" s="10">
        <f>PRODUCT(Table_13[[#This Row],[Unit Price]],Table_13[[#This Row],[Quantity]])</f>
        <v>320000</v>
      </c>
      <c r="O1095" s="16">
        <f>PRODUCT(Table_13[[#This Row],[Cost Price]],Table_13[[#This Row],[Quantity]])</f>
        <v>256000</v>
      </c>
      <c r="P1095" s="27">
        <f t="shared" si="40"/>
        <v>64000</v>
      </c>
    </row>
    <row r="1096" spans="1:16" x14ac:dyDescent="0.2">
      <c r="A1096" s="33">
        <v>46770</v>
      </c>
      <c r="B1096" s="30">
        <f t="shared" si="39"/>
        <v>1</v>
      </c>
      <c r="C1096" s="30" t="str">
        <f>_xlfn.IFS(Table_13[[#This Row],[Month]]=1,"JAN",Table_13[[#This Row],[Month]]=2,"FEB",B1096=3,"MAR",B1096=4,"APR",B1096=5,"MAY",B1096=6,"JUN",B1096=7,"JUL",B1096=8,"AUG",Table_13[[#This Row],[Month]]=9,"SEPT",B1096=10,"OCT",B1096=11,"NOV",B1096=12,"DEC")</f>
        <v>JAN</v>
      </c>
      <c r="D1096" s="2" t="s">
        <v>25</v>
      </c>
      <c r="E1096" s="2" t="s">
        <v>32</v>
      </c>
      <c r="F1096" s="2" t="s">
        <v>13</v>
      </c>
      <c r="G1096" s="2" t="s">
        <v>14</v>
      </c>
      <c r="H1096" s="2" t="s">
        <v>34</v>
      </c>
      <c r="I1096" s="2" t="s">
        <v>16</v>
      </c>
      <c r="J1096" s="15">
        <v>320000</v>
      </c>
      <c r="K1096" s="2">
        <v>1</v>
      </c>
      <c r="L1096" s="2" t="s">
        <v>35</v>
      </c>
      <c r="M1096" s="12">
        <f t="shared" si="36"/>
        <v>256000</v>
      </c>
      <c r="N1096" s="10">
        <f>PRODUCT(Table_13[[#This Row],[Unit Price]],Table_13[[#This Row],[Quantity]])</f>
        <v>320000</v>
      </c>
      <c r="O1096" s="16">
        <f>PRODUCT(Table_13[[#This Row],[Cost Price]],Table_13[[#This Row],[Quantity]])</f>
        <v>256000</v>
      </c>
      <c r="P1096" s="27">
        <f t="shared" si="40"/>
        <v>64000</v>
      </c>
    </row>
    <row r="1097" spans="1:16" x14ac:dyDescent="0.2">
      <c r="A1097" s="33">
        <v>46771</v>
      </c>
      <c r="B1097" s="30">
        <f t="shared" si="39"/>
        <v>1</v>
      </c>
      <c r="C1097" s="30" t="str">
        <f>_xlfn.IFS(Table_13[[#This Row],[Month]]=1,"JAN",Table_13[[#This Row],[Month]]=2,"FEB",B1097=3,"MAR",B1097=4,"APR",B1097=5,"MAY",B1097=6,"JUN",B1097=7,"JUL",B1097=8,"AUG",Table_13[[#This Row],[Month]]=9,"SEPT",B1097=10,"OCT",B1097=11,"NOV",B1097=12,"DEC")</f>
        <v>JAN</v>
      </c>
      <c r="D1097" s="2" t="s">
        <v>29</v>
      </c>
      <c r="E1097" s="2" t="s">
        <v>26</v>
      </c>
      <c r="F1097" s="2" t="s">
        <v>23</v>
      </c>
      <c r="G1097" s="2" t="s">
        <v>20</v>
      </c>
      <c r="H1097" s="2" t="s">
        <v>36</v>
      </c>
      <c r="I1097" s="2" t="s">
        <v>31</v>
      </c>
      <c r="J1097" s="15">
        <v>150000</v>
      </c>
      <c r="K1097" s="2">
        <v>1</v>
      </c>
      <c r="L1097" s="2" t="s">
        <v>39</v>
      </c>
      <c r="M1097" s="12">
        <f t="shared" si="36"/>
        <v>120000</v>
      </c>
      <c r="N1097" s="10">
        <f>PRODUCT(Table_13[[#This Row],[Unit Price]],Table_13[[#This Row],[Quantity]])</f>
        <v>150000</v>
      </c>
      <c r="O1097" s="16">
        <f>PRODUCT(Table_13[[#This Row],[Cost Price]],Table_13[[#This Row],[Quantity]])</f>
        <v>120000</v>
      </c>
      <c r="P1097" s="27">
        <f t="shared" si="40"/>
        <v>30000</v>
      </c>
    </row>
    <row r="1098" spans="1:16" x14ac:dyDescent="0.2">
      <c r="A1098" s="33">
        <v>46772</v>
      </c>
      <c r="B1098" s="30">
        <f t="shared" si="39"/>
        <v>1</v>
      </c>
      <c r="C1098" s="30" t="str">
        <f>_xlfn.IFS(Table_13[[#This Row],[Month]]=1,"JAN",Table_13[[#This Row],[Month]]=2,"FEB",B1098=3,"MAR",B1098=4,"APR",B1098=5,"MAY",B1098=6,"JUN",B1098=7,"JUL",B1098=8,"AUG",Table_13[[#This Row],[Month]]=9,"SEPT",B1098=10,"OCT",B1098=11,"NOV",B1098=12,"DEC")</f>
        <v>JAN</v>
      </c>
      <c r="D1098" s="2" t="s">
        <v>18</v>
      </c>
      <c r="E1098" s="2" t="s">
        <v>12</v>
      </c>
      <c r="F1098" s="2" t="s">
        <v>23</v>
      </c>
      <c r="G1098" s="2" t="s">
        <v>14</v>
      </c>
      <c r="H1098" s="2" t="s">
        <v>33</v>
      </c>
      <c r="I1098" s="2" t="s">
        <v>22</v>
      </c>
      <c r="J1098" s="15">
        <v>180000</v>
      </c>
      <c r="K1098" s="2">
        <v>10</v>
      </c>
      <c r="L1098" s="2" t="s">
        <v>28</v>
      </c>
      <c r="M1098" s="12">
        <f t="shared" si="36"/>
        <v>144000</v>
      </c>
      <c r="N1098" s="10">
        <f>PRODUCT(Table_13[[#This Row],[Unit Price]],Table_13[[#This Row],[Quantity]])</f>
        <v>1800000</v>
      </c>
      <c r="O1098" s="16">
        <f>PRODUCT(Table_13[[#This Row],[Cost Price]],Table_13[[#This Row],[Quantity]])</f>
        <v>1440000</v>
      </c>
      <c r="P1098" s="27">
        <f t="shared" si="40"/>
        <v>360000</v>
      </c>
    </row>
    <row r="1099" spans="1:16" x14ac:dyDescent="0.2">
      <c r="A1099" s="33">
        <v>46773</v>
      </c>
      <c r="B1099" s="30">
        <f t="shared" si="39"/>
        <v>1</v>
      </c>
      <c r="C1099" s="30" t="str">
        <f>_xlfn.IFS(Table_13[[#This Row],[Month]]=1,"JAN",Table_13[[#This Row],[Month]]=2,"FEB",B1099=3,"MAR",B1099=4,"APR",B1099=5,"MAY",B1099=6,"JUN",B1099=7,"JUL",B1099=8,"AUG",Table_13[[#This Row],[Month]]=9,"SEPT",B1099=10,"OCT",B1099=11,"NOV",B1099=12,"DEC")</f>
        <v>JAN</v>
      </c>
      <c r="D1099" s="2" t="s">
        <v>29</v>
      </c>
      <c r="E1099" s="2" t="s">
        <v>26</v>
      </c>
      <c r="F1099" s="2" t="s">
        <v>13</v>
      </c>
      <c r="G1099" s="2" t="s">
        <v>20</v>
      </c>
      <c r="H1099" s="2" t="s">
        <v>38</v>
      </c>
      <c r="I1099" s="2" t="s">
        <v>31</v>
      </c>
      <c r="J1099" s="15">
        <v>420000</v>
      </c>
      <c r="K1099" s="2">
        <v>3</v>
      </c>
      <c r="L1099" s="2" t="s">
        <v>24</v>
      </c>
      <c r="M1099" s="12">
        <f t="shared" si="36"/>
        <v>336000</v>
      </c>
      <c r="N1099" s="10">
        <f>PRODUCT(Table_13[[#This Row],[Unit Price]],Table_13[[#This Row],[Quantity]])</f>
        <v>1260000</v>
      </c>
      <c r="O1099" s="16">
        <f>PRODUCT(Table_13[[#This Row],[Cost Price]],Table_13[[#This Row],[Quantity]])</f>
        <v>1008000</v>
      </c>
      <c r="P1099" s="27">
        <f t="shared" si="40"/>
        <v>252000</v>
      </c>
    </row>
    <row r="1100" spans="1:16" x14ac:dyDescent="0.2">
      <c r="A1100" s="33">
        <v>46774</v>
      </c>
      <c r="B1100" s="30">
        <f t="shared" si="39"/>
        <v>1</v>
      </c>
      <c r="C1100" s="30" t="str">
        <f>_xlfn.IFS(Table_13[[#This Row],[Month]]=1,"JAN",Table_13[[#This Row],[Month]]=2,"FEB",B1100=3,"MAR",B1100=4,"APR",B1100=5,"MAY",B1100=6,"JUN",B1100=7,"JUL",B1100=8,"AUG",Table_13[[#This Row],[Month]]=9,"SEPT",B1100=10,"OCT",B1100=11,"NOV",B1100=12,"DEC")</f>
        <v>JAN</v>
      </c>
      <c r="D1100" s="2" t="s">
        <v>29</v>
      </c>
      <c r="E1100" s="2" t="s">
        <v>32</v>
      </c>
      <c r="F1100" s="2" t="s">
        <v>13</v>
      </c>
      <c r="G1100" s="2" t="s">
        <v>14</v>
      </c>
      <c r="H1100" s="2" t="s">
        <v>41</v>
      </c>
      <c r="I1100" s="2" t="s">
        <v>22</v>
      </c>
      <c r="J1100" s="15">
        <v>220000</v>
      </c>
      <c r="K1100" s="2">
        <v>10</v>
      </c>
      <c r="L1100" s="2" t="s">
        <v>39</v>
      </c>
      <c r="M1100" s="12">
        <f t="shared" si="36"/>
        <v>176000</v>
      </c>
      <c r="N1100" s="10">
        <f>PRODUCT(Table_13[[#This Row],[Unit Price]],Table_13[[#This Row],[Quantity]])</f>
        <v>2200000</v>
      </c>
      <c r="O1100" s="16">
        <f>PRODUCT(Table_13[[#This Row],[Cost Price]],Table_13[[#This Row],[Quantity]])</f>
        <v>1760000</v>
      </c>
      <c r="P1100" s="27">
        <f t="shared" si="40"/>
        <v>440000</v>
      </c>
    </row>
    <row r="1101" spans="1:16" x14ac:dyDescent="0.2">
      <c r="A1101" s="33">
        <v>46775</v>
      </c>
      <c r="B1101" s="30">
        <f t="shared" si="39"/>
        <v>1</v>
      </c>
      <c r="C1101" s="30" t="str">
        <f>_xlfn.IFS(Table_13[[#This Row],[Month]]=1,"JAN",Table_13[[#This Row],[Month]]=2,"FEB",B1101=3,"MAR",B1101=4,"APR",B1101=5,"MAY",B1101=6,"JUN",B1101=7,"JUL",B1101=8,"AUG",Table_13[[#This Row],[Month]]=9,"SEPT",B1101=10,"OCT",B1101=11,"NOV",B1101=12,"DEC")</f>
        <v>JAN</v>
      </c>
      <c r="D1101" s="2" t="s">
        <v>18</v>
      </c>
      <c r="E1101" s="2" t="s">
        <v>32</v>
      </c>
      <c r="F1101" s="2" t="s">
        <v>23</v>
      </c>
      <c r="G1101" s="2" t="s">
        <v>20</v>
      </c>
      <c r="H1101" s="2" t="s">
        <v>38</v>
      </c>
      <c r="I1101" s="2" t="s">
        <v>31</v>
      </c>
      <c r="J1101" s="15">
        <v>420000</v>
      </c>
      <c r="K1101" s="2">
        <v>9</v>
      </c>
      <c r="L1101" s="2" t="s">
        <v>35</v>
      </c>
      <c r="M1101" s="12">
        <f t="shared" si="36"/>
        <v>336000</v>
      </c>
      <c r="N1101" s="10">
        <f>PRODUCT(Table_13[[#This Row],[Unit Price]],Table_13[[#This Row],[Quantity]])</f>
        <v>3780000</v>
      </c>
      <c r="O1101" s="16">
        <f>PRODUCT(Table_13[[#This Row],[Cost Price]],Table_13[[#This Row],[Quantity]])</f>
        <v>3024000</v>
      </c>
      <c r="P1101" s="27">
        <f t="shared" si="40"/>
        <v>756000</v>
      </c>
    </row>
    <row r="1102" spans="1:16" x14ac:dyDescent="0.2">
      <c r="A1102" s="33">
        <v>46776</v>
      </c>
      <c r="B1102" s="30">
        <f t="shared" si="39"/>
        <v>1</v>
      </c>
      <c r="C1102" s="30" t="str">
        <f>_xlfn.IFS(Table_13[[#This Row],[Month]]=1,"JAN",Table_13[[#This Row],[Month]]=2,"FEB",B1102=3,"MAR",B1102=4,"APR",B1102=5,"MAY",B1102=6,"JUN",B1102=7,"JUL",B1102=8,"AUG",Table_13[[#This Row],[Month]]=9,"SEPT",B1102=10,"OCT",B1102=11,"NOV",B1102=12,"DEC")</f>
        <v>JAN</v>
      </c>
      <c r="D1102" s="2" t="s">
        <v>11</v>
      </c>
      <c r="E1102" s="2" t="s">
        <v>32</v>
      </c>
      <c r="F1102" s="2" t="s">
        <v>13</v>
      </c>
      <c r="G1102" s="2" t="s">
        <v>20</v>
      </c>
      <c r="H1102" s="2" t="s">
        <v>21</v>
      </c>
      <c r="I1102" s="2" t="s">
        <v>22</v>
      </c>
      <c r="J1102" s="15">
        <v>30000</v>
      </c>
      <c r="K1102" s="2">
        <v>6</v>
      </c>
      <c r="L1102" s="2" t="s">
        <v>39</v>
      </c>
      <c r="M1102" s="12">
        <f t="shared" si="36"/>
        <v>24000</v>
      </c>
      <c r="N1102" s="10">
        <f>PRODUCT(Table_13[[#This Row],[Unit Price]],Table_13[[#This Row],[Quantity]])</f>
        <v>180000</v>
      </c>
      <c r="O1102" s="16">
        <f>PRODUCT(Table_13[[#This Row],[Cost Price]],Table_13[[#This Row],[Quantity]])</f>
        <v>144000</v>
      </c>
      <c r="P1102" s="27">
        <f t="shared" si="40"/>
        <v>36000</v>
      </c>
    </row>
    <row r="1103" spans="1:16" x14ac:dyDescent="0.2">
      <c r="A1103" s="33">
        <v>46777</v>
      </c>
      <c r="B1103" s="30">
        <f t="shared" si="39"/>
        <v>1</v>
      </c>
      <c r="C1103" s="30" t="str">
        <f>_xlfn.IFS(Table_13[[#This Row],[Month]]=1,"JAN",Table_13[[#This Row],[Month]]=2,"FEB",B1103=3,"MAR",B1103=4,"APR",B1103=5,"MAY",B1103=6,"JUN",B1103=7,"JUL",B1103=8,"AUG",Table_13[[#This Row],[Month]]=9,"SEPT",B1103=10,"OCT",B1103=11,"NOV",B1103=12,"DEC")</f>
        <v>JAN</v>
      </c>
      <c r="D1103" s="2" t="s">
        <v>29</v>
      </c>
      <c r="E1103" s="2" t="s">
        <v>12</v>
      </c>
      <c r="F1103" s="2" t="s">
        <v>13</v>
      </c>
      <c r="G1103" s="2" t="s">
        <v>20</v>
      </c>
      <c r="H1103" s="2" t="s">
        <v>40</v>
      </c>
      <c r="I1103" s="2" t="s">
        <v>31</v>
      </c>
      <c r="J1103" s="15">
        <v>250000</v>
      </c>
      <c r="K1103" s="2">
        <v>10</v>
      </c>
      <c r="L1103" s="2" t="s">
        <v>24</v>
      </c>
      <c r="M1103" s="12">
        <f t="shared" si="36"/>
        <v>200000</v>
      </c>
      <c r="N1103" s="10">
        <f>PRODUCT(Table_13[[#This Row],[Unit Price]],Table_13[[#This Row],[Quantity]])</f>
        <v>2500000</v>
      </c>
      <c r="O1103" s="16">
        <f>PRODUCT(Table_13[[#This Row],[Cost Price]],Table_13[[#This Row],[Quantity]])</f>
        <v>2000000</v>
      </c>
      <c r="P1103" s="27">
        <f t="shared" si="40"/>
        <v>500000</v>
      </c>
    </row>
    <row r="1104" spans="1:16" x14ac:dyDescent="0.2">
      <c r="A1104" s="33">
        <v>46778</v>
      </c>
      <c r="B1104" s="30">
        <f t="shared" si="39"/>
        <v>1</v>
      </c>
      <c r="C1104" s="30" t="str">
        <f>_xlfn.IFS(Table_13[[#This Row],[Month]]=1,"JAN",Table_13[[#This Row],[Month]]=2,"FEB",B1104=3,"MAR",B1104=4,"APR",B1104=5,"MAY",B1104=6,"JUN",B1104=7,"JUL",B1104=8,"AUG",Table_13[[#This Row],[Month]]=9,"SEPT",B1104=10,"OCT",B1104=11,"NOV",B1104=12,"DEC")</f>
        <v>JAN</v>
      </c>
      <c r="D1104" s="2" t="s">
        <v>18</v>
      </c>
      <c r="E1104" s="2" t="s">
        <v>26</v>
      </c>
      <c r="F1104" s="2" t="s">
        <v>13</v>
      </c>
      <c r="G1104" s="2" t="s">
        <v>20</v>
      </c>
      <c r="H1104" s="2" t="s">
        <v>15</v>
      </c>
      <c r="I1104" s="2" t="s">
        <v>16</v>
      </c>
      <c r="J1104" s="15">
        <v>85000</v>
      </c>
      <c r="K1104" s="2">
        <v>6</v>
      </c>
      <c r="L1104" s="2" t="s">
        <v>39</v>
      </c>
      <c r="M1104" s="12">
        <f t="shared" si="36"/>
        <v>68000</v>
      </c>
      <c r="N1104" s="10">
        <f>PRODUCT(Table_13[[#This Row],[Unit Price]],Table_13[[#This Row],[Quantity]])</f>
        <v>510000</v>
      </c>
      <c r="O1104" s="16">
        <f>PRODUCT(Table_13[[#This Row],[Cost Price]],Table_13[[#This Row],[Quantity]])</f>
        <v>408000</v>
      </c>
      <c r="P1104" s="27">
        <f t="shared" si="40"/>
        <v>102000</v>
      </c>
    </row>
    <row r="1105" spans="1:16" x14ac:dyDescent="0.2">
      <c r="A1105" s="33">
        <v>46779</v>
      </c>
      <c r="B1105" s="30">
        <f t="shared" si="39"/>
        <v>1</v>
      </c>
      <c r="C1105" s="30" t="str">
        <f>_xlfn.IFS(Table_13[[#This Row],[Month]]=1,"JAN",Table_13[[#This Row],[Month]]=2,"FEB",B1105=3,"MAR",B1105=4,"APR",B1105=5,"MAY",B1105=6,"JUN",B1105=7,"JUL",B1105=8,"AUG",Table_13[[#This Row],[Month]]=9,"SEPT",B1105=10,"OCT",B1105=11,"NOV",B1105=12,"DEC")</f>
        <v>JAN</v>
      </c>
      <c r="D1105" s="2" t="s">
        <v>29</v>
      </c>
      <c r="E1105" s="2" t="s">
        <v>19</v>
      </c>
      <c r="F1105" s="2" t="s">
        <v>23</v>
      </c>
      <c r="G1105" s="2" t="s">
        <v>20</v>
      </c>
      <c r="H1105" s="2" t="s">
        <v>38</v>
      </c>
      <c r="I1105" s="2" t="s">
        <v>31</v>
      </c>
      <c r="J1105" s="15">
        <v>420000</v>
      </c>
      <c r="K1105" s="2">
        <v>3</v>
      </c>
      <c r="L1105" s="2" t="s">
        <v>37</v>
      </c>
      <c r="M1105" s="12">
        <f t="shared" si="36"/>
        <v>336000</v>
      </c>
      <c r="N1105" s="10">
        <f>PRODUCT(Table_13[[#This Row],[Unit Price]],Table_13[[#This Row],[Quantity]])</f>
        <v>1260000</v>
      </c>
      <c r="O1105" s="16">
        <f>PRODUCT(Table_13[[#This Row],[Cost Price]],Table_13[[#This Row],[Quantity]])</f>
        <v>1008000</v>
      </c>
      <c r="P1105" s="27">
        <f t="shared" si="40"/>
        <v>252000</v>
      </c>
    </row>
    <row r="1106" spans="1:16" x14ac:dyDescent="0.2">
      <c r="A1106" s="33">
        <v>46780</v>
      </c>
      <c r="B1106" s="30">
        <f t="shared" si="39"/>
        <v>1</v>
      </c>
      <c r="C1106" s="30" t="str">
        <f>_xlfn.IFS(Table_13[[#This Row],[Month]]=1,"JAN",Table_13[[#This Row],[Month]]=2,"FEB",B1106=3,"MAR",B1106=4,"APR",B1106=5,"MAY",B1106=6,"JUN",B1106=7,"JUL",B1106=8,"AUG",Table_13[[#This Row],[Month]]=9,"SEPT",B1106=10,"OCT",B1106=11,"NOV",B1106=12,"DEC")</f>
        <v>JAN</v>
      </c>
      <c r="D1106" s="2" t="s">
        <v>18</v>
      </c>
      <c r="E1106" s="2" t="s">
        <v>32</v>
      </c>
      <c r="F1106" s="2" t="s">
        <v>13</v>
      </c>
      <c r="G1106" s="2" t="s">
        <v>14</v>
      </c>
      <c r="H1106" s="2" t="s">
        <v>36</v>
      </c>
      <c r="I1106" s="2" t="s">
        <v>31</v>
      </c>
      <c r="J1106" s="15">
        <v>150000</v>
      </c>
      <c r="K1106" s="2">
        <v>8</v>
      </c>
      <c r="L1106" s="2" t="s">
        <v>17</v>
      </c>
      <c r="M1106" s="12">
        <f t="shared" si="36"/>
        <v>120000</v>
      </c>
      <c r="N1106" s="10">
        <f>PRODUCT(Table_13[[#This Row],[Unit Price]],Table_13[[#This Row],[Quantity]])</f>
        <v>1200000</v>
      </c>
      <c r="O1106" s="16">
        <f>PRODUCT(Table_13[[#This Row],[Cost Price]],Table_13[[#This Row],[Quantity]])</f>
        <v>960000</v>
      </c>
      <c r="P1106" s="27">
        <f t="shared" si="40"/>
        <v>240000</v>
      </c>
    </row>
    <row r="1107" spans="1:16" x14ac:dyDescent="0.2">
      <c r="A1107" s="33">
        <v>46781</v>
      </c>
      <c r="B1107" s="30">
        <f t="shared" si="39"/>
        <v>1</v>
      </c>
      <c r="C1107" s="30" t="str">
        <f>_xlfn.IFS(Table_13[[#This Row],[Month]]=1,"JAN",Table_13[[#This Row],[Month]]=2,"FEB",B1107=3,"MAR",B1107=4,"APR",B1107=5,"MAY",B1107=6,"JUN",B1107=7,"JUL",B1107=8,"AUG",Table_13[[#This Row],[Month]]=9,"SEPT",B1107=10,"OCT",B1107=11,"NOV",B1107=12,"DEC")</f>
        <v>JAN</v>
      </c>
      <c r="D1107" s="2" t="s">
        <v>11</v>
      </c>
      <c r="E1107" s="2" t="s">
        <v>19</v>
      </c>
      <c r="F1107" s="2" t="s">
        <v>23</v>
      </c>
      <c r="G1107" s="2" t="s">
        <v>14</v>
      </c>
      <c r="H1107" s="2" t="s">
        <v>27</v>
      </c>
      <c r="I1107" s="2" t="s">
        <v>22</v>
      </c>
      <c r="J1107" s="15">
        <v>60000</v>
      </c>
      <c r="K1107" s="2">
        <v>5</v>
      </c>
      <c r="L1107" s="2" t="s">
        <v>35</v>
      </c>
      <c r="M1107" s="12">
        <f t="shared" si="36"/>
        <v>48000</v>
      </c>
      <c r="N1107" s="10">
        <f>PRODUCT(Table_13[[#This Row],[Unit Price]],Table_13[[#This Row],[Quantity]])</f>
        <v>300000</v>
      </c>
      <c r="O1107" s="16">
        <f>PRODUCT(Table_13[[#This Row],[Cost Price]],Table_13[[#This Row],[Quantity]])</f>
        <v>240000</v>
      </c>
      <c r="P1107" s="27">
        <f t="shared" si="40"/>
        <v>60000</v>
      </c>
    </row>
    <row r="1108" spans="1:16" x14ac:dyDescent="0.2">
      <c r="A1108" s="33">
        <v>46782</v>
      </c>
      <c r="B1108" s="30">
        <f t="shared" si="39"/>
        <v>1</v>
      </c>
      <c r="C1108" s="30" t="str">
        <f>_xlfn.IFS(Table_13[[#This Row],[Month]]=1,"JAN",Table_13[[#This Row],[Month]]=2,"FEB",B1108=3,"MAR",B1108=4,"APR",B1108=5,"MAY",B1108=6,"JUN",B1108=7,"JUL",B1108=8,"AUG",Table_13[[#This Row],[Month]]=9,"SEPT",B1108=10,"OCT",B1108=11,"NOV",B1108=12,"DEC")</f>
        <v>JAN</v>
      </c>
      <c r="D1108" s="2" t="s">
        <v>11</v>
      </c>
      <c r="E1108" s="2" t="s">
        <v>26</v>
      </c>
      <c r="F1108" s="2" t="s">
        <v>23</v>
      </c>
      <c r="G1108" s="2" t="s">
        <v>20</v>
      </c>
      <c r="H1108" s="2" t="s">
        <v>34</v>
      </c>
      <c r="I1108" s="2" t="s">
        <v>16</v>
      </c>
      <c r="J1108" s="15">
        <v>320000</v>
      </c>
      <c r="K1108" s="2">
        <v>9</v>
      </c>
      <c r="L1108" s="2" t="s">
        <v>37</v>
      </c>
      <c r="M1108" s="12">
        <f t="shared" si="36"/>
        <v>256000</v>
      </c>
      <c r="N1108" s="10">
        <f>PRODUCT(Table_13[[#This Row],[Unit Price]],Table_13[[#This Row],[Quantity]])</f>
        <v>2880000</v>
      </c>
      <c r="O1108" s="16">
        <f>PRODUCT(Table_13[[#This Row],[Cost Price]],Table_13[[#This Row],[Quantity]])</f>
        <v>2304000</v>
      </c>
      <c r="P1108" s="27">
        <f t="shared" si="40"/>
        <v>576000</v>
      </c>
    </row>
    <row r="1109" spans="1:16" x14ac:dyDescent="0.2">
      <c r="A1109" s="33">
        <v>46783</v>
      </c>
      <c r="B1109" s="30">
        <f t="shared" si="39"/>
        <v>1</v>
      </c>
      <c r="C1109" s="30" t="str">
        <f>_xlfn.IFS(Table_13[[#This Row],[Month]]=1,"JAN",Table_13[[#This Row],[Month]]=2,"FEB",B1109=3,"MAR",B1109=4,"APR",B1109=5,"MAY",B1109=6,"JUN",B1109=7,"JUL",B1109=8,"AUG",Table_13[[#This Row],[Month]]=9,"SEPT",B1109=10,"OCT",B1109=11,"NOV",B1109=12,"DEC")</f>
        <v>JAN</v>
      </c>
      <c r="D1109" s="2" t="s">
        <v>11</v>
      </c>
      <c r="E1109" s="2" t="s">
        <v>19</v>
      </c>
      <c r="F1109" s="2" t="s">
        <v>23</v>
      </c>
      <c r="G1109" s="2" t="s">
        <v>14</v>
      </c>
      <c r="H1109" s="2" t="s">
        <v>38</v>
      </c>
      <c r="I1109" s="2" t="s">
        <v>31</v>
      </c>
      <c r="J1109" s="15">
        <v>420000</v>
      </c>
      <c r="K1109" s="2">
        <v>5</v>
      </c>
      <c r="L1109" s="2" t="s">
        <v>17</v>
      </c>
      <c r="M1109" s="12">
        <f t="shared" si="36"/>
        <v>336000</v>
      </c>
      <c r="N1109" s="10">
        <f>PRODUCT(Table_13[[#This Row],[Unit Price]],Table_13[[#This Row],[Quantity]])</f>
        <v>2100000</v>
      </c>
      <c r="O1109" s="16">
        <f>PRODUCT(Table_13[[#This Row],[Cost Price]],Table_13[[#This Row],[Quantity]])</f>
        <v>1680000</v>
      </c>
      <c r="P1109" s="27">
        <f t="shared" si="40"/>
        <v>420000</v>
      </c>
    </row>
    <row r="1110" spans="1:16" x14ac:dyDescent="0.2">
      <c r="A1110" s="33">
        <v>46784</v>
      </c>
      <c r="B1110" s="30">
        <f t="shared" si="39"/>
        <v>2</v>
      </c>
      <c r="C1110" s="30" t="str">
        <f>_xlfn.IFS(Table_13[[#This Row],[Month]]=1,"JAN",Table_13[[#This Row],[Month]]=2,"FEB",B1110=3,"MAR",B1110=4,"APR",B1110=5,"MAY",B1110=6,"JUN",B1110=7,"JUL",B1110=8,"AUG",Table_13[[#This Row],[Month]]=9,"SEPT",B1110=10,"OCT",B1110=11,"NOV",B1110=12,"DEC")</f>
        <v>FEB</v>
      </c>
      <c r="D1110" s="2" t="s">
        <v>29</v>
      </c>
      <c r="E1110" s="2" t="s">
        <v>19</v>
      </c>
      <c r="F1110" s="2" t="s">
        <v>23</v>
      </c>
      <c r="G1110" s="2" t="s">
        <v>14</v>
      </c>
      <c r="H1110" s="2" t="s">
        <v>27</v>
      </c>
      <c r="I1110" s="2" t="s">
        <v>22</v>
      </c>
      <c r="J1110" s="15">
        <v>60000</v>
      </c>
      <c r="K1110" s="2">
        <v>9</v>
      </c>
      <c r="L1110" s="2" t="s">
        <v>28</v>
      </c>
      <c r="M1110" s="12">
        <f t="shared" si="36"/>
        <v>48000</v>
      </c>
      <c r="N1110" s="10">
        <f>PRODUCT(Table_13[[#This Row],[Unit Price]],Table_13[[#This Row],[Quantity]])</f>
        <v>540000</v>
      </c>
      <c r="O1110" s="16">
        <f>PRODUCT(Table_13[[#This Row],[Cost Price]],Table_13[[#This Row],[Quantity]])</f>
        <v>432000</v>
      </c>
      <c r="P1110" s="27">
        <f t="shared" si="40"/>
        <v>108000</v>
      </c>
    </row>
    <row r="1111" spans="1:16" x14ac:dyDescent="0.2">
      <c r="A1111" s="33">
        <v>46785</v>
      </c>
      <c r="B1111" s="30">
        <f t="shared" si="39"/>
        <v>2</v>
      </c>
      <c r="C1111" s="30" t="str">
        <f>_xlfn.IFS(Table_13[[#This Row],[Month]]=1,"JAN",Table_13[[#This Row],[Month]]=2,"FEB",B1111=3,"MAR",B1111=4,"APR",B1111=5,"MAY",B1111=6,"JUN",B1111=7,"JUL",B1111=8,"AUG",Table_13[[#This Row],[Month]]=9,"SEPT",B1111=10,"OCT",B1111=11,"NOV",B1111=12,"DEC")</f>
        <v>FEB</v>
      </c>
      <c r="D1111" s="2" t="s">
        <v>25</v>
      </c>
      <c r="E1111" s="2" t="s">
        <v>19</v>
      </c>
      <c r="F1111" s="2" t="s">
        <v>13</v>
      </c>
      <c r="G1111" s="2" t="s">
        <v>14</v>
      </c>
      <c r="H1111" s="2" t="s">
        <v>38</v>
      </c>
      <c r="I1111" s="2" t="s">
        <v>31</v>
      </c>
      <c r="J1111" s="15">
        <v>420000</v>
      </c>
      <c r="K1111" s="2">
        <v>1</v>
      </c>
      <c r="L1111" s="2" t="s">
        <v>39</v>
      </c>
      <c r="M1111" s="12">
        <f t="shared" si="36"/>
        <v>336000</v>
      </c>
      <c r="N1111" s="10">
        <f>PRODUCT(Table_13[[#This Row],[Unit Price]],Table_13[[#This Row],[Quantity]])</f>
        <v>420000</v>
      </c>
      <c r="O1111" s="16">
        <f>PRODUCT(Table_13[[#This Row],[Cost Price]],Table_13[[#This Row],[Quantity]])</f>
        <v>336000</v>
      </c>
      <c r="P1111" s="27">
        <f t="shared" si="40"/>
        <v>84000</v>
      </c>
    </row>
    <row r="1112" spans="1:16" x14ac:dyDescent="0.2">
      <c r="A1112" s="33">
        <v>46786</v>
      </c>
      <c r="B1112" s="30">
        <f t="shared" si="39"/>
        <v>2</v>
      </c>
      <c r="C1112" s="30" t="str">
        <f>_xlfn.IFS(Table_13[[#This Row],[Month]]=1,"JAN",Table_13[[#This Row],[Month]]=2,"FEB",B1112=3,"MAR",B1112=4,"APR",B1112=5,"MAY",B1112=6,"JUN",B1112=7,"JUL",B1112=8,"AUG",Table_13[[#This Row],[Month]]=9,"SEPT",B1112=10,"OCT",B1112=11,"NOV",B1112=12,"DEC")</f>
        <v>FEB</v>
      </c>
      <c r="D1112" s="2" t="s">
        <v>18</v>
      </c>
      <c r="E1112" s="2" t="s">
        <v>32</v>
      </c>
      <c r="F1112" s="2" t="s">
        <v>13</v>
      </c>
      <c r="G1112" s="2" t="s">
        <v>14</v>
      </c>
      <c r="H1112" s="2" t="s">
        <v>36</v>
      </c>
      <c r="I1112" s="2" t="s">
        <v>31</v>
      </c>
      <c r="J1112" s="15">
        <v>150000</v>
      </c>
      <c r="K1112" s="2">
        <v>9</v>
      </c>
      <c r="L1112" s="2" t="s">
        <v>37</v>
      </c>
      <c r="M1112" s="12">
        <f t="shared" si="36"/>
        <v>120000</v>
      </c>
      <c r="N1112" s="10">
        <f>PRODUCT(Table_13[[#This Row],[Unit Price]],Table_13[[#This Row],[Quantity]])</f>
        <v>1350000</v>
      </c>
      <c r="O1112" s="16">
        <f>PRODUCT(Table_13[[#This Row],[Cost Price]],Table_13[[#This Row],[Quantity]])</f>
        <v>1080000</v>
      </c>
      <c r="P1112" s="27">
        <f t="shared" si="40"/>
        <v>270000</v>
      </c>
    </row>
    <row r="1113" spans="1:16" x14ac:dyDescent="0.2">
      <c r="A1113" s="33">
        <v>46787</v>
      </c>
      <c r="B1113" s="30">
        <f t="shared" si="39"/>
        <v>2</v>
      </c>
      <c r="C1113" s="30" t="str">
        <f>_xlfn.IFS(Table_13[[#This Row],[Month]]=1,"JAN",Table_13[[#This Row],[Month]]=2,"FEB",B1113=3,"MAR",B1113=4,"APR",B1113=5,"MAY",B1113=6,"JUN",B1113=7,"JUL",B1113=8,"AUG",Table_13[[#This Row],[Month]]=9,"SEPT",B1113=10,"OCT",B1113=11,"NOV",B1113=12,"DEC")</f>
        <v>FEB</v>
      </c>
      <c r="D1113" s="2" t="s">
        <v>25</v>
      </c>
      <c r="E1113" s="2" t="s">
        <v>32</v>
      </c>
      <c r="F1113" s="2" t="s">
        <v>23</v>
      </c>
      <c r="G1113" s="2" t="s">
        <v>20</v>
      </c>
      <c r="H1113" s="2" t="s">
        <v>41</v>
      </c>
      <c r="I1113" s="2" t="s">
        <v>22</v>
      </c>
      <c r="J1113" s="15">
        <v>220000</v>
      </c>
      <c r="K1113" s="2">
        <v>7</v>
      </c>
      <c r="L1113" s="2" t="s">
        <v>17</v>
      </c>
      <c r="M1113" s="12">
        <f t="shared" si="36"/>
        <v>176000</v>
      </c>
      <c r="N1113" s="10">
        <f>PRODUCT(Table_13[[#This Row],[Unit Price]],Table_13[[#This Row],[Quantity]])</f>
        <v>1540000</v>
      </c>
      <c r="O1113" s="16">
        <f>PRODUCT(Table_13[[#This Row],[Cost Price]],Table_13[[#This Row],[Quantity]])</f>
        <v>1232000</v>
      </c>
      <c r="P1113" s="27">
        <f t="shared" si="40"/>
        <v>308000</v>
      </c>
    </row>
    <row r="1114" spans="1:16" x14ac:dyDescent="0.2">
      <c r="A1114" s="33">
        <v>46788</v>
      </c>
      <c r="B1114" s="30">
        <f t="shared" si="39"/>
        <v>2</v>
      </c>
      <c r="C1114" s="30" t="str">
        <f>_xlfn.IFS(Table_13[[#This Row],[Month]]=1,"JAN",Table_13[[#This Row],[Month]]=2,"FEB",B1114=3,"MAR",B1114=4,"APR",B1114=5,"MAY",B1114=6,"JUN",B1114=7,"JUL",B1114=8,"AUG",Table_13[[#This Row],[Month]]=9,"SEPT",B1114=10,"OCT",B1114=11,"NOV",B1114=12,"DEC")</f>
        <v>FEB</v>
      </c>
      <c r="D1114" s="2" t="s">
        <v>29</v>
      </c>
      <c r="E1114" s="2" t="s">
        <v>12</v>
      </c>
      <c r="F1114" s="2" t="s">
        <v>13</v>
      </c>
      <c r="G1114" s="2" t="s">
        <v>20</v>
      </c>
      <c r="H1114" s="2" t="s">
        <v>34</v>
      </c>
      <c r="I1114" s="2" t="s">
        <v>16</v>
      </c>
      <c r="J1114" s="15">
        <v>320000</v>
      </c>
      <c r="K1114" s="2">
        <v>3</v>
      </c>
      <c r="L1114" s="2" t="s">
        <v>35</v>
      </c>
      <c r="M1114" s="12">
        <f t="shared" si="36"/>
        <v>256000</v>
      </c>
      <c r="N1114" s="10">
        <f>PRODUCT(Table_13[[#This Row],[Unit Price]],Table_13[[#This Row],[Quantity]])</f>
        <v>960000</v>
      </c>
      <c r="O1114" s="16">
        <f>PRODUCT(Table_13[[#This Row],[Cost Price]],Table_13[[#This Row],[Quantity]])</f>
        <v>768000</v>
      </c>
      <c r="P1114" s="27">
        <f t="shared" si="40"/>
        <v>192000</v>
      </c>
    </row>
    <row r="1115" spans="1:16" x14ac:dyDescent="0.2">
      <c r="A1115" s="33">
        <v>46789</v>
      </c>
      <c r="B1115" s="30">
        <f t="shared" si="39"/>
        <v>2</v>
      </c>
      <c r="C1115" s="30" t="str">
        <f>_xlfn.IFS(Table_13[[#This Row],[Month]]=1,"JAN",Table_13[[#This Row],[Month]]=2,"FEB",B1115=3,"MAR",B1115=4,"APR",B1115=5,"MAY",B1115=6,"JUN",B1115=7,"JUL",B1115=8,"AUG",Table_13[[#This Row],[Month]]=9,"SEPT",B1115=10,"OCT",B1115=11,"NOV",B1115=12,"DEC")</f>
        <v>FEB</v>
      </c>
      <c r="D1115" s="2" t="s">
        <v>25</v>
      </c>
      <c r="E1115" s="2" t="s">
        <v>19</v>
      </c>
      <c r="F1115" s="2" t="s">
        <v>23</v>
      </c>
      <c r="G1115" s="2" t="s">
        <v>14</v>
      </c>
      <c r="H1115" s="2" t="s">
        <v>34</v>
      </c>
      <c r="I1115" s="2" t="s">
        <v>16</v>
      </c>
      <c r="J1115" s="15">
        <v>320000</v>
      </c>
      <c r="K1115" s="2">
        <v>8</v>
      </c>
      <c r="L1115" s="2" t="s">
        <v>37</v>
      </c>
      <c r="M1115" s="12">
        <f t="shared" si="36"/>
        <v>256000</v>
      </c>
      <c r="N1115" s="10">
        <f>PRODUCT(Table_13[[#This Row],[Unit Price]],Table_13[[#This Row],[Quantity]])</f>
        <v>2560000</v>
      </c>
      <c r="O1115" s="16">
        <f>PRODUCT(Table_13[[#This Row],[Cost Price]],Table_13[[#This Row],[Quantity]])</f>
        <v>2048000</v>
      </c>
      <c r="P1115" s="27">
        <f t="shared" si="40"/>
        <v>512000</v>
      </c>
    </row>
    <row r="1116" spans="1:16" x14ac:dyDescent="0.2">
      <c r="A1116" s="33">
        <v>46790</v>
      </c>
      <c r="B1116" s="30">
        <f t="shared" si="39"/>
        <v>2</v>
      </c>
      <c r="C1116" s="30" t="str">
        <f>_xlfn.IFS(Table_13[[#This Row],[Month]]=1,"JAN",Table_13[[#This Row],[Month]]=2,"FEB",B1116=3,"MAR",B1116=4,"APR",B1116=5,"MAY",B1116=6,"JUN",B1116=7,"JUL",B1116=8,"AUG",Table_13[[#This Row],[Month]]=9,"SEPT",B1116=10,"OCT",B1116=11,"NOV",B1116=12,"DEC")</f>
        <v>FEB</v>
      </c>
      <c r="D1116" s="2" t="s">
        <v>25</v>
      </c>
      <c r="E1116" s="2" t="s">
        <v>26</v>
      </c>
      <c r="F1116" s="2" t="s">
        <v>23</v>
      </c>
      <c r="G1116" s="2" t="s">
        <v>14</v>
      </c>
      <c r="H1116" s="2" t="s">
        <v>36</v>
      </c>
      <c r="I1116" s="2" t="s">
        <v>31</v>
      </c>
      <c r="J1116" s="15">
        <v>150000</v>
      </c>
      <c r="K1116" s="2">
        <v>3</v>
      </c>
      <c r="L1116" s="2" t="s">
        <v>37</v>
      </c>
      <c r="M1116" s="12">
        <f t="shared" si="36"/>
        <v>120000</v>
      </c>
      <c r="N1116" s="10">
        <f>PRODUCT(Table_13[[#This Row],[Unit Price]],Table_13[[#This Row],[Quantity]])</f>
        <v>450000</v>
      </c>
      <c r="O1116" s="16">
        <f>PRODUCT(Table_13[[#This Row],[Cost Price]],Table_13[[#This Row],[Quantity]])</f>
        <v>360000</v>
      </c>
      <c r="P1116" s="27">
        <f t="shared" si="40"/>
        <v>90000</v>
      </c>
    </row>
    <row r="1117" spans="1:16" x14ac:dyDescent="0.2">
      <c r="A1117" s="33">
        <v>46791</v>
      </c>
      <c r="B1117" s="30">
        <f t="shared" si="39"/>
        <v>2</v>
      </c>
      <c r="C1117" s="30" t="str">
        <f>_xlfn.IFS(Table_13[[#This Row],[Month]]=1,"JAN",Table_13[[#This Row],[Month]]=2,"FEB",B1117=3,"MAR",B1117=4,"APR",B1117=5,"MAY",B1117=6,"JUN",B1117=7,"JUL",B1117=8,"AUG",Table_13[[#This Row],[Month]]=9,"SEPT",B1117=10,"OCT",B1117=11,"NOV",B1117=12,"DEC")</f>
        <v>FEB</v>
      </c>
      <c r="D1117" s="2" t="s">
        <v>11</v>
      </c>
      <c r="E1117" s="2" t="s">
        <v>32</v>
      </c>
      <c r="F1117" s="2" t="s">
        <v>13</v>
      </c>
      <c r="G1117" s="2" t="s">
        <v>14</v>
      </c>
      <c r="H1117" s="2" t="s">
        <v>40</v>
      </c>
      <c r="I1117" s="2" t="s">
        <v>31</v>
      </c>
      <c r="J1117" s="15">
        <v>250000</v>
      </c>
      <c r="K1117" s="2">
        <v>9</v>
      </c>
      <c r="L1117" s="2" t="s">
        <v>17</v>
      </c>
      <c r="M1117" s="12">
        <f t="shared" si="36"/>
        <v>200000</v>
      </c>
      <c r="N1117" s="10">
        <f>PRODUCT(Table_13[[#This Row],[Unit Price]],Table_13[[#This Row],[Quantity]])</f>
        <v>2250000</v>
      </c>
      <c r="O1117" s="16">
        <f>PRODUCT(Table_13[[#This Row],[Cost Price]],Table_13[[#This Row],[Quantity]])</f>
        <v>1800000</v>
      </c>
      <c r="P1117" s="27">
        <f t="shared" si="40"/>
        <v>450000</v>
      </c>
    </row>
    <row r="1118" spans="1:16" x14ac:dyDescent="0.2">
      <c r="A1118" s="33">
        <v>46792</v>
      </c>
      <c r="B1118" s="30">
        <f t="shared" si="39"/>
        <v>2</v>
      </c>
      <c r="C1118" s="30" t="str">
        <f>_xlfn.IFS(Table_13[[#This Row],[Month]]=1,"JAN",Table_13[[#This Row],[Month]]=2,"FEB",B1118=3,"MAR",B1118=4,"APR",B1118=5,"MAY",B1118=6,"JUN",B1118=7,"JUL",B1118=8,"AUG",Table_13[[#This Row],[Month]]=9,"SEPT",B1118=10,"OCT",B1118=11,"NOV",B1118=12,"DEC")</f>
        <v>FEB</v>
      </c>
      <c r="D1118" s="2" t="s">
        <v>11</v>
      </c>
      <c r="E1118" s="2" t="s">
        <v>19</v>
      </c>
      <c r="F1118" s="2" t="s">
        <v>13</v>
      </c>
      <c r="G1118" s="2" t="s">
        <v>20</v>
      </c>
      <c r="H1118" s="2" t="s">
        <v>38</v>
      </c>
      <c r="I1118" s="2" t="s">
        <v>31</v>
      </c>
      <c r="J1118" s="15">
        <v>420000</v>
      </c>
      <c r="K1118" s="2">
        <v>7</v>
      </c>
      <c r="L1118" s="2" t="s">
        <v>28</v>
      </c>
      <c r="M1118" s="12">
        <f t="shared" si="36"/>
        <v>336000</v>
      </c>
      <c r="N1118" s="10">
        <f>PRODUCT(Table_13[[#This Row],[Unit Price]],Table_13[[#This Row],[Quantity]])</f>
        <v>2940000</v>
      </c>
      <c r="O1118" s="16">
        <f>PRODUCT(Table_13[[#This Row],[Cost Price]],Table_13[[#This Row],[Quantity]])</f>
        <v>2352000</v>
      </c>
      <c r="P1118" s="27">
        <f t="shared" si="40"/>
        <v>588000</v>
      </c>
    </row>
    <row r="1119" spans="1:16" x14ac:dyDescent="0.2">
      <c r="A1119" s="33">
        <v>46793</v>
      </c>
      <c r="B1119" s="30">
        <f t="shared" si="39"/>
        <v>2</v>
      </c>
      <c r="C1119" s="30" t="str">
        <f>_xlfn.IFS(Table_13[[#This Row],[Month]]=1,"JAN",Table_13[[#This Row],[Month]]=2,"FEB",B1119=3,"MAR",B1119=4,"APR",B1119=5,"MAY",B1119=6,"JUN",B1119=7,"JUL",B1119=8,"AUG",Table_13[[#This Row],[Month]]=9,"SEPT",B1119=10,"OCT",B1119=11,"NOV",B1119=12,"DEC")</f>
        <v>FEB</v>
      </c>
      <c r="D1119" s="2" t="s">
        <v>11</v>
      </c>
      <c r="E1119" s="2" t="s">
        <v>12</v>
      </c>
      <c r="F1119" s="2" t="s">
        <v>23</v>
      </c>
      <c r="G1119" s="2" t="s">
        <v>20</v>
      </c>
      <c r="H1119" s="2" t="s">
        <v>40</v>
      </c>
      <c r="I1119" s="2" t="s">
        <v>31</v>
      </c>
      <c r="J1119" s="15">
        <v>250000</v>
      </c>
      <c r="K1119" s="2">
        <v>10</v>
      </c>
      <c r="L1119" s="2" t="s">
        <v>24</v>
      </c>
      <c r="M1119" s="12">
        <f t="shared" si="36"/>
        <v>200000</v>
      </c>
      <c r="N1119" s="10">
        <f>PRODUCT(Table_13[[#This Row],[Unit Price]],Table_13[[#This Row],[Quantity]])</f>
        <v>2500000</v>
      </c>
      <c r="O1119" s="16">
        <f>PRODUCT(Table_13[[#This Row],[Cost Price]],Table_13[[#This Row],[Quantity]])</f>
        <v>2000000</v>
      </c>
      <c r="P1119" s="27">
        <f t="shared" si="40"/>
        <v>500000</v>
      </c>
    </row>
    <row r="1120" spans="1:16" x14ac:dyDescent="0.2">
      <c r="A1120" s="33">
        <v>46794</v>
      </c>
      <c r="B1120" s="30">
        <f t="shared" si="39"/>
        <v>2</v>
      </c>
      <c r="C1120" s="30" t="str">
        <f>_xlfn.IFS(Table_13[[#This Row],[Month]]=1,"JAN",Table_13[[#This Row],[Month]]=2,"FEB",B1120=3,"MAR",B1120=4,"APR",B1120=5,"MAY",B1120=6,"JUN",B1120=7,"JUL",B1120=8,"AUG",Table_13[[#This Row],[Month]]=9,"SEPT",B1120=10,"OCT",B1120=11,"NOV",B1120=12,"DEC")</f>
        <v>FEB</v>
      </c>
      <c r="D1120" s="2" t="s">
        <v>18</v>
      </c>
      <c r="E1120" s="2" t="s">
        <v>26</v>
      </c>
      <c r="F1120" s="2" t="s">
        <v>13</v>
      </c>
      <c r="G1120" s="2" t="s">
        <v>14</v>
      </c>
      <c r="H1120" s="2" t="s">
        <v>27</v>
      </c>
      <c r="I1120" s="2" t="s">
        <v>22</v>
      </c>
      <c r="J1120" s="15">
        <v>60000</v>
      </c>
      <c r="K1120" s="2">
        <v>4</v>
      </c>
      <c r="L1120" s="2" t="s">
        <v>24</v>
      </c>
      <c r="M1120" s="12">
        <f t="shared" si="36"/>
        <v>48000</v>
      </c>
      <c r="N1120" s="10">
        <f>PRODUCT(Table_13[[#This Row],[Unit Price]],Table_13[[#This Row],[Quantity]])</f>
        <v>240000</v>
      </c>
      <c r="O1120" s="16">
        <f>PRODUCT(Table_13[[#This Row],[Cost Price]],Table_13[[#This Row],[Quantity]])</f>
        <v>192000</v>
      </c>
      <c r="P1120" s="27">
        <f t="shared" si="40"/>
        <v>48000</v>
      </c>
    </row>
    <row r="1121" spans="1:16" x14ac:dyDescent="0.2">
      <c r="A1121" s="33">
        <v>46795</v>
      </c>
      <c r="B1121" s="30">
        <f t="shared" si="39"/>
        <v>2</v>
      </c>
      <c r="C1121" s="30" t="str">
        <f>_xlfn.IFS(Table_13[[#This Row],[Month]]=1,"JAN",Table_13[[#This Row],[Month]]=2,"FEB",B1121=3,"MAR",B1121=4,"APR",B1121=5,"MAY",B1121=6,"JUN",B1121=7,"JUL",B1121=8,"AUG",Table_13[[#This Row],[Month]]=9,"SEPT",B1121=10,"OCT",B1121=11,"NOV",B1121=12,"DEC")</f>
        <v>FEB</v>
      </c>
      <c r="D1121" s="2" t="s">
        <v>29</v>
      </c>
      <c r="E1121" s="2" t="s">
        <v>19</v>
      </c>
      <c r="F1121" s="2" t="s">
        <v>13</v>
      </c>
      <c r="G1121" s="2" t="s">
        <v>14</v>
      </c>
      <c r="H1121" s="2" t="s">
        <v>40</v>
      </c>
      <c r="I1121" s="2" t="s">
        <v>31</v>
      </c>
      <c r="J1121" s="15">
        <v>250000</v>
      </c>
      <c r="K1121" s="2">
        <v>4</v>
      </c>
      <c r="L1121" s="2" t="s">
        <v>17</v>
      </c>
      <c r="M1121" s="12">
        <f t="shared" si="36"/>
        <v>200000</v>
      </c>
      <c r="N1121" s="10">
        <f>PRODUCT(Table_13[[#This Row],[Unit Price]],Table_13[[#This Row],[Quantity]])</f>
        <v>1000000</v>
      </c>
      <c r="O1121" s="16">
        <f>PRODUCT(Table_13[[#This Row],[Cost Price]],Table_13[[#This Row],[Quantity]])</f>
        <v>800000</v>
      </c>
      <c r="P1121" s="27">
        <f t="shared" si="40"/>
        <v>200000</v>
      </c>
    </row>
    <row r="1122" spans="1:16" x14ac:dyDescent="0.2">
      <c r="A1122" s="33">
        <v>46796</v>
      </c>
      <c r="B1122" s="30">
        <f t="shared" si="39"/>
        <v>2</v>
      </c>
      <c r="C1122" s="30" t="str">
        <f>_xlfn.IFS(Table_13[[#This Row],[Month]]=1,"JAN",Table_13[[#This Row],[Month]]=2,"FEB",B1122=3,"MAR",B1122=4,"APR",B1122=5,"MAY",B1122=6,"JUN",B1122=7,"JUL",B1122=8,"AUG",Table_13[[#This Row],[Month]]=9,"SEPT",B1122=10,"OCT",B1122=11,"NOV",B1122=12,"DEC")</f>
        <v>FEB</v>
      </c>
      <c r="D1122" s="2" t="s">
        <v>29</v>
      </c>
      <c r="E1122" s="2" t="s">
        <v>12</v>
      </c>
      <c r="F1122" s="2" t="s">
        <v>13</v>
      </c>
      <c r="G1122" s="2" t="s">
        <v>14</v>
      </c>
      <c r="H1122" s="2" t="s">
        <v>30</v>
      </c>
      <c r="I1122" s="2" t="s">
        <v>31</v>
      </c>
      <c r="J1122" s="15">
        <v>300000</v>
      </c>
      <c r="K1122" s="2">
        <v>3</v>
      </c>
      <c r="L1122" s="2" t="s">
        <v>39</v>
      </c>
      <c r="M1122" s="12">
        <f t="shared" si="36"/>
        <v>240000</v>
      </c>
      <c r="N1122" s="10">
        <f>PRODUCT(Table_13[[#This Row],[Unit Price]],Table_13[[#This Row],[Quantity]])</f>
        <v>900000</v>
      </c>
      <c r="O1122" s="16">
        <f>PRODUCT(Table_13[[#This Row],[Cost Price]],Table_13[[#This Row],[Quantity]])</f>
        <v>720000</v>
      </c>
      <c r="P1122" s="27">
        <f t="shared" si="40"/>
        <v>180000</v>
      </c>
    </row>
    <row r="1123" spans="1:16" x14ac:dyDescent="0.2">
      <c r="A1123" s="33">
        <v>46797</v>
      </c>
      <c r="B1123" s="30">
        <f t="shared" si="39"/>
        <v>2</v>
      </c>
      <c r="C1123" s="30" t="str">
        <f>_xlfn.IFS(Table_13[[#This Row],[Month]]=1,"JAN",Table_13[[#This Row],[Month]]=2,"FEB",B1123=3,"MAR",B1123=4,"APR",B1123=5,"MAY",B1123=6,"JUN",B1123=7,"JUL",B1123=8,"AUG",Table_13[[#This Row],[Month]]=9,"SEPT",B1123=10,"OCT",B1123=11,"NOV",B1123=12,"DEC")</f>
        <v>FEB</v>
      </c>
      <c r="D1123" s="2" t="s">
        <v>25</v>
      </c>
      <c r="E1123" s="2" t="s">
        <v>19</v>
      </c>
      <c r="F1123" s="2" t="s">
        <v>23</v>
      </c>
      <c r="G1123" s="2" t="s">
        <v>14</v>
      </c>
      <c r="H1123" s="2" t="s">
        <v>38</v>
      </c>
      <c r="I1123" s="2" t="s">
        <v>31</v>
      </c>
      <c r="J1123" s="15">
        <v>420000</v>
      </c>
      <c r="K1123" s="2">
        <v>9</v>
      </c>
      <c r="L1123" s="2" t="s">
        <v>37</v>
      </c>
      <c r="M1123" s="12">
        <f t="shared" si="36"/>
        <v>336000</v>
      </c>
      <c r="N1123" s="10">
        <f>PRODUCT(Table_13[[#This Row],[Unit Price]],Table_13[[#This Row],[Quantity]])</f>
        <v>3780000</v>
      </c>
      <c r="O1123" s="16">
        <f>PRODUCT(Table_13[[#This Row],[Cost Price]],Table_13[[#This Row],[Quantity]])</f>
        <v>3024000</v>
      </c>
      <c r="P1123" s="27">
        <f t="shared" si="40"/>
        <v>756000</v>
      </c>
    </row>
    <row r="1124" spans="1:16" x14ac:dyDescent="0.2">
      <c r="A1124" s="33">
        <v>46798</v>
      </c>
      <c r="B1124" s="30">
        <f t="shared" si="39"/>
        <v>2</v>
      </c>
      <c r="C1124" s="30" t="str">
        <f>_xlfn.IFS(Table_13[[#This Row],[Month]]=1,"JAN",Table_13[[#This Row],[Month]]=2,"FEB",B1124=3,"MAR",B1124=4,"APR",B1124=5,"MAY",B1124=6,"JUN",B1124=7,"JUL",B1124=8,"AUG",Table_13[[#This Row],[Month]]=9,"SEPT",B1124=10,"OCT",B1124=11,"NOV",B1124=12,"DEC")</f>
        <v>FEB</v>
      </c>
      <c r="D1124" s="2" t="s">
        <v>25</v>
      </c>
      <c r="E1124" s="2" t="s">
        <v>19</v>
      </c>
      <c r="F1124" s="2" t="s">
        <v>23</v>
      </c>
      <c r="G1124" s="2" t="s">
        <v>14</v>
      </c>
      <c r="H1124" s="2" t="s">
        <v>38</v>
      </c>
      <c r="I1124" s="2" t="s">
        <v>31</v>
      </c>
      <c r="J1124" s="15">
        <v>420000</v>
      </c>
      <c r="K1124" s="2">
        <v>7</v>
      </c>
      <c r="L1124" s="2" t="s">
        <v>28</v>
      </c>
      <c r="M1124" s="12">
        <f t="shared" si="36"/>
        <v>336000</v>
      </c>
      <c r="N1124" s="10">
        <f>PRODUCT(Table_13[[#This Row],[Unit Price]],Table_13[[#This Row],[Quantity]])</f>
        <v>2940000</v>
      </c>
      <c r="O1124" s="16">
        <f>PRODUCT(Table_13[[#This Row],[Cost Price]],Table_13[[#This Row],[Quantity]])</f>
        <v>2352000</v>
      </c>
      <c r="P1124" s="27">
        <f t="shared" si="40"/>
        <v>588000</v>
      </c>
    </row>
    <row r="1125" spans="1:16" x14ac:dyDescent="0.2">
      <c r="A1125" s="33">
        <v>46799</v>
      </c>
      <c r="B1125" s="30">
        <f t="shared" si="39"/>
        <v>2</v>
      </c>
      <c r="C1125" s="30" t="str">
        <f>_xlfn.IFS(Table_13[[#This Row],[Month]]=1,"JAN",Table_13[[#This Row],[Month]]=2,"FEB",B1125=3,"MAR",B1125=4,"APR",B1125=5,"MAY",B1125=6,"JUN",B1125=7,"JUL",B1125=8,"AUG",Table_13[[#This Row],[Month]]=9,"SEPT",B1125=10,"OCT",B1125=11,"NOV",B1125=12,"DEC")</f>
        <v>FEB</v>
      </c>
      <c r="D1125" s="2" t="s">
        <v>18</v>
      </c>
      <c r="E1125" s="2" t="s">
        <v>26</v>
      </c>
      <c r="F1125" s="2" t="s">
        <v>13</v>
      </c>
      <c r="G1125" s="2" t="s">
        <v>14</v>
      </c>
      <c r="H1125" s="2" t="s">
        <v>41</v>
      </c>
      <c r="I1125" s="2" t="s">
        <v>22</v>
      </c>
      <c r="J1125" s="15">
        <v>220000</v>
      </c>
      <c r="K1125" s="2">
        <v>9</v>
      </c>
      <c r="L1125" s="2" t="s">
        <v>39</v>
      </c>
      <c r="M1125" s="12">
        <f t="shared" si="36"/>
        <v>176000</v>
      </c>
      <c r="N1125" s="10">
        <f>PRODUCT(Table_13[[#This Row],[Unit Price]],Table_13[[#This Row],[Quantity]])</f>
        <v>1980000</v>
      </c>
      <c r="O1125" s="16">
        <f>PRODUCT(Table_13[[#This Row],[Cost Price]],Table_13[[#This Row],[Quantity]])</f>
        <v>1584000</v>
      </c>
      <c r="P1125" s="27">
        <f t="shared" si="40"/>
        <v>396000</v>
      </c>
    </row>
    <row r="1126" spans="1:16" x14ac:dyDescent="0.2">
      <c r="A1126" s="33">
        <v>46800</v>
      </c>
      <c r="B1126" s="30">
        <f t="shared" si="39"/>
        <v>2</v>
      </c>
      <c r="C1126" s="30" t="str">
        <f>_xlfn.IFS(Table_13[[#This Row],[Month]]=1,"JAN",Table_13[[#This Row],[Month]]=2,"FEB",B1126=3,"MAR",B1126=4,"APR",B1126=5,"MAY",B1126=6,"JUN",B1126=7,"JUL",B1126=8,"AUG",Table_13[[#This Row],[Month]]=9,"SEPT",B1126=10,"OCT",B1126=11,"NOV",B1126=12,"DEC")</f>
        <v>FEB</v>
      </c>
      <c r="D1126" s="2" t="s">
        <v>18</v>
      </c>
      <c r="E1126" s="2" t="s">
        <v>32</v>
      </c>
      <c r="F1126" s="2" t="s">
        <v>23</v>
      </c>
      <c r="G1126" s="2" t="s">
        <v>14</v>
      </c>
      <c r="H1126" s="2" t="s">
        <v>15</v>
      </c>
      <c r="I1126" s="2" t="s">
        <v>16</v>
      </c>
      <c r="J1126" s="15">
        <v>85000</v>
      </c>
      <c r="K1126" s="2">
        <v>8</v>
      </c>
      <c r="L1126" s="2" t="s">
        <v>28</v>
      </c>
      <c r="M1126" s="12">
        <f t="shared" si="36"/>
        <v>68000</v>
      </c>
      <c r="N1126" s="10">
        <f>PRODUCT(Table_13[[#This Row],[Unit Price]],Table_13[[#This Row],[Quantity]])</f>
        <v>680000</v>
      </c>
      <c r="O1126" s="16">
        <f>PRODUCT(Table_13[[#This Row],[Cost Price]],Table_13[[#This Row],[Quantity]])</f>
        <v>544000</v>
      </c>
      <c r="P1126" s="27">
        <f t="shared" si="40"/>
        <v>136000</v>
      </c>
    </row>
    <row r="1127" spans="1:16" x14ac:dyDescent="0.2">
      <c r="A1127" s="33">
        <v>46801</v>
      </c>
      <c r="B1127" s="30">
        <f t="shared" si="39"/>
        <v>2</v>
      </c>
      <c r="C1127" s="30" t="str">
        <f>_xlfn.IFS(Table_13[[#This Row],[Month]]=1,"JAN",Table_13[[#This Row],[Month]]=2,"FEB",B1127=3,"MAR",B1127=4,"APR",B1127=5,"MAY",B1127=6,"JUN",B1127=7,"JUL",B1127=8,"AUG",Table_13[[#This Row],[Month]]=9,"SEPT",B1127=10,"OCT",B1127=11,"NOV",B1127=12,"DEC")</f>
        <v>FEB</v>
      </c>
      <c r="D1127" s="2" t="s">
        <v>25</v>
      </c>
      <c r="E1127" s="2" t="s">
        <v>12</v>
      </c>
      <c r="F1127" s="2" t="s">
        <v>23</v>
      </c>
      <c r="G1127" s="2" t="s">
        <v>20</v>
      </c>
      <c r="H1127" s="2" t="s">
        <v>15</v>
      </c>
      <c r="I1127" s="2" t="s">
        <v>16</v>
      </c>
      <c r="J1127" s="15">
        <v>85000</v>
      </c>
      <c r="K1127" s="2">
        <v>5</v>
      </c>
      <c r="L1127" s="2" t="s">
        <v>35</v>
      </c>
      <c r="M1127" s="12">
        <f t="shared" si="36"/>
        <v>68000</v>
      </c>
      <c r="N1127" s="10">
        <f>PRODUCT(Table_13[[#This Row],[Unit Price]],Table_13[[#This Row],[Quantity]])</f>
        <v>425000</v>
      </c>
      <c r="O1127" s="16">
        <f>PRODUCT(Table_13[[#This Row],[Cost Price]],Table_13[[#This Row],[Quantity]])</f>
        <v>340000</v>
      </c>
      <c r="P1127" s="27">
        <f t="shared" si="40"/>
        <v>85000</v>
      </c>
    </row>
    <row r="1128" spans="1:16" x14ac:dyDescent="0.2">
      <c r="A1128" s="33">
        <v>46802</v>
      </c>
      <c r="B1128" s="30">
        <f t="shared" si="39"/>
        <v>2</v>
      </c>
      <c r="C1128" s="30" t="str">
        <f>_xlfn.IFS(Table_13[[#This Row],[Month]]=1,"JAN",Table_13[[#This Row],[Month]]=2,"FEB",B1128=3,"MAR",B1128=4,"APR",B1128=5,"MAY",B1128=6,"JUN",B1128=7,"JUL",B1128=8,"AUG",Table_13[[#This Row],[Month]]=9,"SEPT",B1128=10,"OCT",B1128=11,"NOV",B1128=12,"DEC")</f>
        <v>FEB</v>
      </c>
      <c r="D1128" s="2" t="s">
        <v>25</v>
      </c>
      <c r="E1128" s="2" t="s">
        <v>32</v>
      </c>
      <c r="F1128" s="2" t="s">
        <v>13</v>
      </c>
      <c r="G1128" s="2" t="s">
        <v>20</v>
      </c>
      <c r="H1128" s="2" t="s">
        <v>40</v>
      </c>
      <c r="I1128" s="2" t="s">
        <v>31</v>
      </c>
      <c r="J1128" s="15">
        <v>250000</v>
      </c>
      <c r="K1128" s="2">
        <v>6</v>
      </c>
      <c r="L1128" s="2" t="s">
        <v>39</v>
      </c>
      <c r="M1128" s="12">
        <f t="shared" si="36"/>
        <v>200000</v>
      </c>
      <c r="N1128" s="10">
        <f>PRODUCT(Table_13[[#This Row],[Unit Price]],Table_13[[#This Row],[Quantity]])</f>
        <v>1500000</v>
      </c>
      <c r="O1128" s="16">
        <f>PRODUCT(Table_13[[#This Row],[Cost Price]],Table_13[[#This Row],[Quantity]])</f>
        <v>1200000</v>
      </c>
      <c r="P1128" s="27">
        <f t="shared" si="40"/>
        <v>300000</v>
      </c>
    </row>
    <row r="1129" spans="1:16" x14ac:dyDescent="0.2">
      <c r="A1129" s="33">
        <v>46803</v>
      </c>
      <c r="B1129" s="30">
        <f t="shared" si="39"/>
        <v>2</v>
      </c>
      <c r="C1129" s="30" t="str">
        <f>_xlfn.IFS(Table_13[[#This Row],[Month]]=1,"JAN",Table_13[[#This Row],[Month]]=2,"FEB",B1129=3,"MAR",B1129=4,"APR",B1129=5,"MAY",B1129=6,"JUN",B1129=7,"JUL",B1129=8,"AUG",Table_13[[#This Row],[Month]]=9,"SEPT",B1129=10,"OCT",B1129=11,"NOV",B1129=12,"DEC")</f>
        <v>FEB</v>
      </c>
      <c r="D1129" s="2" t="s">
        <v>18</v>
      </c>
      <c r="E1129" s="2" t="s">
        <v>26</v>
      </c>
      <c r="F1129" s="2" t="s">
        <v>23</v>
      </c>
      <c r="G1129" s="2" t="s">
        <v>20</v>
      </c>
      <c r="H1129" s="2" t="s">
        <v>21</v>
      </c>
      <c r="I1129" s="2" t="s">
        <v>22</v>
      </c>
      <c r="J1129" s="15">
        <v>30000</v>
      </c>
      <c r="K1129" s="2">
        <v>8</v>
      </c>
      <c r="L1129" s="2" t="s">
        <v>39</v>
      </c>
      <c r="M1129" s="12">
        <f t="shared" si="36"/>
        <v>24000</v>
      </c>
      <c r="N1129" s="10">
        <f>PRODUCT(Table_13[[#This Row],[Unit Price]],Table_13[[#This Row],[Quantity]])</f>
        <v>240000</v>
      </c>
      <c r="O1129" s="16">
        <f>PRODUCT(Table_13[[#This Row],[Cost Price]],Table_13[[#This Row],[Quantity]])</f>
        <v>192000</v>
      </c>
      <c r="P1129" s="27">
        <f t="shared" si="40"/>
        <v>48000</v>
      </c>
    </row>
    <row r="1130" spans="1:16" x14ac:dyDescent="0.2">
      <c r="A1130" s="33">
        <v>46804</v>
      </c>
      <c r="B1130" s="30">
        <f t="shared" si="39"/>
        <v>2</v>
      </c>
      <c r="C1130" s="30" t="str">
        <f>_xlfn.IFS(Table_13[[#This Row],[Month]]=1,"JAN",Table_13[[#This Row],[Month]]=2,"FEB",B1130=3,"MAR",B1130=4,"APR",B1130=5,"MAY",B1130=6,"JUN",B1130=7,"JUL",B1130=8,"AUG",Table_13[[#This Row],[Month]]=9,"SEPT",B1130=10,"OCT",B1130=11,"NOV",B1130=12,"DEC")</f>
        <v>FEB</v>
      </c>
      <c r="D1130" s="2" t="s">
        <v>29</v>
      </c>
      <c r="E1130" s="2" t="s">
        <v>12</v>
      </c>
      <c r="F1130" s="2" t="s">
        <v>23</v>
      </c>
      <c r="G1130" s="2" t="s">
        <v>14</v>
      </c>
      <c r="H1130" s="2" t="s">
        <v>40</v>
      </c>
      <c r="I1130" s="2" t="s">
        <v>31</v>
      </c>
      <c r="J1130" s="15">
        <v>250000</v>
      </c>
      <c r="K1130" s="2">
        <v>6</v>
      </c>
      <c r="L1130" s="2" t="s">
        <v>37</v>
      </c>
      <c r="M1130" s="12">
        <f t="shared" si="36"/>
        <v>200000</v>
      </c>
      <c r="N1130" s="10">
        <f>PRODUCT(Table_13[[#This Row],[Unit Price]],Table_13[[#This Row],[Quantity]])</f>
        <v>1500000</v>
      </c>
      <c r="O1130" s="16">
        <f>PRODUCT(Table_13[[#This Row],[Cost Price]],Table_13[[#This Row],[Quantity]])</f>
        <v>1200000</v>
      </c>
      <c r="P1130" s="27">
        <f t="shared" si="40"/>
        <v>300000</v>
      </c>
    </row>
    <row r="1131" spans="1:16" x14ac:dyDescent="0.2">
      <c r="A1131" s="33">
        <v>46805</v>
      </c>
      <c r="B1131" s="30">
        <f t="shared" si="39"/>
        <v>2</v>
      </c>
      <c r="C1131" s="30" t="str">
        <f>_xlfn.IFS(Table_13[[#This Row],[Month]]=1,"JAN",Table_13[[#This Row],[Month]]=2,"FEB",B1131=3,"MAR",B1131=4,"APR",B1131=5,"MAY",B1131=6,"JUN",B1131=7,"JUL",B1131=8,"AUG",Table_13[[#This Row],[Month]]=9,"SEPT",B1131=10,"OCT",B1131=11,"NOV",B1131=12,"DEC")</f>
        <v>FEB</v>
      </c>
      <c r="D1131" s="2" t="s">
        <v>25</v>
      </c>
      <c r="E1131" s="2" t="s">
        <v>19</v>
      </c>
      <c r="F1131" s="2" t="s">
        <v>23</v>
      </c>
      <c r="G1131" s="2" t="s">
        <v>20</v>
      </c>
      <c r="H1131" s="2" t="s">
        <v>34</v>
      </c>
      <c r="I1131" s="2" t="s">
        <v>16</v>
      </c>
      <c r="J1131" s="15">
        <v>320000</v>
      </c>
      <c r="K1131" s="2">
        <v>10</v>
      </c>
      <c r="L1131" s="2" t="s">
        <v>35</v>
      </c>
      <c r="M1131" s="12">
        <f t="shared" si="36"/>
        <v>256000</v>
      </c>
      <c r="N1131" s="10">
        <f>PRODUCT(Table_13[[#This Row],[Unit Price]],Table_13[[#This Row],[Quantity]])</f>
        <v>3200000</v>
      </c>
      <c r="O1131" s="16">
        <f>PRODUCT(Table_13[[#This Row],[Cost Price]],Table_13[[#This Row],[Quantity]])</f>
        <v>2560000</v>
      </c>
      <c r="P1131" s="27">
        <f t="shared" si="40"/>
        <v>640000</v>
      </c>
    </row>
    <row r="1132" spans="1:16" x14ac:dyDescent="0.2">
      <c r="A1132" s="33">
        <v>46806</v>
      </c>
      <c r="B1132" s="30">
        <f t="shared" si="39"/>
        <v>2</v>
      </c>
      <c r="C1132" s="30" t="str">
        <f>_xlfn.IFS(Table_13[[#This Row],[Month]]=1,"JAN",Table_13[[#This Row],[Month]]=2,"FEB",B1132=3,"MAR",B1132=4,"APR",B1132=5,"MAY",B1132=6,"JUN",B1132=7,"JUL",B1132=8,"AUG",Table_13[[#This Row],[Month]]=9,"SEPT",B1132=10,"OCT",B1132=11,"NOV",B1132=12,"DEC")</f>
        <v>FEB</v>
      </c>
      <c r="D1132" s="2" t="s">
        <v>18</v>
      </c>
      <c r="E1132" s="2" t="s">
        <v>32</v>
      </c>
      <c r="F1132" s="2" t="s">
        <v>13</v>
      </c>
      <c r="G1132" s="2" t="s">
        <v>20</v>
      </c>
      <c r="H1132" s="2" t="s">
        <v>21</v>
      </c>
      <c r="I1132" s="2" t="s">
        <v>22</v>
      </c>
      <c r="J1132" s="15">
        <v>30000</v>
      </c>
      <c r="K1132" s="2">
        <v>4</v>
      </c>
      <c r="L1132" s="2" t="s">
        <v>35</v>
      </c>
      <c r="M1132" s="12">
        <f t="shared" si="36"/>
        <v>24000</v>
      </c>
      <c r="N1132" s="10">
        <f>PRODUCT(Table_13[[#This Row],[Unit Price]],Table_13[[#This Row],[Quantity]])</f>
        <v>120000</v>
      </c>
      <c r="O1132" s="16">
        <f>PRODUCT(Table_13[[#This Row],[Cost Price]],Table_13[[#This Row],[Quantity]])</f>
        <v>96000</v>
      </c>
      <c r="P1132" s="27">
        <f t="shared" si="40"/>
        <v>24000</v>
      </c>
    </row>
    <row r="1133" spans="1:16" x14ac:dyDescent="0.2">
      <c r="A1133" s="33">
        <v>46807</v>
      </c>
      <c r="B1133" s="30">
        <f t="shared" si="39"/>
        <v>2</v>
      </c>
      <c r="C1133" s="30" t="str">
        <f>_xlfn.IFS(Table_13[[#This Row],[Month]]=1,"JAN",Table_13[[#This Row],[Month]]=2,"FEB",B1133=3,"MAR",B1133=4,"APR",B1133=5,"MAY",B1133=6,"JUN",B1133=7,"JUL",B1133=8,"AUG",Table_13[[#This Row],[Month]]=9,"SEPT",B1133=10,"OCT",B1133=11,"NOV",B1133=12,"DEC")</f>
        <v>FEB</v>
      </c>
      <c r="D1133" s="2" t="s">
        <v>25</v>
      </c>
      <c r="E1133" s="2" t="s">
        <v>32</v>
      </c>
      <c r="F1133" s="2" t="s">
        <v>13</v>
      </c>
      <c r="G1133" s="2" t="s">
        <v>20</v>
      </c>
      <c r="H1133" s="2" t="s">
        <v>15</v>
      </c>
      <c r="I1133" s="2" t="s">
        <v>16</v>
      </c>
      <c r="J1133" s="15">
        <v>85000</v>
      </c>
      <c r="K1133" s="2">
        <v>10</v>
      </c>
      <c r="L1133" s="2" t="s">
        <v>17</v>
      </c>
      <c r="M1133" s="12">
        <f t="shared" si="36"/>
        <v>68000</v>
      </c>
      <c r="N1133" s="10">
        <f>PRODUCT(Table_13[[#This Row],[Unit Price]],Table_13[[#This Row],[Quantity]])</f>
        <v>850000</v>
      </c>
      <c r="O1133" s="16">
        <f>PRODUCT(Table_13[[#This Row],[Cost Price]],Table_13[[#This Row],[Quantity]])</f>
        <v>680000</v>
      </c>
      <c r="P1133" s="27">
        <f t="shared" si="40"/>
        <v>170000</v>
      </c>
    </row>
    <row r="1134" spans="1:16" x14ac:dyDescent="0.2">
      <c r="A1134" s="33">
        <v>46808</v>
      </c>
      <c r="B1134" s="30">
        <f t="shared" si="39"/>
        <v>2</v>
      </c>
      <c r="C1134" s="30" t="str">
        <f>_xlfn.IFS(Table_13[[#This Row],[Month]]=1,"JAN",Table_13[[#This Row],[Month]]=2,"FEB",B1134=3,"MAR",B1134=4,"APR",B1134=5,"MAY",B1134=6,"JUN",B1134=7,"JUL",B1134=8,"AUG",Table_13[[#This Row],[Month]]=9,"SEPT",B1134=10,"OCT",B1134=11,"NOV",B1134=12,"DEC")</f>
        <v>FEB</v>
      </c>
      <c r="D1134" s="2" t="s">
        <v>29</v>
      </c>
      <c r="E1134" s="2" t="s">
        <v>32</v>
      </c>
      <c r="F1134" s="2" t="s">
        <v>23</v>
      </c>
      <c r="G1134" s="2" t="s">
        <v>20</v>
      </c>
      <c r="H1134" s="2" t="s">
        <v>40</v>
      </c>
      <c r="I1134" s="2" t="s">
        <v>31</v>
      </c>
      <c r="J1134" s="15">
        <v>250000</v>
      </c>
      <c r="K1134" s="2">
        <v>6</v>
      </c>
      <c r="L1134" s="2" t="s">
        <v>28</v>
      </c>
      <c r="M1134" s="12">
        <f t="shared" si="36"/>
        <v>200000</v>
      </c>
      <c r="N1134" s="10">
        <f>PRODUCT(Table_13[[#This Row],[Unit Price]],Table_13[[#This Row],[Quantity]])</f>
        <v>1500000</v>
      </c>
      <c r="O1134" s="16">
        <f>PRODUCT(Table_13[[#This Row],[Cost Price]],Table_13[[#This Row],[Quantity]])</f>
        <v>1200000</v>
      </c>
      <c r="P1134" s="27">
        <f t="shared" si="40"/>
        <v>300000</v>
      </c>
    </row>
    <row r="1135" spans="1:16" x14ac:dyDescent="0.2">
      <c r="A1135" s="33">
        <v>46809</v>
      </c>
      <c r="B1135" s="30">
        <f t="shared" si="39"/>
        <v>2</v>
      </c>
      <c r="C1135" s="30" t="str">
        <f>_xlfn.IFS(Table_13[[#This Row],[Month]]=1,"JAN",Table_13[[#This Row],[Month]]=2,"FEB",B1135=3,"MAR",B1135=4,"APR",B1135=5,"MAY",B1135=6,"JUN",B1135=7,"JUL",B1135=8,"AUG",Table_13[[#This Row],[Month]]=9,"SEPT",B1135=10,"OCT",B1135=11,"NOV",B1135=12,"DEC")</f>
        <v>FEB</v>
      </c>
      <c r="D1135" s="2" t="s">
        <v>25</v>
      </c>
      <c r="E1135" s="2" t="s">
        <v>19</v>
      </c>
      <c r="F1135" s="2" t="s">
        <v>13</v>
      </c>
      <c r="G1135" s="2" t="s">
        <v>20</v>
      </c>
      <c r="H1135" s="2" t="s">
        <v>27</v>
      </c>
      <c r="I1135" s="2" t="s">
        <v>22</v>
      </c>
      <c r="J1135" s="15">
        <v>60000</v>
      </c>
      <c r="K1135" s="2">
        <v>10</v>
      </c>
      <c r="L1135" s="2" t="s">
        <v>24</v>
      </c>
      <c r="M1135" s="12">
        <f t="shared" si="36"/>
        <v>48000</v>
      </c>
      <c r="N1135" s="10">
        <f>PRODUCT(Table_13[[#This Row],[Unit Price]],Table_13[[#This Row],[Quantity]])</f>
        <v>600000</v>
      </c>
      <c r="O1135" s="16">
        <f>PRODUCT(Table_13[[#This Row],[Cost Price]],Table_13[[#This Row],[Quantity]])</f>
        <v>480000</v>
      </c>
      <c r="P1135" s="27">
        <f t="shared" si="40"/>
        <v>120000</v>
      </c>
    </row>
    <row r="1136" spans="1:16" x14ac:dyDescent="0.2">
      <c r="A1136" s="33">
        <v>46810</v>
      </c>
      <c r="B1136" s="30">
        <f t="shared" si="39"/>
        <v>2</v>
      </c>
      <c r="C1136" s="30" t="str">
        <f>_xlfn.IFS(Table_13[[#This Row],[Month]]=1,"JAN",Table_13[[#This Row],[Month]]=2,"FEB",B1136=3,"MAR",B1136=4,"APR",B1136=5,"MAY",B1136=6,"JUN",B1136=7,"JUL",B1136=8,"AUG",Table_13[[#This Row],[Month]]=9,"SEPT",B1136=10,"OCT",B1136=11,"NOV",B1136=12,"DEC")</f>
        <v>FEB</v>
      </c>
      <c r="D1136" s="2" t="s">
        <v>18</v>
      </c>
      <c r="E1136" s="2" t="s">
        <v>19</v>
      </c>
      <c r="F1136" s="2" t="s">
        <v>13</v>
      </c>
      <c r="G1136" s="2" t="s">
        <v>20</v>
      </c>
      <c r="H1136" s="2" t="s">
        <v>30</v>
      </c>
      <c r="I1136" s="2" t="s">
        <v>31</v>
      </c>
      <c r="J1136" s="15">
        <v>300000</v>
      </c>
      <c r="K1136" s="2">
        <v>3</v>
      </c>
      <c r="L1136" s="2" t="s">
        <v>24</v>
      </c>
      <c r="M1136" s="12">
        <f t="shared" si="36"/>
        <v>240000</v>
      </c>
      <c r="N1136" s="10">
        <f>PRODUCT(Table_13[[#This Row],[Unit Price]],Table_13[[#This Row],[Quantity]])</f>
        <v>900000</v>
      </c>
      <c r="O1136" s="16">
        <f>PRODUCT(Table_13[[#This Row],[Cost Price]],Table_13[[#This Row],[Quantity]])</f>
        <v>720000</v>
      </c>
      <c r="P1136" s="27">
        <f t="shared" si="40"/>
        <v>180000</v>
      </c>
    </row>
    <row r="1137" spans="1:16" x14ac:dyDescent="0.2">
      <c r="A1137" s="33">
        <v>46811</v>
      </c>
      <c r="B1137" s="30">
        <f t="shared" si="39"/>
        <v>2</v>
      </c>
      <c r="C1137" s="30" t="str">
        <f>_xlfn.IFS(Table_13[[#This Row],[Month]]=1,"JAN",Table_13[[#This Row],[Month]]=2,"FEB",B1137=3,"MAR",B1137=4,"APR",B1137=5,"MAY",B1137=6,"JUN",B1137=7,"JUL",B1137=8,"AUG",Table_13[[#This Row],[Month]]=9,"SEPT",B1137=10,"OCT",B1137=11,"NOV",B1137=12,"DEC")</f>
        <v>FEB</v>
      </c>
      <c r="D1137" s="2" t="s">
        <v>11</v>
      </c>
      <c r="E1137" s="2" t="s">
        <v>32</v>
      </c>
      <c r="F1137" s="2" t="s">
        <v>13</v>
      </c>
      <c r="G1137" s="2" t="s">
        <v>20</v>
      </c>
      <c r="H1137" s="2" t="s">
        <v>36</v>
      </c>
      <c r="I1137" s="2" t="s">
        <v>31</v>
      </c>
      <c r="J1137" s="15">
        <v>150000</v>
      </c>
      <c r="K1137" s="2">
        <v>10</v>
      </c>
      <c r="L1137" s="2" t="s">
        <v>39</v>
      </c>
      <c r="M1137" s="12">
        <f t="shared" si="36"/>
        <v>120000</v>
      </c>
      <c r="N1137" s="10">
        <f>PRODUCT(Table_13[[#This Row],[Unit Price]],Table_13[[#This Row],[Quantity]])</f>
        <v>1500000</v>
      </c>
      <c r="O1137" s="16">
        <f>PRODUCT(Table_13[[#This Row],[Cost Price]],Table_13[[#This Row],[Quantity]])</f>
        <v>1200000</v>
      </c>
      <c r="P1137" s="27">
        <f t="shared" si="40"/>
        <v>300000</v>
      </c>
    </row>
    <row r="1138" spans="1:16" x14ac:dyDescent="0.2">
      <c r="A1138" s="33">
        <v>46812</v>
      </c>
      <c r="B1138" s="30">
        <f t="shared" si="39"/>
        <v>2</v>
      </c>
      <c r="C1138" s="30" t="str">
        <f>_xlfn.IFS(Table_13[[#This Row],[Month]]=1,"JAN",Table_13[[#This Row],[Month]]=2,"FEB",B1138=3,"MAR",B1138=4,"APR",B1138=5,"MAY",B1138=6,"JUN",B1138=7,"JUL",B1138=8,"AUG",Table_13[[#This Row],[Month]]=9,"SEPT",B1138=10,"OCT",B1138=11,"NOV",B1138=12,"DEC")</f>
        <v>FEB</v>
      </c>
      <c r="D1138" s="2" t="s">
        <v>25</v>
      </c>
      <c r="E1138" s="2" t="s">
        <v>19</v>
      </c>
      <c r="F1138" s="2" t="s">
        <v>23</v>
      </c>
      <c r="G1138" s="2" t="s">
        <v>20</v>
      </c>
      <c r="H1138" s="2" t="s">
        <v>21</v>
      </c>
      <c r="I1138" s="2" t="s">
        <v>22</v>
      </c>
      <c r="J1138" s="15">
        <v>30000</v>
      </c>
      <c r="K1138" s="2">
        <v>7</v>
      </c>
      <c r="L1138" s="2" t="s">
        <v>35</v>
      </c>
      <c r="M1138" s="12">
        <f t="shared" si="36"/>
        <v>24000</v>
      </c>
      <c r="N1138" s="10">
        <f>PRODUCT(Table_13[[#This Row],[Unit Price]],Table_13[[#This Row],[Quantity]])</f>
        <v>210000</v>
      </c>
      <c r="O1138" s="16">
        <f>PRODUCT(Table_13[[#This Row],[Cost Price]],Table_13[[#This Row],[Quantity]])</f>
        <v>168000</v>
      </c>
      <c r="P1138" s="27">
        <f t="shared" si="40"/>
        <v>42000</v>
      </c>
    </row>
    <row r="1139" spans="1:16" x14ac:dyDescent="0.2">
      <c r="A1139" s="33">
        <v>46813</v>
      </c>
      <c r="B1139" s="30">
        <f t="shared" si="39"/>
        <v>3</v>
      </c>
      <c r="C1139" s="30" t="str">
        <f>_xlfn.IFS(Table_13[[#This Row],[Month]]=1,"JAN",Table_13[[#This Row],[Month]]=2,"FEB",B1139=3,"MAR",B1139=4,"APR",B1139=5,"MAY",B1139=6,"JUN",B1139=7,"JUL",B1139=8,"AUG",Table_13[[#This Row],[Month]]=9,"SEPT",B1139=10,"OCT",B1139=11,"NOV",B1139=12,"DEC")</f>
        <v>MAR</v>
      </c>
      <c r="D1139" s="2" t="s">
        <v>18</v>
      </c>
      <c r="E1139" s="2" t="s">
        <v>19</v>
      </c>
      <c r="F1139" s="2" t="s">
        <v>23</v>
      </c>
      <c r="G1139" s="2" t="s">
        <v>20</v>
      </c>
      <c r="H1139" s="2" t="s">
        <v>30</v>
      </c>
      <c r="I1139" s="2" t="s">
        <v>31</v>
      </c>
      <c r="J1139" s="15">
        <v>300000</v>
      </c>
      <c r="K1139" s="2">
        <v>9</v>
      </c>
      <c r="L1139" s="2" t="s">
        <v>37</v>
      </c>
      <c r="M1139" s="12">
        <f t="shared" si="36"/>
        <v>240000</v>
      </c>
      <c r="N1139" s="10">
        <f>PRODUCT(Table_13[[#This Row],[Unit Price]],Table_13[[#This Row],[Quantity]])</f>
        <v>2700000</v>
      </c>
      <c r="O1139" s="16">
        <f>PRODUCT(Table_13[[#This Row],[Cost Price]],Table_13[[#This Row],[Quantity]])</f>
        <v>2160000</v>
      </c>
      <c r="P1139" s="27">
        <f t="shared" si="40"/>
        <v>540000</v>
      </c>
    </row>
    <row r="1140" spans="1:16" x14ac:dyDescent="0.2">
      <c r="A1140" s="33">
        <v>46814</v>
      </c>
      <c r="B1140" s="30">
        <f t="shared" si="39"/>
        <v>3</v>
      </c>
      <c r="C1140" s="30" t="str">
        <f>_xlfn.IFS(Table_13[[#This Row],[Month]]=1,"JAN",Table_13[[#This Row],[Month]]=2,"FEB",B1140=3,"MAR",B1140=4,"APR",B1140=5,"MAY",B1140=6,"JUN",B1140=7,"JUL",B1140=8,"AUG",Table_13[[#This Row],[Month]]=9,"SEPT",B1140=10,"OCT",B1140=11,"NOV",B1140=12,"DEC")</f>
        <v>MAR</v>
      </c>
      <c r="D1140" s="2" t="s">
        <v>29</v>
      </c>
      <c r="E1140" s="2" t="s">
        <v>32</v>
      </c>
      <c r="F1140" s="2" t="s">
        <v>23</v>
      </c>
      <c r="G1140" s="2" t="s">
        <v>20</v>
      </c>
      <c r="H1140" s="2" t="s">
        <v>41</v>
      </c>
      <c r="I1140" s="2" t="s">
        <v>22</v>
      </c>
      <c r="J1140" s="15">
        <v>220000</v>
      </c>
      <c r="K1140" s="2">
        <v>4</v>
      </c>
      <c r="L1140" s="2" t="s">
        <v>28</v>
      </c>
      <c r="M1140" s="12">
        <f t="shared" si="36"/>
        <v>176000</v>
      </c>
      <c r="N1140" s="10">
        <f>PRODUCT(Table_13[[#This Row],[Unit Price]],Table_13[[#This Row],[Quantity]])</f>
        <v>880000</v>
      </c>
      <c r="O1140" s="16">
        <f>PRODUCT(Table_13[[#This Row],[Cost Price]],Table_13[[#This Row],[Quantity]])</f>
        <v>704000</v>
      </c>
      <c r="P1140" s="27">
        <f t="shared" si="40"/>
        <v>176000</v>
      </c>
    </row>
    <row r="1141" spans="1:16" x14ac:dyDescent="0.2">
      <c r="A1141" s="33">
        <v>46815</v>
      </c>
      <c r="B1141" s="30">
        <f t="shared" si="39"/>
        <v>3</v>
      </c>
      <c r="C1141" s="30" t="str">
        <f>_xlfn.IFS(Table_13[[#This Row],[Month]]=1,"JAN",Table_13[[#This Row],[Month]]=2,"FEB",B1141=3,"MAR",B1141=4,"APR",B1141=5,"MAY",B1141=6,"JUN",B1141=7,"JUL",B1141=8,"AUG",Table_13[[#This Row],[Month]]=9,"SEPT",B1141=10,"OCT",B1141=11,"NOV",B1141=12,"DEC")</f>
        <v>MAR</v>
      </c>
      <c r="D1141" s="2" t="s">
        <v>18</v>
      </c>
      <c r="E1141" s="2" t="s">
        <v>26</v>
      </c>
      <c r="F1141" s="2" t="s">
        <v>23</v>
      </c>
      <c r="G1141" s="2" t="s">
        <v>14</v>
      </c>
      <c r="H1141" s="2" t="s">
        <v>40</v>
      </c>
      <c r="I1141" s="2" t="s">
        <v>31</v>
      </c>
      <c r="J1141" s="15">
        <v>250000</v>
      </c>
      <c r="K1141" s="2">
        <v>9</v>
      </c>
      <c r="L1141" s="2" t="s">
        <v>17</v>
      </c>
      <c r="M1141" s="12">
        <f t="shared" si="36"/>
        <v>200000</v>
      </c>
      <c r="N1141" s="10">
        <f>PRODUCT(Table_13[[#This Row],[Unit Price]],Table_13[[#This Row],[Quantity]])</f>
        <v>2250000</v>
      </c>
      <c r="O1141" s="16">
        <f>PRODUCT(Table_13[[#This Row],[Cost Price]],Table_13[[#This Row],[Quantity]])</f>
        <v>1800000</v>
      </c>
      <c r="P1141" s="27">
        <f t="shared" si="40"/>
        <v>450000</v>
      </c>
    </row>
    <row r="1142" spans="1:16" x14ac:dyDescent="0.2">
      <c r="A1142" s="33">
        <v>46816</v>
      </c>
      <c r="B1142" s="30">
        <f t="shared" si="39"/>
        <v>3</v>
      </c>
      <c r="C1142" s="30" t="str">
        <f>_xlfn.IFS(Table_13[[#This Row],[Month]]=1,"JAN",Table_13[[#This Row],[Month]]=2,"FEB",B1142=3,"MAR",B1142=4,"APR",B1142=5,"MAY",B1142=6,"JUN",B1142=7,"JUL",B1142=8,"AUG",Table_13[[#This Row],[Month]]=9,"SEPT",B1142=10,"OCT",B1142=11,"NOV",B1142=12,"DEC")</f>
        <v>MAR</v>
      </c>
      <c r="D1142" s="2" t="s">
        <v>11</v>
      </c>
      <c r="E1142" s="2" t="s">
        <v>12</v>
      </c>
      <c r="F1142" s="2" t="s">
        <v>23</v>
      </c>
      <c r="G1142" s="2" t="s">
        <v>20</v>
      </c>
      <c r="H1142" s="2" t="s">
        <v>30</v>
      </c>
      <c r="I1142" s="2" t="s">
        <v>31</v>
      </c>
      <c r="J1142" s="15">
        <v>300000</v>
      </c>
      <c r="K1142" s="2">
        <v>4</v>
      </c>
      <c r="L1142" s="2" t="s">
        <v>39</v>
      </c>
      <c r="M1142" s="12">
        <f t="shared" si="36"/>
        <v>240000</v>
      </c>
      <c r="N1142" s="10">
        <f>PRODUCT(Table_13[[#This Row],[Unit Price]],Table_13[[#This Row],[Quantity]])</f>
        <v>1200000</v>
      </c>
      <c r="O1142" s="16">
        <f>PRODUCT(Table_13[[#This Row],[Cost Price]],Table_13[[#This Row],[Quantity]])</f>
        <v>960000</v>
      </c>
      <c r="P1142" s="27">
        <f t="shared" si="40"/>
        <v>240000</v>
      </c>
    </row>
    <row r="1143" spans="1:16" x14ac:dyDescent="0.2">
      <c r="A1143" s="33">
        <v>46817</v>
      </c>
      <c r="B1143" s="30">
        <f t="shared" si="39"/>
        <v>3</v>
      </c>
      <c r="C1143" s="30" t="str">
        <f>_xlfn.IFS(Table_13[[#This Row],[Month]]=1,"JAN",Table_13[[#This Row],[Month]]=2,"FEB",B1143=3,"MAR",B1143=4,"APR",B1143=5,"MAY",B1143=6,"JUN",B1143=7,"JUL",B1143=8,"AUG",Table_13[[#This Row],[Month]]=9,"SEPT",B1143=10,"OCT",B1143=11,"NOV",B1143=12,"DEC")</f>
        <v>MAR</v>
      </c>
      <c r="D1143" s="2" t="s">
        <v>11</v>
      </c>
      <c r="E1143" s="2" t="s">
        <v>12</v>
      </c>
      <c r="F1143" s="2" t="s">
        <v>13</v>
      </c>
      <c r="G1143" s="2" t="s">
        <v>20</v>
      </c>
      <c r="H1143" s="2" t="s">
        <v>27</v>
      </c>
      <c r="I1143" s="2" t="s">
        <v>22</v>
      </c>
      <c r="J1143" s="15">
        <v>60000</v>
      </c>
      <c r="K1143" s="2">
        <v>10</v>
      </c>
      <c r="L1143" s="2" t="s">
        <v>37</v>
      </c>
      <c r="M1143" s="12">
        <f t="shared" si="36"/>
        <v>48000</v>
      </c>
      <c r="N1143" s="10">
        <f>PRODUCT(Table_13[[#This Row],[Unit Price]],Table_13[[#This Row],[Quantity]])</f>
        <v>600000</v>
      </c>
      <c r="O1143" s="16">
        <f>PRODUCT(Table_13[[#This Row],[Cost Price]],Table_13[[#This Row],[Quantity]])</f>
        <v>480000</v>
      </c>
      <c r="P1143" s="27">
        <f t="shared" si="40"/>
        <v>120000</v>
      </c>
    </row>
    <row r="1144" spans="1:16" x14ac:dyDescent="0.2">
      <c r="A1144" s="33">
        <v>46818</v>
      </c>
      <c r="B1144" s="30">
        <f t="shared" si="39"/>
        <v>3</v>
      </c>
      <c r="C1144" s="30" t="str">
        <f>_xlfn.IFS(Table_13[[#This Row],[Month]]=1,"JAN",Table_13[[#This Row],[Month]]=2,"FEB",B1144=3,"MAR",B1144=4,"APR",B1144=5,"MAY",B1144=6,"JUN",B1144=7,"JUL",B1144=8,"AUG",Table_13[[#This Row],[Month]]=9,"SEPT",B1144=10,"OCT",B1144=11,"NOV",B1144=12,"DEC")</f>
        <v>MAR</v>
      </c>
      <c r="D1144" s="2" t="s">
        <v>29</v>
      </c>
      <c r="E1144" s="2" t="s">
        <v>26</v>
      </c>
      <c r="F1144" s="2" t="s">
        <v>23</v>
      </c>
      <c r="G1144" s="2" t="s">
        <v>14</v>
      </c>
      <c r="H1144" s="2" t="s">
        <v>38</v>
      </c>
      <c r="I1144" s="2" t="s">
        <v>31</v>
      </c>
      <c r="J1144" s="15">
        <v>420000</v>
      </c>
      <c r="K1144" s="2">
        <v>10</v>
      </c>
      <c r="L1144" s="2" t="s">
        <v>28</v>
      </c>
      <c r="M1144" s="12">
        <f t="shared" si="36"/>
        <v>336000</v>
      </c>
      <c r="N1144" s="10">
        <f>PRODUCT(Table_13[[#This Row],[Unit Price]],Table_13[[#This Row],[Quantity]])</f>
        <v>4200000</v>
      </c>
      <c r="O1144" s="16">
        <f>PRODUCT(Table_13[[#This Row],[Cost Price]],Table_13[[#This Row],[Quantity]])</f>
        <v>3360000</v>
      </c>
      <c r="P1144" s="27">
        <f t="shared" si="40"/>
        <v>840000</v>
      </c>
    </row>
    <row r="1145" spans="1:16" x14ac:dyDescent="0.2">
      <c r="A1145" s="33">
        <v>46819</v>
      </c>
      <c r="B1145" s="30">
        <f t="shared" si="39"/>
        <v>3</v>
      </c>
      <c r="C1145" s="30" t="str">
        <f>_xlfn.IFS(Table_13[[#This Row],[Month]]=1,"JAN",Table_13[[#This Row],[Month]]=2,"FEB",B1145=3,"MAR",B1145=4,"APR",B1145=5,"MAY",B1145=6,"JUN",B1145=7,"JUL",B1145=8,"AUG",Table_13[[#This Row],[Month]]=9,"SEPT",B1145=10,"OCT",B1145=11,"NOV",B1145=12,"DEC")</f>
        <v>MAR</v>
      </c>
      <c r="D1145" s="2" t="s">
        <v>11</v>
      </c>
      <c r="E1145" s="2" t="s">
        <v>26</v>
      </c>
      <c r="F1145" s="2" t="s">
        <v>13</v>
      </c>
      <c r="G1145" s="2" t="s">
        <v>20</v>
      </c>
      <c r="H1145" s="2" t="s">
        <v>36</v>
      </c>
      <c r="I1145" s="2" t="s">
        <v>31</v>
      </c>
      <c r="J1145" s="15">
        <v>150000</v>
      </c>
      <c r="K1145" s="2">
        <v>1</v>
      </c>
      <c r="L1145" s="2" t="s">
        <v>39</v>
      </c>
      <c r="M1145" s="12">
        <f t="shared" si="36"/>
        <v>120000</v>
      </c>
      <c r="N1145" s="10">
        <f>PRODUCT(Table_13[[#This Row],[Unit Price]],Table_13[[#This Row],[Quantity]])</f>
        <v>150000</v>
      </c>
      <c r="O1145" s="16">
        <f>PRODUCT(Table_13[[#This Row],[Cost Price]],Table_13[[#This Row],[Quantity]])</f>
        <v>120000</v>
      </c>
      <c r="P1145" s="27">
        <f t="shared" si="40"/>
        <v>30000</v>
      </c>
    </row>
    <row r="1146" spans="1:16" x14ac:dyDescent="0.2">
      <c r="A1146" s="33">
        <v>46820</v>
      </c>
      <c r="B1146" s="30">
        <f t="shared" si="39"/>
        <v>3</v>
      </c>
      <c r="C1146" s="30" t="str">
        <f>_xlfn.IFS(Table_13[[#This Row],[Month]]=1,"JAN",Table_13[[#This Row],[Month]]=2,"FEB",B1146=3,"MAR",B1146=4,"APR",B1146=5,"MAY",B1146=6,"JUN",B1146=7,"JUL",B1146=8,"AUG",Table_13[[#This Row],[Month]]=9,"SEPT",B1146=10,"OCT",B1146=11,"NOV",B1146=12,"DEC")</f>
        <v>MAR</v>
      </c>
      <c r="D1146" s="2" t="s">
        <v>25</v>
      </c>
      <c r="E1146" s="2" t="s">
        <v>26</v>
      </c>
      <c r="F1146" s="2" t="s">
        <v>13</v>
      </c>
      <c r="G1146" s="2" t="s">
        <v>20</v>
      </c>
      <c r="H1146" s="2" t="s">
        <v>40</v>
      </c>
      <c r="I1146" s="2" t="s">
        <v>31</v>
      </c>
      <c r="J1146" s="15">
        <v>250000</v>
      </c>
      <c r="K1146" s="2">
        <v>7</v>
      </c>
      <c r="L1146" s="2" t="s">
        <v>24</v>
      </c>
      <c r="M1146" s="12">
        <f t="shared" si="36"/>
        <v>200000</v>
      </c>
      <c r="N1146" s="10">
        <f>PRODUCT(Table_13[[#This Row],[Unit Price]],Table_13[[#This Row],[Quantity]])</f>
        <v>1750000</v>
      </c>
      <c r="O1146" s="16">
        <f>PRODUCT(Table_13[[#This Row],[Cost Price]],Table_13[[#This Row],[Quantity]])</f>
        <v>1400000</v>
      </c>
      <c r="P1146" s="27">
        <f t="shared" si="40"/>
        <v>350000</v>
      </c>
    </row>
    <row r="1147" spans="1:16" x14ac:dyDescent="0.2">
      <c r="A1147" s="33">
        <v>46821</v>
      </c>
      <c r="B1147" s="30">
        <f t="shared" si="39"/>
        <v>3</v>
      </c>
      <c r="C1147" s="30" t="str">
        <f>_xlfn.IFS(Table_13[[#This Row],[Month]]=1,"JAN",Table_13[[#This Row],[Month]]=2,"FEB",B1147=3,"MAR",B1147=4,"APR",B1147=5,"MAY",B1147=6,"JUN",B1147=7,"JUL",B1147=8,"AUG",Table_13[[#This Row],[Month]]=9,"SEPT",B1147=10,"OCT",B1147=11,"NOV",B1147=12,"DEC")</f>
        <v>MAR</v>
      </c>
      <c r="D1147" s="2" t="s">
        <v>25</v>
      </c>
      <c r="E1147" s="2" t="s">
        <v>32</v>
      </c>
      <c r="F1147" s="2" t="s">
        <v>13</v>
      </c>
      <c r="G1147" s="2" t="s">
        <v>20</v>
      </c>
      <c r="H1147" s="2" t="s">
        <v>30</v>
      </c>
      <c r="I1147" s="2" t="s">
        <v>31</v>
      </c>
      <c r="J1147" s="15">
        <v>300000</v>
      </c>
      <c r="K1147" s="2">
        <v>9</v>
      </c>
      <c r="L1147" s="2" t="s">
        <v>28</v>
      </c>
      <c r="M1147" s="12">
        <f t="shared" si="36"/>
        <v>240000</v>
      </c>
      <c r="N1147" s="10">
        <f>PRODUCT(Table_13[[#This Row],[Unit Price]],Table_13[[#This Row],[Quantity]])</f>
        <v>2700000</v>
      </c>
      <c r="O1147" s="16">
        <f>PRODUCT(Table_13[[#This Row],[Cost Price]],Table_13[[#This Row],[Quantity]])</f>
        <v>2160000</v>
      </c>
      <c r="P1147" s="27">
        <f t="shared" si="40"/>
        <v>540000</v>
      </c>
    </row>
    <row r="1148" spans="1:16" x14ac:dyDescent="0.2">
      <c r="A1148" s="33">
        <v>46822</v>
      </c>
      <c r="B1148" s="30">
        <f t="shared" si="39"/>
        <v>3</v>
      </c>
      <c r="C1148" s="30" t="str">
        <f>_xlfn.IFS(Table_13[[#This Row],[Month]]=1,"JAN",Table_13[[#This Row],[Month]]=2,"FEB",B1148=3,"MAR",B1148=4,"APR",B1148=5,"MAY",B1148=6,"JUN",B1148=7,"JUL",B1148=8,"AUG",Table_13[[#This Row],[Month]]=9,"SEPT",B1148=10,"OCT",B1148=11,"NOV",B1148=12,"DEC")</f>
        <v>MAR</v>
      </c>
      <c r="D1148" s="2" t="s">
        <v>29</v>
      </c>
      <c r="E1148" s="2" t="s">
        <v>12</v>
      </c>
      <c r="F1148" s="2" t="s">
        <v>13</v>
      </c>
      <c r="G1148" s="2" t="s">
        <v>20</v>
      </c>
      <c r="H1148" s="2" t="s">
        <v>36</v>
      </c>
      <c r="I1148" s="2" t="s">
        <v>31</v>
      </c>
      <c r="J1148" s="15">
        <v>150000</v>
      </c>
      <c r="K1148" s="2">
        <v>2</v>
      </c>
      <c r="L1148" s="2" t="s">
        <v>37</v>
      </c>
      <c r="M1148" s="12">
        <f t="shared" si="36"/>
        <v>120000</v>
      </c>
      <c r="N1148" s="10">
        <f>PRODUCT(Table_13[[#This Row],[Unit Price]],Table_13[[#This Row],[Quantity]])</f>
        <v>300000</v>
      </c>
      <c r="O1148" s="16">
        <f>PRODUCT(Table_13[[#This Row],[Cost Price]],Table_13[[#This Row],[Quantity]])</f>
        <v>240000</v>
      </c>
      <c r="P1148" s="27">
        <f t="shared" si="40"/>
        <v>60000</v>
      </c>
    </row>
    <row r="1149" spans="1:16" x14ac:dyDescent="0.2">
      <c r="A1149" s="33">
        <v>46823</v>
      </c>
      <c r="B1149" s="30">
        <f t="shared" si="39"/>
        <v>3</v>
      </c>
      <c r="C1149" s="30" t="str">
        <f>_xlfn.IFS(Table_13[[#This Row],[Month]]=1,"JAN",Table_13[[#This Row],[Month]]=2,"FEB",B1149=3,"MAR",B1149=4,"APR",B1149=5,"MAY",B1149=6,"JUN",B1149=7,"JUL",B1149=8,"AUG",Table_13[[#This Row],[Month]]=9,"SEPT",B1149=10,"OCT",B1149=11,"NOV",B1149=12,"DEC")</f>
        <v>MAR</v>
      </c>
      <c r="D1149" s="2" t="s">
        <v>11</v>
      </c>
      <c r="E1149" s="2" t="s">
        <v>19</v>
      </c>
      <c r="F1149" s="2" t="s">
        <v>13</v>
      </c>
      <c r="G1149" s="2" t="s">
        <v>20</v>
      </c>
      <c r="H1149" s="2" t="s">
        <v>41</v>
      </c>
      <c r="I1149" s="2" t="s">
        <v>22</v>
      </c>
      <c r="J1149" s="15">
        <v>220000</v>
      </c>
      <c r="K1149" s="2">
        <v>9</v>
      </c>
      <c r="L1149" s="2" t="s">
        <v>24</v>
      </c>
      <c r="M1149" s="12">
        <f t="shared" si="36"/>
        <v>176000</v>
      </c>
      <c r="N1149" s="10">
        <f>PRODUCT(Table_13[[#This Row],[Unit Price]],Table_13[[#This Row],[Quantity]])</f>
        <v>1980000</v>
      </c>
      <c r="O1149" s="16">
        <f>PRODUCT(Table_13[[#This Row],[Cost Price]],Table_13[[#This Row],[Quantity]])</f>
        <v>1584000</v>
      </c>
      <c r="P1149" s="27">
        <f t="shared" si="40"/>
        <v>396000</v>
      </c>
    </row>
    <row r="1150" spans="1:16" x14ac:dyDescent="0.2">
      <c r="A1150" s="33">
        <v>46824</v>
      </c>
      <c r="B1150" s="30">
        <f t="shared" si="39"/>
        <v>3</v>
      </c>
      <c r="C1150" s="30" t="str">
        <f>_xlfn.IFS(Table_13[[#This Row],[Month]]=1,"JAN",Table_13[[#This Row],[Month]]=2,"FEB",B1150=3,"MAR",B1150=4,"APR",B1150=5,"MAY",B1150=6,"JUN",B1150=7,"JUL",B1150=8,"AUG",Table_13[[#This Row],[Month]]=9,"SEPT",B1150=10,"OCT",B1150=11,"NOV",B1150=12,"DEC")</f>
        <v>MAR</v>
      </c>
      <c r="D1150" s="2" t="s">
        <v>29</v>
      </c>
      <c r="E1150" s="2" t="s">
        <v>32</v>
      </c>
      <c r="F1150" s="2" t="s">
        <v>13</v>
      </c>
      <c r="G1150" s="2" t="s">
        <v>20</v>
      </c>
      <c r="H1150" s="2" t="s">
        <v>27</v>
      </c>
      <c r="I1150" s="2" t="s">
        <v>22</v>
      </c>
      <c r="J1150" s="15">
        <v>60000</v>
      </c>
      <c r="K1150" s="2">
        <v>5</v>
      </c>
      <c r="L1150" s="2" t="s">
        <v>17</v>
      </c>
      <c r="M1150" s="12">
        <f t="shared" si="36"/>
        <v>48000</v>
      </c>
      <c r="N1150" s="10">
        <f>PRODUCT(Table_13[[#This Row],[Unit Price]],Table_13[[#This Row],[Quantity]])</f>
        <v>300000</v>
      </c>
      <c r="O1150" s="16">
        <f>PRODUCT(Table_13[[#This Row],[Cost Price]],Table_13[[#This Row],[Quantity]])</f>
        <v>240000</v>
      </c>
      <c r="P1150" s="27">
        <f t="shared" si="40"/>
        <v>60000</v>
      </c>
    </row>
    <row r="1151" spans="1:16" x14ac:dyDescent="0.2">
      <c r="A1151" s="33">
        <v>46825</v>
      </c>
      <c r="B1151" s="30">
        <f t="shared" si="39"/>
        <v>3</v>
      </c>
      <c r="C1151" s="30" t="str">
        <f>_xlfn.IFS(Table_13[[#This Row],[Month]]=1,"JAN",Table_13[[#This Row],[Month]]=2,"FEB",B1151=3,"MAR",B1151=4,"APR",B1151=5,"MAY",B1151=6,"JUN",B1151=7,"JUL",B1151=8,"AUG",Table_13[[#This Row],[Month]]=9,"SEPT",B1151=10,"OCT",B1151=11,"NOV",B1151=12,"DEC")</f>
        <v>MAR</v>
      </c>
      <c r="D1151" s="2" t="s">
        <v>11</v>
      </c>
      <c r="E1151" s="2" t="s">
        <v>12</v>
      </c>
      <c r="F1151" s="2" t="s">
        <v>23</v>
      </c>
      <c r="G1151" s="2" t="s">
        <v>20</v>
      </c>
      <c r="H1151" s="2" t="s">
        <v>33</v>
      </c>
      <c r="I1151" s="2" t="s">
        <v>22</v>
      </c>
      <c r="J1151" s="15">
        <v>180000</v>
      </c>
      <c r="K1151" s="2">
        <v>6</v>
      </c>
      <c r="L1151" s="2" t="s">
        <v>35</v>
      </c>
      <c r="M1151" s="12">
        <f t="shared" si="36"/>
        <v>144000</v>
      </c>
      <c r="N1151" s="10">
        <f>PRODUCT(Table_13[[#This Row],[Unit Price]],Table_13[[#This Row],[Quantity]])</f>
        <v>1080000</v>
      </c>
      <c r="O1151" s="16">
        <f>PRODUCT(Table_13[[#This Row],[Cost Price]],Table_13[[#This Row],[Quantity]])</f>
        <v>864000</v>
      </c>
      <c r="P1151" s="27">
        <f t="shared" si="40"/>
        <v>216000</v>
      </c>
    </row>
    <row r="1152" spans="1:16" x14ac:dyDescent="0.2">
      <c r="A1152" s="33">
        <v>46826</v>
      </c>
      <c r="B1152" s="30">
        <f t="shared" si="39"/>
        <v>3</v>
      </c>
      <c r="C1152" s="30" t="str">
        <f>_xlfn.IFS(Table_13[[#This Row],[Month]]=1,"JAN",Table_13[[#This Row],[Month]]=2,"FEB",B1152=3,"MAR",B1152=4,"APR",B1152=5,"MAY",B1152=6,"JUN",B1152=7,"JUL",B1152=8,"AUG",Table_13[[#This Row],[Month]]=9,"SEPT",B1152=10,"OCT",B1152=11,"NOV",B1152=12,"DEC")</f>
        <v>MAR</v>
      </c>
      <c r="D1152" s="2" t="s">
        <v>18</v>
      </c>
      <c r="E1152" s="2" t="s">
        <v>12</v>
      </c>
      <c r="F1152" s="2" t="s">
        <v>23</v>
      </c>
      <c r="G1152" s="2" t="s">
        <v>20</v>
      </c>
      <c r="H1152" s="2" t="s">
        <v>40</v>
      </c>
      <c r="I1152" s="2" t="s">
        <v>31</v>
      </c>
      <c r="J1152" s="15">
        <v>250000</v>
      </c>
      <c r="K1152" s="2">
        <v>10</v>
      </c>
      <c r="L1152" s="2" t="s">
        <v>17</v>
      </c>
      <c r="M1152" s="12">
        <f t="shared" si="36"/>
        <v>200000</v>
      </c>
      <c r="N1152" s="10">
        <f>PRODUCT(Table_13[[#This Row],[Unit Price]],Table_13[[#This Row],[Quantity]])</f>
        <v>2500000</v>
      </c>
      <c r="O1152" s="16">
        <f>PRODUCT(Table_13[[#This Row],[Cost Price]],Table_13[[#This Row],[Quantity]])</f>
        <v>2000000</v>
      </c>
      <c r="P1152" s="27">
        <f t="shared" si="40"/>
        <v>500000</v>
      </c>
    </row>
    <row r="1153" spans="1:16" x14ac:dyDescent="0.2">
      <c r="A1153" s="33">
        <v>46827</v>
      </c>
      <c r="B1153" s="30">
        <f t="shared" si="39"/>
        <v>3</v>
      </c>
      <c r="C1153" s="30" t="str">
        <f>_xlfn.IFS(Table_13[[#This Row],[Month]]=1,"JAN",Table_13[[#This Row],[Month]]=2,"FEB",B1153=3,"MAR",B1153=4,"APR",B1153=5,"MAY",B1153=6,"JUN",B1153=7,"JUL",B1153=8,"AUG",Table_13[[#This Row],[Month]]=9,"SEPT",B1153=10,"OCT",B1153=11,"NOV",B1153=12,"DEC")</f>
        <v>MAR</v>
      </c>
      <c r="D1153" s="2" t="s">
        <v>18</v>
      </c>
      <c r="E1153" s="2" t="s">
        <v>32</v>
      </c>
      <c r="F1153" s="2" t="s">
        <v>13</v>
      </c>
      <c r="G1153" s="2" t="s">
        <v>20</v>
      </c>
      <c r="H1153" s="2" t="s">
        <v>15</v>
      </c>
      <c r="I1153" s="2" t="s">
        <v>16</v>
      </c>
      <c r="J1153" s="15">
        <v>85000</v>
      </c>
      <c r="K1153" s="2">
        <v>1</v>
      </c>
      <c r="L1153" s="2" t="s">
        <v>37</v>
      </c>
      <c r="M1153" s="12">
        <f t="shared" si="36"/>
        <v>68000</v>
      </c>
      <c r="N1153" s="10">
        <f>PRODUCT(Table_13[[#This Row],[Unit Price]],Table_13[[#This Row],[Quantity]])</f>
        <v>85000</v>
      </c>
      <c r="O1153" s="16">
        <f>PRODUCT(Table_13[[#This Row],[Cost Price]],Table_13[[#This Row],[Quantity]])</f>
        <v>68000</v>
      </c>
      <c r="P1153" s="27">
        <f t="shared" si="40"/>
        <v>17000</v>
      </c>
    </row>
    <row r="1154" spans="1:16" x14ac:dyDescent="0.2">
      <c r="A1154" s="33">
        <v>46828</v>
      </c>
      <c r="B1154" s="30">
        <f t="shared" ref="B1154:B1217" si="41">MONTH(A1154)</f>
        <v>3</v>
      </c>
      <c r="C1154" s="30" t="str">
        <f>_xlfn.IFS(Table_13[[#This Row],[Month]]=1,"JAN",Table_13[[#This Row],[Month]]=2,"FEB",B1154=3,"MAR",B1154=4,"APR",B1154=5,"MAY",B1154=6,"JUN",B1154=7,"JUL",B1154=8,"AUG",Table_13[[#This Row],[Month]]=9,"SEPT",B1154=10,"OCT",B1154=11,"NOV",B1154=12,"DEC")</f>
        <v>MAR</v>
      </c>
      <c r="D1154" s="2" t="s">
        <v>29</v>
      </c>
      <c r="E1154" s="2" t="s">
        <v>12</v>
      </c>
      <c r="F1154" s="2" t="s">
        <v>13</v>
      </c>
      <c r="G1154" s="2" t="s">
        <v>14</v>
      </c>
      <c r="H1154" s="2" t="s">
        <v>40</v>
      </c>
      <c r="I1154" s="2" t="s">
        <v>31</v>
      </c>
      <c r="J1154" s="15">
        <v>250000</v>
      </c>
      <c r="K1154" s="2">
        <v>9</v>
      </c>
      <c r="L1154" s="2" t="s">
        <v>24</v>
      </c>
      <c r="M1154" s="12">
        <f t="shared" si="36"/>
        <v>200000</v>
      </c>
      <c r="N1154" s="10">
        <f>PRODUCT(Table_13[[#This Row],[Unit Price]],Table_13[[#This Row],[Quantity]])</f>
        <v>2250000</v>
      </c>
      <c r="O1154" s="16">
        <f>PRODUCT(Table_13[[#This Row],[Cost Price]],Table_13[[#This Row],[Quantity]])</f>
        <v>1800000</v>
      </c>
      <c r="P1154" s="27">
        <f t="shared" ref="P1154:P1217" si="42">N1154-O1154</f>
        <v>450000</v>
      </c>
    </row>
    <row r="1155" spans="1:16" x14ac:dyDescent="0.2">
      <c r="A1155" s="33">
        <v>46829</v>
      </c>
      <c r="B1155" s="30">
        <f t="shared" si="41"/>
        <v>3</v>
      </c>
      <c r="C1155" s="30" t="str">
        <f>_xlfn.IFS(Table_13[[#This Row],[Month]]=1,"JAN",Table_13[[#This Row],[Month]]=2,"FEB",B1155=3,"MAR",B1155=4,"APR",B1155=5,"MAY",B1155=6,"JUN",B1155=7,"JUL",B1155=8,"AUG",Table_13[[#This Row],[Month]]=9,"SEPT",B1155=10,"OCT",B1155=11,"NOV",B1155=12,"DEC")</f>
        <v>MAR</v>
      </c>
      <c r="D1155" s="2" t="s">
        <v>18</v>
      </c>
      <c r="E1155" s="2" t="s">
        <v>19</v>
      </c>
      <c r="F1155" s="2" t="s">
        <v>13</v>
      </c>
      <c r="G1155" s="2" t="s">
        <v>14</v>
      </c>
      <c r="H1155" s="2" t="s">
        <v>40</v>
      </c>
      <c r="I1155" s="2" t="s">
        <v>31</v>
      </c>
      <c r="J1155" s="15">
        <v>250000</v>
      </c>
      <c r="K1155" s="2">
        <v>2</v>
      </c>
      <c r="L1155" s="2" t="s">
        <v>24</v>
      </c>
      <c r="M1155" s="12">
        <f t="shared" si="36"/>
        <v>200000</v>
      </c>
      <c r="N1155" s="10">
        <f>PRODUCT(Table_13[[#This Row],[Unit Price]],Table_13[[#This Row],[Quantity]])</f>
        <v>500000</v>
      </c>
      <c r="O1155" s="16">
        <f>PRODUCT(Table_13[[#This Row],[Cost Price]],Table_13[[#This Row],[Quantity]])</f>
        <v>400000</v>
      </c>
      <c r="P1155" s="27">
        <f t="shared" si="42"/>
        <v>100000</v>
      </c>
    </row>
    <row r="1156" spans="1:16" x14ac:dyDescent="0.2">
      <c r="A1156" s="33">
        <v>46830</v>
      </c>
      <c r="B1156" s="30">
        <f t="shared" si="41"/>
        <v>3</v>
      </c>
      <c r="C1156" s="30" t="str">
        <f>_xlfn.IFS(Table_13[[#This Row],[Month]]=1,"JAN",Table_13[[#This Row],[Month]]=2,"FEB",B1156=3,"MAR",B1156=4,"APR",B1156=5,"MAY",B1156=6,"JUN",B1156=7,"JUL",B1156=8,"AUG",Table_13[[#This Row],[Month]]=9,"SEPT",B1156=10,"OCT",B1156=11,"NOV",B1156=12,"DEC")</f>
        <v>MAR</v>
      </c>
      <c r="D1156" s="2" t="s">
        <v>25</v>
      </c>
      <c r="E1156" s="2" t="s">
        <v>19</v>
      </c>
      <c r="F1156" s="2" t="s">
        <v>13</v>
      </c>
      <c r="G1156" s="2" t="s">
        <v>14</v>
      </c>
      <c r="H1156" s="2" t="s">
        <v>40</v>
      </c>
      <c r="I1156" s="2" t="s">
        <v>31</v>
      </c>
      <c r="J1156" s="15">
        <v>250000</v>
      </c>
      <c r="K1156" s="2">
        <v>1</v>
      </c>
      <c r="L1156" s="2" t="s">
        <v>39</v>
      </c>
      <c r="M1156" s="12">
        <f t="shared" si="36"/>
        <v>200000</v>
      </c>
      <c r="N1156" s="10">
        <f>PRODUCT(Table_13[[#This Row],[Unit Price]],Table_13[[#This Row],[Quantity]])</f>
        <v>250000</v>
      </c>
      <c r="O1156" s="16">
        <f>PRODUCT(Table_13[[#This Row],[Cost Price]],Table_13[[#This Row],[Quantity]])</f>
        <v>200000</v>
      </c>
      <c r="P1156" s="27">
        <f t="shared" si="42"/>
        <v>50000</v>
      </c>
    </row>
    <row r="1157" spans="1:16" x14ac:dyDescent="0.2">
      <c r="A1157" s="33">
        <v>46831</v>
      </c>
      <c r="B1157" s="30">
        <f t="shared" si="41"/>
        <v>3</v>
      </c>
      <c r="C1157" s="30" t="str">
        <f>_xlfn.IFS(Table_13[[#This Row],[Month]]=1,"JAN",Table_13[[#This Row],[Month]]=2,"FEB",B1157=3,"MAR",B1157=4,"APR",B1157=5,"MAY",B1157=6,"JUN",B1157=7,"JUL",B1157=8,"AUG",Table_13[[#This Row],[Month]]=9,"SEPT",B1157=10,"OCT",B1157=11,"NOV",B1157=12,"DEC")</f>
        <v>MAR</v>
      </c>
      <c r="D1157" s="2" t="s">
        <v>11</v>
      </c>
      <c r="E1157" s="2" t="s">
        <v>12</v>
      </c>
      <c r="F1157" s="2" t="s">
        <v>23</v>
      </c>
      <c r="G1157" s="2" t="s">
        <v>20</v>
      </c>
      <c r="H1157" s="2" t="s">
        <v>30</v>
      </c>
      <c r="I1157" s="2" t="s">
        <v>31</v>
      </c>
      <c r="J1157" s="15">
        <v>300000</v>
      </c>
      <c r="K1157" s="2">
        <v>9</v>
      </c>
      <c r="L1157" s="2" t="s">
        <v>28</v>
      </c>
      <c r="M1157" s="12">
        <f t="shared" si="36"/>
        <v>240000</v>
      </c>
      <c r="N1157" s="10">
        <f>PRODUCT(Table_13[[#This Row],[Unit Price]],Table_13[[#This Row],[Quantity]])</f>
        <v>2700000</v>
      </c>
      <c r="O1157" s="16">
        <f>PRODUCT(Table_13[[#This Row],[Cost Price]],Table_13[[#This Row],[Quantity]])</f>
        <v>2160000</v>
      </c>
      <c r="P1157" s="27">
        <f t="shared" si="42"/>
        <v>540000</v>
      </c>
    </row>
    <row r="1158" spans="1:16" x14ac:dyDescent="0.2">
      <c r="A1158" s="33">
        <v>46832</v>
      </c>
      <c r="B1158" s="30">
        <f t="shared" si="41"/>
        <v>3</v>
      </c>
      <c r="C1158" s="30" t="str">
        <f>_xlfn.IFS(Table_13[[#This Row],[Month]]=1,"JAN",Table_13[[#This Row],[Month]]=2,"FEB",B1158=3,"MAR",B1158=4,"APR",B1158=5,"MAY",B1158=6,"JUN",B1158=7,"JUL",B1158=8,"AUG",Table_13[[#This Row],[Month]]=9,"SEPT",B1158=10,"OCT",B1158=11,"NOV",B1158=12,"DEC")</f>
        <v>MAR</v>
      </c>
      <c r="D1158" s="2" t="s">
        <v>11</v>
      </c>
      <c r="E1158" s="2" t="s">
        <v>19</v>
      </c>
      <c r="F1158" s="2" t="s">
        <v>23</v>
      </c>
      <c r="G1158" s="2" t="s">
        <v>14</v>
      </c>
      <c r="H1158" s="2" t="s">
        <v>34</v>
      </c>
      <c r="I1158" s="2" t="s">
        <v>16</v>
      </c>
      <c r="J1158" s="15">
        <v>320000</v>
      </c>
      <c r="K1158" s="2">
        <v>10</v>
      </c>
      <c r="L1158" s="2" t="s">
        <v>24</v>
      </c>
      <c r="M1158" s="12">
        <f t="shared" si="36"/>
        <v>256000</v>
      </c>
      <c r="N1158" s="10">
        <f>PRODUCT(Table_13[[#This Row],[Unit Price]],Table_13[[#This Row],[Quantity]])</f>
        <v>3200000</v>
      </c>
      <c r="O1158" s="16">
        <f>PRODUCT(Table_13[[#This Row],[Cost Price]],Table_13[[#This Row],[Quantity]])</f>
        <v>2560000</v>
      </c>
      <c r="P1158" s="27">
        <f t="shared" si="42"/>
        <v>640000</v>
      </c>
    </row>
    <row r="1159" spans="1:16" x14ac:dyDescent="0.2">
      <c r="A1159" s="33">
        <v>46833</v>
      </c>
      <c r="B1159" s="30">
        <f t="shared" si="41"/>
        <v>3</v>
      </c>
      <c r="C1159" s="30" t="str">
        <f>_xlfn.IFS(Table_13[[#This Row],[Month]]=1,"JAN",Table_13[[#This Row],[Month]]=2,"FEB",B1159=3,"MAR",B1159=4,"APR",B1159=5,"MAY",B1159=6,"JUN",B1159=7,"JUL",B1159=8,"AUG",Table_13[[#This Row],[Month]]=9,"SEPT",B1159=10,"OCT",B1159=11,"NOV",B1159=12,"DEC")</f>
        <v>MAR</v>
      </c>
      <c r="D1159" s="2" t="s">
        <v>25</v>
      </c>
      <c r="E1159" s="2" t="s">
        <v>19</v>
      </c>
      <c r="F1159" s="2" t="s">
        <v>23</v>
      </c>
      <c r="G1159" s="2" t="s">
        <v>14</v>
      </c>
      <c r="H1159" s="2" t="s">
        <v>33</v>
      </c>
      <c r="I1159" s="2" t="s">
        <v>22</v>
      </c>
      <c r="J1159" s="15">
        <v>180000</v>
      </c>
      <c r="K1159" s="2">
        <v>9</v>
      </c>
      <c r="L1159" s="2" t="s">
        <v>37</v>
      </c>
      <c r="M1159" s="12">
        <f t="shared" si="36"/>
        <v>144000</v>
      </c>
      <c r="N1159" s="10">
        <f>PRODUCT(Table_13[[#This Row],[Unit Price]],Table_13[[#This Row],[Quantity]])</f>
        <v>1620000</v>
      </c>
      <c r="O1159" s="16">
        <f>PRODUCT(Table_13[[#This Row],[Cost Price]],Table_13[[#This Row],[Quantity]])</f>
        <v>1296000</v>
      </c>
      <c r="P1159" s="27">
        <f t="shared" si="42"/>
        <v>324000</v>
      </c>
    </row>
    <row r="1160" spans="1:16" x14ac:dyDescent="0.2">
      <c r="A1160" s="33">
        <v>46834</v>
      </c>
      <c r="B1160" s="30">
        <f t="shared" si="41"/>
        <v>3</v>
      </c>
      <c r="C1160" s="30" t="str">
        <f>_xlfn.IFS(Table_13[[#This Row],[Month]]=1,"JAN",Table_13[[#This Row],[Month]]=2,"FEB",B1160=3,"MAR",B1160=4,"APR",B1160=5,"MAY",B1160=6,"JUN",B1160=7,"JUL",B1160=8,"AUG",Table_13[[#This Row],[Month]]=9,"SEPT",B1160=10,"OCT",B1160=11,"NOV",B1160=12,"DEC")</f>
        <v>MAR</v>
      </c>
      <c r="D1160" s="2" t="s">
        <v>25</v>
      </c>
      <c r="E1160" s="2" t="s">
        <v>26</v>
      </c>
      <c r="F1160" s="2" t="s">
        <v>23</v>
      </c>
      <c r="G1160" s="2" t="s">
        <v>14</v>
      </c>
      <c r="H1160" s="2" t="s">
        <v>40</v>
      </c>
      <c r="I1160" s="2" t="s">
        <v>31</v>
      </c>
      <c r="J1160" s="15">
        <v>250000</v>
      </c>
      <c r="K1160" s="2">
        <v>1</v>
      </c>
      <c r="L1160" s="2" t="s">
        <v>39</v>
      </c>
      <c r="M1160" s="12">
        <f t="shared" si="36"/>
        <v>200000</v>
      </c>
      <c r="N1160" s="10">
        <f>PRODUCT(Table_13[[#This Row],[Unit Price]],Table_13[[#This Row],[Quantity]])</f>
        <v>250000</v>
      </c>
      <c r="O1160" s="16">
        <f>PRODUCT(Table_13[[#This Row],[Cost Price]],Table_13[[#This Row],[Quantity]])</f>
        <v>200000</v>
      </c>
      <c r="P1160" s="27">
        <f t="shared" si="42"/>
        <v>50000</v>
      </c>
    </row>
    <row r="1161" spans="1:16" x14ac:dyDescent="0.2">
      <c r="A1161" s="33">
        <v>46835</v>
      </c>
      <c r="B1161" s="30">
        <f t="shared" si="41"/>
        <v>3</v>
      </c>
      <c r="C1161" s="30" t="str">
        <f>_xlfn.IFS(Table_13[[#This Row],[Month]]=1,"JAN",Table_13[[#This Row],[Month]]=2,"FEB",B1161=3,"MAR",B1161=4,"APR",B1161=5,"MAY",B1161=6,"JUN",B1161=7,"JUL",B1161=8,"AUG",Table_13[[#This Row],[Month]]=9,"SEPT",B1161=10,"OCT",B1161=11,"NOV",B1161=12,"DEC")</f>
        <v>MAR</v>
      </c>
      <c r="D1161" s="2" t="s">
        <v>25</v>
      </c>
      <c r="E1161" s="2" t="s">
        <v>32</v>
      </c>
      <c r="F1161" s="2" t="s">
        <v>23</v>
      </c>
      <c r="G1161" s="2" t="s">
        <v>14</v>
      </c>
      <c r="H1161" s="2" t="s">
        <v>15</v>
      </c>
      <c r="I1161" s="2" t="s">
        <v>16</v>
      </c>
      <c r="J1161" s="15">
        <v>85000</v>
      </c>
      <c r="K1161" s="2">
        <v>7</v>
      </c>
      <c r="L1161" s="2" t="s">
        <v>39</v>
      </c>
      <c r="M1161" s="12">
        <f t="shared" si="36"/>
        <v>68000</v>
      </c>
      <c r="N1161" s="10">
        <f>PRODUCT(Table_13[[#This Row],[Unit Price]],Table_13[[#This Row],[Quantity]])</f>
        <v>595000</v>
      </c>
      <c r="O1161" s="16">
        <f>PRODUCT(Table_13[[#This Row],[Cost Price]],Table_13[[#This Row],[Quantity]])</f>
        <v>476000</v>
      </c>
      <c r="P1161" s="27">
        <f t="shared" si="42"/>
        <v>119000</v>
      </c>
    </row>
    <row r="1162" spans="1:16" x14ac:dyDescent="0.2">
      <c r="A1162" s="33">
        <v>46836</v>
      </c>
      <c r="B1162" s="30">
        <f t="shared" si="41"/>
        <v>3</v>
      </c>
      <c r="C1162" s="30" t="str">
        <f>_xlfn.IFS(Table_13[[#This Row],[Month]]=1,"JAN",Table_13[[#This Row],[Month]]=2,"FEB",B1162=3,"MAR",B1162=4,"APR",B1162=5,"MAY",B1162=6,"JUN",B1162=7,"JUL",B1162=8,"AUG",Table_13[[#This Row],[Month]]=9,"SEPT",B1162=10,"OCT",B1162=11,"NOV",B1162=12,"DEC")</f>
        <v>MAR</v>
      </c>
      <c r="D1162" s="2" t="s">
        <v>11</v>
      </c>
      <c r="E1162" s="2" t="s">
        <v>12</v>
      </c>
      <c r="F1162" s="2" t="s">
        <v>13</v>
      </c>
      <c r="G1162" s="2" t="s">
        <v>20</v>
      </c>
      <c r="H1162" s="2" t="s">
        <v>21</v>
      </c>
      <c r="I1162" s="2" t="s">
        <v>22</v>
      </c>
      <c r="J1162" s="15">
        <v>30000</v>
      </c>
      <c r="K1162" s="2">
        <v>6</v>
      </c>
      <c r="L1162" s="2" t="s">
        <v>28</v>
      </c>
      <c r="M1162" s="12">
        <f t="shared" si="36"/>
        <v>24000</v>
      </c>
      <c r="N1162" s="10">
        <f>PRODUCT(Table_13[[#This Row],[Unit Price]],Table_13[[#This Row],[Quantity]])</f>
        <v>180000</v>
      </c>
      <c r="O1162" s="16">
        <f>PRODUCT(Table_13[[#This Row],[Cost Price]],Table_13[[#This Row],[Quantity]])</f>
        <v>144000</v>
      </c>
      <c r="P1162" s="27">
        <f t="shared" si="42"/>
        <v>36000</v>
      </c>
    </row>
    <row r="1163" spans="1:16" x14ac:dyDescent="0.2">
      <c r="A1163" s="33">
        <v>46837</v>
      </c>
      <c r="B1163" s="30">
        <f t="shared" si="41"/>
        <v>3</v>
      </c>
      <c r="C1163" s="30" t="str">
        <f>_xlfn.IFS(Table_13[[#This Row],[Month]]=1,"JAN",Table_13[[#This Row],[Month]]=2,"FEB",B1163=3,"MAR",B1163=4,"APR",B1163=5,"MAY",B1163=6,"JUN",B1163=7,"JUL",B1163=8,"AUG",Table_13[[#This Row],[Month]]=9,"SEPT",B1163=10,"OCT",B1163=11,"NOV",B1163=12,"DEC")</f>
        <v>MAR</v>
      </c>
      <c r="D1163" s="2" t="s">
        <v>11</v>
      </c>
      <c r="E1163" s="2" t="s">
        <v>19</v>
      </c>
      <c r="F1163" s="2" t="s">
        <v>13</v>
      </c>
      <c r="G1163" s="2" t="s">
        <v>20</v>
      </c>
      <c r="H1163" s="2" t="s">
        <v>21</v>
      </c>
      <c r="I1163" s="2" t="s">
        <v>22</v>
      </c>
      <c r="J1163" s="15">
        <v>30000</v>
      </c>
      <c r="K1163" s="2">
        <v>6</v>
      </c>
      <c r="L1163" s="2" t="s">
        <v>24</v>
      </c>
      <c r="M1163" s="12">
        <f t="shared" si="36"/>
        <v>24000</v>
      </c>
      <c r="N1163" s="10">
        <f>PRODUCT(Table_13[[#This Row],[Unit Price]],Table_13[[#This Row],[Quantity]])</f>
        <v>180000</v>
      </c>
      <c r="O1163" s="16">
        <f>PRODUCT(Table_13[[#This Row],[Cost Price]],Table_13[[#This Row],[Quantity]])</f>
        <v>144000</v>
      </c>
      <c r="P1163" s="27">
        <f t="shared" si="42"/>
        <v>36000</v>
      </c>
    </row>
    <row r="1164" spans="1:16" x14ac:dyDescent="0.2">
      <c r="A1164" s="33">
        <v>46838</v>
      </c>
      <c r="B1164" s="30">
        <f t="shared" si="41"/>
        <v>3</v>
      </c>
      <c r="C1164" s="30" t="str">
        <f>_xlfn.IFS(Table_13[[#This Row],[Month]]=1,"JAN",Table_13[[#This Row],[Month]]=2,"FEB",B1164=3,"MAR",B1164=4,"APR",B1164=5,"MAY",B1164=6,"JUN",B1164=7,"JUL",B1164=8,"AUG",Table_13[[#This Row],[Month]]=9,"SEPT",B1164=10,"OCT",B1164=11,"NOV",B1164=12,"DEC")</f>
        <v>MAR</v>
      </c>
      <c r="D1164" s="2" t="s">
        <v>11</v>
      </c>
      <c r="E1164" s="2" t="s">
        <v>12</v>
      </c>
      <c r="F1164" s="2" t="s">
        <v>23</v>
      </c>
      <c r="G1164" s="2" t="s">
        <v>20</v>
      </c>
      <c r="H1164" s="2" t="s">
        <v>34</v>
      </c>
      <c r="I1164" s="2" t="s">
        <v>16</v>
      </c>
      <c r="J1164" s="15">
        <v>320000</v>
      </c>
      <c r="K1164" s="2">
        <v>2</v>
      </c>
      <c r="L1164" s="2" t="s">
        <v>37</v>
      </c>
      <c r="M1164" s="12">
        <f t="shared" si="36"/>
        <v>256000</v>
      </c>
      <c r="N1164" s="10">
        <f>PRODUCT(Table_13[[#This Row],[Unit Price]],Table_13[[#This Row],[Quantity]])</f>
        <v>640000</v>
      </c>
      <c r="O1164" s="16">
        <f>PRODUCT(Table_13[[#This Row],[Cost Price]],Table_13[[#This Row],[Quantity]])</f>
        <v>512000</v>
      </c>
      <c r="P1164" s="27">
        <f t="shared" si="42"/>
        <v>128000</v>
      </c>
    </row>
    <row r="1165" spans="1:16" x14ac:dyDescent="0.2">
      <c r="A1165" s="33">
        <v>46839</v>
      </c>
      <c r="B1165" s="30">
        <f t="shared" si="41"/>
        <v>3</v>
      </c>
      <c r="C1165" s="30" t="str">
        <f>_xlfn.IFS(Table_13[[#This Row],[Month]]=1,"JAN",Table_13[[#This Row],[Month]]=2,"FEB",B1165=3,"MAR",B1165=4,"APR",B1165=5,"MAY",B1165=6,"JUN",B1165=7,"JUL",B1165=8,"AUG",Table_13[[#This Row],[Month]]=9,"SEPT",B1165=10,"OCT",B1165=11,"NOV",B1165=12,"DEC")</f>
        <v>MAR</v>
      </c>
      <c r="D1165" s="2" t="s">
        <v>11</v>
      </c>
      <c r="E1165" s="2" t="s">
        <v>32</v>
      </c>
      <c r="F1165" s="2" t="s">
        <v>13</v>
      </c>
      <c r="G1165" s="2" t="s">
        <v>20</v>
      </c>
      <c r="H1165" s="2" t="s">
        <v>27</v>
      </c>
      <c r="I1165" s="2" t="s">
        <v>22</v>
      </c>
      <c r="J1165" s="15">
        <v>60000</v>
      </c>
      <c r="K1165" s="2">
        <v>6</v>
      </c>
      <c r="L1165" s="2" t="s">
        <v>24</v>
      </c>
      <c r="M1165" s="12">
        <f t="shared" si="36"/>
        <v>48000</v>
      </c>
      <c r="N1165" s="10">
        <f>PRODUCT(Table_13[[#This Row],[Unit Price]],Table_13[[#This Row],[Quantity]])</f>
        <v>360000</v>
      </c>
      <c r="O1165" s="16">
        <f>PRODUCT(Table_13[[#This Row],[Cost Price]],Table_13[[#This Row],[Quantity]])</f>
        <v>288000</v>
      </c>
      <c r="P1165" s="27">
        <f t="shared" si="42"/>
        <v>72000</v>
      </c>
    </row>
    <row r="1166" spans="1:16" x14ac:dyDescent="0.2">
      <c r="A1166" s="33">
        <v>46840</v>
      </c>
      <c r="B1166" s="30">
        <f t="shared" si="41"/>
        <v>3</v>
      </c>
      <c r="C1166" s="30" t="str">
        <f>_xlfn.IFS(Table_13[[#This Row],[Month]]=1,"JAN",Table_13[[#This Row],[Month]]=2,"FEB",B1166=3,"MAR",B1166=4,"APR",B1166=5,"MAY",B1166=6,"JUN",B1166=7,"JUL",B1166=8,"AUG",Table_13[[#This Row],[Month]]=9,"SEPT",B1166=10,"OCT",B1166=11,"NOV",B1166=12,"DEC")</f>
        <v>MAR</v>
      </c>
      <c r="D1166" s="2" t="s">
        <v>11</v>
      </c>
      <c r="E1166" s="2" t="s">
        <v>19</v>
      </c>
      <c r="F1166" s="2" t="s">
        <v>13</v>
      </c>
      <c r="G1166" s="2" t="s">
        <v>20</v>
      </c>
      <c r="H1166" s="2" t="s">
        <v>41</v>
      </c>
      <c r="I1166" s="2" t="s">
        <v>22</v>
      </c>
      <c r="J1166" s="15">
        <v>220000</v>
      </c>
      <c r="K1166" s="2">
        <v>10</v>
      </c>
      <c r="L1166" s="2" t="s">
        <v>39</v>
      </c>
      <c r="M1166" s="12">
        <f t="shared" si="36"/>
        <v>176000</v>
      </c>
      <c r="N1166" s="10">
        <f>PRODUCT(Table_13[[#This Row],[Unit Price]],Table_13[[#This Row],[Quantity]])</f>
        <v>2200000</v>
      </c>
      <c r="O1166" s="16">
        <f>PRODUCT(Table_13[[#This Row],[Cost Price]],Table_13[[#This Row],[Quantity]])</f>
        <v>1760000</v>
      </c>
      <c r="P1166" s="27">
        <f t="shared" si="42"/>
        <v>440000</v>
      </c>
    </row>
    <row r="1167" spans="1:16" x14ac:dyDescent="0.2">
      <c r="A1167" s="33">
        <v>46841</v>
      </c>
      <c r="B1167" s="30">
        <f t="shared" si="41"/>
        <v>3</v>
      </c>
      <c r="C1167" s="30" t="str">
        <f>_xlfn.IFS(Table_13[[#This Row],[Month]]=1,"JAN",Table_13[[#This Row],[Month]]=2,"FEB",B1167=3,"MAR",B1167=4,"APR",B1167=5,"MAY",B1167=6,"JUN",B1167=7,"JUL",B1167=8,"AUG",Table_13[[#This Row],[Month]]=9,"SEPT",B1167=10,"OCT",B1167=11,"NOV",B1167=12,"DEC")</f>
        <v>MAR</v>
      </c>
      <c r="D1167" s="2" t="s">
        <v>11</v>
      </c>
      <c r="E1167" s="2" t="s">
        <v>32</v>
      </c>
      <c r="F1167" s="2" t="s">
        <v>13</v>
      </c>
      <c r="G1167" s="2" t="s">
        <v>14</v>
      </c>
      <c r="H1167" s="2" t="s">
        <v>27</v>
      </c>
      <c r="I1167" s="2" t="s">
        <v>22</v>
      </c>
      <c r="J1167" s="15">
        <v>60000</v>
      </c>
      <c r="K1167" s="2">
        <v>6</v>
      </c>
      <c r="L1167" s="2" t="s">
        <v>39</v>
      </c>
      <c r="M1167" s="12">
        <f t="shared" si="36"/>
        <v>48000</v>
      </c>
      <c r="N1167" s="10">
        <f>PRODUCT(Table_13[[#This Row],[Unit Price]],Table_13[[#This Row],[Quantity]])</f>
        <v>360000</v>
      </c>
      <c r="O1167" s="16">
        <f>PRODUCT(Table_13[[#This Row],[Cost Price]],Table_13[[#This Row],[Quantity]])</f>
        <v>288000</v>
      </c>
      <c r="P1167" s="27">
        <f t="shared" si="42"/>
        <v>72000</v>
      </c>
    </row>
    <row r="1168" spans="1:16" x14ac:dyDescent="0.2">
      <c r="A1168" s="33">
        <v>46842</v>
      </c>
      <c r="B1168" s="30">
        <f t="shared" si="41"/>
        <v>3</v>
      </c>
      <c r="C1168" s="30" t="str">
        <f>_xlfn.IFS(Table_13[[#This Row],[Month]]=1,"JAN",Table_13[[#This Row],[Month]]=2,"FEB",B1168=3,"MAR",B1168=4,"APR",B1168=5,"MAY",B1168=6,"JUN",B1168=7,"JUL",B1168=8,"AUG",Table_13[[#This Row],[Month]]=9,"SEPT",B1168=10,"OCT",B1168=11,"NOV",B1168=12,"DEC")</f>
        <v>MAR</v>
      </c>
      <c r="D1168" s="2" t="s">
        <v>11</v>
      </c>
      <c r="E1168" s="2" t="s">
        <v>26</v>
      </c>
      <c r="F1168" s="2" t="s">
        <v>13</v>
      </c>
      <c r="G1168" s="2" t="s">
        <v>14</v>
      </c>
      <c r="H1168" s="2" t="s">
        <v>41</v>
      </c>
      <c r="I1168" s="2" t="s">
        <v>22</v>
      </c>
      <c r="J1168" s="15">
        <v>220000</v>
      </c>
      <c r="K1168" s="2">
        <v>7</v>
      </c>
      <c r="L1168" s="2" t="s">
        <v>37</v>
      </c>
      <c r="M1168" s="12">
        <f t="shared" si="36"/>
        <v>176000</v>
      </c>
      <c r="N1168" s="10">
        <f>PRODUCT(Table_13[[#This Row],[Unit Price]],Table_13[[#This Row],[Quantity]])</f>
        <v>1540000</v>
      </c>
      <c r="O1168" s="16">
        <f>PRODUCT(Table_13[[#This Row],[Cost Price]],Table_13[[#This Row],[Quantity]])</f>
        <v>1232000</v>
      </c>
      <c r="P1168" s="27">
        <f t="shared" si="42"/>
        <v>308000</v>
      </c>
    </row>
    <row r="1169" spans="1:16" x14ac:dyDescent="0.2">
      <c r="A1169" s="33">
        <v>46843</v>
      </c>
      <c r="B1169" s="30">
        <f t="shared" si="41"/>
        <v>3</v>
      </c>
      <c r="C1169" s="30" t="str">
        <f>_xlfn.IFS(Table_13[[#This Row],[Month]]=1,"JAN",Table_13[[#This Row],[Month]]=2,"FEB",B1169=3,"MAR",B1169=4,"APR",B1169=5,"MAY",B1169=6,"JUN",B1169=7,"JUL",B1169=8,"AUG",Table_13[[#This Row],[Month]]=9,"SEPT",B1169=10,"OCT",B1169=11,"NOV",B1169=12,"DEC")</f>
        <v>MAR</v>
      </c>
      <c r="D1169" s="2" t="s">
        <v>18</v>
      </c>
      <c r="E1169" s="2" t="s">
        <v>19</v>
      </c>
      <c r="F1169" s="2" t="s">
        <v>23</v>
      </c>
      <c r="G1169" s="2" t="s">
        <v>20</v>
      </c>
      <c r="H1169" s="2" t="s">
        <v>38</v>
      </c>
      <c r="I1169" s="2" t="s">
        <v>31</v>
      </c>
      <c r="J1169" s="15">
        <v>420000</v>
      </c>
      <c r="K1169" s="2">
        <v>8</v>
      </c>
      <c r="L1169" s="2" t="s">
        <v>37</v>
      </c>
      <c r="M1169" s="12">
        <f t="shared" si="36"/>
        <v>336000</v>
      </c>
      <c r="N1169" s="10">
        <f>PRODUCT(Table_13[[#This Row],[Unit Price]],Table_13[[#This Row],[Quantity]])</f>
        <v>3360000</v>
      </c>
      <c r="O1169" s="16">
        <f>PRODUCT(Table_13[[#This Row],[Cost Price]],Table_13[[#This Row],[Quantity]])</f>
        <v>2688000</v>
      </c>
      <c r="P1169" s="27">
        <f t="shared" si="42"/>
        <v>672000</v>
      </c>
    </row>
    <row r="1170" spans="1:16" x14ac:dyDescent="0.2">
      <c r="A1170" s="33">
        <v>46844</v>
      </c>
      <c r="B1170" s="30">
        <f t="shared" si="41"/>
        <v>4</v>
      </c>
      <c r="C1170" s="30" t="str">
        <f>_xlfn.IFS(Table_13[[#This Row],[Month]]=1,"JAN",Table_13[[#This Row],[Month]]=2,"FEB",B1170=3,"MAR",B1170=4,"APR",B1170=5,"MAY",B1170=6,"JUN",B1170=7,"JUL",B1170=8,"AUG",Table_13[[#This Row],[Month]]=9,"SEPT",B1170=10,"OCT",B1170=11,"NOV",B1170=12,"DEC")</f>
        <v>APR</v>
      </c>
      <c r="D1170" s="2" t="s">
        <v>18</v>
      </c>
      <c r="E1170" s="2" t="s">
        <v>19</v>
      </c>
      <c r="F1170" s="2" t="s">
        <v>13</v>
      </c>
      <c r="G1170" s="2" t="s">
        <v>20</v>
      </c>
      <c r="H1170" s="2" t="s">
        <v>38</v>
      </c>
      <c r="I1170" s="2" t="s">
        <v>31</v>
      </c>
      <c r="J1170" s="15">
        <v>420000</v>
      </c>
      <c r="K1170" s="2">
        <v>1</v>
      </c>
      <c r="L1170" s="2" t="s">
        <v>39</v>
      </c>
      <c r="M1170" s="12">
        <f t="shared" si="36"/>
        <v>336000</v>
      </c>
      <c r="N1170" s="10">
        <f>PRODUCT(Table_13[[#This Row],[Unit Price]],Table_13[[#This Row],[Quantity]])</f>
        <v>420000</v>
      </c>
      <c r="O1170" s="16">
        <f>PRODUCT(Table_13[[#This Row],[Cost Price]],Table_13[[#This Row],[Quantity]])</f>
        <v>336000</v>
      </c>
      <c r="P1170" s="27">
        <f t="shared" si="42"/>
        <v>84000</v>
      </c>
    </row>
    <row r="1171" spans="1:16" x14ac:dyDescent="0.2">
      <c r="A1171" s="33">
        <v>46845</v>
      </c>
      <c r="B1171" s="30">
        <f t="shared" si="41"/>
        <v>4</v>
      </c>
      <c r="C1171" s="30" t="str">
        <f>_xlfn.IFS(Table_13[[#This Row],[Month]]=1,"JAN",Table_13[[#This Row],[Month]]=2,"FEB",B1171=3,"MAR",B1171=4,"APR",B1171=5,"MAY",B1171=6,"JUN",B1171=7,"JUL",B1171=8,"AUG",Table_13[[#This Row],[Month]]=9,"SEPT",B1171=10,"OCT",B1171=11,"NOV",B1171=12,"DEC")</f>
        <v>APR</v>
      </c>
      <c r="D1171" s="2" t="s">
        <v>18</v>
      </c>
      <c r="E1171" s="2" t="s">
        <v>12</v>
      </c>
      <c r="F1171" s="2" t="s">
        <v>23</v>
      </c>
      <c r="G1171" s="2" t="s">
        <v>20</v>
      </c>
      <c r="H1171" s="2" t="s">
        <v>40</v>
      </c>
      <c r="I1171" s="2" t="s">
        <v>31</v>
      </c>
      <c r="J1171" s="15">
        <v>250000</v>
      </c>
      <c r="K1171" s="2">
        <v>9</v>
      </c>
      <c r="L1171" s="2" t="s">
        <v>37</v>
      </c>
      <c r="M1171" s="12">
        <f t="shared" si="36"/>
        <v>200000</v>
      </c>
      <c r="N1171" s="10">
        <f>PRODUCT(Table_13[[#This Row],[Unit Price]],Table_13[[#This Row],[Quantity]])</f>
        <v>2250000</v>
      </c>
      <c r="O1171" s="16">
        <f>PRODUCT(Table_13[[#This Row],[Cost Price]],Table_13[[#This Row],[Quantity]])</f>
        <v>1800000</v>
      </c>
      <c r="P1171" s="27">
        <f t="shared" si="42"/>
        <v>450000</v>
      </c>
    </row>
    <row r="1172" spans="1:16" x14ac:dyDescent="0.2">
      <c r="A1172" s="33">
        <v>46846</v>
      </c>
      <c r="B1172" s="30">
        <f t="shared" si="41"/>
        <v>4</v>
      </c>
      <c r="C1172" s="30" t="str">
        <f>_xlfn.IFS(Table_13[[#This Row],[Month]]=1,"JAN",Table_13[[#This Row],[Month]]=2,"FEB",B1172=3,"MAR",B1172=4,"APR",B1172=5,"MAY",B1172=6,"JUN",B1172=7,"JUL",B1172=8,"AUG",Table_13[[#This Row],[Month]]=9,"SEPT",B1172=10,"OCT",B1172=11,"NOV",B1172=12,"DEC")</f>
        <v>APR</v>
      </c>
      <c r="D1172" s="2" t="s">
        <v>29</v>
      </c>
      <c r="E1172" s="2" t="s">
        <v>32</v>
      </c>
      <c r="F1172" s="2" t="s">
        <v>13</v>
      </c>
      <c r="G1172" s="2" t="s">
        <v>14</v>
      </c>
      <c r="H1172" s="2" t="s">
        <v>21</v>
      </c>
      <c r="I1172" s="2" t="s">
        <v>22</v>
      </c>
      <c r="J1172" s="15">
        <v>30000</v>
      </c>
      <c r="K1172" s="2">
        <v>3</v>
      </c>
      <c r="L1172" s="2" t="s">
        <v>24</v>
      </c>
      <c r="M1172" s="12">
        <f t="shared" si="36"/>
        <v>24000</v>
      </c>
      <c r="N1172" s="10">
        <f>PRODUCT(Table_13[[#This Row],[Unit Price]],Table_13[[#This Row],[Quantity]])</f>
        <v>90000</v>
      </c>
      <c r="O1172" s="16">
        <f>PRODUCT(Table_13[[#This Row],[Cost Price]],Table_13[[#This Row],[Quantity]])</f>
        <v>72000</v>
      </c>
      <c r="P1172" s="27">
        <f t="shared" si="42"/>
        <v>18000</v>
      </c>
    </row>
    <row r="1173" spans="1:16" x14ac:dyDescent="0.2">
      <c r="A1173" s="33">
        <v>46847</v>
      </c>
      <c r="B1173" s="30">
        <f t="shared" si="41"/>
        <v>4</v>
      </c>
      <c r="C1173" s="30" t="str">
        <f>_xlfn.IFS(Table_13[[#This Row],[Month]]=1,"JAN",Table_13[[#This Row],[Month]]=2,"FEB",B1173=3,"MAR",B1173=4,"APR",B1173=5,"MAY",B1173=6,"JUN",B1173=7,"JUL",B1173=8,"AUG",Table_13[[#This Row],[Month]]=9,"SEPT",B1173=10,"OCT",B1173=11,"NOV",B1173=12,"DEC")</f>
        <v>APR</v>
      </c>
      <c r="D1173" s="2" t="s">
        <v>29</v>
      </c>
      <c r="E1173" s="2" t="s">
        <v>26</v>
      </c>
      <c r="F1173" s="2" t="s">
        <v>13</v>
      </c>
      <c r="G1173" s="2" t="s">
        <v>14</v>
      </c>
      <c r="H1173" s="2" t="s">
        <v>34</v>
      </c>
      <c r="I1173" s="2" t="s">
        <v>16</v>
      </c>
      <c r="J1173" s="15">
        <v>320000</v>
      </c>
      <c r="K1173" s="2">
        <v>1</v>
      </c>
      <c r="L1173" s="2" t="s">
        <v>39</v>
      </c>
      <c r="M1173" s="12">
        <f t="shared" si="36"/>
        <v>256000</v>
      </c>
      <c r="N1173" s="10">
        <f>PRODUCT(Table_13[[#This Row],[Unit Price]],Table_13[[#This Row],[Quantity]])</f>
        <v>320000</v>
      </c>
      <c r="O1173" s="16">
        <f>PRODUCT(Table_13[[#This Row],[Cost Price]],Table_13[[#This Row],[Quantity]])</f>
        <v>256000</v>
      </c>
      <c r="P1173" s="27">
        <f t="shared" si="42"/>
        <v>64000</v>
      </c>
    </row>
    <row r="1174" spans="1:16" x14ac:dyDescent="0.2">
      <c r="A1174" s="33">
        <v>46848</v>
      </c>
      <c r="B1174" s="30">
        <f t="shared" si="41"/>
        <v>4</v>
      </c>
      <c r="C1174" s="30" t="str">
        <f>_xlfn.IFS(Table_13[[#This Row],[Month]]=1,"JAN",Table_13[[#This Row],[Month]]=2,"FEB",B1174=3,"MAR",B1174=4,"APR",B1174=5,"MAY",B1174=6,"JUN",B1174=7,"JUL",B1174=8,"AUG",Table_13[[#This Row],[Month]]=9,"SEPT",B1174=10,"OCT",B1174=11,"NOV",B1174=12,"DEC")</f>
        <v>APR</v>
      </c>
      <c r="D1174" s="2" t="s">
        <v>11</v>
      </c>
      <c r="E1174" s="2" t="s">
        <v>32</v>
      </c>
      <c r="F1174" s="2" t="s">
        <v>23</v>
      </c>
      <c r="G1174" s="2" t="s">
        <v>14</v>
      </c>
      <c r="H1174" s="2" t="s">
        <v>34</v>
      </c>
      <c r="I1174" s="2" t="s">
        <v>16</v>
      </c>
      <c r="J1174" s="15">
        <v>320000</v>
      </c>
      <c r="K1174" s="2">
        <v>10</v>
      </c>
      <c r="L1174" s="2" t="s">
        <v>28</v>
      </c>
      <c r="M1174" s="12">
        <f t="shared" si="36"/>
        <v>256000</v>
      </c>
      <c r="N1174" s="10">
        <f>PRODUCT(Table_13[[#This Row],[Unit Price]],Table_13[[#This Row],[Quantity]])</f>
        <v>3200000</v>
      </c>
      <c r="O1174" s="16">
        <f>PRODUCT(Table_13[[#This Row],[Cost Price]],Table_13[[#This Row],[Quantity]])</f>
        <v>2560000</v>
      </c>
      <c r="P1174" s="27">
        <f t="shared" si="42"/>
        <v>640000</v>
      </c>
    </row>
    <row r="1175" spans="1:16" x14ac:dyDescent="0.2">
      <c r="A1175" s="33">
        <v>46849</v>
      </c>
      <c r="B1175" s="30">
        <f t="shared" si="41"/>
        <v>4</v>
      </c>
      <c r="C1175" s="30" t="str">
        <f>_xlfn.IFS(Table_13[[#This Row],[Month]]=1,"JAN",Table_13[[#This Row],[Month]]=2,"FEB",B1175=3,"MAR",B1175=4,"APR",B1175=5,"MAY",B1175=6,"JUN",B1175=7,"JUL",B1175=8,"AUG",Table_13[[#This Row],[Month]]=9,"SEPT",B1175=10,"OCT",B1175=11,"NOV",B1175=12,"DEC")</f>
        <v>APR</v>
      </c>
      <c r="D1175" s="2" t="s">
        <v>29</v>
      </c>
      <c r="E1175" s="2" t="s">
        <v>19</v>
      </c>
      <c r="F1175" s="2" t="s">
        <v>23</v>
      </c>
      <c r="G1175" s="2" t="s">
        <v>14</v>
      </c>
      <c r="H1175" s="2" t="s">
        <v>33</v>
      </c>
      <c r="I1175" s="2" t="s">
        <v>22</v>
      </c>
      <c r="J1175" s="15">
        <v>180000</v>
      </c>
      <c r="K1175" s="2">
        <v>4</v>
      </c>
      <c r="L1175" s="2" t="s">
        <v>28</v>
      </c>
      <c r="M1175" s="12">
        <f t="shared" si="36"/>
        <v>144000</v>
      </c>
      <c r="N1175" s="10">
        <f>PRODUCT(Table_13[[#This Row],[Unit Price]],Table_13[[#This Row],[Quantity]])</f>
        <v>720000</v>
      </c>
      <c r="O1175" s="16">
        <f>PRODUCT(Table_13[[#This Row],[Cost Price]],Table_13[[#This Row],[Quantity]])</f>
        <v>576000</v>
      </c>
      <c r="P1175" s="27">
        <f t="shared" si="42"/>
        <v>144000</v>
      </c>
    </row>
    <row r="1176" spans="1:16" x14ac:dyDescent="0.2">
      <c r="A1176" s="33">
        <v>46850</v>
      </c>
      <c r="B1176" s="30">
        <f t="shared" si="41"/>
        <v>4</v>
      </c>
      <c r="C1176" s="30" t="str">
        <f>_xlfn.IFS(Table_13[[#This Row],[Month]]=1,"JAN",Table_13[[#This Row],[Month]]=2,"FEB",B1176=3,"MAR",B1176=4,"APR",B1176=5,"MAY",B1176=6,"JUN",B1176=7,"JUL",B1176=8,"AUG",Table_13[[#This Row],[Month]]=9,"SEPT",B1176=10,"OCT",B1176=11,"NOV",B1176=12,"DEC")</f>
        <v>APR</v>
      </c>
      <c r="D1176" s="2" t="s">
        <v>11</v>
      </c>
      <c r="E1176" s="2" t="s">
        <v>19</v>
      </c>
      <c r="F1176" s="2" t="s">
        <v>13</v>
      </c>
      <c r="G1176" s="2" t="s">
        <v>20</v>
      </c>
      <c r="H1176" s="2" t="s">
        <v>38</v>
      </c>
      <c r="I1176" s="2" t="s">
        <v>31</v>
      </c>
      <c r="J1176" s="15">
        <v>420000</v>
      </c>
      <c r="K1176" s="2">
        <v>5</v>
      </c>
      <c r="L1176" s="2" t="s">
        <v>37</v>
      </c>
      <c r="M1176" s="12">
        <f t="shared" si="36"/>
        <v>336000</v>
      </c>
      <c r="N1176" s="10">
        <f>PRODUCT(Table_13[[#This Row],[Unit Price]],Table_13[[#This Row],[Quantity]])</f>
        <v>2100000</v>
      </c>
      <c r="O1176" s="16">
        <f>PRODUCT(Table_13[[#This Row],[Cost Price]],Table_13[[#This Row],[Quantity]])</f>
        <v>1680000</v>
      </c>
      <c r="P1176" s="27">
        <f t="shared" si="42"/>
        <v>420000</v>
      </c>
    </row>
    <row r="1177" spans="1:16" x14ac:dyDescent="0.2">
      <c r="A1177" s="33">
        <v>46851</v>
      </c>
      <c r="B1177" s="30">
        <f t="shared" si="41"/>
        <v>4</v>
      </c>
      <c r="C1177" s="30" t="str">
        <f>_xlfn.IFS(Table_13[[#This Row],[Month]]=1,"JAN",Table_13[[#This Row],[Month]]=2,"FEB",B1177=3,"MAR",B1177=4,"APR",B1177=5,"MAY",B1177=6,"JUN",B1177=7,"JUL",B1177=8,"AUG",Table_13[[#This Row],[Month]]=9,"SEPT",B1177=10,"OCT",B1177=11,"NOV",B1177=12,"DEC")</f>
        <v>APR</v>
      </c>
      <c r="D1177" s="2" t="s">
        <v>29</v>
      </c>
      <c r="E1177" s="2" t="s">
        <v>32</v>
      </c>
      <c r="F1177" s="2" t="s">
        <v>13</v>
      </c>
      <c r="G1177" s="2" t="s">
        <v>14</v>
      </c>
      <c r="H1177" s="2" t="s">
        <v>27</v>
      </c>
      <c r="I1177" s="2" t="s">
        <v>22</v>
      </c>
      <c r="J1177" s="15">
        <v>60000</v>
      </c>
      <c r="K1177" s="2">
        <v>5</v>
      </c>
      <c r="L1177" s="2" t="s">
        <v>24</v>
      </c>
      <c r="M1177" s="12">
        <f t="shared" si="36"/>
        <v>48000</v>
      </c>
      <c r="N1177" s="10">
        <f>PRODUCT(Table_13[[#This Row],[Unit Price]],Table_13[[#This Row],[Quantity]])</f>
        <v>300000</v>
      </c>
      <c r="O1177" s="16">
        <f>PRODUCT(Table_13[[#This Row],[Cost Price]],Table_13[[#This Row],[Quantity]])</f>
        <v>240000</v>
      </c>
      <c r="P1177" s="27">
        <f t="shared" si="42"/>
        <v>60000</v>
      </c>
    </row>
    <row r="1178" spans="1:16" x14ac:dyDescent="0.2">
      <c r="A1178" s="33">
        <v>46852</v>
      </c>
      <c r="B1178" s="30">
        <f t="shared" si="41"/>
        <v>4</v>
      </c>
      <c r="C1178" s="30" t="str">
        <f>_xlfn.IFS(Table_13[[#This Row],[Month]]=1,"JAN",Table_13[[#This Row],[Month]]=2,"FEB",B1178=3,"MAR",B1178=4,"APR",B1178=5,"MAY",B1178=6,"JUN",B1178=7,"JUL",B1178=8,"AUG",Table_13[[#This Row],[Month]]=9,"SEPT",B1178=10,"OCT",B1178=11,"NOV",B1178=12,"DEC")</f>
        <v>APR</v>
      </c>
      <c r="D1178" s="2" t="s">
        <v>29</v>
      </c>
      <c r="E1178" s="2" t="s">
        <v>32</v>
      </c>
      <c r="F1178" s="2" t="s">
        <v>13</v>
      </c>
      <c r="G1178" s="2" t="s">
        <v>20</v>
      </c>
      <c r="H1178" s="2" t="s">
        <v>27</v>
      </c>
      <c r="I1178" s="2" t="s">
        <v>22</v>
      </c>
      <c r="J1178" s="15">
        <v>60000</v>
      </c>
      <c r="K1178" s="2">
        <v>9</v>
      </c>
      <c r="L1178" s="2" t="s">
        <v>37</v>
      </c>
      <c r="M1178" s="12">
        <f t="shared" si="36"/>
        <v>48000</v>
      </c>
      <c r="N1178" s="10">
        <f>PRODUCT(Table_13[[#This Row],[Unit Price]],Table_13[[#This Row],[Quantity]])</f>
        <v>540000</v>
      </c>
      <c r="O1178" s="16">
        <f>PRODUCT(Table_13[[#This Row],[Cost Price]],Table_13[[#This Row],[Quantity]])</f>
        <v>432000</v>
      </c>
      <c r="P1178" s="27">
        <f t="shared" si="42"/>
        <v>108000</v>
      </c>
    </row>
    <row r="1179" spans="1:16" x14ac:dyDescent="0.2">
      <c r="A1179" s="33">
        <v>46853</v>
      </c>
      <c r="B1179" s="30">
        <f t="shared" si="41"/>
        <v>4</v>
      </c>
      <c r="C1179" s="30" t="str">
        <f>_xlfn.IFS(Table_13[[#This Row],[Month]]=1,"JAN",Table_13[[#This Row],[Month]]=2,"FEB",B1179=3,"MAR",B1179=4,"APR",B1179=5,"MAY",B1179=6,"JUN",B1179=7,"JUL",B1179=8,"AUG",Table_13[[#This Row],[Month]]=9,"SEPT",B1179=10,"OCT",B1179=11,"NOV",B1179=12,"DEC")</f>
        <v>APR</v>
      </c>
      <c r="D1179" s="2" t="s">
        <v>18</v>
      </c>
      <c r="E1179" s="2" t="s">
        <v>26</v>
      </c>
      <c r="F1179" s="2" t="s">
        <v>23</v>
      </c>
      <c r="G1179" s="2" t="s">
        <v>20</v>
      </c>
      <c r="H1179" s="2" t="s">
        <v>30</v>
      </c>
      <c r="I1179" s="2" t="s">
        <v>31</v>
      </c>
      <c r="J1179" s="15">
        <v>300000</v>
      </c>
      <c r="K1179" s="2">
        <v>10</v>
      </c>
      <c r="L1179" s="2" t="s">
        <v>24</v>
      </c>
      <c r="M1179" s="12">
        <f t="shared" si="36"/>
        <v>240000</v>
      </c>
      <c r="N1179" s="10">
        <f>PRODUCT(Table_13[[#This Row],[Unit Price]],Table_13[[#This Row],[Quantity]])</f>
        <v>3000000</v>
      </c>
      <c r="O1179" s="16">
        <f>PRODUCT(Table_13[[#This Row],[Cost Price]],Table_13[[#This Row],[Quantity]])</f>
        <v>2400000</v>
      </c>
      <c r="P1179" s="27">
        <f t="shared" si="42"/>
        <v>600000</v>
      </c>
    </row>
    <row r="1180" spans="1:16" x14ac:dyDescent="0.2">
      <c r="A1180" s="33">
        <v>46854</v>
      </c>
      <c r="B1180" s="30">
        <f t="shared" si="41"/>
        <v>4</v>
      </c>
      <c r="C1180" s="30" t="str">
        <f>_xlfn.IFS(Table_13[[#This Row],[Month]]=1,"JAN",Table_13[[#This Row],[Month]]=2,"FEB",B1180=3,"MAR",B1180=4,"APR",B1180=5,"MAY",B1180=6,"JUN",B1180=7,"JUL",B1180=8,"AUG",Table_13[[#This Row],[Month]]=9,"SEPT",B1180=10,"OCT",B1180=11,"NOV",B1180=12,"DEC")</f>
        <v>APR</v>
      </c>
      <c r="D1180" s="2" t="s">
        <v>25</v>
      </c>
      <c r="E1180" s="2" t="s">
        <v>32</v>
      </c>
      <c r="F1180" s="2" t="s">
        <v>13</v>
      </c>
      <c r="G1180" s="2" t="s">
        <v>20</v>
      </c>
      <c r="H1180" s="2" t="s">
        <v>38</v>
      </c>
      <c r="I1180" s="2" t="s">
        <v>31</v>
      </c>
      <c r="J1180" s="15">
        <v>420000</v>
      </c>
      <c r="K1180" s="2">
        <v>8</v>
      </c>
      <c r="L1180" s="2" t="s">
        <v>39</v>
      </c>
      <c r="M1180" s="12">
        <f t="shared" si="36"/>
        <v>336000</v>
      </c>
      <c r="N1180" s="10">
        <f>PRODUCT(Table_13[[#This Row],[Unit Price]],Table_13[[#This Row],[Quantity]])</f>
        <v>3360000</v>
      </c>
      <c r="O1180" s="16">
        <f>PRODUCT(Table_13[[#This Row],[Cost Price]],Table_13[[#This Row],[Quantity]])</f>
        <v>2688000</v>
      </c>
      <c r="P1180" s="27">
        <f t="shared" si="42"/>
        <v>672000</v>
      </c>
    </row>
    <row r="1181" spans="1:16" x14ac:dyDescent="0.2">
      <c r="A1181" s="33">
        <v>46855</v>
      </c>
      <c r="B1181" s="30">
        <f t="shared" si="41"/>
        <v>4</v>
      </c>
      <c r="C1181" s="30" t="str">
        <f>_xlfn.IFS(Table_13[[#This Row],[Month]]=1,"JAN",Table_13[[#This Row],[Month]]=2,"FEB",B1181=3,"MAR",B1181=4,"APR",B1181=5,"MAY",B1181=6,"JUN",B1181=7,"JUL",B1181=8,"AUG",Table_13[[#This Row],[Month]]=9,"SEPT",B1181=10,"OCT",B1181=11,"NOV",B1181=12,"DEC")</f>
        <v>APR</v>
      </c>
      <c r="D1181" s="2" t="s">
        <v>25</v>
      </c>
      <c r="E1181" s="2" t="s">
        <v>26</v>
      </c>
      <c r="F1181" s="2" t="s">
        <v>23</v>
      </c>
      <c r="G1181" s="2" t="s">
        <v>20</v>
      </c>
      <c r="H1181" s="2" t="s">
        <v>33</v>
      </c>
      <c r="I1181" s="2" t="s">
        <v>22</v>
      </c>
      <c r="J1181" s="15">
        <v>180000</v>
      </c>
      <c r="K1181" s="2">
        <v>4</v>
      </c>
      <c r="L1181" s="2" t="s">
        <v>24</v>
      </c>
      <c r="M1181" s="12">
        <f t="shared" si="36"/>
        <v>144000</v>
      </c>
      <c r="N1181" s="10">
        <f>PRODUCT(Table_13[[#This Row],[Unit Price]],Table_13[[#This Row],[Quantity]])</f>
        <v>720000</v>
      </c>
      <c r="O1181" s="16">
        <f>PRODUCT(Table_13[[#This Row],[Cost Price]],Table_13[[#This Row],[Quantity]])</f>
        <v>576000</v>
      </c>
      <c r="P1181" s="27">
        <f t="shared" si="42"/>
        <v>144000</v>
      </c>
    </row>
    <row r="1182" spans="1:16" x14ac:dyDescent="0.2">
      <c r="A1182" s="33">
        <v>46856</v>
      </c>
      <c r="B1182" s="30">
        <f t="shared" si="41"/>
        <v>4</v>
      </c>
      <c r="C1182" s="30" t="str">
        <f>_xlfn.IFS(Table_13[[#This Row],[Month]]=1,"JAN",Table_13[[#This Row],[Month]]=2,"FEB",B1182=3,"MAR",B1182=4,"APR",B1182=5,"MAY",B1182=6,"JUN",B1182=7,"JUL",B1182=8,"AUG",Table_13[[#This Row],[Month]]=9,"SEPT",B1182=10,"OCT",B1182=11,"NOV",B1182=12,"DEC")</f>
        <v>APR</v>
      </c>
      <c r="D1182" s="2" t="s">
        <v>18</v>
      </c>
      <c r="E1182" s="2" t="s">
        <v>26</v>
      </c>
      <c r="F1182" s="2" t="s">
        <v>13</v>
      </c>
      <c r="G1182" s="2" t="s">
        <v>20</v>
      </c>
      <c r="H1182" s="2" t="s">
        <v>21</v>
      </c>
      <c r="I1182" s="2" t="s">
        <v>22</v>
      </c>
      <c r="J1182" s="15">
        <v>30000</v>
      </c>
      <c r="K1182" s="2">
        <v>5</v>
      </c>
      <c r="L1182" s="2" t="s">
        <v>37</v>
      </c>
      <c r="M1182" s="12">
        <f t="shared" si="36"/>
        <v>24000</v>
      </c>
      <c r="N1182" s="10">
        <f>PRODUCT(Table_13[[#This Row],[Unit Price]],Table_13[[#This Row],[Quantity]])</f>
        <v>150000</v>
      </c>
      <c r="O1182" s="16">
        <f>PRODUCT(Table_13[[#This Row],[Cost Price]],Table_13[[#This Row],[Quantity]])</f>
        <v>120000</v>
      </c>
      <c r="P1182" s="27">
        <f t="shared" si="42"/>
        <v>30000</v>
      </c>
    </row>
    <row r="1183" spans="1:16" x14ac:dyDescent="0.2">
      <c r="A1183" s="33">
        <v>46857</v>
      </c>
      <c r="B1183" s="30">
        <f t="shared" si="41"/>
        <v>4</v>
      </c>
      <c r="C1183" s="30" t="str">
        <f>_xlfn.IFS(Table_13[[#This Row],[Month]]=1,"JAN",Table_13[[#This Row],[Month]]=2,"FEB",B1183=3,"MAR",B1183=4,"APR",B1183=5,"MAY",B1183=6,"JUN",B1183=7,"JUL",B1183=8,"AUG",Table_13[[#This Row],[Month]]=9,"SEPT",B1183=10,"OCT",B1183=11,"NOV",B1183=12,"DEC")</f>
        <v>APR</v>
      </c>
      <c r="D1183" s="2" t="s">
        <v>29</v>
      </c>
      <c r="E1183" s="2" t="s">
        <v>19</v>
      </c>
      <c r="F1183" s="2" t="s">
        <v>13</v>
      </c>
      <c r="G1183" s="2" t="s">
        <v>14</v>
      </c>
      <c r="H1183" s="2" t="s">
        <v>40</v>
      </c>
      <c r="I1183" s="2" t="s">
        <v>31</v>
      </c>
      <c r="J1183" s="15">
        <v>250000</v>
      </c>
      <c r="K1183" s="2">
        <v>3</v>
      </c>
      <c r="L1183" s="2" t="s">
        <v>24</v>
      </c>
      <c r="M1183" s="12">
        <f t="shared" si="36"/>
        <v>200000</v>
      </c>
      <c r="N1183" s="10">
        <f>PRODUCT(Table_13[[#This Row],[Unit Price]],Table_13[[#This Row],[Quantity]])</f>
        <v>750000</v>
      </c>
      <c r="O1183" s="16">
        <f>PRODUCT(Table_13[[#This Row],[Cost Price]],Table_13[[#This Row],[Quantity]])</f>
        <v>600000</v>
      </c>
      <c r="P1183" s="27">
        <f t="shared" si="42"/>
        <v>150000</v>
      </c>
    </row>
    <row r="1184" spans="1:16" x14ac:dyDescent="0.2">
      <c r="A1184" s="33">
        <v>46858</v>
      </c>
      <c r="B1184" s="30">
        <f t="shared" si="41"/>
        <v>4</v>
      </c>
      <c r="C1184" s="30" t="str">
        <f>_xlfn.IFS(Table_13[[#This Row],[Month]]=1,"JAN",Table_13[[#This Row],[Month]]=2,"FEB",B1184=3,"MAR",B1184=4,"APR",B1184=5,"MAY",B1184=6,"JUN",B1184=7,"JUL",B1184=8,"AUG",Table_13[[#This Row],[Month]]=9,"SEPT",B1184=10,"OCT",B1184=11,"NOV",B1184=12,"DEC")</f>
        <v>APR</v>
      </c>
      <c r="D1184" s="2" t="s">
        <v>18</v>
      </c>
      <c r="E1184" s="2" t="s">
        <v>26</v>
      </c>
      <c r="F1184" s="2" t="s">
        <v>23</v>
      </c>
      <c r="G1184" s="2" t="s">
        <v>20</v>
      </c>
      <c r="H1184" s="2" t="s">
        <v>15</v>
      </c>
      <c r="I1184" s="2" t="s">
        <v>16</v>
      </c>
      <c r="J1184" s="15">
        <v>85000</v>
      </c>
      <c r="K1184" s="2">
        <v>8</v>
      </c>
      <c r="L1184" s="2" t="s">
        <v>28</v>
      </c>
      <c r="M1184" s="12">
        <f t="shared" si="36"/>
        <v>68000</v>
      </c>
      <c r="N1184" s="10">
        <f>PRODUCT(Table_13[[#This Row],[Unit Price]],Table_13[[#This Row],[Quantity]])</f>
        <v>680000</v>
      </c>
      <c r="O1184" s="16">
        <f>PRODUCT(Table_13[[#This Row],[Cost Price]],Table_13[[#This Row],[Quantity]])</f>
        <v>544000</v>
      </c>
      <c r="P1184" s="27">
        <f t="shared" si="42"/>
        <v>136000</v>
      </c>
    </row>
    <row r="1185" spans="1:16" x14ac:dyDescent="0.2">
      <c r="A1185" s="33">
        <v>46859</v>
      </c>
      <c r="B1185" s="30">
        <f t="shared" si="41"/>
        <v>4</v>
      </c>
      <c r="C1185" s="30" t="str">
        <f>_xlfn.IFS(Table_13[[#This Row],[Month]]=1,"JAN",Table_13[[#This Row],[Month]]=2,"FEB",B1185=3,"MAR",B1185=4,"APR",B1185=5,"MAY",B1185=6,"JUN",B1185=7,"JUL",B1185=8,"AUG",Table_13[[#This Row],[Month]]=9,"SEPT",B1185=10,"OCT",B1185=11,"NOV",B1185=12,"DEC")</f>
        <v>APR</v>
      </c>
      <c r="D1185" s="2" t="s">
        <v>25</v>
      </c>
      <c r="E1185" s="2" t="s">
        <v>12</v>
      </c>
      <c r="F1185" s="2" t="s">
        <v>23</v>
      </c>
      <c r="G1185" s="2" t="s">
        <v>14</v>
      </c>
      <c r="H1185" s="2" t="s">
        <v>27</v>
      </c>
      <c r="I1185" s="2" t="s">
        <v>22</v>
      </c>
      <c r="J1185" s="15">
        <v>60000</v>
      </c>
      <c r="K1185" s="2">
        <v>8</v>
      </c>
      <c r="L1185" s="2" t="s">
        <v>37</v>
      </c>
      <c r="M1185" s="12">
        <f t="shared" si="36"/>
        <v>48000</v>
      </c>
      <c r="N1185" s="10">
        <f>PRODUCT(Table_13[[#This Row],[Unit Price]],Table_13[[#This Row],[Quantity]])</f>
        <v>480000</v>
      </c>
      <c r="O1185" s="16">
        <f>PRODUCT(Table_13[[#This Row],[Cost Price]],Table_13[[#This Row],[Quantity]])</f>
        <v>384000</v>
      </c>
      <c r="P1185" s="27">
        <f t="shared" si="42"/>
        <v>96000</v>
      </c>
    </row>
    <row r="1186" spans="1:16" x14ac:dyDescent="0.2">
      <c r="A1186" s="33">
        <v>46860</v>
      </c>
      <c r="B1186" s="30">
        <f t="shared" si="41"/>
        <v>4</v>
      </c>
      <c r="C1186" s="30" t="str">
        <f>_xlfn.IFS(Table_13[[#This Row],[Month]]=1,"JAN",Table_13[[#This Row],[Month]]=2,"FEB",B1186=3,"MAR",B1186=4,"APR",B1186=5,"MAY",B1186=6,"JUN",B1186=7,"JUL",B1186=8,"AUG",Table_13[[#This Row],[Month]]=9,"SEPT",B1186=10,"OCT",B1186=11,"NOV",B1186=12,"DEC")</f>
        <v>APR</v>
      </c>
      <c r="D1186" s="2" t="s">
        <v>25</v>
      </c>
      <c r="E1186" s="2" t="s">
        <v>12</v>
      </c>
      <c r="F1186" s="2" t="s">
        <v>23</v>
      </c>
      <c r="G1186" s="2" t="s">
        <v>20</v>
      </c>
      <c r="H1186" s="2" t="s">
        <v>36</v>
      </c>
      <c r="I1186" s="2" t="s">
        <v>31</v>
      </c>
      <c r="J1186" s="15">
        <v>150000</v>
      </c>
      <c r="K1186" s="2">
        <v>5</v>
      </c>
      <c r="L1186" s="2" t="s">
        <v>17</v>
      </c>
      <c r="M1186" s="12">
        <f t="shared" si="36"/>
        <v>120000</v>
      </c>
      <c r="N1186" s="10">
        <f>PRODUCT(Table_13[[#This Row],[Unit Price]],Table_13[[#This Row],[Quantity]])</f>
        <v>750000</v>
      </c>
      <c r="O1186" s="16">
        <f>PRODUCT(Table_13[[#This Row],[Cost Price]],Table_13[[#This Row],[Quantity]])</f>
        <v>600000</v>
      </c>
      <c r="P1186" s="27">
        <f t="shared" si="42"/>
        <v>150000</v>
      </c>
    </row>
    <row r="1187" spans="1:16" x14ac:dyDescent="0.2">
      <c r="A1187" s="33">
        <v>46861</v>
      </c>
      <c r="B1187" s="30">
        <f t="shared" si="41"/>
        <v>4</v>
      </c>
      <c r="C1187" s="30" t="str">
        <f>_xlfn.IFS(Table_13[[#This Row],[Month]]=1,"JAN",Table_13[[#This Row],[Month]]=2,"FEB",B1187=3,"MAR",B1187=4,"APR",B1187=5,"MAY",B1187=6,"JUN",B1187=7,"JUL",B1187=8,"AUG",Table_13[[#This Row],[Month]]=9,"SEPT",B1187=10,"OCT",B1187=11,"NOV",B1187=12,"DEC")</f>
        <v>APR</v>
      </c>
      <c r="D1187" s="2" t="s">
        <v>29</v>
      </c>
      <c r="E1187" s="2" t="s">
        <v>12</v>
      </c>
      <c r="F1187" s="2" t="s">
        <v>23</v>
      </c>
      <c r="G1187" s="2" t="s">
        <v>14</v>
      </c>
      <c r="H1187" s="2" t="s">
        <v>34</v>
      </c>
      <c r="I1187" s="2" t="s">
        <v>16</v>
      </c>
      <c r="J1187" s="15">
        <v>320000</v>
      </c>
      <c r="K1187" s="2">
        <v>9</v>
      </c>
      <c r="L1187" s="2" t="s">
        <v>35</v>
      </c>
      <c r="M1187" s="12">
        <f t="shared" si="36"/>
        <v>256000</v>
      </c>
      <c r="N1187" s="10">
        <f>PRODUCT(Table_13[[#This Row],[Unit Price]],Table_13[[#This Row],[Quantity]])</f>
        <v>2880000</v>
      </c>
      <c r="O1187" s="16">
        <f>PRODUCT(Table_13[[#This Row],[Cost Price]],Table_13[[#This Row],[Quantity]])</f>
        <v>2304000</v>
      </c>
      <c r="P1187" s="27">
        <f t="shared" si="42"/>
        <v>576000</v>
      </c>
    </row>
    <row r="1188" spans="1:16" x14ac:dyDescent="0.2">
      <c r="A1188" s="33">
        <v>46862</v>
      </c>
      <c r="B1188" s="30">
        <f t="shared" si="41"/>
        <v>4</v>
      </c>
      <c r="C1188" s="30" t="str">
        <f>_xlfn.IFS(Table_13[[#This Row],[Month]]=1,"JAN",Table_13[[#This Row],[Month]]=2,"FEB",B1188=3,"MAR",B1188=4,"APR",B1188=5,"MAY",B1188=6,"JUN",B1188=7,"JUL",B1188=8,"AUG",Table_13[[#This Row],[Month]]=9,"SEPT",B1188=10,"OCT",B1188=11,"NOV",B1188=12,"DEC")</f>
        <v>APR</v>
      </c>
      <c r="D1188" s="2" t="s">
        <v>29</v>
      </c>
      <c r="E1188" s="2" t="s">
        <v>32</v>
      </c>
      <c r="F1188" s="2" t="s">
        <v>23</v>
      </c>
      <c r="G1188" s="2" t="s">
        <v>14</v>
      </c>
      <c r="H1188" s="2" t="s">
        <v>38</v>
      </c>
      <c r="I1188" s="2" t="s">
        <v>31</v>
      </c>
      <c r="J1188" s="15">
        <v>420000</v>
      </c>
      <c r="K1188" s="2">
        <v>7</v>
      </c>
      <c r="L1188" s="2" t="s">
        <v>17</v>
      </c>
      <c r="M1188" s="12">
        <f t="shared" si="36"/>
        <v>336000</v>
      </c>
      <c r="N1188" s="10">
        <f>PRODUCT(Table_13[[#This Row],[Unit Price]],Table_13[[#This Row],[Quantity]])</f>
        <v>2940000</v>
      </c>
      <c r="O1188" s="16">
        <f>PRODUCT(Table_13[[#This Row],[Cost Price]],Table_13[[#This Row],[Quantity]])</f>
        <v>2352000</v>
      </c>
      <c r="P1188" s="27">
        <f t="shared" si="42"/>
        <v>588000</v>
      </c>
    </row>
    <row r="1189" spans="1:16" x14ac:dyDescent="0.2">
      <c r="A1189" s="33">
        <v>46863</v>
      </c>
      <c r="B1189" s="30">
        <f t="shared" si="41"/>
        <v>4</v>
      </c>
      <c r="C1189" s="30" t="str">
        <f>_xlfn.IFS(Table_13[[#This Row],[Month]]=1,"JAN",Table_13[[#This Row],[Month]]=2,"FEB",B1189=3,"MAR",B1189=4,"APR",B1189=5,"MAY",B1189=6,"JUN",B1189=7,"JUL",B1189=8,"AUG",Table_13[[#This Row],[Month]]=9,"SEPT",B1189=10,"OCT",B1189=11,"NOV",B1189=12,"DEC")</f>
        <v>APR</v>
      </c>
      <c r="D1189" s="2" t="s">
        <v>25</v>
      </c>
      <c r="E1189" s="2" t="s">
        <v>26</v>
      </c>
      <c r="F1189" s="2" t="s">
        <v>23</v>
      </c>
      <c r="G1189" s="2" t="s">
        <v>20</v>
      </c>
      <c r="H1189" s="2" t="s">
        <v>27</v>
      </c>
      <c r="I1189" s="2" t="s">
        <v>22</v>
      </c>
      <c r="J1189" s="15">
        <v>60000</v>
      </c>
      <c r="K1189" s="2">
        <v>6</v>
      </c>
      <c r="L1189" s="2" t="s">
        <v>37</v>
      </c>
      <c r="M1189" s="12">
        <f t="shared" si="36"/>
        <v>48000</v>
      </c>
      <c r="N1189" s="10">
        <f>PRODUCT(Table_13[[#This Row],[Unit Price]],Table_13[[#This Row],[Quantity]])</f>
        <v>360000</v>
      </c>
      <c r="O1189" s="16">
        <f>PRODUCT(Table_13[[#This Row],[Cost Price]],Table_13[[#This Row],[Quantity]])</f>
        <v>288000</v>
      </c>
      <c r="P1189" s="27">
        <f t="shared" si="42"/>
        <v>72000</v>
      </c>
    </row>
    <row r="1190" spans="1:16" x14ac:dyDescent="0.2">
      <c r="A1190" s="33">
        <v>46864</v>
      </c>
      <c r="B1190" s="30">
        <f t="shared" si="41"/>
        <v>4</v>
      </c>
      <c r="C1190" s="30" t="str">
        <f>_xlfn.IFS(Table_13[[#This Row],[Month]]=1,"JAN",Table_13[[#This Row],[Month]]=2,"FEB",B1190=3,"MAR",B1190=4,"APR",B1190=5,"MAY",B1190=6,"JUN",B1190=7,"JUL",B1190=8,"AUG",Table_13[[#This Row],[Month]]=9,"SEPT",B1190=10,"OCT",B1190=11,"NOV",B1190=12,"DEC")</f>
        <v>APR</v>
      </c>
      <c r="D1190" s="2" t="s">
        <v>29</v>
      </c>
      <c r="E1190" s="2" t="s">
        <v>12</v>
      </c>
      <c r="F1190" s="2" t="s">
        <v>13</v>
      </c>
      <c r="G1190" s="2" t="s">
        <v>20</v>
      </c>
      <c r="H1190" s="2" t="s">
        <v>36</v>
      </c>
      <c r="I1190" s="2" t="s">
        <v>31</v>
      </c>
      <c r="J1190" s="15">
        <v>150000</v>
      </c>
      <c r="K1190" s="2">
        <v>7</v>
      </c>
      <c r="L1190" s="2" t="s">
        <v>39</v>
      </c>
      <c r="M1190" s="12">
        <f t="shared" si="36"/>
        <v>120000</v>
      </c>
      <c r="N1190" s="10">
        <f>PRODUCT(Table_13[[#This Row],[Unit Price]],Table_13[[#This Row],[Quantity]])</f>
        <v>1050000</v>
      </c>
      <c r="O1190" s="16">
        <f>PRODUCT(Table_13[[#This Row],[Cost Price]],Table_13[[#This Row],[Quantity]])</f>
        <v>840000</v>
      </c>
      <c r="P1190" s="27">
        <f t="shared" si="42"/>
        <v>210000</v>
      </c>
    </row>
    <row r="1191" spans="1:16" x14ac:dyDescent="0.2">
      <c r="A1191" s="33">
        <v>46865</v>
      </c>
      <c r="B1191" s="30">
        <f t="shared" si="41"/>
        <v>4</v>
      </c>
      <c r="C1191" s="30" t="str">
        <f>_xlfn.IFS(Table_13[[#This Row],[Month]]=1,"JAN",Table_13[[#This Row],[Month]]=2,"FEB",B1191=3,"MAR",B1191=4,"APR",B1191=5,"MAY",B1191=6,"JUN",B1191=7,"JUL",B1191=8,"AUG",Table_13[[#This Row],[Month]]=9,"SEPT",B1191=10,"OCT",B1191=11,"NOV",B1191=12,"DEC")</f>
        <v>APR</v>
      </c>
      <c r="D1191" s="2" t="s">
        <v>18</v>
      </c>
      <c r="E1191" s="2" t="s">
        <v>26</v>
      </c>
      <c r="F1191" s="2" t="s">
        <v>13</v>
      </c>
      <c r="G1191" s="2" t="s">
        <v>20</v>
      </c>
      <c r="H1191" s="2" t="s">
        <v>34</v>
      </c>
      <c r="I1191" s="2" t="s">
        <v>16</v>
      </c>
      <c r="J1191" s="15">
        <v>320000</v>
      </c>
      <c r="K1191" s="2">
        <v>10</v>
      </c>
      <c r="L1191" s="2" t="s">
        <v>28</v>
      </c>
      <c r="M1191" s="12">
        <f t="shared" si="36"/>
        <v>256000</v>
      </c>
      <c r="N1191" s="10">
        <f>PRODUCT(Table_13[[#This Row],[Unit Price]],Table_13[[#This Row],[Quantity]])</f>
        <v>3200000</v>
      </c>
      <c r="O1191" s="16">
        <f>PRODUCT(Table_13[[#This Row],[Cost Price]],Table_13[[#This Row],[Quantity]])</f>
        <v>2560000</v>
      </c>
      <c r="P1191" s="27">
        <f t="shared" si="42"/>
        <v>640000</v>
      </c>
    </row>
    <row r="1192" spans="1:16" x14ac:dyDescent="0.2">
      <c r="A1192" s="33">
        <v>46866</v>
      </c>
      <c r="B1192" s="30">
        <f t="shared" si="41"/>
        <v>4</v>
      </c>
      <c r="C1192" s="30" t="str">
        <f>_xlfn.IFS(Table_13[[#This Row],[Month]]=1,"JAN",Table_13[[#This Row],[Month]]=2,"FEB",B1192=3,"MAR",B1192=4,"APR",B1192=5,"MAY",B1192=6,"JUN",B1192=7,"JUL",B1192=8,"AUG",Table_13[[#This Row],[Month]]=9,"SEPT",B1192=10,"OCT",B1192=11,"NOV",B1192=12,"DEC")</f>
        <v>APR</v>
      </c>
      <c r="D1192" s="2" t="s">
        <v>18</v>
      </c>
      <c r="E1192" s="2" t="s">
        <v>12</v>
      </c>
      <c r="F1192" s="2" t="s">
        <v>23</v>
      </c>
      <c r="G1192" s="2" t="s">
        <v>14</v>
      </c>
      <c r="H1192" s="2" t="s">
        <v>30</v>
      </c>
      <c r="I1192" s="2" t="s">
        <v>31</v>
      </c>
      <c r="J1192" s="15">
        <v>300000</v>
      </c>
      <c r="K1192" s="2">
        <v>8</v>
      </c>
      <c r="L1192" s="2" t="s">
        <v>24</v>
      </c>
      <c r="M1192" s="12">
        <f t="shared" si="36"/>
        <v>240000</v>
      </c>
      <c r="N1192" s="10">
        <f>PRODUCT(Table_13[[#This Row],[Unit Price]],Table_13[[#This Row],[Quantity]])</f>
        <v>2400000</v>
      </c>
      <c r="O1192" s="16">
        <f>PRODUCT(Table_13[[#This Row],[Cost Price]],Table_13[[#This Row],[Quantity]])</f>
        <v>1920000</v>
      </c>
      <c r="P1192" s="27">
        <f t="shared" si="42"/>
        <v>480000</v>
      </c>
    </row>
    <row r="1193" spans="1:16" x14ac:dyDescent="0.2">
      <c r="A1193" s="33">
        <v>46867</v>
      </c>
      <c r="B1193" s="30">
        <f t="shared" si="41"/>
        <v>4</v>
      </c>
      <c r="C1193" s="30" t="str">
        <f>_xlfn.IFS(Table_13[[#This Row],[Month]]=1,"JAN",Table_13[[#This Row],[Month]]=2,"FEB",B1193=3,"MAR",B1193=4,"APR",B1193=5,"MAY",B1193=6,"JUN",B1193=7,"JUL",B1193=8,"AUG",Table_13[[#This Row],[Month]]=9,"SEPT",B1193=10,"OCT",B1193=11,"NOV",B1193=12,"DEC")</f>
        <v>APR</v>
      </c>
      <c r="D1193" s="2" t="s">
        <v>11</v>
      </c>
      <c r="E1193" s="2" t="s">
        <v>12</v>
      </c>
      <c r="F1193" s="2" t="s">
        <v>13</v>
      </c>
      <c r="G1193" s="2" t="s">
        <v>14</v>
      </c>
      <c r="H1193" s="2" t="s">
        <v>38</v>
      </c>
      <c r="I1193" s="2" t="s">
        <v>31</v>
      </c>
      <c r="J1193" s="15">
        <v>420000</v>
      </c>
      <c r="K1193" s="2">
        <v>5</v>
      </c>
      <c r="L1193" s="2" t="s">
        <v>35</v>
      </c>
      <c r="M1193" s="12">
        <f t="shared" si="36"/>
        <v>336000</v>
      </c>
      <c r="N1193" s="10">
        <f>PRODUCT(Table_13[[#This Row],[Unit Price]],Table_13[[#This Row],[Quantity]])</f>
        <v>2100000</v>
      </c>
      <c r="O1193" s="16">
        <f>PRODUCT(Table_13[[#This Row],[Cost Price]],Table_13[[#This Row],[Quantity]])</f>
        <v>1680000</v>
      </c>
      <c r="P1193" s="27">
        <f t="shared" si="42"/>
        <v>420000</v>
      </c>
    </row>
    <row r="1194" spans="1:16" x14ac:dyDescent="0.2">
      <c r="A1194" s="33">
        <v>46868</v>
      </c>
      <c r="B1194" s="30">
        <f t="shared" si="41"/>
        <v>4</v>
      </c>
      <c r="C1194" s="30" t="str">
        <f>_xlfn.IFS(Table_13[[#This Row],[Month]]=1,"JAN",Table_13[[#This Row],[Month]]=2,"FEB",B1194=3,"MAR",B1194=4,"APR",B1194=5,"MAY",B1194=6,"JUN",B1194=7,"JUL",B1194=8,"AUG",Table_13[[#This Row],[Month]]=9,"SEPT",B1194=10,"OCT",B1194=11,"NOV",B1194=12,"DEC")</f>
        <v>APR</v>
      </c>
      <c r="D1194" s="2" t="s">
        <v>18</v>
      </c>
      <c r="E1194" s="2" t="s">
        <v>26</v>
      </c>
      <c r="F1194" s="2" t="s">
        <v>13</v>
      </c>
      <c r="G1194" s="2" t="s">
        <v>20</v>
      </c>
      <c r="H1194" s="2" t="s">
        <v>41</v>
      </c>
      <c r="I1194" s="2" t="s">
        <v>22</v>
      </c>
      <c r="J1194" s="15">
        <v>220000</v>
      </c>
      <c r="K1194" s="2">
        <v>5</v>
      </c>
      <c r="L1194" s="2" t="s">
        <v>17</v>
      </c>
      <c r="M1194" s="12">
        <f t="shared" si="36"/>
        <v>176000</v>
      </c>
      <c r="N1194" s="10">
        <f>PRODUCT(Table_13[[#This Row],[Unit Price]],Table_13[[#This Row],[Quantity]])</f>
        <v>1100000</v>
      </c>
      <c r="O1194" s="16">
        <f>PRODUCT(Table_13[[#This Row],[Cost Price]],Table_13[[#This Row],[Quantity]])</f>
        <v>880000</v>
      </c>
      <c r="P1194" s="27">
        <f t="shared" si="42"/>
        <v>220000</v>
      </c>
    </row>
    <row r="1195" spans="1:16" x14ac:dyDescent="0.2">
      <c r="A1195" s="33">
        <v>46869</v>
      </c>
      <c r="B1195" s="30">
        <f t="shared" si="41"/>
        <v>4</v>
      </c>
      <c r="C1195" s="30" t="str">
        <f>_xlfn.IFS(Table_13[[#This Row],[Month]]=1,"JAN",Table_13[[#This Row],[Month]]=2,"FEB",B1195=3,"MAR",B1195=4,"APR",B1195=5,"MAY",B1195=6,"JUN",B1195=7,"JUL",B1195=8,"AUG",Table_13[[#This Row],[Month]]=9,"SEPT",B1195=10,"OCT",B1195=11,"NOV",B1195=12,"DEC")</f>
        <v>APR</v>
      </c>
      <c r="D1195" s="2" t="s">
        <v>11</v>
      </c>
      <c r="E1195" s="2" t="s">
        <v>12</v>
      </c>
      <c r="F1195" s="2" t="s">
        <v>23</v>
      </c>
      <c r="G1195" s="2" t="s">
        <v>20</v>
      </c>
      <c r="H1195" s="2" t="s">
        <v>34</v>
      </c>
      <c r="I1195" s="2" t="s">
        <v>16</v>
      </c>
      <c r="J1195" s="15">
        <v>320000</v>
      </c>
      <c r="K1195" s="2">
        <v>3</v>
      </c>
      <c r="L1195" s="2" t="s">
        <v>24</v>
      </c>
      <c r="M1195" s="12">
        <f t="shared" si="36"/>
        <v>256000</v>
      </c>
      <c r="N1195" s="10">
        <f>PRODUCT(Table_13[[#This Row],[Unit Price]],Table_13[[#This Row],[Quantity]])</f>
        <v>960000</v>
      </c>
      <c r="O1195" s="16">
        <f>PRODUCT(Table_13[[#This Row],[Cost Price]],Table_13[[#This Row],[Quantity]])</f>
        <v>768000</v>
      </c>
      <c r="P1195" s="27">
        <f t="shared" si="42"/>
        <v>192000</v>
      </c>
    </row>
    <row r="1196" spans="1:16" x14ac:dyDescent="0.2">
      <c r="A1196" s="33">
        <v>46870</v>
      </c>
      <c r="B1196" s="30">
        <f t="shared" si="41"/>
        <v>4</v>
      </c>
      <c r="C1196" s="30" t="str">
        <f>_xlfn.IFS(Table_13[[#This Row],[Month]]=1,"JAN",Table_13[[#This Row],[Month]]=2,"FEB",B1196=3,"MAR",B1196=4,"APR",B1196=5,"MAY",B1196=6,"JUN",B1196=7,"JUL",B1196=8,"AUG",Table_13[[#This Row],[Month]]=9,"SEPT",B1196=10,"OCT",B1196=11,"NOV",B1196=12,"DEC")</f>
        <v>APR</v>
      </c>
      <c r="D1196" s="2" t="s">
        <v>18</v>
      </c>
      <c r="E1196" s="2" t="s">
        <v>12</v>
      </c>
      <c r="F1196" s="2" t="s">
        <v>13</v>
      </c>
      <c r="G1196" s="2" t="s">
        <v>14</v>
      </c>
      <c r="H1196" s="2" t="s">
        <v>33</v>
      </c>
      <c r="I1196" s="2" t="s">
        <v>22</v>
      </c>
      <c r="J1196" s="15">
        <v>180000</v>
      </c>
      <c r="K1196" s="2">
        <v>9</v>
      </c>
      <c r="L1196" s="2" t="s">
        <v>39</v>
      </c>
      <c r="M1196" s="12">
        <f t="shared" si="36"/>
        <v>144000</v>
      </c>
      <c r="N1196" s="10">
        <f>PRODUCT(Table_13[[#This Row],[Unit Price]],Table_13[[#This Row],[Quantity]])</f>
        <v>1620000</v>
      </c>
      <c r="O1196" s="16">
        <f>PRODUCT(Table_13[[#This Row],[Cost Price]],Table_13[[#This Row],[Quantity]])</f>
        <v>1296000</v>
      </c>
      <c r="P1196" s="27">
        <f t="shared" si="42"/>
        <v>324000</v>
      </c>
    </row>
    <row r="1197" spans="1:16" x14ac:dyDescent="0.2">
      <c r="A1197" s="33">
        <v>46871</v>
      </c>
      <c r="B1197" s="30">
        <f t="shared" si="41"/>
        <v>4</v>
      </c>
      <c r="C1197" s="30" t="str">
        <f>_xlfn.IFS(Table_13[[#This Row],[Month]]=1,"JAN",Table_13[[#This Row],[Month]]=2,"FEB",B1197=3,"MAR",B1197=4,"APR",B1197=5,"MAY",B1197=6,"JUN",B1197=7,"JUL",B1197=8,"AUG",Table_13[[#This Row],[Month]]=9,"SEPT",B1197=10,"OCT",B1197=11,"NOV",B1197=12,"DEC")</f>
        <v>APR</v>
      </c>
      <c r="D1197" s="2" t="s">
        <v>29</v>
      </c>
      <c r="E1197" s="2" t="s">
        <v>12</v>
      </c>
      <c r="F1197" s="2" t="s">
        <v>13</v>
      </c>
      <c r="G1197" s="2" t="s">
        <v>14</v>
      </c>
      <c r="H1197" s="2" t="s">
        <v>30</v>
      </c>
      <c r="I1197" s="2" t="s">
        <v>31</v>
      </c>
      <c r="J1197" s="15">
        <v>300000</v>
      </c>
      <c r="K1197" s="2">
        <v>1</v>
      </c>
      <c r="L1197" s="2" t="s">
        <v>39</v>
      </c>
      <c r="M1197" s="12">
        <f t="shared" si="36"/>
        <v>240000</v>
      </c>
      <c r="N1197" s="10">
        <f>PRODUCT(Table_13[[#This Row],[Unit Price]],Table_13[[#This Row],[Quantity]])</f>
        <v>300000</v>
      </c>
      <c r="O1197" s="16">
        <f>PRODUCT(Table_13[[#This Row],[Cost Price]],Table_13[[#This Row],[Quantity]])</f>
        <v>240000</v>
      </c>
      <c r="P1197" s="27">
        <f t="shared" si="42"/>
        <v>60000</v>
      </c>
    </row>
    <row r="1198" spans="1:16" x14ac:dyDescent="0.2">
      <c r="A1198" s="33">
        <v>46872</v>
      </c>
      <c r="B1198" s="30">
        <f t="shared" si="41"/>
        <v>4</v>
      </c>
      <c r="C1198" s="30" t="str">
        <f>_xlfn.IFS(Table_13[[#This Row],[Month]]=1,"JAN",Table_13[[#This Row],[Month]]=2,"FEB",B1198=3,"MAR",B1198=4,"APR",B1198=5,"MAY",B1198=6,"JUN",B1198=7,"JUL",B1198=8,"AUG",Table_13[[#This Row],[Month]]=9,"SEPT",B1198=10,"OCT",B1198=11,"NOV",B1198=12,"DEC")</f>
        <v>APR</v>
      </c>
      <c r="D1198" s="2" t="s">
        <v>29</v>
      </c>
      <c r="E1198" s="2" t="s">
        <v>26</v>
      </c>
      <c r="F1198" s="2" t="s">
        <v>13</v>
      </c>
      <c r="G1198" s="2" t="s">
        <v>20</v>
      </c>
      <c r="H1198" s="2" t="s">
        <v>41</v>
      </c>
      <c r="I1198" s="2" t="s">
        <v>22</v>
      </c>
      <c r="J1198" s="15">
        <v>220000</v>
      </c>
      <c r="K1198" s="2">
        <v>7</v>
      </c>
      <c r="L1198" s="2" t="s">
        <v>39</v>
      </c>
      <c r="M1198" s="12">
        <f t="shared" si="36"/>
        <v>176000</v>
      </c>
      <c r="N1198" s="10">
        <f>PRODUCT(Table_13[[#This Row],[Unit Price]],Table_13[[#This Row],[Quantity]])</f>
        <v>1540000</v>
      </c>
      <c r="O1198" s="16">
        <f>PRODUCT(Table_13[[#This Row],[Cost Price]],Table_13[[#This Row],[Quantity]])</f>
        <v>1232000</v>
      </c>
      <c r="P1198" s="27">
        <f t="shared" si="42"/>
        <v>308000</v>
      </c>
    </row>
    <row r="1199" spans="1:16" x14ac:dyDescent="0.2">
      <c r="A1199" s="33">
        <v>46873</v>
      </c>
      <c r="B1199" s="30">
        <f t="shared" si="41"/>
        <v>4</v>
      </c>
      <c r="C1199" s="30" t="str">
        <f>_xlfn.IFS(Table_13[[#This Row],[Month]]=1,"JAN",Table_13[[#This Row],[Month]]=2,"FEB",B1199=3,"MAR",B1199=4,"APR",B1199=5,"MAY",B1199=6,"JUN",B1199=7,"JUL",B1199=8,"AUG",Table_13[[#This Row],[Month]]=9,"SEPT",B1199=10,"OCT",B1199=11,"NOV",B1199=12,"DEC")</f>
        <v>APR</v>
      </c>
      <c r="D1199" s="2" t="s">
        <v>18</v>
      </c>
      <c r="E1199" s="2" t="s">
        <v>19</v>
      </c>
      <c r="F1199" s="2" t="s">
        <v>23</v>
      </c>
      <c r="G1199" s="2" t="s">
        <v>20</v>
      </c>
      <c r="H1199" s="2" t="s">
        <v>15</v>
      </c>
      <c r="I1199" s="2" t="s">
        <v>16</v>
      </c>
      <c r="J1199" s="15">
        <v>85000</v>
      </c>
      <c r="K1199" s="2">
        <v>9</v>
      </c>
      <c r="L1199" s="2" t="s">
        <v>24</v>
      </c>
      <c r="M1199" s="12">
        <f t="shared" si="36"/>
        <v>68000</v>
      </c>
      <c r="N1199" s="10">
        <f>PRODUCT(Table_13[[#This Row],[Unit Price]],Table_13[[#This Row],[Quantity]])</f>
        <v>765000</v>
      </c>
      <c r="O1199" s="16">
        <f>PRODUCT(Table_13[[#This Row],[Cost Price]],Table_13[[#This Row],[Quantity]])</f>
        <v>612000</v>
      </c>
      <c r="P1199" s="27">
        <f t="shared" si="42"/>
        <v>153000</v>
      </c>
    </row>
    <row r="1200" spans="1:16" x14ac:dyDescent="0.2">
      <c r="A1200" s="33">
        <v>46874</v>
      </c>
      <c r="B1200" s="30">
        <f t="shared" si="41"/>
        <v>5</v>
      </c>
      <c r="C1200" s="30" t="str">
        <f>_xlfn.IFS(Table_13[[#This Row],[Month]]=1,"JAN",Table_13[[#This Row],[Month]]=2,"FEB",B1200=3,"MAR",B1200=4,"APR",B1200=5,"MAY",B1200=6,"JUN",B1200=7,"JUL",B1200=8,"AUG",Table_13[[#This Row],[Month]]=9,"SEPT",B1200=10,"OCT",B1200=11,"NOV",B1200=12,"DEC")</f>
        <v>MAY</v>
      </c>
      <c r="D1200" s="2" t="s">
        <v>18</v>
      </c>
      <c r="E1200" s="2" t="s">
        <v>19</v>
      </c>
      <c r="F1200" s="2" t="s">
        <v>13</v>
      </c>
      <c r="G1200" s="2" t="s">
        <v>14</v>
      </c>
      <c r="H1200" s="2" t="s">
        <v>15</v>
      </c>
      <c r="I1200" s="2" t="s">
        <v>16</v>
      </c>
      <c r="J1200" s="15">
        <v>85000</v>
      </c>
      <c r="K1200" s="2">
        <v>4</v>
      </c>
      <c r="L1200" s="2" t="s">
        <v>28</v>
      </c>
      <c r="M1200" s="12">
        <f t="shared" si="36"/>
        <v>68000</v>
      </c>
      <c r="N1200" s="10">
        <f>PRODUCT(Table_13[[#This Row],[Unit Price]],Table_13[[#This Row],[Quantity]])</f>
        <v>340000</v>
      </c>
      <c r="O1200" s="16">
        <f>PRODUCT(Table_13[[#This Row],[Cost Price]],Table_13[[#This Row],[Quantity]])</f>
        <v>272000</v>
      </c>
      <c r="P1200" s="27">
        <f t="shared" si="42"/>
        <v>68000</v>
      </c>
    </row>
    <row r="1201" spans="1:16" x14ac:dyDescent="0.2">
      <c r="A1201" s="33">
        <v>46875</v>
      </c>
      <c r="B1201" s="30">
        <f t="shared" si="41"/>
        <v>5</v>
      </c>
      <c r="C1201" s="30" t="str">
        <f>_xlfn.IFS(Table_13[[#This Row],[Month]]=1,"JAN",Table_13[[#This Row],[Month]]=2,"FEB",B1201=3,"MAR",B1201=4,"APR",B1201=5,"MAY",B1201=6,"JUN",B1201=7,"JUL",B1201=8,"AUG",Table_13[[#This Row],[Month]]=9,"SEPT",B1201=10,"OCT",B1201=11,"NOV",B1201=12,"DEC")</f>
        <v>MAY</v>
      </c>
      <c r="D1201" s="2" t="s">
        <v>18</v>
      </c>
      <c r="E1201" s="2" t="s">
        <v>32</v>
      </c>
      <c r="F1201" s="2" t="s">
        <v>13</v>
      </c>
      <c r="G1201" s="2" t="s">
        <v>20</v>
      </c>
      <c r="H1201" s="2" t="s">
        <v>27</v>
      </c>
      <c r="I1201" s="2" t="s">
        <v>22</v>
      </c>
      <c r="J1201" s="15">
        <v>60000</v>
      </c>
      <c r="K1201" s="2">
        <v>8</v>
      </c>
      <c r="L1201" s="2" t="s">
        <v>28</v>
      </c>
      <c r="M1201" s="12">
        <f t="shared" si="36"/>
        <v>48000</v>
      </c>
      <c r="N1201" s="10">
        <f>PRODUCT(Table_13[[#This Row],[Unit Price]],Table_13[[#This Row],[Quantity]])</f>
        <v>480000</v>
      </c>
      <c r="O1201" s="16">
        <f>PRODUCT(Table_13[[#This Row],[Cost Price]],Table_13[[#This Row],[Quantity]])</f>
        <v>384000</v>
      </c>
      <c r="P1201" s="27">
        <f t="shared" si="42"/>
        <v>96000</v>
      </c>
    </row>
    <row r="1202" spans="1:16" x14ac:dyDescent="0.2">
      <c r="A1202" s="33">
        <v>46876</v>
      </c>
      <c r="B1202" s="30">
        <f t="shared" si="41"/>
        <v>5</v>
      </c>
      <c r="C1202" s="30" t="str">
        <f>_xlfn.IFS(Table_13[[#This Row],[Month]]=1,"JAN",Table_13[[#This Row],[Month]]=2,"FEB",B1202=3,"MAR",B1202=4,"APR",B1202=5,"MAY",B1202=6,"JUN",B1202=7,"JUL",B1202=8,"AUG",Table_13[[#This Row],[Month]]=9,"SEPT",B1202=10,"OCT",B1202=11,"NOV",B1202=12,"DEC")</f>
        <v>MAY</v>
      </c>
      <c r="D1202" s="2" t="s">
        <v>25</v>
      </c>
      <c r="E1202" s="2" t="s">
        <v>19</v>
      </c>
      <c r="F1202" s="2" t="s">
        <v>23</v>
      </c>
      <c r="G1202" s="2" t="s">
        <v>20</v>
      </c>
      <c r="H1202" s="2" t="s">
        <v>36</v>
      </c>
      <c r="I1202" s="2" t="s">
        <v>31</v>
      </c>
      <c r="J1202" s="15">
        <v>150000</v>
      </c>
      <c r="K1202" s="2">
        <v>6</v>
      </c>
      <c r="L1202" s="2" t="s">
        <v>35</v>
      </c>
      <c r="M1202" s="12">
        <f t="shared" si="36"/>
        <v>120000</v>
      </c>
      <c r="N1202" s="10">
        <f>PRODUCT(Table_13[[#This Row],[Unit Price]],Table_13[[#This Row],[Quantity]])</f>
        <v>900000</v>
      </c>
      <c r="O1202" s="16">
        <f>PRODUCT(Table_13[[#This Row],[Cost Price]],Table_13[[#This Row],[Quantity]])</f>
        <v>720000</v>
      </c>
      <c r="P1202" s="27">
        <f t="shared" si="42"/>
        <v>180000</v>
      </c>
    </row>
    <row r="1203" spans="1:16" x14ac:dyDescent="0.2">
      <c r="A1203" s="33">
        <v>46877</v>
      </c>
      <c r="B1203" s="30">
        <f t="shared" si="41"/>
        <v>5</v>
      </c>
      <c r="C1203" s="30" t="str">
        <f>_xlfn.IFS(Table_13[[#This Row],[Month]]=1,"JAN",Table_13[[#This Row],[Month]]=2,"FEB",B1203=3,"MAR",B1203=4,"APR",B1203=5,"MAY",B1203=6,"JUN",B1203=7,"JUL",B1203=8,"AUG",Table_13[[#This Row],[Month]]=9,"SEPT",B1203=10,"OCT",B1203=11,"NOV",B1203=12,"DEC")</f>
        <v>MAY</v>
      </c>
      <c r="D1203" s="2" t="s">
        <v>18</v>
      </c>
      <c r="E1203" s="2" t="s">
        <v>26</v>
      </c>
      <c r="F1203" s="2" t="s">
        <v>23</v>
      </c>
      <c r="G1203" s="2" t="s">
        <v>14</v>
      </c>
      <c r="H1203" s="2" t="s">
        <v>15</v>
      </c>
      <c r="I1203" s="2" t="s">
        <v>16</v>
      </c>
      <c r="J1203" s="15">
        <v>85000</v>
      </c>
      <c r="K1203" s="2">
        <v>10</v>
      </c>
      <c r="L1203" s="2" t="s">
        <v>28</v>
      </c>
      <c r="M1203" s="12">
        <f t="shared" si="36"/>
        <v>68000</v>
      </c>
      <c r="N1203" s="10">
        <f>PRODUCT(Table_13[[#This Row],[Unit Price]],Table_13[[#This Row],[Quantity]])</f>
        <v>850000</v>
      </c>
      <c r="O1203" s="16">
        <f>PRODUCT(Table_13[[#This Row],[Cost Price]],Table_13[[#This Row],[Quantity]])</f>
        <v>680000</v>
      </c>
      <c r="P1203" s="27">
        <f t="shared" si="42"/>
        <v>170000</v>
      </c>
    </row>
    <row r="1204" spans="1:16" x14ac:dyDescent="0.2">
      <c r="A1204" s="33">
        <v>46878</v>
      </c>
      <c r="B1204" s="30">
        <f t="shared" si="41"/>
        <v>5</v>
      </c>
      <c r="C1204" s="30" t="str">
        <f>_xlfn.IFS(Table_13[[#This Row],[Month]]=1,"JAN",Table_13[[#This Row],[Month]]=2,"FEB",B1204=3,"MAR",B1204=4,"APR",B1204=5,"MAY",B1204=6,"JUN",B1204=7,"JUL",B1204=8,"AUG",Table_13[[#This Row],[Month]]=9,"SEPT",B1204=10,"OCT",B1204=11,"NOV",B1204=12,"DEC")</f>
        <v>MAY</v>
      </c>
      <c r="D1204" s="2" t="s">
        <v>11</v>
      </c>
      <c r="E1204" s="2" t="s">
        <v>19</v>
      </c>
      <c r="F1204" s="2" t="s">
        <v>23</v>
      </c>
      <c r="G1204" s="2" t="s">
        <v>20</v>
      </c>
      <c r="H1204" s="2" t="s">
        <v>15</v>
      </c>
      <c r="I1204" s="2" t="s">
        <v>16</v>
      </c>
      <c r="J1204" s="15">
        <v>85000</v>
      </c>
      <c r="K1204" s="2">
        <v>3</v>
      </c>
      <c r="L1204" s="2" t="s">
        <v>39</v>
      </c>
      <c r="M1204" s="12">
        <f t="shared" si="36"/>
        <v>68000</v>
      </c>
      <c r="N1204" s="10">
        <f>PRODUCT(Table_13[[#This Row],[Unit Price]],Table_13[[#This Row],[Quantity]])</f>
        <v>255000</v>
      </c>
      <c r="O1204" s="16">
        <f>PRODUCT(Table_13[[#This Row],[Cost Price]],Table_13[[#This Row],[Quantity]])</f>
        <v>204000</v>
      </c>
      <c r="P1204" s="27">
        <f t="shared" si="42"/>
        <v>51000</v>
      </c>
    </row>
    <row r="1205" spans="1:16" x14ac:dyDescent="0.2">
      <c r="A1205" s="33">
        <v>46879</v>
      </c>
      <c r="B1205" s="30">
        <f t="shared" si="41"/>
        <v>5</v>
      </c>
      <c r="C1205" s="30" t="str">
        <f>_xlfn.IFS(Table_13[[#This Row],[Month]]=1,"JAN",Table_13[[#This Row],[Month]]=2,"FEB",B1205=3,"MAR",B1205=4,"APR",B1205=5,"MAY",B1205=6,"JUN",B1205=7,"JUL",B1205=8,"AUG",Table_13[[#This Row],[Month]]=9,"SEPT",B1205=10,"OCT",B1205=11,"NOV",B1205=12,"DEC")</f>
        <v>MAY</v>
      </c>
      <c r="D1205" s="2" t="s">
        <v>11</v>
      </c>
      <c r="E1205" s="2" t="s">
        <v>26</v>
      </c>
      <c r="F1205" s="2" t="s">
        <v>23</v>
      </c>
      <c r="G1205" s="2" t="s">
        <v>14</v>
      </c>
      <c r="H1205" s="2" t="s">
        <v>30</v>
      </c>
      <c r="I1205" s="2" t="s">
        <v>31</v>
      </c>
      <c r="J1205" s="15">
        <v>300000</v>
      </c>
      <c r="K1205" s="2">
        <v>8</v>
      </c>
      <c r="L1205" s="2" t="s">
        <v>35</v>
      </c>
      <c r="M1205" s="12">
        <f t="shared" si="36"/>
        <v>240000</v>
      </c>
      <c r="N1205" s="10">
        <f>PRODUCT(Table_13[[#This Row],[Unit Price]],Table_13[[#This Row],[Quantity]])</f>
        <v>2400000</v>
      </c>
      <c r="O1205" s="16">
        <f>PRODUCT(Table_13[[#This Row],[Cost Price]],Table_13[[#This Row],[Quantity]])</f>
        <v>1920000</v>
      </c>
      <c r="P1205" s="27">
        <f t="shared" si="42"/>
        <v>480000</v>
      </c>
    </row>
    <row r="1206" spans="1:16" x14ac:dyDescent="0.2">
      <c r="A1206" s="33">
        <v>46880</v>
      </c>
      <c r="B1206" s="30">
        <f t="shared" si="41"/>
        <v>5</v>
      </c>
      <c r="C1206" s="30" t="str">
        <f>_xlfn.IFS(Table_13[[#This Row],[Month]]=1,"JAN",Table_13[[#This Row],[Month]]=2,"FEB",B1206=3,"MAR",B1206=4,"APR",B1206=5,"MAY",B1206=6,"JUN",B1206=7,"JUL",B1206=8,"AUG",Table_13[[#This Row],[Month]]=9,"SEPT",B1206=10,"OCT",B1206=11,"NOV",B1206=12,"DEC")</f>
        <v>MAY</v>
      </c>
      <c r="D1206" s="2" t="s">
        <v>11</v>
      </c>
      <c r="E1206" s="2" t="s">
        <v>12</v>
      </c>
      <c r="F1206" s="2" t="s">
        <v>23</v>
      </c>
      <c r="G1206" s="2" t="s">
        <v>14</v>
      </c>
      <c r="H1206" s="2" t="s">
        <v>38</v>
      </c>
      <c r="I1206" s="2" t="s">
        <v>31</v>
      </c>
      <c r="J1206" s="15">
        <v>420000</v>
      </c>
      <c r="K1206" s="2">
        <v>6</v>
      </c>
      <c r="L1206" s="2" t="s">
        <v>37</v>
      </c>
      <c r="M1206" s="12">
        <f t="shared" si="36"/>
        <v>336000</v>
      </c>
      <c r="N1206" s="10">
        <f>PRODUCT(Table_13[[#This Row],[Unit Price]],Table_13[[#This Row],[Quantity]])</f>
        <v>2520000</v>
      </c>
      <c r="O1206" s="16">
        <f>PRODUCT(Table_13[[#This Row],[Cost Price]],Table_13[[#This Row],[Quantity]])</f>
        <v>2016000</v>
      </c>
      <c r="P1206" s="27">
        <f t="shared" si="42"/>
        <v>504000</v>
      </c>
    </row>
    <row r="1207" spans="1:16" x14ac:dyDescent="0.2">
      <c r="A1207" s="33">
        <v>46881</v>
      </c>
      <c r="B1207" s="30">
        <f t="shared" si="41"/>
        <v>5</v>
      </c>
      <c r="C1207" s="30" t="str">
        <f>_xlfn.IFS(Table_13[[#This Row],[Month]]=1,"JAN",Table_13[[#This Row],[Month]]=2,"FEB",B1207=3,"MAR",B1207=4,"APR",B1207=5,"MAY",B1207=6,"JUN",B1207=7,"JUL",B1207=8,"AUG",Table_13[[#This Row],[Month]]=9,"SEPT",B1207=10,"OCT",B1207=11,"NOV",B1207=12,"DEC")</f>
        <v>MAY</v>
      </c>
      <c r="D1207" s="2" t="s">
        <v>25</v>
      </c>
      <c r="E1207" s="2" t="s">
        <v>26</v>
      </c>
      <c r="F1207" s="2" t="s">
        <v>23</v>
      </c>
      <c r="G1207" s="2" t="s">
        <v>14</v>
      </c>
      <c r="H1207" s="2" t="s">
        <v>40</v>
      </c>
      <c r="I1207" s="2" t="s">
        <v>31</v>
      </c>
      <c r="J1207" s="15">
        <v>250000</v>
      </c>
      <c r="K1207" s="2">
        <v>3</v>
      </c>
      <c r="L1207" s="2" t="s">
        <v>24</v>
      </c>
      <c r="M1207" s="12">
        <f t="shared" si="36"/>
        <v>200000</v>
      </c>
      <c r="N1207" s="10">
        <f>PRODUCT(Table_13[[#This Row],[Unit Price]],Table_13[[#This Row],[Quantity]])</f>
        <v>750000</v>
      </c>
      <c r="O1207" s="16">
        <f>PRODUCT(Table_13[[#This Row],[Cost Price]],Table_13[[#This Row],[Quantity]])</f>
        <v>600000</v>
      </c>
      <c r="P1207" s="27">
        <f t="shared" si="42"/>
        <v>150000</v>
      </c>
    </row>
    <row r="1208" spans="1:16" x14ac:dyDescent="0.2">
      <c r="A1208" s="33">
        <v>46882</v>
      </c>
      <c r="B1208" s="30">
        <f t="shared" si="41"/>
        <v>5</v>
      </c>
      <c r="C1208" s="30" t="str">
        <f>_xlfn.IFS(Table_13[[#This Row],[Month]]=1,"JAN",Table_13[[#This Row],[Month]]=2,"FEB",B1208=3,"MAR",B1208=4,"APR",B1208=5,"MAY",B1208=6,"JUN",B1208=7,"JUL",B1208=8,"AUG",Table_13[[#This Row],[Month]]=9,"SEPT",B1208=10,"OCT",B1208=11,"NOV",B1208=12,"DEC")</f>
        <v>MAY</v>
      </c>
      <c r="D1208" s="2" t="s">
        <v>11</v>
      </c>
      <c r="E1208" s="2" t="s">
        <v>32</v>
      </c>
      <c r="F1208" s="2" t="s">
        <v>13</v>
      </c>
      <c r="G1208" s="2" t="s">
        <v>20</v>
      </c>
      <c r="H1208" s="2" t="s">
        <v>40</v>
      </c>
      <c r="I1208" s="2" t="s">
        <v>31</v>
      </c>
      <c r="J1208" s="15">
        <v>250000</v>
      </c>
      <c r="K1208" s="2">
        <v>8</v>
      </c>
      <c r="L1208" s="2" t="s">
        <v>28</v>
      </c>
      <c r="M1208" s="12">
        <f t="shared" si="36"/>
        <v>200000</v>
      </c>
      <c r="N1208" s="10">
        <f>PRODUCT(Table_13[[#This Row],[Unit Price]],Table_13[[#This Row],[Quantity]])</f>
        <v>2000000</v>
      </c>
      <c r="O1208" s="16">
        <f>PRODUCT(Table_13[[#This Row],[Cost Price]],Table_13[[#This Row],[Quantity]])</f>
        <v>1600000</v>
      </c>
      <c r="P1208" s="27">
        <f t="shared" si="42"/>
        <v>400000</v>
      </c>
    </row>
    <row r="1209" spans="1:16" x14ac:dyDescent="0.2">
      <c r="A1209" s="33">
        <v>46883</v>
      </c>
      <c r="B1209" s="30">
        <f t="shared" si="41"/>
        <v>5</v>
      </c>
      <c r="C1209" s="30" t="str">
        <f>_xlfn.IFS(Table_13[[#This Row],[Month]]=1,"JAN",Table_13[[#This Row],[Month]]=2,"FEB",B1209=3,"MAR",B1209=4,"APR",B1209=5,"MAY",B1209=6,"JUN",B1209=7,"JUL",B1209=8,"AUG",Table_13[[#This Row],[Month]]=9,"SEPT",B1209=10,"OCT",B1209=11,"NOV",B1209=12,"DEC")</f>
        <v>MAY</v>
      </c>
      <c r="D1209" s="2" t="s">
        <v>29</v>
      </c>
      <c r="E1209" s="2" t="s">
        <v>19</v>
      </c>
      <c r="F1209" s="2" t="s">
        <v>23</v>
      </c>
      <c r="G1209" s="2" t="s">
        <v>14</v>
      </c>
      <c r="H1209" s="2" t="s">
        <v>15</v>
      </c>
      <c r="I1209" s="2" t="s">
        <v>16</v>
      </c>
      <c r="J1209" s="15">
        <v>85000</v>
      </c>
      <c r="K1209" s="2">
        <v>3</v>
      </c>
      <c r="L1209" s="2" t="s">
        <v>28</v>
      </c>
      <c r="M1209" s="12">
        <f t="shared" si="36"/>
        <v>68000</v>
      </c>
      <c r="N1209" s="10">
        <f>PRODUCT(Table_13[[#This Row],[Unit Price]],Table_13[[#This Row],[Quantity]])</f>
        <v>255000</v>
      </c>
      <c r="O1209" s="16">
        <f>PRODUCT(Table_13[[#This Row],[Cost Price]],Table_13[[#This Row],[Quantity]])</f>
        <v>204000</v>
      </c>
      <c r="P1209" s="27">
        <f t="shared" si="42"/>
        <v>51000</v>
      </c>
    </row>
    <row r="1210" spans="1:16" x14ac:dyDescent="0.2">
      <c r="A1210" s="33">
        <v>46884</v>
      </c>
      <c r="B1210" s="30">
        <f t="shared" si="41"/>
        <v>5</v>
      </c>
      <c r="C1210" s="30" t="str">
        <f>_xlfn.IFS(Table_13[[#This Row],[Month]]=1,"JAN",Table_13[[#This Row],[Month]]=2,"FEB",B1210=3,"MAR",B1210=4,"APR",B1210=5,"MAY",B1210=6,"JUN",B1210=7,"JUL",B1210=8,"AUG",Table_13[[#This Row],[Month]]=9,"SEPT",B1210=10,"OCT",B1210=11,"NOV",B1210=12,"DEC")</f>
        <v>MAY</v>
      </c>
      <c r="D1210" s="2" t="s">
        <v>29</v>
      </c>
      <c r="E1210" s="2" t="s">
        <v>32</v>
      </c>
      <c r="F1210" s="2" t="s">
        <v>23</v>
      </c>
      <c r="G1210" s="2" t="s">
        <v>14</v>
      </c>
      <c r="H1210" s="2" t="s">
        <v>21</v>
      </c>
      <c r="I1210" s="2" t="s">
        <v>22</v>
      </c>
      <c r="J1210" s="15">
        <v>30000</v>
      </c>
      <c r="K1210" s="2">
        <v>7</v>
      </c>
      <c r="L1210" s="2" t="s">
        <v>28</v>
      </c>
      <c r="M1210" s="12">
        <f t="shared" si="36"/>
        <v>24000</v>
      </c>
      <c r="N1210" s="10">
        <f>PRODUCT(Table_13[[#This Row],[Unit Price]],Table_13[[#This Row],[Quantity]])</f>
        <v>210000</v>
      </c>
      <c r="O1210" s="16">
        <f>PRODUCT(Table_13[[#This Row],[Cost Price]],Table_13[[#This Row],[Quantity]])</f>
        <v>168000</v>
      </c>
      <c r="P1210" s="27">
        <f t="shared" si="42"/>
        <v>42000</v>
      </c>
    </row>
    <row r="1211" spans="1:16" x14ac:dyDescent="0.2">
      <c r="A1211" s="33">
        <v>46885</v>
      </c>
      <c r="B1211" s="30">
        <f t="shared" si="41"/>
        <v>5</v>
      </c>
      <c r="C1211" s="30" t="str">
        <f>_xlfn.IFS(Table_13[[#This Row],[Month]]=1,"JAN",Table_13[[#This Row],[Month]]=2,"FEB",B1211=3,"MAR",B1211=4,"APR",B1211=5,"MAY",B1211=6,"JUN",B1211=7,"JUL",B1211=8,"AUG",Table_13[[#This Row],[Month]]=9,"SEPT",B1211=10,"OCT",B1211=11,"NOV",B1211=12,"DEC")</f>
        <v>MAY</v>
      </c>
      <c r="D1211" s="2" t="s">
        <v>18</v>
      </c>
      <c r="E1211" s="2" t="s">
        <v>26</v>
      </c>
      <c r="F1211" s="2" t="s">
        <v>13</v>
      </c>
      <c r="G1211" s="2" t="s">
        <v>20</v>
      </c>
      <c r="H1211" s="2" t="s">
        <v>27</v>
      </c>
      <c r="I1211" s="2" t="s">
        <v>22</v>
      </c>
      <c r="J1211" s="15">
        <v>60000</v>
      </c>
      <c r="K1211" s="2">
        <v>7</v>
      </c>
      <c r="L1211" s="2" t="s">
        <v>35</v>
      </c>
      <c r="M1211" s="12">
        <f t="shared" si="36"/>
        <v>48000</v>
      </c>
      <c r="N1211" s="10">
        <f>PRODUCT(Table_13[[#This Row],[Unit Price]],Table_13[[#This Row],[Quantity]])</f>
        <v>420000</v>
      </c>
      <c r="O1211" s="16">
        <f>PRODUCT(Table_13[[#This Row],[Cost Price]],Table_13[[#This Row],[Quantity]])</f>
        <v>336000</v>
      </c>
      <c r="P1211" s="27">
        <f t="shared" si="42"/>
        <v>84000</v>
      </c>
    </row>
    <row r="1212" spans="1:16" x14ac:dyDescent="0.2">
      <c r="A1212" s="33">
        <v>46886</v>
      </c>
      <c r="B1212" s="30">
        <f t="shared" si="41"/>
        <v>5</v>
      </c>
      <c r="C1212" s="30" t="str">
        <f>_xlfn.IFS(Table_13[[#This Row],[Month]]=1,"JAN",Table_13[[#This Row],[Month]]=2,"FEB",B1212=3,"MAR",B1212=4,"APR",B1212=5,"MAY",B1212=6,"JUN",B1212=7,"JUL",B1212=8,"AUG",Table_13[[#This Row],[Month]]=9,"SEPT",B1212=10,"OCT",B1212=11,"NOV",B1212=12,"DEC")</f>
        <v>MAY</v>
      </c>
      <c r="D1212" s="2" t="s">
        <v>25</v>
      </c>
      <c r="E1212" s="2" t="s">
        <v>12</v>
      </c>
      <c r="F1212" s="2" t="s">
        <v>13</v>
      </c>
      <c r="G1212" s="2" t="s">
        <v>20</v>
      </c>
      <c r="H1212" s="2" t="s">
        <v>41</v>
      </c>
      <c r="I1212" s="2" t="s">
        <v>22</v>
      </c>
      <c r="J1212" s="15">
        <v>220000</v>
      </c>
      <c r="K1212" s="2">
        <v>10</v>
      </c>
      <c r="L1212" s="2" t="s">
        <v>24</v>
      </c>
      <c r="M1212" s="12">
        <f t="shared" si="36"/>
        <v>176000</v>
      </c>
      <c r="N1212" s="10">
        <f>PRODUCT(Table_13[[#This Row],[Unit Price]],Table_13[[#This Row],[Quantity]])</f>
        <v>2200000</v>
      </c>
      <c r="O1212" s="16">
        <f>PRODUCT(Table_13[[#This Row],[Cost Price]],Table_13[[#This Row],[Quantity]])</f>
        <v>1760000</v>
      </c>
      <c r="P1212" s="27">
        <f t="shared" si="42"/>
        <v>440000</v>
      </c>
    </row>
    <row r="1213" spans="1:16" x14ac:dyDescent="0.2">
      <c r="A1213" s="33">
        <v>46887</v>
      </c>
      <c r="B1213" s="30">
        <f t="shared" si="41"/>
        <v>5</v>
      </c>
      <c r="C1213" s="30" t="str">
        <f>_xlfn.IFS(Table_13[[#This Row],[Month]]=1,"JAN",Table_13[[#This Row],[Month]]=2,"FEB",B1213=3,"MAR",B1213=4,"APR",B1213=5,"MAY",B1213=6,"JUN",B1213=7,"JUL",B1213=8,"AUG",Table_13[[#This Row],[Month]]=9,"SEPT",B1213=10,"OCT",B1213=11,"NOV",B1213=12,"DEC")</f>
        <v>MAY</v>
      </c>
      <c r="D1213" s="2" t="s">
        <v>25</v>
      </c>
      <c r="E1213" s="2" t="s">
        <v>19</v>
      </c>
      <c r="F1213" s="2" t="s">
        <v>13</v>
      </c>
      <c r="G1213" s="2" t="s">
        <v>20</v>
      </c>
      <c r="H1213" s="2" t="s">
        <v>40</v>
      </c>
      <c r="I1213" s="2" t="s">
        <v>31</v>
      </c>
      <c r="J1213" s="15">
        <v>250000</v>
      </c>
      <c r="K1213" s="2">
        <v>5</v>
      </c>
      <c r="L1213" s="2" t="s">
        <v>39</v>
      </c>
      <c r="M1213" s="12">
        <f t="shared" si="36"/>
        <v>200000</v>
      </c>
      <c r="N1213" s="10">
        <f>PRODUCT(Table_13[[#This Row],[Unit Price]],Table_13[[#This Row],[Quantity]])</f>
        <v>1250000</v>
      </c>
      <c r="O1213" s="16">
        <f>PRODUCT(Table_13[[#This Row],[Cost Price]],Table_13[[#This Row],[Quantity]])</f>
        <v>1000000</v>
      </c>
      <c r="P1213" s="27">
        <f t="shared" si="42"/>
        <v>250000</v>
      </c>
    </row>
    <row r="1214" spans="1:16" x14ac:dyDescent="0.2">
      <c r="A1214" s="33">
        <v>46888</v>
      </c>
      <c r="B1214" s="30">
        <f t="shared" si="41"/>
        <v>5</v>
      </c>
      <c r="C1214" s="30" t="str">
        <f>_xlfn.IFS(Table_13[[#This Row],[Month]]=1,"JAN",Table_13[[#This Row],[Month]]=2,"FEB",B1214=3,"MAR",B1214=4,"APR",B1214=5,"MAY",B1214=6,"JUN",B1214=7,"JUL",B1214=8,"AUG",Table_13[[#This Row],[Month]]=9,"SEPT",B1214=10,"OCT",B1214=11,"NOV",B1214=12,"DEC")</f>
        <v>MAY</v>
      </c>
      <c r="D1214" s="2" t="s">
        <v>25</v>
      </c>
      <c r="E1214" s="2" t="s">
        <v>32</v>
      </c>
      <c r="F1214" s="2" t="s">
        <v>13</v>
      </c>
      <c r="G1214" s="2" t="s">
        <v>14</v>
      </c>
      <c r="H1214" s="2" t="s">
        <v>15</v>
      </c>
      <c r="I1214" s="2" t="s">
        <v>16</v>
      </c>
      <c r="J1214" s="15">
        <v>85000</v>
      </c>
      <c r="K1214" s="2">
        <v>7</v>
      </c>
      <c r="L1214" s="2" t="s">
        <v>39</v>
      </c>
      <c r="M1214" s="12">
        <f t="shared" si="36"/>
        <v>68000</v>
      </c>
      <c r="N1214" s="10">
        <f>PRODUCT(Table_13[[#This Row],[Unit Price]],Table_13[[#This Row],[Quantity]])</f>
        <v>595000</v>
      </c>
      <c r="O1214" s="16">
        <f>PRODUCT(Table_13[[#This Row],[Cost Price]],Table_13[[#This Row],[Quantity]])</f>
        <v>476000</v>
      </c>
      <c r="P1214" s="27">
        <f t="shared" si="42"/>
        <v>119000</v>
      </c>
    </row>
    <row r="1215" spans="1:16" x14ac:dyDescent="0.2">
      <c r="A1215" s="33">
        <v>46889</v>
      </c>
      <c r="B1215" s="30">
        <f t="shared" si="41"/>
        <v>5</v>
      </c>
      <c r="C1215" s="30" t="str">
        <f>_xlfn.IFS(Table_13[[#This Row],[Month]]=1,"JAN",Table_13[[#This Row],[Month]]=2,"FEB",B1215=3,"MAR",B1215=4,"APR",B1215=5,"MAY",B1215=6,"JUN",B1215=7,"JUL",B1215=8,"AUG",Table_13[[#This Row],[Month]]=9,"SEPT",B1215=10,"OCT",B1215=11,"NOV",B1215=12,"DEC")</f>
        <v>MAY</v>
      </c>
      <c r="D1215" s="2" t="s">
        <v>11</v>
      </c>
      <c r="E1215" s="2" t="s">
        <v>19</v>
      </c>
      <c r="F1215" s="2" t="s">
        <v>23</v>
      </c>
      <c r="G1215" s="2" t="s">
        <v>14</v>
      </c>
      <c r="H1215" s="2" t="s">
        <v>36</v>
      </c>
      <c r="I1215" s="2" t="s">
        <v>31</v>
      </c>
      <c r="J1215" s="15">
        <v>150000</v>
      </c>
      <c r="K1215" s="2">
        <v>4</v>
      </c>
      <c r="L1215" s="2" t="s">
        <v>28</v>
      </c>
      <c r="M1215" s="12">
        <f t="shared" si="36"/>
        <v>120000</v>
      </c>
      <c r="N1215" s="10">
        <f>PRODUCT(Table_13[[#This Row],[Unit Price]],Table_13[[#This Row],[Quantity]])</f>
        <v>600000</v>
      </c>
      <c r="O1215" s="16">
        <f>PRODUCT(Table_13[[#This Row],[Cost Price]],Table_13[[#This Row],[Quantity]])</f>
        <v>480000</v>
      </c>
      <c r="P1215" s="27">
        <f t="shared" si="42"/>
        <v>120000</v>
      </c>
    </row>
    <row r="1216" spans="1:16" x14ac:dyDescent="0.2">
      <c r="A1216" s="33">
        <v>46890</v>
      </c>
      <c r="B1216" s="30">
        <f t="shared" si="41"/>
        <v>5</v>
      </c>
      <c r="C1216" s="30" t="str">
        <f>_xlfn.IFS(Table_13[[#This Row],[Month]]=1,"JAN",Table_13[[#This Row],[Month]]=2,"FEB",B1216=3,"MAR",B1216=4,"APR",B1216=5,"MAY",B1216=6,"JUN",B1216=7,"JUL",B1216=8,"AUG",Table_13[[#This Row],[Month]]=9,"SEPT",B1216=10,"OCT",B1216=11,"NOV",B1216=12,"DEC")</f>
        <v>MAY</v>
      </c>
      <c r="D1216" s="2" t="s">
        <v>25</v>
      </c>
      <c r="E1216" s="2" t="s">
        <v>32</v>
      </c>
      <c r="F1216" s="2" t="s">
        <v>13</v>
      </c>
      <c r="G1216" s="2" t="s">
        <v>14</v>
      </c>
      <c r="H1216" s="2" t="s">
        <v>38</v>
      </c>
      <c r="I1216" s="2" t="s">
        <v>31</v>
      </c>
      <c r="J1216" s="15">
        <v>420000</v>
      </c>
      <c r="K1216" s="2">
        <v>5</v>
      </c>
      <c r="L1216" s="2" t="s">
        <v>24</v>
      </c>
      <c r="M1216" s="12">
        <f t="shared" si="36"/>
        <v>336000</v>
      </c>
      <c r="N1216" s="10">
        <f>PRODUCT(Table_13[[#This Row],[Unit Price]],Table_13[[#This Row],[Quantity]])</f>
        <v>2100000</v>
      </c>
      <c r="O1216" s="16">
        <f>PRODUCT(Table_13[[#This Row],[Cost Price]],Table_13[[#This Row],[Quantity]])</f>
        <v>1680000</v>
      </c>
      <c r="P1216" s="27">
        <f t="shared" si="42"/>
        <v>420000</v>
      </c>
    </row>
    <row r="1217" spans="1:16" x14ac:dyDescent="0.2">
      <c r="A1217" s="33">
        <v>46891</v>
      </c>
      <c r="B1217" s="30">
        <f t="shared" si="41"/>
        <v>5</v>
      </c>
      <c r="C1217" s="30" t="str">
        <f>_xlfn.IFS(Table_13[[#This Row],[Month]]=1,"JAN",Table_13[[#This Row],[Month]]=2,"FEB",B1217=3,"MAR",B1217=4,"APR",B1217=5,"MAY",B1217=6,"JUN",B1217=7,"JUL",B1217=8,"AUG",Table_13[[#This Row],[Month]]=9,"SEPT",B1217=10,"OCT",B1217=11,"NOV",B1217=12,"DEC")</f>
        <v>MAY</v>
      </c>
      <c r="D1217" s="2" t="s">
        <v>18</v>
      </c>
      <c r="E1217" s="2" t="s">
        <v>26</v>
      </c>
      <c r="F1217" s="2" t="s">
        <v>13</v>
      </c>
      <c r="G1217" s="2" t="s">
        <v>14</v>
      </c>
      <c r="H1217" s="2" t="s">
        <v>27</v>
      </c>
      <c r="I1217" s="2" t="s">
        <v>22</v>
      </c>
      <c r="J1217" s="15">
        <v>60000</v>
      </c>
      <c r="K1217" s="2">
        <v>5</v>
      </c>
      <c r="L1217" s="2" t="s">
        <v>17</v>
      </c>
      <c r="M1217" s="12">
        <f t="shared" si="36"/>
        <v>48000</v>
      </c>
      <c r="N1217" s="10">
        <f>PRODUCT(Table_13[[#This Row],[Unit Price]],Table_13[[#This Row],[Quantity]])</f>
        <v>300000</v>
      </c>
      <c r="O1217" s="16">
        <f>PRODUCT(Table_13[[#This Row],[Cost Price]],Table_13[[#This Row],[Quantity]])</f>
        <v>240000</v>
      </c>
      <c r="P1217" s="27">
        <f t="shared" si="42"/>
        <v>60000</v>
      </c>
    </row>
    <row r="1218" spans="1:16" x14ac:dyDescent="0.2">
      <c r="A1218" s="33">
        <v>46892</v>
      </c>
      <c r="B1218" s="30">
        <f t="shared" ref="B1218:B1281" si="43">MONTH(A1218)</f>
        <v>5</v>
      </c>
      <c r="C1218" s="30" t="str">
        <f>_xlfn.IFS(Table_13[[#This Row],[Month]]=1,"JAN",Table_13[[#This Row],[Month]]=2,"FEB",B1218=3,"MAR",B1218=4,"APR",B1218=5,"MAY",B1218=6,"JUN",B1218=7,"JUL",B1218=8,"AUG",Table_13[[#This Row],[Month]]=9,"SEPT",B1218=10,"OCT",B1218=11,"NOV",B1218=12,"DEC")</f>
        <v>MAY</v>
      </c>
      <c r="D1218" s="2" t="s">
        <v>25</v>
      </c>
      <c r="E1218" s="2" t="s">
        <v>12</v>
      </c>
      <c r="F1218" s="2" t="s">
        <v>23</v>
      </c>
      <c r="G1218" s="2" t="s">
        <v>14</v>
      </c>
      <c r="H1218" s="2" t="s">
        <v>40</v>
      </c>
      <c r="I1218" s="2" t="s">
        <v>31</v>
      </c>
      <c r="J1218" s="15">
        <v>250000</v>
      </c>
      <c r="K1218" s="2">
        <v>10</v>
      </c>
      <c r="L1218" s="2" t="s">
        <v>24</v>
      </c>
      <c r="M1218" s="12">
        <f t="shared" si="36"/>
        <v>200000</v>
      </c>
      <c r="N1218" s="10">
        <f>PRODUCT(Table_13[[#This Row],[Unit Price]],Table_13[[#This Row],[Quantity]])</f>
        <v>2500000</v>
      </c>
      <c r="O1218" s="16">
        <f>PRODUCT(Table_13[[#This Row],[Cost Price]],Table_13[[#This Row],[Quantity]])</f>
        <v>2000000</v>
      </c>
      <c r="P1218" s="27">
        <f t="shared" ref="P1218:P1281" si="44">N1218-O1218</f>
        <v>500000</v>
      </c>
    </row>
    <row r="1219" spans="1:16" x14ac:dyDescent="0.2">
      <c r="A1219" s="33">
        <v>46893</v>
      </c>
      <c r="B1219" s="30">
        <f t="shared" si="43"/>
        <v>5</v>
      </c>
      <c r="C1219" s="30" t="str">
        <f>_xlfn.IFS(Table_13[[#This Row],[Month]]=1,"JAN",Table_13[[#This Row],[Month]]=2,"FEB",B1219=3,"MAR",B1219=4,"APR",B1219=5,"MAY",B1219=6,"JUN",B1219=7,"JUL",B1219=8,"AUG",Table_13[[#This Row],[Month]]=9,"SEPT",B1219=10,"OCT",B1219=11,"NOV",B1219=12,"DEC")</f>
        <v>MAY</v>
      </c>
      <c r="D1219" s="2" t="s">
        <v>11</v>
      </c>
      <c r="E1219" s="2" t="s">
        <v>19</v>
      </c>
      <c r="F1219" s="2" t="s">
        <v>13</v>
      </c>
      <c r="G1219" s="2" t="s">
        <v>14</v>
      </c>
      <c r="H1219" s="2" t="s">
        <v>27</v>
      </c>
      <c r="I1219" s="2" t="s">
        <v>22</v>
      </c>
      <c r="J1219" s="15">
        <v>60000</v>
      </c>
      <c r="K1219" s="2">
        <v>3</v>
      </c>
      <c r="L1219" s="2" t="s">
        <v>24</v>
      </c>
      <c r="M1219" s="12">
        <f t="shared" si="36"/>
        <v>48000</v>
      </c>
      <c r="N1219" s="10">
        <f>PRODUCT(Table_13[[#This Row],[Unit Price]],Table_13[[#This Row],[Quantity]])</f>
        <v>180000</v>
      </c>
      <c r="O1219" s="16">
        <f>PRODUCT(Table_13[[#This Row],[Cost Price]],Table_13[[#This Row],[Quantity]])</f>
        <v>144000</v>
      </c>
      <c r="P1219" s="27">
        <f t="shared" si="44"/>
        <v>36000</v>
      </c>
    </row>
    <row r="1220" spans="1:16" x14ac:dyDescent="0.2">
      <c r="A1220" s="33">
        <v>46894</v>
      </c>
      <c r="B1220" s="30">
        <f t="shared" si="43"/>
        <v>5</v>
      </c>
      <c r="C1220" s="30" t="str">
        <f>_xlfn.IFS(Table_13[[#This Row],[Month]]=1,"JAN",Table_13[[#This Row],[Month]]=2,"FEB",B1220=3,"MAR",B1220=4,"APR",B1220=5,"MAY",B1220=6,"JUN",B1220=7,"JUL",B1220=8,"AUG",Table_13[[#This Row],[Month]]=9,"SEPT",B1220=10,"OCT",B1220=11,"NOV",B1220=12,"DEC")</f>
        <v>MAY</v>
      </c>
      <c r="D1220" s="2" t="s">
        <v>11</v>
      </c>
      <c r="E1220" s="2" t="s">
        <v>32</v>
      </c>
      <c r="F1220" s="2" t="s">
        <v>23</v>
      </c>
      <c r="G1220" s="2" t="s">
        <v>14</v>
      </c>
      <c r="H1220" s="2" t="s">
        <v>41</v>
      </c>
      <c r="I1220" s="2" t="s">
        <v>22</v>
      </c>
      <c r="J1220" s="15">
        <v>220000</v>
      </c>
      <c r="K1220" s="2">
        <v>5</v>
      </c>
      <c r="L1220" s="2" t="s">
        <v>37</v>
      </c>
      <c r="M1220" s="12">
        <f t="shared" si="36"/>
        <v>176000</v>
      </c>
      <c r="N1220" s="10">
        <f>PRODUCT(Table_13[[#This Row],[Unit Price]],Table_13[[#This Row],[Quantity]])</f>
        <v>1100000</v>
      </c>
      <c r="O1220" s="16">
        <f>PRODUCT(Table_13[[#This Row],[Cost Price]],Table_13[[#This Row],[Quantity]])</f>
        <v>880000</v>
      </c>
      <c r="P1220" s="27">
        <f t="shared" si="44"/>
        <v>220000</v>
      </c>
    </row>
    <row r="1221" spans="1:16" x14ac:dyDescent="0.2">
      <c r="A1221" s="33">
        <v>46895</v>
      </c>
      <c r="B1221" s="30">
        <f t="shared" si="43"/>
        <v>5</v>
      </c>
      <c r="C1221" s="30" t="str">
        <f>_xlfn.IFS(Table_13[[#This Row],[Month]]=1,"JAN",Table_13[[#This Row],[Month]]=2,"FEB",B1221=3,"MAR",B1221=4,"APR",B1221=5,"MAY",B1221=6,"JUN",B1221=7,"JUL",B1221=8,"AUG",Table_13[[#This Row],[Month]]=9,"SEPT",B1221=10,"OCT",B1221=11,"NOV",B1221=12,"DEC")</f>
        <v>MAY</v>
      </c>
      <c r="D1221" s="2" t="s">
        <v>25</v>
      </c>
      <c r="E1221" s="2" t="s">
        <v>12</v>
      </c>
      <c r="F1221" s="2" t="s">
        <v>23</v>
      </c>
      <c r="G1221" s="2" t="s">
        <v>20</v>
      </c>
      <c r="H1221" s="2" t="s">
        <v>38</v>
      </c>
      <c r="I1221" s="2" t="s">
        <v>31</v>
      </c>
      <c r="J1221" s="15">
        <v>420000</v>
      </c>
      <c r="K1221" s="2">
        <v>3</v>
      </c>
      <c r="L1221" s="2" t="s">
        <v>28</v>
      </c>
      <c r="M1221" s="12">
        <f t="shared" si="36"/>
        <v>336000</v>
      </c>
      <c r="N1221" s="10">
        <f>PRODUCT(Table_13[[#This Row],[Unit Price]],Table_13[[#This Row],[Quantity]])</f>
        <v>1260000</v>
      </c>
      <c r="O1221" s="16">
        <f>PRODUCT(Table_13[[#This Row],[Cost Price]],Table_13[[#This Row],[Quantity]])</f>
        <v>1008000</v>
      </c>
      <c r="P1221" s="27">
        <f t="shared" si="44"/>
        <v>252000</v>
      </c>
    </row>
    <row r="1222" spans="1:16" x14ac:dyDescent="0.2">
      <c r="A1222" s="33">
        <v>46896</v>
      </c>
      <c r="B1222" s="30">
        <f t="shared" si="43"/>
        <v>5</v>
      </c>
      <c r="C1222" s="30" t="str">
        <f>_xlfn.IFS(Table_13[[#This Row],[Month]]=1,"JAN",Table_13[[#This Row],[Month]]=2,"FEB",B1222=3,"MAR",B1222=4,"APR",B1222=5,"MAY",B1222=6,"JUN",B1222=7,"JUL",B1222=8,"AUG",Table_13[[#This Row],[Month]]=9,"SEPT",B1222=10,"OCT",B1222=11,"NOV",B1222=12,"DEC")</f>
        <v>MAY</v>
      </c>
      <c r="D1222" s="2" t="s">
        <v>11</v>
      </c>
      <c r="E1222" s="2" t="s">
        <v>19</v>
      </c>
      <c r="F1222" s="2" t="s">
        <v>23</v>
      </c>
      <c r="G1222" s="2" t="s">
        <v>20</v>
      </c>
      <c r="H1222" s="2" t="s">
        <v>27</v>
      </c>
      <c r="I1222" s="2" t="s">
        <v>22</v>
      </c>
      <c r="J1222" s="15">
        <v>60000</v>
      </c>
      <c r="K1222" s="2">
        <v>7</v>
      </c>
      <c r="L1222" s="2" t="s">
        <v>35</v>
      </c>
      <c r="M1222" s="12">
        <f t="shared" si="36"/>
        <v>48000</v>
      </c>
      <c r="N1222" s="10">
        <f>PRODUCT(Table_13[[#This Row],[Unit Price]],Table_13[[#This Row],[Quantity]])</f>
        <v>420000</v>
      </c>
      <c r="O1222" s="16">
        <f>PRODUCT(Table_13[[#This Row],[Cost Price]],Table_13[[#This Row],[Quantity]])</f>
        <v>336000</v>
      </c>
      <c r="P1222" s="27">
        <f t="shared" si="44"/>
        <v>84000</v>
      </c>
    </row>
    <row r="1223" spans="1:16" x14ac:dyDescent="0.2">
      <c r="A1223" s="33">
        <v>46897</v>
      </c>
      <c r="B1223" s="30">
        <f t="shared" si="43"/>
        <v>5</v>
      </c>
      <c r="C1223" s="30" t="str">
        <f>_xlfn.IFS(Table_13[[#This Row],[Month]]=1,"JAN",Table_13[[#This Row],[Month]]=2,"FEB",B1223=3,"MAR",B1223=4,"APR",B1223=5,"MAY",B1223=6,"JUN",B1223=7,"JUL",B1223=8,"AUG",Table_13[[#This Row],[Month]]=9,"SEPT",B1223=10,"OCT",B1223=11,"NOV",B1223=12,"DEC")</f>
        <v>MAY</v>
      </c>
      <c r="D1223" s="2" t="s">
        <v>11</v>
      </c>
      <c r="E1223" s="2" t="s">
        <v>12</v>
      </c>
      <c r="F1223" s="2" t="s">
        <v>13</v>
      </c>
      <c r="G1223" s="2" t="s">
        <v>14</v>
      </c>
      <c r="H1223" s="2" t="s">
        <v>41</v>
      </c>
      <c r="I1223" s="2" t="s">
        <v>22</v>
      </c>
      <c r="J1223" s="15">
        <v>220000</v>
      </c>
      <c r="K1223" s="2">
        <v>8</v>
      </c>
      <c r="L1223" s="2" t="s">
        <v>28</v>
      </c>
      <c r="M1223" s="12">
        <f t="shared" si="36"/>
        <v>176000</v>
      </c>
      <c r="N1223" s="10">
        <f>PRODUCT(Table_13[[#This Row],[Unit Price]],Table_13[[#This Row],[Quantity]])</f>
        <v>1760000</v>
      </c>
      <c r="O1223" s="16">
        <f>PRODUCT(Table_13[[#This Row],[Cost Price]],Table_13[[#This Row],[Quantity]])</f>
        <v>1408000</v>
      </c>
      <c r="P1223" s="27">
        <f t="shared" si="44"/>
        <v>352000</v>
      </c>
    </row>
    <row r="1224" spans="1:16" x14ac:dyDescent="0.2">
      <c r="A1224" s="33">
        <v>46898</v>
      </c>
      <c r="B1224" s="30">
        <f t="shared" si="43"/>
        <v>5</v>
      </c>
      <c r="C1224" s="30" t="str">
        <f>_xlfn.IFS(Table_13[[#This Row],[Month]]=1,"JAN",Table_13[[#This Row],[Month]]=2,"FEB",B1224=3,"MAR",B1224=4,"APR",B1224=5,"MAY",B1224=6,"JUN",B1224=7,"JUL",B1224=8,"AUG",Table_13[[#This Row],[Month]]=9,"SEPT",B1224=10,"OCT",B1224=11,"NOV",B1224=12,"DEC")</f>
        <v>MAY</v>
      </c>
      <c r="D1224" s="2" t="s">
        <v>11</v>
      </c>
      <c r="E1224" s="2" t="s">
        <v>32</v>
      </c>
      <c r="F1224" s="2" t="s">
        <v>23</v>
      </c>
      <c r="G1224" s="2" t="s">
        <v>20</v>
      </c>
      <c r="H1224" s="2" t="s">
        <v>40</v>
      </c>
      <c r="I1224" s="2" t="s">
        <v>31</v>
      </c>
      <c r="J1224" s="15">
        <v>250000</v>
      </c>
      <c r="K1224" s="2">
        <v>6</v>
      </c>
      <c r="L1224" s="2" t="s">
        <v>37</v>
      </c>
      <c r="M1224" s="12">
        <f t="shared" si="36"/>
        <v>200000</v>
      </c>
      <c r="N1224" s="10">
        <f>PRODUCT(Table_13[[#This Row],[Unit Price]],Table_13[[#This Row],[Quantity]])</f>
        <v>1500000</v>
      </c>
      <c r="O1224" s="16">
        <f>PRODUCT(Table_13[[#This Row],[Cost Price]],Table_13[[#This Row],[Quantity]])</f>
        <v>1200000</v>
      </c>
      <c r="P1224" s="27">
        <f t="shared" si="44"/>
        <v>300000</v>
      </c>
    </row>
    <row r="1225" spans="1:16" x14ac:dyDescent="0.2">
      <c r="A1225" s="33">
        <v>46899</v>
      </c>
      <c r="B1225" s="30">
        <f t="shared" si="43"/>
        <v>5</v>
      </c>
      <c r="C1225" s="30" t="str">
        <f>_xlfn.IFS(Table_13[[#This Row],[Month]]=1,"JAN",Table_13[[#This Row],[Month]]=2,"FEB",B1225=3,"MAR",B1225=4,"APR",B1225=5,"MAY",B1225=6,"JUN",B1225=7,"JUL",B1225=8,"AUG",Table_13[[#This Row],[Month]]=9,"SEPT",B1225=10,"OCT",B1225=11,"NOV",B1225=12,"DEC")</f>
        <v>MAY</v>
      </c>
      <c r="D1225" s="2" t="s">
        <v>11</v>
      </c>
      <c r="E1225" s="2" t="s">
        <v>19</v>
      </c>
      <c r="F1225" s="2" t="s">
        <v>23</v>
      </c>
      <c r="G1225" s="2" t="s">
        <v>14</v>
      </c>
      <c r="H1225" s="2" t="s">
        <v>36</v>
      </c>
      <c r="I1225" s="2" t="s">
        <v>31</v>
      </c>
      <c r="J1225" s="15">
        <v>150000</v>
      </c>
      <c r="K1225" s="2">
        <v>5</v>
      </c>
      <c r="L1225" s="2" t="s">
        <v>28</v>
      </c>
      <c r="M1225" s="12">
        <f t="shared" si="36"/>
        <v>120000</v>
      </c>
      <c r="N1225" s="10">
        <f>PRODUCT(Table_13[[#This Row],[Unit Price]],Table_13[[#This Row],[Quantity]])</f>
        <v>750000</v>
      </c>
      <c r="O1225" s="16">
        <f>PRODUCT(Table_13[[#This Row],[Cost Price]],Table_13[[#This Row],[Quantity]])</f>
        <v>600000</v>
      </c>
      <c r="P1225" s="27">
        <f t="shared" si="44"/>
        <v>150000</v>
      </c>
    </row>
    <row r="1226" spans="1:16" x14ac:dyDescent="0.2">
      <c r="A1226" s="33">
        <v>46900</v>
      </c>
      <c r="B1226" s="30">
        <f t="shared" si="43"/>
        <v>5</v>
      </c>
      <c r="C1226" s="30" t="str">
        <f>_xlfn.IFS(Table_13[[#This Row],[Month]]=1,"JAN",Table_13[[#This Row],[Month]]=2,"FEB",B1226=3,"MAR",B1226=4,"APR",B1226=5,"MAY",B1226=6,"JUN",B1226=7,"JUL",B1226=8,"AUG",Table_13[[#This Row],[Month]]=9,"SEPT",B1226=10,"OCT",B1226=11,"NOV",B1226=12,"DEC")</f>
        <v>MAY</v>
      </c>
      <c r="D1226" s="2" t="s">
        <v>29</v>
      </c>
      <c r="E1226" s="2" t="s">
        <v>19</v>
      </c>
      <c r="F1226" s="2" t="s">
        <v>23</v>
      </c>
      <c r="G1226" s="2" t="s">
        <v>14</v>
      </c>
      <c r="H1226" s="2" t="s">
        <v>15</v>
      </c>
      <c r="I1226" s="2" t="s">
        <v>16</v>
      </c>
      <c r="J1226" s="15">
        <v>85000</v>
      </c>
      <c r="K1226" s="2">
        <v>2</v>
      </c>
      <c r="L1226" s="2" t="s">
        <v>35</v>
      </c>
      <c r="M1226" s="12">
        <f t="shared" si="36"/>
        <v>68000</v>
      </c>
      <c r="N1226" s="10">
        <f>PRODUCT(Table_13[[#This Row],[Unit Price]],Table_13[[#This Row],[Quantity]])</f>
        <v>170000</v>
      </c>
      <c r="O1226" s="16">
        <f>PRODUCT(Table_13[[#This Row],[Cost Price]],Table_13[[#This Row],[Quantity]])</f>
        <v>136000</v>
      </c>
      <c r="P1226" s="27">
        <f t="shared" si="44"/>
        <v>34000</v>
      </c>
    </row>
    <row r="1227" spans="1:16" x14ac:dyDescent="0.2">
      <c r="A1227" s="33">
        <v>46901</v>
      </c>
      <c r="B1227" s="30">
        <f t="shared" si="43"/>
        <v>5</v>
      </c>
      <c r="C1227" s="30" t="str">
        <f>_xlfn.IFS(Table_13[[#This Row],[Month]]=1,"JAN",Table_13[[#This Row],[Month]]=2,"FEB",B1227=3,"MAR",B1227=4,"APR",B1227=5,"MAY",B1227=6,"JUN",B1227=7,"JUL",B1227=8,"AUG",Table_13[[#This Row],[Month]]=9,"SEPT",B1227=10,"OCT",B1227=11,"NOV",B1227=12,"DEC")</f>
        <v>MAY</v>
      </c>
      <c r="D1227" s="2" t="s">
        <v>25</v>
      </c>
      <c r="E1227" s="2" t="s">
        <v>12</v>
      </c>
      <c r="F1227" s="2" t="s">
        <v>23</v>
      </c>
      <c r="G1227" s="2" t="s">
        <v>20</v>
      </c>
      <c r="H1227" s="2" t="s">
        <v>15</v>
      </c>
      <c r="I1227" s="2" t="s">
        <v>16</v>
      </c>
      <c r="J1227" s="15">
        <v>85000</v>
      </c>
      <c r="K1227" s="2">
        <v>6</v>
      </c>
      <c r="L1227" s="2" t="s">
        <v>24</v>
      </c>
      <c r="M1227" s="12">
        <f t="shared" si="36"/>
        <v>68000</v>
      </c>
      <c r="N1227" s="10">
        <f>PRODUCT(Table_13[[#This Row],[Unit Price]],Table_13[[#This Row],[Quantity]])</f>
        <v>510000</v>
      </c>
      <c r="O1227" s="16">
        <f>PRODUCT(Table_13[[#This Row],[Cost Price]],Table_13[[#This Row],[Quantity]])</f>
        <v>408000</v>
      </c>
      <c r="P1227" s="27">
        <f t="shared" si="44"/>
        <v>102000</v>
      </c>
    </row>
    <row r="1228" spans="1:16" x14ac:dyDescent="0.2">
      <c r="A1228" s="33">
        <v>46902</v>
      </c>
      <c r="B1228" s="30">
        <f t="shared" si="43"/>
        <v>5</v>
      </c>
      <c r="C1228" s="30" t="str">
        <f>_xlfn.IFS(Table_13[[#This Row],[Month]]=1,"JAN",Table_13[[#This Row],[Month]]=2,"FEB",B1228=3,"MAR",B1228=4,"APR",B1228=5,"MAY",B1228=6,"JUN",B1228=7,"JUL",B1228=8,"AUG",Table_13[[#This Row],[Month]]=9,"SEPT",B1228=10,"OCT",B1228=11,"NOV",B1228=12,"DEC")</f>
        <v>MAY</v>
      </c>
      <c r="D1228" s="2" t="s">
        <v>11</v>
      </c>
      <c r="E1228" s="2" t="s">
        <v>32</v>
      </c>
      <c r="F1228" s="2" t="s">
        <v>23</v>
      </c>
      <c r="G1228" s="2" t="s">
        <v>14</v>
      </c>
      <c r="H1228" s="2" t="s">
        <v>36</v>
      </c>
      <c r="I1228" s="2" t="s">
        <v>31</v>
      </c>
      <c r="J1228" s="15">
        <v>150000</v>
      </c>
      <c r="K1228" s="2">
        <v>5</v>
      </c>
      <c r="L1228" s="2" t="s">
        <v>35</v>
      </c>
      <c r="M1228" s="12">
        <f t="shared" si="36"/>
        <v>120000</v>
      </c>
      <c r="N1228" s="10">
        <f>PRODUCT(Table_13[[#This Row],[Unit Price]],Table_13[[#This Row],[Quantity]])</f>
        <v>750000</v>
      </c>
      <c r="O1228" s="16">
        <f>PRODUCT(Table_13[[#This Row],[Cost Price]],Table_13[[#This Row],[Quantity]])</f>
        <v>600000</v>
      </c>
      <c r="P1228" s="27">
        <f t="shared" si="44"/>
        <v>150000</v>
      </c>
    </row>
    <row r="1229" spans="1:16" x14ac:dyDescent="0.2">
      <c r="A1229" s="33">
        <v>46903</v>
      </c>
      <c r="B1229" s="30">
        <f t="shared" si="43"/>
        <v>5</v>
      </c>
      <c r="C1229" s="30" t="str">
        <f>_xlfn.IFS(Table_13[[#This Row],[Month]]=1,"JAN",Table_13[[#This Row],[Month]]=2,"FEB",B1229=3,"MAR",B1229=4,"APR",B1229=5,"MAY",B1229=6,"JUN",B1229=7,"JUL",B1229=8,"AUG",Table_13[[#This Row],[Month]]=9,"SEPT",B1229=10,"OCT",B1229=11,"NOV",B1229=12,"DEC")</f>
        <v>MAY</v>
      </c>
      <c r="D1229" s="2" t="s">
        <v>11</v>
      </c>
      <c r="E1229" s="2" t="s">
        <v>26</v>
      </c>
      <c r="F1229" s="2" t="s">
        <v>23</v>
      </c>
      <c r="G1229" s="2" t="s">
        <v>20</v>
      </c>
      <c r="H1229" s="2" t="s">
        <v>38</v>
      </c>
      <c r="I1229" s="2" t="s">
        <v>31</v>
      </c>
      <c r="J1229" s="15">
        <v>420000</v>
      </c>
      <c r="K1229" s="2">
        <v>4</v>
      </c>
      <c r="L1229" s="2" t="s">
        <v>37</v>
      </c>
      <c r="M1229" s="12">
        <f t="shared" si="36"/>
        <v>336000</v>
      </c>
      <c r="N1229" s="10">
        <f>PRODUCT(Table_13[[#This Row],[Unit Price]],Table_13[[#This Row],[Quantity]])</f>
        <v>1680000</v>
      </c>
      <c r="O1229" s="16">
        <f>PRODUCT(Table_13[[#This Row],[Cost Price]],Table_13[[#This Row],[Quantity]])</f>
        <v>1344000</v>
      </c>
      <c r="P1229" s="27">
        <f t="shared" si="44"/>
        <v>336000</v>
      </c>
    </row>
    <row r="1230" spans="1:16" x14ac:dyDescent="0.2">
      <c r="A1230" s="33">
        <v>46904</v>
      </c>
      <c r="B1230" s="30">
        <f t="shared" si="43"/>
        <v>5</v>
      </c>
      <c r="C1230" s="30" t="str">
        <f>_xlfn.IFS(Table_13[[#This Row],[Month]]=1,"JAN",Table_13[[#This Row],[Month]]=2,"FEB",B1230=3,"MAR",B1230=4,"APR",B1230=5,"MAY",B1230=6,"JUN",B1230=7,"JUL",B1230=8,"AUG",Table_13[[#This Row],[Month]]=9,"SEPT",B1230=10,"OCT",B1230=11,"NOV",B1230=12,"DEC")</f>
        <v>MAY</v>
      </c>
      <c r="D1230" s="2" t="s">
        <v>18</v>
      </c>
      <c r="E1230" s="2" t="s">
        <v>26</v>
      </c>
      <c r="F1230" s="2" t="s">
        <v>23</v>
      </c>
      <c r="G1230" s="2" t="s">
        <v>20</v>
      </c>
      <c r="H1230" s="2" t="s">
        <v>30</v>
      </c>
      <c r="I1230" s="2" t="s">
        <v>31</v>
      </c>
      <c r="J1230" s="15">
        <v>300000</v>
      </c>
      <c r="K1230" s="2">
        <v>6</v>
      </c>
      <c r="L1230" s="2" t="s">
        <v>39</v>
      </c>
      <c r="M1230" s="12">
        <f t="shared" si="36"/>
        <v>240000</v>
      </c>
      <c r="N1230" s="10">
        <f>PRODUCT(Table_13[[#This Row],[Unit Price]],Table_13[[#This Row],[Quantity]])</f>
        <v>1800000</v>
      </c>
      <c r="O1230" s="16">
        <f>PRODUCT(Table_13[[#This Row],[Cost Price]],Table_13[[#This Row],[Quantity]])</f>
        <v>1440000</v>
      </c>
      <c r="P1230" s="27">
        <f t="shared" si="44"/>
        <v>360000</v>
      </c>
    </row>
    <row r="1231" spans="1:16" x14ac:dyDescent="0.2">
      <c r="A1231" s="33">
        <v>46905</v>
      </c>
      <c r="B1231" s="30">
        <f t="shared" si="43"/>
        <v>6</v>
      </c>
      <c r="C1231" s="30" t="str">
        <f>_xlfn.IFS(Table_13[[#This Row],[Month]]=1,"JAN",Table_13[[#This Row],[Month]]=2,"FEB",B1231=3,"MAR",B1231=4,"APR",B1231=5,"MAY",B1231=6,"JUN",B1231=7,"JUL",B1231=8,"AUG",Table_13[[#This Row],[Month]]=9,"SEPT",B1231=10,"OCT",B1231=11,"NOV",B1231=12,"DEC")</f>
        <v>JUN</v>
      </c>
      <c r="D1231" s="2" t="s">
        <v>29</v>
      </c>
      <c r="E1231" s="2" t="s">
        <v>12</v>
      </c>
      <c r="F1231" s="2" t="s">
        <v>23</v>
      </c>
      <c r="G1231" s="2" t="s">
        <v>14</v>
      </c>
      <c r="H1231" s="2" t="s">
        <v>27</v>
      </c>
      <c r="I1231" s="2" t="s">
        <v>22</v>
      </c>
      <c r="J1231" s="15">
        <v>60000</v>
      </c>
      <c r="K1231" s="2">
        <v>2</v>
      </c>
      <c r="L1231" s="2" t="s">
        <v>37</v>
      </c>
      <c r="M1231" s="12">
        <f t="shared" si="36"/>
        <v>48000</v>
      </c>
      <c r="N1231" s="10">
        <f>PRODUCT(Table_13[[#This Row],[Unit Price]],Table_13[[#This Row],[Quantity]])</f>
        <v>120000</v>
      </c>
      <c r="O1231" s="16">
        <f>PRODUCT(Table_13[[#This Row],[Cost Price]],Table_13[[#This Row],[Quantity]])</f>
        <v>96000</v>
      </c>
      <c r="P1231" s="27">
        <f t="shared" si="44"/>
        <v>24000</v>
      </c>
    </row>
    <row r="1232" spans="1:16" x14ac:dyDescent="0.2">
      <c r="A1232" s="33">
        <v>46906</v>
      </c>
      <c r="B1232" s="30">
        <f t="shared" si="43"/>
        <v>6</v>
      </c>
      <c r="C1232" s="30" t="str">
        <f>_xlfn.IFS(Table_13[[#This Row],[Month]]=1,"JAN",Table_13[[#This Row],[Month]]=2,"FEB",B1232=3,"MAR",B1232=4,"APR",B1232=5,"MAY",B1232=6,"JUN",B1232=7,"JUL",B1232=8,"AUG",Table_13[[#This Row],[Month]]=9,"SEPT",B1232=10,"OCT",B1232=11,"NOV",B1232=12,"DEC")</f>
        <v>JUN</v>
      </c>
      <c r="D1232" s="2" t="s">
        <v>29</v>
      </c>
      <c r="E1232" s="2" t="s">
        <v>32</v>
      </c>
      <c r="F1232" s="2" t="s">
        <v>23</v>
      </c>
      <c r="G1232" s="2" t="s">
        <v>14</v>
      </c>
      <c r="H1232" s="2" t="s">
        <v>15</v>
      </c>
      <c r="I1232" s="2" t="s">
        <v>16</v>
      </c>
      <c r="J1232" s="15">
        <v>85000</v>
      </c>
      <c r="K1232" s="2">
        <v>5</v>
      </c>
      <c r="L1232" s="2" t="s">
        <v>35</v>
      </c>
      <c r="M1232" s="12">
        <f t="shared" si="36"/>
        <v>68000</v>
      </c>
      <c r="N1232" s="10">
        <f>PRODUCT(Table_13[[#This Row],[Unit Price]],Table_13[[#This Row],[Quantity]])</f>
        <v>425000</v>
      </c>
      <c r="O1232" s="16">
        <f>PRODUCT(Table_13[[#This Row],[Cost Price]],Table_13[[#This Row],[Quantity]])</f>
        <v>340000</v>
      </c>
      <c r="P1232" s="27">
        <f t="shared" si="44"/>
        <v>85000</v>
      </c>
    </row>
    <row r="1233" spans="1:16" x14ac:dyDescent="0.2">
      <c r="A1233" s="33">
        <v>46907</v>
      </c>
      <c r="B1233" s="30">
        <f t="shared" si="43"/>
        <v>6</v>
      </c>
      <c r="C1233" s="30" t="str">
        <f>_xlfn.IFS(Table_13[[#This Row],[Month]]=1,"JAN",Table_13[[#This Row],[Month]]=2,"FEB",B1233=3,"MAR",B1233=4,"APR",B1233=5,"MAY",B1233=6,"JUN",B1233=7,"JUL",B1233=8,"AUG",Table_13[[#This Row],[Month]]=9,"SEPT",B1233=10,"OCT",B1233=11,"NOV",B1233=12,"DEC")</f>
        <v>JUN</v>
      </c>
      <c r="D1233" s="2" t="s">
        <v>11</v>
      </c>
      <c r="E1233" s="2" t="s">
        <v>32</v>
      </c>
      <c r="F1233" s="2" t="s">
        <v>13</v>
      </c>
      <c r="G1233" s="2" t="s">
        <v>20</v>
      </c>
      <c r="H1233" s="2" t="s">
        <v>27</v>
      </c>
      <c r="I1233" s="2" t="s">
        <v>22</v>
      </c>
      <c r="J1233" s="15">
        <v>60000</v>
      </c>
      <c r="K1233" s="2">
        <v>3</v>
      </c>
      <c r="L1233" s="2" t="s">
        <v>24</v>
      </c>
      <c r="M1233" s="12">
        <f t="shared" si="36"/>
        <v>48000</v>
      </c>
      <c r="N1233" s="10">
        <f>PRODUCT(Table_13[[#This Row],[Unit Price]],Table_13[[#This Row],[Quantity]])</f>
        <v>180000</v>
      </c>
      <c r="O1233" s="16">
        <f>PRODUCT(Table_13[[#This Row],[Cost Price]],Table_13[[#This Row],[Quantity]])</f>
        <v>144000</v>
      </c>
      <c r="P1233" s="27">
        <f t="shared" si="44"/>
        <v>36000</v>
      </c>
    </row>
    <row r="1234" spans="1:16" x14ac:dyDescent="0.2">
      <c r="A1234" s="33">
        <v>46908</v>
      </c>
      <c r="B1234" s="30">
        <f t="shared" si="43"/>
        <v>6</v>
      </c>
      <c r="C1234" s="30" t="str">
        <f>_xlfn.IFS(Table_13[[#This Row],[Month]]=1,"JAN",Table_13[[#This Row],[Month]]=2,"FEB",B1234=3,"MAR",B1234=4,"APR",B1234=5,"MAY",B1234=6,"JUN",B1234=7,"JUL",B1234=8,"AUG",Table_13[[#This Row],[Month]]=9,"SEPT",B1234=10,"OCT",B1234=11,"NOV",B1234=12,"DEC")</f>
        <v>JUN</v>
      </c>
      <c r="D1234" s="2" t="s">
        <v>29</v>
      </c>
      <c r="E1234" s="2" t="s">
        <v>32</v>
      </c>
      <c r="F1234" s="2" t="s">
        <v>23</v>
      </c>
      <c r="G1234" s="2" t="s">
        <v>14</v>
      </c>
      <c r="H1234" s="2" t="s">
        <v>15</v>
      </c>
      <c r="I1234" s="2" t="s">
        <v>16</v>
      </c>
      <c r="J1234" s="15">
        <v>85000</v>
      </c>
      <c r="K1234" s="2">
        <v>7</v>
      </c>
      <c r="L1234" s="2" t="s">
        <v>35</v>
      </c>
      <c r="M1234" s="12">
        <f t="shared" si="36"/>
        <v>68000</v>
      </c>
      <c r="N1234" s="10">
        <f>PRODUCT(Table_13[[#This Row],[Unit Price]],Table_13[[#This Row],[Quantity]])</f>
        <v>595000</v>
      </c>
      <c r="O1234" s="16">
        <f>PRODUCT(Table_13[[#This Row],[Cost Price]],Table_13[[#This Row],[Quantity]])</f>
        <v>476000</v>
      </c>
      <c r="P1234" s="27">
        <f t="shared" si="44"/>
        <v>119000</v>
      </c>
    </row>
    <row r="1235" spans="1:16" x14ac:dyDescent="0.2">
      <c r="A1235" s="33">
        <v>46909</v>
      </c>
      <c r="B1235" s="30">
        <f t="shared" si="43"/>
        <v>6</v>
      </c>
      <c r="C1235" s="30" t="str">
        <f>_xlfn.IFS(Table_13[[#This Row],[Month]]=1,"JAN",Table_13[[#This Row],[Month]]=2,"FEB",B1235=3,"MAR",B1235=4,"APR",B1235=5,"MAY",B1235=6,"JUN",B1235=7,"JUL",B1235=8,"AUG",Table_13[[#This Row],[Month]]=9,"SEPT",B1235=10,"OCT",B1235=11,"NOV",B1235=12,"DEC")</f>
        <v>JUN</v>
      </c>
      <c r="D1235" s="2" t="s">
        <v>29</v>
      </c>
      <c r="E1235" s="2" t="s">
        <v>19</v>
      </c>
      <c r="F1235" s="2" t="s">
        <v>23</v>
      </c>
      <c r="G1235" s="2" t="s">
        <v>14</v>
      </c>
      <c r="H1235" s="2" t="s">
        <v>33</v>
      </c>
      <c r="I1235" s="2" t="s">
        <v>22</v>
      </c>
      <c r="J1235" s="15">
        <v>180000</v>
      </c>
      <c r="K1235" s="2">
        <v>5</v>
      </c>
      <c r="L1235" s="2" t="s">
        <v>39</v>
      </c>
      <c r="M1235" s="12">
        <f t="shared" si="36"/>
        <v>144000</v>
      </c>
      <c r="N1235" s="10">
        <f>PRODUCT(Table_13[[#This Row],[Unit Price]],Table_13[[#This Row],[Quantity]])</f>
        <v>900000</v>
      </c>
      <c r="O1235" s="16">
        <f>PRODUCT(Table_13[[#This Row],[Cost Price]],Table_13[[#This Row],[Quantity]])</f>
        <v>720000</v>
      </c>
      <c r="P1235" s="27">
        <f t="shared" si="44"/>
        <v>180000</v>
      </c>
    </row>
    <row r="1236" spans="1:16" x14ac:dyDescent="0.2">
      <c r="A1236" s="33">
        <v>46910</v>
      </c>
      <c r="B1236" s="30">
        <f t="shared" si="43"/>
        <v>6</v>
      </c>
      <c r="C1236" s="30" t="str">
        <f>_xlfn.IFS(Table_13[[#This Row],[Month]]=1,"JAN",Table_13[[#This Row],[Month]]=2,"FEB",B1236=3,"MAR",B1236=4,"APR",B1236=5,"MAY",B1236=6,"JUN",B1236=7,"JUL",B1236=8,"AUG",Table_13[[#This Row],[Month]]=9,"SEPT",B1236=10,"OCT",B1236=11,"NOV",B1236=12,"DEC")</f>
        <v>JUN</v>
      </c>
      <c r="D1236" s="2" t="s">
        <v>18</v>
      </c>
      <c r="E1236" s="2" t="s">
        <v>19</v>
      </c>
      <c r="F1236" s="2" t="s">
        <v>13</v>
      </c>
      <c r="G1236" s="2" t="s">
        <v>14</v>
      </c>
      <c r="H1236" s="2" t="s">
        <v>38</v>
      </c>
      <c r="I1236" s="2" t="s">
        <v>31</v>
      </c>
      <c r="J1236" s="15">
        <v>420000</v>
      </c>
      <c r="K1236" s="2">
        <v>5</v>
      </c>
      <c r="L1236" s="2" t="s">
        <v>28</v>
      </c>
      <c r="M1236" s="12">
        <f t="shared" si="36"/>
        <v>336000</v>
      </c>
      <c r="N1236" s="10">
        <f>PRODUCT(Table_13[[#This Row],[Unit Price]],Table_13[[#This Row],[Quantity]])</f>
        <v>2100000</v>
      </c>
      <c r="O1236" s="16">
        <f>PRODUCT(Table_13[[#This Row],[Cost Price]],Table_13[[#This Row],[Quantity]])</f>
        <v>1680000</v>
      </c>
      <c r="P1236" s="27">
        <f t="shared" si="44"/>
        <v>420000</v>
      </c>
    </row>
    <row r="1237" spans="1:16" x14ac:dyDescent="0.2">
      <c r="A1237" s="33">
        <v>46911</v>
      </c>
      <c r="B1237" s="30">
        <f t="shared" si="43"/>
        <v>6</v>
      </c>
      <c r="C1237" s="30" t="str">
        <f>_xlfn.IFS(Table_13[[#This Row],[Month]]=1,"JAN",Table_13[[#This Row],[Month]]=2,"FEB",B1237=3,"MAR",B1237=4,"APR",B1237=5,"MAY",B1237=6,"JUN",B1237=7,"JUL",B1237=8,"AUG",Table_13[[#This Row],[Month]]=9,"SEPT",B1237=10,"OCT",B1237=11,"NOV",B1237=12,"DEC")</f>
        <v>JUN</v>
      </c>
      <c r="D1237" s="2" t="s">
        <v>18</v>
      </c>
      <c r="E1237" s="2" t="s">
        <v>32</v>
      </c>
      <c r="F1237" s="2" t="s">
        <v>23</v>
      </c>
      <c r="G1237" s="2" t="s">
        <v>20</v>
      </c>
      <c r="H1237" s="2" t="s">
        <v>15</v>
      </c>
      <c r="I1237" s="2" t="s">
        <v>16</v>
      </c>
      <c r="J1237" s="15">
        <v>85000</v>
      </c>
      <c r="K1237" s="2">
        <v>6</v>
      </c>
      <c r="L1237" s="2" t="s">
        <v>28</v>
      </c>
      <c r="M1237" s="12">
        <f t="shared" si="36"/>
        <v>68000</v>
      </c>
      <c r="N1237" s="10">
        <f>PRODUCT(Table_13[[#This Row],[Unit Price]],Table_13[[#This Row],[Quantity]])</f>
        <v>510000</v>
      </c>
      <c r="O1237" s="16">
        <f>PRODUCT(Table_13[[#This Row],[Cost Price]],Table_13[[#This Row],[Quantity]])</f>
        <v>408000</v>
      </c>
      <c r="P1237" s="27">
        <f t="shared" si="44"/>
        <v>102000</v>
      </c>
    </row>
    <row r="1238" spans="1:16" x14ac:dyDescent="0.2">
      <c r="A1238" s="33">
        <v>46912</v>
      </c>
      <c r="B1238" s="30">
        <f t="shared" si="43"/>
        <v>6</v>
      </c>
      <c r="C1238" s="30" t="str">
        <f>_xlfn.IFS(Table_13[[#This Row],[Month]]=1,"JAN",Table_13[[#This Row],[Month]]=2,"FEB",B1238=3,"MAR",B1238=4,"APR",B1238=5,"MAY",B1238=6,"JUN",B1238=7,"JUL",B1238=8,"AUG",Table_13[[#This Row],[Month]]=9,"SEPT",B1238=10,"OCT",B1238=11,"NOV",B1238=12,"DEC")</f>
        <v>JUN</v>
      </c>
      <c r="D1238" s="2" t="s">
        <v>29</v>
      </c>
      <c r="E1238" s="2" t="s">
        <v>12</v>
      </c>
      <c r="F1238" s="2" t="s">
        <v>13</v>
      </c>
      <c r="G1238" s="2" t="s">
        <v>20</v>
      </c>
      <c r="H1238" s="2" t="s">
        <v>38</v>
      </c>
      <c r="I1238" s="2" t="s">
        <v>31</v>
      </c>
      <c r="J1238" s="15">
        <v>420000</v>
      </c>
      <c r="K1238" s="2">
        <v>7</v>
      </c>
      <c r="L1238" s="2" t="s">
        <v>17</v>
      </c>
      <c r="M1238" s="12">
        <f t="shared" si="36"/>
        <v>336000</v>
      </c>
      <c r="N1238" s="10">
        <f>PRODUCT(Table_13[[#This Row],[Unit Price]],Table_13[[#This Row],[Quantity]])</f>
        <v>2940000</v>
      </c>
      <c r="O1238" s="16">
        <f>PRODUCT(Table_13[[#This Row],[Cost Price]],Table_13[[#This Row],[Quantity]])</f>
        <v>2352000</v>
      </c>
      <c r="P1238" s="27">
        <f t="shared" si="44"/>
        <v>588000</v>
      </c>
    </row>
    <row r="1239" spans="1:16" x14ac:dyDescent="0.2">
      <c r="A1239" s="33">
        <v>46913</v>
      </c>
      <c r="B1239" s="30">
        <f t="shared" si="43"/>
        <v>6</v>
      </c>
      <c r="C1239" s="30" t="str">
        <f>_xlfn.IFS(Table_13[[#This Row],[Month]]=1,"JAN",Table_13[[#This Row],[Month]]=2,"FEB",B1239=3,"MAR",B1239=4,"APR",B1239=5,"MAY",B1239=6,"JUN",B1239=7,"JUL",B1239=8,"AUG",Table_13[[#This Row],[Month]]=9,"SEPT",B1239=10,"OCT",B1239=11,"NOV",B1239=12,"DEC")</f>
        <v>JUN</v>
      </c>
      <c r="D1239" s="2" t="s">
        <v>25</v>
      </c>
      <c r="E1239" s="2" t="s">
        <v>32</v>
      </c>
      <c r="F1239" s="2" t="s">
        <v>23</v>
      </c>
      <c r="G1239" s="2" t="s">
        <v>14</v>
      </c>
      <c r="H1239" s="2" t="s">
        <v>38</v>
      </c>
      <c r="I1239" s="2" t="s">
        <v>31</v>
      </c>
      <c r="J1239" s="15">
        <v>420000</v>
      </c>
      <c r="K1239" s="2">
        <v>9</v>
      </c>
      <c r="L1239" s="2" t="s">
        <v>39</v>
      </c>
      <c r="M1239" s="12">
        <f t="shared" si="36"/>
        <v>336000</v>
      </c>
      <c r="N1239" s="10">
        <f>PRODUCT(Table_13[[#This Row],[Unit Price]],Table_13[[#This Row],[Quantity]])</f>
        <v>3780000</v>
      </c>
      <c r="O1239" s="16">
        <f>PRODUCT(Table_13[[#This Row],[Cost Price]],Table_13[[#This Row],[Quantity]])</f>
        <v>3024000</v>
      </c>
      <c r="P1239" s="27">
        <f t="shared" si="44"/>
        <v>756000</v>
      </c>
    </row>
    <row r="1240" spans="1:16" x14ac:dyDescent="0.2">
      <c r="A1240" s="33">
        <v>46914</v>
      </c>
      <c r="B1240" s="30">
        <f t="shared" si="43"/>
        <v>6</v>
      </c>
      <c r="C1240" s="30" t="str">
        <f>_xlfn.IFS(Table_13[[#This Row],[Month]]=1,"JAN",Table_13[[#This Row],[Month]]=2,"FEB",B1240=3,"MAR",B1240=4,"APR",B1240=5,"MAY",B1240=6,"JUN",B1240=7,"JUL",B1240=8,"AUG",Table_13[[#This Row],[Month]]=9,"SEPT",B1240=10,"OCT",B1240=11,"NOV",B1240=12,"DEC")</f>
        <v>JUN</v>
      </c>
      <c r="D1240" s="2" t="s">
        <v>11</v>
      </c>
      <c r="E1240" s="2" t="s">
        <v>19</v>
      </c>
      <c r="F1240" s="2" t="s">
        <v>23</v>
      </c>
      <c r="G1240" s="2" t="s">
        <v>14</v>
      </c>
      <c r="H1240" s="2" t="s">
        <v>30</v>
      </c>
      <c r="I1240" s="2" t="s">
        <v>31</v>
      </c>
      <c r="J1240" s="15">
        <v>300000</v>
      </c>
      <c r="K1240" s="2">
        <v>3</v>
      </c>
      <c r="L1240" s="2" t="s">
        <v>37</v>
      </c>
      <c r="M1240" s="12">
        <f t="shared" si="36"/>
        <v>240000</v>
      </c>
      <c r="N1240" s="10">
        <f>PRODUCT(Table_13[[#This Row],[Unit Price]],Table_13[[#This Row],[Quantity]])</f>
        <v>900000</v>
      </c>
      <c r="O1240" s="16">
        <f>PRODUCT(Table_13[[#This Row],[Cost Price]],Table_13[[#This Row],[Quantity]])</f>
        <v>720000</v>
      </c>
      <c r="P1240" s="27">
        <f t="shared" si="44"/>
        <v>180000</v>
      </c>
    </row>
    <row r="1241" spans="1:16" x14ac:dyDescent="0.2">
      <c r="A1241" s="33">
        <v>46915</v>
      </c>
      <c r="B1241" s="30">
        <f t="shared" si="43"/>
        <v>6</v>
      </c>
      <c r="C1241" s="30" t="str">
        <f>_xlfn.IFS(Table_13[[#This Row],[Month]]=1,"JAN",Table_13[[#This Row],[Month]]=2,"FEB",B1241=3,"MAR",B1241=4,"APR",B1241=5,"MAY",B1241=6,"JUN",B1241=7,"JUL",B1241=8,"AUG",Table_13[[#This Row],[Month]]=9,"SEPT",B1241=10,"OCT",B1241=11,"NOV",B1241=12,"DEC")</f>
        <v>JUN</v>
      </c>
      <c r="D1241" s="2" t="s">
        <v>18</v>
      </c>
      <c r="E1241" s="2" t="s">
        <v>26</v>
      </c>
      <c r="F1241" s="2" t="s">
        <v>13</v>
      </c>
      <c r="G1241" s="2" t="s">
        <v>14</v>
      </c>
      <c r="H1241" s="2" t="s">
        <v>15</v>
      </c>
      <c r="I1241" s="2" t="s">
        <v>16</v>
      </c>
      <c r="J1241" s="15">
        <v>85000</v>
      </c>
      <c r="K1241" s="2">
        <v>9</v>
      </c>
      <c r="L1241" s="2" t="s">
        <v>37</v>
      </c>
      <c r="M1241" s="12">
        <f t="shared" si="36"/>
        <v>68000</v>
      </c>
      <c r="N1241" s="10">
        <f>PRODUCT(Table_13[[#This Row],[Unit Price]],Table_13[[#This Row],[Quantity]])</f>
        <v>765000</v>
      </c>
      <c r="O1241" s="16">
        <f>PRODUCT(Table_13[[#This Row],[Cost Price]],Table_13[[#This Row],[Quantity]])</f>
        <v>612000</v>
      </c>
      <c r="P1241" s="27">
        <f t="shared" si="44"/>
        <v>153000</v>
      </c>
    </row>
    <row r="1242" spans="1:16" x14ac:dyDescent="0.2">
      <c r="A1242" s="33">
        <v>46916</v>
      </c>
      <c r="B1242" s="30">
        <f t="shared" si="43"/>
        <v>6</v>
      </c>
      <c r="C1242" s="30" t="str">
        <f>_xlfn.IFS(Table_13[[#This Row],[Month]]=1,"JAN",Table_13[[#This Row],[Month]]=2,"FEB",B1242=3,"MAR",B1242=4,"APR",B1242=5,"MAY",B1242=6,"JUN",B1242=7,"JUL",B1242=8,"AUG",Table_13[[#This Row],[Month]]=9,"SEPT",B1242=10,"OCT",B1242=11,"NOV",B1242=12,"DEC")</f>
        <v>JUN</v>
      </c>
      <c r="D1242" s="2" t="s">
        <v>25</v>
      </c>
      <c r="E1242" s="2" t="s">
        <v>12</v>
      </c>
      <c r="F1242" s="2" t="s">
        <v>23</v>
      </c>
      <c r="G1242" s="2" t="s">
        <v>20</v>
      </c>
      <c r="H1242" s="2" t="s">
        <v>41</v>
      </c>
      <c r="I1242" s="2" t="s">
        <v>22</v>
      </c>
      <c r="J1242" s="15">
        <v>220000</v>
      </c>
      <c r="K1242" s="2">
        <v>7</v>
      </c>
      <c r="L1242" s="2" t="s">
        <v>35</v>
      </c>
      <c r="M1242" s="12">
        <f t="shared" si="36"/>
        <v>176000</v>
      </c>
      <c r="N1242" s="10">
        <f>PRODUCT(Table_13[[#This Row],[Unit Price]],Table_13[[#This Row],[Quantity]])</f>
        <v>1540000</v>
      </c>
      <c r="O1242" s="16">
        <f>PRODUCT(Table_13[[#This Row],[Cost Price]],Table_13[[#This Row],[Quantity]])</f>
        <v>1232000</v>
      </c>
      <c r="P1242" s="27">
        <f t="shared" si="44"/>
        <v>308000</v>
      </c>
    </row>
    <row r="1243" spans="1:16" x14ac:dyDescent="0.2">
      <c r="A1243" s="33">
        <v>46917</v>
      </c>
      <c r="B1243" s="30">
        <f t="shared" si="43"/>
        <v>6</v>
      </c>
      <c r="C1243" s="30" t="str">
        <f>_xlfn.IFS(Table_13[[#This Row],[Month]]=1,"JAN",Table_13[[#This Row],[Month]]=2,"FEB",B1243=3,"MAR",B1243=4,"APR",B1243=5,"MAY",B1243=6,"JUN",B1243=7,"JUL",B1243=8,"AUG",Table_13[[#This Row],[Month]]=9,"SEPT",B1243=10,"OCT",B1243=11,"NOV",B1243=12,"DEC")</f>
        <v>JUN</v>
      </c>
      <c r="D1243" s="2" t="s">
        <v>11</v>
      </c>
      <c r="E1243" s="2" t="s">
        <v>19</v>
      </c>
      <c r="F1243" s="2" t="s">
        <v>23</v>
      </c>
      <c r="G1243" s="2" t="s">
        <v>20</v>
      </c>
      <c r="H1243" s="2" t="s">
        <v>30</v>
      </c>
      <c r="I1243" s="2" t="s">
        <v>31</v>
      </c>
      <c r="J1243" s="15">
        <v>300000</v>
      </c>
      <c r="K1243" s="2">
        <v>10</v>
      </c>
      <c r="L1243" s="2" t="s">
        <v>17</v>
      </c>
      <c r="M1243" s="12">
        <f t="shared" si="36"/>
        <v>240000</v>
      </c>
      <c r="N1243" s="10">
        <f>PRODUCT(Table_13[[#This Row],[Unit Price]],Table_13[[#This Row],[Quantity]])</f>
        <v>3000000</v>
      </c>
      <c r="O1243" s="16">
        <f>PRODUCT(Table_13[[#This Row],[Cost Price]],Table_13[[#This Row],[Quantity]])</f>
        <v>2400000</v>
      </c>
      <c r="P1243" s="27">
        <f t="shared" si="44"/>
        <v>600000</v>
      </c>
    </row>
    <row r="1244" spans="1:16" x14ac:dyDescent="0.2">
      <c r="A1244" s="33">
        <v>46918</v>
      </c>
      <c r="B1244" s="30">
        <f t="shared" si="43"/>
        <v>6</v>
      </c>
      <c r="C1244" s="30" t="str">
        <f>_xlfn.IFS(Table_13[[#This Row],[Month]]=1,"JAN",Table_13[[#This Row],[Month]]=2,"FEB",B1244=3,"MAR",B1244=4,"APR",B1244=5,"MAY",B1244=6,"JUN",B1244=7,"JUL",B1244=8,"AUG",Table_13[[#This Row],[Month]]=9,"SEPT",B1244=10,"OCT",B1244=11,"NOV",B1244=12,"DEC")</f>
        <v>JUN</v>
      </c>
      <c r="D1244" s="2" t="s">
        <v>11</v>
      </c>
      <c r="E1244" s="2" t="s">
        <v>12</v>
      </c>
      <c r="F1244" s="2" t="s">
        <v>13</v>
      </c>
      <c r="G1244" s="2" t="s">
        <v>20</v>
      </c>
      <c r="H1244" s="2" t="s">
        <v>15</v>
      </c>
      <c r="I1244" s="2" t="s">
        <v>16</v>
      </c>
      <c r="J1244" s="15">
        <v>85000</v>
      </c>
      <c r="K1244" s="2">
        <v>8</v>
      </c>
      <c r="L1244" s="2" t="s">
        <v>37</v>
      </c>
      <c r="M1244" s="12">
        <f t="shared" si="36"/>
        <v>68000</v>
      </c>
      <c r="N1244" s="10">
        <f>PRODUCT(Table_13[[#This Row],[Unit Price]],Table_13[[#This Row],[Quantity]])</f>
        <v>680000</v>
      </c>
      <c r="O1244" s="16">
        <f>PRODUCT(Table_13[[#This Row],[Cost Price]],Table_13[[#This Row],[Quantity]])</f>
        <v>544000</v>
      </c>
      <c r="P1244" s="27">
        <f t="shared" si="44"/>
        <v>136000</v>
      </c>
    </row>
    <row r="1245" spans="1:16" x14ac:dyDescent="0.2">
      <c r="A1245" s="33">
        <v>46919</v>
      </c>
      <c r="B1245" s="30">
        <f t="shared" si="43"/>
        <v>6</v>
      </c>
      <c r="C1245" s="30" t="str">
        <f>_xlfn.IFS(Table_13[[#This Row],[Month]]=1,"JAN",Table_13[[#This Row],[Month]]=2,"FEB",B1245=3,"MAR",B1245=4,"APR",B1245=5,"MAY",B1245=6,"JUN",B1245=7,"JUL",B1245=8,"AUG",Table_13[[#This Row],[Month]]=9,"SEPT",B1245=10,"OCT",B1245=11,"NOV",B1245=12,"DEC")</f>
        <v>JUN</v>
      </c>
      <c r="D1245" s="2" t="s">
        <v>18</v>
      </c>
      <c r="E1245" s="2" t="s">
        <v>19</v>
      </c>
      <c r="F1245" s="2" t="s">
        <v>23</v>
      </c>
      <c r="G1245" s="2" t="s">
        <v>14</v>
      </c>
      <c r="H1245" s="2" t="s">
        <v>21</v>
      </c>
      <c r="I1245" s="2" t="s">
        <v>22</v>
      </c>
      <c r="J1245" s="15">
        <v>30000</v>
      </c>
      <c r="K1245" s="2">
        <v>3</v>
      </c>
      <c r="L1245" s="2" t="s">
        <v>37</v>
      </c>
      <c r="M1245" s="12">
        <f t="shared" si="36"/>
        <v>24000</v>
      </c>
      <c r="N1245" s="10">
        <f>PRODUCT(Table_13[[#This Row],[Unit Price]],Table_13[[#This Row],[Quantity]])</f>
        <v>90000</v>
      </c>
      <c r="O1245" s="16">
        <f>PRODUCT(Table_13[[#This Row],[Cost Price]],Table_13[[#This Row],[Quantity]])</f>
        <v>72000</v>
      </c>
      <c r="P1245" s="27">
        <f t="shared" si="44"/>
        <v>18000</v>
      </c>
    </row>
    <row r="1246" spans="1:16" x14ac:dyDescent="0.2">
      <c r="A1246" s="33">
        <v>46920</v>
      </c>
      <c r="B1246" s="30">
        <f t="shared" si="43"/>
        <v>6</v>
      </c>
      <c r="C1246" s="30" t="str">
        <f>_xlfn.IFS(Table_13[[#This Row],[Month]]=1,"JAN",Table_13[[#This Row],[Month]]=2,"FEB",B1246=3,"MAR",B1246=4,"APR",B1246=5,"MAY",B1246=6,"JUN",B1246=7,"JUL",B1246=8,"AUG",Table_13[[#This Row],[Month]]=9,"SEPT",B1246=10,"OCT",B1246=11,"NOV",B1246=12,"DEC")</f>
        <v>JUN</v>
      </c>
      <c r="D1246" s="2" t="s">
        <v>25</v>
      </c>
      <c r="E1246" s="2" t="s">
        <v>26</v>
      </c>
      <c r="F1246" s="2" t="s">
        <v>23</v>
      </c>
      <c r="G1246" s="2" t="s">
        <v>20</v>
      </c>
      <c r="H1246" s="2" t="s">
        <v>15</v>
      </c>
      <c r="I1246" s="2" t="s">
        <v>16</v>
      </c>
      <c r="J1246" s="15">
        <v>85000</v>
      </c>
      <c r="K1246" s="2">
        <v>8</v>
      </c>
      <c r="L1246" s="2" t="s">
        <v>35</v>
      </c>
      <c r="M1246" s="12">
        <f t="shared" si="36"/>
        <v>68000</v>
      </c>
      <c r="N1246" s="10">
        <f>PRODUCT(Table_13[[#This Row],[Unit Price]],Table_13[[#This Row],[Quantity]])</f>
        <v>680000</v>
      </c>
      <c r="O1246" s="16">
        <f>PRODUCT(Table_13[[#This Row],[Cost Price]],Table_13[[#This Row],[Quantity]])</f>
        <v>544000</v>
      </c>
      <c r="P1246" s="27">
        <f t="shared" si="44"/>
        <v>136000</v>
      </c>
    </row>
    <row r="1247" spans="1:16" x14ac:dyDescent="0.2">
      <c r="A1247" s="33">
        <v>46921</v>
      </c>
      <c r="B1247" s="30">
        <f t="shared" si="43"/>
        <v>6</v>
      </c>
      <c r="C1247" s="30" t="str">
        <f>_xlfn.IFS(Table_13[[#This Row],[Month]]=1,"JAN",Table_13[[#This Row],[Month]]=2,"FEB",B1247=3,"MAR",B1247=4,"APR",B1247=5,"MAY",B1247=6,"JUN",B1247=7,"JUL",B1247=8,"AUG",Table_13[[#This Row],[Month]]=9,"SEPT",B1247=10,"OCT",B1247=11,"NOV",B1247=12,"DEC")</f>
        <v>JUN</v>
      </c>
      <c r="D1247" s="2" t="s">
        <v>11</v>
      </c>
      <c r="E1247" s="2" t="s">
        <v>26</v>
      </c>
      <c r="F1247" s="2" t="s">
        <v>13</v>
      </c>
      <c r="G1247" s="2" t="s">
        <v>20</v>
      </c>
      <c r="H1247" s="2" t="s">
        <v>33</v>
      </c>
      <c r="I1247" s="2" t="s">
        <v>22</v>
      </c>
      <c r="J1247" s="15">
        <v>180000</v>
      </c>
      <c r="K1247" s="2">
        <v>3</v>
      </c>
      <c r="L1247" s="2" t="s">
        <v>35</v>
      </c>
      <c r="M1247" s="12">
        <f t="shared" si="36"/>
        <v>144000</v>
      </c>
      <c r="N1247" s="10">
        <f>PRODUCT(Table_13[[#This Row],[Unit Price]],Table_13[[#This Row],[Quantity]])</f>
        <v>540000</v>
      </c>
      <c r="O1247" s="16">
        <f>PRODUCT(Table_13[[#This Row],[Cost Price]],Table_13[[#This Row],[Quantity]])</f>
        <v>432000</v>
      </c>
      <c r="P1247" s="27">
        <f t="shared" si="44"/>
        <v>108000</v>
      </c>
    </row>
    <row r="1248" spans="1:16" x14ac:dyDescent="0.2">
      <c r="A1248" s="33">
        <v>46922</v>
      </c>
      <c r="B1248" s="30">
        <f t="shared" si="43"/>
        <v>6</v>
      </c>
      <c r="C1248" s="30" t="str">
        <f>_xlfn.IFS(Table_13[[#This Row],[Month]]=1,"JAN",Table_13[[#This Row],[Month]]=2,"FEB",B1248=3,"MAR",B1248=4,"APR",B1248=5,"MAY",B1248=6,"JUN",B1248=7,"JUL",B1248=8,"AUG",Table_13[[#This Row],[Month]]=9,"SEPT",B1248=10,"OCT",B1248=11,"NOV",B1248=12,"DEC")</f>
        <v>JUN</v>
      </c>
      <c r="D1248" s="2" t="s">
        <v>29</v>
      </c>
      <c r="E1248" s="2" t="s">
        <v>12</v>
      </c>
      <c r="F1248" s="2" t="s">
        <v>13</v>
      </c>
      <c r="G1248" s="2" t="s">
        <v>14</v>
      </c>
      <c r="H1248" s="2" t="s">
        <v>41</v>
      </c>
      <c r="I1248" s="2" t="s">
        <v>22</v>
      </c>
      <c r="J1248" s="15">
        <v>220000</v>
      </c>
      <c r="K1248" s="2">
        <v>7</v>
      </c>
      <c r="L1248" s="2" t="s">
        <v>37</v>
      </c>
      <c r="M1248" s="12">
        <f t="shared" si="36"/>
        <v>176000</v>
      </c>
      <c r="N1248" s="10">
        <f>PRODUCT(Table_13[[#This Row],[Unit Price]],Table_13[[#This Row],[Quantity]])</f>
        <v>1540000</v>
      </c>
      <c r="O1248" s="16">
        <f>PRODUCT(Table_13[[#This Row],[Cost Price]],Table_13[[#This Row],[Quantity]])</f>
        <v>1232000</v>
      </c>
      <c r="P1248" s="27">
        <f t="shared" si="44"/>
        <v>308000</v>
      </c>
    </row>
    <row r="1249" spans="1:16" x14ac:dyDescent="0.2">
      <c r="A1249" s="33">
        <v>46923</v>
      </c>
      <c r="B1249" s="30">
        <f t="shared" si="43"/>
        <v>6</v>
      </c>
      <c r="C1249" s="30" t="str">
        <f>_xlfn.IFS(Table_13[[#This Row],[Month]]=1,"JAN",Table_13[[#This Row],[Month]]=2,"FEB",B1249=3,"MAR",B1249=4,"APR",B1249=5,"MAY",B1249=6,"JUN",B1249=7,"JUL",B1249=8,"AUG",Table_13[[#This Row],[Month]]=9,"SEPT",B1249=10,"OCT",B1249=11,"NOV",B1249=12,"DEC")</f>
        <v>JUN</v>
      </c>
      <c r="D1249" s="2" t="s">
        <v>29</v>
      </c>
      <c r="E1249" s="2" t="s">
        <v>26</v>
      </c>
      <c r="F1249" s="2" t="s">
        <v>13</v>
      </c>
      <c r="G1249" s="2" t="s">
        <v>14</v>
      </c>
      <c r="H1249" s="2" t="s">
        <v>33</v>
      </c>
      <c r="I1249" s="2" t="s">
        <v>22</v>
      </c>
      <c r="J1249" s="15">
        <v>180000</v>
      </c>
      <c r="K1249" s="2">
        <v>8</v>
      </c>
      <c r="L1249" s="2" t="s">
        <v>39</v>
      </c>
      <c r="M1249" s="12">
        <f t="shared" si="36"/>
        <v>144000</v>
      </c>
      <c r="N1249" s="10">
        <f>PRODUCT(Table_13[[#This Row],[Unit Price]],Table_13[[#This Row],[Quantity]])</f>
        <v>1440000</v>
      </c>
      <c r="O1249" s="16">
        <f>PRODUCT(Table_13[[#This Row],[Cost Price]],Table_13[[#This Row],[Quantity]])</f>
        <v>1152000</v>
      </c>
      <c r="P1249" s="27">
        <f t="shared" si="44"/>
        <v>288000</v>
      </c>
    </row>
    <row r="1250" spans="1:16" x14ac:dyDescent="0.2">
      <c r="A1250" s="33">
        <v>46924</v>
      </c>
      <c r="B1250" s="30">
        <f t="shared" si="43"/>
        <v>6</v>
      </c>
      <c r="C1250" s="30" t="str">
        <f>_xlfn.IFS(Table_13[[#This Row],[Month]]=1,"JAN",Table_13[[#This Row],[Month]]=2,"FEB",B1250=3,"MAR",B1250=4,"APR",B1250=5,"MAY",B1250=6,"JUN",B1250=7,"JUL",B1250=8,"AUG",Table_13[[#This Row],[Month]]=9,"SEPT",B1250=10,"OCT",B1250=11,"NOV",B1250=12,"DEC")</f>
        <v>JUN</v>
      </c>
      <c r="D1250" s="2" t="s">
        <v>25</v>
      </c>
      <c r="E1250" s="2" t="s">
        <v>32</v>
      </c>
      <c r="F1250" s="2" t="s">
        <v>13</v>
      </c>
      <c r="G1250" s="2" t="s">
        <v>14</v>
      </c>
      <c r="H1250" s="2" t="s">
        <v>21</v>
      </c>
      <c r="I1250" s="2" t="s">
        <v>22</v>
      </c>
      <c r="J1250" s="15">
        <v>30000</v>
      </c>
      <c r="K1250" s="2">
        <v>1</v>
      </c>
      <c r="L1250" s="2" t="s">
        <v>28</v>
      </c>
      <c r="M1250" s="12">
        <f t="shared" si="36"/>
        <v>24000</v>
      </c>
      <c r="N1250" s="10">
        <f>PRODUCT(Table_13[[#This Row],[Unit Price]],Table_13[[#This Row],[Quantity]])</f>
        <v>30000</v>
      </c>
      <c r="O1250" s="16">
        <f>PRODUCT(Table_13[[#This Row],[Cost Price]],Table_13[[#This Row],[Quantity]])</f>
        <v>24000</v>
      </c>
      <c r="P1250" s="27">
        <f t="shared" si="44"/>
        <v>6000</v>
      </c>
    </row>
    <row r="1251" spans="1:16" x14ac:dyDescent="0.2">
      <c r="A1251" s="33">
        <v>46925</v>
      </c>
      <c r="B1251" s="30">
        <f t="shared" si="43"/>
        <v>6</v>
      </c>
      <c r="C1251" s="30" t="str">
        <f>_xlfn.IFS(Table_13[[#This Row],[Month]]=1,"JAN",Table_13[[#This Row],[Month]]=2,"FEB",B1251=3,"MAR",B1251=4,"APR",B1251=5,"MAY",B1251=6,"JUN",B1251=7,"JUL",B1251=8,"AUG",Table_13[[#This Row],[Month]]=9,"SEPT",B1251=10,"OCT",B1251=11,"NOV",B1251=12,"DEC")</f>
        <v>JUN</v>
      </c>
      <c r="D1251" s="2" t="s">
        <v>18</v>
      </c>
      <c r="E1251" s="2" t="s">
        <v>19</v>
      </c>
      <c r="F1251" s="2" t="s">
        <v>13</v>
      </c>
      <c r="G1251" s="2" t="s">
        <v>14</v>
      </c>
      <c r="H1251" s="2" t="s">
        <v>21</v>
      </c>
      <c r="I1251" s="2" t="s">
        <v>22</v>
      </c>
      <c r="J1251" s="15">
        <v>30000</v>
      </c>
      <c r="K1251" s="2">
        <v>8</v>
      </c>
      <c r="L1251" s="2" t="s">
        <v>35</v>
      </c>
      <c r="M1251" s="12">
        <f t="shared" si="36"/>
        <v>24000</v>
      </c>
      <c r="N1251" s="10">
        <f>PRODUCT(Table_13[[#This Row],[Unit Price]],Table_13[[#This Row],[Quantity]])</f>
        <v>240000</v>
      </c>
      <c r="O1251" s="16">
        <f>PRODUCT(Table_13[[#This Row],[Cost Price]],Table_13[[#This Row],[Quantity]])</f>
        <v>192000</v>
      </c>
      <c r="P1251" s="27">
        <f t="shared" si="44"/>
        <v>48000</v>
      </c>
    </row>
    <row r="1252" spans="1:16" x14ac:dyDescent="0.2">
      <c r="A1252" s="33">
        <v>46926</v>
      </c>
      <c r="B1252" s="30">
        <f t="shared" si="43"/>
        <v>6</v>
      </c>
      <c r="C1252" s="30" t="str">
        <f>_xlfn.IFS(Table_13[[#This Row],[Month]]=1,"JAN",Table_13[[#This Row],[Month]]=2,"FEB",B1252=3,"MAR",B1252=4,"APR",B1252=5,"MAY",B1252=6,"JUN",B1252=7,"JUL",B1252=8,"AUG",Table_13[[#This Row],[Month]]=9,"SEPT",B1252=10,"OCT",B1252=11,"NOV",B1252=12,"DEC")</f>
        <v>JUN</v>
      </c>
      <c r="D1252" s="2" t="s">
        <v>25</v>
      </c>
      <c r="E1252" s="2" t="s">
        <v>12</v>
      </c>
      <c r="F1252" s="2" t="s">
        <v>13</v>
      </c>
      <c r="G1252" s="2" t="s">
        <v>14</v>
      </c>
      <c r="H1252" s="2" t="s">
        <v>33</v>
      </c>
      <c r="I1252" s="2" t="s">
        <v>22</v>
      </c>
      <c r="J1252" s="15">
        <v>180000</v>
      </c>
      <c r="K1252" s="2">
        <v>3</v>
      </c>
      <c r="L1252" s="2" t="s">
        <v>39</v>
      </c>
      <c r="M1252" s="12">
        <f t="shared" si="36"/>
        <v>144000</v>
      </c>
      <c r="N1252" s="10">
        <f>PRODUCT(Table_13[[#This Row],[Unit Price]],Table_13[[#This Row],[Quantity]])</f>
        <v>540000</v>
      </c>
      <c r="O1252" s="16">
        <f>PRODUCT(Table_13[[#This Row],[Cost Price]],Table_13[[#This Row],[Quantity]])</f>
        <v>432000</v>
      </c>
      <c r="P1252" s="27">
        <f t="shared" si="44"/>
        <v>108000</v>
      </c>
    </row>
    <row r="1253" spans="1:16" x14ac:dyDescent="0.2">
      <c r="A1253" s="33">
        <v>46927</v>
      </c>
      <c r="B1253" s="30">
        <f t="shared" si="43"/>
        <v>6</v>
      </c>
      <c r="C1253" s="30" t="str">
        <f>_xlfn.IFS(Table_13[[#This Row],[Month]]=1,"JAN",Table_13[[#This Row],[Month]]=2,"FEB",B1253=3,"MAR",B1253=4,"APR",B1253=5,"MAY",B1253=6,"JUN",B1253=7,"JUL",B1253=8,"AUG",Table_13[[#This Row],[Month]]=9,"SEPT",B1253=10,"OCT",B1253=11,"NOV",B1253=12,"DEC")</f>
        <v>JUN</v>
      </c>
      <c r="D1253" s="2" t="s">
        <v>25</v>
      </c>
      <c r="E1253" s="2" t="s">
        <v>19</v>
      </c>
      <c r="F1253" s="2" t="s">
        <v>13</v>
      </c>
      <c r="G1253" s="2" t="s">
        <v>20</v>
      </c>
      <c r="H1253" s="2" t="s">
        <v>15</v>
      </c>
      <c r="I1253" s="2" t="s">
        <v>16</v>
      </c>
      <c r="J1253" s="15">
        <v>85000</v>
      </c>
      <c r="K1253" s="2">
        <v>7</v>
      </c>
      <c r="L1253" s="2" t="s">
        <v>24</v>
      </c>
      <c r="M1253" s="12">
        <f t="shared" si="36"/>
        <v>68000</v>
      </c>
      <c r="N1253" s="10">
        <f>PRODUCT(Table_13[[#This Row],[Unit Price]],Table_13[[#This Row],[Quantity]])</f>
        <v>595000</v>
      </c>
      <c r="O1253" s="16">
        <f>PRODUCT(Table_13[[#This Row],[Cost Price]],Table_13[[#This Row],[Quantity]])</f>
        <v>476000</v>
      </c>
      <c r="P1253" s="27">
        <f t="shared" si="44"/>
        <v>119000</v>
      </c>
    </row>
    <row r="1254" spans="1:16" x14ac:dyDescent="0.2">
      <c r="A1254" s="33">
        <v>46928</v>
      </c>
      <c r="B1254" s="30">
        <f t="shared" si="43"/>
        <v>6</v>
      </c>
      <c r="C1254" s="30" t="str">
        <f>_xlfn.IFS(Table_13[[#This Row],[Month]]=1,"JAN",Table_13[[#This Row],[Month]]=2,"FEB",B1254=3,"MAR",B1254=4,"APR",B1254=5,"MAY",B1254=6,"JUN",B1254=7,"JUL",B1254=8,"AUG",Table_13[[#This Row],[Month]]=9,"SEPT",B1254=10,"OCT",B1254=11,"NOV",B1254=12,"DEC")</f>
        <v>JUN</v>
      </c>
      <c r="D1254" s="2" t="s">
        <v>11</v>
      </c>
      <c r="E1254" s="2" t="s">
        <v>19</v>
      </c>
      <c r="F1254" s="2" t="s">
        <v>13</v>
      </c>
      <c r="G1254" s="2" t="s">
        <v>20</v>
      </c>
      <c r="H1254" s="2" t="s">
        <v>21</v>
      </c>
      <c r="I1254" s="2" t="s">
        <v>22</v>
      </c>
      <c r="J1254" s="15">
        <v>30000</v>
      </c>
      <c r="K1254" s="2">
        <v>7</v>
      </c>
      <c r="L1254" s="2" t="s">
        <v>28</v>
      </c>
      <c r="M1254" s="12">
        <f t="shared" si="36"/>
        <v>24000</v>
      </c>
      <c r="N1254" s="10">
        <f>PRODUCT(Table_13[[#This Row],[Unit Price]],Table_13[[#This Row],[Quantity]])</f>
        <v>210000</v>
      </c>
      <c r="O1254" s="16">
        <f>PRODUCT(Table_13[[#This Row],[Cost Price]],Table_13[[#This Row],[Quantity]])</f>
        <v>168000</v>
      </c>
      <c r="P1254" s="27">
        <f t="shared" si="44"/>
        <v>42000</v>
      </c>
    </row>
    <row r="1255" spans="1:16" x14ac:dyDescent="0.2">
      <c r="A1255" s="33">
        <v>46929</v>
      </c>
      <c r="B1255" s="30">
        <f t="shared" si="43"/>
        <v>6</v>
      </c>
      <c r="C1255" s="30" t="str">
        <f>_xlfn.IFS(Table_13[[#This Row],[Month]]=1,"JAN",Table_13[[#This Row],[Month]]=2,"FEB",B1255=3,"MAR",B1255=4,"APR",B1255=5,"MAY",B1255=6,"JUN",B1255=7,"JUL",B1255=8,"AUG",Table_13[[#This Row],[Month]]=9,"SEPT",B1255=10,"OCT",B1255=11,"NOV",B1255=12,"DEC")</f>
        <v>JUN</v>
      </c>
      <c r="D1255" s="2" t="s">
        <v>29</v>
      </c>
      <c r="E1255" s="2" t="s">
        <v>32</v>
      </c>
      <c r="F1255" s="2" t="s">
        <v>13</v>
      </c>
      <c r="G1255" s="2" t="s">
        <v>20</v>
      </c>
      <c r="H1255" s="2" t="s">
        <v>27</v>
      </c>
      <c r="I1255" s="2" t="s">
        <v>22</v>
      </c>
      <c r="J1255" s="15">
        <v>60000</v>
      </c>
      <c r="K1255" s="2">
        <v>3</v>
      </c>
      <c r="L1255" s="2" t="s">
        <v>28</v>
      </c>
      <c r="M1255" s="12">
        <f t="shared" si="36"/>
        <v>48000</v>
      </c>
      <c r="N1255" s="10">
        <f>PRODUCT(Table_13[[#This Row],[Unit Price]],Table_13[[#This Row],[Quantity]])</f>
        <v>180000</v>
      </c>
      <c r="O1255" s="16">
        <f>PRODUCT(Table_13[[#This Row],[Cost Price]],Table_13[[#This Row],[Quantity]])</f>
        <v>144000</v>
      </c>
      <c r="P1255" s="27">
        <f t="shared" si="44"/>
        <v>36000</v>
      </c>
    </row>
    <row r="1256" spans="1:16" x14ac:dyDescent="0.2">
      <c r="A1256" s="33">
        <v>46930</v>
      </c>
      <c r="B1256" s="30">
        <f t="shared" si="43"/>
        <v>6</v>
      </c>
      <c r="C1256" s="30" t="str">
        <f>_xlfn.IFS(Table_13[[#This Row],[Month]]=1,"JAN",Table_13[[#This Row],[Month]]=2,"FEB",B1256=3,"MAR",B1256=4,"APR",B1256=5,"MAY",B1256=6,"JUN",B1256=7,"JUL",B1256=8,"AUG",Table_13[[#This Row],[Month]]=9,"SEPT",B1256=10,"OCT",B1256=11,"NOV",B1256=12,"DEC")</f>
        <v>JUN</v>
      </c>
      <c r="D1256" s="2" t="s">
        <v>29</v>
      </c>
      <c r="E1256" s="2" t="s">
        <v>32</v>
      </c>
      <c r="F1256" s="2" t="s">
        <v>13</v>
      </c>
      <c r="G1256" s="2" t="s">
        <v>20</v>
      </c>
      <c r="H1256" s="2" t="s">
        <v>15</v>
      </c>
      <c r="I1256" s="2" t="s">
        <v>16</v>
      </c>
      <c r="J1256" s="15">
        <v>85000</v>
      </c>
      <c r="K1256" s="2">
        <v>5</v>
      </c>
      <c r="L1256" s="2" t="s">
        <v>17</v>
      </c>
      <c r="M1256" s="12">
        <f t="shared" si="36"/>
        <v>68000</v>
      </c>
      <c r="N1256" s="10">
        <f>PRODUCT(Table_13[[#This Row],[Unit Price]],Table_13[[#This Row],[Quantity]])</f>
        <v>425000</v>
      </c>
      <c r="O1256" s="16">
        <f>PRODUCT(Table_13[[#This Row],[Cost Price]],Table_13[[#This Row],[Quantity]])</f>
        <v>340000</v>
      </c>
      <c r="P1256" s="27">
        <f t="shared" si="44"/>
        <v>85000</v>
      </c>
    </row>
    <row r="1257" spans="1:16" x14ac:dyDescent="0.2">
      <c r="A1257" s="33">
        <v>46931</v>
      </c>
      <c r="B1257" s="30">
        <f t="shared" si="43"/>
        <v>6</v>
      </c>
      <c r="C1257" s="30" t="str">
        <f>_xlfn.IFS(Table_13[[#This Row],[Month]]=1,"JAN",Table_13[[#This Row],[Month]]=2,"FEB",B1257=3,"MAR",B1257=4,"APR",B1257=5,"MAY",B1257=6,"JUN",B1257=7,"JUL",B1257=8,"AUG",Table_13[[#This Row],[Month]]=9,"SEPT",B1257=10,"OCT",B1257=11,"NOV",B1257=12,"DEC")</f>
        <v>JUN</v>
      </c>
      <c r="D1257" s="2" t="s">
        <v>18</v>
      </c>
      <c r="E1257" s="2" t="s">
        <v>32</v>
      </c>
      <c r="F1257" s="2" t="s">
        <v>23</v>
      </c>
      <c r="G1257" s="2" t="s">
        <v>14</v>
      </c>
      <c r="H1257" s="2" t="s">
        <v>38</v>
      </c>
      <c r="I1257" s="2" t="s">
        <v>31</v>
      </c>
      <c r="J1257" s="15">
        <v>420000</v>
      </c>
      <c r="K1257" s="2">
        <v>1</v>
      </c>
      <c r="L1257" s="2" t="s">
        <v>17</v>
      </c>
      <c r="M1257" s="12">
        <f t="shared" si="36"/>
        <v>336000</v>
      </c>
      <c r="N1257" s="10">
        <f>PRODUCT(Table_13[[#This Row],[Unit Price]],Table_13[[#This Row],[Quantity]])</f>
        <v>420000</v>
      </c>
      <c r="O1257" s="16">
        <f>PRODUCT(Table_13[[#This Row],[Cost Price]],Table_13[[#This Row],[Quantity]])</f>
        <v>336000</v>
      </c>
      <c r="P1257" s="27">
        <f t="shared" si="44"/>
        <v>84000</v>
      </c>
    </row>
    <row r="1258" spans="1:16" x14ac:dyDescent="0.2">
      <c r="A1258" s="33">
        <v>46932</v>
      </c>
      <c r="B1258" s="30">
        <f t="shared" si="43"/>
        <v>6</v>
      </c>
      <c r="C1258" s="30" t="str">
        <f>_xlfn.IFS(Table_13[[#This Row],[Month]]=1,"JAN",Table_13[[#This Row],[Month]]=2,"FEB",B1258=3,"MAR",B1258=4,"APR",B1258=5,"MAY",B1258=6,"JUN",B1258=7,"JUL",B1258=8,"AUG",Table_13[[#This Row],[Month]]=9,"SEPT",B1258=10,"OCT",B1258=11,"NOV",B1258=12,"DEC")</f>
        <v>JUN</v>
      </c>
      <c r="D1258" s="2" t="s">
        <v>25</v>
      </c>
      <c r="E1258" s="2" t="s">
        <v>26</v>
      </c>
      <c r="F1258" s="2" t="s">
        <v>23</v>
      </c>
      <c r="G1258" s="2" t="s">
        <v>20</v>
      </c>
      <c r="H1258" s="2" t="s">
        <v>21</v>
      </c>
      <c r="I1258" s="2" t="s">
        <v>22</v>
      </c>
      <c r="J1258" s="15">
        <v>30000</v>
      </c>
      <c r="K1258" s="2">
        <v>5</v>
      </c>
      <c r="L1258" s="2" t="s">
        <v>17</v>
      </c>
      <c r="M1258" s="12">
        <f t="shared" si="36"/>
        <v>24000</v>
      </c>
      <c r="N1258" s="10">
        <f>PRODUCT(Table_13[[#This Row],[Unit Price]],Table_13[[#This Row],[Quantity]])</f>
        <v>150000</v>
      </c>
      <c r="O1258" s="16">
        <f>PRODUCT(Table_13[[#This Row],[Cost Price]],Table_13[[#This Row],[Quantity]])</f>
        <v>120000</v>
      </c>
      <c r="P1258" s="27">
        <f t="shared" si="44"/>
        <v>30000</v>
      </c>
    </row>
    <row r="1259" spans="1:16" x14ac:dyDescent="0.2">
      <c r="A1259" s="33">
        <v>46933</v>
      </c>
      <c r="B1259" s="30">
        <f t="shared" si="43"/>
        <v>6</v>
      </c>
      <c r="C1259" s="30" t="str">
        <f>_xlfn.IFS(Table_13[[#This Row],[Month]]=1,"JAN",Table_13[[#This Row],[Month]]=2,"FEB",B1259=3,"MAR",B1259=4,"APR",B1259=5,"MAY",B1259=6,"JUN",B1259=7,"JUL",B1259=8,"AUG",Table_13[[#This Row],[Month]]=9,"SEPT",B1259=10,"OCT",B1259=11,"NOV",B1259=12,"DEC")</f>
        <v>JUN</v>
      </c>
      <c r="D1259" s="2" t="s">
        <v>11</v>
      </c>
      <c r="E1259" s="2" t="s">
        <v>26</v>
      </c>
      <c r="F1259" s="2" t="s">
        <v>13</v>
      </c>
      <c r="G1259" s="2" t="s">
        <v>14</v>
      </c>
      <c r="H1259" s="2" t="s">
        <v>40</v>
      </c>
      <c r="I1259" s="2" t="s">
        <v>31</v>
      </c>
      <c r="J1259" s="15">
        <v>250000</v>
      </c>
      <c r="K1259" s="2">
        <v>9</v>
      </c>
      <c r="L1259" s="2" t="s">
        <v>35</v>
      </c>
      <c r="M1259" s="12">
        <f t="shared" si="36"/>
        <v>200000</v>
      </c>
      <c r="N1259" s="10">
        <f>PRODUCT(Table_13[[#This Row],[Unit Price]],Table_13[[#This Row],[Quantity]])</f>
        <v>2250000</v>
      </c>
      <c r="O1259" s="16">
        <f>PRODUCT(Table_13[[#This Row],[Cost Price]],Table_13[[#This Row],[Quantity]])</f>
        <v>1800000</v>
      </c>
      <c r="P1259" s="27">
        <f t="shared" si="44"/>
        <v>450000</v>
      </c>
    </row>
    <row r="1260" spans="1:16" x14ac:dyDescent="0.2">
      <c r="A1260" s="33">
        <v>46934</v>
      </c>
      <c r="B1260" s="30">
        <f t="shared" si="43"/>
        <v>6</v>
      </c>
      <c r="C1260" s="30" t="str">
        <f>_xlfn.IFS(Table_13[[#This Row],[Month]]=1,"JAN",Table_13[[#This Row],[Month]]=2,"FEB",B1260=3,"MAR",B1260=4,"APR",B1260=5,"MAY",B1260=6,"JUN",B1260=7,"JUL",B1260=8,"AUG",Table_13[[#This Row],[Month]]=9,"SEPT",B1260=10,"OCT",B1260=11,"NOV",B1260=12,"DEC")</f>
        <v>JUN</v>
      </c>
      <c r="D1260" s="2" t="s">
        <v>29</v>
      </c>
      <c r="E1260" s="2" t="s">
        <v>19</v>
      </c>
      <c r="F1260" s="2" t="s">
        <v>23</v>
      </c>
      <c r="G1260" s="2" t="s">
        <v>14</v>
      </c>
      <c r="H1260" s="2" t="s">
        <v>36</v>
      </c>
      <c r="I1260" s="2" t="s">
        <v>31</v>
      </c>
      <c r="J1260" s="15">
        <v>150000</v>
      </c>
      <c r="K1260" s="2">
        <v>3</v>
      </c>
      <c r="L1260" s="2" t="s">
        <v>39</v>
      </c>
      <c r="M1260" s="12">
        <f t="shared" si="36"/>
        <v>120000</v>
      </c>
      <c r="N1260" s="10">
        <f>PRODUCT(Table_13[[#This Row],[Unit Price]],Table_13[[#This Row],[Quantity]])</f>
        <v>450000</v>
      </c>
      <c r="O1260" s="16">
        <f>PRODUCT(Table_13[[#This Row],[Cost Price]],Table_13[[#This Row],[Quantity]])</f>
        <v>360000</v>
      </c>
      <c r="P1260" s="27">
        <f t="shared" si="44"/>
        <v>90000</v>
      </c>
    </row>
    <row r="1261" spans="1:16" x14ac:dyDescent="0.2">
      <c r="A1261" s="33">
        <v>46935</v>
      </c>
      <c r="B1261" s="30">
        <f t="shared" si="43"/>
        <v>7</v>
      </c>
      <c r="C1261" s="30" t="str">
        <f>_xlfn.IFS(Table_13[[#This Row],[Month]]=1,"JAN",Table_13[[#This Row],[Month]]=2,"FEB",B1261=3,"MAR",B1261=4,"APR",B1261=5,"MAY",B1261=6,"JUN",B1261=7,"JUL",B1261=8,"AUG",Table_13[[#This Row],[Month]]=9,"SEPT",B1261=10,"OCT",B1261=11,"NOV",B1261=12,"DEC")</f>
        <v>JUL</v>
      </c>
      <c r="D1261" s="2" t="s">
        <v>18</v>
      </c>
      <c r="E1261" s="2" t="s">
        <v>19</v>
      </c>
      <c r="F1261" s="2" t="s">
        <v>23</v>
      </c>
      <c r="G1261" s="2" t="s">
        <v>14</v>
      </c>
      <c r="H1261" s="2" t="s">
        <v>30</v>
      </c>
      <c r="I1261" s="2" t="s">
        <v>31</v>
      </c>
      <c r="J1261" s="15">
        <v>300000</v>
      </c>
      <c r="K1261" s="2">
        <v>5</v>
      </c>
      <c r="L1261" s="2" t="s">
        <v>39</v>
      </c>
      <c r="M1261" s="12">
        <f t="shared" si="36"/>
        <v>240000</v>
      </c>
      <c r="N1261" s="10">
        <f>PRODUCT(Table_13[[#This Row],[Unit Price]],Table_13[[#This Row],[Quantity]])</f>
        <v>1500000</v>
      </c>
      <c r="O1261" s="16">
        <f>PRODUCT(Table_13[[#This Row],[Cost Price]],Table_13[[#This Row],[Quantity]])</f>
        <v>1200000</v>
      </c>
      <c r="P1261" s="27">
        <f t="shared" si="44"/>
        <v>300000</v>
      </c>
    </row>
    <row r="1262" spans="1:16" x14ac:dyDescent="0.2">
      <c r="A1262" s="33">
        <v>46936</v>
      </c>
      <c r="B1262" s="30">
        <f t="shared" si="43"/>
        <v>7</v>
      </c>
      <c r="C1262" s="30" t="str">
        <f>_xlfn.IFS(Table_13[[#This Row],[Month]]=1,"JAN",Table_13[[#This Row],[Month]]=2,"FEB",B1262=3,"MAR",B1262=4,"APR",B1262=5,"MAY",B1262=6,"JUN",B1262=7,"JUL",B1262=8,"AUG",Table_13[[#This Row],[Month]]=9,"SEPT",B1262=10,"OCT",B1262=11,"NOV",B1262=12,"DEC")</f>
        <v>JUL</v>
      </c>
      <c r="D1262" s="2" t="s">
        <v>11</v>
      </c>
      <c r="E1262" s="2" t="s">
        <v>12</v>
      </c>
      <c r="F1262" s="2" t="s">
        <v>13</v>
      </c>
      <c r="G1262" s="2" t="s">
        <v>20</v>
      </c>
      <c r="H1262" s="2" t="s">
        <v>34</v>
      </c>
      <c r="I1262" s="2" t="s">
        <v>16</v>
      </c>
      <c r="J1262" s="15">
        <v>320000</v>
      </c>
      <c r="K1262" s="2">
        <v>5</v>
      </c>
      <c r="L1262" s="2" t="s">
        <v>17</v>
      </c>
      <c r="M1262" s="12">
        <f t="shared" si="36"/>
        <v>256000</v>
      </c>
      <c r="N1262" s="10">
        <f>PRODUCT(Table_13[[#This Row],[Unit Price]],Table_13[[#This Row],[Quantity]])</f>
        <v>1600000</v>
      </c>
      <c r="O1262" s="16">
        <f>PRODUCT(Table_13[[#This Row],[Cost Price]],Table_13[[#This Row],[Quantity]])</f>
        <v>1280000</v>
      </c>
      <c r="P1262" s="27">
        <f t="shared" si="44"/>
        <v>320000</v>
      </c>
    </row>
    <row r="1263" spans="1:16" x14ac:dyDescent="0.2">
      <c r="A1263" s="33">
        <v>46937</v>
      </c>
      <c r="B1263" s="30">
        <f t="shared" si="43"/>
        <v>7</v>
      </c>
      <c r="C1263" s="30" t="str">
        <f>_xlfn.IFS(Table_13[[#This Row],[Month]]=1,"JAN",Table_13[[#This Row],[Month]]=2,"FEB",B1263=3,"MAR",B1263=4,"APR",B1263=5,"MAY",B1263=6,"JUN",B1263=7,"JUL",B1263=8,"AUG",Table_13[[#This Row],[Month]]=9,"SEPT",B1263=10,"OCT",B1263=11,"NOV",B1263=12,"DEC")</f>
        <v>JUL</v>
      </c>
      <c r="D1263" s="2" t="s">
        <v>11</v>
      </c>
      <c r="E1263" s="2" t="s">
        <v>32</v>
      </c>
      <c r="F1263" s="2" t="s">
        <v>23</v>
      </c>
      <c r="G1263" s="2" t="s">
        <v>20</v>
      </c>
      <c r="H1263" s="2" t="s">
        <v>15</v>
      </c>
      <c r="I1263" s="2" t="s">
        <v>16</v>
      </c>
      <c r="J1263" s="15">
        <v>85000</v>
      </c>
      <c r="K1263" s="2">
        <v>10</v>
      </c>
      <c r="L1263" s="2" t="s">
        <v>37</v>
      </c>
      <c r="M1263" s="12">
        <f t="shared" si="36"/>
        <v>68000</v>
      </c>
      <c r="N1263" s="10">
        <f>PRODUCT(Table_13[[#This Row],[Unit Price]],Table_13[[#This Row],[Quantity]])</f>
        <v>850000</v>
      </c>
      <c r="O1263" s="16">
        <f>PRODUCT(Table_13[[#This Row],[Cost Price]],Table_13[[#This Row],[Quantity]])</f>
        <v>680000</v>
      </c>
      <c r="P1263" s="27">
        <f t="shared" si="44"/>
        <v>170000</v>
      </c>
    </row>
    <row r="1264" spans="1:16" x14ac:dyDescent="0.2">
      <c r="A1264" s="33">
        <v>46938</v>
      </c>
      <c r="B1264" s="30">
        <f t="shared" si="43"/>
        <v>7</v>
      </c>
      <c r="C1264" s="30" t="str">
        <f>_xlfn.IFS(Table_13[[#This Row],[Month]]=1,"JAN",Table_13[[#This Row],[Month]]=2,"FEB",B1264=3,"MAR",B1264=4,"APR",B1264=5,"MAY",B1264=6,"JUN",B1264=7,"JUL",B1264=8,"AUG",Table_13[[#This Row],[Month]]=9,"SEPT",B1264=10,"OCT",B1264=11,"NOV",B1264=12,"DEC")</f>
        <v>JUL</v>
      </c>
      <c r="D1264" s="2" t="s">
        <v>11</v>
      </c>
      <c r="E1264" s="2" t="s">
        <v>19</v>
      </c>
      <c r="F1264" s="2" t="s">
        <v>13</v>
      </c>
      <c r="G1264" s="2" t="s">
        <v>20</v>
      </c>
      <c r="H1264" s="2" t="s">
        <v>33</v>
      </c>
      <c r="I1264" s="2" t="s">
        <v>22</v>
      </c>
      <c r="J1264" s="15">
        <v>180000</v>
      </c>
      <c r="K1264" s="2">
        <v>3</v>
      </c>
      <c r="L1264" s="2" t="s">
        <v>37</v>
      </c>
      <c r="M1264" s="12">
        <f t="shared" si="36"/>
        <v>144000</v>
      </c>
      <c r="N1264" s="10">
        <f>PRODUCT(Table_13[[#This Row],[Unit Price]],Table_13[[#This Row],[Quantity]])</f>
        <v>540000</v>
      </c>
      <c r="O1264" s="16">
        <f>PRODUCT(Table_13[[#This Row],[Cost Price]],Table_13[[#This Row],[Quantity]])</f>
        <v>432000</v>
      </c>
      <c r="P1264" s="27">
        <f t="shared" si="44"/>
        <v>108000</v>
      </c>
    </row>
    <row r="1265" spans="1:16" x14ac:dyDescent="0.2">
      <c r="A1265" s="33">
        <v>46939</v>
      </c>
      <c r="B1265" s="30">
        <f t="shared" si="43"/>
        <v>7</v>
      </c>
      <c r="C1265" s="30" t="str">
        <f>_xlfn.IFS(Table_13[[#This Row],[Month]]=1,"JAN",Table_13[[#This Row],[Month]]=2,"FEB",B1265=3,"MAR",B1265=4,"APR",B1265=5,"MAY",B1265=6,"JUN",B1265=7,"JUL",B1265=8,"AUG",Table_13[[#This Row],[Month]]=9,"SEPT",B1265=10,"OCT",B1265=11,"NOV",B1265=12,"DEC")</f>
        <v>JUL</v>
      </c>
      <c r="D1265" s="2" t="s">
        <v>18</v>
      </c>
      <c r="E1265" s="2" t="s">
        <v>32</v>
      </c>
      <c r="F1265" s="2" t="s">
        <v>23</v>
      </c>
      <c r="G1265" s="2" t="s">
        <v>20</v>
      </c>
      <c r="H1265" s="2" t="s">
        <v>21</v>
      </c>
      <c r="I1265" s="2" t="s">
        <v>22</v>
      </c>
      <c r="J1265" s="15">
        <v>30000</v>
      </c>
      <c r="K1265" s="2">
        <v>3</v>
      </c>
      <c r="L1265" s="2" t="s">
        <v>39</v>
      </c>
      <c r="M1265" s="12">
        <f t="shared" si="36"/>
        <v>24000</v>
      </c>
      <c r="N1265" s="10">
        <f>PRODUCT(Table_13[[#This Row],[Unit Price]],Table_13[[#This Row],[Quantity]])</f>
        <v>90000</v>
      </c>
      <c r="O1265" s="16">
        <f>PRODUCT(Table_13[[#This Row],[Cost Price]],Table_13[[#This Row],[Quantity]])</f>
        <v>72000</v>
      </c>
      <c r="P1265" s="27">
        <f t="shared" si="44"/>
        <v>18000</v>
      </c>
    </row>
    <row r="1266" spans="1:16" x14ac:dyDescent="0.2">
      <c r="A1266" s="33">
        <v>46940</v>
      </c>
      <c r="B1266" s="30">
        <f t="shared" si="43"/>
        <v>7</v>
      </c>
      <c r="C1266" s="30" t="str">
        <f>_xlfn.IFS(Table_13[[#This Row],[Month]]=1,"JAN",Table_13[[#This Row],[Month]]=2,"FEB",B1266=3,"MAR",B1266=4,"APR",B1266=5,"MAY",B1266=6,"JUN",B1266=7,"JUL",B1266=8,"AUG",Table_13[[#This Row],[Month]]=9,"SEPT",B1266=10,"OCT",B1266=11,"NOV",B1266=12,"DEC")</f>
        <v>JUL</v>
      </c>
      <c r="D1266" s="2" t="s">
        <v>29</v>
      </c>
      <c r="E1266" s="2" t="s">
        <v>19</v>
      </c>
      <c r="F1266" s="2" t="s">
        <v>13</v>
      </c>
      <c r="G1266" s="2" t="s">
        <v>20</v>
      </c>
      <c r="H1266" s="2" t="s">
        <v>36</v>
      </c>
      <c r="I1266" s="2" t="s">
        <v>31</v>
      </c>
      <c r="J1266" s="15">
        <v>150000</v>
      </c>
      <c r="K1266" s="2">
        <v>5</v>
      </c>
      <c r="L1266" s="2" t="s">
        <v>37</v>
      </c>
      <c r="M1266" s="12">
        <f t="shared" si="36"/>
        <v>120000</v>
      </c>
      <c r="N1266" s="10">
        <f>PRODUCT(Table_13[[#This Row],[Unit Price]],Table_13[[#This Row],[Quantity]])</f>
        <v>750000</v>
      </c>
      <c r="O1266" s="16">
        <f>PRODUCT(Table_13[[#This Row],[Cost Price]],Table_13[[#This Row],[Quantity]])</f>
        <v>600000</v>
      </c>
      <c r="P1266" s="27">
        <f t="shared" si="44"/>
        <v>150000</v>
      </c>
    </row>
    <row r="1267" spans="1:16" x14ac:dyDescent="0.2">
      <c r="A1267" s="33">
        <v>46941</v>
      </c>
      <c r="B1267" s="30">
        <f t="shared" si="43"/>
        <v>7</v>
      </c>
      <c r="C1267" s="30" t="str">
        <f>_xlfn.IFS(Table_13[[#This Row],[Month]]=1,"JAN",Table_13[[#This Row],[Month]]=2,"FEB",B1267=3,"MAR",B1267=4,"APR",B1267=5,"MAY",B1267=6,"JUN",B1267=7,"JUL",B1267=8,"AUG",Table_13[[#This Row],[Month]]=9,"SEPT",B1267=10,"OCT",B1267=11,"NOV",B1267=12,"DEC")</f>
        <v>JUL</v>
      </c>
      <c r="D1267" s="2" t="s">
        <v>29</v>
      </c>
      <c r="E1267" s="2" t="s">
        <v>26</v>
      </c>
      <c r="F1267" s="2" t="s">
        <v>13</v>
      </c>
      <c r="G1267" s="2" t="s">
        <v>14</v>
      </c>
      <c r="H1267" s="2" t="s">
        <v>30</v>
      </c>
      <c r="I1267" s="2" t="s">
        <v>31</v>
      </c>
      <c r="J1267" s="15">
        <v>300000</v>
      </c>
      <c r="K1267" s="2">
        <v>4</v>
      </c>
      <c r="L1267" s="2" t="s">
        <v>35</v>
      </c>
      <c r="M1267" s="12">
        <f t="shared" si="36"/>
        <v>240000</v>
      </c>
      <c r="N1267" s="10">
        <f>PRODUCT(Table_13[[#This Row],[Unit Price]],Table_13[[#This Row],[Quantity]])</f>
        <v>1200000</v>
      </c>
      <c r="O1267" s="16">
        <f>PRODUCT(Table_13[[#This Row],[Cost Price]],Table_13[[#This Row],[Quantity]])</f>
        <v>960000</v>
      </c>
      <c r="P1267" s="27">
        <f t="shared" si="44"/>
        <v>240000</v>
      </c>
    </row>
    <row r="1268" spans="1:16" x14ac:dyDescent="0.2">
      <c r="A1268" s="33">
        <v>46942</v>
      </c>
      <c r="B1268" s="30">
        <f t="shared" si="43"/>
        <v>7</v>
      </c>
      <c r="C1268" s="30" t="str">
        <f>_xlfn.IFS(Table_13[[#This Row],[Month]]=1,"JAN",Table_13[[#This Row],[Month]]=2,"FEB",B1268=3,"MAR",B1268=4,"APR",B1268=5,"MAY",B1268=6,"JUN",B1268=7,"JUL",B1268=8,"AUG",Table_13[[#This Row],[Month]]=9,"SEPT",B1268=10,"OCT",B1268=11,"NOV",B1268=12,"DEC")</f>
        <v>JUL</v>
      </c>
      <c r="D1268" s="2" t="s">
        <v>18</v>
      </c>
      <c r="E1268" s="2" t="s">
        <v>26</v>
      </c>
      <c r="F1268" s="2" t="s">
        <v>23</v>
      </c>
      <c r="G1268" s="2" t="s">
        <v>20</v>
      </c>
      <c r="H1268" s="2" t="s">
        <v>21</v>
      </c>
      <c r="I1268" s="2" t="s">
        <v>22</v>
      </c>
      <c r="J1268" s="15">
        <v>30000</v>
      </c>
      <c r="K1268" s="2">
        <v>8</v>
      </c>
      <c r="L1268" s="2" t="s">
        <v>37</v>
      </c>
      <c r="M1268" s="12">
        <f t="shared" si="36"/>
        <v>24000</v>
      </c>
      <c r="N1268" s="10">
        <f>PRODUCT(Table_13[[#This Row],[Unit Price]],Table_13[[#This Row],[Quantity]])</f>
        <v>240000</v>
      </c>
      <c r="O1268" s="16">
        <f>PRODUCT(Table_13[[#This Row],[Cost Price]],Table_13[[#This Row],[Quantity]])</f>
        <v>192000</v>
      </c>
      <c r="P1268" s="27">
        <f t="shared" si="44"/>
        <v>48000</v>
      </c>
    </row>
    <row r="1269" spans="1:16" x14ac:dyDescent="0.2">
      <c r="A1269" s="33">
        <v>46943</v>
      </c>
      <c r="B1269" s="30">
        <f t="shared" si="43"/>
        <v>7</v>
      </c>
      <c r="C1269" s="30" t="str">
        <f>_xlfn.IFS(Table_13[[#This Row],[Month]]=1,"JAN",Table_13[[#This Row],[Month]]=2,"FEB",B1269=3,"MAR",B1269=4,"APR",B1269=5,"MAY",B1269=6,"JUN",B1269=7,"JUL",B1269=8,"AUG",Table_13[[#This Row],[Month]]=9,"SEPT",B1269=10,"OCT",B1269=11,"NOV",B1269=12,"DEC")</f>
        <v>JUL</v>
      </c>
      <c r="D1269" s="2" t="s">
        <v>11</v>
      </c>
      <c r="E1269" s="2" t="s">
        <v>12</v>
      </c>
      <c r="F1269" s="2" t="s">
        <v>13</v>
      </c>
      <c r="G1269" s="2" t="s">
        <v>20</v>
      </c>
      <c r="H1269" s="2" t="s">
        <v>41</v>
      </c>
      <c r="I1269" s="2" t="s">
        <v>22</v>
      </c>
      <c r="J1269" s="15">
        <v>220000</v>
      </c>
      <c r="K1269" s="2">
        <v>10</v>
      </c>
      <c r="L1269" s="2" t="s">
        <v>24</v>
      </c>
      <c r="M1269" s="12">
        <f t="shared" si="36"/>
        <v>176000</v>
      </c>
      <c r="N1269" s="10">
        <f>PRODUCT(Table_13[[#This Row],[Unit Price]],Table_13[[#This Row],[Quantity]])</f>
        <v>2200000</v>
      </c>
      <c r="O1269" s="16">
        <f>PRODUCT(Table_13[[#This Row],[Cost Price]],Table_13[[#This Row],[Quantity]])</f>
        <v>1760000</v>
      </c>
      <c r="P1269" s="27">
        <f t="shared" si="44"/>
        <v>440000</v>
      </c>
    </row>
    <row r="1270" spans="1:16" x14ac:dyDescent="0.2">
      <c r="A1270" s="33">
        <v>46944</v>
      </c>
      <c r="B1270" s="30">
        <f t="shared" si="43"/>
        <v>7</v>
      </c>
      <c r="C1270" s="30" t="str">
        <f>_xlfn.IFS(Table_13[[#This Row],[Month]]=1,"JAN",Table_13[[#This Row],[Month]]=2,"FEB",B1270=3,"MAR",B1270=4,"APR",B1270=5,"MAY",B1270=6,"JUN",B1270=7,"JUL",B1270=8,"AUG",Table_13[[#This Row],[Month]]=9,"SEPT",B1270=10,"OCT",B1270=11,"NOV",B1270=12,"DEC")</f>
        <v>JUL</v>
      </c>
      <c r="D1270" s="2" t="s">
        <v>25</v>
      </c>
      <c r="E1270" s="2" t="s">
        <v>26</v>
      </c>
      <c r="F1270" s="2" t="s">
        <v>13</v>
      </c>
      <c r="G1270" s="2" t="s">
        <v>14</v>
      </c>
      <c r="H1270" s="2" t="s">
        <v>21</v>
      </c>
      <c r="I1270" s="2" t="s">
        <v>22</v>
      </c>
      <c r="J1270" s="15">
        <v>30000</v>
      </c>
      <c r="K1270" s="2">
        <v>10</v>
      </c>
      <c r="L1270" s="2" t="s">
        <v>28</v>
      </c>
      <c r="M1270" s="12">
        <f t="shared" si="36"/>
        <v>24000</v>
      </c>
      <c r="N1270" s="10">
        <f>PRODUCT(Table_13[[#This Row],[Unit Price]],Table_13[[#This Row],[Quantity]])</f>
        <v>300000</v>
      </c>
      <c r="O1270" s="16">
        <f>PRODUCT(Table_13[[#This Row],[Cost Price]],Table_13[[#This Row],[Quantity]])</f>
        <v>240000</v>
      </c>
      <c r="P1270" s="27">
        <f t="shared" si="44"/>
        <v>60000</v>
      </c>
    </row>
    <row r="1271" spans="1:16" x14ac:dyDescent="0.2">
      <c r="A1271" s="33">
        <v>46945</v>
      </c>
      <c r="B1271" s="30">
        <f t="shared" si="43"/>
        <v>7</v>
      </c>
      <c r="C1271" s="30" t="str">
        <f>_xlfn.IFS(Table_13[[#This Row],[Month]]=1,"JAN",Table_13[[#This Row],[Month]]=2,"FEB",B1271=3,"MAR",B1271=4,"APR",B1271=5,"MAY",B1271=6,"JUN",B1271=7,"JUL",B1271=8,"AUG",Table_13[[#This Row],[Month]]=9,"SEPT",B1271=10,"OCT",B1271=11,"NOV",B1271=12,"DEC")</f>
        <v>JUL</v>
      </c>
      <c r="D1271" s="2" t="s">
        <v>18</v>
      </c>
      <c r="E1271" s="2" t="s">
        <v>19</v>
      </c>
      <c r="F1271" s="2" t="s">
        <v>23</v>
      </c>
      <c r="G1271" s="2" t="s">
        <v>20</v>
      </c>
      <c r="H1271" s="2" t="s">
        <v>40</v>
      </c>
      <c r="I1271" s="2" t="s">
        <v>31</v>
      </c>
      <c r="J1271" s="15">
        <v>250000</v>
      </c>
      <c r="K1271" s="2">
        <v>5</v>
      </c>
      <c r="L1271" s="2" t="s">
        <v>17</v>
      </c>
      <c r="M1271" s="12">
        <f t="shared" si="36"/>
        <v>200000</v>
      </c>
      <c r="N1271" s="10">
        <f>PRODUCT(Table_13[[#This Row],[Unit Price]],Table_13[[#This Row],[Quantity]])</f>
        <v>1250000</v>
      </c>
      <c r="O1271" s="16">
        <f>PRODUCT(Table_13[[#This Row],[Cost Price]],Table_13[[#This Row],[Quantity]])</f>
        <v>1000000</v>
      </c>
      <c r="P1271" s="27">
        <f t="shared" si="44"/>
        <v>250000</v>
      </c>
    </row>
    <row r="1272" spans="1:16" x14ac:dyDescent="0.2">
      <c r="A1272" s="33">
        <v>46946</v>
      </c>
      <c r="B1272" s="30">
        <f t="shared" si="43"/>
        <v>7</v>
      </c>
      <c r="C1272" s="30" t="str">
        <f>_xlfn.IFS(Table_13[[#This Row],[Month]]=1,"JAN",Table_13[[#This Row],[Month]]=2,"FEB",B1272=3,"MAR",B1272=4,"APR",B1272=5,"MAY",B1272=6,"JUN",B1272=7,"JUL",B1272=8,"AUG",Table_13[[#This Row],[Month]]=9,"SEPT",B1272=10,"OCT",B1272=11,"NOV",B1272=12,"DEC")</f>
        <v>JUL</v>
      </c>
      <c r="D1272" s="2" t="s">
        <v>25</v>
      </c>
      <c r="E1272" s="2" t="s">
        <v>19</v>
      </c>
      <c r="F1272" s="2" t="s">
        <v>23</v>
      </c>
      <c r="G1272" s="2" t="s">
        <v>20</v>
      </c>
      <c r="H1272" s="2" t="s">
        <v>36</v>
      </c>
      <c r="I1272" s="2" t="s">
        <v>31</v>
      </c>
      <c r="J1272" s="15">
        <v>150000</v>
      </c>
      <c r="K1272" s="2">
        <v>8</v>
      </c>
      <c r="L1272" s="2" t="s">
        <v>17</v>
      </c>
      <c r="M1272" s="12">
        <f t="shared" si="36"/>
        <v>120000</v>
      </c>
      <c r="N1272" s="10">
        <f>PRODUCT(Table_13[[#This Row],[Unit Price]],Table_13[[#This Row],[Quantity]])</f>
        <v>1200000</v>
      </c>
      <c r="O1272" s="16">
        <f>PRODUCT(Table_13[[#This Row],[Cost Price]],Table_13[[#This Row],[Quantity]])</f>
        <v>960000</v>
      </c>
      <c r="P1272" s="27">
        <f t="shared" si="44"/>
        <v>240000</v>
      </c>
    </row>
    <row r="1273" spans="1:16" x14ac:dyDescent="0.2">
      <c r="A1273" s="33">
        <v>46947</v>
      </c>
      <c r="B1273" s="30">
        <f t="shared" si="43"/>
        <v>7</v>
      </c>
      <c r="C1273" s="30" t="str">
        <f>_xlfn.IFS(Table_13[[#This Row],[Month]]=1,"JAN",Table_13[[#This Row],[Month]]=2,"FEB",B1273=3,"MAR",B1273=4,"APR",B1273=5,"MAY",B1273=6,"JUN",B1273=7,"JUL",B1273=8,"AUG",Table_13[[#This Row],[Month]]=9,"SEPT",B1273=10,"OCT",B1273=11,"NOV",B1273=12,"DEC")</f>
        <v>JUL</v>
      </c>
      <c r="D1273" s="2" t="s">
        <v>25</v>
      </c>
      <c r="E1273" s="2" t="s">
        <v>12</v>
      </c>
      <c r="F1273" s="2" t="s">
        <v>13</v>
      </c>
      <c r="G1273" s="2" t="s">
        <v>20</v>
      </c>
      <c r="H1273" s="2" t="s">
        <v>15</v>
      </c>
      <c r="I1273" s="2" t="s">
        <v>16</v>
      </c>
      <c r="J1273" s="15">
        <v>85000</v>
      </c>
      <c r="K1273" s="2">
        <v>1</v>
      </c>
      <c r="L1273" s="2" t="s">
        <v>17</v>
      </c>
      <c r="M1273" s="12">
        <f t="shared" si="36"/>
        <v>68000</v>
      </c>
      <c r="N1273" s="10">
        <f>PRODUCT(Table_13[[#This Row],[Unit Price]],Table_13[[#This Row],[Quantity]])</f>
        <v>85000</v>
      </c>
      <c r="O1273" s="16">
        <f>PRODUCT(Table_13[[#This Row],[Cost Price]],Table_13[[#This Row],[Quantity]])</f>
        <v>68000</v>
      </c>
      <c r="P1273" s="27">
        <f t="shared" si="44"/>
        <v>17000</v>
      </c>
    </row>
    <row r="1274" spans="1:16" x14ac:dyDescent="0.2">
      <c r="A1274" s="33">
        <v>46948</v>
      </c>
      <c r="B1274" s="30">
        <f t="shared" si="43"/>
        <v>7</v>
      </c>
      <c r="C1274" s="30" t="str">
        <f>_xlfn.IFS(Table_13[[#This Row],[Month]]=1,"JAN",Table_13[[#This Row],[Month]]=2,"FEB",B1274=3,"MAR",B1274=4,"APR",B1274=5,"MAY",B1274=6,"JUN",B1274=7,"JUL",B1274=8,"AUG",Table_13[[#This Row],[Month]]=9,"SEPT",B1274=10,"OCT",B1274=11,"NOV",B1274=12,"DEC")</f>
        <v>JUL</v>
      </c>
      <c r="D1274" s="2" t="s">
        <v>18</v>
      </c>
      <c r="E1274" s="2" t="s">
        <v>26</v>
      </c>
      <c r="F1274" s="2" t="s">
        <v>13</v>
      </c>
      <c r="G1274" s="2" t="s">
        <v>14</v>
      </c>
      <c r="H1274" s="2" t="s">
        <v>41</v>
      </c>
      <c r="I1274" s="2" t="s">
        <v>22</v>
      </c>
      <c r="J1274" s="15">
        <v>220000</v>
      </c>
      <c r="K1274" s="2">
        <v>2</v>
      </c>
      <c r="L1274" s="2" t="s">
        <v>37</v>
      </c>
      <c r="M1274" s="12">
        <f t="shared" si="36"/>
        <v>176000</v>
      </c>
      <c r="N1274" s="10">
        <f>PRODUCT(Table_13[[#This Row],[Unit Price]],Table_13[[#This Row],[Quantity]])</f>
        <v>440000</v>
      </c>
      <c r="O1274" s="16">
        <f>PRODUCT(Table_13[[#This Row],[Cost Price]],Table_13[[#This Row],[Quantity]])</f>
        <v>352000</v>
      </c>
      <c r="P1274" s="27">
        <f t="shared" si="44"/>
        <v>88000</v>
      </c>
    </row>
    <row r="1275" spans="1:16" x14ac:dyDescent="0.2">
      <c r="A1275" s="33">
        <v>46949</v>
      </c>
      <c r="B1275" s="30">
        <f t="shared" si="43"/>
        <v>7</v>
      </c>
      <c r="C1275" s="30" t="str">
        <f>_xlfn.IFS(Table_13[[#This Row],[Month]]=1,"JAN",Table_13[[#This Row],[Month]]=2,"FEB",B1275=3,"MAR",B1275=4,"APR",B1275=5,"MAY",B1275=6,"JUN",B1275=7,"JUL",B1275=8,"AUG",Table_13[[#This Row],[Month]]=9,"SEPT",B1275=10,"OCT",B1275=11,"NOV",B1275=12,"DEC")</f>
        <v>JUL</v>
      </c>
      <c r="D1275" s="2" t="s">
        <v>25</v>
      </c>
      <c r="E1275" s="2" t="s">
        <v>19</v>
      </c>
      <c r="F1275" s="2" t="s">
        <v>23</v>
      </c>
      <c r="G1275" s="2" t="s">
        <v>14</v>
      </c>
      <c r="H1275" s="2" t="s">
        <v>27</v>
      </c>
      <c r="I1275" s="2" t="s">
        <v>22</v>
      </c>
      <c r="J1275" s="15">
        <v>60000</v>
      </c>
      <c r="K1275" s="2">
        <v>9</v>
      </c>
      <c r="L1275" s="2" t="s">
        <v>28</v>
      </c>
      <c r="M1275" s="12">
        <f t="shared" si="36"/>
        <v>48000</v>
      </c>
      <c r="N1275" s="10">
        <f>PRODUCT(Table_13[[#This Row],[Unit Price]],Table_13[[#This Row],[Quantity]])</f>
        <v>540000</v>
      </c>
      <c r="O1275" s="16">
        <f>PRODUCT(Table_13[[#This Row],[Cost Price]],Table_13[[#This Row],[Quantity]])</f>
        <v>432000</v>
      </c>
      <c r="P1275" s="27">
        <f t="shared" si="44"/>
        <v>108000</v>
      </c>
    </row>
    <row r="1276" spans="1:16" x14ac:dyDescent="0.2">
      <c r="A1276" s="33">
        <v>46950</v>
      </c>
      <c r="B1276" s="30">
        <f t="shared" si="43"/>
        <v>7</v>
      </c>
      <c r="C1276" s="30" t="str">
        <f>_xlfn.IFS(Table_13[[#This Row],[Month]]=1,"JAN",Table_13[[#This Row],[Month]]=2,"FEB",B1276=3,"MAR",B1276=4,"APR",B1276=5,"MAY",B1276=6,"JUN",B1276=7,"JUL",B1276=8,"AUG",Table_13[[#This Row],[Month]]=9,"SEPT",B1276=10,"OCT",B1276=11,"NOV",B1276=12,"DEC")</f>
        <v>JUL</v>
      </c>
      <c r="D1276" s="2" t="s">
        <v>29</v>
      </c>
      <c r="E1276" s="2" t="s">
        <v>26</v>
      </c>
      <c r="F1276" s="2" t="s">
        <v>13</v>
      </c>
      <c r="G1276" s="2" t="s">
        <v>14</v>
      </c>
      <c r="H1276" s="2" t="s">
        <v>40</v>
      </c>
      <c r="I1276" s="2" t="s">
        <v>31</v>
      </c>
      <c r="J1276" s="15">
        <v>250000</v>
      </c>
      <c r="K1276" s="2">
        <v>9</v>
      </c>
      <c r="L1276" s="2" t="s">
        <v>35</v>
      </c>
      <c r="M1276" s="12">
        <f t="shared" si="36"/>
        <v>200000</v>
      </c>
      <c r="N1276" s="10">
        <f>PRODUCT(Table_13[[#This Row],[Unit Price]],Table_13[[#This Row],[Quantity]])</f>
        <v>2250000</v>
      </c>
      <c r="O1276" s="16">
        <f>PRODUCT(Table_13[[#This Row],[Cost Price]],Table_13[[#This Row],[Quantity]])</f>
        <v>1800000</v>
      </c>
      <c r="P1276" s="27">
        <f t="shared" si="44"/>
        <v>450000</v>
      </c>
    </row>
    <row r="1277" spans="1:16" x14ac:dyDescent="0.2">
      <c r="A1277" s="33">
        <v>46951</v>
      </c>
      <c r="B1277" s="30">
        <f t="shared" si="43"/>
        <v>7</v>
      </c>
      <c r="C1277" s="30" t="str">
        <f>_xlfn.IFS(Table_13[[#This Row],[Month]]=1,"JAN",Table_13[[#This Row],[Month]]=2,"FEB",B1277=3,"MAR",B1277=4,"APR",B1277=5,"MAY",B1277=6,"JUN",B1277=7,"JUL",B1277=8,"AUG",Table_13[[#This Row],[Month]]=9,"SEPT",B1277=10,"OCT",B1277=11,"NOV",B1277=12,"DEC")</f>
        <v>JUL</v>
      </c>
      <c r="D1277" s="2" t="s">
        <v>18</v>
      </c>
      <c r="E1277" s="2" t="s">
        <v>12</v>
      </c>
      <c r="F1277" s="2" t="s">
        <v>13</v>
      </c>
      <c r="G1277" s="2" t="s">
        <v>20</v>
      </c>
      <c r="H1277" s="2" t="s">
        <v>15</v>
      </c>
      <c r="I1277" s="2" t="s">
        <v>16</v>
      </c>
      <c r="J1277" s="15">
        <v>85000</v>
      </c>
      <c r="K1277" s="2">
        <v>7</v>
      </c>
      <c r="L1277" s="2" t="s">
        <v>37</v>
      </c>
      <c r="M1277" s="12">
        <f t="shared" ref="M1277:M1531" si="45">J1277-J1277*0.2</f>
        <v>68000</v>
      </c>
      <c r="N1277" s="10">
        <f>PRODUCT(Table_13[[#This Row],[Unit Price]],Table_13[[#This Row],[Quantity]])</f>
        <v>595000</v>
      </c>
      <c r="O1277" s="16">
        <f>PRODUCT(Table_13[[#This Row],[Cost Price]],Table_13[[#This Row],[Quantity]])</f>
        <v>476000</v>
      </c>
      <c r="P1277" s="27">
        <f t="shared" si="44"/>
        <v>119000</v>
      </c>
    </row>
    <row r="1278" spans="1:16" x14ac:dyDescent="0.2">
      <c r="A1278" s="33">
        <v>46952</v>
      </c>
      <c r="B1278" s="30">
        <f t="shared" si="43"/>
        <v>7</v>
      </c>
      <c r="C1278" s="30" t="str">
        <f>_xlfn.IFS(Table_13[[#This Row],[Month]]=1,"JAN",Table_13[[#This Row],[Month]]=2,"FEB",B1278=3,"MAR",B1278=4,"APR",B1278=5,"MAY",B1278=6,"JUN",B1278=7,"JUL",B1278=8,"AUG",Table_13[[#This Row],[Month]]=9,"SEPT",B1278=10,"OCT",B1278=11,"NOV",B1278=12,"DEC")</f>
        <v>JUL</v>
      </c>
      <c r="D1278" s="2" t="s">
        <v>25</v>
      </c>
      <c r="E1278" s="2" t="s">
        <v>26</v>
      </c>
      <c r="F1278" s="2" t="s">
        <v>13</v>
      </c>
      <c r="G1278" s="2" t="s">
        <v>20</v>
      </c>
      <c r="H1278" s="2" t="s">
        <v>36</v>
      </c>
      <c r="I1278" s="2" t="s">
        <v>31</v>
      </c>
      <c r="J1278" s="15">
        <v>150000</v>
      </c>
      <c r="K1278" s="2">
        <v>7</v>
      </c>
      <c r="L1278" s="2" t="s">
        <v>35</v>
      </c>
      <c r="M1278" s="12">
        <f t="shared" si="45"/>
        <v>120000</v>
      </c>
      <c r="N1278" s="10">
        <f>PRODUCT(Table_13[[#This Row],[Unit Price]],Table_13[[#This Row],[Quantity]])</f>
        <v>1050000</v>
      </c>
      <c r="O1278" s="16">
        <f>PRODUCT(Table_13[[#This Row],[Cost Price]],Table_13[[#This Row],[Quantity]])</f>
        <v>840000</v>
      </c>
      <c r="P1278" s="27">
        <f t="shared" si="44"/>
        <v>210000</v>
      </c>
    </row>
    <row r="1279" spans="1:16" x14ac:dyDescent="0.2">
      <c r="A1279" s="33">
        <v>46953</v>
      </c>
      <c r="B1279" s="30">
        <f t="shared" si="43"/>
        <v>7</v>
      </c>
      <c r="C1279" s="30" t="str">
        <f>_xlfn.IFS(Table_13[[#This Row],[Month]]=1,"JAN",Table_13[[#This Row],[Month]]=2,"FEB",B1279=3,"MAR",B1279=4,"APR",B1279=5,"MAY",B1279=6,"JUN",B1279=7,"JUL",B1279=8,"AUG",Table_13[[#This Row],[Month]]=9,"SEPT",B1279=10,"OCT",B1279=11,"NOV",B1279=12,"DEC")</f>
        <v>JUL</v>
      </c>
      <c r="D1279" s="2" t="s">
        <v>18</v>
      </c>
      <c r="E1279" s="2" t="s">
        <v>26</v>
      </c>
      <c r="F1279" s="2" t="s">
        <v>23</v>
      </c>
      <c r="G1279" s="2" t="s">
        <v>14</v>
      </c>
      <c r="H1279" s="2" t="s">
        <v>21</v>
      </c>
      <c r="I1279" s="2" t="s">
        <v>22</v>
      </c>
      <c r="J1279" s="15">
        <v>30000</v>
      </c>
      <c r="K1279" s="2">
        <v>3</v>
      </c>
      <c r="L1279" s="2" t="s">
        <v>24</v>
      </c>
      <c r="M1279" s="12">
        <f t="shared" si="45"/>
        <v>24000</v>
      </c>
      <c r="N1279" s="10">
        <f>PRODUCT(Table_13[[#This Row],[Unit Price]],Table_13[[#This Row],[Quantity]])</f>
        <v>90000</v>
      </c>
      <c r="O1279" s="16">
        <f>PRODUCT(Table_13[[#This Row],[Cost Price]],Table_13[[#This Row],[Quantity]])</f>
        <v>72000</v>
      </c>
      <c r="P1279" s="27">
        <f t="shared" si="44"/>
        <v>18000</v>
      </c>
    </row>
    <row r="1280" spans="1:16" x14ac:dyDescent="0.2">
      <c r="A1280" s="33">
        <v>46954</v>
      </c>
      <c r="B1280" s="30">
        <f t="shared" si="43"/>
        <v>7</v>
      </c>
      <c r="C1280" s="30" t="str">
        <f>_xlfn.IFS(Table_13[[#This Row],[Month]]=1,"JAN",Table_13[[#This Row],[Month]]=2,"FEB",B1280=3,"MAR",B1280=4,"APR",B1280=5,"MAY",B1280=6,"JUN",B1280=7,"JUL",B1280=8,"AUG",Table_13[[#This Row],[Month]]=9,"SEPT",B1280=10,"OCT",B1280=11,"NOV",B1280=12,"DEC")</f>
        <v>JUL</v>
      </c>
      <c r="D1280" s="2" t="s">
        <v>18</v>
      </c>
      <c r="E1280" s="2" t="s">
        <v>26</v>
      </c>
      <c r="F1280" s="2" t="s">
        <v>23</v>
      </c>
      <c r="G1280" s="2" t="s">
        <v>20</v>
      </c>
      <c r="H1280" s="2" t="s">
        <v>21</v>
      </c>
      <c r="I1280" s="2" t="s">
        <v>22</v>
      </c>
      <c r="J1280" s="15">
        <v>30000</v>
      </c>
      <c r="K1280" s="2">
        <v>3</v>
      </c>
      <c r="L1280" s="2" t="s">
        <v>39</v>
      </c>
      <c r="M1280" s="12">
        <f t="shared" si="45"/>
        <v>24000</v>
      </c>
      <c r="N1280" s="10">
        <f>PRODUCT(Table_13[[#This Row],[Unit Price]],Table_13[[#This Row],[Quantity]])</f>
        <v>90000</v>
      </c>
      <c r="O1280" s="16">
        <f>PRODUCT(Table_13[[#This Row],[Cost Price]],Table_13[[#This Row],[Quantity]])</f>
        <v>72000</v>
      </c>
      <c r="P1280" s="27">
        <f t="shared" si="44"/>
        <v>18000</v>
      </c>
    </row>
    <row r="1281" spans="1:16" x14ac:dyDescent="0.2">
      <c r="A1281" s="33">
        <v>46955</v>
      </c>
      <c r="B1281" s="30">
        <f t="shared" si="43"/>
        <v>7</v>
      </c>
      <c r="C1281" s="30" t="str">
        <f>_xlfn.IFS(Table_13[[#This Row],[Month]]=1,"JAN",Table_13[[#This Row],[Month]]=2,"FEB",B1281=3,"MAR",B1281=4,"APR",B1281=5,"MAY",B1281=6,"JUN",B1281=7,"JUL",B1281=8,"AUG",Table_13[[#This Row],[Month]]=9,"SEPT",B1281=10,"OCT",B1281=11,"NOV",B1281=12,"DEC")</f>
        <v>JUL</v>
      </c>
      <c r="D1281" s="2" t="s">
        <v>29</v>
      </c>
      <c r="E1281" s="2" t="s">
        <v>32</v>
      </c>
      <c r="F1281" s="2" t="s">
        <v>13</v>
      </c>
      <c r="G1281" s="2" t="s">
        <v>14</v>
      </c>
      <c r="H1281" s="2" t="s">
        <v>21</v>
      </c>
      <c r="I1281" s="2" t="s">
        <v>22</v>
      </c>
      <c r="J1281" s="15">
        <v>30000</v>
      </c>
      <c r="K1281" s="2">
        <v>4</v>
      </c>
      <c r="L1281" s="2" t="s">
        <v>37</v>
      </c>
      <c r="M1281" s="12">
        <f t="shared" si="45"/>
        <v>24000</v>
      </c>
      <c r="N1281" s="10">
        <f>PRODUCT(Table_13[[#This Row],[Unit Price]],Table_13[[#This Row],[Quantity]])</f>
        <v>120000</v>
      </c>
      <c r="O1281" s="16">
        <f>PRODUCT(Table_13[[#This Row],[Cost Price]],Table_13[[#This Row],[Quantity]])</f>
        <v>96000</v>
      </c>
      <c r="P1281" s="27">
        <f t="shared" si="44"/>
        <v>24000</v>
      </c>
    </row>
    <row r="1282" spans="1:16" x14ac:dyDescent="0.2">
      <c r="A1282" s="33">
        <v>46956</v>
      </c>
      <c r="B1282" s="30">
        <f t="shared" ref="B1282:B1345" si="46">MONTH(A1282)</f>
        <v>7</v>
      </c>
      <c r="C1282" s="30" t="str">
        <f>_xlfn.IFS(Table_13[[#This Row],[Month]]=1,"JAN",Table_13[[#This Row],[Month]]=2,"FEB",B1282=3,"MAR",B1282=4,"APR",B1282=5,"MAY",B1282=6,"JUN",B1282=7,"JUL",B1282=8,"AUG",Table_13[[#This Row],[Month]]=9,"SEPT",B1282=10,"OCT",B1282=11,"NOV",B1282=12,"DEC")</f>
        <v>JUL</v>
      </c>
      <c r="D1282" s="2" t="s">
        <v>25</v>
      </c>
      <c r="E1282" s="2" t="s">
        <v>19</v>
      </c>
      <c r="F1282" s="2" t="s">
        <v>13</v>
      </c>
      <c r="G1282" s="2" t="s">
        <v>20</v>
      </c>
      <c r="H1282" s="2" t="s">
        <v>27</v>
      </c>
      <c r="I1282" s="2" t="s">
        <v>22</v>
      </c>
      <c r="J1282" s="15">
        <v>60000</v>
      </c>
      <c r="K1282" s="2">
        <v>9</v>
      </c>
      <c r="L1282" s="2" t="s">
        <v>24</v>
      </c>
      <c r="M1282" s="12">
        <f t="shared" si="45"/>
        <v>48000</v>
      </c>
      <c r="N1282" s="10">
        <f>PRODUCT(Table_13[[#This Row],[Unit Price]],Table_13[[#This Row],[Quantity]])</f>
        <v>540000</v>
      </c>
      <c r="O1282" s="16">
        <f>PRODUCT(Table_13[[#This Row],[Cost Price]],Table_13[[#This Row],[Quantity]])</f>
        <v>432000</v>
      </c>
      <c r="P1282" s="27">
        <f t="shared" ref="P1282:P1345" si="47">N1282-O1282</f>
        <v>108000</v>
      </c>
    </row>
    <row r="1283" spans="1:16" x14ac:dyDescent="0.2">
      <c r="A1283" s="33">
        <v>46957</v>
      </c>
      <c r="B1283" s="30">
        <f t="shared" si="46"/>
        <v>7</v>
      </c>
      <c r="C1283" s="30" t="str">
        <f>_xlfn.IFS(Table_13[[#This Row],[Month]]=1,"JAN",Table_13[[#This Row],[Month]]=2,"FEB",B1283=3,"MAR",B1283=4,"APR",B1283=5,"MAY",B1283=6,"JUN",B1283=7,"JUL",B1283=8,"AUG",Table_13[[#This Row],[Month]]=9,"SEPT",B1283=10,"OCT",B1283=11,"NOV",B1283=12,"DEC")</f>
        <v>JUL</v>
      </c>
      <c r="D1283" s="2" t="s">
        <v>25</v>
      </c>
      <c r="E1283" s="2" t="s">
        <v>32</v>
      </c>
      <c r="F1283" s="2" t="s">
        <v>23</v>
      </c>
      <c r="G1283" s="2" t="s">
        <v>14</v>
      </c>
      <c r="H1283" s="2" t="s">
        <v>27</v>
      </c>
      <c r="I1283" s="2" t="s">
        <v>22</v>
      </c>
      <c r="J1283" s="15">
        <v>60000</v>
      </c>
      <c r="K1283" s="2">
        <v>9</v>
      </c>
      <c r="L1283" s="2" t="s">
        <v>35</v>
      </c>
      <c r="M1283" s="12">
        <f t="shared" si="45"/>
        <v>48000</v>
      </c>
      <c r="N1283" s="10">
        <f>PRODUCT(Table_13[[#This Row],[Unit Price]],Table_13[[#This Row],[Quantity]])</f>
        <v>540000</v>
      </c>
      <c r="O1283" s="16">
        <f>PRODUCT(Table_13[[#This Row],[Cost Price]],Table_13[[#This Row],[Quantity]])</f>
        <v>432000</v>
      </c>
      <c r="P1283" s="27">
        <f t="shared" si="47"/>
        <v>108000</v>
      </c>
    </row>
    <row r="1284" spans="1:16" x14ac:dyDescent="0.2">
      <c r="A1284" s="33">
        <v>46958</v>
      </c>
      <c r="B1284" s="30">
        <f t="shared" si="46"/>
        <v>7</v>
      </c>
      <c r="C1284" s="30" t="str">
        <f>_xlfn.IFS(Table_13[[#This Row],[Month]]=1,"JAN",Table_13[[#This Row],[Month]]=2,"FEB",B1284=3,"MAR",B1284=4,"APR",B1284=5,"MAY",B1284=6,"JUN",B1284=7,"JUL",B1284=8,"AUG",Table_13[[#This Row],[Month]]=9,"SEPT",B1284=10,"OCT",B1284=11,"NOV",B1284=12,"DEC")</f>
        <v>JUL</v>
      </c>
      <c r="D1284" s="2" t="s">
        <v>25</v>
      </c>
      <c r="E1284" s="2" t="s">
        <v>12</v>
      </c>
      <c r="F1284" s="2" t="s">
        <v>23</v>
      </c>
      <c r="G1284" s="2" t="s">
        <v>14</v>
      </c>
      <c r="H1284" s="2" t="s">
        <v>38</v>
      </c>
      <c r="I1284" s="2" t="s">
        <v>31</v>
      </c>
      <c r="J1284" s="15">
        <v>420000</v>
      </c>
      <c r="K1284" s="2">
        <v>2</v>
      </c>
      <c r="L1284" s="2" t="s">
        <v>28</v>
      </c>
      <c r="M1284" s="12">
        <f t="shared" si="45"/>
        <v>336000</v>
      </c>
      <c r="N1284" s="10">
        <f>PRODUCT(Table_13[[#This Row],[Unit Price]],Table_13[[#This Row],[Quantity]])</f>
        <v>840000</v>
      </c>
      <c r="O1284" s="16">
        <f>PRODUCT(Table_13[[#This Row],[Cost Price]],Table_13[[#This Row],[Quantity]])</f>
        <v>672000</v>
      </c>
      <c r="P1284" s="27">
        <f t="shared" si="47"/>
        <v>168000</v>
      </c>
    </row>
    <row r="1285" spans="1:16" x14ac:dyDescent="0.2">
      <c r="A1285" s="33">
        <v>46959</v>
      </c>
      <c r="B1285" s="30">
        <f t="shared" si="46"/>
        <v>7</v>
      </c>
      <c r="C1285" s="30" t="str">
        <f>_xlfn.IFS(Table_13[[#This Row],[Month]]=1,"JAN",Table_13[[#This Row],[Month]]=2,"FEB",B1285=3,"MAR",B1285=4,"APR",B1285=5,"MAY",B1285=6,"JUN",B1285=7,"JUL",B1285=8,"AUG",Table_13[[#This Row],[Month]]=9,"SEPT",B1285=10,"OCT",B1285=11,"NOV",B1285=12,"DEC")</f>
        <v>JUL</v>
      </c>
      <c r="D1285" s="2" t="s">
        <v>29</v>
      </c>
      <c r="E1285" s="2" t="s">
        <v>26</v>
      </c>
      <c r="F1285" s="2" t="s">
        <v>13</v>
      </c>
      <c r="G1285" s="2" t="s">
        <v>20</v>
      </c>
      <c r="H1285" s="2" t="s">
        <v>34</v>
      </c>
      <c r="I1285" s="2" t="s">
        <v>16</v>
      </c>
      <c r="J1285" s="15">
        <v>320000</v>
      </c>
      <c r="K1285" s="2">
        <v>1</v>
      </c>
      <c r="L1285" s="2" t="s">
        <v>39</v>
      </c>
      <c r="M1285" s="12">
        <f t="shared" si="45"/>
        <v>256000</v>
      </c>
      <c r="N1285" s="10">
        <f>PRODUCT(Table_13[[#This Row],[Unit Price]],Table_13[[#This Row],[Quantity]])</f>
        <v>320000</v>
      </c>
      <c r="O1285" s="16">
        <f>PRODUCT(Table_13[[#This Row],[Cost Price]],Table_13[[#This Row],[Quantity]])</f>
        <v>256000</v>
      </c>
      <c r="P1285" s="27">
        <f t="shared" si="47"/>
        <v>64000</v>
      </c>
    </row>
    <row r="1286" spans="1:16" x14ac:dyDescent="0.2">
      <c r="A1286" s="33">
        <v>46960</v>
      </c>
      <c r="B1286" s="30">
        <f t="shared" si="46"/>
        <v>7</v>
      </c>
      <c r="C1286" s="30" t="str">
        <f>_xlfn.IFS(Table_13[[#This Row],[Month]]=1,"JAN",Table_13[[#This Row],[Month]]=2,"FEB",B1286=3,"MAR",B1286=4,"APR",B1286=5,"MAY",B1286=6,"JUN",B1286=7,"JUL",B1286=8,"AUG",Table_13[[#This Row],[Month]]=9,"SEPT",B1286=10,"OCT",B1286=11,"NOV",B1286=12,"DEC")</f>
        <v>JUL</v>
      </c>
      <c r="D1286" s="2" t="s">
        <v>11</v>
      </c>
      <c r="E1286" s="2" t="s">
        <v>12</v>
      </c>
      <c r="F1286" s="2" t="s">
        <v>13</v>
      </c>
      <c r="G1286" s="2" t="s">
        <v>20</v>
      </c>
      <c r="H1286" s="2" t="s">
        <v>21</v>
      </c>
      <c r="I1286" s="2" t="s">
        <v>22</v>
      </c>
      <c r="J1286" s="15">
        <v>30000</v>
      </c>
      <c r="K1286" s="2">
        <v>5</v>
      </c>
      <c r="L1286" s="2" t="s">
        <v>24</v>
      </c>
      <c r="M1286" s="12">
        <f t="shared" si="45"/>
        <v>24000</v>
      </c>
      <c r="N1286" s="10">
        <f>PRODUCT(Table_13[[#This Row],[Unit Price]],Table_13[[#This Row],[Quantity]])</f>
        <v>150000</v>
      </c>
      <c r="O1286" s="16">
        <f>PRODUCT(Table_13[[#This Row],[Cost Price]],Table_13[[#This Row],[Quantity]])</f>
        <v>120000</v>
      </c>
      <c r="P1286" s="27">
        <f t="shared" si="47"/>
        <v>30000</v>
      </c>
    </row>
    <row r="1287" spans="1:16" x14ac:dyDescent="0.2">
      <c r="A1287" s="33">
        <v>46961</v>
      </c>
      <c r="B1287" s="30">
        <f t="shared" si="46"/>
        <v>7</v>
      </c>
      <c r="C1287" s="30" t="str">
        <f>_xlfn.IFS(Table_13[[#This Row],[Month]]=1,"JAN",Table_13[[#This Row],[Month]]=2,"FEB",B1287=3,"MAR",B1287=4,"APR",B1287=5,"MAY",B1287=6,"JUN",B1287=7,"JUL",B1287=8,"AUG",Table_13[[#This Row],[Month]]=9,"SEPT",B1287=10,"OCT",B1287=11,"NOV",B1287=12,"DEC")</f>
        <v>JUL</v>
      </c>
      <c r="D1287" s="2" t="s">
        <v>11</v>
      </c>
      <c r="E1287" s="2" t="s">
        <v>26</v>
      </c>
      <c r="F1287" s="2" t="s">
        <v>23</v>
      </c>
      <c r="G1287" s="2" t="s">
        <v>20</v>
      </c>
      <c r="H1287" s="2" t="s">
        <v>15</v>
      </c>
      <c r="I1287" s="2" t="s">
        <v>16</v>
      </c>
      <c r="J1287" s="15">
        <v>85000</v>
      </c>
      <c r="K1287" s="2">
        <v>5</v>
      </c>
      <c r="L1287" s="2" t="s">
        <v>39</v>
      </c>
      <c r="M1287" s="12">
        <f t="shared" si="45"/>
        <v>68000</v>
      </c>
      <c r="N1287" s="10">
        <f>PRODUCT(Table_13[[#This Row],[Unit Price]],Table_13[[#This Row],[Quantity]])</f>
        <v>425000</v>
      </c>
      <c r="O1287" s="16">
        <f>PRODUCT(Table_13[[#This Row],[Cost Price]],Table_13[[#This Row],[Quantity]])</f>
        <v>340000</v>
      </c>
      <c r="P1287" s="27">
        <f t="shared" si="47"/>
        <v>85000</v>
      </c>
    </row>
    <row r="1288" spans="1:16" x14ac:dyDescent="0.2">
      <c r="A1288" s="33">
        <v>46962</v>
      </c>
      <c r="B1288" s="30">
        <f t="shared" si="46"/>
        <v>7</v>
      </c>
      <c r="C1288" s="30" t="str">
        <f>_xlfn.IFS(Table_13[[#This Row],[Month]]=1,"JAN",Table_13[[#This Row],[Month]]=2,"FEB",B1288=3,"MAR",B1288=4,"APR",B1288=5,"MAY",B1288=6,"JUN",B1288=7,"JUL",B1288=8,"AUG",Table_13[[#This Row],[Month]]=9,"SEPT",B1288=10,"OCT",B1288=11,"NOV",B1288=12,"DEC")</f>
        <v>JUL</v>
      </c>
      <c r="D1288" s="2" t="s">
        <v>11</v>
      </c>
      <c r="E1288" s="2" t="s">
        <v>26</v>
      </c>
      <c r="F1288" s="2" t="s">
        <v>23</v>
      </c>
      <c r="G1288" s="2" t="s">
        <v>14</v>
      </c>
      <c r="H1288" s="2" t="s">
        <v>38</v>
      </c>
      <c r="I1288" s="2" t="s">
        <v>31</v>
      </c>
      <c r="J1288" s="15">
        <v>420000</v>
      </c>
      <c r="K1288" s="2">
        <v>10</v>
      </c>
      <c r="L1288" s="2" t="s">
        <v>35</v>
      </c>
      <c r="M1288" s="12">
        <f t="shared" si="45"/>
        <v>336000</v>
      </c>
      <c r="N1288" s="10">
        <f>PRODUCT(Table_13[[#This Row],[Unit Price]],Table_13[[#This Row],[Quantity]])</f>
        <v>4200000</v>
      </c>
      <c r="O1288" s="16">
        <f>PRODUCT(Table_13[[#This Row],[Cost Price]],Table_13[[#This Row],[Quantity]])</f>
        <v>3360000</v>
      </c>
      <c r="P1288" s="27">
        <f t="shared" si="47"/>
        <v>840000</v>
      </c>
    </row>
    <row r="1289" spans="1:16" x14ac:dyDescent="0.2">
      <c r="A1289" s="33">
        <v>46963</v>
      </c>
      <c r="B1289" s="30">
        <f t="shared" si="46"/>
        <v>7</v>
      </c>
      <c r="C1289" s="30" t="str">
        <f>_xlfn.IFS(Table_13[[#This Row],[Month]]=1,"JAN",Table_13[[#This Row],[Month]]=2,"FEB",B1289=3,"MAR",B1289=4,"APR",B1289=5,"MAY",B1289=6,"JUN",B1289=7,"JUL",B1289=8,"AUG",Table_13[[#This Row],[Month]]=9,"SEPT",B1289=10,"OCT",B1289=11,"NOV",B1289=12,"DEC")</f>
        <v>JUL</v>
      </c>
      <c r="D1289" s="2" t="s">
        <v>18</v>
      </c>
      <c r="E1289" s="2" t="s">
        <v>12</v>
      </c>
      <c r="F1289" s="2" t="s">
        <v>23</v>
      </c>
      <c r="G1289" s="2" t="s">
        <v>14</v>
      </c>
      <c r="H1289" s="2" t="s">
        <v>40</v>
      </c>
      <c r="I1289" s="2" t="s">
        <v>31</v>
      </c>
      <c r="J1289" s="15">
        <v>250000</v>
      </c>
      <c r="K1289" s="2">
        <v>8</v>
      </c>
      <c r="L1289" s="2" t="s">
        <v>37</v>
      </c>
      <c r="M1289" s="12">
        <f t="shared" si="45"/>
        <v>200000</v>
      </c>
      <c r="N1289" s="10">
        <f>PRODUCT(Table_13[[#This Row],[Unit Price]],Table_13[[#This Row],[Quantity]])</f>
        <v>2000000</v>
      </c>
      <c r="O1289" s="16">
        <f>PRODUCT(Table_13[[#This Row],[Cost Price]],Table_13[[#This Row],[Quantity]])</f>
        <v>1600000</v>
      </c>
      <c r="P1289" s="27">
        <f t="shared" si="47"/>
        <v>400000</v>
      </c>
    </row>
    <row r="1290" spans="1:16" x14ac:dyDescent="0.2">
      <c r="A1290" s="33">
        <v>46964</v>
      </c>
      <c r="B1290" s="30">
        <f t="shared" si="46"/>
        <v>7</v>
      </c>
      <c r="C1290" s="30" t="str">
        <f>_xlfn.IFS(Table_13[[#This Row],[Month]]=1,"JAN",Table_13[[#This Row],[Month]]=2,"FEB",B1290=3,"MAR",B1290=4,"APR",B1290=5,"MAY",B1290=6,"JUN",B1290=7,"JUL",B1290=8,"AUG",Table_13[[#This Row],[Month]]=9,"SEPT",B1290=10,"OCT",B1290=11,"NOV",B1290=12,"DEC")</f>
        <v>JUL</v>
      </c>
      <c r="D1290" s="2" t="s">
        <v>11</v>
      </c>
      <c r="E1290" s="2" t="s">
        <v>19</v>
      </c>
      <c r="F1290" s="2" t="s">
        <v>23</v>
      </c>
      <c r="G1290" s="2" t="s">
        <v>20</v>
      </c>
      <c r="H1290" s="2" t="s">
        <v>40</v>
      </c>
      <c r="I1290" s="2" t="s">
        <v>31</v>
      </c>
      <c r="J1290" s="15">
        <v>250000</v>
      </c>
      <c r="K1290" s="2">
        <v>10</v>
      </c>
      <c r="L1290" s="2" t="s">
        <v>35</v>
      </c>
      <c r="M1290" s="12">
        <f t="shared" si="45"/>
        <v>200000</v>
      </c>
      <c r="N1290" s="10">
        <f>PRODUCT(Table_13[[#This Row],[Unit Price]],Table_13[[#This Row],[Quantity]])</f>
        <v>2500000</v>
      </c>
      <c r="O1290" s="16">
        <f>PRODUCT(Table_13[[#This Row],[Cost Price]],Table_13[[#This Row],[Quantity]])</f>
        <v>2000000</v>
      </c>
      <c r="P1290" s="27">
        <f t="shared" si="47"/>
        <v>500000</v>
      </c>
    </row>
    <row r="1291" spans="1:16" x14ac:dyDescent="0.2">
      <c r="A1291" s="33">
        <v>46965</v>
      </c>
      <c r="B1291" s="30">
        <f t="shared" si="46"/>
        <v>7</v>
      </c>
      <c r="C1291" s="30" t="str">
        <f>_xlfn.IFS(Table_13[[#This Row],[Month]]=1,"JAN",Table_13[[#This Row],[Month]]=2,"FEB",B1291=3,"MAR",B1291=4,"APR",B1291=5,"MAY",B1291=6,"JUN",B1291=7,"JUL",B1291=8,"AUG",Table_13[[#This Row],[Month]]=9,"SEPT",B1291=10,"OCT",B1291=11,"NOV",B1291=12,"DEC")</f>
        <v>JUL</v>
      </c>
      <c r="D1291" s="2" t="s">
        <v>18</v>
      </c>
      <c r="E1291" s="2" t="s">
        <v>19</v>
      </c>
      <c r="F1291" s="2" t="s">
        <v>23</v>
      </c>
      <c r="G1291" s="2" t="s">
        <v>20</v>
      </c>
      <c r="H1291" s="2" t="s">
        <v>36</v>
      </c>
      <c r="I1291" s="2" t="s">
        <v>31</v>
      </c>
      <c r="J1291" s="15">
        <v>150000</v>
      </c>
      <c r="K1291" s="2">
        <v>4</v>
      </c>
      <c r="L1291" s="2" t="s">
        <v>28</v>
      </c>
      <c r="M1291" s="12">
        <f t="shared" si="45"/>
        <v>120000</v>
      </c>
      <c r="N1291" s="10">
        <f>PRODUCT(Table_13[[#This Row],[Unit Price]],Table_13[[#This Row],[Quantity]])</f>
        <v>600000</v>
      </c>
      <c r="O1291" s="16">
        <f>PRODUCT(Table_13[[#This Row],[Cost Price]],Table_13[[#This Row],[Quantity]])</f>
        <v>480000</v>
      </c>
      <c r="P1291" s="27">
        <f t="shared" si="47"/>
        <v>120000</v>
      </c>
    </row>
    <row r="1292" spans="1:16" x14ac:dyDescent="0.2">
      <c r="A1292" s="33">
        <v>46966</v>
      </c>
      <c r="B1292" s="30">
        <f t="shared" si="46"/>
        <v>8</v>
      </c>
      <c r="C1292" s="30" t="str">
        <f>_xlfn.IFS(Table_13[[#This Row],[Month]]=1,"JAN",Table_13[[#This Row],[Month]]=2,"FEB",B1292=3,"MAR",B1292=4,"APR",B1292=5,"MAY",B1292=6,"JUN",B1292=7,"JUL",B1292=8,"AUG",Table_13[[#This Row],[Month]]=9,"SEPT",B1292=10,"OCT",B1292=11,"NOV",B1292=12,"DEC")</f>
        <v>AUG</v>
      </c>
      <c r="D1292" s="2" t="s">
        <v>18</v>
      </c>
      <c r="E1292" s="2" t="s">
        <v>19</v>
      </c>
      <c r="F1292" s="2" t="s">
        <v>23</v>
      </c>
      <c r="G1292" s="2" t="s">
        <v>14</v>
      </c>
      <c r="H1292" s="2" t="s">
        <v>33</v>
      </c>
      <c r="I1292" s="2" t="s">
        <v>22</v>
      </c>
      <c r="J1292" s="15">
        <v>180000</v>
      </c>
      <c r="K1292" s="2">
        <v>6</v>
      </c>
      <c r="L1292" s="2" t="s">
        <v>28</v>
      </c>
      <c r="M1292" s="12">
        <f t="shared" si="45"/>
        <v>144000</v>
      </c>
      <c r="N1292" s="10">
        <f>PRODUCT(Table_13[[#This Row],[Unit Price]],Table_13[[#This Row],[Quantity]])</f>
        <v>1080000</v>
      </c>
      <c r="O1292" s="16">
        <f>PRODUCT(Table_13[[#This Row],[Cost Price]],Table_13[[#This Row],[Quantity]])</f>
        <v>864000</v>
      </c>
      <c r="P1292" s="27">
        <f t="shared" si="47"/>
        <v>216000</v>
      </c>
    </row>
    <row r="1293" spans="1:16" x14ac:dyDescent="0.2">
      <c r="A1293" s="33">
        <v>46967</v>
      </c>
      <c r="B1293" s="30">
        <f t="shared" si="46"/>
        <v>8</v>
      </c>
      <c r="C1293" s="30" t="str">
        <f>_xlfn.IFS(Table_13[[#This Row],[Month]]=1,"JAN",Table_13[[#This Row],[Month]]=2,"FEB",B1293=3,"MAR",B1293=4,"APR",B1293=5,"MAY",B1293=6,"JUN",B1293=7,"JUL",B1293=8,"AUG",Table_13[[#This Row],[Month]]=9,"SEPT",B1293=10,"OCT",B1293=11,"NOV",B1293=12,"DEC")</f>
        <v>AUG</v>
      </c>
      <c r="D1293" s="2" t="s">
        <v>18</v>
      </c>
      <c r="E1293" s="2" t="s">
        <v>26</v>
      </c>
      <c r="F1293" s="2" t="s">
        <v>23</v>
      </c>
      <c r="G1293" s="2" t="s">
        <v>20</v>
      </c>
      <c r="H1293" s="2" t="s">
        <v>21</v>
      </c>
      <c r="I1293" s="2" t="s">
        <v>22</v>
      </c>
      <c r="J1293" s="15">
        <v>30000</v>
      </c>
      <c r="K1293" s="2">
        <v>6</v>
      </c>
      <c r="L1293" s="2" t="s">
        <v>28</v>
      </c>
      <c r="M1293" s="12">
        <f t="shared" si="45"/>
        <v>24000</v>
      </c>
      <c r="N1293" s="10">
        <f>PRODUCT(Table_13[[#This Row],[Unit Price]],Table_13[[#This Row],[Quantity]])</f>
        <v>180000</v>
      </c>
      <c r="O1293" s="16">
        <f>PRODUCT(Table_13[[#This Row],[Cost Price]],Table_13[[#This Row],[Quantity]])</f>
        <v>144000</v>
      </c>
      <c r="P1293" s="27">
        <f t="shared" si="47"/>
        <v>36000</v>
      </c>
    </row>
    <row r="1294" spans="1:16" x14ac:dyDescent="0.2">
      <c r="A1294" s="33">
        <v>46968</v>
      </c>
      <c r="B1294" s="30">
        <f t="shared" si="46"/>
        <v>8</v>
      </c>
      <c r="C1294" s="30" t="str">
        <f>_xlfn.IFS(Table_13[[#This Row],[Month]]=1,"JAN",Table_13[[#This Row],[Month]]=2,"FEB",B1294=3,"MAR",B1294=4,"APR",B1294=5,"MAY",B1294=6,"JUN",B1294=7,"JUL",B1294=8,"AUG",Table_13[[#This Row],[Month]]=9,"SEPT",B1294=10,"OCT",B1294=11,"NOV",B1294=12,"DEC")</f>
        <v>AUG</v>
      </c>
      <c r="D1294" s="2" t="s">
        <v>11</v>
      </c>
      <c r="E1294" s="2" t="s">
        <v>19</v>
      </c>
      <c r="F1294" s="2" t="s">
        <v>23</v>
      </c>
      <c r="G1294" s="2" t="s">
        <v>14</v>
      </c>
      <c r="H1294" s="2" t="s">
        <v>40</v>
      </c>
      <c r="I1294" s="2" t="s">
        <v>31</v>
      </c>
      <c r="J1294" s="15">
        <v>250000</v>
      </c>
      <c r="K1294" s="2">
        <v>5</v>
      </c>
      <c r="L1294" s="2" t="s">
        <v>35</v>
      </c>
      <c r="M1294" s="12">
        <f t="shared" si="45"/>
        <v>200000</v>
      </c>
      <c r="N1294" s="10">
        <f>PRODUCT(Table_13[[#This Row],[Unit Price]],Table_13[[#This Row],[Quantity]])</f>
        <v>1250000</v>
      </c>
      <c r="O1294" s="16">
        <f>PRODUCT(Table_13[[#This Row],[Cost Price]],Table_13[[#This Row],[Quantity]])</f>
        <v>1000000</v>
      </c>
      <c r="P1294" s="27">
        <f t="shared" si="47"/>
        <v>250000</v>
      </c>
    </row>
    <row r="1295" spans="1:16" x14ac:dyDescent="0.2">
      <c r="A1295" s="33">
        <v>46969</v>
      </c>
      <c r="B1295" s="30">
        <f t="shared" si="46"/>
        <v>8</v>
      </c>
      <c r="C1295" s="30" t="str">
        <f>_xlfn.IFS(Table_13[[#This Row],[Month]]=1,"JAN",Table_13[[#This Row],[Month]]=2,"FEB",B1295=3,"MAR",B1295=4,"APR",B1295=5,"MAY",B1295=6,"JUN",B1295=7,"JUL",B1295=8,"AUG",Table_13[[#This Row],[Month]]=9,"SEPT",B1295=10,"OCT",B1295=11,"NOV",B1295=12,"DEC")</f>
        <v>AUG</v>
      </c>
      <c r="D1295" s="2" t="s">
        <v>25</v>
      </c>
      <c r="E1295" s="2" t="s">
        <v>19</v>
      </c>
      <c r="F1295" s="2" t="s">
        <v>23</v>
      </c>
      <c r="G1295" s="2" t="s">
        <v>14</v>
      </c>
      <c r="H1295" s="2" t="s">
        <v>34</v>
      </c>
      <c r="I1295" s="2" t="s">
        <v>16</v>
      </c>
      <c r="J1295" s="15">
        <v>320000</v>
      </c>
      <c r="K1295" s="2">
        <v>2</v>
      </c>
      <c r="L1295" s="2" t="s">
        <v>39</v>
      </c>
      <c r="M1295" s="12">
        <f t="shared" si="45"/>
        <v>256000</v>
      </c>
      <c r="N1295" s="10">
        <f>PRODUCT(Table_13[[#This Row],[Unit Price]],Table_13[[#This Row],[Quantity]])</f>
        <v>640000</v>
      </c>
      <c r="O1295" s="16">
        <f>PRODUCT(Table_13[[#This Row],[Cost Price]],Table_13[[#This Row],[Quantity]])</f>
        <v>512000</v>
      </c>
      <c r="P1295" s="27">
        <f t="shared" si="47"/>
        <v>128000</v>
      </c>
    </row>
    <row r="1296" spans="1:16" x14ac:dyDescent="0.2">
      <c r="A1296" s="33">
        <v>46970</v>
      </c>
      <c r="B1296" s="30">
        <f t="shared" si="46"/>
        <v>8</v>
      </c>
      <c r="C1296" s="30" t="str">
        <f>_xlfn.IFS(Table_13[[#This Row],[Month]]=1,"JAN",Table_13[[#This Row],[Month]]=2,"FEB",B1296=3,"MAR",B1296=4,"APR",B1296=5,"MAY",B1296=6,"JUN",B1296=7,"JUL",B1296=8,"AUG",Table_13[[#This Row],[Month]]=9,"SEPT",B1296=10,"OCT",B1296=11,"NOV",B1296=12,"DEC")</f>
        <v>AUG</v>
      </c>
      <c r="D1296" s="2" t="s">
        <v>18</v>
      </c>
      <c r="E1296" s="2" t="s">
        <v>19</v>
      </c>
      <c r="F1296" s="2" t="s">
        <v>23</v>
      </c>
      <c r="G1296" s="2" t="s">
        <v>20</v>
      </c>
      <c r="H1296" s="2" t="s">
        <v>30</v>
      </c>
      <c r="I1296" s="2" t="s">
        <v>31</v>
      </c>
      <c r="J1296" s="15">
        <v>300000</v>
      </c>
      <c r="K1296" s="2">
        <v>10</v>
      </c>
      <c r="L1296" s="2" t="s">
        <v>35</v>
      </c>
      <c r="M1296" s="12">
        <f t="shared" si="45"/>
        <v>240000</v>
      </c>
      <c r="N1296" s="10">
        <f>PRODUCT(Table_13[[#This Row],[Unit Price]],Table_13[[#This Row],[Quantity]])</f>
        <v>3000000</v>
      </c>
      <c r="O1296" s="16">
        <f>PRODUCT(Table_13[[#This Row],[Cost Price]],Table_13[[#This Row],[Quantity]])</f>
        <v>2400000</v>
      </c>
      <c r="P1296" s="27">
        <f t="shared" si="47"/>
        <v>600000</v>
      </c>
    </row>
    <row r="1297" spans="1:16" x14ac:dyDescent="0.2">
      <c r="A1297" s="33">
        <v>46971</v>
      </c>
      <c r="B1297" s="30">
        <f t="shared" si="46"/>
        <v>8</v>
      </c>
      <c r="C1297" s="30" t="str">
        <f>_xlfn.IFS(Table_13[[#This Row],[Month]]=1,"JAN",Table_13[[#This Row],[Month]]=2,"FEB",B1297=3,"MAR",B1297=4,"APR",B1297=5,"MAY",B1297=6,"JUN",B1297=7,"JUL",B1297=8,"AUG",Table_13[[#This Row],[Month]]=9,"SEPT",B1297=10,"OCT",B1297=11,"NOV",B1297=12,"DEC")</f>
        <v>AUG</v>
      </c>
      <c r="D1297" s="2" t="s">
        <v>11</v>
      </c>
      <c r="E1297" s="2" t="s">
        <v>19</v>
      </c>
      <c r="F1297" s="2" t="s">
        <v>23</v>
      </c>
      <c r="G1297" s="2" t="s">
        <v>20</v>
      </c>
      <c r="H1297" s="2" t="s">
        <v>30</v>
      </c>
      <c r="I1297" s="2" t="s">
        <v>31</v>
      </c>
      <c r="J1297" s="15">
        <v>300000</v>
      </c>
      <c r="K1297" s="2">
        <v>7</v>
      </c>
      <c r="L1297" s="2" t="s">
        <v>37</v>
      </c>
      <c r="M1297" s="12">
        <f t="shared" si="45"/>
        <v>240000</v>
      </c>
      <c r="N1297" s="10">
        <f>PRODUCT(Table_13[[#This Row],[Unit Price]],Table_13[[#This Row],[Quantity]])</f>
        <v>2100000</v>
      </c>
      <c r="O1297" s="16">
        <f>PRODUCT(Table_13[[#This Row],[Cost Price]],Table_13[[#This Row],[Quantity]])</f>
        <v>1680000</v>
      </c>
      <c r="P1297" s="27">
        <f t="shared" si="47"/>
        <v>420000</v>
      </c>
    </row>
    <row r="1298" spans="1:16" x14ac:dyDescent="0.2">
      <c r="A1298" s="33">
        <v>46972</v>
      </c>
      <c r="B1298" s="30">
        <f t="shared" si="46"/>
        <v>8</v>
      </c>
      <c r="C1298" s="30" t="str">
        <f>_xlfn.IFS(Table_13[[#This Row],[Month]]=1,"JAN",Table_13[[#This Row],[Month]]=2,"FEB",B1298=3,"MAR",B1298=4,"APR",B1298=5,"MAY",B1298=6,"JUN",B1298=7,"JUL",B1298=8,"AUG",Table_13[[#This Row],[Month]]=9,"SEPT",B1298=10,"OCT",B1298=11,"NOV",B1298=12,"DEC")</f>
        <v>AUG</v>
      </c>
      <c r="D1298" s="2" t="s">
        <v>29</v>
      </c>
      <c r="E1298" s="2" t="s">
        <v>12</v>
      </c>
      <c r="F1298" s="2" t="s">
        <v>23</v>
      </c>
      <c r="G1298" s="2" t="s">
        <v>14</v>
      </c>
      <c r="H1298" s="2" t="s">
        <v>33</v>
      </c>
      <c r="I1298" s="2" t="s">
        <v>22</v>
      </c>
      <c r="J1298" s="15">
        <v>180000</v>
      </c>
      <c r="K1298" s="2">
        <v>1</v>
      </c>
      <c r="L1298" s="2" t="s">
        <v>39</v>
      </c>
      <c r="M1298" s="12">
        <f t="shared" si="45"/>
        <v>144000</v>
      </c>
      <c r="N1298" s="10">
        <f>PRODUCT(Table_13[[#This Row],[Unit Price]],Table_13[[#This Row],[Quantity]])</f>
        <v>180000</v>
      </c>
      <c r="O1298" s="16">
        <f>PRODUCT(Table_13[[#This Row],[Cost Price]],Table_13[[#This Row],[Quantity]])</f>
        <v>144000</v>
      </c>
      <c r="P1298" s="27">
        <f t="shared" si="47"/>
        <v>36000</v>
      </c>
    </row>
    <row r="1299" spans="1:16" x14ac:dyDescent="0.2">
      <c r="A1299" s="33">
        <v>46973</v>
      </c>
      <c r="B1299" s="30">
        <f t="shared" si="46"/>
        <v>8</v>
      </c>
      <c r="C1299" s="30" t="str">
        <f>_xlfn.IFS(Table_13[[#This Row],[Month]]=1,"JAN",Table_13[[#This Row],[Month]]=2,"FEB",B1299=3,"MAR",B1299=4,"APR",B1299=5,"MAY",B1299=6,"JUN",B1299=7,"JUL",B1299=8,"AUG",Table_13[[#This Row],[Month]]=9,"SEPT",B1299=10,"OCT",B1299=11,"NOV",B1299=12,"DEC")</f>
        <v>AUG</v>
      </c>
      <c r="D1299" s="2" t="s">
        <v>18</v>
      </c>
      <c r="E1299" s="2" t="s">
        <v>26</v>
      </c>
      <c r="F1299" s="2" t="s">
        <v>23</v>
      </c>
      <c r="G1299" s="2" t="s">
        <v>20</v>
      </c>
      <c r="H1299" s="2" t="s">
        <v>30</v>
      </c>
      <c r="I1299" s="2" t="s">
        <v>31</v>
      </c>
      <c r="J1299" s="15">
        <v>300000</v>
      </c>
      <c r="K1299" s="2">
        <v>10</v>
      </c>
      <c r="L1299" s="2" t="s">
        <v>17</v>
      </c>
      <c r="M1299" s="12">
        <f t="shared" si="45"/>
        <v>240000</v>
      </c>
      <c r="N1299" s="10">
        <f>PRODUCT(Table_13[[#This Row],[Unit Price]],Table_13[[#This Row],[Quantity]])</f>
        <v>3000000</v>
      </c>
      <c r="O1299" s="16">
        <f>PRODUCT(Table_13[[#This Row],[Cost Price]],Table_13[[#This Row],[Quantity]])</f>
        <v>2400000</v>
      </c>
      <c r="P1299" s="27">
        <f t="shared" si="47"/>
        <v>600000</v>
      </c>
    </row>
    <row r="1300" spans="1:16" x14ac:dyDescent="0.2">
      <c r="A1300" s="33">
        <v>46974</v>
      </c>
      <c r="B1300" s="30">
        <f t="shared" si="46"/>
        <v>8</v>
      </c>
      <c r="C1300" s="30" t="str">
        <f>_xlfn.IFS(Table_13[[#This Row],[Month]]=1,"JAN",Table_13[[#This Row],[Month]]=2,"FEB",B1300=3,"MAR",B1300=4,"APR",B1300=5,"MAY",B1300=6,"JUN",B1300=7,"JUL",B1300=8,"AUG",Table_13[[#This Row],[Month]]=9,"SEPT",B1300=10,"OCT",B1300=11,"NOV",B1300=12,"DEC")</f>
        <v>AUG</v>
      </c>
      <c r="D1300" s="2" t="s">
        <v>11</v>
      </c>
      <c r="E1300" s="2" t="s">
        <v>32</v>
      </c>
      <c r="F1300" s="2" t="s">
        <v>23</v>
      </c>
      <c r="G1300" s="2" t="s">
        <v>14</v>
      </c>
      <c r="H1300" s="2" t="s">
        <v>33</v>
      </c>
      <c r="I1300" s="2" t="s">
        <v>22</v>
      </c>
      <c r="J1300" s="15">
        <v>180000</v>
      </c>
      <c r="K1300" s="2">
        <v>7</v>
      </c>
      <c r="L1300" s="2" t="s">
        <v>37</v>
      </c>
      <c r="M1300" s="12">
        <f t="shared" si="45"/>
        <v>144000</v>
      </c>
      <c r="N1300" s="10">
        <f>PRODUCT(Table_13[[#This Row],[Unit Price]],Table_13[[#This Row],[Quantity]])</f>
        <v>1260000</v>
      </c>
      <c r="O1300" s="16">
        <f>PRODUCT(Table_13[[#This Row],[Cost Price]],Table_13[[#This Row],[Quantity]])</f>
        <v>1008000</v>
      </c>
      <c r="P1300" s="27">
        <f t="shared" si="47"/>
        <v>252000</v>
      </c>
    </row>
    <row r="1301" spans="1:16" x14ac:dyDescent="0.2">
      <c r="A1301" s="33">
        <v>46975</v>
      </c>
      <c r="B1301" s="30">
        <f t="shared" si="46"/>
        <v>8</v>
      </c>
      <c r="C1301" s="30" t="str">
        <f>_xlfn.IFS(Table_13[[#This Row],[Month]]=1,"JAN",Table_13[[#This Row],[Month]]=2,"FEB",B1301=3,"MAR",B1301=4,"APR",B1301=5,"MAY",B1301=6,"JUN",B1301=7,"JUL",B1301=8,"AUG",Table_13[[#This Row],[Month]]=9,"SEPT",B1301=10,"OCT",B1301=11,"NOV",B1301=12,"DEC")</f>
        <v>AUG</v>
      </c>
      <c r="D1301" s="2" t="s">
        <v>11</v>
      </c>
      <c r="E1301" s="2" t="s">
        <v>19</v>
      </c>
      <c r="F1301" s="2" t="s">
        <v>23</v>
      </c>
      <c r="G1301" s="2" t="s">
        <v>14</v>
      </c>
      <c r="H1301" s="2" t="s">
        <v>21</v>
      </c>
      <c r="I1301" s="2" t="s">
        <v>22</v>
      </c>
      <c r="J1301" s="15">
        <v>30000</v>
      </c>
      <c r="K1301" s="2">
        <v>7</v>
      </c>
      <c r="L1301" s="2" t="s">
        <v>28</v>
      </c>
      <c r="M1301" s="12">
        <f t="shared" si="45"/>
        <v>24000</v>
      </c>
      <c r="N1301" s="10">
        <f>PRODUCT(Table_13[[#This Row],[Unit Price]],Table_13[[#This Row],[Quantity]])</f>
        <v>210000</v>
      </c>
      <c r="O1301" s="16">
        <f>PRODUCT(Table_13[[#This Row],[Cost Price]],Table_13[[#This Row],[Quantity]])</f>
        <v>168000</v>
      </c>
      <c r="P1301" s="27">
        <f t="shared" si="47"/>
        <v>42000</v>
      </c>
    </row>
    <row r="1302" spans="1:16" x14ac:dyDescent="0.2">
      <c r="A1302" s="33">
        <v>46976</v>
      </c>
      <c r="B1302" s="30">
        <f t="shared" si="46"/>
        <v>8</v>
      </c>
      <c r="C1302" s="30" t="str">
        <f>_xlfn.IFS(Table_13[[#This Row],[Month]]=1,"JAN",Table_13[[#This Row],[Month]]=2,"FEB",B1302=3,"MAR",B1302=4,"APR",B1302=5,"MAY",B1302=6,"JUN",B1302=7,"JUL",B1302=8,"AUG",Table_13[[#This Row],[Month]]=9,"SEPT",B1302=10,"OCT",B1302=11,"NOV",B1302=12,"DEC")</f>
        <v>AUG</v>
      </c>
      <c r="D1302" s="2" t="s">
        <v>18</v>
      </c>
      <c r="E1302" s="2" t="s">
        <v>12</v>
      </c>
      <c r="F1302" s="2" t="s">
        <v>23</v>
      </c>
      <c r="G1302" s="2" t="s">
        <v>14</v>
      </c>
      <c r="H1302" s="2" t="s">
        <v>21</v>
      </c>
      <c r="I1302" s="2" t="s">
        <v>22</v>
      </c>
      <c r="J1302" s="15">
        <v>30000</v>
      </c>
      <c r="K1302" s="2">
        <v>6</v>
      </c>
      <c r="L1302" s="2" t="s">
        <v>24</v>
      </c>
      <c r="M1302" s="12">
        <f t="shared" si="45"/>
        <v>24000</v>
      </c>
      <c r="N1302" s="10">
        <f>PRODUCT(Table_13[[#This Row],[Unit Price]],Table_13[[#This Row],[Quantity]])</f>
        <v>180000</v>
      </c>
      <c r="O1302" s="16">
        <f>PRODUCT(Table_13[[#This Row],[Cost Price]],Table_13[[#This Row],[Quantity]])</f>
        <v>144000</v>
      </c>
      <c r="P1302" s="27">
        <f t="shared" si="47"/>
        <v>36000</v>
      </c>
    </row>
    <row r="1303" spans="1:16" x14ac:dyDescent="0.2">
      <c r="A1303" s="33">
        <v>46977</v>
      </c>
      <c r="B1303" s="30">
        <f t="shared" si="46"/>
        <v>8</v>
      </c>
      <c r="C1303" s="30" t="str">
        <f>_xlfn.IFS(Table_13[[#This Row],[Month]]=1,"JAN",Table_13[[#This Row],[Month]]=2,"FEB",B1303=3,"MAR",B1303=4,"APR",B1303=5,"MAY",B1303=6,"JUN",B1303=7,"JUL",B1303=8,"AUG",Table_13[[#This Row],[Month]]=9,"SEPT",B1303=10,"OCT",B1303=11,"NOV",B1303=12,"DEC")</f>
        <v>AUG</v>
      </c>
      <c r="D1303" s="2" t="s">
        <v>18</v>
      </c>
      <c r="E1303" s="2" t="s">
        <v>19</v>
      </c>
      <c r="F1303" s="2" t="s">
        <v>23</v>
      </c>
      <c r="G1303" s="2" t="s">
        <v>14</v>
      </c>
      <c r="H1303" s="2" t="s">
        <v>15</v>
      </c>
      <c r="I1303" s="2" t="s">
        <v>16</v>
      </c>
      <c r="J1303" s="15">
        <v>85000</v>
      </c>
      <c r="K1303" s="2">
        <v>7</v>
      </c>
      <c r="L1303" s="2" t="s">
        <v>35</v>
      </c>
      <c r="M1303" s="12">
        <f t="shared" si="45"/>
        <v>68000</v>
      </c>
      <c r="N1303" s="10">
        <f>PRODUCT(Table_13[[#This Row],[Unit Price]],Table_13[[#This Row],[Quantity]])</f>
        <v>595000</v>
      </c>
      <c r="O1303" s="16">
        <f>PRODUCT(Table_13[[#This Row],[Cost Price]],Table_13[[#This Row],[Quantity]])</f>
        <v>476000</v>
      </c>
      <c r="P1303" s="27">
        <f t="shared" si="47"/>
        <v>119000</v>
      </c>
    </row>
    <row r="1304" spans="1:16" x14ac:dyDescent="0.2">
      <c r="A1304" s="33">
        <v>46978</v>
      </c>
      <c r="B1304" s="30">
        <f t="shared" si="46"/>
        <v>8</v>
      </c>
      <c r="C1304" s="30" t="str">
        <f>_xlfn.IFS(Table_13[[#This Row],[Month]]=1,"JAN",Table_13[[#This Row],[Month]]=2,"FEB",B1304=3,"MAR",B1304=4,"APR",B1304=5,"MAY",B1304=6,"JUN",B1304=7,"JUL",B1304=8,"AUG",Table_13[[#This Row],[Month]]=9,"SEPT",B1304=10,"OCT",B1304=11,"NOV",B1304=12,"DEC")</f>
        <v>AUG</v>
      </c>
      <c r="D1304" s="2" t="s">
        <v>18</v>
      </c>
      <c r="E1304" s="2" t="s">
        <v>12</v>
      </c>
      <c r="F1304" s="2" t="s">
        <v>23</v>
      </c>
      <c r="G1304" s="2" t="s">
        <v>20</v>
      </c>
      <c r="H1304" s="2" t="s">
        <v>40</v>
      </c>
      <c r="I1304" s="2" t="s">
        <v>31</v>
      </c>
      <c r="J1304" s="15">
        <v>250000</v>
      </c>
      <c r="K1304" s="2">
        <v>3</v>
      </c>
      <c r="L1304" s="2" t="s">
        <v>35</v>
      </c>
      <c r="M1304" s="12">
        <f t="shared" si="45"/>
        <v>200000</v>
      </c>
      <c r="N1304" s="10">
        <f>PRODUCT(Table_13[[#This Row],[Unit Price]],Table_13[[#This Row],[Quantity]])</f>
        <v>750000</v>
      </c>
      <c r="O1304" s="16">
        <f>PRODUCT(Table_13[[#This Row],[Cost Price]],Table_13[[#This Row],[Quantity]])</f>
        <v>600000</v>
      </c>
      <c r="P1304" s="27">
        <f t="shared" si="47"/>
        <v>150000</v>
      </c>
    </row>
    <row r="1305" spans="1:16" x14ac:dyDescent="0.2">
      <c r="A1305" s="33">
        <v>46979</v>
      </c>
      <c r="B1305" s="30">
        <f t="shared" si="46"/>
        <v>8</v>
      </c>
      <c r="C1305" s="30" t="str">
        <f>_xlfn.IFS(Table_13[[#This Row],[Month]]=1,"JAN",Table_13[[#This Row],[Month]]=2,"FEB",B1305=3,"MAR",B1305=4,"APR",B1305=5,"MAY",B1305=6,"JUN",B1305=7,"JUL",B1305=8,"AUG",Table_13[[#This Row],[Month]]=9,"SEPT",B1305=10,"OCT",B1305=11,"NOV",B1305=12,"DEC")</f>
        <v>AUG</v>
      </c>
      <c r="D1305" s="2" t="s">
        <v>11</v>
      </c>
      <c r="E1305" s="2" t="s">
        <v>19</v>
      </c>
      <c r="F1305" s="2" t="s">
        <v>23</v>
      </c>
      <c r="G1305" s="2" t="s">
        <v>14</v>
      </c>
      <c r="H1305" s="2" t="s">
        <v>34</v>
      </c>
      <c r="I1305" s="2" t="s">
        <v>16</v>
      </c>
      <c r="J1305" s="15">
        <v>320000</v>
      </c>
      <c r="K1305" s="2">
        <v>7</v>
      </c>
      <c r="L1305" s="2" t="s">
        <v>28</v>
      </c>
      <c r="M1305" s="12">
        <f t="shared" si="45"/>
        <v>256000</v>
      </c>
      <c r="N1305" s="10">
        <f>PRODUCT(Table_13[[#This Row],[Unit Price]],Table_13[[#This Row],[Quantity]])</f>
        <v>2240000</v>
      </c>
      <c r="O1305" s="16">
        <f>PRODUCT(Table_13[[#This Row],[Cost Price]],Table_13[[#This Row],[Quantity]])</f>
        <v>1792000</v>
      </c>
      <c r="P1305" s="27">
        <f t="shared" si="47"/>
        <v>448000</v>
      </c>
    </row>
    <row r="1306" spans="1:16" x14ac:dyDescent="0.2">
      <c r="A1306" s="33">
        <v>46980</v>
      </c>
      <c r="B1306" s="30">
        <f t="shared" si="46"/>
        <v>8</v>
      </c>
      <c r="C1306" s="30" t="str">
        <f>_xlfn.IFS(Table_13[[#This Row],[Month]]=1,"JAN",Table_13[[#This Row],[Month]]=2,"FEB",B1306=3,"MAR",B1306=4,"APR",B1306=5,"MAY",B1306=6,"JUN",B1306=7,"JUL",B1306=8,"AUG",Table_13[[#This Row],[Month]]=9,"SEPT",B1306=10,"OCT",B1306=11,"NOV",B1306=12,"DEC")</f>
        <v>AUG</v>
      </c>
      <c r="D1306" s="2" t="s">
        <v>25</v>
      </c>
      <c r="E1306" s="2" t="s">
        <v>26</v>
      </c>
      <c r="F1306" s="2" t="s">
        <v>23</v>
      </c>
      <c r="G1306" s="2" t="s">
        <v>20</v>
      </c>
      <c r="H1306" s="2" t="s">
        <v>21</v>
      </c>
      <c r="I1306" s="2" t="s">
        <v>22</v>
      </c>
      <c r="J1306" s="15">
        <v>30000</v>
      </c>
      <c r="K1306" s="2">
        <v>7</v>
      </c>
      <c r="L1306" s="2" t="s">
        <v>35</v>
      </c>
      <c r="M1306" s="12">
        <f t="shared" si="45"/>
        <v>24000</v>
      </c>
      <c r="N1306" s="10">
        <f>PRODUCT(Table_13[[#This Row],[Unit Price]],Table_13[[#This Row],[Quantity]])</f>
        <v>210000</v>
      </c>
      <c r="O1306" s="16">
        <f>PRODUCT(Table_13[[#This Row],[Cost Price]],Table_13[[#This Row],[Quantity]])</f>
        <v>168000</v>
      </c>
      <c r="P1306" s="27">
        <f t="shared" si="47"/>
        <v>42000</v>
      </c>
    </row>
    <row r="1307" spans="1:16" x14ac:dyDescent="0.2">
      <c r="A1307" s="33">
        <v>46981</v>
      </c>
      <c r="B1307" s="30">
        <f t="shared" si="46"/>
        <v>8</v>
      </c>
      <c r="C1307" s="30" t="str">
        <f>_xlfn.IFS(Table_13[[#This Row],[Month]]=1,"JAN",Table_13[[#This Row],[Month]]=2,"FEB",B1307=3,"MAR",B1307=4,"APR",B1307=5,"MAY",B1307=6,"JUN",B1307=7,"JUL",B1307=8,"AUG",Table_13[[#This Row],[Month]]=9,"SEPT",B1307=10,"OCT",B1307=11,"NOV",B1307=12,"DEC")</f>
        <v>AUG</v>
      </c>
      <c r="D1307" s="2" t="s">
        <v>11</v>
      </c>
      <c r="E1307" s="2" t="s">
        <v>26</v>
      </c>
      <c r="F1307" s="2" t="s">
        <v>23</v>
      </c>
      <c r="G1307" s="2" t="s">
        <v>14</v>
      </c>
      <c r="H1307" s="2" t="s">
        <v>34</v>
      </c>
      <c r="I1307" s="2" t="s">
        <v>16</v>
      </c>
      <c r="J1307" s="15">
        <v>320000</v>
      </c>
      <c r="K1307" s="2">
        <v>8</v>
      </c>
      <c r="L1307" s="2" t="s">
        <v>17</v>
      </c>
      <c r="M1307" s="12">
        <f t="shared" si="45"/>
        <v>256000</v>
      </c>
      <c r="N1307" s="10">
        <f>PRODUCT(Table_13[[#This Row],[Unit Price]],Table_13[[#This Row],[Quantity]])</f>
        <v>2560000</v>
      </c>
      <c r="O1307" s="16">
        <f>PRODUCT(Table_13[[#This Row],[Cost Price]],Table_13[[#This Row],[Quantity]])</f>
        <v>2048000</v>
      </c>
      <c r="P1307" s="27">
        <f t="shared" si="47"/>
        <v>512000</v>
      </c>
    </row>
    <row r="1308" spans="1:16" x14ac:dyDescent="0.2">
      <c r="A1308" s="33">
        <v>46982</v>
      </c>
      <c r="B1308" s="30">
        <f t="shared" si="46"/>
        <v>8</v>
      </c>
      <c r="C1308" s="30" t="str">
        <f>_xlfn.IFS(Table_13[[#This Row],[Month]]=1,"JAN",Table_13[[#This Row],[Month]]=2,"FEB",B1308=3,"MAR",B1308=4,"APR",B1308=5,"MAY",B1308=6,"JUN",B1308=7,"JUL",B1308=8,"AUG",Table_13[[#This Row],[Month]]=9,"SEPT",B1308=10,"OCT",B1308=11,"NOV",B1308=12,"DEC")</f>
        <v>AUG</v>
      </c>
      <c r="D1308" s="2" t="s">
        <v>29</v>
      </c>
      <c r="E1308" s="2" t="s">
        <v>32</v>
      </c>
      <c r="F1308" s="2" t="s">
        <v>23</v>
      </c>
      <c r="G1308" s="2" t="s">
        <v>14</v>
      </c>
      <c r="H1308" s="2" t="s">
        <v>34</v>
      </c>
      <c r="I1308" s="2" t="s">
        <v>16</v>
      </c>
      <c r="J1308" s="15">
        <v>320000</v>
      </c>
      <c r="K1308" s="2">
        <v>7</v>
      </c>
      <c r="L1308" s="2" t="s">
        <v>37</v>
      </c>
      <c r="M1308" s="12">
        <f t="shared" si="45"/>
        <v>256000</v>
      </c>
      <c r="N1308" s="10">
        <f>PRODUCT(Table_13[[#This Row],[Unit Price]],Table_13[[#This Row],[Quantity]])</f>
        <v>2240000</v>
      </c>
      <c r="O1308" s="16">
        <f>PRODUCT(Table_13[[#This Row],[Cost Price]],Table_13[[#This Row],[Quantity]])</f>
        <v>1792000</v>
      </c>
      <c r="P1308" s="27">
        <f t="shared" si="47"/>
        <v>448000</v>
      </c>
    </row>
    <row r="1309" spans="1:16" x14ac:dyDescent="0.2">
      <c r="A1309" s="33">
        <v>46983</v>
      </c>
      <c r="B1309" s="30">
        <f t="shared" si="46"/>
        <v>8</v>
      </c>
      <c r="C1309" s="30" t="str">
        <f>_xlfn.IFS(Table_13[[#This Row],[Month]]=1,"JAN",Table_13[[#This Row],[Month]]=2,"FEB",B1309=3,"MAR",B1309=4,"APR",B1309=5,"MAY",B1309=6,"JUN",B1309=7,"JUL",B1309=8,"AUG",Table_13[[#This Row],[Month]]=9,"SEPT",B1309=10,"OCT",B1309=11,"NOV",B1309=12,"DEC")</f>
        <v>AUG</v>
      </c>
      <c r="D1309" s="2" t="s">
        <v>18</v>
      </c>
      <c r="E1309" s="2" t="s">
        <v>19</v>
      </c>
      <c r="F1309" s="2" t="s">
        <v>23</v>
      </c>
      <c r="G1309" s="2" t="s">
        <v>20</v>
      </c>
      <c r="H1309" s="2" t="s">
        <v>27</v>
      </c>
      <c r="I1309" s="2" t="s">
        <v>22</v>
      </c>
      <c r="J1309" s="15">
        <v>60000</v>
      </c>
      <c r="K1309" s="2">
        <v>2</v>
      </c>
      <c r="L1309" s="2" t="s">
        <v>28</v>
      </c>
      <c r="M1309" s="12">
        <f t="shared" si="45"/>
        <v>48000</v>
      </c>
      <c r="N1309" s="10">
        <f>PRODUCT(Table_13[[#This Row],[Unit Price]],Table_13[[#This Row],[Quantity]])</f>
        <v>120000</v>
      </c>
      <c r="O1309" s="16">
        <f>PRODUCT(Table_13[[#This Row],[Cost Price]],Table_13[[#This Row],[Quantity]])</f>
        <v>96000</v>
      </c>
      <c r="P1309" s="27">
        <f t="shared" si="47"/>
        <v>24000</v>
      </c>
    </row>
    <row r="1310" spans="1:16" x14ac:dyDescent="0.2">
      <c r="A1310" s="33">
        <v>46984</v>
      </c>
      <c r="B1310" s="30">
        <f t="shared" si="46"/>
        <v>8</v>
      </c>
      <c r="C1310" s="30" t="str">
        <f>_xlfn.IFS(Table_13[[#This Row],[Month]]=1,"JAN",Table_13[[#This Row],[Month]]=2,"FEB",B1310=3,"MAR",B1310=4,"APR",B1310=5,"MAY",B1310=6,"JUN",B1310=7,"JUL",B1310=8,"AUG",Table_13[[#This Row],[Month]]=9,"SEPT",B1310=10,"OCT",B1310=11,"NOV",B1310=12,"DEC")</f>
        <v>AUG</v>
      </c>
      <c r="D1310" s="2" t="s">
        <v>11</v>
      </c>
      <c r="E1310" s="2" t="s">
        <v>12</v>
      </c>
      <c r="F1310" s="2" t="s">
        <v>23</v>
      </c>
      <c r="G1310" s="2" t="s">
        <v>20</v>
      </c>
      <c r="H1310" s="2" t="s">
        <v>41</v>
      </c>
      <c r="I1310" s="2" t="s">
        <v>22</v>
      </c>
      <c r="J1310" s="15">
        <v>220000</v>
      </c>
      <c r="K1310" s="2">
        <v>8</v>
      </c>
      <c r="L1310" s="2" t="s">
        <v>37</v>
      </c>
      <c r="M1310" s="12">
        <f t="shared" si="45"/>
        <v>176000</v>
      </c>
      <c r="N1310" s="10">
        <f>PRODUCT(Table_13[[#This Row],[Unit Price]],Table_13[[#This Row],[Quantity]])</f>
        <v>1760000</v>
      </c>
      <c r="O1310" s="16">
        <f>PRODUCT(Table_13[[#This Row],[Cost Price]],Table_13[[#This Row],[Quantity]])</f>
        <v>1408000</v>
      </c>
      <c r="P1310" s="27">
        <f t="shared" si="47"/>
        <v>352000</v>
      </c>
    </row>
    <row r="1311" spans="1:16" x14ac:dyDescent="0.2">
      <c r="A1311" s="33">
        <v>46985</v>
      </c>
      <c r="B1311" s="30">
        <f t="shared" si="46"/>
        <v>8</v>
      </c>
      <c r="C1311" s="30" t="str">
        <f>_xlfn.IFS(Table_13[[#This Row],[Month]]=1,"JAN",Table_13[[#This Row],[Month]]=2,"FEB",B1311=3,"MAR",B1311=4,"APR",B1311=5,"MAY",B1311=6,"JUN",B1311=7,"JUL",B1311=8,"AUG",Table_13[[#This Row],[Month]]=9,"SEPT",B1311=10,"OCT",B1311=11,"NOV",B1311=12,"DEC")</f>
        <v>AUG</v>
      </c>
      <c r="D1311" s="2" t="s">
        <v>25</v>
      </c>
      <c r="E1311" s="2" t="s">
        <v>26</v>
      </c>
      <c r="F1311" s="2" t="s">
        <v>23</v>
      </c>
      <c r="G1311" s="2" t="s">
        <v>14</v>
      </c>
      <c r="H1311" s="2" t="s">
        <v>27</v>
      </c>
      <c r="I1311" s="2" t="s">
        <v>22</v>
      </c>
      <c r="J1311" s="15">
        <v>60000</v>
      </c>
      <c r="K1311" s="2">
        <v>2</v>
      </c>
      <c r="L1311" s="2" t="s">
        <v>28</v>
      </c>
      <c r="M1311" s="12">
        <f t="shared" si="45"/>
        <v>48000</v>
      </c>
      <c r="N1311" s="10">
        <f>PRODUCT(Table_13[[#This Row],[Unit Price]],Table_13[[#This Row],[Quantity]])</f>
        <v>120000</v>
      </c>
      <c r="O1311" s="16">
        <f>PRODUCT(Table_13[[#This Row],[Cost Price]],Table_13[[#This Row],[Quantity]])</f>
        <v>96000</v>
      </c>
      <c r="P1311" s="27">
        <f t="shared" si="47"/>
        <v>24000</v>
      </c>
    </row>
    <row r="1312" spans="1:16" x14ac:dyDescent="0.2">
      <c r="A1312" s="33">
        <v>46986</v>
      </c>
      <c r="B1312" s="30">
        <f t="shared" si="46"/>
        <v>8</v>
      </c>
      <c r="C1312" s="30" t="str">
        <f>_xlfn.IFS(Table_13[[#This Row],[Month]]=1,"JAN",Table_13[[#This Row],[Month]]=2,"FEB",B1312=3,"MAR",B1312=4,"APR",B1312=5,"MAY",B1312=6,"JUN",B1312=7,"JUL",B1312=8,"AUG",Table_13[[#This Row],[Month]]=9,"SEPT",B1312=10,"OCT",B1312=11,"NOV",B1312=12,"DEC")</f>
        <v>AUG</v>
      </c>
      <c r="D1312" s="2" t="s">
        <v>11</v>
      </c>
      <c r="E1312" s="2" t="s">
        <v>26</v>
      </c>
      <c r="F1312" s="2" t="s">
        <v>23</v>
      </c>
      <c r="G1312" s="2" t="s">
        <v>14</v>
      </c>
      <c r="H1312" s="2" t="s">
        <v>34</v>
      </c>
      <c r="I1312" s="2" t="s">
        <v>16</v>
      </c>
      <c r="J1312" s="15">
        <v>320000</v>
      </c>
      <c r="K1312" s="2">
        <v>2</v>
      </c>
      <c r="L1312" s="2" t="s">
        <v>39</v>
      </c>
      <c r="M1312" s="12">
        <f t="shared" si="45"/>
        <v>256000</v>
      </c>
      <c r="N1312" s="10">
        <f>PRODUCT(Table_13[[#This Row],[Unit Price]],Table_13[[#This Row],[Quantity]])</f>
        <v>640000</v>
      </c>
      <c r="O1312" s="16">
        <f>PRODUCT(Table_13[[#This Row],[Cost Price]],Table_13[[#This Row],[Quantity]])</f>
        <v>512000</v>
      </c>
      <c r="P1312" s="27">
        <f t="shared" si="47"/>
        <v>128000</v>
      </c>
    </row>
    <row r="1313" spans="1:16" x14ac:dyDescent="0.2">
      <c r="A1313" s="33">
        <v>46987</v>
      </c>
      <c r="B1313" s="30">
        <f t="shared" si="46"/>
        <v>8</v>
      </c>
      <c r="C1313" s="30" t="str">
        <f>_xlfn.IFS(Table_13[[#This Row],[Month]]=1,"JAN",Table_13[[#This Row],[Month]]=2,"FEB",B1313=3,"MAR",B1313=4,"APR",B1313=5,"MAY",B1313=6,"JUN",B1313=7,"JUL",B1313=8,"AUG",Table_13[[#This Row],[Month]]=9,"SEPT",B1313=10,"OCT",B1313=11,"NOV",B1313=12,"DEC")</f>
        <v>AUG</v>
      </c>
      <c r="D1313" s="2" t="s">
        <v>18</v>
      </c>
      <c r="E1313" s="2" t="s">
        <v>12</v>
      </c>
      <c r="F1313" s="2" t="s">
        <v>23</v>
      </c>
      <c r="G1313" s="2" t="s">
        <v>20</v>
      </c>
      <c r="H1313" s="2" t="s">
        <v>21</v>
      </c>
      <c r="I1313" s="2" t="s">
        <v>22</v>
      </c>
      <c r="J1313" s="15">
        <v>30000</v>
      </c>
      <c r="K1313" s="2">
        <v>2</v>
      </c>
      <c r="L1313" s="2" t="s">
        <v>35</v>
      </c>
      <c r="M1313" s="12">
        <f t="shared" si="45"/>
        <v>24000</v>
      </c>
      <c r="N1313" s="10">
        <f>PRODUCT(Table_13[[#This Row],[Unit Price]],Table_13[[#This Row],[Quantity]])</f>
        <v>60000</v>
      </c>
      <c r="O1313" s="16">
        <f>PRODUCT(Table_13[[#This Row],[Cost Price]],Table_13[[#This Row],[Quantity]])</f>
        <v>48000</v>
      </c>
      <c r="P1313" s="27">
        <f t="shared" si="47"/>
        <v>12000</v>
      </c>
    </row>
    <row r="1314" spans="1:16" x14ac:dyDescent="0.2">
      <c r="A1314" s="33">
        <v>46988</v>
      </c>
      <c r="B1314" s="30">
        <f t="shared" si="46"/>
        <v>8</v>
      </c>
      <c r="C1314" s="30" t="str">
        <f>_xlfn.IFS(Table_13[[#This Row],[Month]]=1,"JAN",Table_13[[#This Row],[Month]]=2,"FEB",B1314=3,"MAR",B1314=4,"APR",B1314=5,"MAY",B1314=6,"JUN",B1314=7,"JUL",B1314=8,"AUG",Table_13[[#This Row],[Month]]=9,"SEPT",B1314=10,"OCT",B1314=11,"NOV",B1314=12,"DEC")</f>
        <v>AUG</v>
      </c>
      <c r="D1314" s="2" t="s">
        <v>29</v>
      </c>
      <c r="E1314" s="2" t="s">
        <v>19</v>
      </c>
      <c r="F1314" s="2" t="s">
        <v>23</v>
      </c>
      <c r="G1314" s="2" t="s">
        <v>20</v>
      </c>
      <c r="H1314" s="2" t="s">
        <v>21</v>
      </c>
      <c r="I1314" s="2" t="s">
        <v>22</v>
      </c>
      <c r="J1314" s="15">
        <v>30000</v>
      </c>
      <c r="K1314" s="2">
        <v>7</v>
      </c>
      <c r="L1314" s="2" t="s">
        <v>35</v>
      </c>
      <c r="M1314" s="12">
        <f t="shared" si="45"/>
        <v>24000</v>
      </c>
      <c r="N1314" s="10">
        <f>PRODUCT(Table_13[[#This Row],[Unit Price]],Table_13[[#This Row],[Quantity]])</f>
        <v>210000</v>
      </c>
      <c r="O1314" s="16">
        <f>PRODUCT(Table_13[[#This Row],[Cost Price]],Table_13[[#This Row],[Quantity]])</f>
        <v>168000</v>
      </c>
      <c r="P1314" s="27">
        <f t="shared" si="47"/>
        <v>42000</v>
      </c>
    </row>
    <row r="1315" spans="1:16" x14ac:dyDescent="0.2">
      <c r="A1315" s="33">
        <v>46989</v>
      </c>
      <c r="B1315" s="30">
        <f t="shared" si="46"/>
        <v>8</v>
      </c>
      <c r="C1315" s="30" t="str">
        <f>_xlfn.IFS(Table_13[[#This Row],[Month]]=1,"JAN",Table_13[[#This Row],[Month]]=2,"FEB",B1315=3,"MAR",B1315=4,"APR",B1315=5,"MAY",B1315=6,"JUN",B1315=7,"JUL",B1315=8,"AUG",Table_13[[#This Row],[Month]]=9,"SEPT",B1315=10,"OCT",B1315=11,"NOV",B1315=12,"DEC")</f>
        <v>AUG</v>
      </c>
      <c r="D1315" s="2" t="s">
        <v>29</v>
      </c>
      <c r="E1315" s="2" t="s">
        <v>12</v>
      </c>
      <c r="F1315" s="2" t="s">
        <v>23</v>
      </c>
      <c r="G1315" s="2" t="s">
        <v>20</v>
      </c>
      <c r="H1315" s="2" t="s">
        <v>40</v>
      </c>
      <c r="I1315" s="2" t="s">
        <v>31</v>
      </c>
      <c r="J1315" s="15">
        <v>250000</v>
      </c>
      <c r="K1315" s="2">
        <v>10</v>
      </c>
      <c r="L1315" s="2" t="s">
        <v>35</v>
      </c>
      <c r="M1315" s="12">
        <f t="shared" si="45"/>
        <v>200000</v>
      </c>
      <c r="N1315" s="10">
        <f>PRODUCT(Table_13[[#This Row],[Unit Price]],Table_13[[#This Row],[Quantity]])</f>
        <v>2500000</v>
      </c>
      <c r="O1315" s="16">
        <f>PRODUCT(Table_13[[#This Row],[Cost Price]],Table_13[[#This Row],[Quantity]])</f>
        <v>2000000</v>
      </c>
      <c r="P1315" s="27">
        <f t="shared" si="47"/>
        <v>500000</v>
      </c>
    </row>
    <row r="1316" spans="1:16" x14ac:dyDescent="0.2">
      <c r="A1316" s="33">
        <v>46990</v>
      </c>
      <c r="B1316" s="30">
        <f t="shared" si="46"/>
        <v>8</v>
      </c>
      <c r="C1316" s="30" t="str">
        <f>_xlfn.IFS(Table_13[[#This Row],[Month]]=1,"JAN",Table_13[[#This Row],[Month]]=2,"FEB",B1316=3,"MAR",B1316=4,"APR",B1316=5,"MAY",B1316=6,"JUN",B1316=7,"JUL",B1316=8,"AUG",Table_13[[#This Row],[Month]]=9,"SEPT",B1316=10,"OCT",B1316=11,"NOV",B1316=12,"DEC")</f>
        <v>AUG</v>
      </c>
      <c r="D1316" s="2" t="s">
        <v>18</v>
      </c>
      <c r="E1316" s="2" t="s">
        <v>32</v>
      </c>
      <c r="F1316" s="2" t="s">
        <v>23</v>
      </c>
      <c r="G1316" s="2" t="s">
        <v>20</v>
      </c>
      <c r="H1316" s="2" t="s">
        <v>30</v>
      </c>
      <c r="I1316" s="2" t="s">
        <v>31</v>
      </c>
      <c r="J1316" s="15">
        <v>300000</v>
      </c>
      <c r="K1316" s="2">
        <v>9</v>
      </c>
      <c r="L1316" s="2" t="s">
        <v>28</v>
      </c>
      <c r="M1316" s="12">
        <f t="shared" si="45"/>
        <v>240000</v>
      </c>
      <c r="N1316" s="10">
        <f>PRODUCT(Table_13[[#This Row],[Unit Price]],Table_13[[#This Row],[Quantity]])</f>
        <v>2700000</v>
      </c>
      <c r="O1316" s="16">
        <f>PRODUCT(Table_13[[#This Row],[Cost Price]],Table_13[[#This Row],[Quantity]])</f>
        <v>2160000</v>
      </c>
      <c r="P1316" s="27">
        <f t="shared" si="47"/>
        <v>540000</v>
      </c>
    </row>
    <row r="1317" spans="1:16" x14ac:dyDescent="0.2">
      <c r="A1317" s="33">
        <v>46991</v>
      </c>
      <c r="B1317" s="30">
        <f t="shared" si="46"/>
        <v>8</v>
      </c>
      <c r="C1317" s="30" t="str">
        <f>_xlfn.IFS(Table_13[[#This Row],[Month]]=1,"JAN",Table_13[[#This Row],[Month]]=2,"FEB",B1317=3,"MAR",B1317=4,"APR",B1317=5,"MAY",B1317=6,"JUN",B1317=7,"JUL",B1317=8,"AUG",Table_13[[#This Row],[Month]]=9,"SEPT",B1317=10,"OCT",B1317=11,"NOV",B1317=12,"DEC")</f>
        <v>AUG</v>
      </c>
      <c r="D1317" s="2" t="s">
        <v>25</v>
      </c>
      <c r="E1317" s="2" t="s">
        <v>26</v>
      </c>
      <c r="F1317" s="2" t="s">
        <v>23</v>
      </c>
      <c r="G1317" s="2" t="s">
        <v>20</v>
      </c>
      <c r="H1317" s="2" t="s">
        <v>15</v>
      </c>
      <c r="I1317" s="2" t="s">
        <v>16</v>
      </c>
      <c r="J1317" s="15">
        <v>85000</v>
      </c>
      <c r="K1317" s="2">
        <v>6</v>
      </c>
      <c r="L1317" s="2" t="s">
        <v>37</v>
      </c>
      <c r="M1317" s="12">
        <f t="shared" si="45"/>
        <v>68000</v>
      </c>
      <c r="N1317" s="10">
        <f>PRODUCT(Table_13[[#This Row],[Unit Price]],Table_13[[#This Row],[Quantity]])</f>
        <v>510000</v>
      </c>
      <c r="O1317" s="16">
        <f>PRODUCT(Table_13[[#This Row],[Cost Price]],Table_13[[#This Row],[Quantity]])</f>
        <v>408000</v>
      </c>
      <c r="P1317" s="27">
        <f t="shared" si="47"/>
        <v>102000</v>
      </c>
    </row>
    <row r="1318" spans="1:16" x14ac:dyDescent="0.2">
      <c r="A1318" s="33">
        <v>46992</v>
      </c>
      <c r="B1318" s="30">
        <f t="shared" si="46"/>
        <v>8</v>
      </c>
      <c r="C1318" s="30" t="str">
        <f>_xlfn.IFS(Table_13[[#This Row],[Month]]=1,"JAN",Table_13[[#This Row],[Month]]=2,"FEB",B1318=3,"MAR",B1318=4,"APR",B1318=5,"MAY",B1318=6,"JUN",B1318=7,"JUL",B1318=8,"AUG",Table_13[[#This Row],[Month]]=9,"SEPT",B1318=10,"OCT",B1318=11,"NOV",B1318=12,"DEC")</f>
        <v>AUG</v>
      </c>
      <c r="D1318" s="2" t="s">
        <v>11</v>
      </c>
      <c r="E1318" s="2" t="s">
        <v>12</v>
      </c>
      <c r="F1318" s="2" t="s">
        <v>23</v>
      </c>
      <c r="G1318" s="2" t="s">
        <v>20</v>
      </c>
      <c r="H1318" s="2" t="s">
        <v>21</v>
      </c>
      <c r="I1318" s="2" t="s">
        <v>22</v>
      </c>
      <c r="J1318" s="15">
        <v>30000</v>
      </c>
      <c r="K1318" s="2">
        <v>4</v>
      </c>
      <c r="L1318" s="2" t="s">
        <v>17</v>
      </c>
      <c r="M1318" s="12">
        <f t="shared" si="45"/>
        <v>24000</v>
      </c>
      <c r="N1318" s="10">
        <f>PRODUCT(Table_13[[#This Row],[Unit Price]],Table_13[[#This Row],[Quantity]])</f>
        <v>120000</v>
      </c>
      <c r="O1318" s="16">
        <f>PRODUCT(Table_13[[#This Row],[Cost Price]],Table_13[[#This Row],[Quantity]])</f>
        <v>96000</v>
      </c>
      <c r="P1318" s="27">
        <f t="shared" si="47"/>
        <v>24000</v>
      </c>
    </row>
    <row r="1319" spans="1:16" x14ac:dyDescent="0.2">
      <c r="A1319" s="33">
        <v>46993</v>
      </c>
      <c r="B1319" s="30">
        <f t="shared" si="46"/>
        <v>8</v>
      </c>
      <c r="C1319" s="30" t="str">
        <f>_xlfn.IFS(Table_13[[#This Row],[Month]]=1,"JAN",Table_13[[#This Row],[Month]]=2,"FEB",B1319=3,"MAR",B1319=4,"APR",B1319=5,"MAY",B1319=6,"JUN",B1319=7,"JUL",B1319=8,"AUG",Table_13[[#This Row],[Month]]=9,"SEPT",B1319=10,"OCT",B1319=11,"NOV",B1319=12,"DEC")</f>
        <v>AUG</v>
      </c>
      <c r="D1319" s="2" t="s">
        <v>25</v>
      </c>
      <c r="E1319" s="2" t="s">
        <v>32</v>
      </c>
      <c r="F1319" s="2" t="s">
        <v>23</v>
      </c>
      <c r="G1319" s="2" t="s">
        <v>14</v>
      </c>
      <c r="H1319" s="2" t="s">
        <v>30</v>
      </c>
      <c r="I1319" s="2" t="s">
        <v>31</v>
      </c>
      <c r="J1319" s="15">
        <v>300000</v>
      </c>
      <c r="K1319" s="2">
        <v>4</v>
      </c>
      <c r="L1319" s="2" t="s">
        <v>17</v>
      </c>
      <c r="M1319" s="12">
        <f t="shared" si="45"/>
        <v>240000</v>
      </c>
      <c r="N1319" s="10">
        <f>PRODUCT(Table_13[[#This Row],[Unit Price]],Table_13[[#This Row],[Quantity]])</f>
        <v>1200000</v>
      </c>
      <c r="O1319" s="16">
        <f>PRODUCT(Table_13[[#This Row],[Cost Price]],Table_13[[#This Row],[Quantity]])</f>
        <v>960000</v>
      </c>
      <c r="P1319" s="27">
        <f t="shared" si="47"/>
        <v>240000</v>
      </c>
    </row>
    <row r="1320" spans="1:16" x14ac:dyDescent="0.2">
      <c r="A1320" s="33">
        <v>46994</v>
      </c>
      <c r="B1320" s="30">
        <f t="shared" si="46"/>
        <v>8</v>
      </c>
      <c r="C1320" s="30" t="str">
        <f>_xlfn.IFS(Table_13[[#This Row],[Month]]=1,"JAN",Table_13[[#This Row],[Month]]=2,"FEB",B1320=3,"MAR",B1320=4,"APR",B1320=5,"MAY",B1320=6,"JUN",B1320=7,"JUL",B1320=8,"AUG",Table_13[[#This Row],[Month]]=9,"SEPT",B1320=10,"OCT",B1320=11,"NOV",B1320=12,"DEC")</f>
        <v>AUG</v>
      </c>
      <c r="D1320" s="2" t="s">
        <v>25</v>
      </c>
      <c r="E1320" s="2" t="s">
        <v>32</v>
      </c>
      <c r="F1320" s="2" t="s">
        <v>23</v>
      </c>
      <c r="G1320" s="2" t="s">
        <v>20</v>
      </c>
      <c r="H1320" s="2" t="s">
        <v>41</v>
      </c>
      <c r="I1320" s="2" t="s">
        <v>22</v>
      </c>
      <c r="J1320" s="15">
        <v>220000</v>
      </c>
      <c r="K1320" s="2">
        <v>5</v>
      </c>
      <c r="L1320" s="2" t="s">
        <v>35</v>
      </c>
      <c r="M1320" s="12">
        <f t="shared" si="45"/>
        <v>176000</v>
      </c>
      <c r="N1320" s="10">
        <f>PRODUCT(Table_13[[#This Row],[Unit Price]],Table_13[[#This Row],[Quantity]])</f>
        <v>1100000</v>
      </c>
      <c r="O1320" s="16">
        <f>PRODUCT(Table_13[[#This Row],[Cost Price]],Table_13[[#This Row],[Quantity]])</f>
        <v>880000</v>
      </c>
      <c r="P1320" s="27">
        <f t="shared" si="47"/>
        <v>220000</v>
      </c>
    </row>
    <row r="1321" spans="1:16" x14ac:dyDescent="0.2">
      <c r="A1321" s="33">
        <v>46995</v>
      </c>
      <c r="B1321" s="30">
        <f t="shared" si="46"/>
        <v>8</v>
      </c>
      <c r="C1321" s="30" t="str">
        <f>_xlfn.IFS(Table_13[[#This Row],[Month]]=1,"JAN",Table_13[[#This Row],[Month]]=2,"FEB",B1321=3,"MAR",B1321=4,"APR",B1321=5,"MAY",B1321=6,"JUN",B1321=7,"JUL",B1321=8,"AUG",Table_13[[#This Row],[Month]]=9,"SEPT",B1321=10,"OCT",B1321=11,"NOV",B1321=12,"DEC")</f>
        <v>AUG</v>
      </c>
      <c r="D1321" s="2" t="s">
        <v>18</v>
      </c>
      <c r="E1321" s="2" t="s">
        <v>32</v>
      </c>
      <c r="F1321" s="2" t="s">
        <v>23</v>
      </c>
      <c r="G1321" s="2" t="s">
        <v>20</v>
      </c>
      <c r="H1321" s="2" t="s">
        <v>41</v>
      </c>
      <c r="I1321" s="2" t="s">
        <v>22</v>
      </c>
      <c r="J1321" s="15">
        <v>220000</v>
      </c>
      <c r="K1321" s="2">
        <v>4</v>
      </c>
      <c r="L1321" s="2" t="s">
        <v>35</v>
      </c>
      <c r="M1321" s="12">
        <f t="shared" si="45"/>
        <v>176000</v>
      </c>
      <c r="N1321" s="10">
        <f>PRODUCT(Table_13[[#This Row],[Unit Price]],Table_13[[#This Row],[Quantity]])</f>
        <v>880000</v>
      </c>
      <c r="O1321" s="16">
        <f>PRODUCT(Table_13[[#This Row],[Cost Price]],Table_13[[#This Row],[Quantity]])</f>
        <v>704000</v>
      </c>
      <c r="P1321" s="27">
        <f t="shared" si="47"/>
        <v>176000</v>
      </c>
    </row>
    <row r="1322" spans="1:16" x14ac:dyDescent="0.2">
      <c r="A1322" s="33">
        <v>46996</v>
      </c>
      <c r="B1322" s="30">
        <f t="shared" si="46"/>
        <v>8</v>
      </c>
      <c r="C1322" s="30" t="str">
        <f>_xlfn.IFS(Table_13[[#This Row],[Month]]=1,"JAN",Table_13[[#This Row],[Month]]=2,"FEB",B1322=3,"MAR",B1322=4,"APR",B1322=5,"MAY",B1322=6,"JUN",B1322=7,"JUL",B1322=8,"AUG",Table_13[[#This Row],[Month]]=9,"SEPT",B1322=10,"OCT",B1322=11,"NOV",B1322=12,"DEC")</f>
        <v>AUG</v>
      </c>
      <c r="D1322" s="2" t="s">
        <v>18</v>
      </c>
      <c r="E1322" s="2" t="s">
        <v>32</v>
      </c>
      <c r="F1322" s="2" t="s">
        <v>23</v>
      </c>
      <c r="G1322" s="2" t="s">
        <v>14</v>
      </c>
      <c r="H1322" s="2" t="s">
        <v>21</v>
      </c>
      <c r="I1322" s="2" t="s">
        <v>22</v>
      </c>
      <c r="J1322" s="15">
        <v>30000</v>
      </c>
      <c r="K1322" s="2">
        <v>1</v>
      </c>
      <c r="L1322" s="2" t="s">
        <v>39</v>
      </c>
      <c r="M1322" s="12">
        <f t="shared" si="45"/>
        <v>24000</v>
      </c>
      <c r="N1322" s="10">
        <f>PRODUCT(Table_13[[#This Row],[Unit Price]],Table_13[[#This Row],[Quantity]])</f>
        <v>30000</v>
      </c>
      <c r="O1322" s="16">
        <f>PRODUCT(Table_13[[#This Row],[Cost Price]],Table_13[[#This Row],[Quantity]])</f>
        <v>24000</v>
      </c>
      <c r="P1322" s="27">
        <f t="shared" si="47"/>
        <v>6000</v>
      </c>
    </row>
    <row r="1323" spans="1:16" x14ac:dyDescent="0.2">
      <c r="A1323" s="33">
        <v>46997</v>
      </c>
      <c r="B1323" s="30">
        <f t="shared" si="46"/>
        <v>9</v>
      </c>
      <c r="C1323" s="30" t="str">
        <f>_xlfn.IFS(Table_13[[#This Row],[Month]]=1,"JAN",Table_13[[#This Row],[Month]]=2,"FEB",B1323=3,"MAR",B1323=4,"APR",B1323=5,"MAY",B1323=6,"JUN",B1323=7,"JUL",B1323=8,"AUG",Table_13[[#This Row],[Month]]=9,"SEPT",B1323=10,"OCT",B1323=11,"NOV",B1323=12,"DEC")</f>
        <v>SEPT</v>
      </c>
      <c r="D1323" s="2" t="s">
        <v>25</v>
      </c>
      <c r="E1323" s="2" t="s">
        <v>19</v>
      </c>
      <c r="F1323" s="2" t="s">
        <v>13</v>
      </c>
      <c r="G1323" s="2" t="s">
        <v>14</v>
      </c>
      <c r="H1323" s="2" t="s">
        <v>38</v>
      </c>
      <c r="I1323" s="2" t="s">
        <v>31</v>
      </c>
      <c r="J1323" s="15">
        <v>420000</v>
      </c>
      <c r="K1323" s="2">
        <v>9</v>
      </c>
      <c r="L1323" s="2" t="s">
        <v>24</v>
      </c>
      <c r="M1323" s="12">
        <f t="shared" si="45"/>
        <v>336000</v>
      </c>
      <c r="N1323" s="10">
        <f>PRODUCT(Table_13[[#This Row],[Unit Price]],Table_13[[#This Row],[Quantity]])</f>
        <v>3780000</v>
      </c>
      <c r="O1323" s="16">
        <f>PRODUCT(Table_13[[#This Row],[Cost Price]],Table_13[[#This Row],[Quantity]])</f>
        <v>3024000</v>
      </c>
      <c r="P1323" s="27">
        <f t="shared" si="47"/>
        <v>756000</v>
      </c>
    </row>
    <row r="1324" spans="1:16" x14ac:dyDescent="0.2">
      <c r="A1324" s="33">
        <v>46998</v>
      </c>
      <c r="B1324" s="30">
        <f t="shared" si="46"/>
        <v>9</v>
      </c>
      <c r="C1324" s="30" t="str">
        <f>_xlfn.IFS(Table_13[[#This Row],[Month]]=1,"JAN",Table_13[[#This Row],[Month]]=2,"FEB",B1324=3,"MAR",B1324=4,"APR",B1324=5,"MAY",B1324=6,"JUN",B1324=7,"JUL",B1324=8,"AUG",Table_13[[#This Row],[Month]]=9,"SEPT",B1324=10,"OCT",B1324=11,"NOV",B1324=12,"DEC")</f>
        <v>SEPT</v>
      </c>
      <c r="D1324" s="2" t="s">
        <v>11</v>
      </c>
      <c r="E1324" s="2" t="s">
        <v>19</v>
      </c>
      <c r="F1324" s="2" t="s">
        <v>23</v>
      </c>
      <c r="G1324" s="2" t="s">
        <v>14</v>
      </c>
      <c r="H1324" s="2" t="s">
        <v>27</v>
      </c>
      <c r="I1324" s="2" t="s">
        <v>22</v>
      </c>
      <c r="J1324" s="15">
        <v>60000</v>
      </c>
      <c r="K1324" s="2">
        <v>6</v>
      </c>
      <c r="L1324" s="2" t="s">
        <v>24</v>
      </c>
      <c r="M1324" s="12">
        <f t="shared" si="45"/>
        <v>48000</v>
      </c>
      <c r="N1324" s="10">
        <f>PRODUCT(Table_13[[#This Row],[Unit Price]],Table_13[[#This Row],[Quantity]])</f>
        <v>360000</v>
      </c>
      <c r="O1324" s="16">
        <f>PRODUCT(Table_13[[#This Row],[Cost Price]],Table_13[[#This Row],[Quantity]])</f>
        <v>288000</v>
      </c>
      <c r="P1324" s="27">
        <f t="shared" si="47"/>
        <v>72000</v>
      </c>
    </row>
    <row r="1325" spans="1:16" x14ac:dyDescent="0.2">
      <c r="A1325" s="33">
        <v>46999</v>
      </c>
      <c r="B1325" s="30">
        <f t="shared" si="46"/>
        <v>9</v>
      </c>
      <c r="C1325" s="30" t="str">
        <f>_xlfn.IFS(Table_13[[#This Row],[Month]]=1,"JAN",Table_13[[#This Row],[Month]]=2,"FEB",B1325=3,"MAR",B1325=4,"APR",B1325=5,"MAY",B1325=6,"JUN",B1325=7,"JUL",B1325=8,"AUG",Table_13[[#This Row],[Month]]=9,"SEPT",B1325=10,"OCT",B1325=11,"NOV",B1325=12,"DEC")</f>
        <v>SEPT</v>
      </c>
      <c r="D1325" s="2" t="s">
        <v>11</v>
      </c>
      <c r="E1325" s="2" t="s">
        <v>32</v>
      </c>
      <c r="F1325" s="2" t="s">
        <v>13</v>
      </c>
      <c r="G1325" s="2" t="s">
        <v>14</v>
      </c>
      <c r="H1325" s="2" t="s">
        <v>33</v>
      </c>
      <c r="I1325" s="2" t="s">
        <v>22</v>
      </c>
      <c r="J1325" s="15">
        <v>180000</v>
      </c>
      <c r="K1325" s="2">
        <v>2</v>
      </c>
      <c r="L1325" s="2" t="s">
        <v>28</v>
      </c>
      <c r="M1325" s="12">
        <f t="shared" si="45"/>
        <v>144000</v>
      </c>
      <c r="N1325" s="10">
        <f>PRODUCT(Table_13[[#This Row],[Unit Price]],Table_13[[#This Row],[Quantity]])</f>
        <v>360000</v>
      </c>
      <c r="O1325" s="16">
        <f>PRODUCT(Table_13[[#This Row],[Cost Price]],Table_13[[#This Row],[Quantity]])</f>
        <v>288000</v>
      </c>
      <c r="P1325" s="27">
        <f t="shared" si="47"/>
        <v>72000</v>
      </c>
    </row>
    <row r="1326" spans="1:16" x14ac:dyDescent="0.2">
      <c r="A1326" s="33">
        <v>47000</v>
      </c>
      <c r="B1326" s="30">
        <f t="shared" si="46"/>
        <v>9</v>
      </c>
      <c r="C1326" s="30" t="str">
        <f>_xlfn.IFS(Table_13[[#This Row],[Month]]=1,"JAN",Table_13[[#This Row],[Month]]=2,"FEB",B1326=3,"MAR",B1326=4,"APR",B1326=5,"MAY",B1326=6,"JUN",B1326=7,"JUL",B1326=8,"AUG",Table_13[[#This Row],[Month]]=9,"SEPT",B1326=10,"OCT",B1326=11,"NOV",B1326=12,"DEC")</f>
        <v>SEPT</v>
      </c>
      <c r="D1326" s="2" t="s">
        <v>18</v>
      </c>
      <c r="E1326" s="2" t="s">
        <v>19</v>
      </c>
      <c r="F1326" s="2" t="s">
        <v>13</v>
      </c>
      <c r="G1326" s="2" t="s">
        <v>14</v>
      </c>
      <c r="H1326" s="2" t="s">
        <v>15</v>
      </c>
      <c r="I1326" s="2" t="s">
        <v>16</v>
      </c>
      <c r="J1326" s="15">
        <v>85000</v>
      </c>
      <c r="K1326" s="2">
        <v>1</v>
      </c>
      <c r="L1326" s="2" t="s">
        <v>24</v>
      </c>
      <c r="M1326" s="12">
        <f t="shared" si="45"/>
        <v>68000</v>
      </c>
      <c r="N1326" s="10">
        <f>PRODUCT(Table_13[[#This Row],[Unit Price]],Table_13[[#This Row],[Quantity]])</f>
        <v>85000</v>
      </c>
      <c r="O1326" s="16">
        <f>PRODUCT(Table_13[[#This Row],[Cost Price]],Table_13[[#This Row],[Quantity]])</f>
        <v>68000</v>
      </c>
      <c r="P1326" s="27">
        <f t="shared" si="47"/>
        <v>17000</v>
      </c>
    </row>
    <row r="1327" spans="1:16" x14ac:dyDescent="0.2">
      <c r="A1327" s="33">
        <v>47001</v>
      </c>
      <c r="B1327" s="30">
        <f t="shared" si="46"/>
        <v>9</v>
      </c>
      <c r="C1327" s="30" t="str">
        <f>_xlfn.IFS(Table_13[[#This Row],[Month]]=1,"JAN",Table_13[[#This Row],[Month]]=2,"FEB",B1327=3,"MAR",B1327=4,"APR",B1327=5,"MAY",B1327=6,"JUN",B1327=7,"JUL",B1327=8,"AUG",Table_13[[#This Row],[Month]]=9,"SEPT",B1327=10,"OCT",B1327=11,"NOV",B1327=12,"DEC")</f>
        <v>SEPT</v>
      </c>
      <c r="D1327" s="2" t="s">
        <v>11</v>
      </c>
      <c r="E1327" s="2" t="s">
        <v>26</v>
      </c>
      <c r="F1327" s="2" t="s">
        <v>13</v>
      </c>
      <c r="G1327" s="2" t="s">
        <v>20</v>
      </c>
      <c r="H1327" s="2" t="s">
        <v>40</v>
      </c>
      <c r="I1327" s="2" t="s">
        <v>31</v>
      </c>
      <c r="J1327" s="15">
        <v>250000</v>
      </c>
      <c r="K1327" s="2">
        <v>2</v>
      </c>
      <c r="L1327" s="2" t="s">
        <v>17</v>
      </c>
      <c r="M1327" s="12">
        <f t="shared" si="45"/>
        <v>200000</v>
      </c>
      <c r="N1327" s="10">
        <f>PRODUCT(Table_13[[#This Row],[Unit Price]],Table_13[[#This Row],[Quantity]])</f>
        <v>500000</v>
      </c>
      <c r="O1327" s="16">
        <f>PRODUCT(Table_13[[#This Row],[Cost Price]],Table_13[[#This Row],[Quantity]])</f>
        <v>400000</v>
      </c>
      <c r="P1327" s="27">
        <f t="shared" si="47"/>
        <v>100000</v>
      </c>
    </row>
    <row r="1328" spans="1:16" x14ac:dyDescent="0.2">
      <c r="A1328" s="33">
        <v>47002</v>
      </c>
      <c r="B1328" s="30">
        <f t="shared" si="46"/>
        <v>9</v>
      </c>
      <c r="C1328" s="30" t="str">
        <f>_xlfn.IFS(Table_13[[#This Row],[Month]]=1,"JAN",Table_13[[#This Row],[Month]]=2,"FEB",B1328=3,"MAR",B1328=4,"APR",B1328=5,"MAY",B1328=6,"JUN",B1328=7,"JUL",B1328=8,"AUG",Table_13[[#This Row],[Month]]=9,"SEPT",B1328=10,"OCT",B1328=11,"NOV",B1328=12,"DEC")</f>
        <v>SEPT</v>
      </c>
      <c r="D1328" s="2" t="s">
        <v>29</v>
      </c>
      <c r="E1328" s="2" t="s">
        <v>32</v>
      </c>
      <c r="F1328" s="2" t="s">
        <v>13</v>
      </c>
      <c r="G1328" s="2" t="s">
        <v>20</v>
      </c>
      <c r="H1328" s="2" t="s">
        <v>21</v>
      </c>
      <c r="I1328" s="2" t="s">
        <v>22</v>
      </c>
      <c r="J1328" s="15">
        <v>30000</v>
      </c>
      <c r="K1328" s="2">
        <v>7</v>
      </c>
      <c r="L1328" s="2" t="s">
        <v>35</v>
      </c>
      <c r="M1328" s="12">
        <f t="shared" si="45"/>
        <v>24000</v>
      </c>
      <c r="N1328" s="10">
        <f>PRODUCT(Table_13[[#This Row],[Unit Price]],Table_13[[#This Row],[Quantity]])</f>
        <v>210000</v>
      </c>
      <c r="O1328" s="16">
        <f>PRODUCT(Table_13[[#This Row],[Cost Price]],Table_13[[#This Row],[Quantity]])</f>
        <v>168000</v>
      </c>
      <c r="P1328" s="27">
        <f t="shared" si="47"/>
        <v>42000</v>
      </c>
    </row>
    <row r="1329" spans="1:16" x14ac:dyDescent="0.2">
      <c r="A1329" s="33">
        <v>47003</v>
      </c>
      <c r="B1329" s="30">
        <f t="shared" si="46"/>
        <v>9</v>
      </c>
      <c r="C1329" s="30" t="str">
        <f>_xlfn.IFS(Table_13[[#This Row],[Month]]=1,"JAN",Table_13[[#This Row],[Month]]=2,"FEB",B1329=3,"MAR",B1329=4,"APR",B1329=5,"MAY",B1329=6,"JUN",B1329=7,"JUL",B1329=8,"AUG",Table_13[[#This Row],[Month]]=9,"SEPT",B1329=10,"OCT",B1329=11,"NOV",B1329=12,"DEC")</f>
        <v>SEPT</v>
      </c>
      <c r="D1329" s="2" t="s">
        <v>11</v>
      </c>
      <c r="E1329" s="2" t="s">
        <v>19</v>
      </c>
      <c r="F1329" s="2" t="s">
        <v>13</v>
      </c>
      <c r="G1329" s="2" t="s">
        <v>20</v>
      </c>
      <c r="H1329" s="2" t="s">
        <v>38</v>
      </c>
      <c r="I1329" s="2" t="s">
        <v>31</v>
      </c>
      <c r="J1329" s="15">
        <v>420000</v>
      </c>
      <c r="K1329" s="2">
        <v>9</v>
      </c>
      <c r="L1329" s="2" t="s">
        <v>35</v>
      </c>
      <c r="M1329" s="12">
        <f t="shared" si="45"/>
        <v>336000</v>
      </c>
      <c r="N1329" s="10">
        <f>PRODUCT(Table_13[[#This Row],[Unit Price]],Table_13[[#This Row],[Quantity]])</f>
        <v>3780000</v>
      </c>
      <c r="O1329" s="16">
        <f>PRODUCT(Table_13[[#This Row],[Cost Price]],Table_13[[#This Row],[Quantity]])</f>
        <v>3024000</v>
      </c>
      <c r="P1329" s="27">
        <f t="shared" si="47"/>
        <v>756000</v>
      </c>
    </row>
    <row r="1330" spans="1:16" x14ac:dyDescent="0.2">
      <c r="A1330" s="33">
        <v>47004</v>
      </c>
      <c r="B1330" s="30">
        <f t="shared" si="46"/>
        <v>9</v>
      </c>
      <c r="C1330" s="30" t="str">
        <f>_xlfn.IFS(Table_13[[#This Row],[Month]]=1,"JAN",Table_13[[#This Row],[Month]]=2,"FEB",B1330=3,"MAR",B1330=4,"APR",B1330=5,"MAY",B1330=6,"JUN",B1330=7,"JUL",B1330=8,"AUG",Table_13[[#This Row],[Month]]=9,"SEPT",B1330=10,"OCT",B1330=11,"NOV",B1330=12,"DEC")</f>
        <v>SEPT</v>
      </c>
      <c r="D1330" s="2" t="s">
        <v>25</v>
      </c>
      <c r="E1330" s="2" t="s">
        <v>32</v>
      </c>
      <c r="F1330" s="2" t="s">
        <v>13</v>
      </c>
      <c r="G1330" s="2" t="s">
        <v>14</v>
      </c>
      <c r="H1330" s="2" t="s">
        <v>27</v>
      </c>
      <c r="I1330" s="2" t="s">
        <v>22</v>
      </c>
      <c r="J1330" s="15">
        <v>60000</v>
      </c>
      <c r="K1330" s="2">
        <v>7</v>
      </c>
      <c r="L1330" s="2" t="s">
        <v>24</v>
      </c>
      <c r="M1330" s="12">
        <f t="shared" si="45"/>
        <v>48000</v>
      </c>
      <c r="N1330" s="10">
        <f>PRODUCT(Table_13[[#This Row],[Unit Price]],Table_13[[#This Row],[Quantity]])</f>
        <v>420000</v>
      </c>
      <c r="O1330" s="16">
        <f>PRODUCT(Table_13[[#This Row],[Cost Price]],Table_13[[#This Row],[Quantity]])</f>
        <v>336000</v>
      </c>
      <c r="P1330" s="27">
        <f t="shared" si="47"/>
        <v>84000</v>
      </c>
    </row>
    <row r="1331" spans="1:16" x14ac:dyDescent="0.2">
      <c r="A1331" s="33">
        <v>47005</v>
      </c>
      <c r="B1331" s="30">
        <f t="shared" si="46"/>
        <v>9</v>
      </c>
      <c r="C1331" s="30" t="str">
        <f>_xlfn.IFS(Table_13[[#This Row],[Month]]=1,"JAN",Table_13[[#This Row],[Month]]=2,"FEB",B1331=3,"MAR",B1331=4,"APR",B1331=5,"MAY",B1331=6,"JUN",B1331=7,"JUL",B1331=8,"AUG",Table_13[[#This Row],[Month]]=9,"SEPT",B1331=10,"OCT",B1331=11,"NOV",B1331=12,"DEC")</f>
        <v>SEPT</v>
      </c>
      <c r="D1331" s="2" t="s">
        <v>29</v>
      </c>
      <c r="E1331" s="2" t="s">
        <v>26</v>
      </c>
      <c r="F1331" s="2" t="s">
        <v>13</v>
      </c>
      <c r="G1331" s="2" t="s">
        <v>20</v>
      </c>
      <c r="H1331" s="2" t="s">
        <v>30</v>
      </c>
      <c r="I1331" s="2" t="s">
        <v>31</v>
      </c>
      <c r="J1331" s="15">
        <v>300000</v>
      </c>
      <c r="K1331" s="2">
        <v>7</v>
      </c>
      <c r="L1331" s="2" t="s">
        <v>35</v>
      </c>
      <c r="M1331" s="12">
        <f t="shared" si="45"/>
        <v>240000</v>
      </c>
      <c r="N1331" s="10">
        <f>PRODUCT(Table_13[[#This Row],[Unit Price]],Table_13[[#This Row],[Quantity]])</f>
        <v>2100000</v>
      </c>
      <c r="O1331" s="16">
        <f>PRODUCT(Table_13[[#This Row],[Cost Price]],Table_13[[#This Row],[Quantity]])</f>
        <v>1680000</v>
      </c>
      <c r="P1331" s="27">
        <f t="shared" si="47"/>
        <v>420000</v>
      </c>
    </row>
    <row r="1332" spans="1:16" x14ac:dyDescent="0.2">
      <c r="A1332" s="33">
        <v>47006</v>
      </c>
      <c r="B1332" s="30">
        <f t="shared" si="46"/>
        <v>9</v>
      </c>
      <c r="C1332" s="30" t="str">
        <f>_xlfn.IFS(Table_13[[#This Row],[Month]]=1,"JAN",Table_13[[#This Row],[Month]]=2,"FEB",B1332=3,"MAR",B1332=4,"APR",B1332=5,"MAY",B1332=6,"JUN",B1332=7,"JUL",B1332=8,"AUG",Table_13[[#This Row],[Month]]=9,"SEPT",B1332=10,"OCT",B1332=11,"NOV",B1332=12,"DEC")</f>
        <v>SEPT</v>
      </c>
      <c r="D1332" s="2" t="s">
        <v>18</v>
      </c>
      <c r="E1332" s="2" t="s">
        <v>12</v>
      </c>
      <c r="F1332" s="2" t="s">
        <v>23</v>
      </c>
      <c r="G1332" s="2" t="s">
        <v>14</v>
      </c>
      <c r="H1332" s="2" t="s">
        <v>36</v>
      </c>
      <c r="I1332" s="2" t="s">
        <v>31</v>
      </c>
      <c r="J1332" s="15">
        <v>150000</v>
      </c>
      <c r="K1332" s="2">
        <v>9</v>
      </c>
      <c r="L1332" s="2" t="s">
        <v>39</v>
      </c>
      <c r="M1332" s="12">
        <f t="shared" si="45"/>
        <v>120000</v>
      </c>
      <c r="N1332" s="10">
        <f>PRODUCT(Table_13[[#This Row],[Unit Price]],Table_13[[#This Row],[Quantity]])</f>
        <v>1350000</v>
      </c>
      <c r="O1332" s="16">
        <f>PRODUCT(Table_13[[#This Row],[Cost Price]],Table_13[[#This Row],[Quantity]])</f>
        <v>1080000</v>
      </c>
      <c r="P1332" s="27">
        <f t="shared" si="47"/>
        <v>270000</v>
      </c>
    </row>
    <row r="1333" spans="1:16" x14ac:dyDescent="0.2">
      <c r="A1333" s="33">
        <v>47007</v>
      </c>
      <c r="B1333" s="30">
        <f t="shared" si="46"/>
        <v>9</v>
      </c>
      <c r="C1333" s="30" t="str">
        <f>_xlfn.IFS(Table_13[[#This Row],[Month]]=1,"JAN",Table_13[[#This Row],[Month]]=2,"FEB",B1333=3,"MAR",B1333=4,"APR",B1333=5,"MAY",B1333=6,"JUN",B1333=7,"JUL",B1333=8,"AUG",Table_13[[#This Row],[Month]]=9,"SEPT",B1333=10,"OCT",B1333=11,"NOV",B1333=12,"DEC")</f>
        <v>SEPT</v>
      </c>
      <c r="D1333" s="2" t="s">
        <v>25</v>
      </c>
      <c r="E1333" s="2" t="s">
        <v>26</v>
      </c>
      <c r="F1333" s="2" t="s">
        <v>23</v>
      </c>
      <c r="G1333" s="2" t="s">
        <v>14</v>
      </c>
      <c r="H1333" s="2" t="s">
        <v>30</v>
      </c>
      <c r="I1333" s="2" t="s">
        <v>31</v>
      </c>
      <c r="J1333" s="15">
        <v>300000</v>
      </c>
      <c r="K1333" s="2">
        <v>7</v>
      </c>
      <c r="L1333" s="2" t="s">
        <v>28</v>
      </c>
      <c r="M1333" s="12">
        <f t="shared" si="45"/>
        <v>240000</v>
      </c>
      <c r="N1333" s="10">
        <f>PRODUCT(Table_13[[#This Row],[Unit Price]],Table_13[[#This Row],[Quantity]])</f>
        <v>2100000</v>
      </c>
      <c r="O1333" s="16">
        <f>PRODUCT(Table_13[[#This Row],[Cost Price]],Table_13[[#This Row],[Quantity]])</f>
        <v>1680000</v>
      </c>
      <c r="P1333" s="27">
        <f t="shared" si="47"/>
        <v>420000</v>
      </c>
    </row>
    <row r="1334" spans="1:16" x14ac:dyDescent="0.2">
      <c r="A1334" s="33">
        <v>47008</v>
      </c>
      <c r="B1334" s="30">
        <f t="shared" si="46"/>
        <v>9</v>
      </c>
      <c r="C1334" s="30" t="str">
        <f>_xlfn.IFS(Table_13[[#This Row],[Month]]=1,"JAN",Table_13[[#This Row],[Month]]=2,"FEB",B1334=3,"MAR",B1334=4,"APR",B1334=5,"MAY",B1334=6,"JUN",B1334=7,"JUL",B1334=8,"AUG",Table_13[[#This Row],[Month]]=9,"SEPT",B1334=10,"OCT",B1334=11,"NOV",B1334=12,"DEC")</f>
        <v>SEPT</v>
      </c>
      <c r="D1334" s="2" t="s">
        <v>11</v>
      </c>
      <c r="E1334" s="2" t="s">
        <v>19</v>
      </c>
      <c r="F1334" s="2" t="s">
        <v>13</v>
      </c>
      <c r="G1334" s="2" t="s">
        <v>14</v>
      </c>
      <c r="H1334" s="2" t="s">
        <v>40</v>
      </c>
      <c r="I1334" s="2" t="s">
        <v>31</v>
      </c>
      <c r="J1334" s="15">
        <v>250000</v>
      </c>
      <c r="K1334" s="2">
        <v>1</v>
      </c>
      <c r="L1334" s="2" t="s">
        <v>37</v>
      </c>
      <c r="M1334" s="12">
        <f t="shared" si="45"/>
        <v>200000</v>
      </c>
      <c r="N1334" s="10">
        <f>PRODUCT(Table_13[[#This Row],[Unit Price]],Table_13[[#This Row],[Quantity]])</f>
        <v>250000</v>
      </c>
      <c r="O1334" s="16">
        <f>PRODUCT(Table_13[[#This Row],[Cost Price]],Table_13[[#This Row],[Quantity]])</f>
        <v>200000</v>
      </c>
      <c r="P1334" s="27">
        <f t="shared" si="47"/>
        <v>50000</v>
      </c>
    </row>
    <row r="1335" spans="1:16" x14ac:dyDescent="0.2">
      <c r="A1335" s="33">
        <v>47009</v>
      </c>
      <c r="B1335" s="30">
        <f t="shared" si="46"/>
        <v>9</v>
      </c>
      <c r="C1335" s="30" t="str">
        <f>_xlfn.IFS(Table_13[[#This Row],[Month]]=1,"JAN",Table_13[[#This Row],[Month]]=2,"FEB",B1335=3,"MAR",B1335=4,"APR",B1335=5,"MAY",B1335=6,"JUN",B1335=7,"JUL",B1335=8,"AUG",Table_13[[#This Row],[Month]]=9,"SEPT",B1335=10,"OCT",B1335=11,"NOV",B1335=12,"DEC")</f>
        <v>SEPT</v>
      </c>
      <c r="D1335" s="2" t="s">
        <v>11</v>
      </c>
      <c r="E1335" s="2" t="s">
        <v>19</v>
      </c>
      <c r="F1335" s="2" t="s">
        <v>23</v>
      </c>
      <c r="G1335" s="2" t="s">
        <v>14</v>
      </c>
      <c r="H1335" s="2" t="s">
        <v>40</v>
      </c>
      <c r="I1335" s="2" t="s">
        <v>31</v>
      </c>
      <c r="J1335" s="15">
        <v>250000</v>
      </c>
      <c r="K1335" s="2">
        <v>6</v>
      </c>
      <c r="L1335" s="2" t="s">
        <v>28</v>
      </c>
      <c r="M1335" s="12">
        <f t="shared" si="45"/>
        <v>200000</v>
      </c>
      <c r="N1335" s="10">
        <f>PRODUCT(Table_13[[#This Row],[Unit Price]],Table_13[[#This Row],[Quantity]])</f>
        <v>1500000</v>
      </c>
      <c r="O1335" s="16">
        <f>PRODUCT(Table_13[[#This Row],[Cost Price]],Table_13[[#This Row],[Quantity]])</f>
        <v>1200000</v>
      </c>
      <c r="P1335" s="27">
        <f t="shared" si="47"/>
        <v>300000</v>
      </c>
    </row>
    <row r="1336" spans="1:16" x14ac:dyDescent="0.2">
      <c r="A1336" s="33">
        <v>47010</v>
      </c>
      <c r="B1336" s="30">
        <f t="shared" si="46"/>
        <v>9</v>
      </c>
      <c r="C1336" s="30" t="str">
        <f>_xlfn.IFS(Table_13[[#This Row],[Month]]=1,"JAN",Table_13[[#This Row],[Month]]=2,"FEB",B1336=3,"MAR",B1336=4,"APR",B1336=5,"MAY",B1336=6,"JUN",B1336=7,"JUL",B1336=8,"AUG",Table_13[[#This Row],[Month]]=9,"SEPT",B1336=10,"OCT",B1336=11,"NOV",B1336=12,"DEC")</f>
        <v>SEPT</v>
      </c>
      <c r="D1336" s="2" t="s">
        <v>18</v>
      </c>
      <c r="E1336" s="2" t="s">
        <v>26</v>
      </c>
      <c r="F1336" s="2" t="s">
        <v>23</v>
      </c>
      <c r="G1336" s="2" t="s">
        <v>20</v>
      </c>
      <c r="H1336" s="2" t="s">
        <v>38</v>
      </c>
      <c r="I1336" s="2" t="s">
        <v>31</v>
      </c>
      <c r="J1336" s="15">
        <v>420000</v>
      </c>
      <c r="K1336" s="2">
        <v>9</v>
      </c>
      <c r="L1336" s="2" t="s">
        <v>39</v>
      </c>
      <c r="M1336" s="12">
        <f t="shared" si="45"/>
        <v>336000</v>
      </c>
      <c r="N1336" s="10">
        <f>PRODUCT(Table_13[[#This Row],[Unit Price]],Table_13[[#This Row],[Quantity]])</f>
        <v>3780000</v>
      </c>
      <c r="O1336" s="16">
        <f>PRODUCT(Table_13[[#This Row],[Cost Price]],Table_13[[#This Row],[Quantity]])</f>
        <v>3024000</v>
      </c>
      <c r="P1336" s="27">
        <f t="shared" si="47"/>
        <v>756000</v>
      </c>
    </row>
    <row r="1337" spans="1:16" x14ac:dyDescent="0.2">
      <c r="A1337" s="33">
        <v>47011</v>
      </c>
      <c r="B1337" s="30">
        <f t="shared" si="46"/>
        <v>9</v>
      </c>
      <c r="C1337" s="30" t="str">
        <f>_xlfn.IFS(Table_13[[#This Row],[Month]]=1,"JAN",Table_13[[#This Row],[Month]]=2,"FEB",B1337=3,"MAR",B1337=4,"APR",B1337=5,"MAY",B1337=6,"JUN",B1337=7,"JUL",B1337=8,"AUG",Table_13[[#This Row],[Month]]=9,"SEPT",B1337=10,"OCT",B1337=11,"NOV",B1337=12,"DEC")</f>
        <v>SEPT</v>
      </c>
      <c r="D1337" s="2" t="s">
        <v>25</v>
      </c>
      <c r="E1337" s="2" t="s">
        <v>32</v>
      </c>
      <c r="F1337" s="2" t="s">
        <v>23</v>
      </c>
      <c r="G1337" s="2" t="s">
        <v>14</v>
      </c>
      <c r="H1337" s="2" t="s">
        <v>33</v>
      </c>
      <c r="I1337" s="2" t="s">
        <v>22</v>
      </c>
      <c r="J1337" s="15">
        <v>180000</v>
      </c>
      <c r="K1337" s="2">
        <v>6</v>
      </c>
      <c r="L1337" s="2" t="s">
        <v>24</v>
      </c>
      <c r="M1337" s="12">
        <f t="shared" si="45"/>
        <v>144000</v>
      </c>
      <c r="N1337" s="10">
        <f>PRODUCT(Table_13[[#This Row],[Unit Price]],Table_13[[#This Row],[Quantity]])</f>
        <v>1080000</v>
      </c>
      <c r="O1337" s="16">
        <f>PRODUCT(Table_13[[#This Row],[Cost Price]],Table_13[[#This Row],[Quantity]])</f>
        <v>864000</v>
      </c>
      <c r="P1337" s="27">
        <f t="shared" si="47"/>
        <v>216000</v>
      </c>
    </row>
    <row r="1338" spans="1:16" x14ac:dyDescent="0.2">
      <c r="A1338" s="33">
        <v>47012</v>
      </c>
      <c r="B1338" s="30">
        <f t="shared" si="46"/>
        <v>9</v>
      </c>
      <c r="C1338" s="30" t="str">
        <f>_xlfn.IFS(Table_13[[#This Row],[Month]]=1,"JAN",Table_13[[#This Row],[Month]]=2,"FEB",B1338=3,"MAR",B1338=4,"APR",B1338=5,"MAY",B1338=6,"JUN",B1338=7,"JUL",B1338=8,"AUG",Table_13[[#This Row],[Month]]=9,"SEPT",B1338=10,"OCT",B1338=11,"NOV",B1338=12,"DEC")</f>
        <v>SEPT</v>
      </c>
      <c r="D1338" s="2" t="s">
        <v>25</v>
      </c>
      <c r="E1338" s="2" t="s">
        <v>26</v>
      </c>
      <c r="F1338" s="2" t="s">
        <v>23</v>
      </c>
      <c r="G1338" s="2" t="s">
        <v>14</v>
      </c>
      <c r="H1338" s="2" t="s">
        <v>15</v>
      </c>
      <c r="I1338" s="2" t="s">
        <v>16</v>
      </c>
      <c r="J1338" s="15">
        <v>85000</v>
      </c>
      <c r="K1338" s="2">
        <v>5</v>
      </c>
      <c r="L1338" s="2" t="s">
        <v>39</v>
      </c>
      <c r="M1338" s="12">
        <f t="shared" si="45"/>
        <v>68000</v>
      </c>
      <c r="N1338" s="10">
        <f>PRODUCT(Table_13[[#This Row],[Unit Price]],Table_13[[#This Row],[Quantity]])</f>
        <v>425000</v>
      </c>
      <c r="O1338" s="16">
        <f>PRODUCT(Table_13[[#This Row],[Cost Price]],Table_13[[#This Row],[Quantity]])</f>
        <v>340000</v>
      </c>
      <c r="P1338" s="27">
        <f t="shared" si="47"/>
        <v>85000</v>
      </c>
    </row>
    <row r="1339" spans="1:16" x14ac:dyDescent="0.2">
      <c r="A1339" s="33">
        <v>47013</v>
      </c>
      <c r="B1339" s="30">
        <f t="shared" si="46"/>
        <v>9</v>
      </c>
      <c r="C1339" s="30" t="str">
        <f>_xlfn.IFS(Table_13[[#This Row],[Month]]=1,"JAN",Table_13[[#This Row],[Month]]=2,"FEB",B1339=3,"MAR",B1339=4,"APR",B1339=5,"MAY",B1339=6,"JUN",B1339=7,"JUL",B1339=8,"AUG",Table_13[[#This Row],[Month]]=9,"SEPT",B1339=10,"OCT",B1339=11,"NOV",B1339=12,"DEC")</f>
        <v>SEPT</v>
      </c>
      <c r="D1339" s="2" t="s">
        <v>11</v>
      </c>
      <c r="E1339" s="2" t="s">
        <v>26</v>
      </c>
      <c r="F1339" s="2" t="s">
        <v>23</v>
      </c>
      <c r="G1339" s="2" t="s">
        <v>14</v>
      </c>
      <c r="H1339" s="2" t="s">
        <v>41</v>
      </c>
      <c r="I1339" s="2" t="s">
        <v>22</v>
      </c>
      <c r="J1339" s="15">
        <v>220000</v>
      </c>
      <c r="K1339" s="2">
        <v>5</v>
      </c>
      <c r="L1339" s="2" t="s">
        <v>39</v>
      </c>
      <c r="M1339" s="12">
        <f t="shared" si="45"/>
        <v>176000</v>
      </c>
      <c r="N1339" s="10">
        <f>PRODUCT(Table_13[[#This Row],[Unit Price]],Table_13[[#This Row],[Quantity]])</f>
        <v>1100000</v>
      </c>
      <c r="O1339" s="16">
        <f>PRODUCT(Table_13[[#This Row],[Cost Price]],Table_13[[#This Row],[Quantity]])</f>
        <v>880000</v>
      </c>
      <c r="P1339" s="27">
        <f t="shared" si="47"/>
        <v>220000</v>
      </c>
    </row>
    <row r="1340" spans="1:16" x14ac:dyDescent="0.2">
      <c r="A1340" s="33">
        <v>47014</v>
      </c>
      <c r="B1340" s="30">
        <f t="shared" si="46"/>
        <v>9</v>
      </c>
      <c r="C1340" s="30" t="str">
        <f>_xlfn.IFS(Table_13[[#This Row],[Month]]=1,"JAN",Table_13[[#This Row],[Month]]=2,"FEB",B1340=3,"MAR",B1340=4,"APR",B1340=5,"MAY",B1340=6,"JUN",B1340=7,"JUL",B1340=8,"AUG",Table_13[[#This Row],[Month]]=9,"SEPT",B1340=10,"OCT",B1340=11,"NOV",B1340=12,"DEC")</f>
        <v>SEPT</v>
      </c>
      <c r="D1340" s="2" t="s">
        <v>18</v>
      </c>
      <c r="E1340" s="2" t="s">
        <v>32</v>
      </c>
      <c r="F1340" s="2" t="s">
        <v>13</v>
      </c>
      <c r="G1340" s="2" t="s">
        <v>14</v>
      </c>
      <c r="H1340" s="2" t="s">
        <v>27</v>
      </c>
      <c r="I1340" s="2" t="s">
        <v>22</v>
      </c>
      <c r="J1340" s="15">
        <v>60000</v>
      </c>
      <c r="K1340" s="2">
        <v>8</v>
      </c>
      <c r="L1340" s="2" t="s">
        <v>37</v>
      </c>
      <c r="M1340" s="12">
        <f t="shared" si="45"/>
        <v>48000</v>
      </c>
      <c r="N1340" s="10">
        <f>PRODUCT(Table_13[[#This Row],[Unit Price]],Table_13[[#This Row],[Quantity]])</f>
        <v>480000</v>
      </c>
      <c r="O1340" s="16">
        <f>PRODUCT(Table_13[[#This Row],[Cost Price]],Table_13[[#This Row],[Quantity]])</f>
        <v>384000</v>
      </c>
      <c r="P1340" s="27">
        <f t="shared" si="47"/>
        <v>96000</v>
      </c>
    </row>
    <row r="1341" spans="1:16" x14ac:dyDescent="0.2">
      <c r="A1341" s="33">
        <v>47015</v>
      </c>
      <c r="B1341" s="30">
        <f t="shared" si="46"/>
        <v>9</v>
      </c>
      <c r="C1341" s="30" t="str">
        <f>_xlfn.IFS(Table_13[[#This Row],[Month]]=1,"JAN",Table_13[[#This Row],[Month]]=2,"FEB",B1341=3,"MAR",B1341=4,"APR",B1341=5,"MAY",B1341=6,"JUN",B1341=7,"JUL",B1341=8,"AUG",Table_13[[#This Row],[Month]]=9,"SEPT",B1341=10,"OCT",B1341=11,"NOV",B1341=12,"DEC")</f>
        <v>SEPT</v>
      </c>
      <c r="D1341" s="2" t="s">
        <v>18</v>
      </c>
      <c r="E1341" s="2" t="s">
        <v>32</v>
      </c>
      <c r="F1341" s="2" t="s">
        <v>23</v>
      </c>
      <c r="G1341" s="2" t="s">
        <v>20</v>
      </c>
      <c r="H1341" s="2" t="s">
        <v>15</v>
      </c>
      <c r="I1341" s="2" t="s">
        <v>16</v>
      </c>
      <c r="J1341" s="15">
        <v>85000</v>
      </c>
      <c r="K1341" s="2">
        <v>10</v>
      </c>
      <c r="L1341" s="2" t="s">
        <v>35</v>
      </c>
      <c r="M1341" s="12">
        <f t="shared" si="45"/>
        <v>68000</v>
      </c>
      <c r="N1341" s="10">
        <f>PRODUCT(Table_13[[#This Row],[Unit Price]],Table_13[[#This Row],[Quantity]])</f>
        <v>850000</v>
      </c>
      <c r="O1341" s="16">
        <f>PRODUCT(Table_13[[#This Row],[Cost Price]],Table_13[[#This Row],[Quantity]])</f>
        <v>680000</v>
      </c>
      <c r="P1341" s="27">
        <f t="shared" si="47"/>
        <v>170000</v>
      </c>
    </row>
    <row r="1342" spans="1:16" x14ac:dyDescent="0.2">
      <c r="A1342" s="33">
        <v>47016</v>
      </c>
      <c r="B1342" s="30">
        <f t="shared" si="46"/>
        <v>9</v>
      </c>
      <c r="C1342" s="30" t="str">
        <f>_xlfn.IFS(Table_13[[#This Row],[Month]]=1,"JAN",Table_13[[#This Row],[Month]]=2,"FEB",B1342=3,"MAR",B1342=4,"APR",B1342=5,"MAY",B1342=6,"JUN",B1342=7,"JUL",B1342=8,"AUG",Table_13[[#This Row],[Month]]=9,"SEPT",B1342=10,"OCT",B1342=11,"NOV",B1342=12,"DEC")</f>
        <v>SEPT</v>
      </c>
      <c r="D1342" s="2" t="s">
        <v>29</v>
      </c>
      <c r="E1342" s="2" t="s">
        <v>19</v>
      </c>
      <c r="F1342" s="2" t="s">
        <v>13</v>
      </c>
      <c r="G1342" s="2" t="s">
        <v>20</v>
      </c>
      <c r="H1342" s="2" t="s">
        <v>21</v>
      </c>
      <c r="I1342" s="2" t="s">
        <v>22</v>
      </c>
      <c r="J1342" s="15">
        <v>30000</v>
      </c>
      <c r="K1342" s="2">
        <v>6</v>
      </c>
      <c r="L1342" s="2" t="s">
        <v>39</v>
      </c>
      <c r="M1342" s="12">
        <f t="shared" si="45"/>
        <v>24000</v>
      </c>
      <c r="N1342" s="10">
        <f>PRODUCT(Table_13[[#This Row],[Unit Price]],Table_13[[#This Row],[Quantity]])</f>
        <v>180000</v>
      </c>
      <c r="O1342" s="16">
        <f>PRODUCT(Table_13[[#This Row],[Cost Price]],Table_13[[#This Row],[Quantity]])</f>
        <v>144000</v>
      </c>
      <c r="P1342" s="27">
        <f t="shared" si="47"/>
        <v>36000</v>
      </c>
    </row>
    <row r="1343" spans="1:16" x14ac:dyDescent="0.2">
      <c r="A1343" s="33">
        <v>47017</v>
      </c>
      <c r="B1343" s="30">
        <f t="shared" si="46"/>
        <v>9</v>
      </c>
      <c r="C1343" s="30" t="str">
        <f>_xlfn.IFS(Table_13[[#This Row],[Month]]=1,"JAN",Table_13[[#This Row],[Month]]=2,"FEB",B1343=3,"MAR",B1343=4,"APR",B1343=5,"MAY",B1343=6,"JUN",B1343=7,"JUL",B1343=8,"AUG",Table_13[[#This Row],[Month]]=9,"SEPT",B1343=10,"OCT",B1343=11,"NOV",B1343=12,"DEC")</f>
        <v>SEPT</v>
      </c>
      <c r="D1343" s="2" t="s">
        <v>11</v>
      </c>
      <c r="E1343" s="2" t="s">
        <v>19</v>
      </c>
      <c r="F1343" s="2" t="s">
        <v>23</v>
      </c>
      <c r="G1343" s="2" t="s">
        <v>20</v>
      </c>
      <c r="H1343" s="2" t="s">
        <v>34</v>
      </c>
      <c r="I1343" s="2" t="s">
        <v>16</v>
      </c>
      <c r="J1343" s="15">
        <v>320000</v>
      </c>
      <c r="K1343" s="2">
        <v>10</v>
      </c>
      <c r="L1343" s="2" t="s">
        <v>24</v>
      </c>
      <c r="M1343" s="12">
        <f t="shared" si="45"/>
        <v>256000</v>
      </c>
      <c r="N1343" s="10">
        <f>PRODUCT(Table_13[[#This Row],[Unit Price]],Table_13[[#This Row],[Quantity]])</f>
        <v>3200000</v>
      </c>
      <c r="O1343" s="16">
        <f>PRODUCT(Table_13[[#This Row],[Cost Price]],Table_13[[#This Row],[Quantity]])</f>
        <v>2560000</v>
      </c>
      <c r="P1343" s="27">
        <f t="shared" si="47"/>
        <v>640000</v>
      </c>
    </row>
    <row r="1344" spans="1:16" x14ac:dyDescent="0.2">
      <c r="A1344" s="33">
        <v>47018</v>
      </c>
      <c r="B1344" s="30">
        <f t="shared" si="46"/>
        <v>9</v>
      </c>
      <c r="C1344" s="30" t="str">
        <f>_xlfn.IFS(Table_13[[#This Row],[Month]]=1,"JAN",Table_13[[#This Row],[Month]]=2,"FEB",B1344=3,"MAR",B1344=4,"APR",B1344=5,"MAY",B1344=6,"JUN",B1344=7,"JUL",B1344=8,"AUG",Table_13[[#This Row],[Month]]=9,"SEPT",B1344=10,"OCT",B1344=11,"NOV",B1344=12,"DEC")</f>
        <v>SEPT</v>
      </c>
      <c r="D1344" s="2" t="s">
        <v>25</v>
      </c>
      <c r="E1344" s="2" t="s">
        <v>32</v>
      </c>
      <c r="F1344" s="2" t="s">
        <v>23</v>
      </c>
      <c r="G1344" s="2" t="s">
        <v>20</v>
      </c>
      <c r="H1344" s="2" t="s">
        <v>27</v>
      </c>
      <c r="I1344" s="2" t="s">
        <v>22</v>
      </c>
      <c r="J1344" s="15">
        <v>60000</v>
      </c>
      <c r="K1344" s="2">
        <v>2</v>
      </c>
      <c r="L1344" s="2" t="s">
        <v>24</v>
      </c>
      <c r="M1344" s="12">
        <f t="shared" si="45"/>
        <v>48000</v>
      </c>
      <c r="N1344" s="10">
        <f>PRODUCT(Table_13[[#This Row],[Unit Price]],Table_13[[#This Row],[Quantity]])</f>
        <v>120000</v>
      </c>
      <c r="O1344" s="16">
        <f>PRODUCT(Table_13[[#This Row],[Cost Price]],Table_13[[#This Row],[Quantity]])</f>
        <v>96000</v>
      </c>
      <c r="P1344" s="27">
        <f t="shared" si="47"/>
        <v>24000</v>
      </c>
    </row>
    <row r="1345" spans="1:16" x14ac:dyDescent="0.2">
      <c r="A1345" s="33">
        <v>47019</v>
      </c>
      <c r="B1345" s="30">
        <f t="shared" si="46"/>
        <v>9</v>
      </c>
      <c r="C1345" s="30" t="str">
        <f>_xlfn.IFS(Table_13[[#This Row],[Month]]=1,"JAN",Table_13[[#This Row],[Month]]=2,"FEB",B1345=3,"MAR",B1345=4,"APR",B1345=5,"MAY",B1345=6,"JUN",B1345=7,"JUL",B1345=8,"AUG",Table_13[[#This Row],[Month]]=9,"SEPT",B1345=10,"OCT",B1345=11,"NOV",B1345=12,"DEC")</f>
        <v>SEPT</v>
      </c>
      <c r="D1345" s="2" t="s">
        <v>18</v>
      </c>
      <c r="E1345" s="2" t="s">
        <v>19</v>
      </c>
      <c r="F1345" s="2" t="s">
        <v>23</v>
      </c>
      <c r="G1345" s="2" t="s">
        <v>20</v>
      </c>
      <c r="H1345" s="2" t="s">
        <v>38</v>
      </c>
      <c r="I1345" s="2" t="s">
        <v>31</v>
      </c>
      <c r="J1345" s="15">
        <v>420000</v>
      </c>
      <c r="K1345" s="2">
        <v>3</v>
      </c>
      <c r="L1345" s="2" t="s">
        <v>17</v>
      </c>
      <c r="M1345" s="12">
        <f t="shared" si="45"/>
        <v>336000</v>
      </c>
      <c r="N1345" s="10">
        <f>PRODUCT(Table_13[[#This Row],[Unit Price]],Table_13[[#This Row],[Quantity]])</f>
        <v>1260000</v>
      </c>
      <c r="O1345" s="16">
        <f>PRODUCT(Table_13[[#This Row],[Cost Price]],Table_13[[#This Row],[Quantity]])</f>
        <v>1008000</v>
      </c>
      <c r="P1345" s="27">
        <f t="shared" si="47"/>
        <v>252000</v>
      </c>
    </row>
    <row r="1346" spans="1:16" x14ac:dyDescent="0.2">
      <c r="A1346" s="33">
        <v>47020</v>
      </c>
      <c r="B1346" s="30">
        <f t="shared" ref="B1346:B1409" si="48">MONTH(A1346)</f>
        <v>9</v>
      </c>
      <c r="C1346" s="30" t="str">
        <f>_xlfn.IFS(Table_13[[#This Row],[Month]]=1,"JAN",Table_13[[#This Row],[Month]]=2,"FEB",B1346=3,"MAR",B1346=4,"APR",B1346=5,"MAY",B1346=6,"JUN",B1346=7,"JUL",B1346=8,"AUG",Table_13[[#This Row],[Month]]=9,"SEPT",B1346=10,"OCT",B1346=11,"NOV",B1346=12,"DEC")</f>
        <v>SEPT</v>
      </c>
      <c r="D1346" s="2" t="s">
        <v>18</v>
      </c>
      <c r="E1346" s="2" t="s">
        <v>19</v>
      </c>
      <c r="F1346" s="2" t="s">
        <v>13</v>
      </c>
      <c r="G1346" s="2" t="s">
        <v>14</v>
      </c>
      <c r="H1346" s="2" t="s">
        <v>36</v>
      </c>
      <c r="I1346" s="2" t="s">
        <v>31</v>
      </c>
      <c r="J1346" s="15">
        <v>150000</v>
      </c>
      <c r="K1346" s="2">
        <v>5</v>
      </c>
      <c r="L1346" s="2" t="s">
        <v>28</v>
      </c>
      <c r="M1346" s="12">
        <f t="shared" si="45"/>
        <v>120000</v>
      </c>
      <c r="N1346" s="10">
        <f>PRODUCT(Table_13[[#This Row],[Unit Price]],Table_13[[#This Row],[Quantity]])</f>
        <v>750000</v>
      </c>
      <c r="O1346" s="16">
        <f>PRODUCT(Table_13[[#This Row],[Cost Price]],Table_13[[#This Row],[Quantity]])</f>
        <v>600000</v>
      </c>
      <c r="P1346" s="27">
        <f t="shared" ref="P1346:P1409" si="49">N1346-O1346</f>
        <v>150000</v>
      </c>
    </row>
    <row r="1347" spans="1:16" x14ac:dyDescent="0.2">
      <c r="A1347" s="33">
        <v>47021</v>
      </c>
      <c r="B1347" s="30">
        <f t="shared" si="48"/>
        <v>9</v>
      </c>
      <c r="C1347" s="30" t="str">
        <f>_xlfn.IFS(Table_13[[#This Row],[Month]]=1,"JAN",Table_13[[#This Row],[Month]]=2,"FEB",B1347=3,"MAR",B1347=4,"APR",B1347=5,"MAY",B1347=6,"JUN",B1347=7,"JUL",B1347=8,"AUG",Table_13[[#This Row],[Month]]=9,"SEPT",B1347=10,"OCT",B1347=11,"NOV",B1347=12,"DEC")</f>
        <v>SEPT</v>
      </c>
      <c r="D1347" s="2" t="s">
        <v>25</v>
      </c>
      <c r="E1347" s="2" t="s">
        <v>19</v>
      </c>
      <c r="F1347" s="2" t="s">
        <v>13</v>
      </c>
      <c r="G1347" s="2" t="s">
        <v>20</v>
      </c>
      <c r="H1347" s="2" t="s">
        <v>36</v>
      </c>
      <c r="I1347" s="2" t="s">
        <v>31</v>
      </c>
      <c r="J1347" s="15">
        <v>150000</v>
      </c>
      <c r="K1347" s="2">
        <v>9</v>
      </c>
      <c r="L1347" s="2" t="s">
        <v>35</v>
      </c>
      <c r="M1347" s="12">
        <f t="shared" si="45"/>
        <v>120000</v>
      </c>
      <c r="N1347" s="10">
        <f>PRODUCT(Table_13[[#This Row],[Unit Price]],Table_13[[#This Row],[Quantity]])</f>
        <v>1350000</v>
      </c>
      <c r="O1347" s="16">
        <f>PRODUCT(Table_13[[#This Row],[Cost Price]],Table_13[[#This Row],[Quantity]])</f>
        <v>1080000</v>
      </c>
      <c r="P1347" s="27">
        <f t="shared" si="49"/>
        <v>270000</v>
      </c>
    </row>
    <row r="1348" spans="1:16" x14ac:dyDescent="0.2">
      <c r="A1348" s="33">
        <v>47022</v>
      </c>
      <c r="B1348" s="30">
        <f t="shared" si="48"/>
        <v>9</v>
      </c>
      <c r="C1348" s="30" t="str">
        <f>_xlfn.IFS(Table_13[[#This Row],[Month]]=1,"JAN",Table_13[[#This Row],[Month]]=2,"FEB",B1348=3,"MAR",B1348=4,"APR",B1348=5,"MAY",B1348=6,"JUN",B1348=7,"JUL",B1348=8,"AUG",Table_13[[#This Row],[Month]]=9,"SEPT",B1348=10,"OCT",B1348=11,"NOV",B1348=12,"DEC")</f>
        <v>SEPT</v>
      </c>
      <c r="D1348" s="2" t="s">
        <v>25</v>
      </c>
      <c r="E1348" s="2" t="s">
        <v>12</v>
      </c>
      <c r="F1348" s="2" t="s">
        <v>23</v>
      </c>
      <c r="G1348" s="2" t="s">
        <v>20</v>
      </c>
      <c r="H1348" s="2" t="s">
        <v>15</v>
      </c>
      <c r="I1348" s="2" t="s">
        <v>16</v>
      </c>
      <c r="J1348" s="15">
        <v>85000</v>
      </c>
      <c r="K1348" s="2">
        <v>5</v>
      </c>
      <c r="L1348" s="2" t="s">
        <v>37</v>
      </c>
      <c r="M1348" s="12">
        <f t="shared" si="45"/>
        <v>68000</v>
      </c>
      <c r="N1348" s="10">
        <f>PRODUCT(Table_13[[#This Row],[Unit Price]],Table_13[[#This Row],[Quantity]])</f>
        <v>425000</v>
      </c>
      <c r="O1348" s="16">
        <f>PRODUCT(Table_13[[#This Row],[Cost Price]],Table_13[[#This Row],[Quantity]])</f>
        <v>340000</v>
      </c>
      <c r="P1348" s="27">
        <f t="shared" si="49"/>
        <v>85000</v>
      </c>
    </row>
    <row r="1349" spans="1:16" x14ac:dyDescent="0.2">
      <c r="A1349" s="33">
        <v>47023</v>
      </c>
      <c r="B1349" s="30">
        <f t="shared" si="48"/>
        <v>9</v>
      </c>
      <c r="C1349" s="30" t="str">
        <f>_xlfn.IFS(Table_13[[#This Row],[Month]]=1,"JAN",Table_13[[#This Row],[Month]]=2,"FEB",B1349=3,"MAR",B1349=4,"APR",B1349=5,"MAY",B1349=6,"JUN",B1349=7,"JUL",B1349=8,"AUG",Table_13[[#This Row],[Month]]=9,"SEPT",B1349=10,"OCT",B1349=11,"NOV",B1349=12,"DEC")</f>
        <v>SEPT</v>
      </c>
      <c r="D1349" s="2" t="s">
        <v>29</v>
      </c>
      <c r="E1349" s="2" t="s">
        <v>19</v>
      </c>
      <c r="F1349" s="2" t="s">
        <v>23</v>
      </c>
      <c r="G1349" s="2" t="s">
        <v>14</v>
      </c>
      <c r="H1349" s="2" t="s">
        <v>34</v>
      </c>
      <c r="I1349" s="2" t="s">
        <v>16</v>
      </c>
      <c r="J1349" s="15">
        <v>320000</v>
      </c>
      <c r="K1349" s="2">
        <v>1</v>
      </c>
      <c r="L1349" s="2" t="s">
        <v>24</v>
      </c>
      <c r="M1349" s="12">
        <f t="shared" si="45"/>
        <v>256000</v>
      </c>
      <c r="N1349" s="10">
        <f>PRODUCT(Table_13[[#This Row],[Unit Price]],Table_13[[#This Row],[Quantity]])</f>
        <v>320000</v>
      </c>
      <c r="O1349" s="16">
        <f>PRODUCT(Table_13[[#This Row],[Cost Price]],Table_13[[#This Row],[Quantity]])</f>
        <v>256000</v>
      </c>
      <c r="P1349" s="27">
        <f t="shared" si="49"/>
        <v>64000</v>
      </c>
    </row>
    <row r="1350" spans="1:16" x14ac:dyDescent="0.2">
      <c r="A1350" s="33">
        <v>47024</v>
      </c>
      <c r="B1350" s="30">
        <f t="shared" si="48"/>
        <v>9</v>
      </c>
      <c r="C1350" s="30" t="str">
        <f>_xlfn.IFS(Table_13[[#This Row],[Month]]=1,"JAN",Table_13[[#This Row],[Month]]=2,"FEB",B1350=3,"MAR",B1350=4,"APR",B1350=5,"MAY",B1350=6,"JUN",B1350=7,"JUL",B1350=8,"AUG",Table_13[[#This Row],[Month]]=9,"SEPT",B1350=10,"OCT",B1350=11,"NOV",B1350=12,"DEC")</f>
        <v>SEPT</v>
      </c>
      <c r="D1350" s="2" t="s">
        <v>18</v>
      </c>
      <c r="E1350" s="2" t="s">
        <v>12</v>
      </c>
      <c r="F1350" s="2" t="s">
        <v>13</v>
      </c>
      <c r="G1350" s="2" t="s">
        <v>20</v>
      </c>
      <c r="H1350" s="2" t="s">
        <v>21</v>
      </c>
      <c r="I1350" s="2" t="s">
        <v>22</v>
      </c>
      <c r="J1350" s="15">
        <v>30000</v>
      </c>
      <c r="K1350" s="2">
        <v>4</v>
      </c>
      <c r="L1350" s="2" t="s">
        <v>28</v>
      </c>
      <c r="M1350" s="12">
        <f t="shared" si="45"/>
        <v>24000</v>
      </c>
      <c r="N1350" s="10">
        <f>PRODUCT(Table_13[[#This Row],[Unit Price]],Table_13[[#This Row],[Quantity]])</f>
        <v>120000</v>
      </c>
      <c r="O1350" s="16">
        <f>PRODUCT(Table_13[[#This Row],[Cost Price]],Table_13[[#This Row],[Quantity]])</f>
        <v>96000</v>
      </c>
      <c r="P1350" s="27">
        <f t="shared" si="49"/>
        <v>24000</v>
      </c>
    </row>
    <row r="1351" spans="1:16" x14ac:dyDescent="0.2">
      <c r="A1351" s="33">
        <v>47025</v>
      </c>
      <c r="B1351" s="30">
        <f t="shared" si="48"/>
        <v>9</v>
      </c>
      <c r="C1351" s="30" t="str">
        <f>_xlfn.IFS(Table_13[[#This Row],[Month]]=1,"JAN",Table_13[[#This Row],[Month]]=2,"FEB",B1351=3,"MAR",B1351=4,"APR",B1351=5,"MAY",B1351=6,"JUN",B1351=7,"JUL",B1351=8,"AUG",Table_13[[#This Row],[Month]]=9,"SEPT",B1351=10,"OCT",B1351=11,"NOV",B1351=12,"DEC")</f>
        <v>SEPT</v>
      </c>
      <c r="D1351" s="2" t="s">
        <v>25</v>
      </c>
      <c r="E1351" s="2" t="s">
        <v>26</v>
      </c>
      <c r="F1351" s="2" t="s">
        <v>23</v>
      </c>
      <c r="G1351" s="2" t="s">
        <v>20</v>
      </c>
      <c r="H1351" s="2" t="s">
        <v>41</v>
      </c>
      <c r="I1351" s="2" t="s">
        <v>22</v>
      </c>
      <c r="J1351" s="15">
        <v>220000</v>
      </c>
      <c r="K1351" s="2">
        <v>8</v>
      </c>
      <c r="L1351" s="2" t="s">
        <v>37</v>
      </c>
      <c r="M1351" s="12">
        <f t="shared" si="45"/>
        <v>176000</v>
      </c>
      <c r="N1351" s="10">
        <f>PRODUCT(Table_13[[#This Row],[Unit Price]],Table_13[[#This Row],[Quantity]])</f>
        <v>1760000</v>
      </c>
      <c r="O1351" s="16">
        <f>PRODUCT(Table_13[[#This Row],[Cost Price]],Table_13[[#This Row],[Quantity]])</f>
        <v>1408000</v>
      </c>
      <c r="P1351" s="27">
        <f t="shared" si="49"/>
        <v>352000</v>
      </c>
    </row>
    <row r="1352" spans="1:16" x14ac:dyDescent="0.2">
      <c r="A1352" s="33">
        <v>47026</v>
      </c>
      <c r="B1352" s="30">
        <f t="shared" si="48"/>
        <v>9</v>
      </c>
      <c r="C1352" s="30" t="str">
        <f>_xlfn.IFS(Table_13[[#This Row],[Month]]=1,"JAN",Table_13[[#This Row],[Month]]=2,"FEB",B1352=3,"MAR",B1352=4,"APR",B1352=5,"MAY",B1352=6,"JUN",B1352=7,"JUL",B1352=8,"AUG",Table_13[[#This Row],[Month]]=9,"SEPT",B1352=10,"OCT",B1352=11,"NOV",B1352=12,"DEC")</f>
        <v>SEPT</v>
      </c>
      <c r="D1352" s="2" t="s">
        <v>11</v>
      </c>
      <c r="E1352" s="2" t="s">
        <v>32</v>
      </c>
      <c r="F1352" s="2" t="s">
        <v>23</v>
      </c>
      <c r="G1352" s="2" t="s">
        <v>20</v>
      </c>
      <c r="H1352" s="2" t="s">
        <v>34</v>
      </c>
      <c r="I1352" s="2" t="s">
        <v>16</v>
      </c>
      <c r="J1352" s="15">
        <v>320000</v>
      </c>
      <c r="K1352" s="2">
        <v>5</v>
      </c>
      <c r="L1352" s="2" t="s">
        <v>39</v>
      </c>
      <c r="M1352" s="12">
        <f t="shared" si="45"/>
        <v>256000</v>
      </c>
      <c r="N1352" s="10">
        <f>PRODUCT(Table_13[[#This Row],[Unit Price]],Table_13[[#This Row],[Quantity]])</f>
        <v>1600000</v>
      </c>
      <c r="O1352" s="16">
        <f>PRODUCT(Table_13[[#This Row],[Cost Price]],Table_13[[#This Row],[Quantity]])</f>
        <v>1280000</v>
      </c>
      <c r="P1352" s="27">
        <f t="shared" si="49"/>
        <v>320000</v>
      </c>
    </row>
    <row r="1353" spans="1:16" x14ac:dyDescent="0.2">
      <c r="A1353" s="33">
        <v>47027</v>
      </c>
      <c r="B1353" s="30">
        <f t="shared" si="48"/>
        <v>10</v>
      </c>
      <c r="C1353" s="30" t="str">
        <f>_xlfn.IFS(Table_13[[#This Row],[Month]]=1,"JAN",Table_13[[#This Row],[Month]]=2,"FEB",B1353=3,"MAR",B1353=4,"APR",B1353=5,"MAY",B1353=6,"JUN",B1353=7,"JUL",B1353=8,"AUG",Table_13[[#This Row],[Month]]=9,"SEPT",B1353=10,"OCT",B1353=11,"NOV",B1353=12,"DEC")</f>
        <v>OCT</v>
      </c>
      <c r="D1353" s="2" t="s">
        <v>11</v>
      </c>
      <c r="E1353" s="2" t="s">
        <v>32</v>
      </c>
      <c r="F1353" s="2" t="s">
        <v>23</v>
      </c>
      <c r="G1353" s="2" t="s">
        <v>20</v>
      </c>
      <c r="H1353" s="2" t="s">
        <v>15</v>
      </c>
      <c r="I1353" s="2" t="s">
        <v>16</v>
      </c>
      <c r="J1353" s="15">
        <v>85000</v>
      </c>
      <c r="K1353" s="2">
        <v>3</v>
      </c>
      <c r="L1353" s="2" t="s">
        <v>37</v>
      </c>
      <c r="M1353" s="12">
        <f t="shared" si="45"/>
        <v>68000</v>
      </c>
      <c r="N1353" s="10">
        <f>PRODUCT(Table_13[[#This Row],[Unit Price]],Table_13[[#This Row],[Quantity]])</f>
        <v>255000</v>
      </c>
      <c r="O1353" s="16">
        <f>PRODUCT(Table_13[[#This Row],[Cost Price]],Table_13[[#This Row],[Quantity]])</f>
        <v>204000</v>
      </c>
      <c r="P1353" s="27">
        <f t="shared" si="49"/>
        <v>51000</v>
      </c>
    </row>
    <row r="1354" spans="1:16" x14ac:dyDescent="0.2">
      <c r="A1354" s="33">
        <v>47028</v>
      </c>
      <c r="B1354" s="30">
        <f t="shared" si="48"/>
        <v>10</v>
      </c>
      <c r="C1354" s="30" t="str">
        <f>_xlfn.IFS(Table_13[[#This Row],[Month]]=1,"JAN",Table_13[[#This Row],[Month]]=2,"FEB",B1354=3,"MAR",B1354=4,"APR",B1354=5,"MAY",B1354=6,"JUN",B1354=7,"JUL",B1354=8,"AUG",Table_13[[#This Row],[Month]]=9,"SEPT",B1354=10,"OCT",B1354=11,"NOV",B1354=12,"DEC")</f>
        <v>OCT</v>
      </c>
      <c r="D1354" s="2" t="s">
        <v>18</v>
      </c>
      <c r="E1354" s="2" t="s">
        <v>26</v>
      </c>
      <c r="F1354" s="2" t="s">
        <v>13</v>
      </c>
      <c r="G1354" s="2" t="s">
        <v>20</v>
      </c>
      <c r="H1354" s="2" t="s">
        <v>34</v>
      </c>
      <c r="I1354" s="2" t="s">
        <v>16</v>
      </c>
      <c r="J1354" s="15">
        <v>320000</v>
      </c>
      <c r="K1354" s="2">
        <v>10</v>
      </c>
      <c r="L1354" s="2" t="s">
        <v>17</v>
      </c>
      <c r="M1354" s="12">
        <f t="shared" si="45"/>
        <v>256000</v>
      </c>
      <c r="N1354" s="10">
        <f>PRODUCT(Table_13[[#This Row],[Unit Price]],Table_13[[#This Row],[Quantity]])</f>
        <v>3200000</v>
      </c>
      <c r="O1354" s="16">
        <f>PRODUCT(Table_13[[#This Row],[Cost Price]],Table_13[[#This Row],[Quantity]])</f>
        <v>2560000</v>
      </c>
      <c r="P1354" s="27">
        <f t="shared" si="49"/>
        <v>640000</v>
      </c>
    </row>
    <row r="1355" spans="1:16" x14ac:dyDescent="0.2">
      <c r="A1355" s="33">
        <v>47029</v>
      </c>
      <c r="B1355" s="30">
        <f t="shared" si="48"/>
        <v>10</v>
      </c>
      <c r="C1355" s="30" t="str">
        <f>_xlfn.IFS(Table_13[[#This Row],[Month]]=1,"JAN",Table_13[[#This Row],[Month]]=2,"FEB",B1355=3,"MAR",B1355=4,"APR",B1355=5,"MAY",B1355=6,"JUN",B1355=7,"JUL",B1355=8,"AUG",Table_13[[#This Row],[Month]]=9,"SEPT",B1355=10,"OCT",B1355=11,"NOV",B1355=12,"DEC")</f>
        <v>OCT</v>
      </c>
      <c r="D1355" s="2" t="s">
        <v>11</v>
      </c>
      <c r="E1355" s="2" t="s">
        <v>26</v>
      </c>
      <c r="F1355" s="2" t="s">
        <v>13</v>
      </c>
      <c r="G1355" s="2" t="s">
        <v>14</v>
      </c>
      <c r="H1355" s="2" t="s">
        <v>38</v>
      </c>
      <c r="I1355" s="2" t="s">
        <v>31</v>
      </c>
      <c r="J1355" s="15">
        <v>420000</v>
      </c>
      <c r="K1355" s="2">
        <v>2</v>
      </c>
      <c r="L1355" s="2" t="s">
        <v>39</v>
      </c>
      <c r="M1355" s="12">
        <f t="shared" si="45"/>
        <v>336000</v>
      </c>
      <c r="N1355" s="10">
        <f>PRODUCT(Table_13[[#This Row],[Unit Price]],Table_13[[#This Row],[Quantity]])</f>
        <v>840000</v>
      </c>
      <c r="O1355" s="16">
        <f>PRODUCT(Table_13[[#This Row],[Cost Price]],Table_13[[#This Row],[Quantity]])</f>
        <v>672000</v>
      </c>
      <c r="P1355" s="27">
        <f t="shared" si="49"/>
        <v>168000</v>
      </c>
    </row>
    <row r="1356" spans="1:16" x14ac:dyDescent="0.2">
      <c r="A1356" s="33">
        <v>47030</v>
      </c>
      <c r="B1356" s="30">
        <f t="shared" si="48"/>
        <v>10</v>
      </c>
      <c r="C1356" s="30" t="str">
        <f>_xlfn.IFS(Table_13[[#This Row],[Month]]=1,"JAN",Table_13[[#This Row],[Month]]=2,"FEB",B1356=3,"MAR",B1356=4,"APR",B1356=5,"MAY",B1356=6,"JUN",B1356=7,"JUL",B1356=8,"AUG",Table_13[[#This Row],[Month]]=9,"SEPT",B1356=10,"OCT",B1356=11,"NOV",B1356=12,"DEC")</f>
        <v>OCT</v>
      </c>
      <c r="D1356" s="2" t="s">
        <v>29</v>
      </c>
      <c r="E1356" s="2" t="s">
        <v>32</v>
      </c>
      <c r="F1356" s="2" t="s">
        <v>13</v>
      </c>
      <c r="G1356" s="2" t="s">
        <v>14</v>
      </c>
      <c r="H1356" s="2" t="s">
        <v>21</v>
      </c>
      <c r="I1356" s="2" t="s">
        <v>22</v>
      </c>
      <c r="J1356" s="15">
        <v>30000</v>
      </c>
      <c r="K1356" s="2">
        <v>3</v>
      </c>
      <c r="L1356" s="2" t="s">
        <v>17</v>
      </c>
      <c r="M1356" s="12">
        <f t="shared" si="45"/>
        <v>24000</v>
      </c>
      <c r="N1356" s="10">
        <f>PRODUCT(Table_13[[#This Row],[Unit Price]],Table_13[[#This Row],[Quantity]])</f>
        <v>90000</v>
      </c>
      <c r="O1356" s="16">
        <f>PRODUCT(Table_13[[#This Row],[Cost Price]],Table_13[[#This Row],[Quantity]])</f>
        <v>72000</v>
      </c>
      <c r="P1356" s="27">
        <f t="shared" si="49"/>
        <v>18000</v>
      </c>
    </row>
    <row r="1357" spans="1:16" x14ac:dyDescent="0.2">
      <c r="A1357" s="33">
        <v>47031</v>
      </c>
      <c r="B1357" s="30">
        <f t="shared" si="48"/>
        <v>10</v>
      </c>
      <c r="C1357" s="30" t="str">
        <f>_xlfn.IFS(Table_13[[#This Row],[Month]]=1,"JAN",Table_13[[#This Row],[Month]]=2,"FEB",B1357=3,"MAR",B1357=4,"APR",B1357=5,"MAY",B1357=6,"JUN",B1357=7,"JUL",B1357=8,"AUG",Table_13[[#This Row],[Month]]=9,"SEPT",B1357=10,"OCT",B1357=11,"NOV",B1357=12,"DEC")</f>
        <v>OCT</v>
      </c>
      <c r="D1357" s="2" t="s">
        <v>11</v>
      </c>
      <c r="E1357" s="2" t="s">
        <v>32</v>
      </c>
      <c r="F1357" s="2" t="s">
        <v>23</v>
      </c>
      <c r="G1357" s="2" t="s">
        <v>14</v>
      </c>
      <c r="H1357" s="2" t="s">
        <v>21</v>
      </c>
      <c r="I1357" s="2" t="s">
        <v>22</v>
      </c>
      <c r="J1357" s="15">
        <v>30000</v>
      </c>
      <c r="K1357" s="2">
        <v>1</v>
      </c>
      <c r="L1357" s="2" t="s">
        <v>39</v>
      </c>
      <c r="M1357" s="12">
        <f t="shared" si="45"/>
        <v>24000</v>
      </c>
      <c r="N1357" s="10">
        <f>PRODUCT(Table_13[[#This Row],[Unit Price]],Table_13[[#This Row],[Quantity]])</f>
        <v>30000</v>
      </c>
      <c r="O1357" s="16">
        <f>PRODUCT(Table_13[[#This Row],[Cost Price]],Table_13[[#This Row],[Quantity]])</f>
        <v>24000</v>
      </c>
      <c r="P1357" s="27">
        <f t="shared" si="49"/>
        <v>6000</v>
      </c>
    </row>
    <row r="1358" spans="1:16" x14ac:dyDescent="0.2">
      <c r="A1358" s="33">
        <v>47032</v>
      </c>
      <c r="B1358" s="30">
        <f t="shared" si="48"/>
        <v>10</v>
      </c>
      <c r="C1358" s="30" t="str">
        <f>_xlfn.IFS(Table_13[[#This Row],[Month]]=1,"JAN",Table_13[[#This Row],[Month]]=2,"FEB",B1358=3,"MAR",B1358=4,"APR",B1358=5,"MAY",B1358=6,"JUN",B1358=7,"JUL",B1358=8,"AUG",Table_13[[#This Row],[Month]]=9,"SEPT",B1358=10,"OCT",B1358=11,"NOV",B1358=12,"DEC")</f>
        <v>OCT</v>
      </c>
      <c r="D1358" s="2" t="s">
        <v>18</v>
      </c>
      <c r="E1358" s="2" t="s">
        <v>26</v>
      </c>
      <c r="F1358" s="2" t="s">
        <v>13</v>
      </c>
      <c r="G1358" s="2" t="s">
        <v>20</v>
      </c>
      <c r="H1358" s="2" t="s">
        <v>38</v>
      </c>
      <c r="I1358" s="2" t="s">
        <v>31</v>
      </c>
      <c r="J1358" s="15">
        <v>420000</v>
      </c>
      <c r="K1358" s="2">
        <v>10</v>
      </c>
      <c r="L1358" s="2" t="s">
        <v>39</v>
      </c>
      <c r="M1358" s="12">
        <f t="shared" si="45"/>
        <v>336000</v>
      </c>
      <c r="N1358" s="10">
        <f>PRODUCT(Table_13[[#This Row],[Unit Price]],Table_13[[#This Row],[Quantity]])</f>
        <v>4200000</v>
      </c>
      <c r="O1358" s="16">
        <f>PRODUCT(Table_13[[#This Row],[Cost Price]],Table_13[[#This Row],[Quantity]])</f>
        <v>3360000</v>
      </c>
      <c r="P1358" s="27">
        <f t="shared" si="49"/>
        <v>840000</v>
      </c>
    </row>
    <row r="1359" spans="1:16" x14ac:dyDescent="0.2">
      <c r="A1359" s="33">
        <v>47033</v>
      </c>
      <c r="B1359" s="30">
        <f t="shared" si="48"/>
        <v>10</v>
      </c>
      <c r="C1359" s="30" t="str">
        <f>_xlfn.IFS(Table_13[[#This Row],[Month]]=1,"JAN",Table_13[[#This Row],[Month]]=2,"FEB",B1359=3,"MAR",B1359=4,"APR",B1359=5,"MAY",B1359=6,"JUN",B1359=7,"JUL",B1359=8,"AUG",Table_13[[#This Row],[Month]]=9,"SEPT",B1359=10,"OCT",B1359=11,"NOV",B1359=12,"DEC")</f>
        <v>OCT</v>
      </c>
      <c r="D1359" s="2" t="s">
        <v>25</v>
      </c>
      <c r="E1359" s="2" t="s">
        <v>26</v>
      </c>
      <c r="F1359" s="2" t="s">
        <v>13</v>
      </c>
      <c r="G1359" s="2" t="s">
        <v>20</v>
      </c>
      <c r="H1359" s="2" t="s">
        <v>36</v>
      </c>
      <c r="I1359" s="2" t="s">
        <v>31</v>
      </c>
      <c r="J1359" s="15">
        <v>150000</v>
      </c>
      <c r="K1359" s="2">
        <v>8</v>
      </c>
      <c r="L1359" s="2" t="s">
        <v>17</v>
      </c>
      <c r="M1359" s="12">
        <f t="shared" si="45"/>
        <v>120000</v>
      </c>
      <c r="N1359" s="10">
        <f>PRODUCT(Table_13[[#This Row],[Unit Price]],Table_13[[#This Row],[Quantity]])</f>
        <v>1200000</v>
      </c>
      <c r="O1359" s="16">
        <f>PRODUCT(Table_13[[#This Row],[Cost Price]],Table_13[[#This Row],[Quantity]])</f>
        <v>960000</v>
      </c>
      <c r="P1359" s="27">
        <f t="shared" si="49"/>
        <v>240000</v>
      </c>
    </row>
    <row r="1360" spans="1:16" x14ac:dyDescent="0.2">
      <c r="A1360" s="33">
        <v>47034</v>
      </c>
      <c r="B1360" s="30">
        <f t="shared" si="48"/>
        <v>10</v>
      </c>
      <c r="C1360" s="30" t="str">
        <f>_xlfn.IFS(Table_13[[#This Row],[Month]]=1,"JAN",Table_13[[#This Row],[Month]]=2,"FEB",B1360=3,"MAR",B1360=4,"APR",B1360=5,"MAY",B1360=6,"JUN",B1360=7,"JUL",B1360=8,"AUG",Table_13[[#This Row],[Month]]=9,"SEPT",B1360=10,"OCT",B1360=11,"NOV",B1360=12,"DEC")</f>
        <v>OCT</v>
      </c>
      <c r="D1360" s="2" t="s">
        <v>29</v>
      </c>
      <c r="E1360" s="2" t="s">
        <v>19</v>
      </c>
      <c r="F1360" s="2" t="s">
        <v>23</v>
      </c>
      <c r="G1360" s="2" t="s">
        <v>20</v>
      </c>
      <c r="H1360" s="2" t="s">
        <v>41</v>
      </c>
      <c r="I1360" s="2" t="s">
        <v>22</v>
      </c>
      <c r="J1360" s="15">
        <v>220000</v>
      </c>
      <c r="K1360" s="2">
        <v>8</v>
      </c>
      <c r="L1360" s="2" t="s">
        <v>17</v>
      </c>
      <c r="M1360" s="12">
        <f t="shared" si="45"/>
        <v>176000</v>
      </c>
      <c r="N1360" s="10">
        <f>PRODUCT(Table_13[[#This Row],[Unit Price]],Table_13[[#This Row],[Quantity]])</f>
        <v>1760000</v>
      </c>
      <c r="O1360" s="16">
        <f>PRODUCT(Table_13[[#This Row],[Cost Price]],Table_13[[#This Row],[Quantity]])</f>
        <v>1408000</v>
      </c>
      <c r="P1360" s="27">
        <f t="shared" si="49"/>
        <v>352000</v>
      </c>
    </row>
    <row r="1361" spans="1:16" x14ac:dyDescent="0.2">
      <c r="A1361" s="33">
        <v>47035</v>
      </c>
      <c r="B1361" s="30">
        <f t="shared" si="48"/>
        <v>10</v>
      </c>
      <c r="C1361" s="30" t="str">
        <f>_xlfn.IFS(Table_13[[#This Row],[Month]]=1,"JAN",Table_13[[#This Row],[Month]]=2,"FEB",B1361=3,"MAR",B1361=4,"APR",B1361=5,"MAY",B1361=6,"JUN",B1361=7,"JUL",B1361=8,"AUG",Table_13[[#This Row],[Month]]=9,"SEPT",B1361=10,"OCT",B1361=11,"NOV",B1361=12,"DEC")</f>
        <v>OCT</v>
      </c>
      <c r="D1361" s="2" t="s">
        <v>18</v>
      </c>
      <c r="E1361" s="2" t="s">
        <v>32</v>
      </c>
      <c r="F1361" s="2" t="s">
        <v>13</v>
      </c>
      <c r="G1361" s="2" t="s">
        <v>20</v>
      </c>
      <c r="H1361" s="2" t="s">
        <v>34</v>
      </c>
      <c r="I1361" s="2" t="s">
        <v>16</v>
      </c>
      <c r="J1361" s="15">
        <v>320000</v>
      </c>
      <c r="K1361" s="2">
        <v>9</v>
      </c>
      <c r="L1361" s="2" t="s">
        <v>35</v>
      </c>
      <c r="M1361" s="12">
        <f t="shared" si="45"/>
        <v>256000</v>
      </c>
      <c r="N1361" s="10">
        <f>PRODUCT(Table_13[[#This Row],[Unit Price]],Table_13[[#This Row],[Quantity]])</f>
        <v>2880000</v>
      </c>
      <c r="O1361" s="16">
        <f>PRODUCT(Table_13[[#This Row],[Cost Price]],Table_13[[#This Row],[Quantity]])</f>
        <v>2304000</v>
      </c>
      <c r="P1361" s="27">
        <f t="shared" si="49"/>
        <v>576000</v>
      </c>
    </row>
    <row r="1362" spans="1:16" x14ac:dyDescent="0.2">
      <c r="A1362" s="33">
        <v>47036</v>
      </c>
      <c r="B1362" s="30">
        <f t="shared" si="48"/>
        <v>10</v>
      </c>
      <c r="C1362" s="30" t="str">
        <f>_xlfn.IFS(Table_13[[#This Row],[Month]]=1,"JAN",Table_13[[#This Row],[Month]]=2,"FEB",B1362=3,"MAR",B1362=4,"APR",B1362=5,"MAY",B1362=6,"JUN",B1362=7,"JUL",B1362=8,"AUG",Table_13[[#This Row],[Month]]=9,"SEPT",B1362=10,"OCT",B1362=11,"NOV",B1362=12,"DEC")</f>
        <v>OCT</v>
      </c>
      <c r="D1362" s="2" t="s">
        <v>29</v>
      </c>
      <c r="E1362" s="2" t="s">
        <v>12</v>
      </c>
      <c r="F1362" s="2" t="s">
        <v>13</v>
      </c>
      <c r="G1362" s="2" t="s">
        <v>20</v>
      </c>
      <c r="H1362" s="2" t="s">
        <v>41</v>
      </c>
      <c r="I1362" s="2" t="s">
        <v>22</v>
      </c>
      <c r="J1362" s="15">
        <v>220000</v>
      </c>
      <c r="K1362" s="2">
        <v>3</v>
      </c>
      <c r="L1362" s="2" t="s">
        <v>39</v>
      </c>
      <c r="M1362" s="12">
        <f t="shared" si="45"/>
        <v>176000</v>
      </c>
      <c r="N1362" s="10">
        <f>PRODUCT(Table_13[[#This Row],[Unit Price]],Table_13[[#This Row],[Quantity]])</f>
        <v>660000</v>
      </c>
      <c r="O1362" s="16">
        <f>PRODUCT(Table_13[[#This Row],[Cost Price]],Table_13[[#This Row],[Quantity]])</f>
        <v>528000</v>
      </c>
      <c r="P1362" s="27">
        <f t="shared" si="49"/>
        <v>132000</v>
      </c>
    </row>
    <row r="1363" spans="1:16" x14ac:dyDescent="0.2">
      <c r="A1363" s="33">
        <v>47037</v>
      </c>
      <c r="B1363" s="30">
        <f t="shared" si="48"/>
        <v>10</v>
      </c>
      <c r="C1363" s="30" t="str">
        <f>_xlfn.IFS(Table_13[[#This Row],[Month]]=1,"JAN",Table_13[[#This Row],[Month]]=2,"FEB",B1363=3,"MAR",B1363=4,"APR",B1363=5,"MAY",B1363=6,"JUN",B1363=7,"JUL",B1363=8,"AUG",Table_13[[#This Row],[Month]]=9,"SEPT",B1363=10,"OCT",B1363=11,"NOV",B1363=12,"DEC")</f>
        <v>OCT</v>
      </c>
      <c r="D1363" s="2" t="s">
        <v>11</v>
      </c>
      <c r="E1363" s="2" t="s">
        <v>26</v>
      </c>
      <c r="F1363" s="2" t="s">
        <v>23</v>
      </c>
      <c r="G1363" s="2" t="s">
        <v>14</v>
      </c>
      <c r="H1363" s="2" t="s">
        <v>33</v>
      </c>
      <c r="I1363" s="2" t="s">
        <v>22</v>
      </c>
      <c r="J1363" s="15">
        <v>180000</v>
      </c>
      <c r="K1363" s="2">
        <v>8</v>
      </c>
      <c r="L1363" s="2" t="s">
        <v>35</v>
      </c>
      <c r="M1363" s="12">
        <f t="shared" si="45"/>
        <v>144000</v>
      </c>
      <c r="N1363" s="10">
        <f>PRODUCT(Table_13[[#This Row],[Unit Price]],Table_13[[#This Row],[Quantity]])</f>
        <v>1440000</v>
      </c>
      <c r="O1363" s="16">
        <f>PRODUCT(Table_13[[#This Row],[Cost Price]],Table_13[[#This Row],[Quantity]])</f>
        <v>1152000</v>
      </c>
      <c r="P1363" s="27">
        <f t="shared" si="49"/>
        <v>288000</v>
      </c>
    </row>
    <row r="1364" spans="1:16" x14ac:dyDescent="0.2">
      <c r="A1364" s="33">
        <v>47038</v>
      </c>
      <c r="B1364" s="30">
        <f t="shared" si="48"/>
        <v>10</v>
      </c>
      <c r="C1364" s="30" t="str">
        <f>_xlfn.IFS(Table_13[[#This Row],[Month]]=1,"JAN",Table_13[[#This Row],[Month]]=2,"FEB",B1364=3,"MAR",B1364=4,"APR",B1364=5,"MAY",B1364=6,"JUN",B1364=7,"JUL",B1364=8,"AUG",Table_13[[#This Row],[Month]]=9,"SEPT",B1364=10,"OCT",B1364=11,"NOV",B1364=12,"DEC")</f>
        <v>OCT</v>
      </c>
      <c r="D1364" s="2" t="s">
        <v>29</v>
      </c>
      <c r="E1364" s="2" t="s">
        <v>26</v>
      </c>
      <c r="F1364" s="2" t="s">
        <v>13</v>
      </c>
      <c r="G1364" s="2" t="s">
        <v>20</v>
      </c>
      <c r="H1364" s="2" t="s">
        <v>40</v>
      </c>
      <c r="I1364" s="2" t="s">
        <v>31</v>
      </c>
      <c r="J1364" s="15">
        <v>250000</v>
      </c>
      <c r="K1364" s="2">
        <v>4</v>
      </c>
      <c r="L1364" s="2" t="s">
        <v>28</v>
      </c>
      <c r="M1364" s="12">
        <f t="shared" si="45"/>
        <v>200000</v>
      </c>
      <c r="N1364" s="10">
        <f>PRODUCT(Table_13[[#This Row],[Unit Price]],Table_13[[#This Row],[Quantity]])</f>
        <v>1000000</v>
      </c>
      <c r="O1364" s="16">
        <f>PRODUCT(Table_13[[#This Row],[Cost Price]],Table_13[[#This Row],[Quantity]])</f>
        <v>800000</v>
      </c>
      <c r="P1364" s="27">
        <f t="shared" si="49"/>
        <v>200000</v>
      </c>
    </row>
    <row r="1365" spans="1:16" x14ac:dyDescent="0.2">
      <c r="A1365" s="33">
        <v>47039</v>
      </c>
      <c r="B1365" s="30">
        <f t="shared" si="48"/>
        <v>10</v>
      </c>
      <c r="C1365" s="30" t="str">
        <f>_xlfn.IFS(Table_13[[#This Row],[Month]]=1,"JAN",Table_13[[#This Row],[Month]]=2,"FEB",B1365=3,"MAR",B1365=4,"APR",B1365=5,"MAY",B1365=6,"JUN",B1365=7,"JUL",B1365=8,"AUG",Table_13[[#This Row],[Month]]=9,"SEPT",B1365=10,"OCT",B1365=11,"NOV",B1365=12,"DEC")</f>
        <v>OCT</v>
      </c>
      <c r="D1365" s="2" t="s">
        <v>29</v>
      </c>
      <c r="E1365" s="2" t="s">
        <v>19</v>
      </c>
      <c r="F1365" s="2" t="s">
        <v>23</v>
      </c>
      <c r="G1365" s="2" t="s">
        <v>20</v>
      </c>
      <c r="H1365" s="2" t="s">
        <v>27</v>
      </c>
      <c r="I1365" s="2" t="s">
        <v>22</v>
      </c>
      <c r="J1365" s="15">
        <v>60000</v>
      </c>
      <c r="K1365" s="2">
        <v>7</v>
      </c>
      <c r="L1365" s="2" t="s">
        <v>35</v>
      </c>
      <c r="M1365" s="12">
        <f t="shared" si="45"/>
        <v>48000</v>
      </c>
      <c r="N1365" s="10">
        <f>PRODUCT(Table_13[[#This Row],[Unit Price]],Table_13[[#This Row],[Quantity]])</f>
        <v>420000</v>
      </c>
      <c r="O1365" s="16">
        <f>PRODUCT(Table_13[[#This Row],[Cost Price]],Table_13[[#This Row],[Quantity]])</f>
        <v>336000</v>
      </c>
      <c r="P1365" s="27">
        <f t="shared" si="49"/>
        <v>84000</v>
      </c>
    </row>
    <row r="1366" spans="1:16" x14ac:dyDescent="0.2">
      <c r="A1366" s="33">
        <v>47040</v>
      </c>
      <c r="B1366" s="30">
        <f t="shared" si="48"/>
        <v>10</v>
      </c>
      <c r="C1366" s="30" t="str">
        <f>_xlfn.IFS(Table_13[[#This Row],[Month]]=1,"JAN",Table_13[[#This Row],[Month]]=2,"FEB",B1366=3,"MAR",B1366=4,"APR",B1366=5,"MAY",B1366=6,"JUN",B1366=7,"JUL",B1366=8,"AUG",Table_13[[#This Row],[Month]]=9,"SEPT",B1366=10,"OCT",B1366=11,"NOV",B1366=12,"DEC")</f>
        <v>OCT</v>
      </c>
      <c r="D1366" s="2" t="s">
        <v>29</v>
      </c>
      <c r="E1366" s="2" t="s">
        <v>12</v>
      </c>
      <c r="F1366" s="2" t="s">
        <v>23</v>
      </c>
      <c r="G1366" s="2" t="s">
        <v>20</v>
      </c>
      <c r="H1366" s="2" t="s">
        <v>41</v>
      </c>
      <c r="I1366" s="2" t="s">
        <v>22</v>
      </c>
      <c r="J1366" s="15">
        <v>220000</v>
      </c>
      <c r="K1366" s="2">
        <v>10</v>
      </c>
      <c r="L1366" s="2" t="s">
        <v>39</v>
      </c>
      <c r="M1366" s="12">
        <f t="shared" si="45"/>
        <v>176000</v>
      </c>
      <c r="N1366" s="10">
        <f>PRODUCT(Table_13[[#This Row],[Unit Price]],Table_13[[#This Row],[Quantity]])</f>
        <v>2200000</v>
      </c>
      <c r="O1366" s="16">
        <f>PRODUCT(Table_13[[#This Row],[Cost Price]],Table_13[[#This Row],[Quantity]])</f>
        <v>1760000</v>
      </c>
      <c r="P1366" s="27">
        <f t="shared" si="49"/>
        <v>440000</v>
      </c>
    </row>
    <row r="1367" spans="1:16" x14ac:dyDescent="0.2">
      <c r="A1367" s="33">
        <v>47041</v>
      </c>
      <c r="B1367" s="30">
        <f t="shared" si="48"/>
        <v>10</v>
      </c>
      <c r="C1367" s="30" t="str">
        <f>_xlfn.IFS(Table_13[[#This Row],[Month]]=1,"JAN",Table_13[[#This Row],[Month]]=2,"FEB",B1367=3,"MAR",B1367=4,"APR",B1367=5,"MAY",B1367=6,"JUN",B1367=7,"JUL",B1367=8,"AUG",Table_13[[#This Row],[Month]]=9,"SEPT",B1367=10,"OCT",B1367=11,"NOV",B1367=12,"DEC")</f>
        <v>OCT</v>
      </c>
      <c r="D1367" s="2" t="s">
        <v>25</v>
      </c>
      <c r="E1367" s="2" t="s">
        <v>26</v>
      </c>
      <c r="F1367" s="2" t="s">
        <v>13</v>
      </c>
      <c r="G1367" s="2" t="s">
        <v>14</v>
      </c>
      <c r="H1367" s="2" t="s">
        <v>27</v>
      </c>
      <c r="I1367" s="2" t="s">
        <v>22</v>
      </c>
      <c r="J1367" s="15">
        <v>60000</v>
      </c>
      <c r="K1367" s="2">
        <v>9</v>
      </c>
      <c r="L1367" s="2" t="s">
        <v>39</v>
      </c>
      <c r="M1367" s="12">
        <f t="shared" si="45"/>
        <v>48000</v>
      </c>
      <c r="N1367" s="10">
        <f>PRODUCT(Table_13[[#This Row],[Unit Price]],Table_13[[#This Row],[Quantity]])</f>
        <v>540000</v>
      </c>
      <c r="O1367" s="16">
        <f>PRODUCT(Table_13[[#This Row],[Cost Price]],Table_13[[#This Row],[Quantity]])</f>
        <v>432000</v>
      </c>
      <c r="P1367" s="27">
        <f t="shared" si="49"/>
        <v>108000</v>
      </c>
    </row>
    <row r="1368" spans="1:16" x14ac:dyDescent="0.2">
      <c r="A1368" s="33">
        <v>47042</v>
      </c>
      <c r="B1368" s="30">
        <f t="shared" si="48"/>
        <v>10</v>
      </c>
      <c r="C1368" s="30" t="str">
        <f>_xlfn.IFS(Table_13[[#This Row],[Month]]=1,"JAN",Table_13[[#This Row],[Month]]=2,"FEB",B1368=3,"MAR",B1368=4,"APR",B1368=5,"MAY",B1368=6,"JUN",B1368=7,"JUL",B1368=8,"AUG",Table_13[[#This Row],[Month]]=9,"SEPT",B1368=10,"OCT",B1368=11,"NOV",B1368=12,"DEC")</f>
        <v>OCT</v>
      </c>
      <c r="D1368" s="2" t="s">
        <v>11</v>
      </c>
      <c r="E1368" s="2" t="s">
        <v>26</v>
      </c>
      <c r="F1368" s="2" t="s">
        <v>23</v>
      </c>
      <c r="G1368" s="2" t="s">
        <v>14</v>
      </c>
      <c r="H1368" s="2" t="s">
        <v>27</v>
      </c>
      <c r="I1368" s="2" t="s">
        <v>22</v>
      </c>
      <c r="J1368" s="15">
        <v>60000</v>
      </c>
      <c r="K1368" s="2">
        <v>2</v>
      </c>
      <c r="L1368" s="2" t="s">
        <v>28</v>
      </c>
      <c r="M1368" s="12">
        <f t="shared" si="45"/>
        <v>48000</v>
      </c>
      <c r="N1368" s="10">
        <f>PRODUCT(Table_13[[#This Row],[Unit Price]],Table_13[[#This Row],[Quantity]])</f>
        <v>120000</v>
      </c>
      <c r="O1368" s="16">
        <f>PRODUCT(Table_13[[#This Row],[Cost Price]],Table_13[[#This Row],[Quantity]])</f>
        <v>96000</v>
      </c>
      <c r="P1368" s="27">
        <f t="shared" si="49"/>
        <v>24000</v>
      </c>
    </row>
    <row r="1369" spans="1:16" x14ac:dyDescent="0.2">
      <c r="A1369" s="33">
        <v>47043</v>
      </c>
      <c r="B1369" s="30">
        <f t="shared" si="48"/>
        <v>10</v>
      </c>
      <c r="C1369" s="30" t="str">
        <f>_xlfn.IFS(Table_13[[#This Row],[Month]]=1,"JAN",Table_13[[#This Row],[Month]]=2,"FEB",B1369=3,"MAR",B1369=4,"APR",B1369=5,"MAY",B1369=6,"JUN",B1369=7,"JUL",B1369=8,"AUG",Table_13[[#This Row],[Month]]=9,"SEPT",B1369=10,"OCT",B1369=11,"NOV",B1369=12,"DEC")</f>
        <v>OCT</v>
      </c>
      <c r="D1369" s="2" t="s">
        <v>18</v>
      </c>
      <c r="E1369" s="2" t="s">
        <v>19</v>
      </c>
      <c r="F1369" s="2" t="s">
        <v>23</v>
      </c>
      <c r="G1369" s="2" t="s">
        <v>14</v>
      </c>
      <c r="H1369" s="2" t="s">
        <v>36</v>
      </c>
      <c r="I1369" s="2" t="s">
        <v>31</v>
      </c>
      <c r="J1369" s="15">
        <v>150000</v>
      </c>
      <c r="K1369" s="2">
        <v>3</v>
      </c>
      <c r="L1369" s="2" t="s">
        <v>17</v>
      </c>
      <c r="M1369" s="12">
        <f t="shared" si="45"/>
        <v>120000</v>
      </c>
      <c r="N1369" s="10">
        <f>PRODUCT(Table_13[[#This Row],[Unit Price]],Table_13[[#This Row],[Quantity]])</f>
        <v>450000</v>
      </c>
      <c r="O1369" s="16">
        <f>PRODUCT(Table_13[[#This Row],[Cost Price]],Table_13[[#This Row],[Quantity]])</f>
        <v>360000</v>
      </c>
      <c r="P1369" s="27">
        <f t="shared" si="49"/>
        <v>90000</v>
      </c>
    </row>
    <row r="1370" spans="1:16" x14ac:dyDescent="0.2">
      <c r="A1370" s="33">
        <v>47044</v>
      </c>
      <c r="B1370" s="30">
        <f t="shared" si="48"/>
        <v>10</v>
      </c>
      <c r="C1370" s="30" t="str">
        <f>_xlfn.IFS(Table_13[[#This Row],[Month]]=1,"JAN",Table_13[[#This Row],[Month]]=2,"FEB",B1370=3,"MAR",B1370=4,"APR",B1370=5,"MAY",B1370=6,"JUN",B1370=7,"JUL",B1370=8,"AUG",Table_13[[#This Row],[Month]]=9,"SEPT",B1370=10,"OCT",B1370=11,"NOV",B1370=12,"DEC")</f>
        <v>OCT</v>
      </c>
      <c r="D1370" s="2" t="s">
        <v>11</v>
      </c>
      <c r="E1370" s="2" t="s">
        <v>19</v>
      </c>
      <c r="F1370" s="2" t="s">
        <v>23</v>
      </c>
      <c r="G1370" s="2" t="s">
        <v>14</v>
      </c>
      <c r="H1370" s="2" t="s">
        <v>36</v>
      </c>
      <c r="I1370" s="2" t="s">
        <v>31</v>
      </c>
      <c r="J1370" s="15">
        <v>150000</v>
      </c>
      <c r="K1370" s="2">
        <v>10</v>
      </c>
      <c r="L1370" s="2" t="s">
        <v>17</v>
      </c>
      <c r="M1370" s="12">
        <f t="shared" si="45"/>
        <v>120000</v>
      </c>
      <c r="N1370" s="10">
        <f>PRODUCT(Table_13[[#This Row],[Unit Price]],Table_13[[#This Row],[Quantity]])</f>
        <v>1500000</v>
      </c>
      <c r="O1370" s="16">
        <f>PRODUCT(Table_13[[#This Row],[Cost Price]],Table_13[[#This Row],[Quantity]])</f>
        <v>1200000</v>
      </c>
      <c r="P1370" s="27">
        <f t="shared" si="49"/>
        <v>300000</v>
      </c>
    </row>
    <row r="1371" spans="1:16" x14ac:dyDescent="0.2">
      <c r="A1371" s="33">
        <v>47045</v>
      </c>
      <c r="B1371" s="30">
        <f t="shared" si="48"/>
        <v>10</v>
      </c>
      <c r="C1371" s="30" t="str">
        <f>_xlfn.IFS(Table_13[[#This Row],[Month]]=1,"JAN",Table_13[[#This Row],[Month]]=2,"FEB",B1371=3,"MAR",B1371=4,"APR",B1371=5,"MAY",B1371=6,"JUN",B1371=7,"JUL",B1371=8,"AUG",Table_13[[#This Row],[Month]]=9,"SEPT",B1371=10,"OCT",B1371=11,"NOV",B1371=12,"DEC")</f>
        <v>OCT</v>
      </c>
      <c r="D1371" s="2" t="s">
        <v>29</v>
      </c>
      <c r="E1371" s="2" t="s">
        <v>26</v>
      </c>
      <c r="F1371" s="2" t="s">
        <v>23</v>
      </c>
      <c r="G1371" s="2" t="s">
        <v>14</v>
      </c>
      <c r="H1371" s="2" t="s">
        <v>36</v>
      </c>
      <c r="I1371" s="2" t="s">
        <v>31</v>
      </c>
      <c r="J1371" s="15">
        <v>150000</v>
      </c>
      <c r="K1371" s="2">
        <v>9</v>
      </c>
      <c r="L1371" s="2" t="s">
        <v>35</v>
      </c>
      <c r="M1371" s="12">
        <f t="shared" si="45"/>
        <v>120000</v>
      </c>
      <c r="N1371" s="10">
        <f>PRODUCT(Table_13[[#This Row],[Unit Price]],Table_13[[#This Row],[Quantity]])</f>
        <v>1350000</v>
      </c>
      <c r="O1371" s="16">
        <f>PRODUCT(Table_13[[#This Row],[Cost Price]],Table_13[[#This Row],[Quantity]])</f>
        <v>1080000</v>
      </c>
      <c r="P1371" s="27">
        <f t="shared" si="49"/>
        <v>270000</v>
      </c>
    </row>
    <row r="1372" spans="1:16" x14ac:dyDescent="0.2">
      <c r="A1372" s="33">
        <v>47046</v>
      </c>
      <c r="B1372" s="30">
        <f t="shared" si="48"/>
        <v>10</v>
      </c>
      <c r="C1372" s="30" t="str">
        <f>_xlfn.IFS(Table_13[[#This Row],[Month]]=1,"JAN",Table_13[[#This Row],[Month]]=2,"FEB",B1372=3,"MAR",B1372=4,"APR",B1372=5,"MAY",B1372=6,"JUN",B1372=7,"JUL",B1372=8,"AUG",Table_13[[#This Row],[Month]]=9,"SEPT",B1372=10,"OCT",B1372=11,"NOV",B1372=12,"DEC")</f>
        <v>OCT</v>
      </c>
      <c r="D1372" s="2" t="s">
        <v>11</v>
      </c>
      <c r="E1372" s="2" t="s">
        <v>32</v>
      </c>
      <c r="F1372" s="2" t="s">
        <v>13</v>
      </c>
      <c r="G1372" s="2" t="s">
        <v>14</v>
      </c>
      <c r="H1372" s="2" t="s">
        <v>34</v>
      </c>
      <c r="I1372" s="2" t="s">
        <v>16</v>
      </c>
      <c r="J1372" s="15">
        <v>320000</v>
      </c>
      <c r="K1372" s="2">
        <v>5</v>
      </c>
      <c r="L1372" s="2" t="s">
        <v>39</v>
      </c>
      <c r="M1372" s="12">
        <f t="shared" si="45"/>
        <v>256000</v>
      </c>
      <c r="N1372" s="10">
        <f>PRODUCT(Table_13[[#This Row],[Unit Price]],Table_13[[#This Row],[Quantity]])</f>
        <v>1600000</v>
      </c>
      <c r="O1372" s="16">
        <f>PRODUCT(Table_13[[#This Row],[Cost Price]],Table_13[[#This Row],[Quantity]])</f>
        <v>1280000</v>
      </c>
      <c r="P1372" s="27">
        <f t="shared" si="49"/>
        <v>320000</v>
      </c>
    </row>
    <row r="1373" spans="1:16" x14ac:dyDescent="0.2">
      <c r="A1373" s="33">
        <v>47047</v>
      </c>
      <c r="B1373" s="30">
        <f t="shared" si="48"/>
        <v>10</v>
      </c>
      <c r="C1373" s="30" t="str">
        <f>_xlfn.IFS(Table_13[[#This Row],[Month]]=1,"JAN",Table_13[[#This Row],[Month]]=2,"FEB",B1373=3,"MAR",B1373=4,"APR",B1373=5,"MAY",B1373=6,"JUN",B1373=7,"JUL",B1373=8,"AUG",Table_13[[#This Row],[Month]]=9,"SEPT",B1373=10,"OCT",B1373=11,"NOV",B1373=12,"DEC")</f>
        <v>OCT</v>
      </c>
      <c r="D1373" s="2" t="s">
        <v>18</v>
      </c>
      <c r="E1373" s="2" t="s">
        <v>32</v>
      </c>
      <c r="F1373" s="2" t="s">
        <v>13</v>
      </c>
      <c r="G1373" s="2" t="s">
        <v>14</v>
      </c>
      <c r="H1373" s="2" t="s">
        <v>33</v>
      </c>
      <c r="I1373" s="2" t="s">
        <v>22</v>
      </c>
      <c r="J1373" s="15">
        <v>180000</v>
      </c>
      <c r="K1373" s="2">
        <v>3</v>
      </c>
      <c r="L1373" s="2" t="s">
        <v>17</v>
      </c>
      <c r="M1373" s="12">
        <f t="shared" si="45"/>
        <v>144000</v>
      </c>
      <c r="N1373" s="10">
        <f>PRODUCT(Table_13[[#This Row],[Unit Price]],Table_13[[#This Row],[Quantity]])</f>
        <v>540000</v>
      </c>
      <c r="O1373" s="16">
        <f>PRODUCT(Table_13[[#This Row],[Cost Price]],Table_13[[#This Row],[Quantity]])</f>
        <v>432000</v>
      </c>
      <c r="P1373" s="27">
        <f t="shared" si="49"/>
        <v>108000</v>
      </c>
    </row>
    <row r="1374" spans="1:16" x14ac:dyDescent="0.2">
      <c r="A1374" s="33">
        <v>47048</v>
      </c>
      <c r="B1374" s="30">
        <f t="shared" si="48"/>
        <v>10</v>
      </c>
      <c r="C1374" s="30" t="str">
        <f>_xlfn.IFS(Table_13[[#This Row],[Month]]=1,"JAN",Table_13[[#This Row],[Month]]=2,"FEB",B1374=3,"MAR",B1374=4,"APR",B1374=5,"MAY",B1374=6,"JUN",B1374=7,"JUL",B1374=8,"AUG",Table_13[[#This Row],[Month]]=9,"SEPT",B1374=10,"OCT",B1374=11,"NOV",B1374=12,"DEC")</f>
        <v>OCT</v>
      </c>
      <c r="D1374" s="2" t="s">
        <v>11</v>
      </c>
      <c r="E1374" s="2" t="s">
        <v>26</v>
      </c>
      <c r="F1374" s="2" t="s">
        <v>23</v>
      </c>
      <c r="G1374" s="2" t="s">
        <v>14</v>
      </c>
      <c r="H1374" s="2" t="s">
        <v>15</v>
      </c>
      <c r="I1374" s="2" t="s">
        <v>16</v>
      </c>
      <c r="J1374" s="15">
        <v>85000</v>
      </c>
      <c r="K1374" s="2">
        <v>4</v>
      </c>
      <c r="L1374" s="2" t="s">
        <v>35</v>
      </c>
      <c r="M1374" s="12">
        <f t="shared" si="45"/>
        <v>68000</v>
      </c>
      <c r="N1374" s="10">
        <f>PRODUCT(Table_13[[#This Row],[Unit Price]],Table_13[[#This Row],[Quantity]])</f>
        <v>340000</v>
      </c>
      <c r="O1374" s="16">
        <f>PRODUCT(Table_13[[#This Row],[Cost Price]],Table_13[[#This Row],[Quantity]])</f>
        <v>272000</v>
      </c>
      <c r="P1374" s="27">
        <f t="shared" si="49"/>
        <v>68000</v>
      </c>
    </row>
    <row r="1375" spans="1:16" x14ac:dyDescent="0.2">
      <c r="A1375" s="33">
        <v>47049</v>
      </c>
      <c r="B1375" s="30">
        <f t="shared" si="48"/>
        <v>10</v>
      </c>
      <c r="C1375" s="30" t="str">
        <f>_xlfn.IFS(Table_13[[#This Row],[Month]]=1,"JAN",Table_13[[#This Row],[Month]]=2,"FEB",B1375=3,"MAR",B1375=4,"APR",B1375=5,"MAY",B1375=6,"JUN",B1375=7,"JUL",B1375=8,"AUG",Table_13[[#This Row],[Month]]=9,"SEPT",B1375=10,"OCT",B1375=11,"NOV",B1375=12,"DEC")</f>
        <v>OCT</v>
      </c>
      <c r="D1375" s="2" t="s">
        <v>11</v>
      </c>
      <c r="E1375" s="2" t="s">
        <v>32</v>
      </c>
      <c r="F1375" s="2" t="s">
        <v>23</v>
      </c>
      <c r="G1375" s="2" t="s">
        <v>20</v>
      </c>
      <c r="H1375" s="2" t="s">
        <v>34</v>
      </c>
      <c r="I1375" s="2" t="s">
        <v>16</v>
      </c>
      <c r="J1375" s="15">
        <v>320000</v>
      </c>
      <c r="K1375" s="2">
        <v>7</v>
      </c>
      <c r="L1375" s="2" t="s">
        <v>39</v>
      </c>
      <c r="M1375" s="12">
        <f t="shared" si="45"/>
        <v>256000</v>
      </c>
      <c r="N1375" s="10">
        <f>PRODUCT(Table_13[[#This Row],[Unit Price]],Table_13[[#This Row],[Quantity]])</f>
        <v>2240000</v>
      </c>
      <c r="O1375" s="16">
        <f>PRODUCT(Table_13[[#This Row],[Cost Price]],Table_13[[#This Row],[Quantity]])</f>
        <v>1792000</v>
      </c>
      <c r="P1375" s="27">
        <f t="shared" si="49"/>
        <v>448000</v>
      </c>
    </row>
    <row r="1376" spans="1:16" x14ac:dyDescent="0.2">
      <c r="A1376" s="33">
        <v>47050</v>
      </c>
      <c r="B1376" s="30">
        <f t="shared" si="48"/>
        <v>10</v>
      </c>
      <c r="C1376" s="30" t="str">
        <f>_xlfn.IFS(Table_13[[#This Row],[Month]]=1,"JAN",Table_13[[#This Row],[Month]]=2,"FEB",B1376=3,"MAR",B1376=4,"APR",B1376=5,"MAY",B1376=6,"JUN",B1376=7,"JUL",B1376=8,"AUG",Table_13[[#This Row],[Month]]=9,"SEPT",B1376=10,"OCT",B1376=11,"NOV",B1376=12,"DEC")</f>
        <v>OCT</v>
      </c>
      <c r="D1376" s="2" t="s">
        <v>25</v>
      </c>
      <c r="E1376" s="2" t="s">
        <v>19</v>
      </c>
      <c r="F1376" s="2" t="s">
        <v>13</v>
      </c>
      <c r="G1376" s="2" t="s">
        <v>20</v>
      </c>
      <c r="H1376" s="2" t="s">
        <v>41</v>
      </c>
      <c r="I1376" s="2" t="s">
        <v>22</v>
      </c>
      <c r="J1376" s="15">
        <v>220000</v>
      </c>
      <c r="K1376" s="2">
        <v>5</v>
      </c>
      <c r="L1376" s="2" t="s">
        <v>35</v>
      </c>
      <c r="M1376" s="12">
        <f t="shared" si="45"/>
        <v>176000</v>
      </c>
      <c r="N1376" s="10">
        <f>PRODUCT(Table_13[[#This Row],[Unit Price]],Table_13[[#This Row],[Quantity]])</f>
        <v>1100000</v>
      </c>
      <c r="O1376" s="16">
        <f>PRODUCT(Table_13[[#This Row],[Cost Price]],Table_13[[#This Row],[Quantity]])</f>
        <v>880000</v>
      </c>
      <c r="P1376" s="27">
        <f t="shared" si="49"/>
        <v>220000</v>
      </c>
    </row>
    <row r="1377" spans="1:16" x14ac:dyDescent="0.2">
      <c r="A1377" s="33">
        <v>47051</v>
      </c>
      <c r="B1377" s="30">
        <f t="shared" si="48"/>
        <v>10</v>
      </c>
      <c r="C1377" s="30" t="str">
        <f>_xlfn.IFS(Table_13[[#This Row],[Month]]=1,"JAN",Table_13[[#This Row],[Month]]=2,"FEB",B1377=3,"MAR",B1377=4,"APR",B1377=5,"MAY",B1377=6,"JUN",B1377=7,"JUL",B1377=8,"AUG",Table_13[[#This Row],[Month]]=9,"SEPT",B1377=10,"OCT",B1377=11,"NOV",B1377=12,"DEC")</f>
        <v>OCT</v>
      </c>
      <c r="D1377" s="2" t="s">
        <v>25</v>
      </c>
      <c r="E1377" s="2" t="s">
        <v>19</v>
      </c>
      <c r="F1377" s="2" t="s">
        <v>23</v>
      </c>
      <c r="G1377" s="2" t="s">
        <v>20</v>
      </c>
      <c r="H1377" s="2" t="s">
        <v>36</v>
      </c>
      <c r="I1377" s="2" t="s">
        <v>31</v>
      </c>
      <c r="J1377" s="15">
        <v>150000</v>
      </c>
      <c r="K1377" s="2">
        <v>3</v>
      </c>
      <c r="L1377" s="2" t="s">
        <v>17</v>
      </c>
      <c r="M1377" s="12">
        <f t="shared" si="45"/>
        <v>120000</v>
      </c>
      <c r="N1377" s="10">
        <f>PRODUCT(Table_13[[#This Row],[Unit Price]],Table_13[[#This Row],[Quantity]])</f>
        <v>450000</v>
      </c>
      <c r="O1377" s="16">
        <f>PRODUCT(Table_13[[#This Row],[Cost Price]],Table_13[[#This Row],[Quantity]])</f>
        <v>360000</v>
      </c>
      <c r="P1377" s="27">
        <f t="shared" si="49"/>
        <v>90000</v>
      </c>
    </row>
    <row r="1378" spans="1:16" x14ac:dyDescent="0.2">
      <c r="A1378" s="33">
        <v>47052</v>
      </c>
      <c r="B1378" s="30">
        <f t="shared" si="48"/>
        <v>10</v>
      </c>
      <c r="C1378" s="30" t="str">
        <f>_xlfn.IFS(Table_13[[#This Row],[Month]]=1,"JAN",Table_13[[#This Row],[Month]]=2,"FEB",B1378=3,"MAR",B1378=4,"APR",B1378=5,"MAY",B1378=6,"JUN",B1378=7,"JUL",B1378=8,"AUG",Table_13[[#This Row],[Month]]=9,"SEPT",B1378=10,"OCT",B1378=11,"NOV",B1378=12,"DEC")</f>
        <v>OCT</v>
      </c>
      <c r="D1378" s="2" t="s">
        <v>11</v>
      </c>
      <c r="E1378" s="2" t="s">
        <v>19</v>
      </c>
      <c r="F1378" s="2" t="s">
        <v>23</v>
      </c>
      <c r="G1378" s="2" t="s">
        <v>14</v>
      </c>
      <c r="H1378" s="2" t="s">
        <v>38</v>
      </c>
      <c r="I1378" s="2" t="s">
        <v>31</v>
      </c>
      <c r="J1378" s="15">
        <v>420000</v>
      </c>
      <c r="K1378" s="2">
        <v>8</v>
      </c>
      <c r="L1378" s="2" t="s">
        <v>24</v>
      </c>
      <c r="M1378" s="12">
        <f t="shared" si="45"/>
        <v>336000</v>
      </c>
      <c r="N1378" s="10">
        <f>PRODUCT(Table_13[[#This Row],[Unit Price]],Table_13[[#This Row],[Quantity]])</f>
        <v>3360000</v>
      </c>
      <c r="O1378" s="16">
        <f>PRODUCT(Table_13[[#This Row],[Cost Price]],Table_13[[#This Row],[Quantity]])</f>
        <v>2688000</v>
      </c>
      <c r="P1378" s="27">
        <f t="shared" si="49"/>
        <v>672000</v>
      </c>
    </row>
    <row r="1379" spans="1:16" x14ac:dyDescent="0.2">
      <c r="A1379" s="33">
        <v>47053</v>
      </c>
      <c r="B1379" s="30">
        <f t="shared" si="48"/>
        <v>10</v>
      </c>
      <c r="C1379" s="30" t="str">
        <f>_xlfn.IFS(Table_13[[#This Row],[Month]]=1,"JAN",Table_13[[#This Row],[Month]]=2,"FEB",B1379=3,"MAR",B1379=4,"APR",B1379=5,"MAY",B1379=6,"JUN",B1379=7,"JUL",B1379=8,"AUG",Table_13[[#This Row],[Month]]=9,"SEPT",B1379=10,"OCT",B1379=11,"NOV",B1379=12,"DEC")</f>
        <v>OCT</v>
      </c>
      <c r="D1379" s="2" t="s">
        <v>18</v>
      </c>
      <c r="E1379" s="2" t="s">
        <v>32</v>
      </c>
      <c r="F1379" s="2" t="s">
        <v>13</v>
      </c>
      <c r="G1379" s="2" t="s">
        <v>14</v>
      </c>
      <c r="H1379" s="2" t="s">
        <v>41</v>
      </c>
      <c r="I1379" s="2" t="s">
        <v>22</v>
      </c>
      <c r="J1379" s="15">
        <v>220000</v>
      </c>
      <c r="K1379" s="2">
        <v>9</v>
      </c>
      <c r="L1379" s="2" t="s">
        <v>24</v>
      </c>
      <c r="M1379" s="12">
        <f t="shared" si="45"/>
        <v>176000</v>
      </c>
      <c r="N1379" s="10">
        <f>PRODUCT(Table_13[[#This Row],[Unit Price]],Table_13[[#This Row],[Quantity]])</f>
        <v>1980000</v>
      </c>
      <c r="O1379" s="16">
        <f>PRODUCT(Table_13[[#This Row],[Cost Price]],Table_13[[#This Row],[Quantity]])</f>
        <v>1584000</v>
      </c>
      <c r="P1379" s="27">
        <f t="shared" si="49"/>
        <v>396000</v>
      </c>
    </row>
    <row r="1380" spans="1:16" x14ac:dyDescent="0.2">
      <c r="A1380" s="33">
        <v>47054</v>
      </c>
      <c r="B1380" s="30">
        <f t="shared" si="48"/>
        <v>10</v>
      </c>
      <c r="C1380" s="30" t="str">
        <f>_xlfn.IFS(Table_13[[#This Row],[Month]]=1,"JAN",Table_13[[#This Row],[Month]]=2,"FEB",B1380=3,"MAR",B1380=4,"APR",B1380=5,"MAY",B1380=6,"JUN",B1380=7,"JUL",B1380=8,"AUG",Table_13[[#This Row],[Month]]=9,"SEPT",B1380=10,"OCT",B1380=11,"NOV",B1380=12,"DEC")</f>
        <v>OCT</v>
      </c>
      <c r="D1380" s="2" t="s">
        <v>29</v>
      </c>
      <c r="E1380" s="2" t="s">
        <v>12</v>
      </c>
      <c r="F1380" s="2" t="s">
        <v>13</v>
      </c>
      <c r="G1380" s="2" t="s">
        <v>14</v>
      </c>
      <c r="H1380" s="2" t="s">
        <v>38</v>
      </c>
      <c r="I1380" s="2" t="s">
        <v>31</v>
      </c>
      <c r="J1380" s="15">
        <v>420000</v>
      </c>
      <c r="K1380" s="2">
        <v>3</v>
      </c>
      <c r="L1380" s="2" t="s">
        <v>39</v>
      </c>
      <c r="M1380" s="12">
        <f t="shared" si="45"/>
        <v>336000</v>
      </c>
      <c r="N1380" s="10">
        <f>PRODUCT(Table_13[[#This Row],[Unit Price]],Table_13[[#This Row],[Quantity]])</f>
        <v>1260000</v>
      </c>
      <c r="O1380" s="16">
        <f>PRODUCT(Table_13[[#This Row],[Cost Price]],Table_13[[#This Row],[Quantity]])</f>
        <v>1008000</v>
      </c>
      <c r="P1380" s="27">
        <f t="shared" si="49"/>
        <v>252000</v>
      </c>
    </row>
    <row r="1381" spans="1:16" x14ac:dyDescent="0.2">
      <c r="A1381" s="33">
        <v>47055</v>
      </c>
      <c r="B1381" s="30">
        <f t="shared" si="48"/>
        <v>10</v>
      </c>
      <c r="C1381" s="30" t="str">
        <f>_xlfn.IFS(Table_13[[#This Row],[Month]]=1,"JAN",Table_13[[#This Row],[Month]]=2,"FEB",B1381=3,"MAR",B1381=4,"APR",B1381=5,"MAY",B1381=6,"JUN",B1381=7,"JUL",B1381=8,"AUG",Table_13[[#This Row],[Month]]=9,"SEPT",B1381=10,"OCT",B1381=11,"NOV",B1381=12,"DEC")</f>
        <v>OCT</v>
      </c>
      <c r="D1381" s="2" t="s">
        <v>29</v>
      </c>
      <c r="E1381" s="2" t="s">
        <v>12</v>
      </c>
      <c r="F1381" s="2" t="s">
        <v>13</v>
      </c>
      <c r="G1381" s="2" t="s">
        <v>20</v>
      </c>
      <c r="H1381" s="2" t="s">
        <v>40</v>
      </c>
      <c r="I1381" s="2" t="s">
        <v>31</v>
      </c>
      <c r="J1381" s="15">
        <v>250000</v>
      </c>
      <c r="K1381" s="2">
        <v>1</v>
      </c>
      <c r="L1381" s="2" t="s">
        <v>28</v>
      </c>
      <c r="M1381" s="12">
        <f t="shared" si="45"/>
        <v>200000</v>
      </c>
      <c r="N1381" s="10">
        <f>PRODUCT(Table_13[[#This Row],[Unit Price]],Table_13[[#This Row],[Quantity]])</f>
        <v>250000</v>
      </c>
      <c r="O1381" s="16">
        <f>PRODUCT(Table_13[[#This Row],[Cost Price]],Table_13[[#This Row],[Quantity]])</f>
        <v>200000</v>
      </c>
      <c r="P1381" s="27">
        <f t="shared" si="49"/>
        <v>50000</v>
      </c>
    </row>
    <row r="1382" spans="1:16" x14ac:dyDescent="0.2">
      <c r="A1382" s="33">
        <v>47056</v>
      </c>
      <c r="B1382" s="30">
        <f t="shared" si="48"/>
        <v>10</v>
      </c>
      <c r="C1382" s="30" t="str">
        <f>_xlfn.IFS(Table_13[[#This Row],[Month]]=1,"JAN",Table_13[[#This Row],[Month]]=2,"FEB",B1382=3,"MAR",B1382=4,"APR",B1382=5,"MAY",B1382=6,"JUN",B1382=7,"JUL",B1382=8,"AUG",Table_13[[#This Row],[Month]]=9,"SEPT",B1382=10,"OCT",B1382=11,"NOV",B1382=12,"DEC")</f>
        <v>OCT</v>
      </c>
      <c r="D1382" s="2" t="s">
        <v>18</v>
      </c>
      <c r="E1382" s="2" t="s">
        <v>19</v>
      </c>
      <c r="F1382" s="2" t="s">
        <v>13</v>
      </c>
      <c r="G1382" s="2" t="s">
        <v>20</v>
      </c>
      <c r="H1382" s="2" t="s">
        <v>34</v>
      </c>
      <c r="I1382" s="2" t="s">
        <v>16</v>
      </c>
      <c r="J1382" s="15">
        <v>320000</v>
      </c>
      <c r="K1382" s="2">
        <v>7</v>
      </c>
      <c r="L1382" s="2" t="s">
        <v>37</v>
      </c>
      <c r="M1382" s="12">
        <f t="shared" si="45"/>
        <v>256000</v>
      </c>
      <c r="N1382" s="10">
        <f>PRODUCT(Table_13[[#This Row],[Unit Price]],Table_13[[#This Row],[Quantity]])</f>
        <v>2240000</v>
      </c>
      <c r="O1382" s="16">
        <f>PRODUCT(Table_13[[#This Row],[Cost Price]],Table_13[[#This Row],[Quantity]])</f>
        <v>1792000</v>
      </c>
      <c r="P1382" s="27">
        <f t="shared" si="49"/>
        <v>448000</v>
      </c>
    </row>
    <row r="1383" spans="1:16" x14ac:dyDescent="0.2">
      <c r="A1383" s="33">
        <v>47057</v>
      </c>
      <c r="B1383" s="30">
        <f t="shared" si="48"/>
        <v>10</v>
      </c>
      <c r="C1383" s="30" t="str">
        <f>_xlfn.IFS(Table_13[[#This Row],[Month]]=1,"JAN",Table_13[[#This Row],[Month]]=2,"FEB",B1383=3,"MAR",B1383=4,"APR",B1383=5,"MAY",B1383=6,"JUN",B1383=7,"JUL",B1383=8,"AUG",Table_13[[#This Row],[Month]]=9,"SEPT",B1383=10,"OCT",B1383=11,"NOV",B1383=12,"DEC")</f>
        <v>OCT</v>
      </c>
      <c r="D1383" s="2" t="s">
        <v>29</v>
      </c>
      <c r="E1383" s="2" t="s">
        <v>19</v>
      </c>
      <c r="F1383" s="2" t="s">
        <v>13</v>
      </c>
      <c r="G1383" s="2" t="s">
        <v>14</v>
      </c>
      <c r="H1383" s="2" t="s">
        <v>38</v>
      </c>
      <c r="I1383" s="2" t="s">
        <v>31</v>
      </c>
      <c r="J1383" s="15">
        <v>420000</v>
      </c>
      <c r="K1383" s="2">
        <v>2</v>
      </c>
      <c r="L1383" s="2" t="s">
        <v>39</v>
      </c>
      <c r="M1383" s="12">
        <f t="shared" si="45"/>
        <v>336000</v>
      </c>
      <c r="N1383" s="10">
        <f>PRODUCT(Table_13[[#This Row],[Unit Price]],Table_13[[#This Row],[Quantity]])</f>
        <v>840000</v>
      </c>
      <c r="O1383" s="16">
        <f>PRODUCT(Table_13[[#This Row],[Cost Price]],Table_13[[#This Row],[Quantity]])</f>
        <v>672000</v>
      </c>
      <c r="P1383" s="27">
        <f t="shared" si="49"/>
        <v>168000</v>
      </c>
    </row>
    <row r="1384" spans="1:16" x14ac:dyDescent="0.2">
      <c r="A1384" s="33">
        <v>47058</v>
      </c>
      <c r="B1384" s="30">
        <f t="shared" si="48"/>
        <v>11</v>
      </c>
      <c r="C1384" s="30" t="str">
        <f>_xlfn.IFS(Table_13[[#This Row],[Month]]=1,"JAN",Table_13[[#This Row],[Month]]=2,"FEB",B1384=3,"MAR",B1384=4,"APR",B1384=5,"MAY",B1384=6,"JUN",B1384=7,"JUL",B1384=8,"AUG",Table_13[[#This Row],[Month]]=9,"SEPT",B1384=10,"OCT",B1384=11,"NOV",B1384=12,"DEC")</f>
        <v>NOV</v>
      </c>
      <c r="D1384" s="2" t="s">
        <v>25</v>
      </c>
      <c r="E1384" s="2" t="s">
        <v>12</v>
      </c>
      <c r="F1384" s="2" t="s">
        <v>13</v>
      </c>
      <c r="G1384" s="2" t="s">
        <v>20</v>
      </c>
      <c r="H1384" s="2" t="s">
        <v>34</v>
      </c>
      <c r="I1384" s="2" t="s">
        <v>16</v>
      </c>
      <c r="J1384" s="15">
        <v>320000</v>
      </c>
      <c r="K1384" s="2">
        <v>3</v>
      </c>
      <c r="L1384" s="2" t="s">
        <v>28</v>
      </c>
      <c r="M1384" s="12">
        <f t="shared" si="45"/>
        <v>256000</v>
      </c>
      <c r="N1384" s="10">
        <f>PRODUCT(Table_13[[#This Row],[Unit Price]],Table_13[[#This Row],[Quantity]])</f>
        <v>960000</v>
      </c>
      <c r="O1384" s="16">
        <f>PRODUCT(Table_13[[#This Row],[Cost Price]],Table_13[[#This Row],[Quantity]])</f>
        <v>768000</v>
      </c>
      <c r="P1384" s="27">
        <f t="shared" si="49"/>
        <v>192000</v>
      </c>
    </row>
    <row r="1385" spans="1:16" x14ac:dyDescent="0.2">
      <c r="A1385" s="33">
        <v>47059</v>
      </c>
      <c r="B1385" s="30">
        <f t="shared" si="48"/>
        <v>11</v>
      </c>
      <c r="C1385" s="30" t="str">
        <f>_xlfn.IFS(Table_13[[#This Row],[Month]]=1,"JAN",Table_13[[#This Row],[Month]]=2,"FEB",B1385=3,"MAR",B1385=4,"APR",B1385=5,"MAY",B1385=6,"JUN",B1385=7,"JUL",B1385=8,"AUG",Table_13[[#This Row],[Month]]=9,"SEPT",B1385=10,"OCT",B1385=11,"NOV",B1385=12,"DEC")</f>
        <v>NOV</v>
      </c>
      <c r="D1385" s="2" t="s">
        <v>25</v>
      </c>
      <c r="E1385" s="2" t="s">
        <v>12</v>
      </c>
      <c r="F1385" s="2" t="s">
        <v>23</v>
      </c>
      <c r="G1385" s="2" t="s">
        <v>14</v>
      </c>
      <c r="H1385" s="2" t="s">
        <v>36</v>
      </c>
      <c r="I1385" s="2" t="s">
        <v>31</v>
      </c>
      <c r="J1385" s="15">
        <v>150000</v>
      </c>
      <c r="K1385" s="2">
        <v>2</v>
      </c>
      <c r="L1385" s="2" t="s">
        <v>37</v>
      </c>
      <c r="M1385" s="12">
        <f t="shared" si="45"/>
        <v>120000</v>
      </c>
      <c r="N1385" s="10">
        <f>PRODUCT(Table_13[[#This Row],[Unit Price]],Table_13[[#This Row],[Quantity]])</f>
        <v>300000</v>
      </c>
      <c r="O1385" s="16">
        <f>PRODUCT(Table_13[[#This Row],[Cost Price]],Table_13[[#This Row],[Quantity]])</f>
        <v>240000</v>
      </c>
      <c r="P1385" s="27">
        <f t="shared" si="49"/>
        <v>60000</v>
      </c>
    </row>
    <row r="1386" spans="1:16" x14ac:dyDescent="0.2">
      <c r="A1386" s="33">
        <v>47060</v>
      </c>
      <c r="B1386" s="30">
        <f t="shared" si="48"/>
        <v>11</v>
      </c>
      <c r="C1386" s="30" t="str">
        <f>_xlfn.IFS(Table_13[[#This Row],[Month]]=1,"JAN",Table_13[[#This Row],[Month]]=2,"FEB",B1386=3,"MAR",B1386=4,"APR",B1386=5,"MAY",B1386=6,"JUN",B1386=7,"JUL",B1386=8,"AUG",Table_13[[#This Row],[Month]]=9,"SEPT",B1386=10,"OCT",B1386=11,"NOV",B1386=12,"DEC")</f>
        <v>NOV</v>
      </c>
      <c r="D1386" s="2" t="s">
        <v>11</v>
      </c>
      <c r="E1386" s="2" t="s">
        <v>19</v>
      </c>
      <c r="F1386" s="2" t="s">
        <v>23</v>
      </c>
      <c r="G1386" s="2" t="s">
        <v>20</v>
      </c>
      <c r="H1386" s="2" t="s">
        <v>38</v>
      </c>
      <c r="I1386" s="2" t="s">
        <v>31</v>
      </c>
      <c r="J1386" s="15">
        <v>420000</v>
      </c>
      <c r="K1386" s="2">
        <v>8</v>
      </c>
      <c r="L1386" s="2" t="s">
        <v>28</v>
      </c>
      <c r="M1386" s="12">
        <f t="shared" si="45"/>
        <v>336000</v>
      </c>
      <c r="N1386" s="10">
        <f>PRODUCT(Table_13[[#This Row],[Unit Price]],Table_13[[#This Row],[Quantity]])</f>
        <v>3360000</v>
      </c>
      <c r="O1386" s="16">
        <f>PRODUCT(Table_13[[#This Row],[Cost Price]],Table_13[[#This Row],[Quantity]])</f>
        <v>2688000</v>
      </c>
      <c r="P1386" s="27">
        <f t="shared" si="49"/>
        <v>672000</v>
      </c>
    </row>
    <row r="1387" spans="1:16" x14ac:dyDescent="0.2">
      <c r="A1387" s="33">
        <v>47061</v>
      </c>
      <c r="B1387" s="30">
        <f t="shared" si="48"/>
        <v>11</v>
      </c>
      <c r="C1387" s="30" t="str">
        <f>_xlfn.IFS(Table_13[[#This Row],[Month]]=1,"JAN",Table_13[[#This Row],[Month]]=2,"FEB",B1387=3,"MAR",B1387=4,"APR",B1387=5,"MAY",B1387=6,"JUN",B1387=7,"JUL",B1387=8,"AUG",Table_13[[#This Row],[Month]]=9,"SEPT",B1387=10,"OCT",B1387=11,"NOV",B1387=12,"DEC")</f>
        <v>NOV</v>
      </c>
      <c r="D1387" s="2" t="s">
        <v>18</v>
      </c>
      <c r="E1387" s="2" t="s">
        <v>12</v>
      </c>
      <c r="F1387" s="2" t="s">
        <v>23</v>
      </c>
      <c r="G1387" s="2" t="s">
        <v>20</v>
      </c>
      <c r="H1387" s="2" t="s">
        <v>38</v>
      </c>
      <c r="I1387" s="2" t="s">
        <v>31</v>
      </c>
      <c r="J1387" s="15">
        <v>420000</v>
      </c>
      <c r="K1387" s="2">
        <v>1</v>
      </c>
      <c r="L1387" s="2" t="s">
        <v>39</v>
      </c>
      <c r="M1387" s="12">
        <f t="shared" si="45"/>
        <v>336000</v>
      </c>
      <c r="N1387" s="10">
        <f>PRODUCT(Table_13[[#This Row],[Unit Price]],Table_13[[#This Row],[Quantity]])</f>
        <v>420000</v>
      </c>
      <c r="O1387" s="16">
        <f>PRODUCT(Table_13[[#This Row],[Cost Price]],Table_13[[#This Row],[Quantity]])</f>
        <v>336000</v>
      </c>
      <c r="P1387" s="27">
        <f t="shared" si="49"/>
        <v>84000</v>
      </c>
    </row>
    <row r="1388" spans="1:16" x14ac:dyDescent="0.2">
      <c r="A1388" s="33">
        <v>47062</v>
      </c>
      <c r="B1388" s="30">
        <f t="shared" si="48"/>
        <v>11</v>
      </c>
      <c r="C1388" s="30" t="str">
        <f>_xlfn.IFS(Table_13[[#This Row],[Month]]=1,"JAN",Table_13[[#This Row],[Month]]=2,"FEB",B1388=3,"MAR",B1388=4,"APR",B1388=5,"MAY",B1388=6,"JUN",B1388=7,"JUL",B1388=8,"AUG",Table_13[[#This Row],[Month]]=9,"SEPT",B1388=10,"OCT",B1388=11,"NOV",B1388=12,"DEC")</f>
        <v>NOV</v>
      </c>
      <c r="D1388" s="2" t="s">
        <v>11</v>
      </c>
      <c r="E1388" s="2" t="s">
        <v>32</v>
      </c>
      <c r="F1388" s="2" t="s">
        <v>13</v>
      </c>
      <c r="G1388" s="2" t="s">
        <v>14</v>
      </c>
      <c r="H1388" s="2" t="s">
        <v>30</v>
      </c>
      <c r="I1388" s="2" t="s">
        <v>31</v>
      </c>
      <c r="J1388" s="15">
        <v>300000</v>
      </c>
      <c r="K1388" s="2">
        <v>5</v>
      </c>
      <c r="L1388" s="2" t="s">
        <v>35</v>
      </c>
      <c r="M1388" s="12">
        <f t="shared" si="45"/>
        <v>240000</v>
      </c>
      <c r="N1388" s="10">
        <f>PRODUCT(Table_13[[#This Row],[Unit Price]],Table_13[[#This Row],[Quantity]])</f>
        <v>1500000</v>
      </c>
      <c r="O1388" s="16">
        <f>PRODUCT(Table_13[[#This Row],[Cost Price]],Table_13[[#This Row],[Quantity]])</f>
        <v>1200000</v>
      </c>
      <c r="P1388" s="27">
        <f t="shared" si="49"/>
        <v>300000</v>
      </c>
    </row>
    <row r="1389" spans="1:16" x14ac:dyDescent="0.2">
      <c r="A1389" s="33">
        <v>47063</v>
      </c>
      <c r="B1389" s="30">
        <f t="shared" si="48"/>
        <v>11</v>
      </c>
      <c r="C1389" s="30" t="str">
        <f>_xlfn.IFS(Table_13[[#This Row],[Month]]=1,"JAN",Table_13[[#This Row],[Month]]=2,"FEB",B1389=3,"MAR",B1389=4,"APR",B1389=5,"MAY",B1389=6,"JUN",B1389=7,"JUL",B1389=8,"AUG",Table_13[[#This Row],[Month]]=9,"SEPT",B1389=10,"OCT",B1389=11,"NOV",B1389=12,"DEC")</f>
        <v>NOV</v>
      </c>
      <c r="D1389" s="2" t="s">
        <v>18</v>
      </c>
      <c r="E1389" s="2" t="s">
        <v>12</v>
      </c>
      <c r="F1389" s="2" t="s">
        <v>13</v>
      </c>
      <c r="G1389" s="2" t="s">
        <v>20</v>
      </c>
      <c r="H1389" s="2" t="s">
        <v>33</v>
      </c>
      <c r="I1389" s="2" t="s">
        <v>22</v>
      </c>
      <c r="J1389" s="15">
        <v>180000</v>
      </c>
      <c r="K1389" s="2">
        <v>7</v>
      </c>
      <c r="L1389" s="2" t="s">
        <v>37</v>
      </c>
      <c r="M1389" s="12">
        <f t="shared" si="45"/>
        <v>144000</v>
      </c>
      <c r="N1389" s="10">
        <f>PRODUCT(Table_13[[#This Row],[Unit Price]],Table_13[[#This Row],[Quantity]])</f>
        <v>1260000</v>
      </c>
      <c r="O1389" s="16">
        <f>PRODUCT(Table_13[[#This Row],[Cost Price]],Table_13[[#This Row],[Quantity]])</f>
        <v>1008000</v>
      </c>
      <c r="P1389" s="27">
        <f t="shared" si="49"/>
        <v>252000</v>
      </c>
    </row>
    <row r="1390" spans="1:16" x14ac:dyDescent="0.2">
      <c r="A1390" s="33">
        <v>47064</v>
      </c>
      <c r="B1390" s="30">
        <f t="shared" si="48"/>
        <v>11</v>
      </c>
      <c r="C1390" s="30" t="str">
        <f>_xlfn.IFS(Table_13[[#This Row],[Month]]=1,"JAN",Table_13[[#This Row],[Month]]=2,"FEB",B1390=3,"MAR",B1390=4,"APR",B1390=5,"MAY",B1390=6,"JUN",B1390=7,"JUL",B1390=8,"AUG",Table_13[[#This Row],[Month]]=9,"SEPT",B1390=10,"OCT",B1390=11,"NOV",B1390=12,"DEC")</f>
        <v>NOV</v>
      </c>
      <c r="D1390" s="2" t="s">
        <v>11</v>
      </c>
      <c r="E1390" s="2" t="s">
        <v>32</v>
      </c>
      <c r="F1390" s="2" t="s">
        <v>13</v>
      </c>
      <c r="G1390" s="2" t="s">
        <v>20</v>
      </c>
      <c r="H1390" s="2" t="s">
        <v>36</v>
      </c>
      <c r="I1390" s="2" t="s">
        <v>31</v>
      </c>
      <c r="J1390" s="15">
        <v>150000</v>
      </c>
      <c r="K1390" s="2">
        <v>10</v>
      </c>
      <c r="L1390" s="2" t="s">
        <v>24</v>
      </c>
      <c r="M1390" s="12">
        <f t="shared" si="45"/>
        <v>120000</v>
      </c>
      <c r="N1390" s="10">
        <f>PRODUCT(Table_13[[#This Row],[Unit Price]],Table_13[[#This Row],[Quantity]])</f>
        <v>1500000</v>
      </c>
      <c r="O1390" s="16">
        <f>PRODUCT(Table_13[[#This Row],[Cost Price]],Table_13[[#This Row],[Quantity]])</f>
        <v>1200000</v>
      </c>
      <c r="P1390" s="27">
        <f t="shared" si="49"/>
        <v>300000</v>
      </c>
    </row>
    <row r="1391" spans="1:16" x14ac:dyDescent="0.2">
      <c r="A1391" s="33">
        <v>47065</v>
      </c>
      <c r="B1391" s="30">
        <f t="shared" si="48"/>
        <v>11</v>
      </c>
      <c r="C1391" s="30" t="str">
        <f>_xlfn.IFS(Table_13[[#This Row],[Month]]=1,"JAN",Table_13[[#This Row],[Month]]=2,"FEB",B1391=3,"MAR",B1391=4,"APR",B1391=5,"MAY",B1391=6,"JUN",B1391=7,"JUL",B1391=8,"AUG",Table_13[[#This Row],[Month]]=9,"SEPT",B1391=10,"OCT",B1391=11,"NOV",B1391=12,"DEC")</f>
        <v>NOV</v>
      </c>
      <c r="D1391" s="2" t="s">
        <v>11</v>
      </c>
      <c r="E1391" s="2" t="s">
        <v>32</v>
      </c>
      <c r="F1391" s="2" t="s">
        <v>23</v>
      </c>
      <c r="G1391" s="2" t="s">
        <v>14</v>
      </c>
      <c r="H1391" s="2" t="s">
        <v>30</v>
      </c>
      <c r="I1391" s="2" t="s">
        <v>31</v>
      </c>
      <c r="J1391" s="15">
        <v>300000</v>
      </c>
      <c r="K1391" s="2">
        <v>7</v>
      </c>
      <c r="L1391" s="2" t="s">
        <v>35</v>
      </c>
      <c r="M1391" s="12">
        <f t="shared" si="45"/>
        <v>240000</v>
      </c>
      <c r="N1391" s="10">
        <f>PRODUCT(Table_13[[#This Row],[Unit Price]],Table_13[[#This Row],[Quantity]])</f>
        <v>2100000</v>
      </c>
      <c r="O1391" s="16">
        <f>PRODUCT(Table_13[[#This Row],[Cost Price]],Table_13[[#This Row],[Quantity]])</f>
        <v>1680000</v>
      </c>
      <c r="P1391" s="27">
        <f t="shared" si="49"/>
        <v>420000</v>
      </c>
    </row>
    <row r="1392" spans="1:16" x14ac:dyDescent="0.2">
      <c r="A1392" s="33">
        <v>47066</v>
      </c>
      <c r="B1392" s="30">
        <f t="shared" si="48"/>
        <v>11</v>
      </c>
      <c r="C1392" s="30" t="str">
        <f>_xlfn.IFS(Table_13[[#This Row],[Month]]=1,"JAN",Table_13[[#This Row],[Month]]=2,"FEB",B1392=3,"MAR",B1392=4,"APR",B1392=5,"MAY",B1392=6,"JUN",B1392=7,"JUL",B1392=8,"AUG",Table_13[[#This Row],[Month]]=9,"SEPT",B1392=10,"OCT",B1392=11,"NOV",B1392=12,"DEC")</f>
        <v>NOV</v>
      </c>
      <c r="D1392" s="2" t="s">
        <v>29</v>
      </c>
      <c r="E1392" s="2" t="s">
        <v>19</v>
      </c>
      <c r="F1392" s="2" t="s">
        <v>13</v>
      </c>
      <c r="G1392" s="2" t="s">
        <v>20</v>
      </c>
      <c r="H1392" s="2" t="s">
        <v>41</v>
      </c>
      <c r="I1392" s="2" t="s">
        <v>22</v>
      </c>
      <c r="J1392" s="15">
        <v>220000</v>
      </c>
      <c r="K1392" s="2">
        <v>2</v>
      </c>
      <c r="L1392" s="2" t="s">
        <v>17</v>
      </c>
      <c r="M1392" s="12">
        <f t="shared" si="45"/>
        <v>176000</v>
      </c>
      <c r="N1392" s="10">
        <f>PRODUCT(Table_13[[#This Row],[Unit Price]],Table_13[[#This Row],[Quantity]])</f>
        <v>440000</v>
      </c>
      <c r="O1392" s="16">
        <f>PRODUCT(Table_13[[#This Row],[Cost Price]],Table_13[[#This Row],[Quantity]])</f>
        <v>352000</v>
      </c>
      <c r="P1392" s="27">
        <f t="shared" si="49"/>
        <v>88000</v>
      </c>
    </row>
    <row r="1393" spans="1:16" x14ac:dyDescent="0.2">
      <c r="A1393" s="33">
        <v>47067</v>
      </c>
      <c r="B1393" s="30">
        <f t="shared" si="48"/>
        <v>11</v>
      </c>
      <c r="C1393" s="30" t="str">
        <f>_xlfn.IFS(Table_13[[#This Row],[Month]]=1,"JAN",Table_13[[#This Row],[Month]]=2,"FEB",B1393=3,"MAR",B1393=4,"APR",B1393=5,"MAY",B1393=6,"JUN",B1393=7,"JUL",B1393=8,"AUG",Table_13[[#This Row],[Month]]=9,"SEPT",B1393=10,"OCT",B1393=11,"NOV",B1393=12,"DEC")</f>
        <v>NOV</v>
      </c>
      <c r="D1393" s="2" t="s">
        <v>18</v>
      </c>
      <c r="E1393" s="2" t="s">
        <v>12</v>
      </c>
      <c r="F1393" s="2" t="s">
        <v>13</v>
      </c>
      <c r="G1393" s="2" t="s">
        <v>20</v>
      </c>
      <c r="H1393" s="2" t="s">
        <v>15</v>
      </c>
      <c r="I1393" s="2" t="s">
        <v>16</v>
      </c>
      <c r="J1393" s="15">
        <v>85000</v>
      </c>
      <c r="K1393" s="2">
        <v>8</v>
      </c>
      <c r="L1393" s="2" t="s">
        <v>28</v>
      </c>
      <c r="M1393" s="12">
        <f t="shared" si="45"/>
        <v>68000</v>
      </c>
      <c r="N1393" s="10">
        <f>PRODUCT(Table_13[[#This Row],[Unit Price]],Table_13[[#This Row],[Quantity]])</f>
        <v>680000</v>
      </c>
      <c r="O1393" s="16">
        <f>PRODUCT(Table_13[[#This Row],[Cost Price]],Table_13[[#This Row],[Quantity]])</f>
        <v>544000</v>
      </c>
      <c r="P1393" s="27">
        <f t="shared" si="49"/>
        <v>136000</v>
      </c>
    </row>
    <row r="1394" spans="1:16" x14ac:dyDescent="0.2">
      <c r="A1394" s="33">
        <v>47068</v>
      </c>
      <c r="B1394" s="30">
        <f t="shared" si="48"/>
        <v>11</v>
      </c>
      <c r="C1394" s="30" t="str">
        <f>_xlfn.IFS(Table_13[[#This Row],[Month]]=1,"JAN",Table_13[[#This Row],[Month]]=2,"FEB",B1394=3,"MAR",B1394=4,"APR",B1394=5,"MAY",B1394=6,"JUN",B1394=7,"JUL",B1394=8,"AUG",Table_13[[#This Row],[Month]]=9,"SEPT",B1394=10,"OCT",B1394=11,"NOV",B1394=12,"DEC")</f>
        <v>NOV</v>
      </c>
      <c r="D1394" s="2" t="s">
        <v>11</v>
      </c>
      <c r="E1394" s="2" t="s">
        <v>19</v>
      </c>
      <c r="F1394" s="2" t="s">
        <v>13</v>
      </c>
      <c r="G1394" s="2" t="s">
        <v>14</v>
      </c>
      <c r="H1394" s="2" t="s">
        <v>41</v>
      </c>
      <c r="I1394" s="2" t="s">
        <v>22</v>
      </c>
      <c r="J1394" s="15">
        <v>220000</v>
      </c>
      <c r="K1394" s="2">
        <v>7</v>
      </c>
      <c r="L1394" s="2" t="s">
        <v>39</v>
      </c>
      <c r="M1394" s="12">
        <f t="shared" si="45"/>
        <v>176000</v>
      </c>
      <c r="N1394" s="10">
        <f>PRODUCT(Table_13[[#This Row],[Unit Price]],Table_13[[#This Row],[Quantity]])</f>
        <v>1540000</v>
      </c>
      <c r="O1394" s="16">
        <f>PRODUCT(Table_13[[#This Row],[Cost Price]],Table_13[[#This Row],[Quantity]])</f>
        <v>1232000</v>
      </c>
      <c r="P1394" s="27">
        <f t="shared" si="49"/>
        <v>308000</v>
      </c>
    </row>
    <row r="1395" spans="1:16" x14ac:dyDescent="0.2">
      <c r="A1395" s="33">
        <v>47069</v>
      </c>
      <c r="B1395" s="30">
        <f t="shared" si="48"/>
        <v>11</v>
      </c>
      <c r="C1395" s="30" t="str">
        <f>_xlfn.IFS(Table_13[[#This Row],[Month]]=1,"JAN",Table_13[[#This Row],[Month]]=2,"FEB",B1395=3,"MAR",B1395=4,"APR",B1395=5,"MAY",B1395=6,"JUN",B1395=7,"JUL",B1395=8,"AUG",Table_13[[#This Row],[Month]]=9,"SEPT",B1395=10,"OCT",B1395=11,"NOV",B1395=12,"DEC")</f>
        <v>NOV</v>
      </c>
      <c r="D1395" s="2" t="s">
        <v>29</v>
      </c>
      <c r="E1395" s="2" t="s">
        <v>32</v>
      </c>
      <c r="F1395" s="2" t="s">
        <v>13</v>
      </c>
      <c r="G1395" s="2" t="s">
        <v>20</v>
      </c>
      <c r="H1395" s="2" t="s">
        <v>41</v>
      </c>
      <c r="I1395" s="2" t="s">
        <v>22</v>
      </c>
      <c r="J1395" s="15">
        <v>220000</v>
      </c>
      <c r="K1395" s="2">
        <v>6</v>
      </c>
      <c r="L1395" s="2" t="s">
        <v>35</v>
      </c>
      <c r="M1395" s="12">
        <f t="shared" si="45"/>
        <v>176000</v>
      </c>
      <c r="N1395" s="10">
        <f>PRODUCT(Table_13[[#This Row],[Unit Price]],Table_13[[#This Row],[Quantity]])</f>
        <v>1320000</v>
      </c>
      <c r="O1395" s="16">
        <f>PRODUCT(Table_13[[#This Row],[Cost Price]],Table_13[[#This Row],[Quantity]])</f>
        <v>1056000</v>
      </c>
      <c r="P1395" s="27">
        <f t="shared" si="49"/>
        <v>264000</v>
      </c>
    </row>
    <row r="1396" spans="1:16" x14ac:dyDescent="0.2">
      <c r="A1396" s="33">
        <v>47070</v>
      </c>
      <c r="B1396" s="30">
        <f t="shared" si="48"/>
        <v>11</v>
      </c>
      <c r="C1396" s="30" t="str">
        <f>_xlfn.IFS(Table_13[[#This Row],[Month]]=1,"JAN",Table_13[[#This Row],[Month]]=2,"FEB",B1396=3,"MAR",B1396=4,"APR",B1396=5,"MAY",B1396=6,"JUN",B1396=7,"JUL",B1396=8,"AUG",Table_13[[#This Row],[Month]]=9,"SEPT",B1396=10,"OCT",B1396=11,"NOV",B1396=12,"DEC")</f>
        <v>NOV</v>
      </c>
      <c r="D1396" s="2" t="s">
        <v>29</v>
      </c>
      <c r="E1396" s="2" t="s">
        <v>12</v>
      </c>
      <c r="F1396" s="2" t="s">
        <v>13</v>
      </c>
      <c r="G1396" s="2" t="s">
        <v>20</v>
      </c>
      <c r="H1396" s="2" t="s">
        <v>33</v>
      </c>
      <c r="I1396" s="2" t="s">
        <v>22</v>
      </c>
      <c r="J1396" s="15">
        <v>180000</v>
      </c>
      <c r="K1396" s="2">
        <v>3</v>
      </c>
      <c r="L1396" s="2" t="s">
        <v>28</v>
      </c>
      <c r="M1396" s="12">
        <f t="shared" si="45"/>
        <v>144000</v>
      </c>
      <c r="N1396" s="10">
        <f>PRODUCT(Table_13[[#This Row],[Unit Price]],Table_13[[#This Row],[Quantity]])</f>
        <v>540000</v>
      </c>
      <c r="O1396" s="16">
        <f>PRODUCT(Table_13[[#This Row],[Cost Price]],Table_13[[#This Row],[Quantity]])</f>
        <v>432000</v>
      </c>
      <c r="P1396" s="27">
        <f t="shared" si="49"/>
        <v>108000</v>
      </c>
    </row>
    <row r="1397" spans="1:16" x14ac:dyDescent="0.2">
      <c r="A1397" s="33">
        <v>47071</v>
      </c>
      <c r="B1397" s="30">
        <f t="shared" si="48"/>
        <v>11</v>
      </c>
      <c r="C1397" s="30" t="str">
        <f>_xlfn.IFS(Table_13[[#This Row],[Month]]=1,"JAN",Table_13[[#This Row],[Month]]=2,"FEB",B1397=3,"MAR",B1397=4,"APR",B1397=5,"MAY",B1397=6,"JUN",B1397=7,"JUL",B1397=8,"AUG",Table_13[[#This Row],[Month]]=9,"SEPT",B1397=10,"OCT",B1397=11,"NOV",B1397=12,"DEC")</f>
        <v>NOV</v>
      </c>
      <c r="D1397" s="2" t="s">
        <v>25</v>
      </c>
      <c r="E1397" s="2" t="s">
        <v>19</v>
      </c>
      <c r="F1397" s="2" t="s">
        <v>13</v>
      </c>
      <c r="G1397" s="2" t="s">
        <v>14</v>
      </c>
      <c r="H1397" s="2" t="s">
        <v>40</v>
      </c>
      <c r="I1397" s="2" t="s">
        <v>31</v>
      </c>
      <c r="J1397" s="15">
        <v>250000</v>
      </c>
      <c r="K1397" s="2">
        <v>6</v>
      </c>
      <c r="L1397" s="2" t="s">
        <v>35</v>
      </c>
      <c r="M1397" s="12">
        <f t="shared" si="45"/>
        <v>200000</v>
      </c>
      <c r="N1397" s="10">
        <f>PRODUCT(Table_13[[#This Row],[Unit Price]],Table_13[[#This Row],[Quantity]])</f>
        <v>1500000</v>
      </c>
      <c r="O1397" s="16">
        <f>PRODUCT(Table_13[[#This Row],[Cost Price]],Table_13[[#This Row],[Quantity]])</f>
        <v>1200000</v>
      </c>
      <c r="P1397" s="27">
        <f t="shared" si="49"/>
        <v>300000</v>
      </c>
    </row>
    <row r="1398" spans="1:16" x14ac:dyDescent="0.2">
      <c r="A1398" s="33">
        <v>47072</v>
      </c>
      <c r="B1398" s="30">
        <f t="shared" si="48"/>
        <v>11</v>
      </c>
      <c r="C1398" s="30" t="str">
        <f>_xlfn.IFS(Table_13[[#This Row],[Month]]=1,"JAN",Table_13[[#This Row],[Month]]=2,"FEB",B1398=3,"MAR",B1398=4,"APR",B1398=5,"MAY",B1398=6,"JUN",B1398=7,"JUL",B1398=8,"AUG",Table_13[[#This Row],[Month]]=9,"SEPT",B1398=10,"OCT",B1398=11,"NOV",B1398=12,"DEC")</f>
        <v>NOV</v>
      </c>
      <c r="D1398" s="2" t="s">
        <v>11</v>
      </c>
      <c r="E1398" s="2" t="s">
        <v>26</v>
      </c>
      <c r="F1398" s="2" t="s">
        <v>23</v>
      </c>
      <c r="G1398" s="2" t="s">
        <v>20</v>
      </c>
      <c r="H1398" s="2" t="s">
        <v>36</v>
      </c>
      <c r="I1398" s="2" t="s">
        <v>31</v>
      </c>
      <c r="J1398" s="15">
        <v>150000</v>
      </c>
      <c r="K1398" s="2">
        <v>7</v>
      </c>
      <c r="L1398" s="2" t="s">
        <v>37</v>
      </c>
      <c r="M1398" s="12">
        <f t="shared" si="45"/>
        <v>120000</v>
      </c>
      <c r="N1398" s="10">
        <f>PRODUCT(Table_13[[#This Row],[Unit Price]],Table_13[[#This Row],[Quantity]])</f>
        <v>1050000</v>
      </c>
      <c r="O1398" s="16">
        <f>PRODUCT(Table_13[[#This Row],[Cost Price]],Table_13[[#This Row],[Quantity]])</f>
        <v>840000</v>
      </c>
      <c r="P1398" s="27">
        <f t="shared" si="49"/>
        <v>210000</v>
      </c>
    </row>
    <row r="1399" spans="1:16" x14ac:dyDescent="0.2">
      <c r="A1399" s="33">
        <v>47073</v>
      </c>
      <c r="B1399" s="30">
        <f t="shared" si="48"/>
        <v>11</v>
      </c>
      <c r="C1399" s="30" t="str">
        <f>_xlfn.IFS(Table_13[[#This Row],[Month]]=1,"JAN",Table_13[[#This Row],[Month]]=2,"FEB",B1399=3,"MAR",B1399=4,"APR",B1399=5,"MAY",B1399=6,"JUN",B1399=7,"JUL",B1399=8,"AUG",Table_13[[#This Row],[Month]]=9,"SEPT",B1399=10,"OCT",B1399=11,"NOV",B1399=12,"DEC")</f>
        <v>NOV</v>
      </c>
      <c r="D1399" s="2" t="s">
        <v>25</v>
      </c>
      <c r="E1399" s="2" t="s">
        <v>12</v>
      </c>
      <c r="F1399" s="2" t="s">
        <v>13</v>
      </c>
      <c r="G1399" s="2" t="s">
        <v>14</v>
      </c>
      <c r="H1399" s="2" t="s">
        <v>30</v>
      </c>
      <c r="I1399" s="2" t="s">
        <v>31</v>
      </c>
      <c r="J1399" s="15">
        <v>300000</v>
      </c>
      <c r="K1399" s="2">
        <v>9</v>
      </c>
      <c r="L1399" s="2" t="s">
        <v>17</v>
      </c>
      <c r="M1399" s="12">
        <f t="shared" si="45"/>
        <v>240000</v>
      </c>
      <c r="N1399" s="10">
        <f>PRODUCT(Table_13[[#This Row],[Unit Price]],Table_13[[#This Row],[Quantity]])</f>
        <v>2700000</v>
      </c>
      <c r="O1399" s="16">
        <f>PRODUCT(Table_13[[#This Row],[Cost Price]],Table_13[[#This Row],[Quantity]])</f>
        <v>2160000</v>
      </c>
      <c r="P1399" s="27">
        <f t="shared" si="49"/>
        <v>540000</v>
      </c>
    </row>
    <row r="1400" spans="1:16" x14ac:dyDescent="0.2">
      <c r="A1400" s="33">
        <v>47074</v>
      </c>
      <c r="B1400" s="30">
        <f t="shared" si="48"/>
        <v>11</v>
      </c>
      <c r="C1400" s="30" t="str">
        <f>_xlfn.IFS(Table_13[[#This Row],[Month]]=1,"JAN",Table_13[[#This Row],[Month]]=2,"FEB",B1400=3,"MAR",B1400=4,"APR",B1400=5,"MAY",B1400=6,"JUN",B1400=7,"JUL",B1400=8,"AUG",Table_13[[#This Row],[Month]]=9,"SEPT",B1400=10,"OCT",B1400=11,"NOV",B1400=12,"DEC")</f>
        <v>NOV</v>
      </c>
      <c r="D1400" s="2" t="s">
        <v>11</v>
      </c>
      <c r="E1400" s="2" t="s">
        <v>26</v>
      </c>
      <c r="F1400" s="2" t="s">
        <v>13</v>
      </c>
      <c r="G1400" s="2" t="s">
        <v>14</v>
      </c>
      <c r="H1400" s="2" t="s">
        <v>38</v>
      </c>
      <c r="I1400" s="2" t="s">
        <v>31</v>
      </c>
      <c r="J1400" s="15">
        <v>420000</v>
      </c>
      <c r="K1400" s="2">
        <v>5</v>
      </c>
      <c r="L1400" s="2" t="s">
        <v>28</v>
      </c>
      <c r="M1400" s="12">
        <f t="shared" si="45"/>
        <v>336000</v>
      </c>
      <c r="N1400" s="10">
        <f>PRODUCT(Table_13[[#This Row],[Unit Price]],Table_13[[#This Row],[Quantity]])</f>
        <v>2100000</v>
      </c>
      <c r="O1400" s="16">
        <f>PRODUCT(Table_13[[#This Row],[Cost Price]],Table_13[[#This Row],[Quantity]])</f>
        <v>1680000</v>
      </c>
      <c r="P1400" s="27">
        <f t="shared" si="49"/>
        <v>420000</v>
      </c>
    </row>
    <row r="1401" spans="1:16" x14ac:dyDescent="0.2">
      <c r="A1401" s="33">
        <v>47075</v>
      </c>
      <c r="B1401" s="30">
        <f t="shared" si="48"/>
        <v>11</v>
      </c>
      <c r="C1401" s="30" t="str">
        <f>_xlfn.IFS(Table_13[[#This Row],[Month]]=1,"JAN",Table_13[[#This Row],[Month]]=2,"FEB",B1401=3,"MAR",B1401=4,"APR",B1401=5,"MAY",B1401=6,"JUN",B1401=7,"JUL",B1401=8,"AUG",Table_13[[#This Row],[Month]]=9,"SEPT",B1401=10,"OCT",B1401=11,"NOV",B1401=12,"DEC")</f>
        <v>NOV</v>
      </c>
      <c r="D1401" s="2" t="s">
        <v>25</v>
      </c>
      <c r="E1401" s="2" t="s">
        <v>12</v>
      </c>
      <c r="F1401" s="2" t="s">
        <v>13</v>
      </c>
      <c r="G1401" s="2" t="s">
        <v>20</v>
      </c>
      <c r="H1401" s="2" t="s">
        <v>30</v>
      </c>
      <c r="I1401" s="2" t="s">
        <v>31</v>
      </c>
      <c r="J1401" s="15">
        <v>300000</v>
      </c>
      <c r="K1401" s="2">
        <v>3</v>
      </c>
      <c r="L1401" s="2" t="s">
        <v>28</v>
      </c>
      <c r="M1401" s="12">
        <f t="shared" si="45"/>
        <v>240000</v>
      </c>
      <c r="N1401" s="10">
        <f>PRODUCT(Table_13[[#This Row],[Unit Price]],Table_13[[#This Row],[Quantity]])</f>
        <v>900000</v>
      </c>
      <c r="O1401" s="16">
        <f>PRODUCT(Table_13[[#This Row],[Cost Price]],Table_13[[#This Row],[Quantity]])</f>
        <v>720000</v>
      </c>
      <c r="P1401" s="27">
        <f t="shared" si="49"/>
        <v>180000</v>
      </c>
    </row>
    <row r="1402" spans="1:16" x14ac:dyDescent="0.2">
      <c r="A1402" s="33">
        <v>47076</v>
      </c>
      <c r="B1402" s="30">
        <f t="shared" si="48"/>
        <v>11</v>
      </c>
      <c r="C1402" s="30" t="str">
        <f>_xlfn.IFS(Table_13[[#This Row],[Month]]=1,"JAN",Table_13[[#This Row],[Month]]=2,"FEB",B1402=3,"MAR",B1402=4,"APR",B1402=5,"MAY",B1402=6,"JUN",B1402=7,"JUL",B1402=8,"AUG",Table_13[[#This Row],[Month]]=9,"SEPT",B1402=10,"OCT",B1402=11,"NOV",B1402=12,"DEC")</f>
        <v>NOV</v>
      </c>
      <c r="D1402" s="2" t="s">
        <v>18</v>
      </c>
      <c r="E1402" s="2" t="s">
        <v>12</v>
      </c>
      <c r="F1402" s="2" t="s">
        <v>23</v>
      </c>
      <c r="G1402" s="2" t="s">
        <v>20</v>
      </c>
      <c r="H1402" s="2" t="s">
        <v>40</v>
      </c>
      <c r="I1402" s="2" t="s">
        <v>31</v>
      </c>
      <c r="J1402" s="15">
        <v>250000</v>
      </c>
      <c r="K1402" s="2">
        <v>5</v>
      </c>
      <c r="L1402" s="2" t="s">
        <v>17</v>
      </c>
      <c r="M1402" s="12">
        <f t="shared" si="45"/>
        <v>200000</v>
      </c>
      <c r="N1402" s="10">
        <f>PRODUCT(Table_13[[#This Row],[Unit Price]],Table_13[[#This Row],[Quantity]])</f>
        <v>1250000</v>
      </c>
      <c r="O1402" s="16">
        <f>PRODUCT(Table_13[[#This Row],[Cost Price]],Table_13[[#This Row],[Quantity]])</f>
        <v>1000000</v>
      </c>
      <c r="P1402" s="27">
        <f t="shared" si="49"/>
        <v>250000</v>
      </c>
    </row>
    <row r="1403" spans="1:16" x14ac:dyDescent="0.2">
      <c r="A1403" s="33">
        <v>47077</v>
      </c>
      <c r="B1403" s="30">
        <f t="shared" si="48"/>
        <v>11</v>
      </c>
      <c r="C1403" s="30" t="str">
        <f>_xlfn.IFS(Table_13[[#This Row],[Month]]=1,"JAN",Table_13[[#This Row],[Month]]=2,"FEB",B1403=3,"MAR",B1403=4,"APR",B1403=5,"MAY",B1403=6,"JUN",B1403=7,"JUL",B1403=8,"AUG",Table_13[[#This Row],[Month]]=9,"SEPT",B1403=10,"OCT",B1403=11,"NOV",B1403=12,"DEC")</f>
        <v>NOV</v>
      </c>
      <c r="D1403" s="2" t="s">
        <v>11</v>
      </c>
      <c r="E1403" s="2" t="s">
        <v>32</v>
      </c>
      <c r="F1403" s="2" t="s">
        <v>23</v>
      </c>
      <c r="G1403" s="2" t="s">
        <v>20</v>
      </c>
      <c r="H1403" s="2" t="s">
        <v>36</v>
      </c>
      <c r="I1403" s="2" t="s">
        <v>31</v>
      </c>
      <c r="J1403" s="15">
        <v>150000</v>
      </c>
      <c r="K1403" s="2">
        <v>2</v>
      </c>
      <c r="L1403" s="2" t="s">
        <v>35</v>
      </c>
      <c r="M1403" s="12">
        <f t="shared" si="45"/>
        <v>120000</v>
      </c>
      <c r="N1403" s="10">
        <f>PRODUCT(Table_13[[#This Row],[Unit Price]],Table_13[[#This Row],[Quantity]])</f>
        <v>300000</v>
      </c>
      <c r="O1403" s="16">
        <f>PRODUCT(Table_13[[#This Row],[Cost Price]],Table_13[[#This Row],[Quantity]])</f>
        <v>240000</v>
      </c>
      <c r="P1403" s="27">
        <f t="shared" si="49"/>
        <v>60000</v>
      </c>
    </row>
    <row r="1404" spans="1:16" x14ac:dyDescent="0.2">
      <c r="A1404" s="33">
        <v>47078</v>
      </c>
      <c r="B1404" s="30">
        <f t="shared" si="48"/>
        <v>11</v>
      </c>
      <c r="C1404" s="30" t="str">
        <f>_xlfn.IFS(Table_13[[#This Row],[Month]]=1,"JAN",Table_13[[#This Row],[Month]]=2,"FEB",B1404=3,"MAR",B1404=4,"APR",B1404=5,"MAY",B1404=6,"JUN",B1404=7,"JUL",B1404=8,"AUG",Table_13[[#This Row],[Month]]=9,"SEPT",B1404=10,"OCT",B1404=11,"NOV",B1404=12,"DEC")</f>
        <v>NOV</v>
      </c>
      <c r="D1404" s="2" t="s">
        <v>18</v>
      </c>
      <c r="E1404" s="2" t="s">
        <v>19</v>
      </c>
      <c r="F1404" s="2" t="s">
        <v>23</v>
      </c>
      <c r="G1404" s="2" t="s">
        <v>14</v>
      </c>
      <c r="H1404" s="2" t="s">
        <v>41</v>
      </c>
      <c r="I1404" s="2" t="s">
        <v>22</v>
      </c>
      <c r="J1404" s="15">
        <v>220000</v>
      </c>
      <c r="K1404" s="2">
        <v>3</v>
      </c>
      <c r="L1404" s="2" t="s">
        <v>39</v>
      </c>
      <c r="M1404" s="12">
        <f t="shared" si="45"/>
        <v>176000</v>
      </c>
      <c r="N1404" s="10">
        <f>PRODUCT(Table_13[[#This Row],[Unit Price]],Table_13[[#This Row],[Quantity]])</f>
        <v>660000</v>
      </c>
      <c r="O1404" s="16">
        <f>PRODUCT(Table_13[[#This Row],[Cost Price]],Table_13[[#This Row],[Quantity]])</f>
        <v>528000</v>
      </c>
      <c r="P1404" s="27">
        <f t="shared" si="49"/>
        <v>132000</v>
      </c>
    </row>
    <row r="1405" spans="1:16" x14ac:dyDescent="0.2">
      <c r="A1405" s="33">
        <v>47079</v>
      </c>
      <c r="B1405" s="30">
        <f t="shared" si="48"/>
        <v>11</v>
      </c>
      <c r="C1405" s="30" t="str">
        <f>_xlfn.IFS(Table_13[[#This Row],[Month]]=1,"JAN",Table_13[[#This Row],[Month]]=2,"FEB",B1405=3,"MAR",B1405=4,"APR",B1405=5,"MAY",B1405=6,"JUN",B1405=7,"JUL",B1405=8,"AUG",Table_13[[#This Row],[Month]]=9,"SEPT",B1405=10,"OCT",B1405=11,"NOV",B1405=12,"DEC")</f>
        <v>NOV</v>
      </c>
      <c r="D1405" s="2" t="s">
        <v>18</v>
      </c>
      <c r="E1405" s="2" t="s">
        <v>19</v>
      </c>
      <c r="F1405" s="2" t="s">
        <v>23</v>
      </c>
      <c r="G1405" s="2" t="s">
        <v>20</v>
      </c>
      <c r="H1405" s="2" t="s">
        <v>30</v>
      </c>
      <c r="I1405" s="2" t="s">
        <v>31</v>
      </c>
      <c r="J1405" s="15">
        <v>300000</v>
      </c>
      <c r="K1405" s="2">
        <v>6</v>
      </c>
      <c r="L1405" s="2" t="s">
        <v>24</v>
      </c>
      <c r="M1405" s="12">
        <f t="shared" si="45"/>
        <v>240000</v>
      </c>
      <c r="N1405" s="10">
        <f>PRODUCT(Table_13[[#This Row],[Unit Price]],Table_13[[#This Row],[Quantity]])</f>
        <v>1800000</v>
      </c>
      <c r="O1405" s="16">
        <f>PRODUCT(Table_13[[#This Row],[Cost Price]],Table_13[[#This Row],[Quantity]])</f>
        <v>1440000</v>
      </c>
      <c r="P1405" s="27">
        <f t="shared" si="49"/>
        <v>360000</v>
      </c>
    </row>
    <row r="1406" spans="1:16" x14ac:dyDescent="0.2">
      <c r="A1406" s="33">
        <v>47080</v>
      </c>
      <c r="B1406" s="30">
        <f t="shared" si="48"/>
        <v>11</v>
      </c>
      <c r="C1406" s="30" t="str">
        <f>_xlfn.IFS(Table_13[[#This Row],[Month]]=1,"JAN",Table_13[[#This Row],[Month]]=2,"FEB",B1406=3,"MAR",B1406=4,"APR",B1406=5,"MAY",B1406=6,"JUN",B1406=7,"JUL",B1406=8,"AUG",Table_13[[#This Row],[Month]]=9,"SEPT",B1406=10,"OCT",B1406=11,"NOV",B1406=12,"DEC")</f>
        <v>NOV</v>
      </c>
      <c r="D1406" s="2" t="s">
        <v>25</v>
      </c>
      <c r="E1406" s="2" t="s">
        <v>19</v>
      </c>
      <c r="F1406" s="2" t="s">
        <v>13</v>
      </c>
      <c r="G1406" s="2" t="s">
        <v>20</v>
      </c>
      <c r="H1406" s="2" t="s">
        <v>33</v>
      </c>
      <c r="I1406" s="2" t="s">
        <v>22</v>
      </c>
      <c r="J1406" s="15">
        <v>180000</v>
      </c>
      <c r="K1406" s="2">
        <v>2</v>
      </c>
      <c r="L1406" s="2" t="s">
        <v>39</v>
      </c>
      <c r="M1406" s="12">
        <f t="shared" si="45"/>
        <v>144000</v>
      </c>
      <c r="N1406" s="10">
        <f>PRODUCT(Table_13[[#This Row],[Unit Price]],Table_13[[#This Row],[Quantity]])</f>
        <v>360000</v>
      </c>
      <c r="O1406" s="16">
        <f>PRODUCT(Table_13[[#This Row],[Cost Price]],Table_13[[#This Row],[Quantity]])</f>
        <v>288000</v>
      </c>
      <c r="P1406" s="27">
        <f t="shared" si="49"/>
        <v>72000</v>
      </c>
    </row>
    <row r="1407" spans="1:16" x14ac:dyDescent="0.2">
      <c r="A1407" s="33">
        <v>47081</v>
      </c>
      <c r="B1407" s="30">
        <f t="shared" si="48"/>
        <v>11</v>
      </c>
      <c r="C1407" s="30" t="str">
        <f>_xlfn.IFS(Table_13[[#This Row],[Month]]=1,"JAN",Table_13[[#This Row],[Month]]=2,"FEB",B1407=3,"MAR",B1407=4,"APR",B1407=5,"MAY",B1407=6,"JUN",B1407=7,"JUL",B1407=8,"AUG",Table_13[[#This Row],[Month]]=9,"SEPT",B1407=10,"OCT",B1407=11,"NOV",B1407=12,"DEC")</f>
        <v>NOV</v>
      </c>
      <c r="D1407" s="2" t="s">
        <v>18</v>
      </c>
      <c r="E1407" s="2" t="s">
        <v>32</v>
      </c>
      <c r="F1407" s="2" t="s">
        <v>13</v>
      </c>
      <c r="G1407" s="2" t="s">
        <v>14</v>
      </c>
      <c r="H1407" s="2" t="s">
        <v>36</v>
      </c>
      <c r="I1407" s="2" t="s">
        <v>31</v>
      </c>
      <c r="J1407" s="15">
        <v>150000</v>
      </c>
      <c r="K1407" s="2">
        <v>5</v>
      </c>
      <c r="L1407" s="2" t="s">
        <v>37</v>
      </c>
      <c r="M1407" s="12">
        <f t="shared" si="45"/>
        <v>120000</v>
      </c>
      <c r="N1407" s="10">
        <f>PRODUCT(Table_13[[#This Row],[Unit Price]],Table_13[[#This Row],[Quantity]])</f>
        <v>750000</v>
      </c>
      <c r="O1407" s="16">
        <f>PRODUCT(Table_13[[#This Row],[Cost Price]],Table_13[[#This Row],[Quantity]])</f>
        <v>600000</v>
      </c>
      <c r="P1407" s="27">
        <f t="shared" si="49"/>
        <v>150000</v>
      </c>
    </row>
    <row r="1408" spans="1:16" x14ac:dyDescent="0.2">
      <c r="A1408" s="33">
        <v>47082</v>
      </c>
      <c r="B1408" s="30">
        <f t="shared" si="48"/>
        <v>11</v>
      </c>
      <c r="C1408" s="30" t="str">
        <f>_xlfn.IFS(Table_13[[#This Row],[Month]]=1,"JAN",Table_13[[#This Row],[Month]]=2,"FEB",B1408=3,"MAR",B1408=4,"APR",B1408=5,"MAY",B1408=6,"JUN",B1408=7,"JUL",B1408=8,"AUG",Table_13[[#This Row],[Month]]=9,"SEPT",B1408=10,"OCT",B1408=11,"NOV",B1408=12,"DEC")</f>
        <v>NOV</v>
      </c>
      <c r="D1408" s="2" t="s">
        <v>18</v>
      </c>
      <c r="E1408" s="2" t="s">
        <v>26</v>
      </c>
      <c r="F1408" s="2" t="s">
        <v>23</v>
      </c>
      <c r="G1408" s="2" t="s">
        <v>20</v>
      </c>
      <c r="H1408" s="2" t="s">
        <v>15</v>
      </c>
      <c r="I1408" s="2" t="s">
        <v>16</v>
      </c>
      <c r="J1408" s="15">
        <v>85000</v>
      </c>
      <c r="K1408" s="2">
        <v>1</v>
      </c>
      <c r="L1408" s="2" t="s">
        <v>37</v>
      </c>
      <c r="M1408" s="12">
        <f t="shared" si="45"/>
        <v>68000</v>
      </c>
      <c r="N1408" s="10">
        <f>PRODUCT(Table_13[[#This Row],[Unit Price]],Table_13[[#This Row],[Quantity]])</f>
        <v>85000</v>
      </c>
      <c r="O1408" s="16">
        <f>PRODUCT(Table_13[[#This Row],[Cost Price]],Table_13[[#This Row],[Quantity]])</f>
        <v>68000</v>
      </c>
      <c r="P1408" s="27">
        <f t="shared" si="49"/>
        <v>17000</v>
      </c>
    </row>
    <row r="1409" spans="1:16" x14ac:dyDescent="0.2">
      <c r="A1409" s="33">
        <v>47083</v>
      </c>
      <c r="B1409" s="30">
        <f t="shared" si="48"/>
        <v>11</v>
      </c>
      <c r="C1409" s="30" t="str">
        <f>_xlfn.IFS(Table_13[[#This Row],[Month]]=1,"JAN",Table_13[[#This Row],[Month]]=2,"FEB",B1409=3,"MAR",B1409=4,"APR",B1409=5,"MAY",B1409=6,"JUN",B1409=7,"JUL",B1409=8,"AUG",Table_13[[#This Row],[Month]]=9,"SEPT",B1409=10,"OCT",B1409=11,"NOV",B1409=12,"DEC")</f>
        <v>NOV</v>
      </c>
      <c r="D1409" s="2" t="s">
        <v>11</v>
      </c>
      <c r="E1409" s="2" t="s">
        <v>12</v>
      </c>
      <c r="F1409" s="2" t="s">
        <v>13</v>
      </c>
      <c r="G1409" s="2" t="s">
        <v>14</v>
      </c>
      <c r="H1409" s="2" t="s">
        <v>21</v>
      </c>
      <c r="I1409" s="2" t="s">
        <v>22</v>
      </c>
      <c r="J1409" s="15">
        <v>30000</v>
      </c>
      <c r="K1409" s="2">
        <v>1</v>
      </c>
      <c r="L1409" s="2" t="s">
        <v>35</v>
      </c>
      <c r="M1409" s="12">
        <f t="shared" si="45"/>
        <v>24000</v>
      </c>
      <c r="N1409" s="10">
        <f>PRODUCT(Table_13[[#This Row],[Unit Price]],Table_13[[#This Row],[Quantity]])</f>
        <v>30000</v>
      </c>
      <c r="O1409" s="16">
        <f>PRODUCT(Table_13[[#This Row],[Cost Price]],Table_13[[#This Row],[Quantity]])</f>
        <v>24000</v>
      </c>
      <c r="P1409" s="27">
        <f t="shared" si="49"/>
        <v>6000</v>
      </c>
    </row>
    <row r="1410" spans="1:16" x14ac:dyDescent="0.2">
      <c r="A1410" s="33">
        <v>47084</v>
      </c>
      <c r="B1410" s="30">
        <f t="shared" ref="B1410:B1473" si="50">MONTH(A1410)</f>
        <v>11</v>
      </c>
      <c r="C1410" s="30" t="str">
        <f>_xlfn.IFS(Table_13[[#This Row],[Month]]=1,"JAN",Table_13[[#This Row],[Month]]=2,"FEB",B1410=3,"MAR",B1410=4,"APR",B1410=5,"MAY",B1410=6,"JUN",B1410=7,"JUL",B1410=8,"AUG",Table_13[[#This Row],[Month]]=9,"SEPT",B1410=10,"OCT",B1410=11,"NOV",B1410=12,"DEC")</f>
        <v>NOV</v>
      </c>
      <c r="D1410" s="2" t="s">
        <v>18</v>
      </c>
      <c r="E1410" s="2" t="s">
        <v>19</v>
      </c>
      <c r="F1410" s="2" t="s">
        <v>13</v>
      </c>
      <c r="G1410" s="2" t="s">
        <v>20</v>
      </c>
      <c r="H1410" s="2" t="s">
        <v>15</v>
      </c>
      <c r="I1410" s="2" t="s">
        <v>16</v>
      </c>
      <c r="J1410" s="15">
        <v>85000</v>
      </c>
      <c r="K1410" s="2">
        <v>1</v>
      </c>
      <c r="L1410" s="2" t="s">
        <v>37</v>
      </c>
      <c r="M1410" s="12">
        <f t="shared" si="45"/>
        <v>68000</v>
      </c>
      <c r="N1410" s="10">
        <f>PRODUCT(Table_13[[#This Row],[Unit Price]],Table_13[[#This Row],[Quantity]])</f>
        <v>85000</v>
      </c>
      <c r="O1410" s="16">
        <f>PRODUCT(Table_13[[#This Row],[Cost Price]],Table_13[[#This Row],[Quantity]])</f>
        <v>68000</v>
      </c>
      <c r="P1410" s="27">
        <f t="shared" ref="P1410:P1473" si="51">N1410-O1410</f>
        <v>17000</v>
      </c>
    </row>
    <row r="1411" spans="1:16" x14ac:dyDescent="0.2">
      <c r="A1411" s="33">
        <v>47085</v>
      </c>
      <c r="B1411" s="30">
        <f t="shared" si="50"/>
        <v>11</v>
      </c>
      <c r="C1411" s="30" t="str">
        <f>_xlfn.IFS(Table_13[[#This Row],[Month]]=1,"JAN",Table_13[[#This Row],[Month]]=2,"FEB",B1411=3,"MAR",B1411=4,"APR",B1411=5,"MAY",B1411=6,"JUN",B1411=7,"JUL",B1411=8,"AUG",Table_13[[#This Row],[Month]]=9,"SEPT",B1411=10,"OCT",B1411=11,"NOV",B1411=12,"DEC")</f>
        <v>NOV</v>
      </c>
      <c r="D1411" s="2" t="s">
        <v>25</v>
      </c>
      <c r="E1411" s="2" t="s">
        <v>19</v>
      </c>
      <c r="F1411" s="2" t="s">
        <v>13</v>
      </c>
      <c r="G1411" s="2" t="s">
        <v>20</v>
      </c>
      <c r="H1411" s="2" t="s">
        <v>21</v>
      </c>
      <c r="I1411" s="2" t="s">
        <v>22</v>
      </c>
      <c r="J1411" s="15">
        <v>30000</v>
      </c>
      <c r="K1411" s="2">
        <v>2</v>
      </c>
      <c r="L1411" s="2" t="s">
        <v>37</v>
      </c>
      <c r="M1411" s="12">
        <f t="shared" si="45"/>
        <v>24000</v>
      </c>
      <c r="N1411" s="10">
        <f>PRODUCT(Table_13[[#This Row],[Unit Price]],Table_13[[#This Row],[Quantity]])</f>
        <v>60000</v>
      </c>
      <c r="O1411" s="16">
        <f>PRODUCT(Table_13[[#This Row],[Cost Price]],Table_13[[#This Row],[Quantity]])</f>
        <v>48000</v>
      </c>
      <c r="P1411" s="27">
        <f t="shared" si="51"/>
        <v>12000</v>
      </c>
    </row>
    <row r="1412" spans="1:16" x14ac:dyDescent="0.2">
      <c r="A1412" s="33">
        <v>47086</v>
      </c>
      <c r="B1412" s="30">
        <f t="shared" si="50"/>
        <v>11</v>
      </c>
      <c r="C1412" s="30" t="str">
        <f>_xlfn.IFS(Table_13[[#This Row],[Month]]=1,"JAN",Table_13[[#This Row],[Month]]=2,"FEB",B1412=3,"MAR",B1412=4,"APR",B1412=5,"MAY",B1412=6,"JUN",B1412=7,"JUL",B1412=8,"AUG",Table_13[[#This Row],[Month]]=9,"SEPT",B1412=10,"OCT",B1412=11,"NOV",B1412=12,"DEC")</f>
        <v>NOV</v>
      </c>
      <c r="D1412" s="2" t="s">
        <v>18</v>
      </c>
      <c r="E1412" s="2" t="s">
        <v>12</v>
      </c>
      <c r="F1412" s="2" t="s">
        <v>13</v>
      </c>
      <c r="G1412" s="2" t="s">
        <v>20</v>
      </c>
      <c r="H1412" s="2" t="s">
        <v>38</v>
      </c>
      <c r="I1412" s="2" t="s">
        <v>31</v>
      </c>
      <c r="J1412" s="15">
        <v>420000</v>
      </c>
      <c r="K1412" s="2">
        <v>3</v>
      </c>
      <c r="L1412" s="2" t="s">
        <v>17</v>
      </c>
      <c r="M1412" s="12">
        <f t="shared" si="45"/>
        <v>336000</v>
      </c>
      <c r="N1412" s="10">
        <f>PRODUCT(Table_13[[#This Row],[Unit Price]],Table_13[[#This Row],[Quantity]])</f>
        <v>1260000</v>
      </c>
      <c r="O1412" s="16">
        <f>PRODUCT(Table_13[[#This Row],[Cost Price]],Table_13[[#This Row],[Quantity]])</f>
        <v>1008000</v>
      </c>
      <c r="P1412" s="27">
        <f t="shared" si="51"/>
        <v>252000</v>
      </c>
    </row>
    <row r="1413" spans="1:16" x14ac:dyDescent="0.2">
      <c r="A1413" s="33">
        <v>47087</v>
      </c>
      <c r="B1413" s="30">
        <f t="shared" si="50"/>
        <v>11</v>
      </c>
      <c r="C1413" s="30" t="str">
        <f>_xlfn.IFS(Table_13[[#This Row],[Month]]=1,"JAN",Table_13[[#This Row],[Month]]=2,"FEB",B1413=3,"MAR",B1413=4,"APR",B1413=5,"MAY",B1413=6,"JUN",B1413=7,"JUL",B1413=8,"AUG",Table_13[[#This Row],[Month]]=9,"SEPT",B1413=10,"OCT",B1413=11,"NOV",B1413=12,"DEC")</f>
        <v>NOV</v>
      </c>
      <c r="D1413" s="2" t="s">
        <v>11</v>
      </c>
      <c r="E1413" s="2" t="s">
        <v>19</v>
      </c>
      <c r="F1413" s="2" t="s">
        <v>13</v>
      </c>
      <c r="G1413" s="2" t="s">
        <v>20</v>
      </c>
      <c r="H1413" s="2" t="s">
        <v>21</v>
      </c>
      <c r="I1413" s="2" t="s">
        <v>22</v>
      </c>
      <c r="J1413" s="15">
        <v>30000</v>
      </c>
      <c r="K1413" s="2">
        <v>2</v>
      </c>
      <c r="L1413" s="2" t="s">
        <v>35</v>
      </c>
      <c r="M1413" s="12">
        <f t="shared" si="45"/>
        <v>24000</v>
      </c>
      <c r="N1413" s="10">
        <f>PRODUCT(Table_13[[#This Row],[Unit Price]],Table_13[[#This Row],[Quantity]])</f>
        <v>60000</v>
      </c>
      <c r="O1413" s="16">
        <f>PRODUCT(Table_13[[#This Row],[Cost Price]],Table_13[[#This Row],[Quantity]])</f>
        <v>48000</v>
      </c>
      <c r="P1413" s="27">
        <f t="shared" si="51"/>
        <v>12000</v>
      </c>
    </row>
    <row r="1414" spans="1:16" x14ac:dyDescent="0.2">
      <c r="A1414" s="33">
        <v>47088</v>
      </c>
      <c r="B1414" s="30">
        <f t="shared" si="50"/>
        <v>12</v>
      </c>
      <c r="C1414" s="30" t="str">
        <f>_xlfn.IFS(Table_13[[#This Row],[Month]]=1,"JAN",Table_13[[#This Row],[Month]]=2,"FEB",B1414=3,"MAR",B1414=4,"APR",B1414=5,"MAY",B1414=6,"JUN",B1414=7,"JUL",B1414=8,"AUG",Table_13[[#This Row],[Month]]=9,"SEPT",B1414=10,"OCT",B1414=11,"NOV",B1414=12,"DEC")</f>
        <v>DEC</v>
      </c>
      <c r="D1414" s="2" t="s">
        <v>25</v>
      </c>
      <c r="E1414" s="2" t="s">
        <v>32</v>
      </c>
      <c r="F1414" s="2" t="s">
        <v>13</v>
      </c>
      <c r="G1414" s="2" t="s">
        <v>20</v>
      </c>
      <c r="H1414" s="2" t="s">
        <v>30</v>
      </c>
      <c r="I1414" s="2" t="s">
        <v>31</v>
      </c>
      <c r="J1414" s="15">
        <v>300000</v>
      </c>
      <c r="K1414" s="2">
        <v>9</v>
      </c>
      <c r="L1414" s="2" t="s">
        <v>28</v>
      </c>
      <c r="M1414" s="12">
        <f t="shared" si="45"/>
        <v>240000</v>
      </c>
      <c r="N1414" s="10">
        <f>PRODUCT(Table_13[[#This Row],[Unit Price]],Table_13[[#This Row],[Quantity]])</f>
        <v>2700000</v>
      </c>
      <c r="O1414" s="16">
        <f>PRODUCT(Table_13[[#This Row],[Cost Price]],Table_13[[#This Row],[Quantity]])</f>
        <v>2160000</v>
      </c>
      <c r="P1414" s="27">
        <f t="shared" si="51"/>
        <v>540000</v>
      </c>
    </row>
    <row r="1415" spans="1:16" x14ac:dyDescent="0.2">
      <c r="A1415" s="33">
        <v>47089</v>
      </c>
      <c r="B1415" s="30">
        <f t="shared" si="50"/>
        <v>12</v>
      </c>
      <c r="C1415" s="30" t="str">
        <f>_xlfn.IFS(Table_13[[#This Row],[Month]]=1,"JAN",Table_13[[#This Row],[Month]]=2,"FEB",B1415=3,"MAR",B1415=4,"APR",B1415=5,"MAY",B1415=6,"JUN",B1415=7,"JUL",B1415=8,"AUG",Table_13[[#This Row],[Month]]=9,"SEPT",B1415=10,"OCT",B1415=11,"NOV",B1415=12,"DEC")</f>
        <v>DEC</v>
      </c>
      <c r="D1415" s="2" t="s">
        <v>18</v>
      </c>
      <c r="E1415" s="2" t="s">
        <v>26</v>
      </c>
      <c r="F1415" s="2" t="s">
        <v>23</v>
      </c>
      <c r="G1415" s="2" t="s">
        <v>20</v>
      </c>
      <c r="H1415" s="2" t="s">
        <v>36</v>
      </c>
      <c r="I1415" s="2" t="s">
        <v>31</v>
      </c>
      <c r="J1415" s="15">
        <v>150000</v>
      </c>
      <c r="K1415" s="2">
        <v>4</v>
      </c>
      <c r="L1415" s="2" t="s">
        <v>35</v>
      </c>
      <c r="M1415" s="12">
        <f t="shared" si="45"/>
        <v>120000</v>
      </c>
      <c r="N1415" s="10">
        <f>PRODUCT(Table_13[[#This Row],[Unit Price]],Table_13[[#This Row],[Quantity]])</f>
        <v>600000</v>
      </c>
      <c r="O1415" s="16">
        <f>PRODUCT(Table_13[[#This Row],[Cost Price]],Table_13[[#This Row],[Quantity]])</f>
        <v>480000</v>
      </c>
      <c r="P1415" s="27">
        <f t="shared" si="51"/>
        <v>120000</v>
      </c>
    </row>
    <row r="1416" spans="1:16" x14ac:dyDescent="0.2">
      <c r="A1416" s="33">
        <v>47090</v>
      </c>
      <c r="B1416" s="30">
        <f t="shared" si="50"/>
        <v>12</v>
      </c>
      <c r="C1416" s="30" t="str">
        <f>_xlfn.IFS(Table_13[[#This Row],[Month]]=1,"JAN",Table_13[[#This Row],[Month]]=2,"FEB",B1416=3,"MAR",B1416=4,"APR",B1416=5,"MAY",B1416=6,"JUN",B1416=7,"JUL",B1416=8,"AUG",Table_13[[#This Row],[Month]]=9,"SEPT",B1416=10,"OCT",B1416=11,"NOV",B1416=12,"DEC")</f>
        <v>DEC</v>
      </c>
      <c r="D1416" s="2" t="s">
        <v>18</v>
      </c>
      <c r="E1416" s="2" t="s">
        <v>12</v>
      </c>
      <c r="F1416" s="2" t="s">
        <v>13</v>
      </c>
      <c r="G1416" s="2" t="s">
        <v>20</v>
      </c>
      <c r="H1416" s="2" t="s">
        <v>41</v>
      </c>
      <c r="I1416" s="2" t="s">
        <v>22</v>
      </c>
      <c r="J1416" s="15">
        <v>220000</v>
      </c>
      <c r="K1416" s="2">
        <v>2</v>
      </c>
      <c r="L1416" s="2" t="s">
        <v>39</v>
      </c>
      <c r="M1416" s="12">
        <f t="shared" si="45"/>
        <v>176000</v>
      </c>
      <c r="N1416" s="10">
        <f>PRODUCT(Table_13[[#This Row],[Unit Price]],Table_13[[#This Row],[Quantity]])</f>
        <v>440000</v>
      </c>
      <c r="O1416" s="16">
        <f>PRODUCT(Table_13[[#This Row],[Cost Price]],Table_13[[#This Row],[Quantity]])</f>
        <v>352000</v>
      </c>
      <c r="P1416" s="27">
        <f t="shared" si="51"/>
        <v>88000</v>
      </c>
    </row>
    <row r="1417" spans="1:16" x14ac:dyDescent="0.2">
      <c r="A1417" s="33">
        <v>47091</v>
      </c>
      <c r="B1417" s="30">
        <f t="shared" si="50"/>
        <v>12</v>
      </c>
      <c r="C1417" s="30" t="str">
        <f>_xlfn.IFS(Table_13[[#This Row],[Month]]=1,"JAN",Table_13[[#This Row],[Month]]=2,"FEB",B1417=3,"MAR",B1417=4,"APR",B1417=5,"MAY",B1417=6,"JUN",B1417=7,"JUL",B1417=8,"AUG",Table_13[[#This Row],[Month]]=9,"SEPT",B1417=10,"OCT",B1417=11,"NOV",B1417=12,"DEC")</f>
        <v>DEC</v>
      </c>
      <c r="D1417" s="2" t="s">
        <v>25</v>
      </c>
      <c r="E1417" s="2" t="s">
        <v>19</v>
      </c>
      <c r="F1417" s="2" t="s">
        <v>13</v>
      </c>
      <c r="G1417" s="2" t="s">
        <v>20</v>
      </c>
      <c r="H1417" s="2" t="s">
        <v>15</v>
      </c>
      <c r="I1417" s="2" t="s">
        <v>16</v>
      </c>
      <c r="J1417" s="15">
        <v>85000</v>
      </c>
      <c r="K1417" s="2">
        <v>6</v>
      </c>
      <c r="L1417" s="2" t="s">
        <v>17</v>
      </c>
      <c r="M1417" s="12">
        <f t="shared" si="45"/>
        <v>68000</v>
      </c>
      <c r="N1417" s="10">
        <f>PRODUCT(Table_13[[#This Row],[Unit Price]],Table_13[[#This Row],[Quantity]])</f>
        <v>510000</v>
      </c>
      <c r="O1417" s="16">
        <f>PRODUCT(Table_13[[#This Row],[Cost Price]],Table_13[[#This Row],[Quantity]])</f>
        <v>408000</v>
      </c>
      <c r="P1417" s="27">
        <f t="shared" si="51"/>
        <v>102000</v>
      </c>
    </row>
    <row r="1418" spans="1:16" x14ac:dyDescent="0.2">
      <c r="A1418" s="33">
        <v>47092</v>
      </c>
      <c r="B1418" s="30">
        <f t="shared" si="50"/>
        <v>12</v>
      </c>
      <c r="C1418" s="30" t="str">
        <f>_xlfn.IFS(Table_13[[#This Row],[Month]]=1,"JAN",Table_13[[#This Row],[Month]]=2,"FEB",B1418=3,"MAR",B1418=4,"APR",B1418=5,"MAY",B1418=6,"JUN",B1418=7,"JUL",B1418=8,"AUG",Table_13[[#This Row],[Month]]=9,"SEPT",B1418=10,"OCT",B1418=11,"NOV",B1418=12,"DEC")</f>
        <v>DEC</v>
      </c>
      <c r="D1418" s="2" t="s">
        <v>11</v>
      </c>
      <c r="E1418" s="2" t="s">
        <v>19</v>
      </c>
      <c r="F1418" s="2" t="s">
        <v>13</v>
      </c>
      <c r="G1418" s="2" t="s">
        <v>20</v>
      </c>
      <c r="H1418" s="2" t="s">
        <v>30</v>
      </c>
      <c r="I1418" s="2" t="s">
        <v>31</v>
      </c>
      <c r="J1418" s="15">
        <v>300000</v>
      </c>
      <c r="K1418" s="2">
        <v>8</v>
      </c>
      <c r="L1418" s="2" t="s">
        <v>17</v>
      </c>
      <c r="M1418" s="12">
        <f t="shared" si="45"/>
        <v>240000</v>
      </c>
      <c r="N1418" s="10">
        <f>PRODUCT(Table_13[[#This Row],[Unit Price]],Table_13[[#This Row],[Quantity]])</f>
        <v>2400000</v>
      </c>
      <c r="O1418" s="16">
        <f>PRODUCT(Table_13[[#This Row],[Cost Price]],Table_13[[#This Row],[Quantity]])</f>
        <v>1920000</v>
      </c>
      <c r="P1418" s="27">
        <f t="shared" si="51"/>
        <v>480000</v>
      </c>
    </row>
    <row r="1419" spans="1:16" x14ac:dyDescent="0.2">
      <c r="A1419" s="33">
        <v>47093</v>
      </c>
      <c r="B1419" s="30">
        <f t="shared" si="50"/>
        <v>12</v>
      </c>
      <c r="C1419" s="30" t="str">
        <f>_xlfn.IFS(Table_13[[#This Row],[Month]]=1,"JAN",Table_13[[#This Row],[Month]]=2,"FEB",B1419=3,"MAR",B1419=4,"APR",B1419=5,"MAY",B1419=6,"JUN",B1419=7,"JUL",B1419=8,"AUG",Table_13[[#This Row],[Month]]=9,"SEPT",B1419=10,"OCT",B1419=11,"NOV",B1419=12,"DEC")</f>
        <v>DEC</v>
      </c>
      <c r="D1419" s="2" t="s">
        <v>25</v>
      </c>
      <c r="E1419" s="2" t="s">
        <v>26</v>
      </c>
      <c r="F1419" s="2" t="s">
        <v>23</v>
      </c>
      <c r="G1419" s="2" t="s">
        <v>20</v>
      </c>
      <c r="H1419" s="2" t="s">
        <v>38</v>
      </c>
      <c r="I1419" s="2" t="s">
        <v>31</v>
      </c>
      <c r="J1419" s="15">
        <v>420000</v>
      </c>
      <c r="K1419" s="2">
        <v>2</v>
      </c>
      <c r="L1419" s="2" t="s">
        <v>35</v>
      </c>
      <c r="M1419" s="12">
        <f t="shared" si="45"/>
        <v>336000</v>
      </c>
      <c r="N1419" s="10">
        <f>PRODUCT(Table_13[[#This Row],[Unit Price]],Table_13[[#This Row],[Quantity]])</f>
        <v>840000</v>
      </c>
      <c r="O1419" s="16">
        <f>PRODUCT(Table_13[[#This Row],[Cost Price]],Table_13[[#This Row],[Quantity]])</f>
        <v>672000</v>
      </c>
      <c r="P1419" s="27">
        <f t="shared" si="51"/>
        <v>168000</v>
      </c>
    </row>
    <row r="1420" spans="1:16" x14ac:dyDescent="0.2">
      <c r="A1420" s="33">
        <v>47094</v>
      </c>
      <c r="B1420" s="30">
        <f t="shared" si="50"/>
        <v>12</v>
      </c>
      <c r="C1420" s="30" t="str">
        <f>_xlfn.IFS(Table_13[[#This Row],[Month]]=1,"JAN",Table_13[[#This Row],[Month]]=2,"FEB",B1420=3,"MAR",B1420=4,"APR",B1420=5,"MAY",B1420=6,"JUN",B1420=7,"JUL",B1420=8,"AUG",Table_13[[#This Row],[Month]]=9,"SEPT",B1420=10,"OCT",B1420=11,"NOV",B1420=12,"DEC")</f>
        <v>DEC</v>
      </c>
      <c r="D1420" s="2" t="s">
        <v>18</v>
      </c>
      <c r="E1420" s="2" t="s">
        <v>26</v>
      </c>
      <c r="F1420" s="2" t="s">
        <v>13</v>
      </c>
      <c r="G1420" s="2" t="s">
        <v>20</v>
      </c>
      <c r="H1420" s="2" t="s">
        <v>41</v>
      </c>
      <c r="I1420" s="2" t="s">
        <v>22</v>
      </c>
      <c r="J1420" s="15">
        <v>220000</v>
      </c>
      <c r="K1420" s="2">
        <v>3</v>
      </c>
      <c r="L1420" s="2" t="s">
        <v>24</v>
      </c>
      <c r="M1420" s="12">
        <f t="shared" si="45"/>
        <v>176000</v>
      </c>
      <c r="N1420" s="10">
        <f>PRODUCT(Table_13[[#This Row],[Unit Price]],Table_13[[#This Row],[Quantity]])</f>
        <v>660000</v>
      </c>
      <c r="O1420" s="16">
        <f>PRODUCT(Table_13[[#This Row],[Cost Price]],Table_13[[#This Row],[Quantity]])</f>
        <v>528000</v>
      </c>
      <c r="P1420" s="27">
        <f t="shared" si="51"/>
        <v>132000</v>
      </c>
    </row>
    <row r="1421" spans="1:16" x14ac:dyDescent="0.2">
      <c r="A1421" s="33">
        <v>47095</v>
      </c>
      <c r="B1421" s="30">
        <f t="shared" si="50"/>
        <v>12</v>
      </c>
      <c r="C1421" s="30" t="str">
        <f>_xlfn.IFS(Table_13[[#This Row],[Month]]=1,"JAN",Table_13[[#This Row],[Month]]=2,"FEB",B1421=3,"MAR",B1421=4,"APR",B1421=5,"MAY",B1421=6,"JUN",B1421=7,"JUL",B1421=8,"AUG",Table_13[[#This Row],[Month]]=9,"SEPT",B1421=10,"OCT",B1421=11,"NOV",B1421=12,"DEC")</f>
        <v>DEC</v>
      </c>
      <c r="D1421" s="2" t="s">
        <v>18</v>
      </c>
      <c r="E1421" s="2" t="s">
        <v>19</v>
      </c>
      <c r="F1421" s="2" t="s">
        <v>13</v>
      </c>
      <c r="G1421" s="2" t="s">
        <v>20</v>
      </c>
      <c r="H1421" s="2" t="s">
        <v>38</v>
      </c>
      <c r="I1421" s="2" t="s">
        <v>31</v>
      </c>
      <c r="J1421" s="15">
        <v>420000</v>
      </c>
      <c r="K1421" s="2">
        <v>10</v>
      </c>
      <c r="L1421" s="2" t="s">
        <v>17</v>
      </c>
      <c r="M1421" s="12">
        <f t="shared" si="45"/>
        <v>336000</v>
      </c>
      <c r="N1421" s="10">
        <f>PRODUCT(Table_13[[#This Row],[Unit Price]],Table_13[[#This Row],[Quantity]])</f>
        <v>4200000</v>
      </c>
      <c r="O1421" s="16">
        <f>PRODUCT(Table_13[[#This Row],[Cost Price]],Table_13[[#This Row],[Quantity]])</f>
        <v>3360000</v>
      </c>
      <c r="P1421" s="27">
        <f t="shared" si="51"/>
        <v>840000</v>
      </c>
    </row>
    <row r="1422" spans="1:16" x14ac:dyDescent="0.2">
      <c r="A1422" s="33">
        <v>47096</v>
      </c>
      <c r="B1422" s="30">
        <f t="shared" si="50"/>
        <v>12</v>
      </c>
      <c r="C1422" s="30" t="str">
        <f>_xlfn.IFS(Table_13[[#This Row],[Month]]=1,"JAN",Table_13[[#This Row],[Month]]=2,"FEB",B1422=3,"MAR",B1422=4,"APR",B1422=5,"MAY",B1422=6,"JUN",B1422=7,"JUL",B1422=8,"AUG",Table_13[[#This Row],[Month]]=9,"SEPT",B1422=10,"OCT",B1422=11,"NOV",B1422=12,"DEC")</f>
        <v>DEC</v>
      </c>
      <c r="D1422" s="2" t="s">
        <v>29</v>
      </c>
      <c r="E1422" s="2" t="s">
        <v>19</v>
      </c>
      <c r="F1422" s="2" t="s">
        <v>13</v>
      </c>
      <c r="G1422" s="2" t="s">
        <v>20</v>
      </c>
      <c r="H1422" s="2" t="s">
        <v>30</v>
      </c>
      <c r="I1422" s="2" t="s">
        <v>31</v>
      </c>
      <c r="J1422" s="15">
        <v>300000</v>
      </c>
      <c r="K1422" s="2">
        <v>7</v>
      </c>
      <c r="L1422" s="2" t="s">
        <v>24</v>
      </c>
      <c r="M1422" s="12">
        <f t="shared" si="45"/>
        <v>240000</v>
      </c>
      <c r="N1422" s="10">
        <f>PRODUCT(Table_13[[#This Row],[Unit Price]],Table_13[[#This Row],[Quantity]])</f>
        <v>2100000</v>
      </c>
      <c r="O1422" s="16">
        <f>PRODUCT(Table_13[[#This Row],[Cost Price]],Table_13[[#This Row],[Quantity]])</f>
        <v>1680000</v>
      </c>
      <c r="P1422" s="27">
        <f t="shared" si="51"/>
        <v>420000</v>
      </c>
    </row>
    <row r="1423" spans="1:16" x14ac:dyDescent="0.2">
      <c r="A1423" s="33">
        <v>47097</v>
      </c>
      <c r="B1423" s="30">
        <f t="shared" si="50"/>
        <v>12</v>
      </c>
      <c r="C1423" s="30" t="str">
        <f>_xlfn.IFS(Table_13[[#This Row],[Month]]=1,"JAN",Table_13[[#This Row],[Month]]=2,"FEB",B1423=3,"MAR",B1423=4,"APR",B1423=5,"MAY",B1423=6,"JUN",B1423=7,"JUL",B1423=8,"AUG",Table_13[[#This Row],[Month]]=9,"SEPT",B1423=10,"OCT",B1423=11,"NOV",B1423=12,"DEC")</f>
        <v>DEC</v>
      </c>
      <c r="D1423" s="2" t="s">
        <v>18</v>
      </c>
      <c r="E1423" s="2" t="s">
        <v>26</v>
      </c>
      <c r="F1423" s="2" t="s">
        <v>13</v>
      </c>
      <c r="G1423" s="2" t="s">
        <v>20</v>
      </c>
      <c r="H1423" s="2" t="s">
        <v>21</v>
      </c>
      <c r="I1423" s="2" t="s">
        <v>22</v>
      </c>
      <c r="J1423" s="15">
        <v>30000</v>
      </c>
      <c r="K1423" s="2">
        <v>1</v>
      </c>
      <c r="L1423" s="2" t="s">
        <v>28</v>
      </c>
      <c r="M1423" s="12">
        <f t="shared" si="45"/>
        <v>24000</v>
      </c>
      <c r="N1423" s="10">
        <f>PRODUCT(Table_13[[#This Row],[Unit Price]],Table_13[[#This Row],[Quantity]])</f>
        <v>30000</v>
      </c>
      <c r="O1423" s="16">
        <f>PRODUCT(Table_13[[#This Row],[Cost Price]],Table_13[[#This Row],[Quantity]])</f>
        <v>24000</v>
      </c>
      <c r="P1423" s="27">
        <f t="shared" si="51"/>
        <v>6000</v>
      </c>
    </row>
    <row r="1424" spans="1:16" x14ac:dyDescent="0.2">
      <c r="A1424" s="33">
        <v>47098</v>
      </c>
      <c r="B1424" s="30">
        <f t="shared" si="50"/>
        <v>12</v>
      </c>
      <c r="C1424" s="30" t="str">
        <f>_xlfn.IFS(Table_13[[#This Row],[Month]]=1,"JAN",Table_13[[#This Row],[Month]]=2,"FEB",B1424=3,"MAR",B1424=4,"APR",B1424=5,"MAY",B1424=6,"JUN",B1424=7,"JUL",B1424=8,"AUG",Table_13[[#This Row],[Month]]=9,"SEPT",B1424=10,"OCT",B1424=11,"NOV",B1424=12,"DEC")</f>
        <v>DEC</v>
      </c>
      <c r="D1424" s="2" t="s">
        <v>18</v>
      </c>
      <c r="E1424" s="2" t="s">
        <v>19</v>
      </c>
      <c r="F1424" s="2" t="s">
        <v>23</v>
      </c>
      <c r="G1424" s="2" t="s">
        <v>20</v>
      </c>
      <c r="H1424" s="2" t="s">
        <v>21</v>
      </c>
      <c r="I1424" s="2" t="s">
        <v>22</v>
      </c>
      <c r="J1424" s="15">
        <v>30000</v>
      </c>
      <c r="K1424" s="2">
        <v>7</v>
      </c>
      <c r="L1424" s="2" t="s">
        <v>17</v>
      </c>
      <c r="M1424" s="12">
        <f t="shared" si="45"/>
        <v>24000</v>
      </c>
      <c r="N1424" s="10">
        <f>PRODUCT(Table_13[[#This Row],[Unit Price]],Table_13[[#This Row],[Quantity]])</f>
        <v>210000</v>
      </c>
      <c r="O1424" s="16">
        <f>PRODUCT(Table_13[[#This Row],[Cost Price]],Table_13[[#This Row],[Quantity]])</f>
        <v>168000</v>
      </c>
      <c r="P1424" s="27">
        <f t="shared" si="51"/>
        <v>42000</v>
      </c>
    </row>
    <row r="1425" spans="1:16" x14ac:dyDescent="0.2">
      <c r="A1425" s="33">
        <v>47099</v>
      </c>
      <c r="B1425" s="30">
        <f t="shared" si="50"/>
        <v>12</v>
      </c>
      <c r="C1425" s="30" t="str">
        <f>_xlfn.IFS(Table_13[[#This Row],[Month]]=1,"JAN",Table_13[[#This Row],[Month]]=2,"FEB",B1425=3,"MAR",B1425=4,"APR",B1425=5,"MAY",B1425=6,"JUN",B1425=7,"JUL",B1425=8,"AUG",Table_13[[#This Row],[Month]]=9,"SEPT",B1425=10,"OCT",B1425=11,"NOV",B1425=12,"DEC")</f>
        <v>DEC</v>
      </c>
      <c r="D1425" s="2" t="s">
        <v>29</v>
      </c>
      <c r="E1425" s="2" t="s">
        <v>32</v>
      </c>
      <c r="F1425" s="2" t="s">
        <v>23</v>
      </c>
      <c r="G1425" s="2" t="s">
        <v>20</v>
      </c>
      <c r="H1425" s="2" t="s">
        <v>15</v>
      </c>
      <c r="I1425" s="2" t="s">
        <v>16</v>
      </c>
      <c r="J1425" s="15">
        <v>85000</v>
      </c>
      <c r="K1425" s="2">
        <v>8</v>
      </c>
      <c r="L1425" s="2" t="s">
        <v>35</v>
      </c>
      <c r="M1425" s="12">
        <f t="shared" si="45"/>
        <v>68000</v>
      </c>
      <c r="N1425" s="10">
        <f>PRODUCT(Table_13[[#This Row],[Unit Price]],Table_13[[#This Row],[Quantity]])</f>
        <v>680000</v>
      </c>
      <c r="O1425" s="16">
        <f>PRODUCT(Table_13[[#This Row],[Cost Price]],Table_13[[#This Row],[Quantity]])</f>
        <v>544000</v>
      </c>
      <c r="P1425" s="27">
        <f t="shared" si="51"/>
        <v>136000</v>
      </c>
    </row>
    <row r="1426" spans="1:16" x14ac:dyDescent="0.2">
      <c r="A1426" s="33">
        <v>47100</v>
      </c>
      <c r="B1426" s="30">
        <f t="shared" si="50"/>
        <v>12</v>
      </c>
      <c r="C1426" s="30" t="str">
        <f>_xlfn.IFS(Table_13[[#This Row],[Month]]=1,"JAN",Table_13[[#This Row],[Month]]=2,"FEB",B1426=3,"MAR",B1426=4,"APR",B1426=5,"MAY",B1426=6,"JUN",B1426=7,"JUL",B1426=8,"AUG",Table_13[[#This Row],[Month]]=9,"SEPT",B1426=10,"OCT",B1426=11,"NOV",B1426=12,"DEC")</f>
        <v>DEC</v>
      </c>
      <c r="D1426" s="2" t="s">
        <v>18</v>
      </c>
      <c r="E1426" s="2" t="s">
        <v>19</v>
      </c>
      <c r="F1426" s="2" t="s">
        <v>13</v>
      </c>
      <c r="G1426" s="2" t="s">
        <v>20</v>
      </c>
      <c r="H1426" s="2" t="s">
        <v>40</v>
      </c>
      <c r="I1426" s="2" t="s">
        <v>31</v>
      </c>
      <c r="J1426" s="15">
        <v>250000</v>
      </c>
      <c r="K1426" s="2">
        <v>10</v>
      </c>
      <c r="L1426" s="2" t="s">
        <v>24</v>
      </c>
      <c r="M1426" s="12">
        <f t="shared" si="45"/>
        <v>200000</v>
      </c>
      <c r="N1426" s="10">
        <f>PRODUCT(Table_13[[#This Row],[Unit Price]],Table_13[[#This Row],[Quantity]])</f>
        <v>2500000</v>
      </c>
      <c r="O1426" s="16">
        <f>PRODUCT(Table_13[[#This Row],[Cost Price]],Table_13[[#This Row],[Quantity]])</f>
        <v>2000000</v>
      </c>
      <c r="P1426" s="27">
        <f t="shared" si="51"/>
        <v>500000</v>
      </c>
    </row>
    <row r="1427" spans="1:16" x14ac:dyDescent="0.2">
      <c r="A1427" s="33">
        <v>47101</v>
      </c>
      <c r="B1427" s="30">
        <f t="shared" si="50"/>
        <v>12</v>
      </c>
      <c r="C1427" s="30" t="str">
        <f>_xlfn.IFS(Table_13[[#This Row],[Month]]=1,"JAN",Table_13[[#This Row],[Month]]=2,"FEB",B1427=3,"MAR",B1427=4,"APR",B1427=5,"MAY",B1427=6,"JUN",B1427=7,"JUL",B1427=8,"AUG",Table_13[[#This Row],[Month]]=9,"SEPT",B1427=10,"OCT",B1427=11,"NOV",B1427=12,"DEC")</f>
        <v>DEC</v>
      </c>
      <c r="D1427" s="2" t="s">
        <v>11</v>
      </c>
      <c r="E1427" s="2" t="s">
        <v>19</v>
      </c>
      <c r="F1427" s="2" t="s">
        <v>13</v>
      </c>
      <c r="G1427" s="2" t="s">
        <v>20</v>
      </c>
      <c r="H1427" s="2" t="s">
        <v>15</v>
      </c>
      <c r="I1427" s="2" t="s">
        <v>16</v>
      </c>
      <c r="J1427" s="15">
        <v>85000</v>
      </c>
      <c r="K1427" s="2">
        <v>4</v>
      </c>
      <c r="L1427" s="2" t="s">
        <v>39</v>
      </c>
      <c r="M1427" s="12">
        <f t="shared" si="45"/>
        <v>68000</v>
      </c>
      <c r="N1427" s="10">
        <f>PRODUCT(Table_13[[#This Row],[Unit Price]],Table_13[[#This Row],[Quantity]])</f>
        <v>340000</v>
      </c>
      <c r="O1427" s="16">
        <f>PRODUCT(Table_13[[#This Row],[Cost Price]],Table_13[[#This Row],[Quantity]])</f>
        <v>272000</v>
      </c>
      <c r="P1427" s="27">
        <f t="shared" si="51"/>
        <v>68000</v>
      </c>
    </row>
    <row r="1428" spans="1:16" x14ac:dyDescent="0.2">
      <c r="A1428" s="33">
        <v>47102</v>
      </c>
      <c r="B1428" s="30">
        <f t="shared" si="50"/>
        <v>12</v>
      </c>
      <c r="C1428" s="30" t="str">
        <f>_xlfn.IFS(Table_13[[#This Row],[Month]]=1,"JAN",Table_13[[#This Row],[Month]]=2,"FEB",B1428=3,"MAR",B1428=4,"APR",B1428=5,"MAY",B1428=6,"JUN",B1428=7,"JUL",B1428=8,"AUG",Table_13[[#This Row],[Month]]=9,"SEPT",B1428=10,"OCT",B1428=11,"NOV",B1428=12,"DEC")</f>
        <v>DEC</v>
      </c>
      <c r="D1428" s="2" t="s">
        <v>11</v>
      </c>
      <c r="E1428" s="2" t="s">
        <v>32</v>
      </c>
      <c r="F1428" s="2" t="s">
        <v>13</v>
      </c>
      <c r="G1428" s="2" t="s">
        <v>20</v>
      </c>
      <c r="H1428" s="2" t="s">
        <v>40</v>
      </c>
      <c r="I1428" s="2" t="s">
        <v>31</v>
      </c>
      <c r="J1428" s="15">
        <v>250000</v>
      </c>
      <c r="K1428" s="2">
        <v>6</v>
      </c>
      <c r="L1428" s="2" t="s">
        <v>39</v>
      </c>
      <c r="M1428" s="12">
        <f t="shared" si="45"/>
        <v>200000</v>
      </c>
      <c r="N1428" s="10">
        <f>PRODUCT(Table_13[[#This Row],[Unit Price]],Table_13[[#This Row],[Quantity]])</f>
        <v>1500000</v>
      </c>
      <c r="O1428" s="16">
        <f>PRODUCT(Table_13[[#This Row],[Cost Price]],Table_13[[#This Row],[Quantity]])</f>
        <v>1200000</v>
      </c>
      <c r="P1428" s="27">
        <f t="shared" si="51"/>
        <v>300000</v>
      </c>
    </row>
    <row r="1429" spans="1:16" x14ac:dyDescent="0.2">
      <c r="A1429" s="33">
        <v>47103</v>
      </c>
      <c r="B1429" s="30">
        <f t="shared" si="50"/>
        <v>12</v>
      </c>
      <c r="C1429" s="30" t="str">
        <f>_xlfn.IFS(Table_13[[#This Row],[Month]]=1,"JAN",Table_13[[#This Row],[Month]]=2,"FEB",B1429=3,"MAR",B1429=4,"APR",B1429=5,"MAY",B1429=6,"JUN",B1429=7,"JUL",B1429=8,"AUG",Table_13[[#This Row],[Month]]=9,"SEPT",B1429=10,"OCT",B1429=11,"NOV",B1429=12,"DEC")</f>
        <v>DEC</v>
      </c>
      <c r="D1429" s="2" t="s">
        <v>18</v>
      </c>
      <c r="E1429" s="2" t="s">
        <v>32</v>
      </c>
      <c r="F1429" s="2" t="s">
        <v>23</v>
      </c>
      <c r="G1429" s="2" t="s">
        <v>20</v>
      </c>
      <c r="H1429" s="2" t="s">
        <v>34</v>
      </c>
      <c r="I1429" s="2" t="s">
        <v>16</v>
      </c>
      <c r="J1429" s="15">
        <v>320000</v>
      </c>
      <c r="K1429" s="2">
        <v>7</v>
      </c>
      <c r="L1429" s="2" t="s">
        <v>37</v>
      </c>
      <c r="M1429" s="12">
        <f t="shared" si="45"/>
        <v>256000</v>
      </c>
      <c r="N1429" s="10">
        <f>PRODUCT(Table_13[[#This Row],[Unit Price]],Table_13[[#This Row],[Quantity]])</f>
        <v>2240000</v>
      </c>
      <c r="O1429" s="16">
        <f>PRODUCT(Table_13[[#This Row],[Cost Price]],Table_13[[#This Row],[Quantity]])</f>
        <v>1792000</v>
      </c>
      <c r="P1429" s="27">
        <f t="shared" si="51"/>
        <v>448000</v>
      </c>
    </row>
    <row r="1430" spans="1:16" x14ac:dyDescent="0.2">
      <c r="A1430" s="33">
        <v>47104</v>
      </c>
      <c r="B1430" s="30">
        <f t="shared" si="50"/>
        <v>12</v>
      </c>
      <c r="C1430" s="30" t="str">
        <f>_xlfn.IFS(Table_13[[#This Row],[Month]]=1,"JAN",Table_13[[#This Row],[Month]]=2,"FEB",B1430=3,"MAR",B1430=4,"APR",B1430=5,"MAY",B1430=6,"JUN",B1430=7,"JUL",B1430=8,"AUG",Table_13[[#This Row],[Month]]=9,"SEPT",B1430=10,"OCT",B1430=11,"NOV",B1430=12,"DEC")</f>
        <v>DEC</v>
      </c>
      <c r="D1430" s="2" t="s">
        <v>18</v>
      </c>
      <c r="E1430" s="2" t="s">
        <v>32</v>
      </c>
      <c r="F1430" s="2" t="s">
        <v>23</v>
      </c>
      <c r="G1430" s="2" t="s">
        <v>20</v>
      </c>
      <c r="H1430" s="2" t="s">
        <v>33</v>
      </c>
      <c r="I1430" s="2" t="s">
        <v>22</v>
      </c>
      <c r="J1430" s="15">
        <v>180000</v>
      </c>
      <c r="K1430" s="2">
        <v>2</v>
      </c>
      <c r="L1430" s="2" t="s">
        <v>17</v>
      </c>
      <c r="M1430" s="12">
        <f t="shared" si="45"/>
        <v>144000</v>
      </c>
      <c r="N1430" s="10">
        <f>PRODUCT(Table_13[[#This Row],[Unit Price]],Table_13[[#This Row],[Quantity]])</f>
        <v>360000</v>
      </c>
      <c r="O1430" s="16">
        <f>PRODUCT(Table_13[[#This Row],[Cost Price]],Table_13[[#This Row],[Quantity]])</f>
        <v>288000</v>
      </c>
      <c r="P1430" s="27">
        <f t="shared" si="51"/>
        <v>72000</v>
      </c>
    </row>
    <row r="1431" spans="1:16" x14ac:dyDescent="0.2">
      <c r="A1431" s="33">
        <v>47105</v>
      </c>
      <c r="B1431" s="30">
        <f t="shared" si="50"/>
        <v>12</v>
      </c>
      <c r="C1431" s="30" t="str">
        <f>_xlfn.IFS(Table_13[[#This Row],[Month]]=1,"JAN",Table_13[[#This Row],[Month]]=2,"FEB",B1431=3,"MAR",B1431=4,"APR",B1431=5,"MAY",B1431=6,"JUN",B1431=7,"JUL",B1431=8,"AUG",Table_13[[#This Row],[Month]]=9,"SEPT",B1431=10,"OCT",B1431=11,"NOV",B1431=12,"DEC")</f>
        <v>DEC</v>
      </c>
      <c r="D1431" s="2" t="s">
        <v>29</v>
      </c>
      <c r="E1431" s="2" t="s">
        <v>32</v>
      </c>
      <c r="F1431" s="2" t="s">
        <v>23</v>
      </c>
      <c r="G1431" s="2" t="s">
        <v>20</v>
      </c>
      <c r="H1431" s="2" t="s">
        <v>41</v>
      </c>
      <c r="I1431" s="2" t="s">
        <v>22</v>
      </c>
      <c r="J1431" s="15">
        <v>220000</v>
      </c>
      <c r="K1431" s="2">
        <v>2</v>
      </c>
      <c r="L1431" s="2" t="s">
        <v>39</v>
      </c>
      <c r="M1431" s="12">
        <f t="shared" si="45"/>
        <v>176000</v>
      </c>
      <c r="N1431" s="10">
        <f>PRODUCT(Table_13[[#This Row],[Unit Price]],Table_13[[#This Row],[Quantity]])</f>
        <v>440000</v>
      </c>
      <c r="O1431" s="16">
        <f>PRODUCT(Table_13[[#This Row],[Cost Price]],Table_13[[#This Row],[Quantity]])</f>
        <v>352000</v>
      </c>
      <c r="P1431" s="27">
        <f t="shared" si="51"/>
        <v>88000</v>
      </c>
    </row>
    <row r="1432" spans="1:16" x14ac:dyDescent="0.2">
      <c r="A1432" s="33">
        <v>47106</v>
      </c>
      <c r="B1432" s="30">
        <f t="shared" si="50"/>
        <v>12</v>
      </c>
      <c r="C1432" s="30" t="str">
        <f>_xlfn.IFS(Table_13[[#This Row],[Month]]=1,"JAN",Table_13[[#This Row],[Month]]=2,"FEB",B1432=3,"MAR",B1432=4,"APR",B1432=5,"MAY",B1432=6,"JUN",B1432=7,"JUL",B1432=8,"AUG",Table_13[[#This Row],[Month]]=9,"SEPT",B1432=10,"OCT",B1432=11,"NOV",B1432=12,"DEC")</f>
        <v>DEC</v>
      </c>
      <c r="D1432" s="2" t="s">
        <v>29</v>
      </c>
      <c r="E1432" s="2" t="s">
        <v>26</v>
      </c>
      <c r="F1432" s="2" t="s">
        <v>23</v>
      </c>
      <c r="G1432" s="2" t="s">
        <v>20</v>
      </c>
      <c r="H1432" s="2" t="s">
        <v>33</v>
      </c>
      <c r="I1432" s="2" t="s">
        <v>22</v>
      </c>
      <c r="J1432" s="15">
        <v>180000</v>
      </c>
      <c r="K1432" s="2">
        <v>6</v>
      </c>
      <c r="L1432" s="2" t="s">
        <v>24</v>
      </c>
      <c r="M1432" s="12">
        <f t="shared" si="45"/>
        <v>144000</v>
      </c>
      <c r="N1432" s="10">
        <f>PRODUCT(Table_13[[#This Row],[Unit Price]],Table_13[[#This Row],[Quantity]])</f>
        <v>1080000</v>
      </c>
      <c r="O1432" s="16">
        <f>PRODUCT(Table_13[[#This Row],[Cost Price]],Table_13[[#This Row],[Quantity]])</f>
        <v>864000</v>
      </c>
      <c r="P1432" s="27">
        <f t="shared" si="51"/>
        <v>216000</v>
      </c>
    </row>
    <row r="1433" spans="1:16" x14ac:dyDescent="0.2">
      <c r="A1433" s="33">
        <v>47107</v>
      </c>
      <c r="B1433" s="30">
        <f t="shared" si="50"/>
        <v>12</v>
      </c>
      <c r="C1433" s="30" t="str">
        <f>_xlfn.IFS(Table_13[[#This Row],[Month]]=1,"JAN",Table_13[[#This Row],[Month]]=2,"FEB",B1433=3,"MAR",B1433=4,"APR",B1433=5,"MAY",B1433=6,"JUN",B1433=7,"JUL",B1433=8,"AUG",Table_13[[#This Row],[Month]]=9,"SEPT",B1433=10,"OCT",B1433=11,"NOV",B1433=12,"DEC")</f>
        <v>DEC</v>
      </c>
      <c r="D1433" s="2" t="s">
        <v>11</v>
      </c>
      <c r="E1433" s="2" t="s">
        <v>32</v>
      </c>
      <c r="F1433" s="2" t="s">
        <v>13</v>
      </c>
      <c r="G1433" s="2" t="s">
        <v>20</v>
      </c>
      <c r="H1433" s="2" t="s">
        <v>33</v>
      </c>
      <c r="I1433" s="2" t="s">
        <v>22</v>
      </c>
      <c r="J1433" s="15">
        <v>180000</v>
      </c>
      <c r="K1433" s="2">
        <v>3</v>
      </c>
      <c r="L1433" s="2" t="s">
        <v>24</v>
      </c>
      <c r="M1433" s="12">
        <f t="shared" si="45"/>
        <v>144000</v>
      </c>
      <c r="N1433" s="10">
        <f>PRODUCT(Table_13[[#This Row],[Unit Price]],Table_13[[#This Row],[Quantity]])</f>
        <v>540000</v>
      </c>
      <c r="O1433" s="16">
        <f>PRODUCT(Table_13[[#This Row],[Cost Price]],Table_13[[#This Row],[Quantity]])</f>
        <v>432000</v>
      </c>
      <c r="P1433" s="27">
        <f t="shared" si="51"/>
        <v>108000</v>
      </c>
    </row>
    <row r="1434" spans="1:16" x14ac:dyDescent="0.2">
      <c r="A1434" s="33">
        <v>47108</v>
      </c>
      <c r="B1434" s="30">
        <f t="shared" si="50"/>
        <v>12</v>
      </c>
      <c r="C1434" s="30" t="str">
        <f>_xlfn.IFS(Table_13[[#This Row],[Month]]=1,"JAN",Table_13[[#This Row],[Month]]=2,"FEB",B1434=3,"MAR",B1434=4,"APR",B1434=5,"MAY",B1434=6,"JUN",B1434=7,"JUL",B1434=8,"AUG",Table_13[[#This Row],[Month]]=9,"SEPT",B1434=10,"OCT",B1434=11,"NOV",B1434=12,"DEC")</f>
        <v>DEC</v>
      </c>
      <c r="D1434" s="2" t="s">
        <v>11</v>
      </c>
      <c r="E1434" s="2" t="s">
        <v>26</v>
      </c>
      <c r="F1434" s="2" t="s">
        <v>13</v>
      </c>
      <c r="G1434" s="2" t="s">
        <v>20</v>
      </c>
      <c r="H1434" s="2" t="s">
        <v>27</v>
      </c>
      <c r="I1434" s="2" t="s">
        <v>22</v>
      </c>
      <c r="J1434" s="15">
        <v>60000</v>
      </c>
      <c r="K1434" s="2">
        <v>2</v>
      </c>
      <c r="L1434" s="2" t="s">
        <v>24</v>
      </c>
      <c r="M1434" s="12">
        <f t="shared" si="45"/>
        <v>48000</v>
      </c>
      <c r="N1434" s="10">
        <f>PRODUCT(Table_13[[#This Row],[Unit Price]],Table_13[[#This Row],[Quantity]])</f>
        <v>120000</v>
      </c>
      <c r="O1434" s="16">
        <f>PRODUCT(Table_13[[#This Row],[Cost Price]],Table_13[[#This Row],[Quantity]])</f>
        <v>96000</v>
      </c>
      <c r="P1434" s="27">
        <f t="shared" si="51"/>
        <v>24000</v>
      </c>
    </row>
    <row r="1435" spans="1:16" x14ac:dyDescent="0.2">
      <c r="A1435" s="33">
        <v>47109</v>
      </c>
      <c r="B1435" s="30">
        <f t="shared" si="50"/>
        <v>12</v>
      </c>
      <c r="C1435" s="30" t="str">
        <f>_xlfn.IFS(Table_13[[#This Row],[Month]]=1,"JAN",Table_13[[#This Row],[Month]]=2,"FEB",B1435=3,"MAR",B1435=4,"APR",B1435=5,"MAY",B1435=6,"JUN",B1435=7,"JUL",B1435=8,"AUG",Table_13[[#This Row],[Month]]=9,"SEPT",B1435=10,"OCT",B1435=11,"NOV",B1435=12,"DEC")</f>
        <v>DEC</v>
      </c>
      <c r="D1435" s="2" t="s">
        <v>29</v>
      </c>
      <c r="E1435" s="2" t="s">
        <v>32</v>
      </c>
      <c r="F1435" s="2" t="s">
        <v>23</v>
      </c>
      <c r="G1435" s="2" t="s">
        <v>20</v>
      </c>
      <c r="H1435" s="2" t="s">
        <v>30</v>
      </c>
      <c r="I1435" s="2" t="s">
        <v>31</v>
      </c>
      <c r="J1435" s="15">
        <v>300000</v>
      </c>
      <c r="K1435" s="2">
        <v>1</v>
      </c>
      <c r="L1435" s="2" t="s">
        <v>37</v>
      </c>
      <c r="M1435" s="12">
        <f t="shared" si="45"/>
        <v>240000</v>
      </c>
      <c r="N1435" s="10">
        <f>PRODUCT(Table_13[[#This Row],[Unit Price]],Table_13[[#This Row],[Quantity]])</f>
        <v>300000</v>
      </c>
      <c r="O1435" s="16">
        <f>PRODUCT(Table_13[[#This Row],[Cost Price]],Table_13[[#This Row],[Quantity]])</f>
        <v>240000</v>
      </c>
      <c r="P1435" s="27">
        <f t="shared" si="51"/>
        <v>60000</v>
      </c>
    </row>
    <row r="1436" spans="1:16" x14ac:dyDescent="0.2">
      <c r="A1436" s="33">
        <v>47110</v>
      </c>
      <c r="B1436" s="30">
        <f t="shared" si="50"/>
        <v>12</v>
      </c>
      <c r="C1436" s="30" t="str">
        <f>_xlfn.IFS(Table_13[[#This Row],[Month]]=1,"JAN",Table_13[[#This Row],[Month]]=2,"FEB",B1436=3,"MAR",B1436=4,"APR",B1436=5,"MAY",B1436=6,"JUN",B1436=7,"JUL",B1436=8,"AUG",Table_13[[#This Row],[Month]]=9,"SEPT",B1436=10,"OCT",B1436=11,"NOV",B1436=12,"DEC")</f>
        <v>DEC</v>
      </c>
      <c r="D1436" s="2" t="s">
        <v>25</v>
      </c>
      <c r="E1436" s="2" t="s">
        <v>26</v>
      </c>
      <c r="F1436" s="2" t="s">
        <v>23</v>
      </c>
      <c r="G1436" s="2" t="s">
        <v>20</v>
      </c>
      <c r="H1436" s="2" t="s">
        <v>38</v>
      </c>
      <c r="I1436" s="2" t="s">
        <v>31</v>
      </c>
      <c r="J1436" s="15">
        <v>420000</v>
      </c>
      <c r="K1436" s="2">
        <v>2</v>
      </c>
      <c r="L1436" s="2" t="s">
        <v>24</v>
      </c>
      <c r="M1436" s="12">
        <f t="shared" si="45"/>
        <v>336000</v>
      </c>
      <c r="N1436" s="10">
        <f>PRODUCT(Table_13[[#This Row],[Unit Price]],Table_13[[#This Row],[Quantity]])</f>
        <v>840000</v>
      </c>
      <c r="O1436" s="16">
        <f>PRODUCT(Table_13[[#This Row],[Cost Price]],Table_13[[#This Row],[Quantity]])</f>
        <v>672000</v>
      </c>
      <c r="P1436" s="27">
        <f t="shared" si="51"/>
        <v>168000</v>
      </c>
    </row>
    <row r="1437" spans="1:16" x14ac:dyDescent="0.2">
      <c r="A1437" s="33">
        <v>47111</v>
      </c>
      <c r="B1437" s="30">
        <f t="shared" si="50"/>
        <v>12</v>
      </c>
      <c r="C1437" s="30" t="str">
        <f>_xlfn.IFS(Table_13[[#This Row],[Month]]=1,"JAN",Table_13[[#This Row],[Month]]=2,"FEB",B1437=3,"MAR",B1437=4,"APR",B1437=5,"MAY",B1437=6,"JUN",B1437=7,"JUL",B1437=8,"AUG",Table_13[[#This Row],[Month]]=9,"SEPT",B1437=10,"OCT",B1437=11,"NOV",B1437=12,"DEC")</f>
        <v>DEC</v>
      </c>
      <c r="D1437" s="2" t="s">
        <v>11</v>
      </c>
      <c r="E1437" s="2" t="s">
        <v>19</v>
      </c>
      <c r="F1437" s="2" t="s">
        <v>13</v>
      </c>
      <c r="G1437" s="2" t="s">
        <v>20</v>
      </c>
      <c r="H1437" s="2" t="s">
        <v>40</v>
      </c>
      <c r="I1437" s="2" t="s">
        <v>31</v>
      </c>
      <c r="J1437" s="15">
        <v>250000</v>
      </c>
      <c r="K1437" s="2">
        <v>9</v>
      </c>
      <c r="L1437" s="2" t="s">
        <v>24</v>
      </c>
      <c r="M1437" s="12">
        <f t="shared" si="45"/>
        <v>200000</v>
      </c>
      <c r="N1437" s="10">
        <f>PRODUCT(Table_13[[#This Row],[Unit Price]],Table_13[[#This Row],[Quantity]])</f>
        <v>2250000</v>
      </c>
      <c r="O1437" s="16">
        <f>PRODUCT(Table_13[[#This Row],[Cost Price]],Table_13[[#This Row],[Quantity]])</f>
        <v>1800000</v>
      </c>
      <c r="P1437" s="27">
        <f t="shared" si="51"/>
        <v>450000</v>
      </c>
    </row>
    <row r="1438" spans="1:16" x14ac:dyDescent="0.2">
      <c r="A1438" s="33">
        <v>47112</v>
      </c>
      <c r="B1438" s="30">
        <f t="shared" si="50"/>
        <v>12</v>
      </c>
      <c r="C1438" s="30" t="str">
        <f>_xlfn.IFS(Table_13[[#This Row],[Month]]=1,"JAN",Table_13[[#This Row],[Month]]=2,"FEB",B1438=3,"MAR",B1438=4,"APR",B1438=5,"MAY",B1438=6,"JUN",B1438=7,"JUL",B1438=8,"AUG",Table_13[[#This Row],[Month]]=9,"SEPT",B1438=10,"OCT",B1438=11,"NOV",B1438=12,"DEC")</f>
        <v>DEC</v>
      </c>
      <c r="D1438" s="2" t="s">
        <v>25</v>
      </c>
      <c r="E1438" s="2" t="s">
        <v>12</v>
      </c>
      <c r="F1438" s="2" t="s">
        <v>23</v>
      </c>
      <c r="G1438" s="2" t="s">
        <v>20</v>
      </c>
      <c r="H1438" s="2" t="s">
        <v>33</v>
      </c>
      <c r="I1438" s="2" t="s">
        <v>22</v>
      </c>
      <c r="J1438" s="15">
        <v>180000</v>
      </c>
      <c r="K1438" s="2">
        <v>5</v>
      </c>
      <c r="L1438" s="2" t="s">
        <v>37</v>
      </c>
      <c r="M1438" s="12">
        <f t="shared" si="45"/>
        <v>144000</v>
      </c>
      <c r="N1438" s="10">
        <f>PRODUCT(Table_13[[#This Row],[Unit Price]],Table_13[[#This Row],[Quantity]])</f>
        <v>900000</v>
      </c>
      <c r="O1438" s="16">
        <f>PRODUCT(Table_13[[#This Row],[Cost Price]],Table_13[[#This Row],[Quantity]])</f>
        <v>720000</v>
      </c>
      <c r="P1438" s="27">
        <f t="shared" si="51"/>
        <v>180000</v>
      </c>
    </row>
    <row r="1439" spans="1:16" x14ac:dyDescent="0.2">
      <c r="A1439" s="33">
        <v>47113</v>
      </c>
      <c r="B1439" s="30">
        <f t="shared" si="50"/>
        <v>12</v>
      </c>
      <c r="C1439" s="30" t="str">
        <f>_xlfn.IFS(Table_13[[#This Row],[Month]]=1,"JAN",Table_13[[#This Row],[Month]]=2,"FEB",B1439=3,"MAR",B1439=4,"APR",B1439=5,"MAY",B1439=6,"JUN",B1439=7,"JUL",B1439=8,"AUG",Table_13[[#This Row],[Month]]=9,"SEPT",B1439=10,"OCT",B1439=11,"NOV",B1439=12,"DEC")</f>
        <v>DEC</v>
      </c>
      <c r="D1439" s="2" t="s">
        <v>25</v>
      </c>
      <c r="E1439" s="2" t="s">
        <v>19</v>
      </c>
      <c r="F1439" s="2" t="s">
        <v>23</v>
      </c>
      <c r="G1439" s="2" t="s">
        <v>20</v>
      </c>
      <c r="H1439" s="2" t="s">
        <v>36</v>
      </c>
      <c r="I1439" s="2" t="s">
        <v>31</v>
      </c>
      <c r="J1439" s="15">
        <v>150000</v>
      </c>
      <c r="K1439" s="2">
        <v>5</v>
      </c>
      <c r="L1439" s="2" t="s">
        <v>35</v>
      </c>
      <c r="M1439" s="12">
        <f t="shared" si="45"/>
        <v>120000</v>
      </c>
      <c r="N1439" s="10">
        <f>PRODUCT(Table_13[[#This Row],[Unit Price]],Table_13[[#This Row],[Quantity]])</f>
        <v>750000</v>
      </c>
      <c r="O1439" s="16">
        <f>PRODUCT(Table_13[[#This Row],[Cost Price]],Table_13[[#This Row],[Quantity]])</f>
        <v>600000</v>
      </c>
      <c r="P1439" s="27">
        <f t="shared" si="51"/>
        <v>150000</v>
      </c>
    </row>
    <row r="1440" spans="1:16" x14ac:dyDescent="0.2">
      <c r="A1440" s="33">
        <v>47114</v>
      </c>
      <c r="B1440" s="30">
        <f t="shared" si="50"/>
        <v>12</v>
      </c>
      <c r="C1440" s="30" t="str">
        <f>_xlfn.IFS(Table_13[[#This Row],[Month]]=1,"JAN",Table_13[[#This Row],[Month]]=2,"FEB",B1440=3,"MAR",B1440=4,"APR",B1440=5,"MAY",B1440=6,"JUN",B1440=7,"JUL",B1440=8,"AUG",Table_13[[#This Row],[Month]]=9,"SEPT",B1440=10,"OCT",B1440=11,"NOV",B1440=12,"DEC")</f>
        <v>DEC</v>
      </c>
      <c r="D1440" s="2" t="s">
        <v>11</v>
      </c>
      <c r="E1440" s="2" t="s">
        <v>32</v>
      </c>
      <c r="F1440" s="2" t="s">
        <v>13</v>
      </c>
      <c r="G1440" s="2" t="s">
        <v>20</v>
      </c>
      <c r="H1440" s="2" t="s">
        <v>34</v>
      </c>
      <c r="I1440" s="2" t="s">
        <v>16</v>
      </c>
      <c r="J1440" s="15">
        <v>320000</v>
      </c>
      <c r="K1440" s="2">
        <v>4</v>
      </c>
      <c r="L1440" s="2" t="s">
        <v>39</v>
      </c>
      <c r="M1440" s="12">
        <f t="shared" si="45"/>
        <v>256000</v>
      </c>
      <c r="N1440" s="10">
        <f>PRODUCT(Table_13[[#This Row],[Unit Price]],Table_13[[#This Row],[Quantity]])</f>
        <v>1280000</v>
      </c>
      <c r="O1440" s="16">
        <f>PRODUCT(Table_13[[#This Row],[Cost Price]],Table_13[[#This Row],[Quantity]])</f>
        <v>1024000</v>
      </c>
      <c r="P1440" s="27">
        <f t="shared" si="51"/>
        <v>256000</v>
      </c>
    </row>
    <row r="1441" spans="1:16" x14ac:dyDescent="0.2">
      <c r="A1441" s="33">
        <v>47115</v>
      </c>
      <c r="B1441" s="30">
        <f t="shared" si="50"/>
        <v>12</v>
      </c>
      <c r="C1441" s="30" t="str">
        <f>_xlfn.IFS(Table_13[[#This Row],[Month]]=1,"JAN",Table_13[[#This Row],[Month]]=2,"FEB",B1441=3,"MAR",B1441=4,"APR",B1441=5,"MAY",B1441=6,"JUN",B1441=7,"JUL",B1441=8,"AUG",Table_13[[#This Row],[Month]]=9,"SEPT",B1441=10,"OCT",B1441=11,"NOV",B1441=12,"DEC")</f>
        <v>DEC</v>
      </c>
      <c r="D1441" s="2" t="s">
        <v>25</v>
      </c>
      <c r="E1441" s="2" t="s">
        <v>26</v>
      </c>
      <c r="F1441" s="2" t="s">
        <v>13</v>
      </c>
      <c r="G1441" s="2" t="s">
        <v>20</v>
      </c>
      <c r="H1441" s="2" t="s">
        <v>33</v>
      </c>
      <c r="I1441" s="2" t="s">
        <v>22</v>
      </c>
      <c r="J1441" s="15">
        <v>180000</v>
      </c>
      <c r="K1441" s="2">
        <v>10</v>
      </c>
      <c r="L1441" s="2" t="s">
        <v>35</v>
      </c>
      <c r="M1441" s="12">
        <f t="shared" si="45"/>
        <v>144000</v>
      </c>
      <c r="N1441" s="10">
        <f>PRODUCT(Table_13[[#This Row],[Unit Price]],Table_13[[#This Row],[Quantity]])</f>
        <v>1800000</v>
      </c>
      <c r="O1441" s="16">
        <f>PRODUCT(Table_13[[#This Row],[Cost Price]],Table_13[[#This Row],[Quantity]])</f>
        <v>1440000</v>
      </c>
      <c r="P1441" s="27">
        <f t="shared" si="51"/>
        <v>360000</v>
      </c>
    </row>
    <row r="1442" spans="1:16" x14ac:dyDescent="0.2">
      <c r="A1442" s="33">
        <v>47116</v>
      </c>
      <c r="B1442" s="30">
        <f t="shared" si="50"/>
        <v>12</v>
      </c>
      <c r="C1442" s="30" t="str">
        <f>_xlfn.IFS(Table_13[[#This Row],[Month]]=1,"JAN",Table_13[[#This Row],[Month]]=2,"FEB",B1442=3,"MAR",B1442=4,"APR",B1442=5,"MAY",B1442=6,"JUN",B1442=7,"JUL",B1442=8,"AUG",Table_13[[#This Row],[Month]]=9,"SEPT",B1442=10,"OCT",B1442=11,"NOV",B1442=12,"DEC")</f>
        <v>DEC</v>
      </c>
      <c r="D1442" s="2" t="s">
        <v>29</v>
      </c>
      <c r="E1442" s="2" t="s">
        <v>12</v>
      </c>
      <c r="F1442" s="2" t="s">
        <v>23</v>
      </c>
      <c r="G1442" s="2" t="s">
        <v>20</v>
      </c>
      <c r="H1442" s="2" t="s">
        <v>38</v>
      </c>
      <c r="I1442" s="2" t="s">
        <v>31</v>
      </c>
      <c r="J1442" s="15">
        <v>420000</v>
      </c>
      <c r="K1442" s="2">
        <v>2</v>
      </c>
      <c r="L1442" s="2" t="s">
        <v>37</v>
      </c>
      <c r="M1442" s="12">
        <f t="shared" si="45"/>
        <v>336000</v>
      </c>
      <c r="N1442" s="10">
        <f>PRODUCT(Table_13[[#This Row],[Unit Price]],Table_13[[#This Row],[Quantity]])</f>
        <v>840000</v>
      </c>
      <c r="O1442" s="16">
        <f>PRODUCT(Table_13[[#This Row],[Cost Price]],Table_13[[#This Row],[Quantity]])</f>
        <v>672000</v>
      </c>
      <c r="P1442" s="27">
        <f t="shared" si="51"/>
        <v>168000</v>
      </c>
    </row>
    <row r="1443" spans="1:16" x14ac:dyDescent="0.2">
      <c r="A1443" s="33">
        <v>47117</v>
      </c>
      <c r="B1443" s="30">
        <f t="shared" si="50"/>
        <v>12</v>
      </c>
      <c r="C1443" s="30" t="str">
        <f>_xlfn.IFS(Table_13[[#This Row],[Month]]=1,"JAN",Table_13[[#This Row],[Month]]=2,"FEB",B1443=3,"MAR",B1443=4,"APR",B1443=5,"MAY",B1443=6,"JUN",B1443=7,"JUL",B1443=8,"AUG",Table_13[[#This Row],[Month]]=9,"SEPT",B1443=10,"OCT",B1443=11,"NOV",B1443=12,"DEC")</f>
        <v>DEC</v>
      </c>
      <c r="D1443" s="2" t="s">
        <v>25</v>
      </c>
      <c r="E1443" s="2" t="s">
        <v>12</v>
      </c>
      <c r="F1443" s="2" t="s">
        <v>23</v>
      </c>
      <c r="G1443" s="2" t="s">
        <v>20</v>
      </c>
      <c r="H1443" s="2" t="s">
        <v>36</v>
      </c>
      <c r="I1443" s="2" t="s">
        <v>31</v>
      </c>
      <c r="J1443" s="15">
        <v>150000</v>
      </c>
      <c r="K1443" s="2">
        <v>6</v>
      </c>
      <c r="L1443" s="2" t="s">
        <v>37</v>
      </c>
      <c r="M1443" s="12">
        <f t="shared" si="45"/>
        <v>120000</v>
      </c>
      <c r="N1443" s="10">
        <f>PRODUCT(Table_13[[#This Row],[Unit Price]],Table_13[[#This Row],[Quantity]])</f>
        <v>900000</v>
      </c>
      <c r="O1443" s="16">
        <f>PRODUCT(Table_13[[#This Row],[Cost Price]],Table_13[[#This Row],[Quantity]])</f>
        <v>720000</v>
      </c>
      <c r="P1443" s="27">
        <f t="shared" si="51"/>
        <v>180000</v>
      </c>
    </row>
    <row r="1444" spans="1:16" x14ac:dyDescent="0.2">
      <c r="A1444" s="33">
        <v>47118</v>
      </c>
      <c r="B1444" s="30">
        <f t="shared" si="50"/>
        <v>12</v>
      </c>
      <c r="C1444" s="30" t="str">
        <f>_xlfn.IFS(Table_13[[#This Row],[Month]]=1,"JAN",Table_13[[#This Row],[Month]]=2,"FEB",B1444=3,"MAR",B1444=4,"APR",B1444=5,"MAY",B1444=6,"JUN",B1444=7,"JUL",B1444=8,"AUG",Table_13[[#This Row],[Month]]=9,"SEPT",B1444=10,"OCT",B1444=11,"NOV",B1444=12,"DEC")</f>
        <v>DEC</v>
      </c>
      <c r="D1444" s="2" t="s">
        <v>11</v>
      </c>
      <c r="E1444" s="2" t="s">
        <v>19</v>
      </c>
      <c r="F1444" s="2" t="s">
        <v>23</v>
      </c>
      <c r="G1444" s="2" t="s">
        <v>20</v>
      </c>
      <c r="H1444" s="2" t="s">
        <v>36</v>
      </c>
      <c r="I1444" s="2" t="s">
        <v>31</v>
      </c>
      <c r="J1444" s="15">
        <v>150000</v>
      </c>
      <c r="K1444" s="2">
        <v>4</v>
      </c>
      <c r="L1444" s="2" t="s">
        <v>24</v>
      </c>
      <c r="M1444" s="12">
        <f t="shared" si="45"/>
        <v>120000</v>
      </c>
      <c r="N1444" s="10">
        <f>PRODUCT(Table_13[[#This Row],[Unit Price]],Table_13[[#This Row],[Quantity]])</f>
        <v>600000</v>
      </c>
      <c r="O1444" s="16">
        <f>PRODUCT(Table_13[[#This Row],[Cost Price]],Table_13[[#This Row],[Quantity]])</f>
        <v>480000</v>
      </c>
      <c r="P1444" s="27">
        <f t="shared" si="51"/>
        <v>120000</v>
      </c>
    </row>
    <row r="1445" spans="1:16" x14ac:dyDescent="0.2">
      <c r="A1445" s="33">
        <v>47119</v>
      </c>
      <c r="B1445" s="30">
        <f t="shared" si="50"/>
        <v>1</v>
      </c>
      <c r="C1445" s="30" t="str">
        <f>_xlfn.IFS(Table_13[[#This Row],[Month]]=1,"JAN",Table_13[[#This Row],[Month]]=2,"FEB",B1445=3,"MAR",B1445=4,"APR",B1445=5,"MAY",B1445=6,"JUN",B1445=7,"JUL",B1445=8,"AUG",Table_13[[#This Row],[Month]]=9,"SEPT",B1445=10,"OCT",B1445=11,"NOV",B1445=12,"DEC")</f>
        <v>JAN</v>
      </c>
      <c r="D1445" s="2" t="s">
        <v>18</v>
      </c>
      <c r="E1445" s="2" t="s">
        <v>12</v>
      </c>
      <c r="F1445" s="2" t="s">
        <v>23</v>
      </c>
      <c r="G1445" s="2" t="s">
        <v>20</v>
      </c>
      <c r="H1445" s="2" t="s">
        <v>40</v>
      </c>
      <c r="I1445" s="2" t="s">
        <v>31</v>
      </c>
      <c r="J1445" s="15">
        <v>250000</v>
      </c>
      <c r="K1445" s="2">
        <v>9</v>
      </c>
      <c r="L1445" s="2" t="s">
        <v>37</v>
      </c>
      <c r="M1445" s="12">
        <f t="shared" si="45"/>
        <v>200000</v>
      </c>
      <c r="N1445" s="10">
        <f>PRODUCT(Table_13[[#This Row],[Unit Price]],Table_13[[#This Row],[Quantity]])</f>
        <v>2250000</v>
      </c>
      <c r="O1445" s="16">
        <f>PRODUCT(Table_13[[#This Row],[Cost Price]],Table_13[[#This Row],[Quantity]])</f>
        <v>1800000</v>
      </c>
      <c r="P1445" s="27">
        <f t="shared" si="51"/>
        <v>450000</v>
      </c>
    </row>
    <row r="1446" spans="1:16" x14ac:dyDescent="0.2">
      <c r="A1446" s="33">
        <v>47120</v>
      </c>
      <c r="B1446" s="30">
        <f t="shared" si="50"/>
        <v>1</v>
      </c>
      <c r="C1446" s="30" t="str">
        <f>_xlfn.IFS(Table_13[[#This Row],[Month]]=1,"JAN",Table_13[[#This Row],[Month]]=2,"FEB",B1446=3,"MAR",B1446=4,"APR",B1446=5,"MAY",B1446=6,"JUN",B1446=7,"JUL",B1446=8,"AUG",Table_13[[#This Row],[Month]]=9,"SEPT",B1446=10,"OCT",B1446=11,"NOV",B1446=12,"DEC")</f>
        <v>JAN</v>
      </c>
      <c r="D1446" s="2" t="s">
        <v>25</v>
      </c>
      <c r="E1446" s="2" t="s">
        <v>19</v>
      </c>
      <c r="F1446" s="2" t="s">
        <v>23</v>
      </c>
      <c r="G1446" s="2" t="s">
        <v>20</v>
      </c>
      <c r="H1446" s="2" t="s">
        <v>41</v>
      </c>
      <c r="I1446" s="2" t="s">
        <v>22</v>
      </c>
      <c r="J1446" s="15">
        <v>220000</v>
      </c>
      <c r="K1446" s="2">
        <v>8</v>
      </c>
      <c r="L1446" s="2" t="s">
        <v>39</v>
      </c>
      <c r="M1446" s="12">
        <f t="shared" si="45"/>
        <v>176000</v>
      </c>
      <c r="N1446" s="10">
        <f>PRODUCT(Table_13[[#This Row],[Unit Price]],Table_13[[#This Row],[Quantity]])</f>
        <v>1760000</v>
      </c>
      <c r="O1446" s="16">
        <f>PRODUCT(Table_13[[#This Row],[Cost Price]],Table_13[[#This Row],[Quantity]])</f>
        <v>1408000</v>
      </c>
      <c r="P1446" s="27">
        <f t="shared" si="51"/>
        <v>352000</v>
      </c>
    </row>
    <row r="1447" spans="1:16" x14ac:dyDescent="0.2">
      <c r="A1447" s="33">
        <v>47121</v>
      </c>
      <c r="B1447" s="30">
        <f t="shared" si="50"/>
        <v>1</v>
      </c>
      <c r="C1447" s="30" t="str">
        <f>_xlfn.IFS(Table_13[[#This Row],[Month]]=1,"JAN",Table_13[[#This Row],[Month]]=2,"FEB",B1447=3,"MAR",B1447=4,"APR",B1447=5,"MAY",B1447=6,"JUN",B1447=7,"JUL",B1447=8,"AUG",Table_13[[#This Row],[Month]]=9,"SEPT",B1447=10,"OCT",B1447=11,"NOV",B1447=12,"DEC")</f>
        <v>JAN</v>
      </c>
      <c r="D1447" s="2" t="s">
        <v>29</v>
      </c>
      <c r="E1447" s="2" t="s">
        <v>26</v>
      </c>
      <c r="F1447" s="2" t="s">
        <v>13</v>
      </c>
      <c r="G1447" s="2" t="s">
        <v>20</v>
      </c>
      <c r="H1447" s="2" t="s">
        <v>36</v>
      </c>
      <c r="I1447" s="2" t="s">
        <v>31</v>
      </c>
      <c r="J1447" s="15">
        <v>150000</v>
      </c>
      <c r="K1447" s="2">
        <v>2</v>
      </c>
      <c r="L1447" s="2" t="s">
        <v>28</v>
      </c>
      <c r="M1447" s="12">
        <f t="shared" si="45"/>
        <v>120000</v>
      </c>
      <c r="N1447" s="10">
        <f>PRODUCT(Table_13[[#This Row],[Unit Price]],Table_13[[#This Row],[Quantity]])</f>
        <v>300000</v>
      </c>
      <c r="O1447" s="16">
        <f>PRODUCT(Table_13[[#This Row],[Cost Price]],Table_13[[#This Row],[Quantity]])</f>
        <v>240000</v>
      </c>
      <c r="P1447" s="27">
        <f t="shared" si="51"/>
        <v>60000</v>
      </c>
    </row>
    <row r="1448" spans="1:16" x14ac:dyDescent="0.2">
      <c r="A1448" s="33">
        <v>47122</v>
      </c>
      <c r="B1448" s="30">
        <f t="shared" si="50"/>
        <v>1</v>
      </c>
      <c r="C1448" s="30" t="str">
        <f>_xlfn.IFS(Table_13[[#This Row],[Month]]=1,"JAN",Table_13[[#This Row],[Month]]=2,"FEB",B1448=3,"MAR",B1448=4,"APR",B1448=5,"MAY",B1448=6,"JUN",B1448=7,"JUL",B1448=8,"AUG",Table_13[[#This Row],[Month]]=9,"SEPT",B1448=10,"OCT",B1448=11,"NOV",B1448=12,"DEC")</f>
        <v>JAN</v>
      </c>
      <c r="D1448" s="2" t="s">
        <v>11</v>
      </c>
      <c r="E1448" s="2" t="s">
        <v>19</v>
      </c>
      <c r="F1448" s="2" t="s">
        <v>23</v>
      </c>
      <c r="G1448" s="2" t="s">
        <v>20</v>
      </c>
      <c r="H1448" s="2" t="s">
        <v>41</v>
      </c>
      <c r="I1448" s="2" t="s">
        <v>22</v>
      </c>
      <c r="J1448" s="15">
        <v>220000</v>
      </c>
      <c r="K1448" s="2">
        <v>4</v>
      </c>
      <c r="L1448" s="2" t="s">
        <v>28</v>
      </c>
      <c r="M1448" s="12">
        <f t="shared" si="45"/>
        <v>176000</v>
      </c>
      <c r="N1448" s="10">
        <f>PRODUCT(Table_13[[#This Row],[Unit Price]],Table_13[[#This Row],[Quantity]])</f>
        <v>880000</v>
      </c>
      <c r="O1448" s="16">
        <f>PRODUCT(Table_13[[#This Row],[Cost Price]],Table_13[[#This Row],[Quantity]])</f>
        <v>704000</v>
      </c>
      <c r="P1448" s="27">
        <f t="shared" si="51"/>
        <v>176000</v>
      </c>
    </row>
    <row r="1449" spans="1:16" x14ac:dyDescent="0.2">
      <c r="A1449" s="33">
        <v>47123</v>
      </c>
      <c r="B1449" s="30">
        <f t="shared" si="50"/>
        <v>1</v>
      </c>
      <c r="C1449" s="30" t="str">
        <f>_xlfn.IFS(Table_13[[#This Row],[Month]]=1,"JAN",Table_13[[#This Row],[Month]]=2,"FEB",B1449=3,"MAR",B1449=4,"APR",B1449=5,"MAY",B1449=6,"JUN",B1449=7,"JUL",B1449=8,"AUG",Table_13[[#This Row],[Month]]=9,"SEPT",B1449=10,"OCT",B1449=11,"NOV",B1449=12,"DEC")</f>
        <v>JAN</v>
      </c>
      <c r="D1449" s="2" t="s">
        <v>25</v>
      </c>
      <c r="E1449" s="2" t="s">
        <v>12</v>
      </c>
      <c r="F1449" s="2" t="s">
        <v>23</v>
      </c>
      <c r="G1449" s="2" t="s">
        <v>20</v>
      </c>
      <c r="H1449" s="2" t="s">
        <v>21</v>
      </c>
      <c r="I1449" s="2" t="s">
        <v>22</v>
      </c>
      <c r="J1449" s="15">
        <v>30000</v>
      </c>
      <c r="K1449" s="2">
        <v>6</v>
      </c>
      <c r="L1449" s="2" t="s">
        <v>37</v>
      </c>
      <c r="M1449" s="12">
        <f t="shared" si="45"/>
        <v>24000</v>
      </c>
      <c r="N1449" s="10">
        <f>PRODUCT(Table_13[[#This Row],[Unit Price]],Table_13[[#This Row],[Quantity]])</f>
        <v>180000</v>
      </c>
      <c r="O1449" s="16">
        <f>PRODUCT(Table_13[[#This Row],[Cost Price]],Table_13[[#This Row],[Quantity]])</f>
        <v>144000</v>
      </c>
      <c r="P1449" s="27">
        <f t="shared" si="51"/>
        <v>36000</v>
      </c>
    </row>
    <row r="1450" spans="1:16" x14ac:dyDescent="0.2">
      <c r="A1450" s="33">
        <v>47124</v>
      </c>
      <c r="B1450" s="30">
        <f t="shared" si="50"/>
        <v>1</v>
      </c>
      <c r="C1450" s="30" t="str">
        <f>_xlfn.IFS(Table_13[[#This Row],[Month]]=1,"JAN",Table_13[[#This Row],[Month]]=2,"FEB",B1450=3,"MAR",B1450=4,"APR",B1450=5,"MAY",B1450=6,"JUN",B1450=7,"JUL",B1450=8,"AUG",Table_13[[#This Row],[Month]]=9,"SEPT",B1450=10,"OCT",B1450=11,"NOV",B1450=12,"DEC")</f>
        <v>JAN</v>
      </c>
      <c r="D1450" s="2" t="s">
        <v>18</v>
      </c>
      <c r="E1450" s="2" t="s">
        <v>32</v>
      </c>
      <c r="F1450" s="2" t="s">
        <v>13</v>
      </c>
      <c r="G1450" s="2" t="s">
        <v>20</v>
      </c>
      <c r="H1450" s="2" t="s">
        <v>15</v>
      </c>
      <c r="I1450" s="2" t="s">
        <v>16</v>
      </c>
      <c r="J1450" s="15">
        <v>85000</v>
      </c>
      <c r="K1450" s="2">
        <v>3</v>
      </c>
      <c r="L1450" s="2" t="s">
        <v>28</v>
      </c>
      <c r="M1450" s="12">
        <f t="shared" si="45"/>
        <v>68000</v>
      </c>
      <c r="N1450" s="10">
        <f>PRODUCT(Table_13[[#This Row],[Unit Price]],Table_13[[#This Row],[Quantity]])</f>
        <v>255000</v>
      </c>
      <c r="O1450" s="16">
        <f>PRODUCT(Table_13[[#This Row],[Cost Price]],Table_13[[#This Row],[Quantity]])</f>
        <v>204000</v>
      </c>
      <c r="P1450" s="27">
        <f t="shared" si="51"/>
        <v>51000</v>
      </c>
    </row>
    <row r="1451" spans="1:16" x14ac:dyDescent="0.2">
      <c r="A1451" s="33">
        <v>47125</v>
      </c>
      <c r="B1451" s="30">
        <f t="shared" si="50"/>
        <v>1</v>
      </c>
      <c r="C1451" s="30" t="str">
        <f>_xlfn.IFS(Table_13[[#This Row],[Month]]=1,"JAN",Table_13[[#This Row],[Month]]=2,"FEB",B1451=3,"MAR",B1451=4,"APR",B1451=5,"MAY",B1451=6,"JUN",B1451=7,"JUL",B1451=8,"AUG",Table_13[[#This Row],[Month]]=9,"SEPT",B1451=10,"OCT",B1451=11,"NOV",B1451=12,"DEC")</f>
        <v>JAN</v>
      </c>
      <c r="D1451" s="2" t="s">
        <v>18</v>
      </c>
      <c r="E1451" s="2" t="s">
        <v>19</v>
      </c>
      <c r="F1451" s="2" t="s">
        <v>13</v>
      </c>
      <c r="G1451" s="2" t="s">
        <v>20</v>
      </c>
      <c r="H1451" s="2" t="s">
        <v>15</v>
      </c>
      <c r="I1451" s="2" t="s">
        <v>16</v>
      </c>
      <c r="J1451" s="15">
        <v>85000</v>
      </c>
      <c r="K1451" s="2">
        <v>2</v>
      </c>
      <c r="L1451" s="2" t="s">
        <v>17</v>
      </c>
      <c r="M1451" s="12">
        <f t="shared" si="45"/>
        <v>68000</v>
      </c>
      <c r="N1451" s="10">
        <f>PRODUCT(Table_13[[#This Row],[Unit Price]],Table_13[[#This Row],[Quantity]])</f>
        <v>170000</v>
      </c>
      <c r="O1451" s="16">
        <f>PRODUCT(Table_13[[#This Row],[Cost Price]],Table_13[[#This Row],[Quantity]])</f>
        <v>136000</v>
      </c>
      <c r="P1451" s="27">
        <f t="shared" si="51"/>
        <v>34000</v>
      </c>
    </row>
    <row r="1452" spans="1:16" x14ac:dyDescent="0.2">
      <c r="A1452" s="33">
        <v>47126</v>
      </c>
      <c r="B1452" s="30">
        <f t="shared" si="50"/>
        <v>1</v>
      </c>
      <c r="C1452" s="30" t="str">
        <f>_xlfn.IFS(Table_13[[#This Row],[Month]]=1,"JAN",Table_13[[#This Row],[Month]]=2,"FEB",B1452=3,"MAR",B1452=4,"APR",B1452=5,"MAY",B1452=6,"JUN",B1452=7,"JUL",B1452=8,"AUG",Table_13[[#This Row],[Month]]=9,"SEPT",B1452=10,"OCT",B1452=11,"NOV",B1452=12,"DEC")</f>
        <v>JAN</v>
      </c>
      <c r="D1452" s="2" t="s">
        <v>29</v>
      </c>
      <c r="E1452" s="2" t="s">
        <v>19</v>
      </c>
      <c r="F1452" s="2" t="s">
        <v>13</v>
      </c>
      <c r="G1452" s="2" t="s">
        <v>20</v>
      </c>
      <c r="H1452" s="2" t="s">
        <v>40</v>
      </c>
      <c r="I1452" s="2" t="s">
        <v>31</v>
      </c>
      <c r="J1452" s="15">
        <v>250000</v>
      </c>
      <c r="K1452" s="2">
        <v>10</v>
      </c>
      <c r="L1452" s="2" t="s">
        <v>28</v>
      </c>
      <c r="M1452" s="12">
        <f t="shared" si="45"/>
        <v>200000</v>
      </c>
      <c r="N1452" s="10">
        <f>PRODUCT(Table_13[[#This Row],[Unit Price]],Table_13[[#This Row],[Quantity]])</f>
        <v>2500000</v>
      </c>
      <c r="O1452" s="16">
        <f>PRODUCT(Table_13[[#This Row],[Cost Price]],Table_13[[#This Row],[Quantity]])</f>
        <v>2000000</v>
      </c>
      <c r="P1452" s="27">
        <f t="shared" si="51"/>
        <v>500000</v>
      </c>
    </row>
    <row r="1453" spans="1:16" x14ac:dyDescent="0.2">
      <c r="A1453" s="33">
        <v>47127</v>
      </c>
      <c r="B1453" s="30">
        <f t="shared" si="50"/>
        <v>1</v>
      </c>
      <c r="C1453" s="30" t="str">
        <f>_xlfn.IFS(Table_13[[#This Row],[Month]]=1,"JAN",Table_13[[#This Row],[Month]]=2,"FEB",B1453=3,"MAR",B1453=4,"APR",B1453=5,"MAY",B1453=6,"JUN",B1453=7,"JUL",B1453=8,"AUG",Table_13[[#This Row],[Month]]=9,"SEPT",B1453=10,"OCT",B1453=11,"NOV",B1453=12,"DEC")</f>
        <v>JAN</v>
      </c>
      <c r="D1453" s="2" t="s">
        <v>11</v>
      </c>
      <c r="E1453" s="2" t="s">
        <v>19</v>
      </c>
      <c r="F1453" s="2" t="s">
        <v>23</v>
      </c>
      <c r="G1453" s="2" t="s">
        <v>20</v>
      </c>
      <c r="H1453" s="2" t="s">
        <v>41</v>
      </c>
      <c r="I1453" s="2" t="s">
        <v>22</v>
      </c>
      <c r="J1453" s="15">
        <v>220000</v>
      </c>
      <c r="K1453" s="2">
        <v>2</v>
      </c>
      <c r="L1453" s="2" t="s">
        <v>37</v>
      </c>
      <c r="M1453" s="12">
        <f t="shared" si="45"/>
        <v>176000</v>
      </c>
      <c r="N1453" s="10">
        <f>PRODUCT(Table_13[[#This Row],[Unit Price]],Table_13[[#This Row],[Quantity]])</f>
        <v>440000</v>
      </c>
      <c r="O1453" s="16">
        <f>PRODUCT(Table_13[[#This Row],[Cost Price]],Table_13[[#This Row],[Quantity]])</f>
        <v>352000</v>
      </c>
      <c r="P1453" s="27">
        <f t="shared" si="51"/>
        <v>88000</v>
      </c>
    </row>
    <row r="1454" spans="1:16" x14ac:dyDescent="0.2">
      <c r="A1454" s="33">
        <v>47128</v>
      </c>
      <c r="B1454" s="30">
        <f t="shared" si="50"/>
        <v>1</v>
      </c>
      <c r="C1454" s="30" t="str">
        <f>_xlfn.IFS(Table_13[[#This Row],[Month]]=1,"JAN",Table_13[[#This Row],[Month]]=2,"FEB",B1454=3,"MAR",B1454=4,"APR",B1454=5,"MAY",B1454=6,"JUN",B1454=7,"JUL",B1454=8,"AUG",Table_13[[#This Row],[Month]]=9,"SEPT",B1454=10,"OCT",B1454=11,"NOV",B1454=12,"DEC")</f>
        <v>JAN</v>
      </c>
      <c r="D1454" s="2" t="s">
        <v>11</v>
      </c>
      <c r="E1454" s="2" t="s">
        <v>12</v>
      </c>
      <c r="F1454" s="2" t="s">
        <v>23</v>
      </c>
      <c r="G1454" s="2" t="s">
        <v>20</v>
      </c>
      <c r="H1454" s="2" t="s">
        <v>30</v>
      </c>
      <c r="I1454" s="2" t="s">
        <v>31</v>
      </c>
      <c r="J1454" s="15">
        <v>300000</v>
      </c>
      <c r="K1454" s="2">
        <v>9</v>
      </c>
      <c r="L1454" s="2" t="s">
        <v>37</v>
      </c>
      <c r="M1454" s="12">
        <f t="shared" si="45"/>
        <v>240000</v>
      </c>
      <c r="N1454" s="10">
        <f>PRODUCT(Table_13[[#This Row],[Unit Price]],Table_13[[#This Row],[Quantity]])</f>
        <v>2700000</v>
      </c>
      <c r="O1454" s="16">
        <f>PRODUCT(Table_13[[#This Row],[Cost Price]],Table_13[[#This Row],[Quantity]])</f>
        <v>2160000</v>
      </c>
      <c r="P1454" s="27">
        <f t="shared" si="51"/>
        <v>540000</v>
      </c>
    </row>
    <row r="1455" spans="1:16" x14ac:dyDescent="0.2">
      <c r="A1455" s="33">
        <v>47129</v>
      </c>
      <c r="B1455" s="30">
        <f t="shared" si="50"/>
        <v>1</v>
      </c>
      <c r="C1455" s="30" t="str">
        <f>_xlfn.IFS(Table_13[[#This Row],[Month]]=1,"JAN",Table_13[[#This Row],[Month]]=2,"FEB",B1455=3,"MAR",B1455=4,"APR",B1455=5,"MAY",B1455=6,"JUN",B1455=7,"JUL",B1455=8,"AUG",Table_13[[#This Row],[Month]]=9,"SEPT",B1455=10,"OCT",B1455=11,"NOV",B1455=12,"DEC")</f>
        <v>JAN</v>
      </c>
      <c r="D1455" s="2" t="s">
        <v>18</v>
      </c>
      <c r="E1455" s="2" t="s">
        <v>32</v>
      </c>
      <c r="F1455" s="2" t="s">
        <v>13</v>
      </c>
      <c r="G1455" s="2" t="s">
        <v>20</v>
      </c>
      <c r="H1455" s="2" t="s">
        <v>41</v>
      </c>
      <c r="I1455" s="2" t="s">
        <v>22</v>
      </c>
      <c r="J1455" s="15">
        <v>220000</v>
      </c>
      <c r="K1455" s="2">
        <v>3</v>
      </c>
      <c r="L1455" s="2" t="s">
        <v>24</v>
      </c>
      <c r="M1455" s="12">
        <f t="shared" si="45"/>
        <v>176000</v>
      </c>
      <c r="N1455" s="10">
        <f>PRODUCT(Table_13[[#This Row],[Unit Price]],Table_13[[#This Row],[Quantity]])</f>
        <v>660000</v>
      </c>
      <c r="O1455" s="16">
        <f>PRODUCT(Table_13[[#This Row],[Cost Price]],Table_13[[#This Row],[Quantity]])</f>
        <v>528000</v>
      </c>
      <c r="P1455" s="27">
        <f t="shared" si="51"/>
        <v>132000</v>
      </c>
    </row>
    <row r="1456" spans="1:16" x14ac:dyDescent="0.2">
      <c r="A1456" s="33">
        <v>47130</v>
      </c>
      <c r="B1456" s="30">
        <f t="shared" si="50"/>
        <v>1</v>
      </c>
      <c r="C1456" s="30" t="str">
        <f>_xlfn.IFS(Table_13[[#This Row],[Month]]=1,"JAN",Table_13[[#This Row],[Month]]=2,"FEB",B1456=3,"MAR",B1456=4,"APR",B1456=5,"MAY",B1456=6,"JUN",B1456=7,"JUL",B1456=8,"AUG",Table_13[[#This Row],[Month]]=9,"SEPT",B1456=10,"OCT",B1456=11,"NOV",B1456=12,"DEC")</f>
        <v>JAN</v>
      </c>
      <c r="D1456" s="2" t="s">
        <v>18</v>
      </c>
      <c r="E1456" s="2" t="s">
        <v>32</v>
      </c>
      <c r="F1456" s="2" t="s">
        <v>23</v>
      </c>
      <c r="G1456" s="2" t="s">
        <v>20</v>
      </c>
      <c r="H1456" s="2" t="s">
        <v>40</v>
      </c>
      <c r="I1456" s="2" t="s">
        <v>31</v>
      </c>
      <c r="J1456" s="15">
        <v>250000</v>
      </c>
      <c r="K1456" s="2">
        <v>8</v>
      </c>
      <c r="L1456" s="2" t="s">
        <v>28</v>
      </c>
      <c r="M1456" s="12">
        <f t="shared" si="45"/>
        <v>200000</v>
      </c>
      <c r="N1456" s="10">
        <f>PRODUCT(Table_13[[#This Row],[Unit Price]],Table_13[[#This Row],[Quantity]])</f>
        <v>2000000</v>
      </c>
      <c r="O1456" s="16">
        <f>PRODUCT(Table_13[[#This Row],[Cost Price]],Table_13[[#This Row],[Quantity]])</f>
        <v>1600000</v>
      </c>
      <c r="P1456" s="27">
        <f t="shared" si="51"/>
        <v>400000</v>
      </c>
    </row>
    <row r="1457" spans="1:16" x14ac:dyDescent="0.2">
      <c r="A1457" s="33">
        <v>47131</v>
      </c>
      <c r="B1457" s="30">
        <f t="shared" si="50"/>
        <v>1</v>
      </c>
      <c r="C1457" s="30" t="str">
        <f>_xlfn.IFS(Table_13[[#This Row],[Month]]=1,"JAN",Table_13[[#This Row],[Month]]=2,"FEB",B1457=3,"MAR",B1457=4,"APR",B1457=5,"MAY",B1457=6,"JUN",B1457=7,"JUL",B1457=8,"AUG",Table_13[[#This Row],[Month]]=9,"SEPT",B1457=10,"OCT",B1457=11,"NOV",B1457=12,"DEC")</f>
        <v>JAN</v>
      </c>
      <c r="D1457" s="2" t="s">
        <v>25</v>
      </c>
      <c r="E1457" s="2" t="s">
        <v>19</v>
      </c>
      <c r="F1457" s="2" t="s">
        <v>23</v>
      </c>
      <c r="G1457" s="2" t="s">
        <v>20</v>
      </c>
      <c r="H1457" s="2" t="s">
        <v>40</v>
      </c>
      <c r="I1457" s="2" t="s">
        <v>31</v>
      </c>
      <c r="J1457" s="15">
        <v>250000</v>
      </c>
      <c r="K1457" s="2">
        <v>5</v>
      </c>
      <c r="L1457" s="2" t="s">
        <v>39</v>
      </c>
      <c r="M1457" s="12">
        <f t="shared" si="45"/>
        <v>200000</v>
      </c>
      <c r="N1457" s="10">
        <f>PRODUCT(Table_13[[#This Row],[Unit Price]],Table_13[[#This Row],[Quantity]])</f>
        <v>1250000</v>
      </c>
      <c r="O1457" s="16">
        <f>PRODUCT(Table_13[[#This Row],[Cost Price]],Table_13[[#This Row],[Quantity]])</f>
        <v>1000000</v>
      </c>
      <c r="P1457" s="27">
        <f t="shared" si="51"/>
        <v>250000</v>
      </c>
    </row>
    <row r="1458" spans="1:16" x14ac:dyDescent="0.2">
      <c r="A1458" s="33">
        <v>47132</v>
      </c>
      <c r="B1458" s="30">
        <f t="shared" si="50"/>
        <v>1</v>
      </c>
      <c r="C1458" s="30" t="str">
        <f>_xlfn.IFS(Table_13[[#This Row],[Month]]=1,"JAN",Table_13[[#This Row],[Month]]=2,"FEB",B1458=3,"MAR",B1458=4,"APR",B1458=5,"MAY",B1458=6,"JUN",B1458=7,"JUL",B1458=8,"AUG",Table_13[[#This Row],[Month]]=9,"SEPT",B1458=10,"OCT",B1458=11,"NOV",B1458=12,"DEC")</f>
        <v>JAN</v>
      </c>
      <c r="D1458" s="2" t="s">
        <v>29</v>
      </c>
      <c r="E1458" s="2" t="s">
        <v>32</v>
      </c>
      <c r="F1458" s="2" t="s">
        <v>13</v>
      </c>
      <c r="G1458" s="2" t="s">
        <v>20</v>
      </c>
      <c r="H1458" s="2" t="s">
        <v>38</v>
      </c>
      <c r="I1458" s="2" t="s">
        <v>31</v>
      </c>
      <c r="J1458" s="15">
        <v>420000</v>
      </c>
      <c r="K1458" s="2">
        <v>5</v>
      </c>
      <c r="L1458" s="2" t="s">
        <v>24</v>
      </c>
      <c r="M1458" s="12">
        <f t="shared" si="45"/>
        <v>336000</v>
      </c>
      <c r="N1458" s="10">
        <f>PRODUCT(Table_13[[#This Row],[Unit Price]],Table_13[[#This Row],[Quantity]])</f>
        <v>2100000</v>
      </c>
      <c r="O1458" s="16">
        <f>PRODUCT(Table_13[[#This Row],[Cost Price]],Table_13[[#This Row],[Quantity]])</f>
        <v>1680000</v>
      </c>
      <c r="P1458" s="27">
        <f t="shared" si="51"/>
        <v>420000</v>
      </c>
    </row>
    <row r="1459" spans="1:16" x14ac:dyDescent="0.2">
      <c r="A1459" s="33">
        <v>47133</v>
      </c>
      <c r="B1459" s="30">
        <f t="shared" si="50"/>
        <v>1</v>
      </c>
      <c r="C1459" s="30" t="str">
        <f>_xlfn.IFS(Table_13[[#This Row],[Month]]=1,"JAN",Table_13[[#This Row],[Month]]=2,"FEB",B1459=3,"MAR",B1459=4,"APR",B1459=5,"MAY",B1459=6,"JUN",B1459=7,"JUL",B1459=8,"AUG",Table_13[[#This Row],[Month]]=9,"SEPT",B1459=10,"OCT",B1459=11,"NOV",B1459=12,"DEC")</f>
        <v>JAN</v>
      </c>
      <c r="D1459" s="2" t="s">
        <v>25</v>
      </c>
      <c r="E1459" s="2" t="s">
        <v>19</v>
      </c>
      <c r="F1459" s="2" t="s">
        <v>13</v>
      </c>
      <c r="G1459" s="2" t="s">
        <v>20</v>
      </c>
      <c r="H1459" s="2" t="s">
        <v>27</v>
      </c>
      <c r="I1459" s="2" t="s">
        <v>22</v>
      </c>
      <c r="J1459" s="15">
        <v>60000</v>
      </c>
      <c r="K1459" s="2">
        <v>7</v>
      </c>
      <c r="L1459" s="2" t="s">
        <v>39</v>
      </c>
      <c r="M1459" s="12">
        <f t="shared" si="45"/>
        <v>48000</v>
      </c>
      <c r="N1459" s="10">
        <f>PRODUCT(Table_13[[#This Row],[Unit Price]],Table_13[[#This Row],[Quantity]])</f>
        <v>420000</v>
      </c>
      <c r="O1459" s="16">
        <f>PRODUCT(Table_13[[#This Row],[Cost Price]],Table_13[[#This Row],[Quantity]])</f>
        <v>336000</v>
      </c>
      <c r="P1459" s="27">
        <f t="shared" si="51"/>
        <v>84000</v>
      </c>
    </row>
    <row r="1460" spans="1:16" x14ac:dyDescent="0.2">
      <c r="A1460" s="33">
        <v>47134</v>
      </c>
      <c r="B1460" s="30">
        <f t="shared" si="50"/>
        <v>1</v>
      </c>
      <c r="C1460" s="30" t="str">
        <f>_xlfn.IFS(Table_13[[#This Row],[Month]]=1,"JAN",Table_13[[#This Row],[Month]]=2,"FEB",B1460=3,"MAR",B1460=4,"APR",B1460=5,"MAY",B1460=6,"JUN",B1460=7,"JUL",B1460=8,"AUG",Table_13[[#This Row],[Month]]=9,"SEPT",B1460=10,"OCT",B1460=11,"NOV",B1460=12,"DEC")</f>
        <v>JAN</v>
      </c>
      <c r="D1460" s="2" t="s">
        <v>18</v>
      </c>
      <c r="E1460" s="2" t="s">
        <v>26</v>
      </c>
      <c r="F1460" s="2" t="s">
        <v>13</v>
      </c>
      <c r="G1460" s="2" t="s">
        <v>20</v>
      </c>
      <c r="H1460" s="2" t="s">
        <v>21</v>
      </c>
      <c r="I1460" s="2" t="s">
        <v>22</v>
      </c>
      <c r="J1460" s="15">
        <v>30000</v>
      </c>
      <c r="K1460" s="2">
        <v>8</v>
      </c>
      <c r="L1460" s="2" t="s">
        <v>17</v>
      </c>
      <c r="M1460" s="12">
        <f t="shared" si="45"/>
        <v>24000</v>
      </c>
      <c r="N1460" s="10">
        <f>PRODUCT(Table_13[[#This Row],[Unit Price]],Table_13[[#This Row],[Quantity]])</f>
        <v>240000</v>
      </c>
      <c r="O1460" s="16">
        <f>PRODUCT(Table_13[[#This Row],[Cost Price]],Table_13[[#This Row],[Quantity]])</f>
        <v>192000</v>
      </c>
      <c r="P1460" s="27">
        <f t="shared" si="51"/>
        <v>48000</v>
      </c>
    </row>
    <row r="1461" spans="1:16" x14ac:dyDescent="0.2">
      <c r="A1461" s="33">
        <v>47135</v>
      </c>
      <c r="B1461" s="30">
        <f t="shared" si="50"/>
        <v>1</v>
      </c>
      <c r="C1461" s="30" t="str">
        <f>_xlfn.IFS(Table_13[[#This Row],[Month]]=1,"JAN",Table_13[[#This Row],[Month]]=2,"FEB",B1461=3,"MAR",B1461=4,"APR",B1461=5,"MAY",B1461=6,"JUN",B1461=7,"JUL",B1461=8,"AUG",Table_13[[#This Row],[Month]]=9,"SEPT",B1461=10,"OCT",B1461=11,"NOV",B1461=12,"DEC")</f>
        <v>JAN</v>
      </c>
      <c r="D1461" s="2" t="s">
        <v>29</v>
      </c>
      <c r="E1461" s="2" t="s">
        <v>12</v>
      </c>
      <c r="F1461" s="2" t="s">
        <v>23</v>
      </c>
      <c r="G1461" s="2" t="s">
        <v>20</v>
      </c>
      <c r="H1461" s="2" t="s">
        <v>40</v>
      </c>
      <c r="I1461" s="2" t="s">
        <v>31</v>
      </c>
      <c r="J1461" s="15">
        <v>250000</v>
      </c>
      <c r="K1461" s="2">
        <v>2</v>
      </c>
      <c r="L1461" s="2" t="s">
        <v>28</v>
      </c>
      <c r="M1461" s="12">
        <f t="shared" si="45"/>
        <v>200000</v>
      </c>
      <c r="N1461" s="10">
        <f>PRODUCT(Table_13[[#This Row],[Unit Price]],Table_13[[#This Row],[Quantity]])</f>
        <v>500000</v>
      </c>
      <c r="O1461" s="16">
        <f>PRODUCT(Table_13[[#This Row],[Cost Price]],Table_13[[#This Row],[Quantity]])</f>
        <v>400000</v>
      </c>
      <c r="P1461" s="27">
        <f t="shared" si="51"/>
        <v>100000</v>
      </c>
    </row>
    <row r="1462" spans="1:16" x14ac:dyDescent="0.2">
      <c r="A1462" s="33">
        <v>47136</v>
      </c>
      <c r="B1462" s="30">
        <f t="shared" si="50"/>
        <v>1</v>
      </c>
      <c r="C1462" s="30" t="str">
        <f>_xlfn.IFS(Table_13[[#This Row],[Month]]=1,"JAN",Table_13[[#This Row],[Month]]=2,"FEB",B1462=3,"MAR",B1462=4,"APR",B1462=5,"MAY",B1462=6,"JUN",B1462=7,"JUL",B1462=8,"AUG",Table_13[[#This Row],[Month]]=9,"SEPT",B1462=10,"OCT",B1462=11,"NOV",B1462=12,"DEC")</f>
        <v>JAN</v>
      </c>
      <c r="D1462" s="2" t="s">
        <v>18</v>
      </c>
      <c r="E1462" s="2" t="s">
        <v>12</v>
      </c>
      <c r="F1462" s="2" t="s">
        <v>13</v>
      </c>
      <c r="G1462" s="2" t="s">
        <v>20</v>
      </c>
      <c r="H1462" s="2" t="s">
        <v>27</v>
      </c>
      <c r="I1462" s="2" t="s">
        <v>22</v>
      </c>
      <c r="J1462" s="15">
        <v>60000</v>
      </c>
      <c r="K1462" s="2">
        <v>8</v>
      </c>
      <c r="L1462" s="2" t="s">
        <v>39</v>
      </c>
      <c r="M1462" s="12">
        <f t="shared" si="45"/>
        <v>48000</v>
      </c>
      <c r="N1462" s="10">
        <f>PRODUCT(Table_13[[#This Row],[Unit Price]],Table_13[[#This Row],[Quantity]])</f>
        <v>480000</v>
      </c>
      <c r="O1462" s="16">
        <f>PRODUCT(Table_13[[#This Row],[Cost Price]],Table_13[[#This Row],[Quantity]])</f>
        <v>384000</v>
      </c>
      <c r="P1462" s="27">
        <f t="shared" si="51"/>
        <v>96000</v>
      </c>
    </row>
    <row r="1463" spans="1:16" x14ac:dyDescent="0.2">
      <c r="A1463" s="33">
        <v>47137</v>
      </c>
      <c r="B1463" s="30">
        <f t="shared" si="50"/>
        <v>1</v>
      </c>
      <c r="C1463" s="30" t="str">
        <f>_xlfn.IFS(Table_13[[#This Row],[Month]]=1,"JAN",Table_13[[#This Row],[Month]]=2,"FEB",B1463=3,"MAR",B1463=4,"APR",B1463=5,"MAY",B1463=6,"JUN",B1463=7,"JUL",B1463=8,"AUG",Table_13[[#This Row],[Month]]=9,"SEPT",B1463=10,"OCT",B1463=11,"NOV",B1463=12,"DEC")</f>
        <v>JAN</v>
      </c>
      <c r="D1463" s="2" t="s">
        <v>11</v>
      </c>
      <c r="E1463" s="2" t="s">
        <v>12</v>
      </c>
      <c r="F1463" s="2" t="s">
        <v>13</v>
      </c>
      <c r="G1463" s="2" t="s">
        <v>20</v>
      </c>
      <c r="H1463" s="2" t="s">
        <v>21</v>
      </c>
      <c r="I1463" s="2" t="s">
        <v>22</v>
      </c>
      <c r="J1463" s="15">
        <v>30000</v>
      </c>
      <c r="K1463" s="2">
        <v>7</v>
      </c>
      <c r="L1463" s="2" t="s">
        <v>37</v>
      </c>
      <c r="M1463" s="12">
        <f t="shared" si="45"/>
        <v>24000</v>
      </c>
      <c r="N1463" s="10">
        <f>PRODUCT(Table_13[[#This Row],[Unit Price]],Table_13[[#This Row],[Quantity]])</f>
        <v>210000</v>
      </c>
      <c r="O1463" s="16">
        <f>PRODUCT(Table_13[[#This Row],[Cost Price]],Table_13[[#This Row],[Quantity]])</f>
        <v>168000</v>
      </c>
      <c r="P1463" s="27">
        <f t="shared" si="51"/>
        <v>42000</v>
      </c>
    </row>
    <row r="1464" spans="1:16" x14ac:dyDescent="0.2">
      <c r="A1464" s="33">
        <v>47138</v>
      </c>
      <c r="B1464" s="30">
        <f t="shared" si="50"/>
        <v>1</v>
      </c>
      <c r="C1464" s="30" t="str">
        <f>_xlfn.IFS(Table_13[[#This Row],[Month]]=1,"JAN",Table_13[[#This Row],[Month]]=2,"FEB",B1464=3,"MAR",B1464=4,"APR",B1464=5,"MAY",B1464=6,"JUN",B1464=7,"JUL",B1464=8,"AUG",Table_13[[#This Row],[Month]]=9,"SEPT",B1464=10,"OCT",B1464=11,"NOV",B1464=12,"DEC")</f>
        <v>JAN</v>
      </c>
      <c r="D1464" s="2" t="s">
        <v>25</v>
      </c>
      <c r="E1464" s="2" t="s">
        <v>19</v>
      </c>
      <c r="F1464" s="2" t="s">
        <v>23</v>
      </c>
      <c r="G1464" s="2" t="s">
        <v>20</v>
      </c>
      <c r="H1464" s="2" t="s">
        <v>21</v>
      </c>
      <c r="I1464" s="2" t="s">
        <v>22</v>
      </c>
      <c r="J1464" s="15">
        <v>30000</v>
      </c>
      <c r="K1464" s="2">
        <v>3</v>
      </c>
      <c r="L1464" s="2" t="s">
        <v>17</v>
      </c>
      <c r="M1464" s="12">
        <f t="shared" si="45"/>
        <v>24000</v>
      </c>
      <c r="N1464" s="10">
        <f>PRODUCT(Table_13[[#This Row],[Unit Price]],Table_13[[#This Row],[Quantity]])</f>
        <v>90000</v>
      </c>
      <c r="O1464" s="16">
        <f>PRODUCT(Table_13[[#This Row],[Cost Price]],Table_13[[#This Row],[Quantity]])</f>
        <v>72000</v>
      </c>
      <c r="P1464" s="27">
        <f t="shared" si="51"/>
        <v>18000</v>
      </c>
    </row>
    <row r="1465" spans="1:16" x14ac:dyDescent="0.2">
      <c r="A1465" s="33">
        <v>47139</v>
      </c>
      <c r="B1465" s="30">
        <f t="shared" si="50"/>
        <v>1</v>
      </c>
      <c r="C1465" s="30" t="str">
        <f>_xlfn.IFS(Table_13[[#This Row],[Month]]=1,"JAN",Table_13[[#This Row],[Month]]=2,"FEB",B1465=3,"MAR",B1465=4,"APR",B1465=5,"MAY",B1465=6,"JUN",B1465=7,"JUL",B1465=8,"AUG",Table_13[[#This Row],[Month]]=9,"SEPT",B1465=10,"OCT",B1465=11,"NOV",B1465=12,"DEC")</f>
        <v>JAN</v>
      </c>
      <c r="D1465" s="2" t="s">
        <v>25</v>
      </c>
      <c r="E1465" s="2" t="s">
        <v>26</v>
      </c>
      <c r="F1465" s="2" t="s">
        <v>23</v>
      </c>
      <c r="G1465" s="2" t="s">
        <v>20</v>
      </c>
      <c r="H1465" s="2" t="s">
        <v>33</v>
      </c>
      <c r="I1465" s="2" t="s">
        <v>22</v>
      </c>
      <c r="J1465" s="15">
        <v>180000</v>
      </c>
      <c r="K1465" s="2">
        <v>5</v>
      </c>
      <c r="L1465" s="2" t="s">
        <v>37</v>
      </c>
      <c r="M1465" s="12">
        <f t="shared" si="45"/>
        <v>144000</v>
      </c>
      <c r="N1465" s="10">
        <f>PRODUCT(Table_13[[#This Row],[Unit Price]],Table_13[[#This Row],[Quantity]])</f>
        <v>900000</v>
      </c>
      <c r="O1465" s="16">
        <f>PRODUCT(Table_13[[#This Row],[Cost Price]],Table_13[[#This Row],[Quantity]])</f>
        <v>720000</v>
      </c>
      <c r="P1465" s="27">
        <f t="shared" si="51"/>
        <v>180000</v>
      </c>
    </row>
    <row r="1466" spans="1:16" x14ac:dyDescent="0.2">
      <c r="A1466" s="33">
        <v>47140</v>
      </c>
      <c r="B1466" s="30">
        <f t="shared" si="50"/>
        <v>1</v>
      </c>
      <c r="C1466" s="30" t="str">
        <f>_xlfn.IFS(Table_13[[#This Row],[Month]]=1,"JAN",Table_13[[#This Row],[Month]]=2,"FEB",B1466=3,"MAR",B1466=4,"APR",B1466=5,"MAY",B1466=6,"JUN",B1466=7,"JUL",B1466=8,"AUG",Table_13[[#This Row],[Month]]=9,"SEPT",B1466=10,"OCT",B1466=11,"NOV",B1466=12,"DEC")</f>
        <v>JAN</v>
      </c>
      <c r="D1466" s="2" t="s">
        <v>18</v>
      </c>
      <c r="E1466" s="2" t="s">
        <v>32</v>
      </c>
      <c r="F1466" s="2" t="s">
        <v>13</v>
      </c>
      <c r="G1466" s="2" t="s">
        <v>20</v>
      </c>
      <c r="H1466" s="2" t="s">
        <v>40</v>
      </c>
      <c r="I1466" s="2" t="s">
        <v>31</v>
      </c>
      <c r="J1466" s="15">
        <v>250000</v>
      </c>
      <c r="K1466" s="2">
        <v>5</v>
      </c>
      <c r="L1466" s="2" t="s">
        <v>35</v>
      </c>
      <c r="M1466" s="12">
        <f t="shared" si="45"/>
        <v>200000</v>
      </c>
      <c r="N1466" s="10">
        <f>PRODUCT(Table_13[[#This Row],[Unit Price]],Table_13[[#This Row],[Quantity]])</f>
        <v>1250000</v>
      </c>
      <c r="O1466" s="16">
        <f>PRODUCT(Table_13[[#This Row],[Cost Price]],Table_13[[#This Row],[Quantity]])</f>
        <v>1000000</v>
      </c>
      <c r="P1466" s="27">
        <f t="shared" si="51"/>
        <v>250000</v>
      </c>
    </row>
    <row r="1467" spans="1:16" x14ac:dyDescent="0.2">
      <c r="A1467" s="33">
        <v>47141</v>
      </c>
      <c r="B1467" s="30">
        <f t="shared" si="50"/>
        <v>1</v>
      </c>
      <c r="C1467" s="30" t="str">
        <f>_xlfn.IFS(Table_13[[#This Row],[Month]]=1,"JAN",Table_13[[#This Row],[Month]]=2,"FEB",B1467=3,"MAR",B1467=4,"APR",B1467=5,"MAY",B1467=6,"JUN",B1467=7,"JUL",B1467=8,"AUG",Table_13[[#This Row],[Month]]=9,"SEPT",B1467=10,"OCT",B1467=11,"NOV",B1467=12,"DEC")</f>
        <v>JAN</v>
      </c>
      <c r="D1467" s="2" t="s">
        <v>18</v>
      </c>
      <c r="E1467" s="2" t="s">
        <v>12</v>
      </c>
      <c r="F1467" s="2" t="s">
        <v>13</v>
      </c>
      <c r="G1467" s="2" t="s">
        <v>20</v>
      </c>
      <c r="H1467" s="2" t="s">
        <v>15</v>
      </c>
      <c r="I1467" s="2" t="s">
        <v>16</v>
      </c>
      <c r="J1467" s="15">
        <v>85000</v>
      </c>
      <c r="K1467" s="2">
        <v>3</v>
      </c>
      <c r="L1467" s="2" t="s">
        <v>37</v>
      </c>
      <c r="M1467" s="12">
        <f t="shared" si="45"/>
        <v>68000</v>
      </c>
      <c r="N1467" s="10">
        <f>PRODUCT(Table_13[[#This Row],[Unit Price]],Table_13[[#This Row],[Quantity]])</f>
        <v>255000</v>
      </c>
      <c r="O1467" s="16">
        <f>PRODUCT(Table_13[[#This Row],[Cost Price]],Table_13[[#This Row],[Quantity]])</f>
        <v>204000</v>
      </c>
      <c r="P1467" s="27">
        <f t="shared" si="51"/>
        <v>51000</v>
      </c>
    </row>
    <row r="1468" spans="1:16" x14ac:dyDescent="0.2">
      <c r="A1468" s="33">
        <v>47142</v>
      </c>
      <c r="B1468" s="30">
        <f t="shared" si="50"/>
        <v>1</v>
      </c>
      <c r="C1468" s="30" t="str">
        <f>_xlfn.IFS(Table_13[[#This Row],[Month]]=1,"JAN",Table_13[[#This Row],[Month]]=2,"FEB",B1468=3,"MAR",B1468=4,"APR",B1468=5,"MAY",B1468=6,"JUN",B1468=7,"JUL",B1468=8,"AUG",Table_13[[#This Row],[Month]]=9,"SEPT",B1468=10,"OCT",B1468=11,"NOV",B1468=12,"DEC")</f>
        <v>JAN</v>
      </c>
      <c r="D1468" s="2" t="s">
        <v>29</v>
      </c>
      <c r="E1468" s="2" t="s">
        <v>12</v>
      </c>
      <c r="F1468" s="2" t="s">
        <v>23</v>
      </c>
      <c r="G1468" s="2" t="s">
        <v>20</v>
      </c>
      <c r="H1468" s="2" t="s">
        <v>21</v>
      </c>
      <c r="I1468" s="2" t="s">
        <v>22</v>
      </c>
      <c r="J1468" s="15">
        <v>30000</v>
      </c>
      <c r="K1468" s="2">
        <v>1</v>
      </c>
      <c r="L1468" s="2" t="s">
        <v>24</v>
      </c>
      <c r="M1468" s="12">
        <f t="shared" si="45"/>
        <v>24000</v>
      </c>
      <c r="N1468" s="10">
        <f>PRODUCT(Table_13[[#This Row],[Unit Price]],Table_13[[#This Row],[Quantity]])</f>
        <v>30000</v>
      </c>
      <c r="O1468" s="16">
        <f>PRODUCT(Table_13[[#This Row],[Cost Price]],Table_13[[#This Row],[Quantity]])</f>
        <v>24000</v>
      </c>
      <c r="P1468" s="27">
        <f t="shared" si="51"/>
        <v>6000</v>
      </c>
    </row>
    <row r="1469" spans="1:16" x14ac:dyDescent="0.2">
      <c r="A1469" s="33">
        <v>47143</v>
      </c>
      <c r="B1469" s="30">
        <f t="shared" si="50"/>
        <v>1</v>
      </c>
      <c r="C1469" s="30" t="str">
        <f>_xlfn.IFS(Table_13[[#This Row],[Month]]=1,"JAN",Table_13[[#This Row],[Month]]=2,"FEB",B1469=3,"MAR",B1469=4,"APR",B1469=5,"MAY",B1469=6,"JUN",B1469=7,"JUL",B1469=8,"AUG",Table_13[[#This Row],[Month]]=9,"SEPT",B1469=10,"OCT",B1469=11,"NOV",B1469=12,"DEC")</f>
        <v>JAN</v>
      </c>
      <c r="D1469" s="2" t="s">
        <v>25</v>
      </c>
      <c r="E1469" s="2" t="s">
        <v>26</v>
      </c>
      <c r="F1469" s="2" t="s">
        <v>23</v>
      </c>
      <c r="G1469" s="2" t="s">
        <v>20</v>
      </c>
      <c r="H1469" s="2" t="s">
        <v>30</v>
      </c>
      <c r="I1469" s="2" t="s">
        <v>31</v>
      </c>
      <c r="J1469" s="15">
        <v>300000</v>
      </c>
      <c r="K1469" s="2">
        <v>10</v>
      </c>
      <c r="L1469" s="2" t="s">
        <v>35</v>
      </c>
      <c r="M1469" s="12">
        <f t="shared" si="45"/>
        <v>240000</v>
      </c>
      <c r="N1469" s="10">
        <f>PRODUCT(Table_13[[#This Row],[Unit Price]],Table_13[[#This Row],[Quantity]])</f>
        <v>3000000</v>
      </c>
      <c r="O1469" s="16">
        <f>PRODUCT(Table_13[[#This Row],[Cost Price]],Table_13[[#This Row],[Quantity]])</f>
        <v>2400000</v>
      </c>
      <c r="P1469" s="27">
        <f t="shared" si="51"/>
        <v>600000</v>
      </c>
    </row>
    <row r="1470" spans="1:16" x14ac:dyDescent="0.2">
      <c r="A1470" s="33">
        <v>47144</v>
      </c>
      <c r="B1470" s="30">
        <f t="shared" si="50"/>
        <v>1</v>
      </c>
      <c r="C1470" s="30" t="str">
        <f>_xlfn.IFS(Table_13[[#This Row],[Month]]=1,"JAN",Table_13[[#This Row],[Month]]=2,"FEB",B1470=3,"MAR",B1470=4,"APR",B1470=5,"MAY",B1470=6,"JUN",B1470=7,"JUL",B1470=8,"AUG",Table_13[[#This Row],[Month]]=9,"SEPT",B1470=10,"OCT",B1470=11,"NOV",B1470=12,"DEC")</f>
        <v>JAN</v>
      </c>
      <c r="D1470" s="2" t="s">
        <v>25</v>
      </c>
      <c r="E1470" s="2" t="s">
        <v>19</v>
      </c>
      <c r="F1470" s="2" t="s">
        <v>23</v>
      </c>
      <c r="G1470" s="2" t="s">
        <v>20</v>
      </c>
      <c r="H1470" s="2" t="s">
        <v>38</v>
      </c>
      <c r="I1470" s="2" t="s">
        <v>31</v>
      </c>
      <c r="J1470" s="15">
        <v>420000</v>
      </c>
      <c r="K1470" s="2">
        <v>5</v>
      </c>
      <c r="L1470" s="2" t="s">
        <v>37</v>
      </c>
      <c r="M1470" s="12">
        <f t="shared" si="45"/>
        <v>336000</v>
      </c>
      <c r="N1470" s="10">
        <f>PRODUCT(Table_13[[#This Row],[Unit Price]],Table_13[[#This Row],[Quantity]])</f>
        <v>2100000</v>
      </c>
      <c r="O1470" s="16">
        <f>PRODUCT(Table_13[[#This Row],[Cost Price]],Table_13[[#This Row],[Quantity]])</f>
        <v>1680000</v>
      </c>
      <c r="P1470" s="27">
        <f t="shared" si="51"/>
        <v>420000</v>
      </c>
    </row>
    <row r="1471" spans="1:16" x14ac:dyDescent="0.2">
      <c r="A1471" s="33">
        <v>47145</v>
      </c>
      <c r="B1471" s="30">
        <f t="shared" si="50"/>
        <v>1</v>
      </c>
      <c r="C1471" s="30" t="str">
        <f>_xlfn.IFS(Table_13[[#This Row],[Month]]=1,"JAN",Table_13[[#This Row],[Month]]=2,"FEB",B1471=3,"MAR",B1471=4,"APR",B1471=5,"MAY",B1471=6,"JUN",B1471=7,"JUL",B1471=8,"AUG",Table_13[[#This Row],[Month]]=9,"SEPT",B1471=10,"OCT",B1471=11,"NOV",B1471=12,"DEC")</f>
        <v>JAN</v>
      </c>
      <c r="D1471" s="2" t="s">
        <v>18</v>
      </c>
      <c r="E1471" s="2" t="s">
        <v>12</v>
      </c>
      <c r="F1471" s="2" t="s">
        <v>23</v>
      </c>
      <c r="G1471" s="2" t="s">
        <v>20</v>
      </c>
      <c r="H1471" s="2" t="s">
        <v>40</v>
      </c>
      <c r="I1471" s="2" t="s">
        <v>31</v>
      </c>
      <c r="J1471" s="15">
        <v>250000</v>
      </c>
      <c r="K1471" s="2">
        <v>4</v>
      </c>
      <c r="L1471" s="2" t="s">
        <v>37</v>
      </c>
      <c r="M1471" s="12">
        <f t="shared" si="45"/>
        <v>200000</v>
      </c>
      <c r="N1471" s="10">
        <f>PRODUCT(Table_13[[#This Row],[Unit Price]],Table_13[[#This Row],[Quantity]])</f>
        <v>1000000</v>
      </c>
      <c r="O1471" s="16">
        <f>PRODUCT(Table_13[[#This Row],[Cost Price]],Table_13[[#This Row],[Quantity]])</f>
        <v>800000</v>
      </c>
      <c r="P1471" s="27">
        <f t="shared" si="51"/>
        <v>200000</v>
      </c>
    </row>
    <row r="1472" spans="1:16" x14ac:dyDescent="0.2">
      <c r="A1472" s="33">
        <v>47146</v>
      </c>
      <c r="B1472" s="30">
        <f t="shared" si="50"/>
        <v>1</v>
      </c>
      <c r="C1472" s="30" t="str">
        <f>_xlfn.IFS(Table_13[[#This Row],[Month]]=1,"JAN",Table_13[[#This Row],[Month]]=2,"FEB",B1472=3,"MAR",B1472=4,"APR",B1472=5,"MAY",B1472=6,"JUN",B1472=7,"JUL",B1472=8,"AUG",Table_13[[#This Row],[Month]]=9,"SEPT",B1472=10,"OCT",B1472=11,"NOV",B1472=12,"DEC")</f>
        <v>JAN</v>
      </c>
      <c r="D1472" s="2" t="s">
        <v>25</v>
      </c>
      <c r="E1472" s="2" t="s">
        <v>26</v>
      </c>
      <c r="F1472" s="2" t="s">
        <v>13</v>
      </c>
      <c r="G1472" s="2" t="s">
        <v>20</v>
      </c>
      <c r="H1472" s="2" t="s">
        <v>41</v>
      </c>
      <c r="I1472" s="2" t="s">
        <v>22</v>
      </c>
      <c r="J1472" s="15">
        <v>220000</v>
      </c>
      <c r="K1472" s="2">
        <v>3</v>
      </c>
      <c r="L1472" s="2" t="s">
        <v>17</v>
      </c>
      <c r="M1472" s="12">
        <f t="shared" si="45"/>
        <v>176000</v>
      </c>
      <c r="N1472" s="10">
        <f>PRODUCT(Table_13[[#This Row],[Unit Price]],Table_13[[#This Row],[Quantity]])</f>
        <v>660000</v>
      </c>
      <c r="O1472" s="16">
        <f>PRODUCT(Table_13[[#This Row],[Cost Price]],Table_13[[#This Row],[Quantity]])</f>
        <v>528000</v>
      </c>
      <c r="P1472" s="27">
        <f t="shared" si="51"/>
        <v>132000</v>
      </c>
    </row>
    <row r="1473" spans="1:16" x14ac:dyDescent="0.2">
      <c r="A1473" s="33">
        <v>47147</v>
      </c>
      <c r="B1473" s="30">
        <f t="shared" si="50"/>
        <v>1</v>
      </c>
      <c r="C1473" s="30" t="str">
        <f>_xlfn.IFS(Table_13[[#This Row],[Month]]=1,"JAN",Table_13[[#This Row],[Month]]=2,"FEB",B1473=3,"MAR",B1473=4,"APR",B1473=5,"MAY",B1473=6,"JUN",B1473=7,"JUL",B1473=8,"AUG",Table_13[[#This Row],[Month]]=9,"SEPT",B1473=10,"OCT",B1473=11,"NOV",B1473=12,"DEC")</f>
        <v>JAN</v>
      </c>
      <c r="D1473" s="2" t="s">
        <v>29</v>
      </c>
      <c r="E1473" s="2" t="s">
        <v>32</v>
      </c>
      <c r="F1473" s="2" t="s">
        <v>13</v>
      </c>
      <c r="G1473" s="2" t="s">
        <v>20</v>
      </c>
      <c r="H1473" s="2" t="s">
        <v>34</v>
      </c>
      <c r="I1473" s="2" t="s">
        <v>16</v>
      </c>
      <c r="J1473" s="15">
        <v>320000</v>
      </c>
      <c r="K1473" s="2">
        <v>2</v>
      </c>
      <c r="L1473" s="2" t="s">
        <v>28</v>
      </c>
      <c r="M1473" s="12">
        <f t="shared" si="45"/>
        <v>256000</v>
      </c>
      <c r="N1473" s="10">
        <f>PRODUCT(Table_13[[#This Row],[Unit Price]],Table_13[[#This Row],[Quantity]])</f>
        <v>640000</v>
      </c>
      <c r="O1473" s="16">
        <f>PRODUCT(Table_13[[#This Row],[Cost Price]],Table_13[[#This Row],[Quantity]])</f>
        <v>512000</v>
      </c>
      <c r="P1473" s="27">
        <f t="shared" si="51"/>
        <v>128000</v>
      </c>
    </row>
    <row r="1474" spans="1:16" x14ac:dyDescent="0.2">
      <c r="A1474" s="33">
        <v>47148</v>
      </c>
      <c r="B1474" s="30">
        <f t="shared" ref="B1474:B1537" si="52">MONTH(A1474)</f>
        <v>1</v>
      </c>
      <c r="C1474" s="30" t="str">
        <f>_xlfn.IFS(Table_13[[#This Row],[Month]]=1,"JAN",Table_13[[#This Row],[Month]]=2,"FEB",B1474=3,"MAR",B1474=4,"APR",B1474=5,"MAY",B1474=6,"JUN",B1474=7,"JUL",B1474=8,"AUG",Table_13[[#This Row],[Month]]=9,"SEPT",B1474=10,"OCT",B1474=11,"NOV",B1474=12,"DEC")</f>
        <v>JAN</v>
      </c>
      <c r="D1474" s="2" t="s">
        <v>11</v>
      </c>
      <c r="E1474" s="2" t="s">
        <v>32</v>
      </c>
      <c r="F1474" s="2" t="s">
        <v>23</v>
      </c>
      <c r="G1474" s="2" t="s">
        <v>20</v>
      </c>
      <c r="H1474" s="2" t="s">
        <v>34</v>
      </c>
      <c r="I1474" s="2" t="s">
        <v>16</v>
      </c>
      <c r="J1474" s="15">
        <v>320000</v>
      </c>
      <c r="K1474" s="2">
        <v>9</v>
      </c>
      <c r="L1474" s="2" t="s">
        <v>39</v>
      </c>
      <c r="M1474" s="12">
        <f t="shared" si="45"/>
        <v>256000</v>
      </c>
      <c r="N1474" s="10">
        <f>PRODUCT(Table_13[[#This Row],[Unit Price]],Table_13[[#This Row],[Quantity]])</f>
        <v>2880000</v>
      </c>
      <c r="O1474" s="16">
        <f>PRODUCT(Table_13[[#This Row],[Cost Price]],Table_13[[#This Row],[Quantity]])</f>
        <v>2304000</v>
      </c>
      <c r="P1474" s="27">
        <f t="shared" ref="P1474:P1537" si="53">N1474-O1474</f>
        <v>576000</v>
      </c>
    </row>
    <row r="1475" spans="1:16" x14ac:dyDescent="0.2">
      <c r="A1475" s="33">
        <v>47149</v>
      </c>
      <c r="B1475" s="30">
        <f t="shared" si="52"/>
        <v>1</v>
      </c>
      <c r="C1475" s="30" t="str">
        <f>_xlfn.IFS(Table_13[[#This Row],[Month]]=1,"JAN",Table_13[[#This Row],[Month]]=2,"FEB",B1475=3,"MAR",B1475=4,"APR",B1475=5,"MAY",B1475=6,"JUN",B1475=7,"JUL",B1475=8,"AUG",Table_13[[#This Row],[Month]]=9,"SEPT",B1475=10,"OCT",B1475=11,"NOV",B1475=12,"DEC")</f>
        <v>JAN</v>
      </c>
      <c r="D1475" s="2" t="s">
        <v>29</v>
      </c>
      <c r="E1475" s="2" t="s">
        <v>19</v>
      </c>
      <c r="F1475" s="2" t="s">
        <v>13</v>
      </c>
      <c r="G1475" s="2" t="s">
        <v>20</v>
      </c>
      <c r="H1475" s="2" t="s">
        <v>41</v>
      </c>
      <c r="I1475" s="2" t="s">
        <v>22</v>
      </c>
      <c r="J1475" s="15">
        <v>220000</v>
      </c>
      <c r="K1475" s="2">
        <v>10</v>
      </c>
      <c r="L1475" s="2" t="s">
        <v>24</v>
      </c>
      <c r="M1475" s="12">
        <f t="shared" si="45"/>
        <v>176000</v>
      </c>
      <c r="N1475" s="10">
        <f>PRODUCT(Table_13[[#This Row],[Unit Price]],Table_13[[#This Row],[Quantity]])</f>
        <v>2200000</v>
      </c>
      <c r="O1475" s="16">
        <f>PRODUCT(Table_13[[#This Row],[Cost Price]],Table_13[[#This Row],[Quantity]])</f>
        <v>1760000</v>
      </c>
      <c r="P1475" s="27">
        <f t="shared" si="53"/>
        <v>440000</v>
      </c>
    </row>
    <row r="1476" spans="1:16" x14ac:dyDescent="0.2">
      <c r="A1476" s="33">
        <v>47150</v>
      </c>
      <c r="B1476" s="30">
        <f t="shared" si="52"/>
        <v>2</v>
      </c>
      <c r="C1476" s="30" t="str">
        <f>_xlfn.IFS(Table_13[[#This Row],[Month]]=1,"JAN",Table_13[[#This Row],[Month]]=2,"FEB",B1476=3,"MAR",B1476=4,"APR",B1476=5,"MAY",B1476=6,"JUN",B1476=7,"JUL",B1476=8,"AUG",Table_13[[#This Row],[Month]]=9,"SEPT",B1476=10,"OCT",B1476=11,"NOV",B1476=12,"DEC")</f>
        <v>FEB</v>
      </c>
      <c r="D1476" s="2" t="s">
        <v>25</v>
      </c>
      <c r="E1476" s="2" t="s">
        <v>12</v>
      </c>
      <c r="F1476" s="2" t="s">
        <v>13</v>
      </c>
      <c r="G1476" s="2" t="s">
        <v>20</v>
      </c>
      <c r="H1476" s="2" t="s">
        <v>15</v>
      </c>
      <c r="I1476" s="2" t="s">
        <v>16</v>
      </c>
      <c r="J1476" s="15">
        <v>85000</v>
      </c>
      <c r="K1476" s="2">
        <v>1</v>
      </c>
      <c r="L1476" s="2" t="s">
        <v>28</v>
      </c>
      <c r="M1476" s="12">
        <f t="shared" si="45"/>
        <v>68000</v>
      </c>
      <c r="N1476" s="10">
        <f>PRODUCT(Table_13[[#This Row],[Unit Price]],Table_13[[#This Row],[Quantity]])</f>
        <v>85000</v>
      </c>
      <c r="O1476" s="16">
        <f>PRODUCT(Table_13[[#This Row],[Cost Price]],Table_13[[#This Row],[Quantity]])</f>
        <v>68000</v>
      </c>
      <c r="P1476" s="27">
        <f t="shared" si="53"/>
        <v>17000</v>
      </c>
    </row>
    <row r="1477" spans="1:16" x14ac:dyDescent="0.2">
      <c r="A1477" s="33">
        <v>47151</v>
      </c>
      <c r="B1477" s="30">
        <f t="shared" si="52"/>
        <v>2</v>
      </c>
      <c r="C1477" s="30" t="str">
        <f>_xlfn.IFS(Table_13[[#This Row],[Month]]=1,"JAN",Table_13[[#This Row],[Month]]=2,"FEB",B1477=3,"MAR",B1477=4,"APR",B1477=5,"MAY",B1477=6,"JUN",B1477=7,"JUL",B1477=8,"AUG",Table_13[[#This Row],[Month]]=9,"SEPT",B1477=10,"OCT",B1477=11,"NOV",B1477=12,"DEC")</f>
        <v>FEB</v>
      </c>
      <c r="D1477" s="2" t="s">
        <v>25</v>
      </c>
      <c r="E1477" s="2" t="s">
        <v>32</v>
      </c>
      <c r="F1477" s="2" t="s">
        <v>13</v>
      </c>
      <c r="G1477" s="2" t="s">
        <v>14</v>
      </c>
      <c r="H1477" s="2" t="s">
        <v>30</v>
      </c>
      <c r="I1477" s="2" t="s">
        <v>31</v>
      </c>
      <c r="J1477" s="15">
        <v>300000</v>
      </c>
      <c r="K1477" s="2">
        <v>4</v>
      </c>
      <c r="L1477" s="2" t="s">
        <v>28</v>
      </c>
      <c r="M1477" s="12">
        <f t="shared" si="45"/>
        <v>240000</v>
      </c>
      <c r="N1477" s="10">
        <f>PRODUCT(Table_13[[#This Row],[Unit Price]],Table_13[[#This Row],[Quantity]])</f>
        <v>1200000</v>
      </c>
      <c r="O1477" s="16">
        <f>PRODUCT(Table_13[[#This Row],[Cost Price]],Table_13[[#This Row],[Quantity]])</f>
        <v>960000</v>
      </c>
      <c r="P1477" s="27">
        <f t="shared" si="53"/>
        <v>240000</v>
      </c>
    </row>
    <row r="1478" spans="1:16" x14ac:dyDescent="0.2">
      <c r="A1478" s="33">
        <v>47152</v>
      </c>
      <c r="B1478" s="30">
        <f t="shared" si="52"/>
        <v>2</v>
      </c>
      <c r="C1478" s="30" t="str">
        <f>_xlfn.IFS(Table_13[[#This Row],[Month]]=1,"JAN",Table_13[[#This Row],[Month]]=2,"FEB",B1478=3,"MAR",B1478=4,"APR",B1478=5,"MAY",B1478=6,"JUN",B1478=7,"JUL",B1478=8,"AUG",Table_13[[#This Row],[Month]]=9,"SEPT",B1478=10,"OCT",B1478=11,"NOV",B1478=12,"DEC")</f>
        <v>FEB</v>
      </c>
      <c r="D1478" s="2" t="s">
        <v>25</v>
      </c>
      <c r="E1478" s="2" t="s">
        <v>32</v>
      </c>
      <c r="F1478" s="2" t="s">
        <v>23</v>
      </c>
      <c r="G1478" s="2" t="s">
        <v>20</v>
      </c>
      <c r="H1478" s="2" t="s">
        <v>15</v>
      </c>
      <c r="I1478" s="2" t="s">
        <v>16</v>
      </c>
      <c r="J1478" s="15">
        <v>85000</v>
      </c>
      <c r="K1478" s="2">
        <v>5</v>
      </c>
      <c r="L1478" s="2" t="s">
        <v>24</v>
      </c>
      <c r="M1478" s="12">
        <f t="shared" si="45"/>
        <v>68000</v>
      </c>
      <c r="N1478" s="10">
        <f>PRODUCT(Table_13[[#This Row],[Unit Price]],Table_13[[#This Row],[Quantity]])</f>
        <v>425000</v>
      </c>
      <c r="O1478" s="16">
        <f>PRODUCT(Table_13[[#This Row],[Cost Price]],Table_13[[#This Row],[Quantity]])</f>
        <v>340000</v>
      </c>
      <c r="P1478" s="27">
        <f t="shared" si="53"/>
        <v>85000</v>
      </c>
    </row>
    <row r="1479" spans="1:16" x14ac:dyDescent="0.2">
      <c r="A1479" s="33">
        <v>47153</v>
      </c>
      <c r="B1479" s="30">
        <f t="shared" si="52"/>
        <v>2</v>
      </c>
      <c r="C1479" s="30" t="str">
        <f>_xlfn.IFS(Table_13[[#This Row],[Month]]=1,"JAN",Table_13[[#This Row],[Month]]=2,"FEB",B1479=3,"MAR",B1479=4,"APR",B1479=5,"MAY",B1479=6,"JUN",B1479=7,"JUL",B1479=8,"AUG",Table_13[[#This Row],[Month]]=9,"SEPT",B1479=10,"OCT",B1479=11,"NOV",B1479=12,"DEC")</f>
        <v>FEB</v>
      </c>
      <c r="D1479" s="2" t="s">
        <v>25</v>
      </c>
      <c r="E1479" s="2" t="s">
        <v>32</v>
      </c>
      <c r="F1479" s="2" t="s">
        <v>23</v>
      </c>
      <c r="G1479" s="2" t="s">
        <v>14</v>
      </c>
      <c r="H1479" s="2" t="s">
        <v>30</v>
      </c>
      <c r="I1479" s="2" t="s">
        <v>31</v>
      </c>
      <c r="J1479" s="15">
        <v>300000</v>
      </c>
      <c r="K1479" s="2">
        <v>5</v>
      </c>
      <c r="L1479" s="2" t="s">
        <v>39</v>
      </c>
      <c r="M1479" s="12">
        <f t="shared" si="45"/>
        <v>240000</v>
      </c>
      <c r="N1479" s="10">
        <f>PRODUCT(Table_13[[#This Row],[Unit Price]],Table_13[[#This Row],[Quantity]])</f>
        <v>1500000</v>
      </c>
      <c r="O1479" s="16">
        <f>PRODUCT(Table_13[[#This Row],[Cost Price]],Table_13[[#This Row],[Quantity]])</f>
        <v>1200000</v>
      </c>
      <c r="P1479" s="27">
        <f t="shared" si="53"/>
        <v>300000</v>
      </c>
    </row>
    <row r="1480" spans="1:16" x14ac:dyDescent="0.2">
      <c r="A1480" s="33">
        <v>47154</v>
      </c>
      <c r="B1480" s="30">
        <f t="shared" si="52"/>
        <v>2</v>
      </c>
      <c r="C1480" s="30" t="str">
        <f>_xlfn.IFS(Table_13[[#This Row],[Month]]=1,"JAN",Table_13[[#This Row],[Month]]=2,"FEB",B1480=3,"MAR",B1480=4,"APR",B1480=5,"MAY",B1480=6,"JUN",B1480=7,"JUL",B1480=8,"AUG",Table_13[[#This Row],[Month]]=9,"SEPT",B1480=10,"OCT",B1480=11,"NOV",B1480=12,"DEC")</f>
        <v>FEB</v>
      </c>
      <c r="D1480" s="2" t="s">
        <v>25</v>
      </c>
      <c r="E1480" s="2" t="s">
        <v>32</v>
      </c>
      <c r="F1480" s="2" t="s">
        <v>13</v>
      </c>
      <c r="G1480" s="2" t="s">
        <v>20</v>
      </c>
      <c r="H1480" s="2" t="s">
        <v>30</v>
      </c>
      <c r="I1480" s="2" t="s">
        <v>31</v>
      </c>
      <c r="J1480" s="15">
        <v>300000</v>
      </c>
      <c r="K1480" s="2">
        <v>5</v>
      </c>
      <c r="L1480" s="2" t="s">
        <v>17</v>
      </c>
      <c r="M1480" s="12">
        <f t="shared" si="45"/>
        <v>240000</v>
      </c>
      <c r="N1480" s="10">
        <f>PRODUCT(Table_13[[#This Row],[Unit Price]],Table_13[[#This Row],[Quantity]])</f>
        <v>1500000</v>
      </c>
      <c r="O1480" s="16">
        <f>PRODUCT(Table_13[[#This Row],[Cost Price]],Table_13[[#This Row],[Quantity]])</f>
        <v>1200000</v>
      </c>
      <c r="P1480" s="27">
        <f t="shared" si="53"/>
        <v>300000</v>
      </c>
    </row>
    <row r="1481" spans="1:16" x14ac:dyDescent="0.2">
      <c r="A1481" s="33">
        <v>47155</v>
      </c>
      <c r="B1481" s="30">
        <f t="shared" si="52"/>
        <v>2</v>
      </c>
      <c r="C1481" s="30" t="str">
        <f>_xlfn.IFS(Table_13[[#This Row],[Month]]=1,"JAN",Table_13[[#This Row],[Month]]=2,"FEB",B1481=3,"MAR",B1481=4,"APR",B1481=5,"MAY",B1481=6,"JUN",B1481=7,"JUL",B1481=8,"AUG",Table_13[[#This Row],[Month]]=9,"SEPT",B1481=10,"OCT",B1481=11,"NOV",B1481=12,"DEC")</f>
        <v>FEB</v>
      </c>
      <c r="D1481" s="2" t="s">
        <v>11</v>
      </c>
      <c r="E1481" s="2" t="s">
        <v>19</v>
      </c>
      <c r="F1481" s="2" t="s">
        <v>23</v>
      </c>
      <c r="G1481" s="2" t="s">
        <v>20</v>
      </c>
      <c r="H1481" s="2" t="s">
        <v>21</v>
      </c>
      <c r="I1481" s="2" t="s">
        <v>22</v>
      </c>
      <c r="J1481" s="15">
        <v>30000</v>
      </c>
      <c r="K1481" s="2">
        <v>10</v>
      </c>
      <c r="L1481" s="2" t="s">
        <v>17</v>
      </c>
      <c r="M1481" s="12">
        <f t="shared" si="45"/>
        <v>24000</v>
      </c>
      <c r="N1481" s="10">
        <f>PRODUCT(Table_13[[#This Row],[Unit Price]],Table_13[[#This Row],[Quantity]])</f>
        <v>300000</v>
      </c>
      <c r="O1481" s="16">
        <f>PRODUCT(Table_13[[#This Row],[Cost Price]],Table_13[[#This Row],[Quantity]])</f>
        <v>240000</v>
      </c>
      <c r="P1481" s="27">
        <f t="shared" si="53"/>
        <v>60000</v>
      </c>
    </row>
    <row r="1482" spans="1:16" x14ac:dyDescent="0.2">
      <c r="A1482" s="33">
        <v>47156</v>
      </c>
      <c r="B1482" s="30">
        <f t="shared" si="52"/>
        <v>2</v>
      </c>
      <c r="C1482" s="30" t="str">
        <f>_xlfn.IFS(Table_13[[#This Row],[Month]]=1,"JAN",Table_13[[#This Row],[Month]]=2,"FEB",B1482=3,"MAR",B1482=4,"APR",B1482=5,"MAY",B1482=6,"JUN",B1482=7,"JUL",B1482=8,"AUG",Table_13[[#This Row],[Month]]=9,"SEPT",B1482=10,"OCT",B1482=11,"NOV",B1482=12,"DEC")</f>
        <v>FEB</v>
      </c>
      <c r="D1482" s="2" t="s">
        <v>25</v>
      </c>
      <c r="E1482" s="2" t="s">
        <v>26</v>
      </c>
      <c r="F1482" s="2" t="s">
        <v>13</v>
      </c>
      <c r="G1482" s="2" t="s">
        <v>14</v>
      </c>
      <c r="H1482" s="2" t="s">
        <v>41</v>
      </c>
      <c r="I1482" s="2" t="s">
        <v>22</v>
      </c>
      <c r="J1482" s="15">
        <v>220000</v>
      </c>
      <c r="K1482" s="2">
        <v>6</v>
      </c>
      <c r="L1482" s="2" t="s">
        <v>35</v>
      </c>
      <c r="M1482" s="12">
        <f t="shared" si="45"/>
        <v>176000</v>
      </c>
      <c r="N1482" s="10">
        <f>PRODUCT(Table_13[[#This Row],[Unit Price]],Table_13[[#This Row],[Quantity]])</f>
        <v>1320000</v>
      </c>
      <c r="O1482" s="16">
        <f>PRODUCT(Table_13[[#This Row],[Cost Price]],Table_13[[#This Row],[Quantity]])</f>
        <v>1056000</v>
      </c>
      <c r="P1482" s="27">
        <f t="shared" si="53"/>
        <v>264000</v>
      </c>
    </row>
    <row r="1483" spans="1:16" x14ac:dyDescent="0.2">
      <c r="A1483" s="33">
        <v>47157</v>
      </c>
      <c r="B1483" s="30">
        <f t="shared" si="52"/>
        <v>2</v>
      </c>
      <c r="C1483" s="30" t="str">
        <f>_xlfn.IFS(Table_13[[#This Row],[Month]]=1,"JAN",Table_13[[#This Row],[Month]]=2,"FEB",B1483=3,"MAR",B1483=4,"APR",B1483=5,"MAY",B1483=6,"JUN",B1483=7,"JUL",B1483=8,"AUG",Table_13[[#This Row],[Month]]=9,"SEPT",B1483=10,"OCT",B1483=11,"NOV",B1483=12,"DEC")</f>
        <v>FEB</v>
      </c>
      <c r="D1483" s="2" t="s">
        <v>11</v>
      </c>
      <c r="E1483" s="2" t="s">
        <v>32</v>
      </c>
      <c r="F1483" s="2" t="s">
        <v>23</v>
      </c>
      <c r="G1483" s="2" t="s">
        <v>14</v>
      </c>
      <c r="H1483" s="2" t="s">
        <v>15</v>
      </c>
      <c r="I1483" s="2" t="s">
        <v>16</v>
      </c>
      <c r="J1483" s="15">
        <v>85000</v>
      </c>
      <c r="K1483" s="2">
        <v>9</v>
      </c>
      <c r="L1483" s="2" t="s">
        <v>24</v>
      </c>
      <c r="M1483" s="12">
        <f t="shared" si="45"/>
        <v>68000</v>
      </c>
      <c r="N1483" s="10">
        <f>PRODUCT(Table_13[[#This Row],[Unit Price]],Table_13[[#This Row],[Quantity]])</f>
        <v>765000</v>
      </c>
      <c r="O1483" s="16">
        <f>PRODUCT(Table_13[[#This Row],[Cost Price]],Table_13[[#This Row],[Quantity]])</f>
        <v>612000</v>
      </c>
      <c r="P1483" s="27">
        <f t="shared" si="53"/>
        <v>153000</v>
      </c>
    </row>
    <row r="1484" spans="1:16" x14ac:dyDescent="0.2">
      <c r="A1484" s="33">
        <v>47158</v>
      </c>
      <c r="B1484" s="30">
        <f t="shared" si="52"/>
        <v>2</v>
      </c>
      <c r="C1484" s="30" t="str">
        <f>_xlfn.IFS(Table_13[[#This Row],[Month]]=1,"JAN",Table_13[[#This Row],[Month]]=2,"FEB",B1484=3,"MAR",B1484=4,"APR",B1484=5,"MAY",B1484=6,"JUN",B1484=7,"JUL",B1484=8,"AUG",Table_13[[#This Row],[Month]]=9,"SEPT",B1484=10,"OCT",B1484=11,"NOV",B1484=12,"DEC")</f>
        <v>FEB</v>
      </c>
      <c r="D1484" s="2" t="s">
        <v>18</v>
      </c>
      <c r="E1484" s="2" t="s">
        <v>32</v>
      </c>
      <c r="F1484" s="2" t="s">
        <v>13</v>
      </c>
      <c r="G1484" s="2" t="s">
        <v>14</v>
      </c>
      <c r="H1484" s="2" t="s">
        <v>38</v>
      </c>
      <c r="I1484" s="2" t="s">
        <v>31</v>
      </c>
      <c r="J1484" s="15">
        <v>420000</v>
      </c>
      <c r="K1484" s="2">
        <v>10</v>
      </c>
      <c r="L1484" s="2" t="s">
        <v>28</v>
      </c>
      <c r="M1484" s="12">
        <f t="shared" si="45"/>
        <v>336000</v>
      </c>
      <c r="N1484" s="10">
        <f>PRODUCT(Table_13[[#This Row],[Unit Price]],Table_13[[#This Row],[Quantity]])</f>
        <v>4200000</v>
      </c>
      <c r="O1484" s="16">
        <f>PRODUCT(Table_13[[#This Row],[Cost Price]],Table_13[[#This Row],[Quantity]])</f>
        <v>3360000</v>
      </c>
      <c r="P1484" s="27">
        <f t="shared" si="53"/>
        <v>840000</v>
      </c>
    </row>
    <row r="1485" spans="1:16" x14ac:dyDescent="0.2">
      <c r="A1485" s="33">
        <v>47159</v>
      </c>
      <c r="B1485" s="30">
        <f t="shared" si="52"/>
        <v>2</v>
      </c>
      <c r="C1485" s="30" t="str">
        <f>_xlfn.IFS(Table_13[[#This Row],[Month]]=1,"JAN",Table_13[[#This Row],[Month]]=2,"FEB",B1485=3,"MAR",B1485=4,"APR",B1485=5,"MAY",B1485=6,"JUN",B1485=7,"JUL",B1485=8,"AUG",Table_13[[#This Row],[Month]]=9,"SEPT",B1485=10,"OCT",B1485=11,"NOV",B1485=12,"DEC")</f>
        <v>FEB</v>
      </c>
      <c r="D1485" s="2" t="s">
        <v>29</v>
      </c>
      <c r="E1485" s="2" t="s">
        <v>12</v>
      </c>
      <c r="F1485" s="2" t="s">
        <v>23</v>
      </c>
      <c r="G1485" s="2" t="s">
        <v>20</v>
      </c>
      <c r="H1485" s="2" t="s">
        <v>38</v>
      </c>
      <c r="I1485" s="2" t="s">
        <v>31</v>
      </c>
      <c r="J1485" s="15">
        <v>420000</v>
      </c>
      <c r="K1485" s="2">
        <v>1</v>
      </c>
      <c r="L1485" s="2" t="s">
        <v>35</v>
      </c>
      <c r="M1485" s="12">
        <f t="shared" si="45"/>
        <v>336000</v>
      </c>
      <c r="N1485" s="10">
        <f>PRODUCT(Table_13[[#This Row],[Unit Price]],Table_13[[#This Row],[Quantity]])</f>
        <v>420000</v>
      </c>
      <c r="O1485" s="16">
        <f>PRODUCT(Table_13[[#This Row],[Cost Price]],Table_13[[#This Row],[Quantity]])</f>
        <v>336000</v>
      </c>
      <c r="P1485" s="27">
        <f t="shared" si="53"/>
        <v>84000</v>
      </c>
    </row>
    <row r="1486" spans="1:16" x14ac:dyDescent="0.2">
      <c r="A1486" s="33">
        <v>47160</v>
      </c>
      <c r="B1486" s="30">
        <f t="shared" si="52"/>
        <v>2</v>
      </c>
      <c r="C1486" s="30" t="str">
        <f>_xlfn.IFS(Table_13[[#This Row],[Month]]=1,"JAN",Table_13[[#This Row],[Month]]=2,"FEB",B1486=3,"MAR",B1486=4,"APR",B1486=5,"MAY",B1486=6,"JUN",B1486=7,"JUL",B1486=8,"AUG",Table_13[[#This Row],[Month]]=9,"SEPT",B1486=10,"OCT",B1486=11,"NOV",B1486=12,"DEC")</f>
        <v>FEB</v>
      </c>
      <c r="D1486" s="2" t="s">
        <v>11</v>
      </c>
      <c r="E1486" s="2" t="s">
        <v>19</v>
      </c>
      <c r="F1486" s="2" t="s">
        <v>13</v>
      </c>
      <c r="G1486" s="2" t="s">
        <v>20</v>
      </c>
      <c r="H1486" s="2" t="s">
        <v>27</v>
      </c>
      <c r="I1486" s="2" t="s">
        <v>22</v>
      </c>
      <c r="J1486" s="15">
        <v>60000</v>
      </c>
      <c r="K1486" s="2">
        <v>6</v>
      </c>
      <c r="L1486" s="2" t="s">
        <v>28</v>
      </c>
      <c r="M1486" s="12">
        <f t="shared" si="45"/>
        <v>48000</v>
      </c>
      <c r="N1486" s="10">
        <f>PRODUCT(Table_13[[#This Row],[Unit Price]],Table_13[[#This Row],[Quantity]])</f>
        <v>360000</v>
      </c>
      <c r="O1486" s="16">
        <f>PRODUCT(Table_13[[#This Row],[Cost Price]],Table_13[[#This Row],[Quantity]])</f>
        <v>288000</v>
      </c>
      <c r="P1486" s="27">
        <f t="shared" si="53"/>
        <v>72000</v>
      </c>
    </row>
    <row r="1487" spans="1:16" x14ac:dyDescent="0.2">
      <c r="A1487" s="33">
        <v>47161</v>
      </c>
      <c r="B1487" s="30">
        <f t="shared" si="52"/>
        <v>2</v>
      </c>
      <c r="C1487" s="30" t="str">
        <f>_xlfn.IFS(Table_13[[#This Row],[Month]]=1,"JAN",Table_13[[#This Row],[Month]]=2,"FEB",B1487=3,"MAR",B1487=4,"APR",B1487=5,"MAY",B1487=6,"JUN",B1487=7,"JUL",B1487=8,"AUG",Table_13[[#This Row],[Month]]=9,"SEPT",B1487=10,"OCT",B1487=11,"NOV",B1487=12,"DEC")</f>
        <v>FEB</v>
      </c>
      <c r="D1487" s="2" t="s">
        <v>25</v>
      </c>
      <c r="E1487" s="2" t="s">
        <v>32</v>
      </c>
      <c r="F1487" s="2" t="s">
        <v>13</v>
      </c>
      <c r="G1487" s="2" t="s">
        <v>20</v>
      </c>
      <c r="H1487" s="2" t="s">
        <v>36</v>
      </c>
      <c r="I1487" s="2" t="s">
        <v>31</v>
      </c>
      <c r="J1487" s="15">
        <v>150000</v>
      </c>
      <c r="K1487" s="2">
        <v>1</v>
      </c>
      <c r="L1487" s="2" t="s">
        <v>28</v>
      </c>
      <c r="M1487" s="12">
        <f t="shared" si="45"/>
        <v>120000</v>
      </c>
      <c r="N1487" s="10">
        <f>PRODUCT(Table_13[[#This Row],[Unit Price]],Table_13[[#This Row],[Quantity]])</f>
        <v>150000</v>
      </c>
      <c r="O1487" s="16">
        <f>PRODUCT(Table_13[[#This Row],[Cost Price]],Table_13[[#This Row],[Quantity]])</f>
        <v>120000</v>
      </c>
      <c r="P1487" s="27">
        <f t="shared" si="53"/>
        <v>30000</v>
      </c>
    </row>
    <row r="1488" spans="1:16" x14ac:dyDescent="0.2">
      <c r="A1488" s="33">
        <v>47162</v>
      </c>
      <c r="B1488" s="30">
        <f t="shared" si="52"/>
        <v>2</v>
      </c>
      <c r="C1488" s="30" t="str">
        <f>_xlfn.IFS(Table_13[[#This Row],[Month]]=1,"JAN",Table_13[[#This Row],[Month]]=2,"FEB",B1488=3,"MAR",B1488=4,"APR",B1488=5,"MAY",B1488=6,"JUN",B1488=7,"JUL",B1488=8,"AUG",Table_13[[#This Row],[Month]]=9,"SEPT",B1488=10,"OCT",B1488=11,"NOV",B1488=12,"DEC")</f>
        <v>FEB</v>
      </c>
      <c r="D1488" s="2" t="s">
        <v>29</v>
      </c>
      <c r="E1488" s="2" t="s">
        <v>26</v>
      </c>
      <c r="F1488" s="2" t="s">
        <v>13</v>
      </c>
      <c r="G1488" s="2" t="s">
        <v>14</v>
      </c>
      <c r="H1488" s="2" t="s">
        <v>40</v>
      </c>
      <c r="I1488" s="2" t="s">
        <v>31</v>
      </c>
      <c r="J1488" s="15">
        <v>250000</v>
      </c>
      <c r="K1488" s="2">
        <v>5</v>
      </c>
      <c r="L1488" s="2" t="s">
        <v>28</v>
      </c>
      <c r="M1488" s="12">
        <f t="shared" si="45"/>
        <v>200000</v>
      </c>
      <c r="N1488" s="10">
        <f>PRODUCT(Table_13[[#This Row],[Unit Price]],Table_13[[#This Row],[Quantity]])</f>
        <v>1250000</v>
      </c>
      <c r="O1488" s="16">
        <f>PRODUCT(Table_13[[#This Row],[Cost Price]],Table_13[[#This Row],[Quantity]])</f>
        <v>1000000</v>
      </c>
      <c r="P1488" s="27">
        <f t="shared" si="53"/>
        <v>250000</v>
      </c>
    </row>
    <row r="1489" spans="1:16" x14ac:dyDescent="0.2">
      <c r="A1489" s="33">
        <v>47163</v>
      </c>
      <c r="B1489" s="30">
        <f t="shared" si="52"/>
        <v>2</v>
      </c>
      <c r="C1489" s="30" t="str">
        <f>_xlfn.IFS(Table_13[[#This Row],[Month]]=1,"JAN",Table_13[[#This Row],[Month]]=2,"FEB",B1489=3,"MAR",B1489=4,"APR",B1489=5,"MAY",B1489=6,"JUN",B1489=7,"JUL",B1489=8,"AUG",Table_13[[#This Row],[Month]]=9,"SEPT",B1489=10,"OCT",B1489=11,"NOV",B1489=12,"DEC")</f>
        <v>FEB</v>
      </c>
      <c r="D1489" s="2" t="s">
        <v>18</v>
      </c>
      <c r="E1489" s="2" t="s">
        <v>32</v>
      </c>
      <c r="F1489" s="2" t="s">
        <v>13</v>
      </c>
      <c r="G1489" s="2" t="s">
        <v>20</v>
      </c>
      <c r="H1489" s="2" t="s">
        <v>41</v>
      </c>
      <c r="I1489" s="2" t="s">
        <v>22</v>
      </c>
      <c r="J1489" s="15">
        <v>220000</v>
      </c>
      <c r="K1489" s="2">
        <v>5</v>
      </c>
      <c r="L1489" s="2" t="s">
        <v>28</v>
      </c>
      <c r="M1489" s="12">
        <f t="shared" si="45"/>
        <v>176000</v>
      </c>
      <c r="N1489" s="10">
        <f>PRODUCT(Table_13[[#This Row],[Unit Price]],Table_13[[#This Row],[Quantity]])</f>
        <v>1100000</v>
      </c>
      <c r="O1489" s="16">
        <f>PRODUCT(Table_13[[#This Row],[Cost Price]],Table_13[[#This Row],[Quantity]])</f>
        <v>880000</v>
      </c>
      <c r="P1489" s="27">
        <f t="shared" si="53"/>
        <v>220000</v>
      </c>
    </row>
    <row r="1490" spans="1:16" x14ac:dyDescent="0.2">
      <c r="A1490" s="33">
        <v>47164</v>
      </c>
      <c r="B1490" s="30">
        <f t="shared" si="52"/>
        <v>2</v>
      </c>
      <c r="C1490" s="30" t="str">
        <f>_xlfn.IFS(Table_13[[#This Row],[Month]]=1,"JAN",Table_13[[#This Row],[Month]]=2,"FEB",B1490=3,"MAR",B1490=4,"APR",B1490=5,"MAY",B1490=6,"JUN",B1490=7,"JUL",B1490=8,"AUG",Table_13[[#This Row],[Month]]=9,"SEPT",B1490=10,"OCT",B1490=11,"NOV",B1490=12,"DEC")</f>
        <v>FEB</v>
      </c>
      <c r="D1490" s="2" t="s">
        <v>11</v>
      </c>
      <c r="E1490" s="2" t="s">
        <v>19</v>
      </c>
      <c r="F1490" s="2" t="s">
        <v>23</v>
      </c>
      <c r="G1490" s="2" t="s">
        <v>20</v>
      </c>
      <c r="H1490" s="2" t="s">
        <v>27</v>
      </c>
      <c r="I1490" s="2" t="s">
        <v>22</v>
      </c>
      <c r="J1490" s="15">
        <v>60000</v>
      </c>
      <c r="K1490" s="2">
        <v>2</v>
      </c>
      <c r="L1490" s="2" t="s">
        <v>28</v>
      </c>
      <c r="M1490" s="12">
        <f t="shared" si="45"/>
        <v>48000</v>
      </c>
      <c r="N1490" s="10">
        <f>PRODUCT(Table_13[[#This Row],[Unit Price]],Table_13[[#This Row],[Quantity]])</f>
        <v>120000</v>
      </c>
      <c r="O1490" s="16">
        <f>PRODUCT(Table_13[[#This Row],[Cost Price]],Table_13[[#This Row],[Quantity]])</f>
        <v>96000</v>
      </c>
      <c r="P1490" s="27">
        <f t="shared" si="53"/>
        <v>24000</v>
      </c>
    </row>
    <row r="1491" spans="1:16" x14ac:dyDescent="0.2">
      <c r="A1491" s="33">
        <v>47165</v>
      </c>
      <c r="B1491" s="30">
        <f t="shared" si="52"/>
        <v>2</v>
      </c>
      <c r="C1491" s="30" t="str">
        <f>_xlfn.IFS(Table_13[[#This Row],[Month]]=1,"JAN",Table_13[[#This Row],[Month]]=2,"FEB",B1491=3,"MAR",B1491=4,"APR",B1491=5,"MAY",B1491=6,"JUN",B1491=7,"JUL",B1491=8,"AUG",Table_13[[#This Row],[Month]]=9,"SEPT",B1491=10,"OCT",B1491=11,"NOV",B1491=12,"DEC")</f>
        <v>FEB</v>
      </c>
      <c r="D1491" s="2" t="s">
        <v>18</v>
      </c>
      <c r="E1491" s="2" t="s">
        <v>32</v>
      </c>
      <c r="F1491" s="2" t="s">
        <v>23</v>
      </c>
      <c r="G1491" s="2" t="s">
        <v>20</v>
      </c>
      <c r="H1491" s="2" t="s">
        <v>36</v>
      </c>
      <c r="I1491" s="2" t="s">
        <v>31</v>
      </c>
      <c r="J1491" s="15">
        <v>150000</v>
      </c>
      <c r="K1491" s="2">
        <v>3</v>
      </c>
      <c r="L1491" s="2" t="s">
        <v>39</v>
      </c>
      <c r="M1491" s="12">
        <f t="shared" si="45"/>
        <v>120000</v>
      </c>
      <c r="N1491" s="10">
        <f>PRODUCT(Table_13[[#This Row],[Unit Price]],Table_13[[#This Row],[Quantity]])</f>
        <v>450000</v>
      </c>
      <c r="O1491" s="16">
        <f>PRODUCT(Table_13[[#This Row],[Cost Price]],Table_13[[#This Row],[Quantity]])</f>
        <v>360000</v>
      </c>
      <c r="P1491" s="27">
        <f t="shared" si="53"/>
        <v>90000</v>
      </c>
    </row>
    <row r="1492" spans="1:16" x14ac:dyDescent="0.2">
      <c r="A1492" s="33">
        <v>47166</v>
      </c>
      <c r="B1492" s="30">
        <f t="shared" si="52"/>
        <v>2</v>
      </c>
      <c r="C1492" s="30" t="str">
        <f>_xlfn.IFS(Table_13[[#This Row],[Month]]=1,"JAN",Table_13[[#This Row],[Month]]=2,"FEB",B1492=3,"MAR",B1492=4,"APR",B1492=5,"MAY",B1492=6,"JUN",B1492=7,"JUL",B1492=8,"AUG",Table_13[[#This Row],[Month]]=9,"SEPT",B1492=10,"OCT",B1492=11,"NOV",B1492=12,"DEC")</f>
        <v>FEB</v>
      </c>
      <c r="D1492" s="2" t="s">
        <v>25</v>
      </c>
      <c r="E1492" s="2" t="s">
        <v>19</v>
      </c>
      <c r="F1492" s="2" t="s">
        <v>23</v>
      </c>
      <c r="G1492" s="2" t="s">
        <v>20</v>
      </c>
      <c r="H1492" s="2" t="s">
        <v>15</v>
      </c>
      <c r="I1492" s="2" t="s">
        <v>16</v>
      </c>
      <c r="J1492" s="15">
        <v>85000</v>
      </c>
      <c r="K1492" s="2">
        <v>3</v>
      </c>
      <c r="L1492" s="2" t="s">
        <v>37</v>
      </c>
      <c r="M1492" s="12">
        <f t="shared" si="45"/>
        <v>68000</v>
      </c>
      <c r="N1492" s="10">
        <f>PRODUCT(Table_13[[#This Row],[Unit Price]],Table_13[[#This Row],[Quantity]])</f>
        <v>255000</v>
      </c>
      <c r="O1492" s="16">
        <f>PRODUCT(Table_13[[#This Row],[Cost Price]],Table_13[[#This Row],[Quantity]])</f>
        <v>204000</v>
      </c>
      <c r="P1492" s="27">
        <f t="shared" si="53"/>
        <v>51000</v>
      </c>
    </row>
    <row r="1493" spans="1:16" x14ac:dyDescent="0.2">
      <c r="A1493" s="33">
        <v>47167</v>
      </c>
      <c r="B1493" s="30">
        <f t="shared" si="52"/>
        <v>2</v>
      </c>
      <c r="C1493" s="30" t="str">
        <f>_xlfn.IFS(Table_13[[#This Row],[Month]]=1,"JAN",Table_13[[#This Row],[Month]]=2,"FEB",B1493=3,"MAR",B1493=4,"APR",B1493=5,"MAY",B1493=6,"JUN",B1493=7,"JUL",B1493=8,"AUG",Table_13[[#This Row],[Month]]=9,"SEPT",B1493=10,"OCT",B1493=11,"NOV",B1493=12,"DEC")</f>
        <v>FEB</v>
      </c>
      <c r="D1493" s="2" t="s">
        <v>29</v>
      </c>
      <c r="E1493" s="2" t="s">
        <v>32</v>
      </c>
      <c r="F1493" s="2" t="s">
        <v>13</v>
      </c>
      <c r="G1493" s="2" t="s">
        <v>20</v>
      </c>
      <c r="H1493" s="2" t="s">
        <v>33</v>
      </c>
      <c r="I1493" s="2" t="s">
        <v>22</v>
      </c>
      <c r="J1493" s="15">
        <v>180000</v>
      </c>
      <c r="K1493" s="2">
        <v>7</v>
      </c>
      <c r="L1493" s="2" t="s">
        <v>39</v>
      </c>
      <c r="M1493" s="12">
        <f t="shared" si="45"/>
        <v>144000</v>
      </c>
      <c r="N1493" s="10">
        <f>PRODUCT(Table_13[[#This Row],[Unit Price]],Table_13[[#This Row],[Quantity]])</f>
        <v>1260000</v>
      </c>
      <c r="O1493" s="16">
        <f>PRODUCT(Table_13[[#This Row],[Cost Price]],Table_13[[#This Row],[Quantity]])</f>
        <v>1008000</v>
      </c>
      <c r="P1493" s="27">
        <f t="shared" si="53"/>
        <v>252000</v>
      </c>
    </row>
    <row r="1494" spans="1:16" x14ac:dyDescent="0.2">
      <c r="A1494" s="33">
        <v>47168</v>
      </c>
      <c r="B1494" s="30">
        <f t="shared" si="52"/>
        <v>2</v>
      </c>
      <c r="C1494" s="30" t="str">
        <f>_xlfn.IFS(Table_13[[#This Row],[Month]]=1,"JAN",Table_13[[#This Row],[Month]]=2,"FEB",B1494=3,"MAR",B1494=4,"APR",B1494=5,"MAY",B1494=6,"JUN",B1494=7,"JUL",B1494=8,"AUG",Table_13[[#This Row],[Month]]=9,"SEPT",B1494=10,"OCT",B1494=11,"NOV",B1494=12,"DEC")</f>
        <v>FEB</v>
      </c>
      <c r="D1494" s="2" t="s">
        <v>29</v>
      </c>
      <c r="E1494" s="2" t="s">
        <v>19</v>
      </c>
      <c r="F1494" s="2" t="s">
        <v>23</v>
      </c>
      <c r="G1494" s="2" t="s">
        <v>14</v>
      </c>
      <c r="H1494" s="2" t="s">
        <v>33</v>
      </c>
      <c r="I1494" s="2" t="s">
        <v>22</v>
      </c>
      <c r="J1494" s="15">
        <v>180000</v>
      </c>
      <c r="K1494" s="2">
        <v>10</v>
      </c>
      <c r="L1494" s="2" t="s">
        <v>37</v>
      </c>
      <c r="M1494" s="12">
        <f t="shared" si="45"/>
        <v>144000</v>
      </c>
      <c r="N1494" s="10">
        <f>PRODUCT(Table_13[[#This Row],[Unit Price]],Table_13[[#This Row],[Quantity]])</f>
        <v>1800000</v>
      </c>
      <c r="O1494" s="16">
        <f>PRODUCT(Table_13[[#This Row],[Cost Price]],Table_13[[#This Row],[Quantity]])</f>
        <v>1440000</v>
      </c>
      <c r="P1494" s="27">
        <f t="shared" si="53"/>
        <v>360000</v>
      </c>
    </row>
    <row r="1495" spans="1:16" x14ac:dyDescent="0.2">
      <c r="A1495" s="33">
        <v>47169</v>
      </c>
      <c r="B1495" s="30">
        <f t="shared" si="52"/>
        <v>2</v>
      </c>
      <c r="C1495" s="30" t="str">
        <f>_xlfn.IFS(Table_13[[#This Row],[Month]]=1,"JAN",Table_13[[#This Row],[Month]]=2,"FEB",B1495=3,"MAR",B1495=4,"APR",B1495=5,"MAY",B1495=6,"JUN",B1495=7,"JUL",B1495=8,"AUG",Table_13[[#This Row],[Month]]=9,"SEPT",B1495=10,"OCT",B1495=11,"NOV",B1495=12,"DEC")</f>
        <v>FEB</v>
      </c>
      <c r="D1495" s="2" t="s">
        <v>29</v>
      </c>
      <c r="E1495" s="2" t="s">
        <v>12</v>
      </c>
      <c r="F1495" s="2" t="s">
        <v>23</v>
      </c>
      <c r="G1495" s="2" t="s">
        <v>20</v>
      </c>
      <c r="H1495" s="2" t="s">
        <v>33</v>
      </c>
      <c r="I1495" s="2" t="s">
        <v>22</v>
      </c>
      <c r="J1495" s="15">
        <v>180000</v>
      </c>
      <c r="K1495" s="2">
        <v>1</v>
      </c>
      <c r="L1495" s="2" t="s">
        <v>28</v>
      </c>
      <c r="M1495" s="12">
        <f t="shared" si="45"/>
        <v>144000</v>
      </c>
      <c r="N1495" s="10">
        <f>PRODUCT(Table_13[[#This Row],[Unit Price]],Table_13[[#This Row],[Quantity]])</f>
        <v>180000</v>
      </c>
      <c r="O1495" s="16">
        <f>PRODUCT(Table_13[[#This Row],[Cost Price]],Table_13[[#This Row],[Quantity]])</f>
        <v>144000</v>
      </c>
      <c r="P1495" s="27">
        <f t="shared" si="53"/>
        <v>36000</v>
      </c>
    </row>
    <row r="1496" spans="1:16" x14ac:dyDescent="0.2">
      <c r="A1496" s="33">
        <v>47170</v>
      </c>
      <c r="B1496" s="30">
        <f t="shared" si="52"/>
        <v>2</v>
      </c>
      <c r="C1496" s="30" t="str">
        <f>_xlfn.IFS(Table_13[[#This Row],[Month]]=1,"JAN",Table_13[[#This Row],[Month]]=2,"FEB",B1496=3,"MAR",B1496=4,"APR",B1496=5,"MAY",B1496=6,"JUN",B1496=7,"JUL",B1496=8,"AUG",Table_13[[#This Row],[Month]]=9,"SEPT",B1496=10,"OCT",B1496=11,"NOV",B1496=12,"DEC")</f>
        <v>FEB</v>
      </c>
      <c r="D1496" s="2" t="s">
        <v>11</v>
      </c>
      <c r="E1496" s="2" t="s">
        <v>32</v>
      </c>
      <c r="F1496" s="2" t="s">
        <v>13</v>
      </c>
      <c r="G1496" s="2" t="s">
        <v>14</v>
      </c>
      <c r="H1496" s="2" t="s">
        <v>34</v>
      </c>
      <c r="I1496" s="2" t="s">
        <v>16</v>
      </c>
      <c r="J1496" s="15">
        <v>320000</v>
      </c>
      <c r="K1496" s="2">
        <v>5</v>
      </c>
      <c r="L1496" s="2" t="s">
        <v>28</v>
      </c>
      <c r="M1496" s="12">
        <f t="shared" si="45"/>
        <v>256000</v>
      </c>
      <c r="N1496" s="10">
        <f>PRODUCT(Table_13[[#This Row],[Unit Price]],Table_13[[#This Row],[Quantity]])</f>
        <v>1600000</v>
      </c>
      <c r="O1496" s="16">
        <f>PRODUCT(Table_13[[#This Row],[Cost Price]],Table_13[[#This Row],[Quantity]])</f>
        <v>1280000</v>
      </c>
      <c r="P1496" s="27">
        <f t="shared" si="53"/>
        <v>320000</v>
      </c>
    </row>
    <row r="1497" spans="1:16" x14ac:dyDescent="0.2">
      <c r="A1497" s="33">
        <v>47171</v>
      </c>
      <c r="B1497" s="30">
        <f t="shared" si="52"/>
        <v>2</v>
      </c>
      <c r="C1497" s="30" t="str">
        <f>_xlfn.IFS(Table_13[[#This Row],[Month]]=1,"JAN",Table_13[[#This Row],[Month]]=2,"FEB",B1497=3,"MAR",B1497=4,"APR",B1497=5,"MAY",B1497=6,"JUN",B1497=7,"JUL",B1497=8,"AUG",Table_13[[#This Row],[Month]]=9,"SEPT",B1497=10,"OCT",B1497=11,"NOV",B1497=12,"DEC")</f>
        <v>FEB</v>
      </c>
      <c r="D1497" s="2" t="s">
        <v>18</v>
      </c>
      <c r="E1497" s="2" t="s">
        <v>19</v>
      </c>
      <c r="F1497" s="2" t="s">
        <v>13</v>
      </c>
      <c r="G1497" s="2" t="s">
        <v>20</v>
      </c>
      <c r="H1497" s="2" t="s">
        <v>38</v>
      </c>
      <c r="I1497" s="2" t="s">
        <v>31</v>
      </c>
      <c r="J1497" s="15">
        <v>420000</v>
      </c>
      <c r="K1497" s="2">
        <v>5</v>
      </c>
      <c r="L1497" s="2" t="s">
        <v>35</v>
      </c>
      <c r="M1497" s="12">
        <f t="shared" si="45"/>
        <v>336000</v>
      </c>
      <c r="N1497" s="10">
        <f>PRODUCT(Table_13[[#This Row],[Unit Price]],Table_13[[#This Row],[Quantity]])</f>
        <v>2100000</v>
      </c>
      <c r="O1497" s="16">
        <f>PRODUCT(Table_13[[#This Row],[Cost Price]],Table_13[[#This Row],[Quantity]])</f>
        <v>1680000</v>
      </c>
      <c r="P1497" s="27">
        <f t="shared" si="53"/>
        <v>420000</v>
      </c>
    </row>
    <row r="1498" spans="1:16" x14ac:dyDescent="0.2">
      <c r="A1498" s="33">
        <v>47172</v>
      </c>
      <c r="B1498" s="30">
        <f t="shared" si="52"/>
        <v>2</v>
      </c>
      <c r="C1498" s="30" t="str">
        <f>_xlfn.IFS(Table_13[[#This Row],[Month]]=1,"JAN",Table_13[[#This Row],[Month]]=2,"FEB",B1498=3,"MAR",B1498=4,"APR",B1498=5,"MAY",B1498=6,"JUN",B1498=7,"JUL",B1498=8,"AUG",Table_13[[#This Row],[Month]]=9,"SEPT",B1498=10,"OCT",B1498=11,"NOV",B1498=12,"DEC")</f>
        <v>FEB</v>
      </c>
      <c r="D1498" s="2" t="s">
        <v>11</v>
      </c>
      <c r="E1498" s="2" t="s">
        <v>26</v>
      </c>
      <c r="F1498" s="2" t="s">
        <v>23</v>
      </c>
      <c r="G1498" s="2" t="s">
        <v>14</v>
      </c>
      <c r="H1498" s="2" t="s">
        <v>33</v>
      </c>
      <c r="I1498" s="2" t="s">
        <v>22</v>
      </c>
      <c r="J1498" s="15">
        <v>180000</v>
      </c>
      <c r="K1498" s="2">
        <v>2</v>
      </c>
      <c r="L1498" s="2" t="s">
        <v>17</v>
      </c>
      <c r="M1498" s="12">
        <f t="shared" si="45"/>
        <v>144000</v>
      </c>
      <c r="N1498" s="10">
        <f>PRODUCT(Table_13[[#This Row],[Unit Price]],Table_13[[#This Row],[Quantity]])</f>
        <v>360000</v>
      </c>
      <c r="O1498" s="16">
        <f>PRODUCT(Table_13[[#This Row],[Cost Price]],Table_13[[#This Row],[Quantity]])</f>
        <v>288000</v>
      </c>
      <c r="P1498" s="27">
        <f t="shared" si="53"/>
        <v>72000</v>
      </c>
    </row>
    <row r="1499" spans="1:16" x14ac:dyDescent="0.2">
      <c r="A1499" s="33">
        <v>47173</v>
      </c>
      <c r="B1499" s="30">
        <f t="shared" si="52"/>
        <v>2</v>
      </c>
      <c r="C1499" s="30" t="str">
        <f>_xlfn.IFS(Table_13[[#This Row],[Month]]=1,"JAN",Table_13[[#This Row],[Month]]=2,"FEB",B1499=3,"MAR",B1499=4,"APR",B1499=5,"MAY",B1499=6,"JUN",B1499=7,"JUL",B1499=8,"AUG",Table_13[[#This Row],[Month]]=9,"SEPT",B1499=10,"OCT",B1499=11,"NOV",B1499=12,"DEC")</f>
        <v>FEB</v>
      </c>
      <c r="D1499" s="2" t="s">
        <v>25</v>
      </c>
      <c r="E1499" s="2" t="s">
        <v>26</v>
      </c>
      <c r="F1499" s="2" t="s">
        <v>13</v>
      </c>
      <c r="G1499" s="2" t="s">
        <v>20</v>
      </c>
      <c r="H1499" s="2" t="s">
        <v>41</v>
      </c>
      <c r="I1499" s="2" t="s">
        <v>22</v>
      </c>
      <c r="J1499" s="15">
        <v>220000</v>
      </c>
      <c r="K1499" s="2">
        <v>1</v>
      </c>
      <c r="L1499" s="2" t="s">
        <v>24</v>
      </c>
      <c r="M1499" s="12">
        <f t="shared" si="45"/>
        <v>176000</v>
      </c>
      <c r="N1499" s="10">
        <f>PRODUCT(Table_13[[#This Row],[Unit Price]],Table_13[[#This Row],[Quantity]])</f>
        <v>220000</v>
      </c>
      <c r="O1499" s="16">
        <f>PRODUCT(Table_13[[#This Row],[Cost Price]],Table_13[[#This Row],[Quantity]])</f>
        <v>176000</v>
      </c>
      <c r="P1499" s="27">
        <f t="shared" si="53"/>
        <v>44000</v>
      </c>
    </row>
    <row r="1500" spans="1:16" x14ac:dyDescent="0.2">
      <c r="A1500" s="33">
        <v>47174</v>
      </c>
      <c r="B1500" s="30">
        <f t="shared" si="52"/>
        <v>2</v>
      </c>
      <c r="C1500" s="30" t="str">
        <f>_xlfn.IFS(Table_13[[#This Row],[Month]]=1,"JAN",Table_13[[#This Row],[Month]]=2,"FEB",B1500=3,"MAR",B1500=4,"APR",B1500=5,"MAY",B1500=6,"JUN",B1500=7,"JUL",B1500=8,"AUG",Table_13[[#This Row],[Month]]=9,"SEPT",B1500=10,"OCT",B1500=11,"NOV",B1500=12,"DEC")</f>
        <v>FEB</v>
      </c>
      <c r="D1500" s="2" t="s">
        <v>11</v>
      </c>
      <c r="E1500" s="2" t="s">
        <v>26</v>
      </c>
      <c r="F1500" s="2" t="s">
        <v>23</v>
      </c>
      <c r="G1500" s="2" t="s">
        <v>14</v>
      </c>
      <c r="H1500" s="2" t="s">
        <v>34</v>
      </c>
      <c r="I1500" s="2" t="s">
        <v>16</v>
      </c>
      <c r="J1500" s="15">
        <v>320000</v>
      </c>
      <c r="K1500" s="2">
        <v>4</v>
      </c>
      <c r="L1500" s="2" t="s">
        <v>37</v>
      </c>
      <c r="M1500" s="12">
        <f t="shared" si="45"/>
        <v>256000</v>
      </c>
      <c r="N1500" s="10">
        <f>PRODUCT(Table_13[[#This Row],[Unit Price]],Table_13[[#This Row],[Quantity]])</f>
        <v>1280000</v>
      </c>
      <c r="O1500" s="16">
        <f>PRODUCT(Table_13[[#This Row],[Cost Price]],Table_13[[#This Row],[Quantity]])</f>
        <v>1024000</v>
      </c>
      <c r="P1500" s="27">
        <f t="shared" si="53"/>
        <v>256000</v>
      </c>
    </row>
    <row r="1501" spans="1:16" x14ac:dyDescent="0.2">
      <c r="A1501" s="33">
        <v>47175</v>
      </c>
      <c r="B1501" s="30">
        <f t="shared" si="52"/>
        <v>2</v>
      </c>
      <c r="C1501" s="30" t="str">
        <f>_xlfn.IFS(Table_13[[#This Row],[Month]]=1,"JAN",Table_13[[#This Row],[Month]]=2,"FEB",B1501=3,"MAR",B1501=4,"APR",B1501=5,"MAY",B1501=6,"JUN",B1501=7,"JUL",B1501=8,"AUG",Table_13[[#This Row],[Month]]=9,"SEPT",B1501=10,"OCT",B1501=11,"NOV",B1501=12,"DEC")</f>
        <v>FEB</v>
      </c>
      <c r="D1501" s="2" t="s">
        <v>25</v>
      </c>
      <c r="E1501" s="2" t="s">
        <v>26</v>
      </c>
      <c r="F1501" s="2" t="s">
        <v>13</v>
      </c>
      <c r="G1501" s="2" t="s">
        <v>14</v>
      </c>
      <c r="H1501" s="2" t="s">
        <v>40</v>
      </c>
      <c r="I1501" s="2" t="s">
        <v>31</v>
      </c>
      <c r="J1501" s="15">
        <v>250000</v>
      </c>
      <c r="K1501" s="2">
        <v>4</v>
      </c>
      <c r="L1501" s="2" t="s">
        <v>24</v>
      </c>
      <c r="M1501" s="12">
        <f t="shared" si="45"/>
        <v>200000</v>
      </c>
      <c r="N1501" s="10">
        <f>PRODUCT(Table_13[[#This Row],[Unit Price]],Table_13[[#This Row],[Quantity]])</f>
        <v>1000000</v>
      </c>
      <c r="O1501" s="16">
        <f>PRODUCT(Table_13[[#This Row],[Cost Price]],Table_13[[#This Row],[Quantity]])</f>
        <v>800000</v>
      </c>
      <c r="P1501" s="27">
        <f t="shared" si="53"/>
        <v>200000</v>
      </c>
    </row>
    <row r="1502" spans="1:16" x14ac:dyDescent="0.2">
      <c r="A1502" s="33">
        <v>47176</v>
      </c>
      <c r="B1502" s="30">
        <f t="shared" si="52"/>
        <v>2</v>
      </c>
      <c r="C1502" s="30" t="str">
        <f>_xlfn.IFS(Table_13[[#This Row],[Month]]=1,"JAN",Table_13[[#This Row],[Month]]=2,"FEB",B1502=3,"MAR",B1502=4,"APR",B1502=5,"MAY",B1502=6,"JUN",B1502=7,"JUL",B1502=8,"AUG",Table_13[[#This Row],[Month]]=9,"SEPT",B1502=10,"OCT",B1502=11,"NOV",B1502=12,"DEC")</f>
        <v>FEB</v>
      </c>
      <c r="D1502" s="2" t="s">
        <v>25</v>
      </c>
      <c r="E1502" s="2" t="s">
        <v>12</v>
      </c>
      <c r="F1502" s="2" t="s">
        <v>13</v>
      </c>
      <c r="G1502" s="2" t="s">
        <v>20</v>
      </c>
      <c r="H1502" s="2" t="s">
        <v>27</v>
      </c>
      <c r="I1502" s="2" t="s">
        <v>22</v>
      </c>
      <c r="J1502" s="15">
        <v>60000</v>
      </c>
      <c r="K1502" s="2">
        <v>10</v>
      </c>
      <c r="L1502" s="2" t="s">
        <v>39</v>
      </c>
      <c r="M1502" s="12">
        <f t="shared" si="45"/>
        <v>48000</v>
      </c>
      <c r="N1502" s="10">
        <f>PRODUCT(Table_13[[#This Row],[Unit Price]],Table_13[[#This Row],[Quantity]])</f>
        <v>600000</v>
      </c>
      <c r="O1502" s="16">
        <f>PRODUCT(Table_13[[#This Row],[Cost Price]],Table_13[[#This Row],[Quantity]])</f>
        <v>480000</v>
      </c>
      <c r="P1502" s="27">
        <f t="shared" si="53"/>
        <v>120000</v>
      </c>
    </row>
    <row r="1503" spans="1:16" x14ac:dyDescent="0.2">
      <c r="A1503" s="33">
        <v>47177</v>
      </c>
      <c r="B1503" s="30">
        <f t="shared" si="52"/>
        <v>2</v>
      </c>
      <c r="C1503" s="30" t="str">
        <f>_xlfn.IFS(Table_13[[#This Row],[Month]]=1,"JAN",Table_13[[#This Row],[Month]]=2,"FEB",B1503=3,"MAR",B1503=4,"APR",B1503=5,"MAY",B1503=6,"JUN",B1503=7,"JUL",B1503=8,"AUG",Table_13[[#This Row],[Month]]=9,"SEPT",B1503=10,"OCT",B1503=11,"NOV",B1503=12,"DEC")</f>
        <v>FEB</v>
      </c>
      <c r="D1503" s="2" t="s">
        <v>18</v>
      </c>
      <c r="E1503" s="2" t="s">
        <v>32</v>
      </c>
      <c r="F1503" s="2" t="s">
        <v>23</v>
      </c>
      <c r="G1503" s="2" t="s">
        <v>14</v>
      </c>
      <c r="H1503" s="2" t="s">
        <v>33</v>
      </c>
      <c r="I1503" s="2" t="s">
        <v>22</v>
      </c>
      <c r="J1503" s="15">
        <v>180000</v>
      </c>
      <c r="K1503" s="2">
        <v>10</v>
      </c>
      <c r="L1503" s="2" t="s">
        <v>37</v>
      </c>
      <c r="M1503" s="12">
        <f t="shared" si="45"/>
        <v>144000</v>
      </c>
      <c r="N1503" s="10">
        <f>PRODUCT(Table_13[[#This Row],[Unit Price]],Table_13[[#This Row],[Quantity]])</f>
        <v>1800000</v>
      </c>
      <c r="O1503" s="16">
        <f>PRODUCT(Table_13[[#This Row],[Cost Price]],Table_13[[#This Row],[Quantity]])</f>
        <v>1440000</v>
      </c>
      <c r="P1503" s="27">
        <f t="shared" si="53"/>
        <v>360000</v>
      </c>
    </row>
    <row r="1504" spans="1:16" x14ac:dyDescent="0.2">
      <c r="A1504" s="33">
        <v>47178</v>
      </c>
      <c r="B1504" s="30">
        <f t="shared" si="52"/>
        <v>3</v>
      </c>
      <c r="C1504" s="30" t="str">
        <f>_xlfn.IFS(Table_13[[#This Row],[Month]]=1,"JAN",Table_13[[#This Row],[Month]]=2,"FEB",B1504=3,"MAR",B1504=4,"APR",B1504=5,"MAY",B1504=6,"JUN",B1504=7,"JUL",B1504=8,"AUG",Table_13[[#This Row],[Month]]=9,"SEPT",B1504=10,"OCT",B1504=11,"NOV",B1504=12,"DEC")</f>
        <v>MAR</v>
      </c>
      <c r="D1504" s="2" t="s">
        <v>18</v>
      </c>
      <c r="E1504" s="2" t="s">
        <v>26</v>
      </c>
      <c r="F1504" s="2" t="s">
        <v>23</v>
      </c>
      <c r="G1504" s="2" t="s">
        <v>20</v>
      </c>
      <c r="H1504" s="2" t="s">
        <v>30</v>
      </c>
      <c r="I1504" s="2" t="s">
        <v>31</v>
      </c>
      <c r="J1504" s="15">
        <v>300000</v>
      </c>
      <c r="K1504" s="2">
        <v>5</v>
      </c>
      <c r="L1504" s="2" t="s">
        <v>35</v>
      </c>
      <c r="M1504" s="12">
        <f t="shared" si="45"/>
        <v>240000</v>
      </c>
      <c r="N1504" s="10">
        <f>PRODUCT(Table_13[[#This Row],[Unit Price]],Table_13[[#This Row],[Quantity]])</f>
        <v>1500000</v>
      </c>
      <c r="O1504" s="16">
        <f>PRODUCT(Table_13[[#This Row],[Cost Price]],Table_13[[#This Row],[Quantity]])</f>
        <v>1200000</v>
      </c>
      <c r="P1504" s="27">
        <f t="shared" si="53"/>
        <v>300000</v>
      </c>
    </row>
    <row r="1505" spans="1:16" x14ac:dyDescent="0.2">
      <c r="A1505" s="33">
        <v>47179</v>
      </c>
      <c r="B1505" s="30">
        <f t="shared" si="52"/>
        <v>3</v>
      </c>
      <c r="C1505" s="30" t="str">
        <f>_xlfn.IFS(Table_13[[#This Row],[Month]]=1,"JAN",Table_13[[#This Row],[Month]]=2,"FEB",B1505=3,"MAR",B1505=4,"APR",B1505=5,"MAY",B1505=6,"JUN",B1505=7,"JUL",B1505=8,"AUG",Table_13[[#This Row],[Month]]=9,"SEPT",B1505=10,"OCT",B1505=11,"NOV",B1505=12,"DEC")</f>
        <v>MAR</v>
      </c>
      <c r="D1505" s="2" t="s">
        <v>18</v>
      </c>
      <c r="E1505" s="2" t="s">
        <v>32</v>
      </c>
      <c r="F1505" s="2" t="s">
        <v>13</v>
      </c>
      <c r="G1505" s="2" t="s">
        <v>20</v>
      </c>
      <c r="H1505" s="2" t="s">
        <v>15</v>
      </c>
      <c r="I1505" s="2" t="s">
        <v>16</v>
      </c>
      <c r="J1505" s="15">
        <v>85000</v>
      </c>
      <c r="K1505" s="2">
        <v>7</v>
      </c>
      <c r="L1505" s="2" t="s">
        <v>37</v>
      </c>
      <c r="M1505" s="12">
        <f t="shared" si="45"/>
        <v>68000</v>
      </c>
      <c r="N1505" s="10">
        <f>PRODUCT(Table_13[[#This Row],[Unit Price]],Table_13[[#This Row],[Quantity]])</f>
        <v>595000</v>
      </c>
      <c r="O1505" s="16">
        <f>PRODUCT(Table_13[[#This Row],[Cost Price]],Table_13[[#This Row],[Quantity]])</f>
        <v>476000</v>
      </c>
      <c r="P1505" s="27">
        <f t="shared" si="53"/>
        <v>119000</v>
      </c>
    </row>
    <row r="1506" spans="1:16" x14ac:dyDescent="0.2">
      <c r="A1506" s="33">
        <v>47180</v>
      </c>
      <c r="B1506" s="30">
        <f t="shared" si="52"/>
        <v>3</v>
      </c>
      <c r="C1506" s="30" t="str">
        <f>_xlfn.IFS(Table_13[[#This Row],[Month]]=1,"JAN",Table_13[[#This Row],[Month]]=2,"FEB",B1506=3,"MAR",B1506=4,"APR",B1506=5,"MAY",B1506=6,"JUN",B1506=7,"JUL",B1506=8,"AUG",Table_13[[#This Row],[Month]]=9,"SEPT",B1506=10,"OCT",B1506=11,"NOV",B1506=12,"DEC")</f>
        <v>MAR</v>
      </c>
      <c r="D1506" s="2" t="s">
        <v>18</v>
      </c>
      <c r="E1506" s="2" t="s">
        <v>12</v>
      </c>
      <c r="F1506" s="2" t="s">
        <v>13</v>
      </c>
      <c r="G1506" s="2" t="s">
        <v>14</v>
      </c>
      <c r="H1506" s="2" t="s">
        <v>33</v>
      </c>
      <c r="I1506" s="2" t="s">
        <v>22</v>
      </c>
      <c r="J1506" s="15">
        <v>180000</v>
      </c>
      <c r="K1506" s="2">
        <v>5</v>
      </c>
      <c r="L1506" s="2" t="s">
        <v>28</v>
      </c>
      <c r="M1506" s="12">
        <f t="shared" si="45"/>
        <v>144000</v>
      </c>
      <c r="N1506" s="10">
        <f>PRODUCT(Table_13[[#This Row],[Unit Price]],Table_13[[#This Row],[Quantity]])</f>
        <v>900000</v>
      </c>
      <c r="O1506" s="16">
        <f>PRODUCT(Table_13[[#This Row],[Cost Price]],Table_13[[#This Row],[Quantity]])</f>
        <v>720000</v>
      </c>
      <c r="P1506" s="27">
        <f t="shared" si="53"/>
        <v>180000</v>
      </c>
    </row>
    <row r="1507" spans="1:16" x14ac:dyDescent="0.2">
      <c r="A1507" s="33">
        <v>47181</v>
      </c>
      <c r="B1507" s="30">
        <f t="shared" si="52"/>
        <v>3</v>
      </c>
      <c r="C1507" s="30" t="str">
        <f>_xlfn.IFS(Table_13[[#This Row],[Month]]=1,"JAN",Table_13[[#This Row],[Month]]=2,"FEB",B1507=3,"MAR",B1507=4,"APR",B1507=5,"MAY",B1507=6,"JUN",B1507=7,"JUL",B1507=8,"AUG",Table_13[[#This Row],[Month]]=9,"SEPT",B1507=10,"OCT",B1507=11,"NOV",B1507=12,"DEC")</f>
        <v>MAR</v>
      </c>
      <c r="D1507" s="2" t="s">
        <v>18</v>
      </c>
      <c r="E1507" s="2" t="s">
        <v>26</v>
      </c>
      <c r="F1507" s="2" t="s">
        <v>23</v>
      </c>
      <c r="G1507" s="2" t="s">
        <v>20</v>
      </c>
      <c r="H1507" s="2" t="s">
        <v>34</v>
      </c>
      <c r="I1507" s="2" t="s">
        <v>16</v>
      </c>
      <c r="J1507" s="15">
        <v>320000</v>
      </c>
      <c r="K1507" s="2">
        <v>4</v>
      </c>
      <c r="L1507" s="2" t="s">
        <v>24</v>
      </c>
      <c r="M1507" s="12">
        <f t="shared" si="45"/>
        <v>256000</v>
      </c>
      <c r="N1507" s="10">
        <f>PRODUCT(Table_13[[#This Row],[Unit Price]],Table_13[[#This Row],[Quantity]])</f>
        <v>1280000</v>
      </c>
      <c r="O1507" s="16">
        <f>PRODUCT(Table_13[[#This Row],[Cost Price]],Table_13[[#This Row],[Quantity]])</f>
        <v>1024000</v>
      </c>
      <c r="P1507" s="27">
        <f t="shared" si="53"/>
        <v>256000</v>
      </c>
    </row>
    <row r="1508" spans="1:16" x14ac:dyDescent="0.2">
      <c r="A1508" s="33">
        <v>47182</v>
      </c>
      <c r="B1508" s="30">
        <f t="shared" si="52"/>
        <v>3</v>
      </c>
      <c r="C1508" s="30" t="str">
        <f>_xlfn.IFS(Table_13[[#This Row],[Month]]=1,"JAN",Table_13[[#This Row],[Month]]=2,"FEB",B1508=3,"MAR",B1508=4,"APR",B1508=5,"MAY",B1508=6,"JUN",B1508=7,"JUL",B1508=8,"AUG",Table_13[[#This Row],[Month]]=9,"SEPT",B1508=10,"OCT",B1508=11,"NOV",B1508=12,"DEC")</f>
        <v>MAR</v>
      </c>
      <c r="D1508" s="2" t="s">
        <v>11</v>
      </c>
      <c r="E1508" s="2" t="s">
        <v>12</v>
      </c>
      <c r="F1508" s="2" t="s">
        <v>23</v>
      </c>
      <c r="G1508" s="2" t="s">
        <v>14</v>
      </c>
      <c r="H1508" s="2" t="s">
        <v>33</v>
      </c>
      <c r="I1508" s="2" t="s">
        <v>22</v>
      </c>
      <c r="J1508" s="15">
        <v>180000</v>
      </c>
      <c r="K1508" s="2">
        <v>8</v>
      </c>
      <c r="L1508" s="2" t="s">
        <v>28</v>
      </c>
      <c r="M1508" s="12">
        <f t="shared" si="45"/>
        <v>144000</v>
      </c>
      <c r="N1508" s="10">
        <f>PRODUCT(Table_13[[#This Row],[Unit Price]],Table_13[[#This Row],[Quantity]])</f>
        <v>1440000</v>
      </c>
      <c r="O1508" s="16">
        <f>PRODUCT(Table_13[[#This Row],[Cost Price]],Table_13[[#This Row],[Quantity]])</f>
        <v>1152000</v>
      </c>
      <c r="P1508" s="27">
        <f t="shared" si="53"/>
        <v>288000</v>
      </c>
    </row>
    <row r="1509" spans="1:16" x14ac:dyDescent="0.2">
      <c r="A1509" s="33">
        <v>47183</v>
      </c>
      <c r="B1509" s="30">
        <f t="shared" si="52"/>
        <v>3</v>
      </c>
      <c r="C1509" s="30" t="str">
        <f>_xlfn.IFS(Table_13[[#This Row],[Month]]=1,"JAN",Table_13[[#This Row],[Month]]=2,"FEB",B1509=3,"MAR",B1509=4,"APR",B1509=5,"MAY",B1509=6,"JUN",B1509=7,"JUL",B1509=8,"AUG",Table_13[[#This Row],[Month]]=9,"SEPT",B1509=10,"OCT",B1509=11,"NOV",B1509=12,"DEC")</f>
        <v>MAR</v>
      </c>
      <c r="D1509" s="2" t="s">
        <v>29</v>
      </c>
      <c r="E1509" s="2" t="s">
        <v>26</v>
      </c>
      <c r="F1509" s="2" t="s">
        <v>13</v>
      </c>
      <c r="G1509" s="2" t="s">
        <v>14</v>
      </c>
      <c r="H1509" s="2" t="s">
        <v>21</v>
      </c>
      <c r="I1509" s="2" t="s">
        <v>22</v>
      </c>
      <c r="J1509" s="15">
        <v>30000</v>
      </c>
      <c r="K1509" s="2">
        <v>3</v>
      </c>
      <c r="L1509" s="2" t="s">
        <v>37</v>
      </c>
      <c r="M1509" s="12">
        <f t="shared" si="45"/>
        <v>24000</v>
      </c>
      <c r="N1509" s="10">
        <f>PRODUCT(Table_13[[#This Row],[Unit Price]],Table_13[[#This Row],[Quantity]])</f>
        <v>90000</v>
      </c>
      <c r="O1509" s="16">
        <f>PRODUCT(Table_13[[#This Row],[Cost Price]],Table_13[[#This Row],[Quantity]])</f>
        <v>72000</v>
      </c>
      <c r="P1509" s="27">
        <f t="shared" si="53"/>
        <v>18000</v>
      </c>
    </row>
    <row r="1510" spans="1:16" x14ac:dyDescent="0.2">
      <c r="A1510" s="33">
        <v>47184</v>
      </c>
      <c r="B1510" s="30">
        <f t="shared" si="52"/>
        <v>3</v>
      </c>
      <c r="C1510" s="30" t="str">
        <f>_xlfn.IFS(Table_13[[#This Row],[Month]]=1,"JAN",Table_13[[#This Row],[Month]]=2,"FEB",B1510=3,"MAR",B1510=4,"APR",B1510=5,"MAY",B1510=6,"JUN",B1510=7,"JUL",B1510=8,"AUG",Table_13[[#This Row],[Month]]=9,"SEPT",B1510=10,"OCT",B1510=11,"NOV",B1510=12,"DEC")</f>
        <v>MAR</v>
      </c>
      <c r="D1510" s="2" t="s">
        <v>29</v>
      </c>
      <c r="E1510" s="2" t="s">
        <v>32</v>
      </c>
      <c r="F1510" s="2" t="s">
        <v>23</v>
      </c>
      <c r="G1510" s="2" t="s">
        <v>20</v>
      </c>
      <c r="H1510" s="2" t="s">
        <v>41</v>
      </c>
      <c r="I1510" s="2" t="s">
        <v>22</v>
      </c>
      <c r="J1510" s="15">
        <v>220000</v>
      </c>
      <c r="K1510" s="2">
        <v>3</v>
      </c>
      <c r="L1510" s="2" t="s">
        <v>24</v>
      </c>
      <c r="M1510" s="12">
        <f t="shared" si="45"/>
        <v>176000</v>
      </c>
      <c r="N1510" s="10">
        <f>PRODUCT(Table_13[[#This Row],[Unit Price]],Table_13[[#This Row],[Quantity]])</f>
        <v>660000</v>
      </c>
      <c r="O1510" s="16">
        <f>PRODUCT(Table_13[[#This Row],[Cost Price]],Table_13[[#This Row],[Quantity]])</f>
        <v>528000</v>
      </c>
      <c r="P1510" s="27">
        <f t="shared" si="53"/>
        <v>132000</v>
      </c>
    </row>
    <row r="1511" spans="1:16" x14ac:dyDescent="0.2">
      <c r="A1511" s="33">
        <v>47185</v>
      </c>
      <c r="B1511" s="30">
        <f t="shared" si="52"/>
        <v>3</v>
      </c>
      <c r="C1511" s="30" t="str">
        <f>_xlfn.IFS(Table_13[[#This Row],[Month]]=1,"JAN",Table_13[[#This Row],[Month]]=2,"FEB",B1511=3,"MAR",B1511=4,"APR",B1511=5,"MAY",B1511=6,"JUN",B1511=7,"JUL",B1511=8,"AUG",Table_13[[#This Row],[Month]]=9,"SEPT",B1511=10,"OCT",B1511=11,"NOV",B1511=12,"DEC")</f>
        <v>MAR</v>
      </c>
      <c r="D1511" s="2" t="s">
        <v>18</v>
      </c>
      <c r="E1511" s="2" t="s">
        <v>26</v>
      </c>
      <c r="F1511" s="2" t="s">
        <v>13</v>
      </c>
      <c r="G1511" s="2" t="s">
        <v>14</v>
      </c>
      <c r="H1511" s="2" t="s">
        <v>15</v>
      </c>
      <c r="I1511" s="2" t="s">
        <v>16</v>
      </c>
      <c r="J1511" s="15">
        <v>85000</v>
      </c>
      <c r="K1511" s="2">
        <v>4</v>
      </c>
      <c r="L1511" s="2" t="s">
        <v>24</v>
      </c>
      <c r="M1511" s="12">
        <f t="shared" si="45"/>
        <v>68000</v>
      </c>
      <c r="N1511" s="10">
        <f>PRODUCT(Table_13[[#This Row],[Unit Price]],Table_13[[#This Row],[Quantity]])</f>
        <v>340000</v>
      </c>
      <c r="O1511" s="16">
        <f>PRODUCT(Table_13[[#This Row],[Cost Price]],Table_13[[#This Row],[Quantity]])</f>
        <v>272000</v>
      </c>
      <c r="P1511" s="27">
        <f t="shared" si="53"/>
        <v>68000</v>
      </c>
    </row>
    <row r="1512" spans="1:16" x14ac:dyDescent="0.2">
      <c r="A1512" s="33">
        <v>47186</v>
      </c>
      <c r="B1512" s="30">
        <f t="shared" si="52"/>
        <v>3</v>
      </c>
      <c r="C1512" s="30" t="str">
        <f>_xlfn.IFS(Table_13[[#This Row],[Month]]=1,"JAN",Table_13[[#This Row],[Month]]=2,"FEB",B1512=3,"MAR",B1512=4,"APR",B1512=5,"MAY",B1512=6,"JUN",B1512=7,"JUL",B1512=8,"AUG",Table_13[[#This Row],[Month]]=9,"SEPT",B1512=10,"OCT",B1512=11,"NOV",B1512=12,"DEC")</f>
        <v>MAR</v>
      </c>
      <c r="D1512" s="2" t="s">
        <v>29</v>
      </c>
      <c r="E1512" s="2" t="s">
        <v>19</v>
      </c>
      <c r="F1512" s="2" t="s">
        <v>13</v>
      </c>
      <c r="G1512" s="2" t="s">
        <v>14</v>
      </c>
      <c r="H1512" s="2" t="s">
        <v>33</v>
      </c>
      <c r="I1512" s="2" t="s">
        <v>22</v>
      </c>
      <c r="J1512" s="15">
        <v>180000</v>
      </c>
      <c r="K1512" s="2">
        <v>6</v>
      </c>
      <c r="L1512" s="2" t="s">
        <v>24</v>
      </c>
      <c r="M1512" s="12">
        <f t="shared" si="45"/>
        <v>144000</v>
      </c>
      <c r="N1512" s="10">
        <f>PRODUCT(Table_13[[#This Row],[Unit Price]],Table_13[[#This Row],[Quantity]])</f>
        <v>1080000</v>
      </c>
      <c r="O1512" s="16">
        <f>PRODUCT(Table_13[[#This Row],[Cost Price]],Table_13[[#This Row],[Quantity]])</f>
        <v>864000</v>
      </c>
      <c r="P1512" s="27">
        <f t="shared" si="53"/>
        <v>216000</v>
      </c>
    </row>
    <row r="1513" spans="1:16" x14ac:dyDescent="0.2">
      <c r="A1513" s="33">
        <v>47187</v>
      </c>
      <c r="B1513" s="30">
        <f t="shared" si="52"/>
        <v>3</v>
      </c>
      <c r="C1513" s="30" t="str">
        <f>_xlfn.IFS(Table_13[[#This Row],[Month]]=1,"JAN",Table_13[[#This Row],[Month]]=2,"FEB",B1513=3,"MAR",B1513=4,"APR",B1513=5,"MAY",B1513=6,"JUN",B1513=7,"JUL",B1513=8,"AUG",Table_13[[#This Row],[Month]]=9,"SEPT",B1513=10,"OCT",B1513=11,"NOV",B1513=12,"DEC")</f>
        <v>MAR</v>
      </c>
      <c r="D1513" s="2" t="s">
        <v>29</v>
      </c>
      <c r="E1513" s="2" t="s">
        <v>26</v>
      </c>
      <c r="F1513" s="2" t="s">
        <v>23</v>
      </c>
      <c r="G1513" s="2" t="s">
        <v>20</v>
      </c>
      <c r="H1513" s="2" t="s">
        <v>41</v>
      </c>
      <c r="I1513" s="2" t="s">
        <v>22</v>
      </c>
      <c r="J1513" s="15">
        <v>220000</v>
      </c>
      <c r="K1513" s="2">
        <v>8</v>
      </c>
      <c r="L1513" s="2" t="s">
        <v>17</v>
      </c>
      <c r="M1513" s="12">
        <f t="shared" si="45"/>
        <v>176000</v>
      </c>
      <c r="N1513" s="10">
        <f>PRODUCT(Table_13[[#This Row],[Unit Price]],Table_13[[#This Row],[Quantity]])</f>
        <v>1760000</v>
      </c>
      <c r="O1513" s="16">
        <f>PRODUCT(Table_13[[#This Row],[Cost Price]],Table_13[[#This Row],[Quantity]])</f>
        <v>1408000</v>
      </c>
      <c r="P1513" s="27">
        <f t="shared" si="53"/>
        <v>352000</v>
      </c>
    </row>
    <row r="1514" spans="1:16" x14ac:dyDescent="0.2">
      <c r="A1514" s="33">
        <v>47188</v>
      </c>
      <c r="B1514" s="30">
        <f t="shared" si="52"/>
        <v>3</v>
      </c>
      <c r="C1514" s="30" t="str">
        <f>_xlfn.IFS(Table_13[[#This Row],[Month]]=1,"JAN",Table_13[[#This Row],[Month]]=2,"FEB",B1514=3,"MAR",B1514=4,"APR",B1514=5,"MAY",B1514=6,"JUN",B1514=7,"JUL",B1514=8,"AUG",Table_13[[#This Row],[Month]]=9,"SEPT",B1514=10,"OCT",B1514=11,"NOV",B1514=12,"DEC")</f>
        <v>MAR</v>
      </c>
      <c r="D1514" s="2" t="s">
        <v>25</v>
      </c>
      <c r="E1514" s="2" t="s">
        <v>19</v>
      </c>
      <c r="F1514" s="2" t="s">
        <v>13</v>
      </c>
      <c r="G1514" s="2" t="s">
        <v>20</v>
      </c>
      <c r="H1514" s="2" t="s">
        <v>36</v>
      </c>
      <c r="I1514" s="2" t="s">
        <v>31</v>
      </c>
      <c r="J1514" s="15">
        <v>150000</v>
      </c>
      <c r="K1514" s="2">
        <v>1</v>
      </c>
      <c r="L1514" s="2" t="s">
        <v>39</v>
      </c>
      <c r="M1514" s="12">
        <f t="shared" si="45"/>
        <v>120000</v>
      </c>
      <c r="N1514" s="10">
        <f>PRODUCT(Table_13[[#This Row],[Unit Price]],Table_13[[#This Row],[Quantity]])</f>
        <v>150000</v>
      </c>
      <c r="O1514" s="16">
        <f>PRODUCT(Table_13[[#This Row],[Cost Price]],Table_13[[#This Row],[Quantity]])</f>
        <v>120000</v>
      </c>
      <c r="P1514" s="27">
        <f t="shared" si="53"/>
        <v>30000</v>
      </c>
    </row>
    <row r="1515" spans="1:16" x14ac:dyDescent="0.2">
      <c r="A1515" s="33">
        <v>47189</v>
      </c>
      <c r="B1515" s="30">
        <f t="shared" si="52"/>
        <v>3</v>
      </c>
      <c r="C1515" s="30" t="str">
        <f>_xlfn.IFS(Table_13[[#This Row],[Month]]=1,"JAN",Table_13[[#This Row],[Month]]=2,"FEB",B1515=3,"MAR",B1515=4,"APR",B1515=5,"MAY",B1515=6,"JUN",B1515=7,"JUL",B1515=8,"AUG",Table_13[[#This Row],[Month]]=9,"SEPT",B1515=10,"OCT",B1515=11,"NOV",B1515=12,"DEC")</f>
        <v>MAR</v>
      </c>
      <c r="D1515" s="2" t="s">
        <v>29</v>
      </c>
      <c r="E1515" s="2" t="s">
        <v>26</v>
      </c>
      <c r="F1515" s="2" t="s">
        <v>23</v>
      </c>
      <c r="G1515" s="2" t="s">
        <v>14</v>
      </c>
      <c r="H1515" s="2" t="s">
        <v>33</v>
      </c>
      <c r="I1515" s="2" t="s">
        <v>22</v>
      </c>
      <c r="J1515" s="15">
        <v>180000</v>
      </c>
      <c r="K1515" s="2">
        <v>9</v>
      </c>
      <c r="L1515" s="2" t="s">
        <v>35</v>
      </c>
      <c r="M1515" s="12">
        <f t="shared" si="45"/>
        <v>144000</v>
      </c>
      <c r="N1515" s="10">
        <f>PRODUCT(Table_13[[#This Row],[Unit Price]],Table_13[[#This Row],[Quantity]])</f>
        <v>1620000</v>
      </c>
      <c r="O1515" s="16">
        <f>PRODUCT(Table_13[[#This Row],[Cost Price]],Table_13[[#This Row],[Quantity]])</f>
        <v>1296000</v>
      </c>
      <c r="P1515" s="27">
        <f t="shared" si="53"/>
        <v>324000</v>
      </c>
    </row>
    <row r="1516" spans="1:16" x14ac:dyDescent="0.2">
      <c r="A1516" s="33">
        <v>47190</v>
      </c>
      <c r="B1516" s="30">
        <f t="shared" si="52"/>
        <v>3</v>
      </c>
      <c r="C1516" s="30" t="str">
        <f>_xlfn.IFS(Table_13[[#This Row],[Month]]=1,"JAN",Table_13[[#This Row],[Month]]=2,"FEB",B1516=3,"MAR",B1516=4,"APR",B1516=5,"MAY",B1516=6,"JUN",B1516=7,"JUL",B1516=8,"AUG",Table_13[[#This Row],[Month]]=9,"SEPT",B1516=10,"OCT",B1516=11,"NOV",B1516=12,"DEC")</f>
        <v>MAR</v>
      </c>
      <c r="D1516" s="2" t="s">
        <v>29</v>
      </c>
      <c r="E1516" s="2" t="s">
        <v>26</v>
      </c>
      <c r="F1516" s="2" t="s">
        <v>23</v>
      </c>
      <c r="G1516" s="2" t="s">
        <v>20</v>
      </c>
      <c r="H1516" s="2" t="s">
        <v>38</v>
      </c>
      <c r="I1516" s="2" t="s">
        <v>31</v>
      </c>
      <c r="J1516" s="15">
        <v>420000</v>
      </c>
      <c r="K1516" s="2">
        <v>10</v>
      </c>
      <c r="L1516" s="2" t="s">
        <v>17</v>
      </c>
      <c r="M1516" s="12">
        <f t="shared" si="45"/>
        <v>336000</v>
      </c>
      <c r="N1516" s="10">
        <f>PRODUCT(Table_13[[#This Row],[Unit Price]],Table_13[[#This Row],[Quantity]])</f>
        <v>4200000</v>
      </c>
      <c r="O1516" s="16">
        <f>PRODUCT(Table_13[[#This Row],[Cost Price]],Table_13[[#This Row],[Quantity]])</f>
        <v>3360000</v>
      </c>
      <c r="P1516" s="27">
        <f t="shared" si="53"/>
        <v>840000</v>
      </c>
    </row>
    <row r="1517" spans="1:16" x14ac:dyDescent="0.2">
      <c r="A1517" s="33">
        <v>47191</v>
      </c>
      <c r="B1517" s="30">
        <f t="shared" si="52"/>
        <v>3</v>
      </c>
      <c r="C1517" s="30" t="str">
        <f>_xlfn.IFS(Table_13[[#This Row],[Month]]=1,"JAN",Table_13[[#This Row],[Month]]=2,"FEB",B1517=3,"MAR",B1517=4,"APR",B1517=5,"MAY",B1517=6,"JUN",B1517=7,"JUL",B1517=8,"AUG",Table_13[[#This Row],[Month]]=9,"SEPT",B1517=10,"OCT",B1517=11,"NOV",B1517=12,"DEC")</f>
        <v>MAR</v>
      </c>
      <c r="D1517" s="2" t="s">
        <v>11</v>
      </c>
      <c r="E1517" s="2" t="s">
        <v>32</v>
      </c>
      <c r="F1517" s="2" t="s">
        <v>13</v>
      </c>
      <c r="G1517" s="2" t="s">
        <v>14</v>
      </c>
      <c r="H1517" s="2" t="s">
        <v>40</v>
      </c>
      <c r="I1517" s="2" t="s">
        <v>31</v>
      </c>
      <c r="J1517" s="15">
        <v>250000</v>
      </c>
      <c r="K1517" s="2">
        <v>10</v>
      </c>
      <c r="L1517" s="2" t="s">
        <v>17</v>
      </c>
      <c r="M1517" s="12">
        <f t="shared" si="45"/>
        <v>200000</v>
      </c>
      <c r="N1517" s="10">
        <f>PRODUCT(Table_13[[#This Row],[Unit Price]],Table_13[[#This Row],[Quantity]])</f>
        <v>2500000</v>
      </c>
      <c r="O1517" s="16">
        <f>PRODUCT(Table_13[[#This Row],[Cost Price]],Table_13[[#This Row],[Quantity]])</f>
        <v>2000000</v>
      </c>
      <c r="P1517" s="27">
        <f t="shared" si="53"/>
        <v>500000</v>
      </c>
    </row>
    <row r="1518" spans="1:16" x14ac:dyDescent="0.2">
      <c r="A1518" s="33">
        <v>47192</v>
      </c>
      <c r="B1518" s="30">
        <f t="shared" si="52"/>
        <v>3</v>
      </c>
      <c r="C1518" s="30" t="str">
        <f>_xlfn.IFS(Table_13[[#This Row],[Month]]=1,"JAN",Table_13[[#This Row],[Month]]=2,"FEB",B1518=3,"MAR",B1518=4,"APR",B1518=5,"MAY",B1518=6,"JUN",B1518=7,"JUL",B1518=8,"AUG",Table_13[[#This Row],[Month]]=9,"SEPT",B1518=10,"OCT",B1518=11,"NOV",B1518=12,"DEC")</f>
        <v>MAR</v>
      </c>
      <c r="D1518" s="2" t="s">
        <v>18</v>
      </c>
      <c r="E1518" s="2" t="s">
        <v>26</v>
      </c>
      <c r="F1518" s="2" t="s">
        <v>13</v>
      </c>
      <c r="G1518" s="2" t="s">
        <v>20</v>
      </c>
      <c r="H1518" s="2" t="s">
        <v>41</v>
      </c>
      <c r="I1518" s="2" t="s">
        <v>22</v>
      </c>
      <c r="J1518" s="15">
        <v>220000</v>
      </c>
      <c r="K1518" s="2">
        <v>3</v>
      </c>
      <c r="L1518" s="2" t="s">
        <v>24</v>
      </c>
      <c r="M1518" s="12">
        <f t="shared" si="45"/>
        <v>176000</v>
      </c>
      <c r="N1518" s="10">
        <f>PRODUCT(Table_13[[#This Row],[Unit Price]],Table_13[[#This Row],[Quantity]])</f>
        <v>660000</v>
      </c>
      <c r="O1518" s="16">
        <f>PRODUCT(Table_13[[#This Row],[Cost Price]],Table_13[[#This Row],[Quantity]])</f>
        <v>528000</v>
      </c>
      <c r="P1518" s="27">
        <f t="shared" si="53"/>
        <v>132000</v>
      </c>
    </row>
    <row r="1519" spans="1:16" x14ac:dyDescent="0.2">
      <c r="A1519" s="33">
        <v>47193</v>
      </c>
      <c r="B1519" s="30">
        <f t="shared" si="52"/>
        <v>3</v>
      </c>
      <c r="C1519" s="30" t="str">
        <f>_xlfn.IFS(Table_13[[#This Row],[Month]]=1,"JAN",Table_13[[#This Row],[Month]]=2,"FEB",B1519=3,"MAR",B1519=4,"APR",B1519=5,"MAY",B1519=6,"JUN",B1519=7,"JUL",B1519=8,"AUG",Table_13[[#This Row],[Month]]=9,"SEPT",B1519=10,"OCT",B1519=11,"NOV",B1519=12,"DEC")</f>
        <v>MAR</v>
      </c>
      <c r="D1519" s="2" t="s">
        <v>29</v>
      </c>
      <c r="E1519" s="2" t="s">
        <v>32</v>
      </c>
      <c r="F1519" s="2" t="s">
        <v>13</v>
      </c>
      <c r="G1519" s="2" t="s">
        <v>14</v>
      </c>
      <c r="H1519" s="2" t="s">
        <v>21</v>
      </c>
      <c r="I1519" s="2" t="s">
        <v>22</v>
      </c>
      <c r="J1519" s="15">
        <v>30000</v>
      </c>
      <c r="K1519" s="2">
        <v>4</v>
      </c>
      <c r="L1519" s="2" t="s">
        <v>35</v>
      </c>
      <c r="M1519" s="12">
        <f t="shared" si="45"/>
        <v>24000</v>
      </c>
      <c r="N1519" s="10">
        <f>PRODUCT(Table_13[[#This Row],[Unit Price]],Table_13[[#This Row],[Quantity]])</f>
        <v>120000</v>
      </c>
      <c r="O1519" s="16">
        <f>PRODUCT(Table_13[[#This Row],[Cost Price]],Table_13[[#This Row],[Quantity]])</f>
        <v>96000</v>
      </c>
      <c r="P1519" s="27">
        <f t="shared" si="53"/>
        <v>24000</v>
      </c>
    </row>
    <row r="1520" spans="1:16" x14ac:dyDescent="0.2">
      <c r="A1520" s="33">
        <v>47194</v>
      </c>
      <c r="B1520" s="30">
        <f t="shared" si="52"/>
        <v>3</v>
      </c>
      <c r="C1520" s="30" t="str">
        <f>_xlfn.IFS(Table_13[[#This Row],[Month]]=1,"JAN",Table_13[[#This Row],[Month]]=2,"FEB",B1520=3,"MAR",B1520=4,"APR",B1520=5,"MAY",B1520=6,"JUN",B1520=7,"JUL",B1520=8,"AUG",Table_13[[#This Row],[Month]]=9,"SEPT",B1520=10,"OCT",B1520=11,"NOV",B1520=12,"DEC")</f>
        <v>MAR</v>
      </c>
      <c r="D1520" s="2" t="s">
        <v>18</v>
      </c>
      <c r="E1520" s="2" t="s">
        <v>32</v>
      </c>
      <c r="F1520" s="2" t="s">
        <v>13</v>
      </c>
      <c r="G1520" s="2" t="s">
        <v>20</v>
      </c>
      <c r="H1520" s="2" t="s">
        <v>33</v>
      </c>
      <c r="I1520" s="2" t="s">
        <v>22</v>
      </c>
      <c r="J1520" s="15">
        <v>180000</v>
      </c>
      <c r="K1520" s="2">
        <v>9</v>
      </c>
      <c r="L1520" s="2" t="s">
        <v>35</v>
      </c>
      <c r="M1520" s="12">
        <f t="shared" si="45"/>
        <v>144000</v>
      </c>
      <c r="N1520" s="10">
        <f>PRODUCT(Table_13[[#This Row],[Unit Price]],Table_13[[#This Row],[Quantity]])</f>
        <v>1620000</v>
      </c>
      <c r="O1520" s="16">
        <f>PRODUCT(Table_13[[#This Row],[Cost Price]],Table_13[[#This Row],[Quantity]])</f>
        <v>1296000</v>
      </c>
      <c r="P1520" s="27">
        <f t="shared" si="53"/>
        <v>324000</v>
      </c>
    </row>
    <row r="1521" spans="1:16" x14ac:dyDescent="0.2">
      <c r="A1521" s="33">
        <v>47195</v>
      </c>
      <c r="B1521" s="30">
        <f t="shared" si="52"/>
        <v>3</v>
      </c>
      <c r="C1521" s="30" t="str">
        <f>_xlfn.IFS(Table_13[[#This Row],[Month]]=1,"JAN",Table_13[[#This Row],[Month]]=2,"FEB",B1521=3,"MAR",B1521=4,"APR",B1521=5,"MAY",B1521=6,"JUN",B1521=7,"JUL",B1521=8,"AUG",Table_13[[#This Row],[Month]]=9,"SEPT",B1521=10,"OCT",B1521=11,"NOV",B1521=12,"DEC")</f>
        <v>MAR</v>
      </c>
      <c r="D1521" s="2" t="s">
        <v>11</v>
      </c>
      <c r="E1521" s="2" t="s">
        <v>26</v>
      </c>
      <c r="F1521" s="2" t="s">
        <v>13</v>
      </c>
      <c r="G1521" s="2" t="s">
        <v>20</v>
      </c>
      <c r="H1521" s="2" t="s">
        <v>33</v>
      </c>
      <c r="I1521" s="2" t="s">
        <v>22</v>
      </c>
      <c r="J1521" s="15">
        <v>180000</v>
      </c>
      <c r="K1521" s="2">
        <v>7</v>
      </c>
      <c r="L1521" s="2" t="s">
        <v>35</v>
      </c>
      <c r="M1521" s="12">
        <f t="shared" si="45"/>
        <v>144000</v>
      </c>
      <c r="N1521" s="10">
        <f>PRODUCT(Table_13[[#This Row],[Unit Price]],Table_13[[#This Row],[Quantity]])</f>
        <v>1260000</v>
      </c>
      <c r="O1521" s="16">
        <f>PRODUCT(Table_13[[#This Row],[Cost Price]],Table_13[[#This Row],[Quantity]])</f>
        <v>1008000</v>
      </c>
      <c r="P1521" s="27">
        <f t="shared" si="53"/>
        <v>252000</v>
      </c>
    </row>
    <row r="1522" spans="1:16" x14ac:dyDescent="0.2">
      <c r="A1522" s="33">
        <v>47196</v>
      </c>
      <c r="B1522" s="30">
        <f t="shared" si="52"/>
        <v>3</v>
      </c>
      <c r="C1522" s="30" t="str">
        <f>_xlfn.IFS(Table_13[[#This Row],[Month]]=1,"JAN",Table_13[[#This Row],[Month]]=2,"FEB",B1522=3,"MAR",B1522=4,"APR",B1522=5,"MAY",B1522=6,"JUN",B1522=7,"JUL",B1522=8,"AUG",Table_13[[#This Row],[Month]]=9,"SEPT",B1522=10,"OCT",B1522=11,"NOV",B1522=12,"DEC")</f>
        <v>MAR</v>
      </c>
      <c r="D1522" s="2" t="s">
        <v>18</v>
      </c>
      <c r="E1522" s="2" t="s">
        <v>12</v>
      </c>
      <c r="F1522" s="2" t="s">
        <v>23</v>
      </c>
      <c r="G1522" s="2" t="s">
        <v>20</v>
      </c>
      <c r="H1522" s="2" t="s">
        <v>36</v>
      </c>
      <c r="I1522" s="2" t="s">
        <v>31</v>
      </c>
      <c r="J1522" s="15">
        <v>150000</v>
      </c>
      <c r="K1522" s="2">
        <v>7</v>
      </c>
      <c r="L1522" s="2" t="s">
        <v>17</v>
      </c>
      <c r="M1522" s="12">
        <f t="shared" si="45"/>
        <v>120000</v>
      </c>
      <c r="N1522" s="10">
        <f>PRODUCT(Table_13[[#This Row],[Unit Price]],Table_13[[#This Row],[Quantity]])</f>
        <v>1050000</v>
      </c>
      <c r="O1522" s="16">
        <f>PRODUCT(Table_13[[#This Row],[Cost Price]],Table_13[[#This Row],[Quantity]])</f>
        <v>840000</v>
      </c>
      <c r="P1522" s="27">
        <f t="shared" si="53"/>
        <v>210000</v>
      </c>
    </row>
    <row r="1523" spans="1:16" x14ac:dyDescent="0.2">
      <c r="A1523" s="33">
        <v>47197</v>
      </c>
      <c r="B1523" s="30">
        <f t="shared" si="52"/>
        <v>3</v>
      </c>
      <c r="C1523" s="30" t="str">
        <f>_xlfn.IFS(Table_13[[#This Row],[Month]]=1,"JAN",Table_13[[#This Row],[Month]]=2,"FEB",B1523=3,"MAR",B1523=4,"APR",B1523=5,"MAY",B1523=6,"JUN",B1523=7,"JUL",B1523=8,"AUG",Table_13[[#This Row],[Month]]=9,"SEPT",B1523=10,"OCT",B1523=11,"NOV",B1523=12,"DEC")</f>
        <v>MAR</v>
      </c>
      <c r="D1523" s="2" t="s">
        <v>18</v>
      </c>
      <c r="E1523" s="2" t="s">
        <v>32</v>
      </c>
      <c r="F1523" s="2" t="s">
        <v>13</v>
      </c>
      <c r="G1523" s="2" t="s">
        <v>14</v>
      </c>
      <c r="H1523" s="2" t="s">
        <v>21</v>
      </c>
      <c r="I1523" s="2" t="s">
        <v>22</v>
      </c>
      <c r="J1523" s="15">
        <v>30000</v>
      </c>
      <c r="K1523" s="2">
        <v>4</v>
      </c>
      <c r="L1523" s="2" t="s">
        <v>28</v>
      </c>
      <c r="M1523" s="12">
        <f t="shared" si="45"/>
        <v>24000</v>
      </c>
      <c r="N1523" s="10">
        <f>PRODUCT(Table_13[[#This Row],[Unit Price]],Table_13[[#This Row],[Quantity]])</f>
        <v>120000</v>
      </c>
      <c r="O1523" s="16">
        <f>PRODUCT(Table_13[[#This Row],[Cost Price]],Table_13[[#This Row],[Quantity]])</f>
        <v>96000</v>
      </c>
      <c r="P1523" s="27">
        <f t="shared" si="53"/>
        <v>24000</v>
      </c>
    </row>
    <row r="1524" spans="1:16" x14ac:dyDescent="0.2">
      <c r="A1524" s="33">
        <v>47198</v>
      </c>
      <c r="B1524" s="30">
        <f t="shared" si="52"/>
        <v>3</v>
      </c>
      <c r="C1524" s="30" t="str">
        <f>_xlfn.IFS(Table_13[[#This Row],[Month]]=1,"JAN",Table_13[[#This Row],[Month]]=2,"FEB",B1524=3,"MAR",B1524=4,"APR",B1524=5,"MAY",B1524=6,"JUN",B1524=7,"JUL",B1524=8,"AUG",Table_13[[#This Row],[Month]]=9,"SEPT",B1524=10,"OCT",B1524=11,"NOV",B1524=12,"DEC")</f>
        <v>MAR</v>
      </c>
      <c r="D1524" s="2" t="s">
        <v>18</v>
      </c>
      <c r="E1524" s="2" t="s">
        <v>19</v>
      </c>
      <c r="F1524" s="2" t="s">
        <v>13</v>
      </c>
      <c r="G1524" s="2" t="s">
        <v>14</v>
      </c>
      <c r="H1524" s="2" t="s">
        <v>34</v>
      </c>
      <c r="I1524" s="2" t="s">
        <v>16</v>
      </c>
      <c r="J1524" s="15">
        <v>320000</v>
      </c>
      <c r="K1524" s="2">
        <v>2</v>
      </c>
      <c r="L1524" s="2" t="s">
        <v>35</v>
      </c>
      <c r="M1524" s="12">
        <f t="shared" si="45"/>
        <v>256000</v>
      </c>
      <c r="N1524" s="10">
        <f>PRODUCT(Table_13[[#This Row],[Unit Price]],Table_13[[#This Row],[Quantity]])</f>
        <v>640000</v>
      </c>
      <c r="O1524" s="16">
        <f>PRODUCT(Table_13[[#This Row],[Cost Price]],Table_13[[#This Row],[Quantity]])</f>
        <v>512000</v>
      </c>
      <c r="P1524" s="27">
        <f t="shared" si="53"/>
        <v>128000</v>
      </c>
    </row>
    <row r="1525" spans="1:16" x14ac:dyDescent="0.2">
      <c r="A1525" s="33">
        <v>47199</v>
      </c>
      <c r="B1525" s="30">
        <f t="shared" si="52"/>
        <v>3</v>
      </c>
      <c r="C1525" s="30" t="str">
        <f>_xlfn.IFS(Table_13[[#This Row],[Month]]=1,"JAN",Table_13[[#This Row],[Month]]=2,"FEB",B1525=3,"MAR",B1525=4,"APR",B1525=5,"MAY",B1525=6,"JUN",B1525=7,"JUL",B1525=8,"AUG",Table_13[[#This Row],[Month]]=9,"SEPT",B1525=10,"OCT",B1525=11,"NOV",B1525=12,"DEC")</f>
        <v>MAR</v>
      </c>
      <c r="D1525" s="2" t="s">
        <v>18</v>
      </c>
      <c r="E1525" s="2" t="s">
        <v>19</v>
      </c>
      <c r="F1525" s="2" t="s">
        <v>23</v>
      </c>
      <c r="G1525" s="2" t="s">
        <v>20</v>
      </c>
      <c r="H1525" s="2" t="s">
        <v>34</v>
      </c>
      <c r="I1525" s="2" t="s">
        <v>16</v>
      </c>
      <c r="J1525" s="15">
        <v>320000</v>
      </c>
      <c r="K1525" s="2">
        <v>6</v>
      </c>
      <c r="L1525" s="2" t="s">
        <v>37</v>
      </c>
      <c r="M1525" s="12">
        <f t="shared" si="45"/>
        <v>256000</v>
      </c>
      <c r="N1525" s="10">
        <f>PRODUCT(Table_13[[#This Row],[Unit Price]],Table_13[[#This Row],[Quantity]])</f>
        <v>1920000</v>
      </c>
      <c r="O1525" s="16">
        <f>PRODUCT(Table_13[[#This Row],[Cost Price]],Table_13[[#This Row],[Quantity]])</f>
        <v>1536000</v>
      </c>
      <c r="P1525" s="27">
        <f t="shared" si="53"/>
        <v>384000</v>
      </c>
    </row>
    <row r="1526" spans="1:16" x14ac:dyDescent="0.2">
      <c r="A1526" s="33">
        <v>47200</v>
      </c>
      <c r="B1526" s="30">
        <f t="shared" si="52"/>
        <v>3</v>
      </c>
      <c r="C1526" s="30" t="str">
        <f>_xlfn.IFS(Table_13[[#This Row],[Month]]=1,"JAN",Table_13[[#This Row],[Month]]=2,"FEB",B1526=3,"MAR",B1526=4,"APR",B1526=5,"MAY",B1526=6,"JUN",B1526=7,"JUL",B1526=8,"AUG",Table_13[[#This Row],[Month]]=9,"SEPT",B1526=10,"OCT",B1526=11,"NOV",B1526=12,"DEC")</f>
        <v>MAR</v>
      </c>
      <c r="D1526" s="2" t="s">
        <v>18</v>
      </c>
      <c r="E1526" s="2" t="s">
        <v>26</v>
      </c>
      <c r="F1526" s="2" t="s">
        <v>23</v>
      </c>
      <c r="G1526" s="2" t="s">
        <v>20</v>
      </c>
      <c r="H1526" s="2" t="s">
        <v>38</v>
      </c>
      <c r="I1526" s="2" t="s">
        <v>31</v>
      </c>
      <c r="J1526" s="15">
        <v>420000</v>
      </c>
      <c r="K1526" s="2">
        <v>10</v>
      </c>
      <c r="L1526" s="2" t="s">
        <v>24</v>
      </c>
      <c r="M1526" s="12">
        <f t="shared" si="45"/>
        <v>336000</v>
      </c>
      <c r="N1526" s="10">
        <f>PRODUCT(Table_13[[#This Row],[Unit Price]],Table_13[[#This Row],[Quantity]])</f>
        <v>4200000</v>
      </c>
      <c r="O1526" s="16">
        <f>PRODUCT(Table_13[[#This Row],[Cost Price]],Table_13[[#This Row],[Quantity]])</f>
        <v>3360000</v>
      </c>
      <c r="P1526" s="27">
        <f t="shared" si="53"/>
        <v>840000</v>
      </c>
    </row>
    <row r="1527" spans="1:16" x14ac:dyDescent="0.2">
      <c r="A1527" s="33">
        <v>47201</v>
      </c>
      <c r="B1527" s="30">
        <f t="shared" si="52"/>
        <v>3</v>
      </c>
      <c r="C1527" s="30" t="str">
        <f>_xlfn.IFS(Table_13[[#This Row],[Month]]=1,"JAN",Table_13[[#This Row],[Month]]=2,"FEB",B1527=3,"MAR",B1527=4,"APR",B1527=5,"MAY",B1527=6,"JUN",B1527=7,"JUL",B1527=8,"AUG",Table_13[[#This Row],[Month]]=9,"SEPT",B1527=10,"OCT",B1527=11,"NOV",B1527=12,"DEC")</f>
        <v>MAR</v>
      </c>
      <c r="D1527" s="2" t="s">
        <v>25</v>
      </c>
      <c r="E1527" s="2" t="s">
        <v>32</v>
      </c>
      <c r="F1527" s="2" t="s">
        <v>13</v>
      </c>
      <c r="G1527" s="2" t="s">
        <v>14</v>
      </c>
      <c r="H1527" s="2" t="s">
        <v>41</v>
      </c>
      <c r="I1527" s="2" t="s">
        <v>22</v>
      </c>
      <c r="J1527" s="15">
        <v>220000</v>
      </c>
      <c r="K1527" s="2">
        <v>8</v>
      </c>
      <c r="L1527" s="2" t="s">
        <v>17</v>
      </c>
      <c r="M1527" s="12">
        <f t="shared" si="45"/>
        <v>176000</v>
      </c>
      <c r="N1527" s="10">
        <f>PRODUCT(Table_13[[#This Row],[Unit Price]],Table_13[[#This Row],[Quantity]])</f>
        <v>1760000</v>
      </c>
      <c r="O1527" s="16">
        <f>PRODUCT(Table_13[[#This Row],[Cost Price]],Table_13[[#This Row],[Quantity]])</f>
        <v>1408000</v>
      </c>
      <c r="P1527" s="27">
        <f t="shared" si="53"/>
        <v>352000</v>
      </c>
    </row>
    <row r="1528" spans="1:16" x14ac:dyDescent="0.2">
      <c r="A1528" s="33">
        <v>47202</v>
      </c>
      <c r="B1528" s="30">
        <f t="shared" si="52"/>
        <v>3</v>
      </c>
      <c r="C1528" s="30" t="str">
        <f>_xlfn.IFS(Table_13[[#This Row],[Month]]=1,"JAN",Table_13[[#This Row],[Month]]=2,"FEB",B1528=3,"MAR",B1528=4,"APR",B1528=5,"MAY",B1528=6,"JUN",B1528=7,"JUL",B1528=8,"AUG",Table_13[[#This Row],[Month]]=9,"SEPT",B1528=10,"OCT",B1528=11,"NOV",B1528=12,"DEC")</f>
        <v>MAR</v>
      </c>
      <c r="D1528" s="2" t="s">
        <v>18</v>
      </c>
      <c r="E1528" s="2" t="s">
        <v>12</v>
      </c>
      <c r="F1528" s="2" t="s">
        <v>13</v>
      </c>
      <c r="G1528" s="2" t="s">
        <v>14</v>
      </c>
      <c r="H1528" s="2" t="s">
        <v>30</v>
      </c>
      <c r="I1528" s="2" t="s">
        <v>31</v>
      </c>
      <c r="J1528" s="15">
        <v>300000</v>
      </c>
      <c r="K1528" s="2">
        <v>10</v>
      </c>
      <c r="L1528" s="2" t="s">
        <v>17</v>
      </c>
      <c r="M1528" s="12">
        <f t="shared" si="45"/>
        <v>240000</v>
      </c>
      <c r="N1528" s="10">
        <f>PRODUCT(Table_13[[#This Row],[Unit Price]],Table_13[[#This Row],[Quantity]])</f>
        <v>3000000</v>
      </c>
      <c r="O1528" s="16">
        <f>PRODUCT(Table_13[[#This Row],[Cost Price]],Table_13[[#This Row],[Quantity]])</f>
        <v>2400000</v>
      </c>
      <c r="P1528" s="27">
        <f t="shared" si="53"/>
        <v>600000</v>
      </c>
    </row>
    <row r="1529" spans="1:16" x14ac:dyDescent="0.2">
      <c r="A1529" s="33">
        <v>47203</v>
      </c>
      <c r="B1529" s="30">
        <f t="shared" si="52"/>
        <v>3</v>
      </c>
      <c r="C1529" s="30" t="str">
        <f>_xlfn.IFS(Table_13[[#This Row],[Month]]=1,"JAN",Table_13[[#This Row],[Month]]=2,"FEB",B1529=3,"MAR",B1529=4,"APR",B1529=5,"MAY",B1529=6,"JUN",B1529=7,"JUL",B1529=8,"AUG",Table_13[[#This Row],[Month]]=9,"SEPT",B1529=10,"OCT",B1529=11,"NOV",B1529=12,"DEC")</f>
        <v>MAR</v>
      </c>
      <c r="D1529" s="2" t="s">
        <v>25</v>
      </c>
      <c r="E1529" s="2" t="s">
        <v>32</v>
      </c>
      <c r="F1529" s="2" t="s">
        <v>23</v>
      </c>
      <c r="G1529" s="2" t="s">
        <v>20</v>
      </c>
      <c r="H1529" s="2" t="s">
        <v>30</v>
      </c>
      <c r="I1529" s="2" t="s">
        <v>31</v>
      </c>
      <c r="J1529" s="15">
        <v>300000</v>
      </c>
      <c r="K1529" s="2">
        <v>3</v>
      </c>
      <c r="L1529" s="2" t="s">
        <v>28</v>
      </c>
      <c r="M1529" s="12">
        <f t="shared" si="45"/>
        <v>240000</v>
      </c>
      <c r="N1529" s="10">
        <f>PRODUCT(Table_13[[#This Row],[Unit Price]],Table_13[[#This Row],[Quantity]])</f>
        <v>900000</v>
      </c>
      <c r="O1529" s="16">
        <f>PRODUCT(Table_13[[#This Row],[Cost Price]],Table_13[[#This Row],[Quantity]])</f>
        <v>720000</v>
      </c>
      <c r="P1529" s="27">
        <f t="shared" si="53"/>
        <v>180000</v>
      </c>
    </row>
    <row r="1530" spans="1:16" x14ac:dyDescent="0.2">
      <c r="A1530" s="33">
        <v>47204</v>
      </c>
      <c r="B1530" s="30">
        <f t="shared" si="52"/>
        <v>3</v>
      </c>
      <c r="C1530" s="30" t="str">
        <f>_xlfn.IFS(Table_13[[#This Row],[Month]]=1,"JAN",Table_13[[#This Row],[Month]]=2,"FEB",B1530=3,"MAR",B1530=4,"APR",B1530=5,"MAY",B1530=6,"JUN",B1530=7,"JUL",B1530=8,"AUG",Table_13[[#This Row],[Month]]=9,"SEPT",B1530=10,"OCT",B1530=11,"NOV",B1530=12,"DEC")</f>
        <v>MAR</v>
      </c>
      <c r="D1530" s="2" t="s">
        <v>29</v>
      </c>
      <c r="E1530" s="2" t="s">
        <v>12</v>
      </c>
      <c r="F1530" s="2" t="s">
        <v>13</v>
      </c>
      <c r="G1530" s="2" t="s">
        <v>14</v>
      </c>
      <c r="H1530" s="2" t="s">
        <v>34</v>
      </c>
      <c r="I1530" s="2" t="s">
        <v>16</v>
      </c>
      <c r="J1530" s="15">
        <v>320000</v>
      </c>
      <c r="K1530" s="2">
        <v>5</v>
      </c>
      <c r="L1530" s="2" t="s">
        <v>37</v>
      </c>
      <c r="M1530" s="12">
        <f t="shared" si="45"/>
        <v>256000</v>
      </c>
      <c r="N1530" s="10">
        <f>PRODUCT(Table_13[[#This Row],[Unit Price]],Table_13[[#This Row],[Quantity]])</f>
        <v>1600000</v>
      </c>
      <c r="O1530" s="16">
        <f>PRODUCT(Table_13[[#This Row],[Cost Price]],Table_13[[#This Row],[Quantity]])</f>
        <v>1280000</v>
      </c>
      <c r="P1530" s="27">
        <f t="shared" si="53"/>
        <v>320000</v>
      </c>
    </row>
    <row r="1531" spans="1:16" x14ac:dyDescent="0.2">
      <c r="A1531" s="33">
        <v>47205</v>
      </c>
      <c r="B1531" s="30">
        <f t="shared" si="52"/>
        <v>3</v>
      </c>
      <c r="C1531" s="30" t="str">
        <f>_xlfn.IFS(Table_13[[#This Row],[Month]]=1,"JAN",Table_13[[#This Row],[Month]]=2,"FEB",B1531=3,"MAR",B1531=4,"APR",B1531=5,"MAY",B1531=6,"JUN",B1531=7,"JUL",B1531=8,"AUG",Table_13[[#This Row],[Month]]=9,"SEPT",B1531=10,"OCT",B1531=11,"NOV",B1531=12,"DEC")</f>
        <v>MAR</v>
      </c>
      <c r="D1531" s="2" t="s">
        <v>18</v>
      </c>
      <c r="E1531" s="2" t="s">
        <v>32</v>
      </c>
      <c r="F1531" s="2" t="s">
        <v>13</v>
      </c>
      <c r="G1531" s="2" t="s">
        <v>14</v>
      </c>
      <c r="H1531" s="2" t="s">
        <v>15</v>
      </c>
      <c r="I1531" s="2" t="s">
        <v>16</v>
      </c>
      <c r="J1531" s="15">
        <v>85000</v>
      </c>
      <c r="K1531" s="2">
        <v>7</v>
      </c>
      <c r="L1531" s="2" t="s">
        <v>17</v>
      </c>
      <c r="M1531" s="12">
        <f t="shared" si="45"/>
        <v>68000</v>
      </c>
      <c r="N1531" s="10">
        <f>PRODUCT(Table_13[[#This Row],[Unit Price]],Table_13[[#This Row],[Quantity]])</f>
        <v>595000</v>
      </c>
      <c r="O1531" s="16">
        <f>PRODUCT(Table_13[[#This Row],[Cost Price]],Table_13[[#This Row],[Quantity]])</f>
        <v>476000</v>
      </c>
      <c r="P1531" s="27">
        <f t="shared" si="53"/>
        <v>119000</v>
      </c>
    </row>
    <row r="1532" spans="1:16" x14ac:dyDescent="0.2">
      <c r="A1532" s="33">
        <v>47206</v>
      </c>
      <c r="B1532" s="30">
        <f t="shared" si="52"/>
        <v>3</v>
      </c>
      <c r="C1532" s="30" t="str">
        <f>_xlfn.IFS(Table_13[[#This Row],[Month]]=1,"JAN",Table_13[[#This Row],[Month]]=2,"FEB",B1532=3,"MAR",B1532=4,"APR",B1532=5,"MAY",B1532=6,"JUN",B1532=7,"JUL",B1532=8,"AUG",Table_13[[#This Row],[Month]]=9,"SEPT",B1532=10,"OCT",B1532=11,"NOV",B1532=12,"DEC")</f>
        <v>MAR</v>
      </c>
      <c r="D1532" s="2" t="s">
        <v>11</v>
      </c>
      <c r="E1532" s="2" t="s">
        <v>26</v>
      </c>
      <c r="F1532" s="2" t="s">
        <v>13</v>
      </c>
      <c r="G1532" s="2" t="s">
        <v>20</v>
      </c>
      <c r="H1532" s="2" t="s">
        <v>41</v>
      </c>
      <c r="I1532" s="2" t="s">
        <v>22</v>
      </c>
      <c r="J1532" s="15">
        <v>220000</v>
      </c>
      <c r="K1532" s="2">
        <v>2</v>
      </c>
      <c r="L1532" s="2" t="s">
        <v>37</v>
      </c>
      <c r="M1532" s="12">
        <f t="shared" ref="M1532:M1786" si="54">J1532-J1532*0.2</f>
        <v>176000</v>
      </c>
      <c r="N1532" s="10">
        <f>PRODUCT(Table_13[[#This Row],[Unit Price]],Table_13[[#This Row],[Quantity]])</f>
        <v>440000</v>
      </c>
      <c r="O1532" s="16">
        <f>PRODUCT(Table_13[[#This Row],[Cost Price]],Table_13[[#This Row],[Quantity]])</f>
        <v>352000</v>
      </c>
      <c r="P1532" s="27">
        <f t="shared" si="53"/>
        <v>88000</v>
      </c>
    </row>
    <row r="1533" spans="1:16" x14ac:dyDescent="0.2">
      <c r="A1533" s="33">
        <v>47207</v>
      </c>
      <c r="B1533" s="30">
        <f t="shared" si="52"/>
        <v>3</v>
      </c>
      <c r="C1533" s="30" t="str">
        <f>_xlfn.IFS(Table_13[[#This Row],[Month]]=1,"JAN",Table_13[[#This Row],[Month]]=2,"FEB",B1533=3,"MAR",B1533=4,"APR",B1533=5,"MAY",B1533=6,"JUN",B1533=7,"JUL",B1533=8,"AUG",Table_13[[#This Row],[Month]]=9,"SEPT",B1533=10,"OCT",B1533=11,"NOV",B1533=12,"DEC")</f>
        <v>MAR</v>
      </c>
      <c r="D1533" s="2" t="s">
        <v>29</v>
      </c>
      <c r="E1533" s="2" t="s">
        <v>32</v>
      </c>
      <c r="F1533" s="2" t="s">
        <v>13</v>
      </c>
      <c r="G1533" s="2" t="s">
        <v>20</v>
      </c>
      <c r="H1533" s="2" t="s">
        <v>30</v>
      </c>
      <c r="I1533" s="2" t="s">
        <v>31</v>
      </c>
      <c r="J1533" s="15">
        <v>300000</v>
      </c>
      <c r="K1533" s="2">
        <v>2</v>
      </c>
      <c r="L1533" s="2" t="s">
        <v>28</v>
      </c>
      <c r="M1533" s="12">
        <f t="shared" si="54"/>
        <v>240000</v>
      </c>
      <c r="N1533" s="10">
        <f>PRODUCT(Table_13[[#This Row],[Unit Price]],Table_13[[#This Row],[Quantity]])</f>
        <v>600000</v>
      </c>
      <c r="O1533" s="16">
        <f>PRODUCT(Table_13[[#This Row],[Cost Price]],Table_13[[#This Row],[Quantity]])</f>
        <v>480000</v>
      </c>
      <c r="P1533" s="27">
        <f t="shared" si="53"/>
        <v>120000</v>
      </c>
    </row>
    <row r="1534" spans="1:16" x14ac:dyDescent="0.2">
      <c r="A1534" s="33">
        <v>47208</v>
      </c>
      <c r="B1534" s="30">
        <f t="shared" si="52"/>
        <v>3</v>
      </c>
      <c r="C1534" s="30" t="str">
        <f>_xlfn.IFS(Table_13[[#This Row],[Month]]=1,"JAN",Table_13[[#This Row],[Month]]=2,"FEB",B1534=3,"MAR",B1534=4,"APR",B1534=5,"MAY",B1534=6,"JUN",B1534=7,"JUL",B1534=8,"AUG",Table_13[[#This Row],[Month]]=9,"SEPT",B1534=10,"OCT",B1534=11,"NOV",B1534=12,"DEC")</f>
        <v>MAR</v>
      </c>
      <c r="D1534" s="2" t="s">
        <v>25</v>
      </c>
      <c r="E1534" s="2" t="s">
        <v>19</v>
      </c>
      <c r="F1534" s="2" t="s">
        <v>23</v>
      </c>
      <c r="G1534" s="2" t="s">
        <v>14</v>
      </c>
      <c r="H1534" s="2" t="s">
        <v>15</v>
      </c>
      <c r="I1534" s="2" t="s">
        <v>16</v>
      </c>
      <c r="J1534" s="15">
        <v>85000</v>
      </c>
      <c r="K1534" s="2">
        <v>3</v>
      </c>
      <c r="L1534" s="2" t="s">
        <v>24</v>
      </c>
      <c r="M1534" s="12">
        <f t="shared" si="54"/>
        <v>68000</v>
      </c>
      <c r="N1534" s="10">
        <f>PRODUCT(Table_13[[#This Row],[Unit Price]],Table_13[[#This Row],[Quantity]])</f>
        <v>255000</v>
      </c>
      <c r="O1534" s="16">
        <f>PRODUCT(Table_13[[#This Row],[Cost Price]],Table_13[[#This Row],[Quantity]])</f>
        <v>204000</v>
      </c>
      <c r="P1534" s="27">
        <f t="shared" si="53"/>
        <v>51000</v>
      </c>
    </row>
    <row r="1535" spans="1:16" x14ac:dyDescent="0.2">
      <c r="A1535" s="33">
        <v>47209</v>
      </c>
      <c r="B1535" s="30">
        <f t="shared" si="52"/>
        <v>4</v>
      </c>
      <c r="C1535" s="30" t="str">
        <f>_xlfn.IFS(Table_13[[#This Row],[Month]]=1,"JAN",Table_13[[#This Row],[Month]]=2,"FEB",B1535=3,"MAR",B1535=4,"APR",B1535=5,"MAY",B1535=6,"JUN",B1535=7,"JUL",B1535=8,"AUG",Table_13[[#This Row],[Month]]=9,"SEPT",B1535=10,"OCT",B1535=11,"NOV",B1535=12,"DEC")</f>
        <v>APR</v>
      </c>
      <c r="D1535" s="2" t="s">
        <v>29</v>
      </c>
      <c r="E1535" s="2" t="s">
        <v>32</v>
      </c>
      <c r="F1535" s="2" t="s">
        <v>13</v>
      </c>
      <c r="G1535" s="2" t="s">
        <v>20</v>
      </c>
      <c r="H1535" s="2" t="s">
        <v>41</v>
      </c>
      <c r="I1535" s="2" t="s">
        <v>22</v>
      </c>
      <c r="J1535" s="15">
        <v>220000</v>
      </c>
      <c r="K1535" s="2">
        <v>7</v>
      </c>
      <c r="L1535" s="2" t="s">
        <v>37</v>
      </c>
      <c r="M1535" s="12">
        <f t="shared" si="54"/>
        <v>176000</v>
      </c>
      <c r="N1535" s="10">
        <f>PRODUCT(Table_13[[#This Row],[Unit Price]],Table_13[[#This Row],[Quantity]])</f>
        <v>1540000</v>
      </c>
      <c r="O1535" s="16">
        <f>PRODUCT(Table_13[[#This Row],[Cost Price]],Table_13[[#This Row],[Quantity]])</f>
        <v>1232000</v>
      </c>
      <c r="P1535" s="27">
        <f t="shared" si="53"/>
        <v>308000</v>
      </c>
    </row>
    <row r="1536" spans="1:16" x14ac:dyDescent="0.2">
      <c r="A1536" s="33">
        <v>47210</v>
      </c>
      <c r="B1536" s="30">
        <f t="shared" si="52"/>
        <v>4</v>
      </c>
      <c r="C1536" s="30" t="str">
        <f>_xlfn.IFS(Table_13[[#This Row],[Month]]=1,"JAN",Table_13[[#This Row],[Month]]=2,"FEB",B1536=3,"MAR",B1536=4,"APR",B1536=5,"MAY",B1536=6,"JUN",B1536=7,"JUL",B1536=8,"AUG",Table_13[[#This Row],[Month]]=9,"SEPT",B1536=10,"OCT",B1536=11,"NOV",B1536=12,"DEC")</f>
        <v>APR</v>
      </c>
      <c r="D1536" s="2" t="s">
        <v>18</v>
      </c>
      <c r="E1536" s="2" t="s">
        <v>26</v>
      </c>
      <c r="F1536" s="2" t="s">
        <v>23</v>
      </c>
      <c r="G1536" s="2" t="s">
        <v>14</v>
      </c>
      <c r="H1536" s="2" t="s">
        <v>36</v>
      </c>
      <c r="I1536" s="2" t="s">
        <v>31</v>
      </c>
      <c r="J1536" s="15">
        <v>150000</v>
      </c>
      <c r="K1536" s="2">
        <v>3</v>
      </c>
      <c r="L1536" s="2" t="s">
        <v>28</v>
      </c>
      <c r="M1536" s="12">
        <f t="shared" si="54"/>
        <v>120000</v>
      </c>
      <c r="N1536" s="10">
        <f>PRODUCT(Table_13[[#This Row],[Unit Price]],Table_13[[#This Row],[Quantity]])</f>
        <v>450000</v>
      </c>
      <c r="O1536" s="16">
        <f>PRODUCT(Table_13[[#This Row],[Cost Price]],Table_13[[#This Row],[Quantity]])</f>
        <v>360000</v>
      </c>
      <c r="P1536" s="27">
        <f t="shared" si="53"/>
        <v>90000</v>
      </c>
    </row>
    <row r="1537" spans="1:16" x14ac:dyDescent="0.2">
      <c r="A1537" s="33">
        <v>47211</v>
      </c>
      <c r="B1537" s="30">
        <f t="shared" si="52"/>
        <v>4</v>
      </c>
      <c r="C1537" s="30" t="str">
        <f>_xlfn.IFS(Table_13[[#This Row],[Month]]=1,"JAN",Table_13[[#This Row],[Month]]=2,"FEB",B1537=3,"MAR",B1537=4,"APR",B1537=5,"MAY",B1537=6,"JUN",B1537=7,"JUL",B1537=8,"AUG",Table_13[[#This Row],[Month]]=9,"SEPT",B1537=10,"OCT",B1537=11,"NOV",B1537=12,"DEC")</f>
        <v>APR</v>
      </c>
      <c r="D1537" s="2" t="s">
        <v>18</v>
      </c>
      <c r="E1537" s="2" t="s">
        <v>19</v>
      </c>
      <c r="F1537" s="2" t="s">
        <v>13</v>
      </c>
      <c r="G1537" s="2" t="s">
        <v>20</v>
      </c>
      <c r="H1537" s="2" t="s">
        <v>38</v>
      </c>
      <c r="I1537" s="2" t="s">
        <v>31</v>
      </c>
      <c r="J1537" s="15">
        <v>420000</v>
      </c>
      <c r="K1537" s="2">
        <v>10</v>
      </c>
      <c r="L1537" s="2" t="s">
        <v>37</v>
      </c>
      <c r="M1537" s="12">
        <f t="shared" si="54"/>
        <v>336000</v>
      </c>
      <c r="N1537" s="10">
        <f>PRODUCT(Table_13[[#This Row],[Unit Price]],Table_13[[#This Row],[Quantity]])</f>
        <v>4200000</v>
      </c>
      <c r="O1537" s="16">
        <f>PRODUCT(Table_13[[#This Row],[Cost Price]],Table_13[[#This Row],[Quantity]])</f>
        <v>3360000</v>
      </c>
      <c r="P1537" s="27">
        <f t="shared" si="53"/>
        <v>840000</v>
      </c>
    </row>
    <row r="1538" spans="1:16" x14ac:dyDescent="0.2">
      <c r="A1538" s="33">
        <v>47212</v>
      </c>
      <c r="B1538" s="30">
        <f t="shared" ref="B1538:B1601" si="55">MONTH(A1538)</f>
        <v>4</v>
      </c>
      <c r="C1538" s="30" t="str">
        <f>_xlfn.IFS(Table_13[[#This Row],[Month]]=1,"JAN",Table_13[[#This Row],[Month]]=2,"FEB",B1538=3,"MAR",B1538=4,"APR",B1538=5,"MAY",B1538=6,"JUN",B1538=7,"JUL",B1538=8,"AUG",Table_13[[#This Row],[Month]]=9,"SEPT",B1538=10,"OCT",B1538=11,"NOV",B1538=12,"DEC")</f>
        <v>APR</v>
      </c>
      <c r="D1538" s="2" t="s">
        <v>29</v>
      </c>
      <c r="E1538" s="2" t="s">
        <v>19</v>
      </c>
      <c r="F1538" s="2" t="s">
        <v>13</v>
      </c>
      <c r="G1538" s="2" t="s">
        <v>20</v>
      </c>
      <c r="H1538" s="2" t="s">
        <v>27</v>
      </c>
      <c r="I1538" s="2" t="s">
        <v>22</v>
      </c>
      <c r="J1538" s="15">
        <v>60000</v>
      </c>
      <c r="K1538" s="2">
        <v>3</v>
      </c>
      <c r="L1538" s="2" t="s">
        <v>35</v>
      </c>
      <c r="M1538" s="12">
        <f t="shared" si="54"/>
        <v>48000</v>
      </c>
      <c r="N1538" s="10">
        <f>PRODUCT(Table_13[[#This Row],[Unit Price]],Table_13[[#This Row],[Quantity]])</f>
        <v>180000</v>
      </c>
      <c r="O1538" s="16">
        <f>PRODUCT(Table_13[[#This Row],[Cost Price]],Table_13[[#This Row],[Quantity]])</f>
        <v>144000</v>
      </c>
      <c r="P1538" s="27">
        <f t="shared" ref="P1538:P1601" si="56">N1538-O1538</f>
        <v>36000</v>
      </c>
    </row>
    <row r="1539" spans="1:16" x14ac:dyDescent="0.2">
      <c r="A1539" s="33">
        <v>47213</v>
      </c>
      <c r="B1539" s="30">
        <f t="shared" si="55"/>
        <v>4</v>
      </c>
      <c r="C1539" s="30" t="str">
        <f>_xlfn.IFS(Table_13[[#This Row],[Month]]=1,"JAN",Table_13[[#This Row],[Month]]=2,"FEB",B1539=3,"MAR",B1539=4,"APR",B1539=5,"MAY",B1539=6,"JUN",B1539=7,"JUL",B1539=8,"AUG",Table_13[[#This Row],[Month]]=9,"SEPT",B1539=10,"OCT",B1539=11,"NOV",B1539=12,"DEC")</f>
        <v>APR</v>
      </c>
      <c r="D1539" s="2" t="s">
        <v>18</v>
      </c>
      <c r="E1539" s="2" t="s">
        <v>19</v>
      </c>
      <c r="F1539" s="2" t="s">
        <v>23</v>
      </c>
      <c r="G1539" s="2" t="s">
        <v>14</v>
      </c>
      <c r="H1539" s="2" t="s">
        <v>30</v>
      </c>
      <c r="I1539" s="2" t="s">
        <v>31</v>
      </c>
      <c r="J1539" s="15">
        <v>300000</v>
      </c>
      <c r="K1539" s="2">
        <v>9</v>
      </c>
      <c r="L1539" s="2" t="s">
        <v>24</v>
      </c>
      <c r="M1539" s="12">
        <f t="shared" si="54"/>
        <v>240000</v>
      </c>
      <c r="N1539" s="10">
        <f>PRODUCT(Table_13[[#This Row],[Unit Price]],Table_13[[#This Row],[Quantity]])</f>
        <v>2700000</v>
      </c>
      <c r="O1539" s="16">
        <f>PRODUCT(Table_13[[#This Row],[Cost Price]],Table_13[[#This Row],[Quantity]])</f>
        <v>2160000</v>
      </c>
      <c r="P1539" s="27">
        <f t="shared" si="56"/>
        <v>540000</v>
      </c>
    </row>
    <row r="1540" spans="1:16" x14ac:dyDescent="0.2">
      <c r="A1540" s="33">
        <v>47214</v>
      </c>
      <c r="B1540" s="30">
        <f t="shared" si="55"/>
        <v>4</v>
      </c>
      <c r="C1540" s="30" t="str">
        <f>_xlfn.IFS(Table_13[[#This Row],[Month]]=1,"JAN",Table_13[[#This Row],[Month]]=2,"FEB",B1540=3,"MAR",B1540=4,"APR",B1540=5,"MAY",B1540=6,"JUN",B1540=7,"JUL",B1540=8,"AUG",Table_13[[#This Row],[Month]]=9,"SEPT",B1540=10,"OCT",B1540=11,"NOV",B1540=12,"DEC")</f>
        <v>APR</v>
      </c>
      <c r="D1540" s="2" t="s">
        <v>25</v>
      </c>
      <c r="E1540" s="2" t="s">
        <v>19</v>
      </c>
      <c r="F1540" s="2" t="s">
        <v>23</v>
      </c>
      <c r="G1540" s="2" t="s">
        <v>14</v>
      </c>
      <c r="H1540" s="2" t="s">
        <v>27</v>
      </c>
      <c r="I1540" s="2" t="s">
        <v>22</v>
      </c>
      <c r="J1540" s="15">
        <v>60000</v>
      </c>
      <c r="K1540" s="2">
        <v>7</v>
      </c>
      <c r="L1540" s="2" t="s">
        <v>17</v>
      </c>
      <c r="M1540" s="12">
        <f t="shared" si="54"/>
        <v>48000</v>
      </c>
      <c r="N1540" s="10">
        <f>PRODUCT(Table_13[[#This Row],[Unit Price]],Table_13[[#This Row],[Quantity]])</f>
        <v>420000</v>
      </c>
      <c r="O1540" s="16">
        <f>PRODUCT(Table_13[[#This Row],[Cost Price]],Table_13[[#This Row],[Quantity]])</f>
        <v>336000</v>
      </c>
      <c r="P1540" s="27">
        <f t="shared" si="56"/>
        <v>84000</v>
      </c>
    </row>
    <row r="1541" spans="1:16" x14ac:dyDescent="0.2">
      <c r="A1541" s="33">
        <v>47215</v>
      </c>
      <c r="B1541" s="30">
        <f t="shared" si="55"/>
        <v>4</v>
      </c>
      <c r="C1541" s="30" t="str">
        <f>_xlfn.IFS(Table_13[[#This Row],[Month]]=1,"JAN",Table_13[[#This Row],[Month]]=2,"FEB",B1541=3,"MAR",B1541=4,"APR",B1541=5,"MAY",B1541=6,"JUN",B1541=7,"JUL",B1541=8,"AUG",Table_13[[#This Row],[Month]]=9,"SEPT",B1541=10,"OCT",B1541=11,"NOV",B1541=12,"DEC")</f>
        <v>APR</v>
      </c>
      <c r="D1541" s="2" t="s">
        <v>11</v>
      </c>
      <c r="E1541" s="2" t="s">
        <v>12</v>
      </c>
      <c r="F1541" s="2" t="s">
        <v>13</v>
      </c>
      <c r="G1541" s="2" t="s">
        <v>14</v>
      </c>
      <c r="H1541" s="2" t="s">
        <v>34</v>
      </c>
      <c r="I1541" s="2" t="s">
        <v>16</v>
      </c>
      <c r="J1541" s="15">
        <v>320000</v>
      </c>
      <c r="K1541" s="2">
        <v>3</v>
      </c>
      <c r="L1541" s="2" t="s">
        <v>28</v>
      </c>
      <c r="M1541" s="12">
        <f t="shared" si="54"/>
        <v>256000</v>
      </c>
      <c r="N1541" s="10">
        <f>PRODUCT(Table_13[[#This Row],[Unit Price]],Table_13[[#This Row],[Quantity]])</f>
        <v>960000</v>
      </c>
      <c r="O1541" s="16">
        <f>PRODUCT(Table_13[[#This Row],[Cost Price]],Table_13[[#This Row],[Quantity]])</f>
        <v>768000</v>
      </c>
      <c r="P1541" s="27">
        <f t="shared" si="56"/>
        <v>192000</v>
      </c>
    </row>
    <row r="1542" spans="1:16" x14ac:dyDescent="0.2">
      <c r="A1542" s="33">
        <v>47216</v>
      </c>
      <c r="B1542" s="30">
        <f t="shared" si="55"/>
        <v>4</v>
      </c>
      <c r="C1542" s="30" t="str">
        <f>_xlfn.IFS(Table_13[[#This Row],[Month]]=1,"JAN",Table_13[[#This Row],[Month]]=2,"FEB",B1542=3,"MAR",B1542=4,"APR",B1542=5,"MAY",B1542=6,"JUN",B1542=7,"JUL",B1542=8,"AUG",Table_13[[#This Row],[Month]]=9,"SEPT",B1542=10,"OCT",B1542=11,"NOV",B1542=12,"DEC")</f>
        <v>APR</v>
      </c>
      <c r="D1542" s="2" t="s">
        <v>29</v>
      </c>
      <c r="E1542" s="2" t="s">
        <v>19</v>
      </c>
      <c r="F1542" s="2" t="s">
        <v>23</v>
      </c>
      <c r="G1542" s="2" t="s">
        <v>14</v>
      </c>
      <c r="H1542" s="2" t="s">
        <v>41</v>
      </c>
      <c r="I1542" s="2" t="s">
        <v>22</v>
      </c>
      <c r="J1542" s="15">
        <v>220000</v>
      </c>
      <c r="K1542" s="2">
        <v>5</v>
      </c>
      <c r="L1542" s="2" t="s">
        <v>17</v>
      </c>
      <c r="M1542" s="12">
        <f t="shared" si="54"/>
        <v>176000</v>
      </c>
      <c r="N1542" s="10">
        <f>PRODUCT(Table_13[[#This Row],[Unit Price]],Table_13[[#This Row],[Quantity]])</f>
        <v>1100000</v>
      </c>
      <c r="O1542" s="16">
        <f>PRODUCT(Table_13[[#This Row],[Cost Price]],Table_13[[#This Row],[Quantity]])</f>
        <v>880000</v>
      </c>
      <c r="P1542" s="27">
        <f t="shared" si="56"/>
        <v>220000</v>
      </c>
    </row>
    <row r="1543" spans="1:16" x14ac:dyDescent="0.2">
      <c r="A1543" s="33">
        <v>47217</v>
      </c>
      <c r="B1543" s="30">
        <f t="shared" si="55"/>
        <v>4</v>
      </c>
      <c r="C1543" s="30" t="str">
        <f>_xlfn.IFS(Table_13[[#This Row],[Month]]=1,"JAN",Table_13[[#This Row],[Month]]=2,"FEB",B1543=3,"MAR",B1543=4,"APR",B1543=5,"MAY",B1543=6,"JUN",B1543=7,"JUL",B1543=8,"AUG",Table_13[[#This Row],[Month]]=9,"SEPT",B1543=10,"OCT",B1543=11,"NOV",B1543=12,"DEC")</f>
        <v>APR</v>
      </c>
      <c r="D1543" s="2" t="s">
        <v>18</v>
      </c>
      <c r="E1543" s="2" t="s">
        <v>19</v>
      </c>
      <c r="F1543" s="2" t="s">
        <v>23</v>
      </c>
      <c r="G1543" s="2" t="s">
        <v>14</v>
      </c>
      <c r="H1543" s="2" t="s">
        <v>41</v>
      </c>
      <c r="I1543" s="2" t="s">
        <v>22</v>
      </c>
      <c r="J1543" s="15">
        <v>220000</v>
      </c>
      <c r="K1543" s="2">
        <v>2</v>
      </c>
      <c r="L1543" s="2" t="s">
        <v>17</v>
      </c>
      <c r="M1543" s="12">
        <f t="shared" si="54"/>
        <v>176000</v>
      </c>
      <c r="N1543" s="10">
        <f>PRODUCT(Table_13[[#This Row],[Unit Price]],Table_13[[#This Row],[Quantity]])</f>
        <v>440000</v>
      </c>
      <c r="O1543" s="16">
        <f>PRODUCT(Table_13[[#This Row],[Cost Price]],Table_13[[#This Row],[Quantity]])</f>
        <v>352000</v>
      </c>
      <c r="P1543" s="27">
        <f t="shared" si="56"/>
        <v>88000</v>
      </c>
    </row>
    <row r="1544" spans="1:16" x14ac:dyDescent="0.2">
      <c r="A1544" s="33">
        <v>47218</v>
      </c>
      <c r="B1544" s="30">
        <f t="shared" si="55"/>
        <v>4</v>
      </c>
      <c r="C1544" s="30" t="str">
        <f>_xlfn.IFS(Table_13[[#This Row],[Month]]=1,"JAN",Table_13[[#This Row],[Month]]=2,"FEB",B1544=3,"MAR",B1544=4,"APR",B1544=5,"MAY",B1544=6,"JUN",B1544=7,"JUL",B1544=8,"AUG",Table_13[[#This Row],[Month]]=9,"SEPT",B1544=10,"OCT",B1544=11,"NOV",B1544=12,"DEC")</f>
        <v>APR</v>
      </c>
      <c r="D1544" s="2" t="s">
        <v>11</v>
      </c>
      <c r="E1544" s="2" t="s">
        <v>12</v>
      </c>
      <c r="F1544" s="2" t="s">
        <v>13</v>
      </c>
      <c r="G1544" s="2" t="s">
        <v>20</v>
      </c>
      <c r="H1544" s="2" t="s">
        <v>36</v>
      </c>
      <c r="I1544" s="2" t="s">
        <v>31</v>
      </c>
      <c r="J1544" s="15">
        <v>150000</v>
      </c>
      <c r="K1544" s="2">
        <v>10</v>
      </c>
      <c r="L1544" s="2" t="s">
        <v>24</v>
      </c>
      <c r="M1544" s="12">
        <f t="shared" si="54"/>
        <v>120000</v>
      </c>
      <c r="N1544" s="10">
        <f>PRODUCT(Table_13[[#This Row],[Unit Price]],Table_13[[#This Row],[Quantity]])</f>
        <v>1500000</v>
      </c>
      <c r="O1544" s="16">
        <f>PRODUCT(Table_13[[#This Row],[Cost Price]],Table_13[[#This Row],[Quantity]])</f>
        <v>1200000</v>
      </c>
      <c r="P1544" s="27">
        <f t="shared" si="56"/>
        <v>300000</v>
      </c>
    </row>
    <row r="1545" spans="1:16" x14ac:dyDescent="0.2">
      <c r="A1545" s="33">
        <v>47219</v>
      </c>
      <c r="B1545" s="30">
        <f t="shared" si="55"/>
        <v>4</v>
      </c>
      <c r="C1545" s="30" t="str">
        <f>_xlfn.IFS(Table_13[[#This Row],[Month]]=1,"JAN",Table_13[[#This Row],[Month]]=2,"FEB",B1545=3,"MAR",B1545=4,"APR",B1545=5,"MAY",B1545=6,"JUN",B1545=7,"JUL",B1545=8,"AUG",Table_13[[#This Row],[Month]]=9,"SEPT",B1545=10,"OCT",B1545=11,"NOV",B1545=12,"DEC")</f>
        <v>APR</v>
      </c>
      <c r="D1545" s="2" t="s">
        <v>29</v>
      </c>
      <c r="E1545" s="2" t="s">
        <v>26</v>
      </c>
      <c r="F1545" s="2" t="s">
        <v>13</v>
      </c>
      <c r="G1545" s="2" t="s">
        <v>20</v>
      </c>
      <c r="H1545" s="2" t="s">
        <v>21</v>
      </c>
      <c r="I1545" s="2" t="s">
        <v>22</v>
      </c>
      <c r="J1545" s="15">
        <v>30000</v>
      </c>
      <c r="K1545" s="2">
        <v>8</v>
      </c>
      <c r="L1545" s="2" t="s">
        <v>39</v>
      </c>
      <c r="M1545" s="12">
        <f t="shared" si="54"/>
        <v>24000</v>
      </c>
      <c r="N1545" s="10">
        <f>PRODUCT(Table_13[[#This Row],[Unit Price]],Table_13[[#This Row],[Quantity]])</f>
        <v>240000</v>
      </c>
      <c r="O1545" s="16">
        <f>PRODUCT(Table_13[[#This Row],[Cost Price]],Table_13[[#This Row],[Quantity]])</f>
        <v>192000</v>
      </c>
      <c r="P1545" s="27">
        <f t="shared" si="56"/>
        <v>48000</v>
      </c>
    </row>
    <row r="1546" spans="1:16" x14ac:dyDescent="0.2">
      <c r="A1546" s="33">
        <v>47220</v>
      </c>
      <c r="B1546" s="30">
        <f t="shared" si="55"/>
        <v>4</v>
      </c>
      <c r="C1546" s="30" t="str">
        <f>_xlfn.IFS(Table_13[[#This Row],[Month]]=1,"JAN",Table_13[[#This Row],[Month]]=2,"FEB",B1546=3,"MAR",B1546=4,"APR",B1546=5,"MAY",B1546=6,"JUN",B1546=7,"JUL",B1546=8,"AUG",Table_13[[#This Row],[Month]]=9,"SEPT",B1546=10,"OCT",B1546=11,"NOV",B1546=12,"DEC")</f>
        <v>APR</v>
      </c>
      <c r="D1546" s="2" t="s">
        <v>18</v>
      </c>
      <c r="E1546" s="2" t="s">
        <v>19</v>
      </c>
      <c r="F1546" s="2" t="s">
        <v>13</v>
      </c>
      <c r="G1546" s="2" t="s">
        <v>20</v>
      </c>
      <c r="H1546" s="2" t="s">
        <v>21</v>
      </c>
      <c r="I1546" s="2" t="s">
        <v>22</v>
      </c>
      <c r="J1546" s="15">
        <v>30000</v>
      </c>
      <c r="K1546" s="2">
        <v>9</v>
      </c>
      <c r="L1546" s="2" t="s">
        <v>35</v>
      </c>
      <c r="M1546" s="12">
        <f t="shared" si="54"/>
        <v>24000</v>
      </c>
      <c r="N1546" s="10">
        <f>PRODUCT(Table_13[[#This Row],[Unit Price]],Table_13[[#This Row],[Quantity]])</f>
        <v>270000</v>
      </c>
      <c r="O1546" s="16">
        <f>PRODUCT(Table_13[[#This Row],[Cost Price]],Table_13[[#This Row],[Quantity]])</f>
        <v>216000</v>
      </c>
      <c r="P1546" s="27">
        <f t="shared" si="56"/>
        <v>54000</v>
      </c>
    </row>
    <row r="1547" spans="1:16" x14ac:dyDescent="0.2">
      <c r="A1547" s="33">
        <v>47221</v>
      </c>
      <c r="B1547" s="30">
        <f t="shared" si="55"/>
        <v>4</v>
      </c>
      <c r="C1547" s="30" t="str">
        <f>_xlfn.IFS(Table_13[[#This Row],[Month]]=1,"JAN",Table_13[[#This Row],[Month]]=2,"FEB",B1547=3,"MAR",B1547=4,"APR",B1547=5,"MAY",B1547=6,"JUN",B1547=7,"JUL",B1547=8,"AUG",Table_13[[#This Row],[Month]]=9,"SEPT",B1547=10,"OCT",B1547=11,"NOV",B1547=12,"DEC")</f>
        <v>APR</v>
      </c>
      <c r="D1547" s="2" t="s">
        <v>18</v>
      </c>
      <c r="E1547" s="2" t="s">
        <v>12</v>
      </c>
      <c r="F1547" s="2" t="s">
        <v>13</v>
      </c>
      <c r="G1547" s="2" t="s">
        <v>20</v>
      </c>
      <c r="H1547" s="2" t="s">
        <v>36</v>
      </c>
      <c r="I1547" s="2" t="s">
        <v>31</v>
      </c>
      <c r="J1547" s="15">
        <v>150000</v>
      </c>
      <c r="K1547" s="2">
        <v>3</v>
      </c>
      <c r="L1547" s="2" t="s">
        <v>24</v>
      </c>
      <c r="M1547" s="12">
        <f t="shared" si="54"/>
        <v>120000</v>
      </c>
      <c r="N1547" s="10">
        <f>PRODUCT(Table_13[[#This Row],[Unit Price]],Table_13[[#This Row],[Quantity]])</f>
        <v>450000</v>
      </c>
      <c r="O1547" s="16">
        <f>PRODUCT(Table_13[[#This Row],[Cost Price]],Table_13[[#This Row],[Quantity]])</f>
        <v>360000</v>
      </c>
      <c r="P1547" s="27">
        <f t="shared" si="56"/>
        <v>90000</v>
      </c>
    </row>
    <row r="1548" spans="1:16" x14ac:dyDescent="0.2">
      <c r="A1548" s="33">
        <v>47222</v>
      </c>
      <c r="B1548" s="30">
        <f t="shared" si="55"/>
        <v>4</v>
      </c>
      <c r="C1548" s="30" t="str">
        <f>_xlfn.IFS(Table_13[[#This Row],[Month]]=1,"JAN",Table_13[[#This Row],[Month]]=2,"FEB",B1548=3,"MAR",B1548=4,"APR",B1548=5,"MAY",B1548=6,"JUN",B1548=7,"JUL",B1548=8,"AUG",Table_13[[#This Row],[Month]]=9,"SEPT",B1548=10,"OCT",B1548=11,"NOV",B1548=12,"DEC")</f>
        <v>APR</v>
      </c>
      <c r="D1548" s="2" t="s">
        <v>18</v>
      </c>
      <c r="E1548" s="2" t="s">
        <v>12</v>
      </c>
      <c r="F1548" s="2" t="s">
        <v>23</v>
      </c>
      <c r="G1548" s="2" t="s">
        <v>14</v>
      </c>
      <c r="H1548" s="2" t="s">
        <v>27</v>
      </c>
      <c r="I1548" s="2" t="s">
        <v>22</v>
      </c>
      <c r="J1548" s="15">
        <v>60000</v>
      </c>
      <c r="K1548" s="2">
        <v>6</v>
      </c>
      <c r="L1548" s="2" t="s">
        <v>28</v>
      </c>
      <c r="M1548" s="12">
        <f t="shared" si="54"/>
        <v>48000</v>
      </c>
      <c r="N1548" s="10">
        <f>PRODUCT(Table_13[[#This Row],[Unit Price]],Table_13[[#This Row],[Quantity]])</f>
        <v>360000</v>
      </c>
      <c r="O1548" s="16">
        <f>PRODUCT(Table_13[[#This Row],[Cost Price]],Table_13[[#This Row],[Quantity]])</f>
        <v>288000</v>
      </c>
      <c r="P1548" s="27">
        <f t="shared" si="56"/>
        <v>72000</v>
      </c>
    </row>
    <row r="1549" spans="1:16" x14ac:dyDescent="0.2">
      <c r="A1549" s="33">
        <v>47223</v>
      </c>
      <c r="B1549" s="30">
        <f t="shared" si="55"/>
        <v>4</v>
      </c>
      <c r="C1549" s="30" t="str">
        <f>_xlfn.IFS(Table_13[[#This Row],[Month]]=1,"JAN",Table_13[[#This Row],[Month]]=2,"FEB",B1549=3,"MAR",B1549=4,"APR",B1549=5,"MAY",B1549=6,"JUN",B1549=7,"JUL",B1549=8,"AUG",Table_13[[#This Row],[Month]]=9,"SEPT",B1549=10,"OCT",B1549=11,"NOV",B1549=12,"DEC")</f>
        <v>APR</v>
      </c>
      <c r="D1549" s="2" t="s">
        <v>18</v>
      </c>
      <c r="E1549" s="2" t="s">
        <v>12</v>
      </c>
      <c r="F1549" s="2" t="s">
        <v>23</v>
      </c>
      <c r="G1549" s="2" t="s">
        <v>20</v>
      </c>
      <c r="H1549" s="2" t="s">
        <v>40</v>
      </c>
      <c r="I1549" s="2" t="s">
        <v>31</v>
      </c>
      <c r="J1549" s="15">
        <v>250000</v>
      </c>
      <c r="K1549" s="2">
        <v>1</v>
      </c>
      <c r="L1549" s="2" t="s">
        <v>28</v>
      </c>
      <c r="M1549" s="12">
        <f t="shared" si="54"/>
        <v>200000</v>
      </c>
      <c r="N1549" s="10">
        <f>PRODUCT(Table_13[[#This Row],[Unit Price]],Table_13[[#This Row],[Quantity]])</f>
        <v>250000</v>
      </c>
      <c r="O1549" s="16">
        <f>PRODUCT(Table_13[[#This Row],[Cost Price]],Table_13[[#This Row],[Quantity]])</f>
        <v>200000</v>
      </c>
      <c r="P1549" s="27">
        <f t="shared" si="56"/>
        <v>50000</v>
      </c>
    </row>
    <row r="1550" spans="1:16" x14ac:dyDescent="0.2">
      <c r="A1550" s="33">
        <v>47224</v>
      </c>
      <c r="B1550" s="30">
        <f t="shared" si="55"/>
        <v>4</v>
      </c>
      <c r="C1550" s="30" t="str">
        <f>_xlfn.IFS(Table_13[[#This Row],[Month]]=1,"JAN",Table_13[[#This Row],[Month]]=2,"FEB",B1550=3,"MAR",B1550=4,"APR",B1550=5,"MAY",B1550=6,"JUN",B1550=7,"JUL",B1550=8,"AUG",Table_13[[#This Row],[Month]]=9,"SEPT",B1550=10,"OCT",B1550=11,"NOV",B1550=12,"DEC")</f>
        <v>APR</v>
      </c>
      <c r="D1550" s="2" t="s">
        <v>11</v>
      </c>
      <c r="E1550" s="2" t="s">
        <v>26</v>
      </c>
      <c r="F1550" s="2" t="s">
        <v>13</v>
      </c>
      <c r="G1550" s="2" t="s">
        <v>20</v>
      </c>
      <c r="H1550" s="2" t="s">
        <v>15</v>
      </c>
      <c r="I1550" s="2" t="s">
        <v>16</v>
      </c>
      <c r="J1550" s="15">
        <v>85000</v>
      </c>
      <c r="K1550" s="2">
        <v>8</v>
      </c>
      <c r="L1550" s="2" t="s">
        <v>28</v>
      </c>
      <c r="M1550" s="12">
        <f t="shared" si="54"/>
        <v>68000</v>
      </c>
      <c r="N1550" s="10">
        <f>PRODUCT(Table_13[[#This Row],[Unit Price]],Table_13[[#This Row],[Quantity]])</f>
        <v>680000</v>
      </c>
      <c r="O1550" s="16">
        <f>PRODUCT(Table_13[[#This Row],[Cost Price]],Table_13[[#This Row],[Quantity]])</f>
        <v>544000</v>
      </c>
      <c r="P1550" s="27">
        <f t="shared" si="56"/>
        <v>136000</v>
      </c>
    </row>
    <row r="1551" spans="1:16" x14ac:dyDescent="0.2">
      <c r="A1551" s="33">
        <v>47225</v>
      </c>
      <c r="B1551" s="30">
        <f t="shared" si="55"/>
        <v>4</v>
      </c>
      <c r="C1551" s="30" t="str">
        <f>_xlfn.IFS(Table_13[[#This Row],[Month]]=1,"JAN",Table_13[[#This Row],[Month]]=2,"FEB",B1551=3,"MAR",B1551=4,"APR",B1551=5,"MAY",B1551=6,"JUN",B1551=7,"JUL",B1551=8,"AUG",Table_13[[#This Row],[Month]]=9,"SEPT",B1551=10,"OCT",B1551=11,"NOV",B1551=12,"DEC")</f>
        <v>APR</v>
      </c>
      <c r="D1551" s="2" t="s">
        <v>29</v>
      </c>
      <c r="E1551" s="2" t="s">
        <v>12</v>
      </c>
      <c r="F1551" s="2" t="s">
        <v>13</v>
      </c>
      <c r="G1551" s="2" t="s">
        <v>20</v>
      </c>
      <c r="H1551" s="2" t="s">
        <v>33</v>
      </c>
      <c r="I1551" s="2" t="s">
        <v>22</v>
      </c>
      <c r="J1551" s="15">
        <v>180000</v>
      </c>
      <c r="K1551" s="2">
        <v>8</v>
      </c>
      <c r="L1551" s="2" t="s">
        <v>28</v>
      </c>
      <c r="M1551" s="12">
        <f t="shared" si="54"/>
        <v>144000</v>
      </c>
      <c r="N1551" s="10">
        <f>PRODUCT(Table_13[[#This Row],[Unit Price]],Table_13[[#This Row],[Quantity]])</f>
        <v>1440000</v>
      </c>
      <c r="O1551" s="16">
        <f>PRODUCT(Table_13[[#This Row],[Cost Price]],Table_13[[#This Row],[Quantity]])</f>
        <v>1152000</v>
      </c>
      <c r="P1551" s="27">
        <f t="shared" si="56"/>
        <v>288000</v>
      </c>
    </row>
    <row r="1552" spans="1:16" x14ac:dyDescent="0.2">
      <c r="A1552" s="33">
        <v>47226</v>
      </c>
      <c r="B1552" s="30">
        <f t="shared" si="55"/>
        <v>4</v>
      </c>
      <c r="C1552" s="30" t="str">
        <f>_xlfn.IFS(Table_13[[#This Row],[Month]]=1,"JAN",Table_13[[#This Row],[Month]]=2,"FEB",B1552=3,"MAR",B1552=4,"APR",B1552=5,"MAY",B1552=6,"JUN",B1552=7,"JUL",B1552=8,"AUG",Table_13[[#This Row],[Month]]=9,"SEPT",B1552=10,"OCT",B1552=11,"NOV",B1552=12,"DEC")</f>
        <v>APR</v>
      </c>
      <c r="D1552" s="2" t="s">
        <v>18</v>
      </c>
      <c r="E1552" s="2" t="s">
        <v>32</v>
      </c>
      <c r="F1552" s="2" t="s">
        <v>23</v>
      </c>
      <c r="G1552" s="2" t="s">
        <v>20</v>
      </c>
      <c r="H1552" s="2" t="s">
        <v>41</v>
      </c>
      <c r="I1552" s="2" t="s">
        <v>22</v>
      </c>
      <c r="J1552" s="15">
        <v>220000</v>
      </c>
      <c r="K1552" s="2">
        <v>9</v>
      </c>
      <c r="L1552" s="2" t="s">
        <v>37</v>
      </c>
      <c r="M1552" s="12">
        <f t="shared" si="54"/>
        <v>176000</v>
      </c>
      <c r="N1552" s="10">
        <f>PRODUCT(Table_13[[#This Row],[Unit Price]],Table_13[[#This Row],[Quantity]])</f>
        <v>1980000</v>
      </c>
      <c r="O1552" s="16">
        <f>PRODUCT(Table_13[[#This Row],[Cost Price]],Table_13[[#This Row],[Quantity]])</f>
        <v>1584000</v>
      </c>
      <c r="P1552" s="27">
        <f t="shared" si="56"/>
        <v>396000</v>
      </c>
    </row>
    <row r="1553" spans="1:16" x14ac:dyDescent="0.2">
      <c r="A1553" s="33">
        <v>47227</v>
      </c>
      <c r="B1553" s="30">
        <f t="shared" si="55"/>
        <v>4</v>
      </c>
      <c r="C1553" s="30" t="str">
        <f>_xlfn.IFS(Table_13[[#This Row],[Month]]=1,"JAN",Table_13[[#This Row],[Month]]=2,"FEB",B1553=3,"MAR",B1553=4,"APR",B1553=5,"MAY",B1553=6,"JUN",B1553=7,"JUL",B1553=8,"AUG",Table_13[[#This Row],[Month]]=9,"SEPT",B1553=10,"OCT",B1553=11,"NOV",B1553=12,"DEC")</f>
        <v>APR</v>
      </c>
      <c r="D1553" s="2" t="s">
        <v>11</v>
      </c>
      <c r="E1553" s="2" t="s">
        <v>12</v>
      </c>
      <c r="F1553" s="2" t="s">
        <v>13</v>
      </c>
      <c r="G1553" s="2" t="s">
        <v>20</v>
      </c>
      <c r="H1553" s="2" t="s">
        <v>40</v>
      </c>
      <c r="I1553" s="2" t="s">
        <v>31</v>
      </c>
      <c r="J1553" s="15">
        <v>250000</v>
      </c>
      <c r="K1553" s="2">
        <v>3</v>
      </c>
      <c r="L1553" s="2" t="s">
        <v>28</v>
      </c>
      <c r="M1553" s="12">
        <f t="shared" si="54"/>
        <v>200000</v>
      </c>
      <c r="N1553" s="10">
        <f>PRODUCT(Table_13[[#This Row],[Unit Price]],Table_13[[#This Row],[Quantity]])</f>
        <v>750000</v>
      </c>
      <c r="O1553" s="16">
        <f>PRODUCT(Table_13[[#This Row],[Cost Price]],Table_13[[#This Row],[Quantity]])</f>
        <v>600000</v>
      </c>
      <c r="P1553" s="27">
        <f t="shared" si="56"/>
        <v>150000</v>
      </c>
    </row>
    <row r="1554" spans="1:16" x14ac:dyDescent="0.2">
      <c r="A1554" s="33">
        <v>47228</v>
      </c>
      <c r="B1554" s="30">
        <f t="shared" si="55"/>
        <v>4</v>
      </c>
      <c r="C1554" s="30" t="str">
        <f>_xlfn.IFS(Table_13[[#This Row],[Month]]=1,"JAN",Table_13[[#This Row],[Month]]=2,"FEB",B1554=3,"MAR",B1554=4,"APR",B1554=5,"MAY",B1554=6,"JUN",B1554=7,"JUL",B1554=8,"AUG",Table_13[[#This Row],[Month]]=9,"SEPT",B1554=10,"OCT",B1554=11,"NOV",B1554=12,"DEC")</f>
        <v>APR</v>
      </c>
      <c r="D1554" s="2" t="s">
        <v>29</v>
      </c>
      <c r="E1554" s="2" t="s">
        <v>32</v>
      </c>
      <c r="F1554" s="2" t="s">
        <v>13</v>
      </c>
      <c r="G1554" s="2" t="s">
        <v>14</v>
      </c>
      <c r="H1554" s="2" t="s">
        <v>38</v>
      </c>
      <c r="I1554" s="2" t="s">
        <v>31</v>
      </c>
      <c r="J1554" s="15">
        <v>420000</v>
      </c>
      <c r="K1554" s="2">
        <v>6</v>
      </c>
      <c r="L1554" s="2" t="s">
        <v>39</v>
      </c>
      <c r="M1554" s="12">
        <f t="shared" si="54"/>
        <v>336000</v>
      </c>
      <c r="N1554" s="10">
        <f>PRODUCT(Table_13[[#This Row],[Unit Price]],Table_13[[#This Row],[Quantity]])</f>
        <v>2520000</v>
      </c>
      <c r="O1554" s="16">
        <f>PRODUCT(Table_13[[#This Row],[Cost Price]],Table_13[[#This Row],[Quantity]])</f>
        <v>2016000</v>
      </c>
      <c r="P1554" s="27">
        <f t="shared" si="56"/>
        <v>504000</v>
      </c>
    </row>
    <row r="1555" spans="1:16" x14ac:dyDescent="0.2">
      <c r="A1555" s="33">
        <v>47229</v>
      </c>
      <c r="B1555" s="30">
        <f t="shared" si="55"/>
        <v>4</v>
      </c>
      <c r="C1555" s="30" t="str">
        <f>_xlfn.IFS(Table_13[[#This Row],[Month]]=1,"JAN",Table_13[[#This Row],[Month]]=2,"FEB",B1555=3,"MAR",B1555=4,"APR",B1555=5,"MAY",B1555=6,"JUN",B1555=7,"JUL",B1555=8,"AUG",Table_13[[#This Row],[Month]]=9,"SEPT",B1555=10,"OCT",B1555=11,"NOV",B1555=12,"DEC")</f>
        <v>APR</v>
      </c>
      <c r="D1555" s="2" t="s">
        <v>18</v>
      </c>
      <c r="E1555" s="2" t="s">
        <v>19</v>
      </c>
      <c r="F1555" s="2" t="s">
        <v>23</v>
      </c>
      <c r="G1555" s="2" t="s">
        <v>20</v>
      </c>
      <c r="H1555" s="2" t="s">
        <v>33</v>
      </c>
      <c r="I1555" s="2" t="s">
        <v>22</v>
      </c>
      <c r="J1555" s="15">
        <v>180000</v>
      </c>
      <c r="K1555" s="2">
        <v>3</v>
      </c>
      <c r="L1555" s="2" t="s">
        <v>17</v>
      </c>
      <c r="M1555" s="12">
        <f t="shared" si="54"/>
        <v>144000</v>
      </c>
      <c r="N1555" s="10">
        <f>PRODUCT(Table_13[[#This Row],[Unit Price]],Table_13[[#This Row],[Quantity]])</f>
        <v>540000</v>
      </c>
      <c r="O1555" s="16">
        <f>PRODUCT(Table_13[[#This Row],[Cost Price]],Table_13[[#This Row],[Quantity]])</f>
        <v>432000</v>
      </c>
      <c r="P1555" s="27">
        <f t="shared" si="56"/>
        <v>108000</v>
      </c>
    </row>
    <row r="1556" spans="1:16" x14ac:dyDescent="0.2">
      <c r="A1556" s="33">
        <v>47230</v>
      </c>
      <c r="B1556" s="30">
        <f t="shared" si="55"/>
        <v>4</v>
      </c>
      <c r="C1556" s="30" t="str">
        <f>_xlfn.IFS(Table_13[[#This Row],[Month]]=1,"JAN",Table_13[[#This Row],[Month]]=2,"FEB",B1556=3,"MAR",B1556=4,"APR",B1556=5,"MAY",B1556=6,"JUN",B1556=7,"JUL",B1556=8,"AUG",Table_13[[#This Row],[Month]]=9,"SEPT",B1556=10,"OCT",B1556=11,"NOV",B1556=12,"DEC")</f>
        <v>APR</v>
      </c>
      <c r="D1556" s="2" t="s">
        <v>25</v>
      </c>
      <c r="E1556" s="2" t="s">
        <v>26</v>
      </c>
      <c r="F1556" s="2" t="s">
        <v>23</v>
      </c>
      <c r="G1556" s="2" t="s">
        <v>20</v>
      </c>
      <c r="H1556" s="2" t="s">
        <v>33</v>
      </c>
      <c r="I1556" s="2" t="s">
        <v>22</v>
      </c>
      <c r="J1556" s="15">
        <v>180000</v>
      </c>
      <c r="K1556" s="2">
        <v>9</v>
      </c>
      <c r="L1556" s="2" t="s">
        <v>17</v>
      </c>
      <c r="M1556" s="12">
        <f t="shared" si="54"/>
        <v>144000</v>
      </c>
      <c r="N1556" s="10">
        <f>PRODUCT(Table_13[[#This Row],[Unit Price]],Table_13[[#This Row],[Quantity]])</f>
        <v>1620000</v>
      </c>
      <c r="O1556" s="16">
        <f>PRODUCT(Table_13[[#This Row],[Cost Price]],Table_13[[#This Row],[Quantity]])</f>
        <v>1296000</v>
      </c>
      <c r="P1556" s="27">
        <f t="shared" si="56"/>
        <v>324000</v>
      </c>
    </row>
    <row r="1557" spans="1:16" x14ac:dyDescent="0.2">
      <c r="A1557" s="33">
        <v>47231</v>
      </c>
      <c r="B1557" s="30">
        <f t="shared" si="55"/>
        <v>4</v>
      </c>
      <c r="C1557" s="30" t="str">
        <f>_xlfn.IFS(Table_13[[#This Row],[Month]]=1,"JAN",Table_13[[#This Row],[Month]]=2,"FEB",B1557=3,"MAR",B1557=4,"APR",B1557=5,"MAY",B1557=6,"JUN",B1557=7,"JUL",B1557=8,"AUG",Table_13[[#This Row],[Month]]=9,"SEPT",B1557=10,"OCT",B1557=11,"NOV",B1557=12,"DEC")</f>
        <v>APR</v>
      </c>
      <c r="D1557" s="2" t="s">
        <v>18</v>
      </c>
      <c r="E1557" s="2" t="s">
        <v>26</v>
      </c>
      <c r="F1557" s="2" t="s">
        <v>13</v>
      </c>
      <c r="G1557" s="2" t="s">
        <v>14</v>
      </c>
      <c r="H1557" s="2" t="s">
        <v>38</v>
      </c>
      <c r="I1557" s="2" t="s">
        <v>31</v>
      </c>
      <c r="J1557" s="15">
        <v>420000</v>
      </c>
      <c r="K1557" s="2">
        <v>5</v>
      </c>
      <c r="L1557" s="2" t="s">
        <v>17</v>
      </c>
      <c r="M1557" s="12">
        <f t="shared" si="54"/>
        <v>336000</v>
      </c>
      <c r="N1557" s="10">
        <f>PRODUCT(Table_13[[#This Row],[Unit Price]],Table_13[[#This Row],[Quantity]])</f>
        <v>2100000</v>
      </c>
      <c r="O1557" s="16">
        <f>PRODUCT(Table_13[[#This Row],[Cost Price]],Table_13[[#This Row],[Quantity]])</f>
        <v>1680000</v>
      </c>
      <c r="P1557" s="27">
        <f t="shared" si="56"/>
        <v>420000</v>
      </c>
    </row>
    <row r="1558" spans="1:16" x14ac:dyDescent="0.2">
      <c r="A1558" s="33">
        <v>47232</v>
      </c>
      <c r="B1558" s="30">
        <f t="shared" si="55"/>
        <v>4</v>
      </c>
      <c r="C1558" s="30" t="str">
        <f>_xlfn.IFS(Table_13[[#This Row],[Month]]=1,"JAN",Table_13[[#This Row],[Month]]=2,"FEB",B1558=3,"MAR",B1558=4,"APR",B1558=5,"MAY",B1558=6,"JUN",B1558=7,"JUL",B1558=8,"AUG",Table_13[[#This Row],[Month]]=9,"SEPT",B1558=10,"OCT",B1558=11,"NOV",B1558=12,"DEC")</f>
        <v>APR</v>
      </c>
      <c r="D1558" s="2" t="s">
        <v>29</v>
      </c>
      <c r="E1558" s="2" t="s">
        <v>26</v>
      </c>
      <c r="F1558" s="2" t="s">
        <v>13</v>
      </c>
      <c r="G1558" s="2" t="s">
        <v>20</v>
      </c>
      <c r="H1558" s="2" t="s">
        <v>33</v>
      </c>
      <c r="I1558" s="2" t="s">
        <v>22</v>
      </c>
      <c r="J1558" s="15">
        <v>180000</v>
      </c>
      <c r="K1558" s="2">
        <v>6</v>
      </c>
      <c r="L1558" s="2" t="s">
        <v>39</v>
      </c>
      <c r="M1558" s="12">
        <f t="shared" si="54"/>
        <v>144000</v>
      </c>
      <c r="N1558" s="10">
        <f>PRODUCT(Table_13[[#This Row],[Unit Price]],Table_13[[#This Row],[Quantity]])</f>
        <v>1080000</v>
      </c>
      <c r="O1558" s="16">
        <f>PRODUCT(Table_13[[#This Row],[Cost Price]],Table_13[[#This Row],[Quantity]])</f>
        <v>864000</v>
      </c>
      <c r="P1558" s="27">
        <f t="shared" si="56"/>
        <v>216000</v>
      </c>
    </row>
    <row r="1559" spans="1:16" x14ac:dyDescent="0.2">
      <c r="A1559" s="33">
        <v>47233</v>
      </c>
      <c r="B1559" s="30">
        <f t="shared" si="55"/>
        <v>4</v>
      </c>
      <c r="C1559" s="30" t="str">
        <f>_xlfn.IFS(Table_13[[#This Row],[Month]]=1,"JAN",Table_13[[#This Row],[Month]]=2,"FEB",B1559=3,"MAR",B1559=4,"APR",B1559=5,"MAY",B1559=6,"JUN",B1559=7,"JUL",B1559=8,"AUG",Table_13[[#This Row],[Month]]=9,"SEPT",B1559=10,"OCT",B1559=11,"NOV",B1559=12,"DEC")</f>
        <v>APR</v>
      </c>
      <c r="D1559" s="2" t="s">
        <v>18</v>
      </c>
      <c r="E1559" s="2" t="s">
        <v>26</v>
      </c>
      <c r="F1559" s="2" t="s">
        <v>23</v>
      </c>
      <c r="G1559" s="2" t="s">
        <v>14</v>
      </c>
      <c r="H1559" s="2" t="s">
        <v>30</v>
      </c>
      <c r="I1559" s="2" t="s">
        <v>31</v>
      </c>
      <c r="J1559" s="15">
        <v>300000</v>
      </c>
      <c r="K1559" s="2">
        <v>3</v>
      </c>
      <c r="L1559" s="2" t="s">
        <v>28</v>
      </c>
      <c r="M1559" s="12">
        <f t="shared" si="54"/>
        <v>240000</v>
      </c>
      <c r="N1559" s="10">
        <f>PRODUCT(Table_13[[#This Row],[Unit Price]],Table_13[[#This Row],[Quantity]])</f>
        <v>900000</v>
      </c>
      <c r="O1559" s="16">
        <f>PRODUCT(Table_13[[#This Row],[Cost Price]],Table_13[[#This Row],[Quantity]])</f>
        <v>720000</v>
      </c>
      <c r="P1559" s="27">
        <f t="shared" si="56"/>
        <v>180000</v>
      </c>
    </row>
    <row r="1560" spans="1:16" x14ac:dyDescent="0.2">
      <c r="A1560" s="33">
        <v>47234</v>
      </c>
      <c r="B1560" s="30">
        <f t="shared" si="55"/>
        <v>4</v>
      </c>
      <c r="C1560" s="30" t="str">
        <f>_xlfn.IFS(Table_13[[#This Row],[Month]]=1,"JAN",Table_13[[#This Row],[Month]]=2,"FEB",B1560=3,"MAR",B1560=4,"APR",B1560=5,"MAY",B1560=6,"JUN",B1560=7,"JUL",B1560=8,"AUG",Table_13[[#This Row],[Month]]=9,"SEPT",B1560=10,"OCT",B1560=11,"NOV",B1560=12,"DEC")</f>
        <v>APR</v>
      </c>
      <c r="D1560" s="2" t="s">
        <v>11</v>
      </c>
      <c r="E1560" s="2" t="s">
        <v>26</v>
      </c>
      <c r="F1560" s="2" t="s">
        <v>13</v>
      </c>
      <c r="G1560" s="2" t="s">
        <v>14</v>
      </c>
      <c r="H1560" s="2" t="s">
        <v>41</v>
      </c>
      <c r="I1560" s="2" t="s">
        <v>22</v>
      </c>
      <c r="J1560" s="15">
        <v>220000</v>
      </c>
      <c r="K1560" s="2">
        <v>7</v>
      </c>
      <c r="L1560" s="2" t="s">
        <v>17</v>
      </c>
      <c r="M1560" s="12">
        <f t="shared" si="54"/>
        <v>176000</v>
      </c>
      <c r="N1560" s="10">
        <f>PRODUCT(Table_13[[#This Row],[Unit Price]],Table_13[[#This Row],[Quantity]])</f>
        <v>1540000</v>
      </c>
      <c r="O1560" s="16">
        <f>PRODUCT(Table_13[[#This Row],[Cost Price]],Table_13[[#This Row],[Quantity]])</f>
        <v>1232000</v>
      </c>
      <c r="P1560" s="27">
        <f t="shared" si="56"/>
        <v>308000</v>
      </c>
    </row>
    <row r="1561" spans="1:16" x14ac:dyDescent="0.2">
      <c r="A1561" s="33">
        <v>47235</v>
      </c>
      <c r="B1561" s="30">
        <f t="shared" si="55"/>
        <v>4</v>
      </c>
      <c r="C1561" s="30" t="str">
        <f>_xlfn.IFS(Table_13[[#This Row],[Month]]=1,"JAN",Table_13[[#This Row],[Month]]=2,"FEB",B1561=3,"MAR",B1561=4,"APR",B1561=5,"MAY",B1561=6,"JUN",B1561=7,"JUL",B1561=8,"AUG",Table_13[[#This Row],[Month]]=9,"SEPT",B1561=10,"OCT",B1561=11,"NOV",B1561=12,"DEC")</f>
        <v>APR</v>
      </c>
      <c r="D1561" s="2" t="s">
        <v>25</v>
      </c>
      <c r="E1561" s="2" t="s">
        <v>19</v>
      </c>
      <c r="F1561" s="2" t="s">
        <v>13</v>
      </c>
      <c r="G1561" s="2" t="s">
        <v>14</v>
      </c>
      <c r="H1561" s="2" t="s">
        <v>27</v>
      </c>
      <c r="I1561" s="2" t="s">
        <v>22</v>
      </c>
      <c r="J1561" s="15">
        <v>60000</v>
      </c>
      <c r="K1561" s="2">
        <v>2</v>
      </c>
      <c r="L1561" s="2" t="s">
        <v>17</v>
      </c>
      <c r="M1561" s="12">
        <f t="shared" si="54"/>
        <v>48000</v>
      </c>
      <c r="N1561" s="10">
        <f>PRODUCT(Table_13[[#This Row],[Unit Price]],Table_13[[#This Row],[Quantity]])</f>
        <v>120000</v>
      </c>
      <c r="O1561" s="16">
        <f>PRODUCT(Table_13[[#This Row],[Cost Price]],Table_13[[#This Row],[Quantity]])</f>
        <v>96000</v>
      </c>
      <c r="P1561" s="27">
        <f t="shared" si="56"/>
        <v>24000</v>
      </c>
    </row>
    <row r="1562" spans="1:16" x14ac:dyDescent="0.2">
      <c r="A1562" s="33">
        <v>47236</v>
      </c>
      <c r="B1562" s="30">
        <f t="shared" si="55"/>
        <v>4</v>
      </c>
      <c r="C1562" s="30" t="str">
        <f>_xlfn.IFS(Table_13[[#This Row],[Month]]=1,"JAN",Table_13[[#This Row],[Month]]=2,"FEB",B1562=3,"MAR",B1562=4,"APR",B1562=5,"MAY",B1562=6,"JUN",B1562=7,"JUL",B1562=8,"AUG",Table_13[[#This Row],[Month]]=9,"SEPT",B1562=10,"OCT",B1562=11,"NOV",B1562=12,"DEC")</f>
        <v>APR</v>
      </c>
      <c r="D1562" s="2" t="s">
        <v>25</v>
      </c>
      <c r="E1562" s="2" t="s">
        <v>19</v>
      </c>
      <c r="F1562" s="2" t="s">
        <v>23</v>
      </c>
      <c r="G1562" s="2" t="s">
        <v>14</v>
      </c>
      <c r="H1562" s="2" t="s">
        <v>21</v>
      </c>
      <c r="I1562" s="2" t="s">
        <v>22</v>
      </c>
      <c r="J1562" s="15">
        <v>30000</v>
      </c>
      <c r="K1562" s="2">
        <v>4</v>
      </c>
      <c r="L1562" s="2" t="s">
        <v>35</v>
      </c>
      <c r="M1562" s="12">
        <f t="shared" si="54"/>
        <v>24000</v>
      </c>
      <c r="N1562" s="10">
        <f>PRODUCT(Table_13[[#This Row],[Unit Price]],Table_13[[#This Row],[Quantity]])</f>
        <v>120000</v>
      </c>
      <c r="O1562" s="16">
        <f>PRODUCT(Table_13[[#This Row],[Cost Price]],Table_13[[#This Row],[Quantity]])</f>
        <v>96000</v>
      </c>
      <c r="P1562" s="27">
        <f t="shared" si="56"/>
        <v>24000</v>
      </c>
    </row>
    <row r="1563" spans="1:16" x14ac:dyDescent="0.2">
      <c r="A1563" s="33">
        <v>47237</v>
      </c>
      <c r="B1563" s="30">
        <f t="shared" si="55"/>
        <v>4</v>
      </c>
      <c r="C1563" s="30" t="str">
        <f>_xlfn.IFS(Table_13[[#This Row],[Month]]=1,"JAN",Table_13[[#This Row],[Month]]=2,"FEB",B1563=3,"MAR",B1563=4,"APR",B1563=5,"MAY",B1563=6,"JUN",B1563=7,"JUL",B1563=8,"AUG",Table_13[[#This Row],[Month]]=9,"SEPT",B1563=10,"OCT",B1563=11,"NOV",B1563=12,"DEC")</f>
        <v>APR</v>
      </c>
      <c r="D1563" s="2" t="s">
        <v>11</v>
      </c>
      <c r="E1563" s="2" t="s">
        <v>19</v>
      </c>
      <c r="F1563" s="2" t="s">
        <v>23</v>
      </c>
      <c r="G1563" s="2" t="s">
        <v>20</v>
      </c>
      <c r="H1563" s="2" t="s">
        <v>34</v>
      </c>
      <c r="I1563" s="2" t="s">
        <v>16</v>
      </c>
      <c r="J1563" s="15">
        <v>320000</v>
      </c>
      <c r="K1563" s="2">
        <v>8</v>
      </c>
      <c r="L1563" s="2" t="s">
        <v>35</v>
      </c>
      <c r="M1563" s="12">
        <f t="shared" si="54"/>
        <v>256000</v>
      </c>
      <c r="N1563" s="10">
        <f>PRODUCT(Table_13[[#This Row],[Unit Price]],Table_13[[#This Row],[Quantity]])</f>
        <v>2560000</v>
      </c>
      <c r="O1563" s="16">
        <f>PRODUCT(Table_13[[#This Row],[Cost Price]],Table_13[[#This Row],[Quantity]])</f>
        <v>2048000</v>
      </c>
      <c r="P1563" s="27">
        <f t="shared" si="56"/>
        <v>512000</v>
      </c>
    </row>
    <row r="1564" spans="1:16" x14ac:dyDescent="0.2">
      <c r="A1564" s="33">
        <v>47238</v>
      </c>
      <c r="B1564" s="30">
        <f t="shared" si="55"/>
        <v>4</v>
      </c>
      <c r="C1564" s="30" t="str">
        <f>_xlfn.IFS(Table_13[[#This Row],[Month]]=1,"JAN",Table_13[[#This Row],[Month]]=2,"FEB",B1564=3,"MAR",B1564=4,"APR",B1564=5,"MAY",B1564=6,"JUN",B1564=7,"JUL",B1564=8,"AUG",Table_13[[#This Row],[Month]]=9,"SEPT",B1564=10,"OCT",B1564=11,"NOV",B1564=12,"DEC")</f>
        <v>APR</v>
      </c>
      <c r="D1564" s="2" t="s">
        <v>11</v>
      </c>
      <c r="E1564" s="2" t="s">
        <v>32</v>
      </c>
      <c r="F1564" s="2" t="s">
        <v>23</v>
      </c>
      <c r="G1564" s="2" t="s">
        <v>20</v>
      </c>
      <c r="H1564" s="2" t="s">
        <v>33</v>
      </c>
      <c r="I1564" s="2" t="s">
        <v>22</v>
      </c>
      <c r="J1564" s="15">
        <v>180000</v>
      </c>
      <c r="K1564" s="2">
        <v>5</v>
      </c>
      <c r="L1564" s="2" t="s">
        <v>28</v>
      </c>
      <c r="M1564" s="12">
        <f t="shared" si="54"/>
        <v>144000</v>
      </c>
      <c r="N1564" s="10">
        <f>PRODUCT(Table_13[[#This Row],[Unit Price]],Table_13[[#This Row],[Quantity]])</f>
        <v>900000</v>
      </c>
      <c r="O1564" s="16">
        <f>PRODUCT(Table_13[[#This Row],[Cost Price]],Table_13[[#This Row],[Quantity]])</f>
        <v>720000</v>
      </c>
      <c r="P1564" s="27">
        <f t="shared" si="56"/>
        <v>180000</v>
      </c>
    </row>
    <row r="1565" spans="1:16" x14ac:dyDescent="0.2">
      <c r="A1565" s="33">
        <v>47239</v>
      </c>
      <c r="B1565" s="30">
        <f t="shared" si="55"/>
        <v>5</v>
      </c>
      <c r="C1565" s="30" t="str">
        <f>_xlfn.IFS(Table_13[[#This Row],[Month]]=1,"JAN",Table_13[[#This Row],[Month]]=2,"FEB",B1565=3,"MAR",B1565=4,"APR",B1565=5,"MAY",B1565=6,"JUN",B1565=7,"JUL",B1565=8,"AUG",Table_13[[#This Row],[Month]]=9,"SEPT",B1565=10,"OCT",B1565=11,"NOV",B1565=12,"DEC")</f>
        <v>MAY</v>
      </c>
      <c r="D1565" s="2" t="s">
        <v>18</v>
      </c>
      <c r="E1565" s="2" t="s">
        <v>12</v>
      </c>
      <c r="F1565" s="2" t="s">
        <v>13</v>
      </c>
      <c r="G1565" s="2" t="s">
        <v>20</v>
      </c>
      <c r="H1565" s="2" t="s">
        <v>34</v>
      </c>
      <c r="I1565" s="2" t="s">
        <v>16</v>
      </c>
      <c r="J1565" s="15">
        <v>320000</v>
      </c>
      <c r="K1565" s="2">
        <v>6</v>
      </c>
      <c r="L1565" s="2" t="s">
        <v>28</v>
      </c>
      <c r="M1565" s="12">
        <f t="shared" si="54"/>
        <v>256000</v>
      </c>
      <c r="N1565" s="10">
        <f>PRODUCT(Table_13[[#This Row],[Unit Price]],Table_13[[#This Row],[Quantity]])</f>
        <v>1920000</v>
      </c>
      <c r="O1565" s="16">
        <f>PRODUCT(Table_13[[#This Row],[Cost Price]],Table_13[[#This Row],[Quantity]])</f>
        <v>1536000</v>
      </c>
      <c r="P1565" s="27">
        <f t="shared" si="56"/>
        <v>384000</v>
      </c>
    </row>
    <row r="1566" spans="1:16" x14ac:dyDescent="0.2">
      <c r="A1566" s="33">
        <v>47240</v>
      </c>
      <c r="B1566" s="30">
        <f t="shared" si="55"/>
        <v>5</v>
      </c>
      <c r="C1566" s="30" t="str">
        <f>_xlfn.IFS(Table_13[[#This Row],[Month]]=1,"JAN",Table_13[[#This Row],[Month]]=2,"FEB",B1566=3,"MAR",B1566=4,"APR",B1566=5,"MAY",B1566=6,"JUN",B1566=7,"JUL",B1566=8,"AUG",Table_13[[#This Row],[Month]]=9,"SEPT",B1566=10,"OCT",B1566=11,"NOV",B1566=12,"DEC")</f>
        <v>MAY</v>
      </c>
      <c r="D1566" s="2" t="s">
        <v>25</v>
      </c>
      <c r="E1566" s="2" t="s">
        <v>19</v>
      </c>
      <c r="F1566" s="2" t="s">
        <v>13</v>
      </c>
      <c r="G1566" s="2" t="s">
        <v>14</v>
      </c>
      <c r="H1566" s="2" t="s">
        <v>38</v>
      </c>
      <c r="I1566" s="2" t="s">
        <v>31</v>
      </c>
      <c r="J1566" s="15">
        <v>420000</v>
      </c>
      <c r="K1566" s="2">
        <v>3</v>
      </c>
      <c r="L1566" s="2" t="s">
        <v>28</v>
      </c>
      <c r="M1566" s="12">
        <f t="shared" si="54"/>
        <v>336000</v>
      </c>
      <c r="N1566" s="10">
        <f>PRODUCT(Table_13[[#This Row],[Unit Price]],Table_13[[#This Row],[Quantity]])</f>
        <v>1260000</v>
      </c>
      <c r="O1566" s="16">
        <f>PRODUCT(Table_13[[#This Row],[Cost Price]],Table_13[[#This Row],[Quantity]])</f>
        <v>1008000</v>
      </c>
      <c r="P1566" s="27">
        <f t="shared" si="56"/>
        <v>252000</v>
      </c>
    </row>
    <row r="1567" spans="1:16" x14ac:dyDescent="0.2">
      <c r="A1567" s="33">
        <v>47241</v>
      </c>
      <c r="B1567" s="30">
        <f t="shared" si="55"/>
        <v>5</v>
      </c>
      <c r="C1567" s="30" t="str">
        <f>_xlfn.IFS(Table_13[[#This Row],[Month]]=1,"JAN",Table_13[[#This Row],[Month]]=2,"FEB",B1567=3,"MAR",B1567=4,"APR",B1567=5,"MAY",B1567=6,"JUN",B1567=7,"JUL",B1567=8,"AUG",Table_13[[#This Row],[Month]]=9,"SEPT",B1567=10,"OCT",B1567=11,"NOV",B1567=12,"DEC")</f>
        <v>MAY</v>
      </c>
      <c r="D1567" s="2" t="s">
        <v>29</v>
      </c>
      <c r="E1567" s="2" t="s">
        <v>32</v>
      </c>
      <c r="F1567" s="2" t="s">
        <v>23</v>
      </c>
      <c r="G1567" s="2" t="s">
        <v>14</v>
      </c>
      <c r="H1567" s="2" t="s">
        <v>36</v>
      </c>
      <c r="I1567" s="2" t="s">
        <v>31</v>
      </c>
      <c r="J1567" s="15">
        <v>150000</v>
      </c>
      <c r="K1567" s="2">
        <v>2</v>
      </c>
      <c r="L1567" s="2" t="s">
        <v>39</v>
      </c>
      <c r="M1567" s="12">
        <f t="shared" si="54"/>
        <v>120000</v>
      </c>
      <c r="N1567" s="10">
        <f>PRODUCT(Table_13[[#This Row],[Unit Price]],Table_13[[#This Row],[Quantity]])</f>
        <v>300000</v>
      </c>
      <c r="O1567" s="16">
        <f>PRODUCT(Table_13[[#This Row],[Cost Price]],Table_13[[#This Row],[Quantity]])</f>
        <v>240000</v>
      </c>
      <c r="P1567" s="27">
        <f t="shared" si="56"/>
        <v>60000</v>
      </c>
    </row>
    <row r="1568" spans="1:16" x14ac:dyDescent="0.2">
      <c r="A1568" s="33">
        <v>47242</v>
      </c>
      <c r="B1568" s="30">
        <f t="shared" si="55"/>
        <v>5</v>
      </c>
      <c r="C1568" s="30" t="str">
        <f>_xlfn.IFS(Table_13[[#This Row],[Month]]=1,"JAN",Table_13[[#This Row],[Month]]=2,"FEB",B1568=3,"MAR",B1568=4,"APR",B1568=5,"MAY",B1568=6,"JUN",B1568=7,"JUL",B1568=8,"AUG",Table_13[[#This Row],[Month]]=9,"SEPT",B1568=10,"OCT",B1568=11,"NOV",B1568=12,"DEC")</f>
        <v>MAY</v>
      </c>
      <c r="D1568" s="2" t="s">
        <v>11</v>
      </c>
      <c r="E1568" s="2" t="s">
        <v>32</v>
      </c>
      <c r="F1568" s="2" t="s">
        <v>13</v>
      </c>
      <c r="G1568" s="2" t="s">
        <v>14</v>
      </c>
      <c r="H1568" s="2" t="s">
        <v>33</v>
      </c>
      <c r="I1568" s="2" t="s">
        <v>22</v>
      </c>
      <c r="J1568" s="15">
        <v>180000</v>
      </c>
      <c r="K1568" s="2">
        <v>8</v>
      </c>
      <c r="L1568" s="2" t="s">
        <v>35</v>
      </c>
      <c r="M1568" s="12">
        <f t="shared" si="54"/>
        <v>144000</v>
      </c>
      <c r="N1568" s="10">
        <f>PRODUCT(Table_13[[#This Row],[Unit Price]],Table_13[[#This Row],[Quantity]])</f>
        <v>1440000</v>
      </c>
      <c r="O1568" s="16">
        <f>PRODUCT(Table_13[[#This Row],[Cost Price]],Table_13[[#This Row],[Quantity]])</f>
        <v>1152000</v>
      </c>
      <c r="P1568" s="27">
        <f t="shared" si="56"/>
        <v>288000</v>
      </c>
    </row>
    <row r="1569" spans="1:16" x14ac:dyDescent="0.2">
      <c r="A1569" s="33">
        <v>47243</v>
      </c>
      <c r="B1569" s="30">
        <f t="shared" si="55"/>
        <v>5</v>
      </c>
      <c r="C1569" s="30" t="str">
        <f>_xlfn.IFS(Table_13[[#This Row],[Month]]=1,"JAN",Table_13[[#This Row],[Month]]=2,"FEB",B1569=3,"MAR",B1569=4,"APR",B1569=5,"MAY",B1569=6,"JUN",B1569=7,"JUL",B1569=8,"AUG",Table_13[[#This Row],[Month]]=9,"SEPT",B1569=10,"OCT",B1569=11,"NOV",B1569=12,"DEC")</f>
        <v>MAY</v>
      </c>
      <c r="D1569" s="2" t="s">
        <v>29</v>
      </c>
      <c r="E1569" s="2" t="s">
        <v>19</v>
      </c>
      <c r="F1569" s="2" t="s">
        <v>13</v>
      </c>
      <c r="G1569" s="2" t="s">
        <v>14</v>
      </c>
      <c r="H1569" s="2" t="s">
        <v>36</v>
      </c>
      <c r="I1569" s="2" t="s">
        <v>31</v>
      </c>
      <c r="J1569" s="15">
        <v>150000</v>
      </c>
      <c r="K1569" s="2">
        <v>4</v>
      </c>
      <c r="L1569" s="2" t="s">
        <v>35</v>
      </c>
      <c r="M1569" s="12">
        <f t="shared" si="54"/>
        <v>120000</v>
      </c>
      <c r="N1569" s="10">
        <f>PRODUCT(Table_13[[#This Row],[Unit Price]],Table_13[[#This Row],[Quantity]])</f>
        <v>600000</v>
      </c>
      <c r="O1569" s="16">
        <f>PRODUCT(Table_13[[#This Row],[Cost Price]],Table_13[[#This Row],[Quantity]])</f>
        <v>480000</v>
      </c>
      <c r="P1569" s="27">
        <f t="shared" si="56"/>
        <v>120000</v>
      </c>
    </row>
    <row r="1570" spans="1:16" x14ac:dyDescent="0.2">
      <c r="A1570" s="33">
        <v>47244</v>
      </c>
      <c r="B1570" s="30">
        <f t="shared" si="55"/>
        <v>5</v>
      </c>
      <c r="C1570" s="30" t="str">
        <f>_xlfn.IFS(Table_13[[#This Row],[Month]]=1,"JAN",Table_13[[#This Row],[Month]]=2,"FEB",B1570=3,"MAR",B1570=4,"APR",B1570=5,"MAY",B1570=6,"JUN",B1570=7,"JUL",B1570=8,"AUG",Table_13[[#This Row],[Month]]=9,"SEPT",B1570=10,"OCT",B1570=11,"NOV",B1570=12,"DEC")</f>
        <v>MAY</v>
      </c>
      <c r="D1570" s="2" t="s">
        <v>29</v>
      </c>
      <c r="E1570" s="2" t="s">
        <v>26</v>
      </c>
      <c r="F1570" s="2" t="s">
        <v>23</v>
      </c>
      <c r="G1570" s="2" t="s">
        <v>20</v>
      </c>
      <c r="H1570" s="2" t="s">
        <v>27</v>
      </c>
      <c r="I1570" s="2" t="s">
        <v>22</v>
      </c>
      <c r="J1570" s="15">
        <v>60000</v>
      </c>
      <c r="K1570" s="2">
        <v>8</v>
      </c>
      <c r="L1570" s="2" t="s">
        <v>28</v>
      </c>
      <c r="M1570" s="12">
        <f t="shared" si="54"/>
        <v>48000</v>
      </c>
      <c r="N1570" s="10">
        <f>PRODUCT(Table_13[[#This Row],[Unit Price]],Table_13[[#This Row],[Quantity]])</f>
        <v>480000</v>
      </c>
      <c r="O1570" s="16">
        <f>PRODUCT(Table_13[[#This Row],[Cost Price]],Table_13[[#This Row],[Quantity]])</f>
        <v>384000</v>
      </c>
      <c r="P1570" s="27">
        <f t="shared" si="56"/>
        <v>96000</v>
      </c>
    </row>
    <row r="1571" spans="1:16" x14ac:dyDescent="0.2">
      <c r="A1571" s="33">
        <v>47245</v>
      </c>
      <c r="B1571" s="30">
        <f t="shared" si="55"/>
        <v>5</v>
      </c>
      <c r="C1571" s="30" t="str">
        <f>_xlfn.IFS(Table_13[[#This Row],[Month]]=1,"JAN",Table_13[[#This Row],[Month]]=2,"FEB",B1571=3,"MAR",B1571=4,"APR",B1571=5,"MAY",B1571=6,"JUN",B1571=7,"JUL",B1571=8,"AUG",Table_13[[#This Row],[Month]]=9,"SEPT",B1571=10,"OCT",B1571=11,"NOV",B1571=12,"DEC")</f>
        <v>MAY</v>
      </c>
      <c r="D1571" s="2" t="s">
        <v>29</v>
      </c>
      <c r="E1571" s="2" t="s">
        <v>12</v>
      </c>
      <c r="F1571" s="2" t="s">
        <v>23</v>
      </c>
      <c r="G1571" s="2" t="s">
        <v>20</v>
      </c>
      <c r="H1571" s="2" t="s">
        <v>38</v>
      </c>
      <c r="I1571" s="2" t="s">
        <v>31</v>
      </c>
      <c r="J1571" s="15">
        <v>420000</v>
      </c>
      <c r="K1571" s="2">
        <v>5</v>
      </c>
      <c r="L1571" s="2" t="s">
        <v>37</v>
      </c>
      <c r="M1571" s="12">
        <f t="shared" si="54"/>
        <v>336000</v>
      </c>
      <c r="N1571" s="10">
        <f>PRODUCT(Table_13[[#This Row],[Unit Price]],Table_13[[#This Row],[Quantity]])</f>
        <v>2100000</v>
      </c>
      <c r="O1571" s="16">
        <f>PRODUCT(Table_13[[#This Row],[Cost Price]],Table_13[[#This Row],[Quantity]])</f>
        <v>1680000</v>
      </c>
      <c r="P1571" s="27">
        <f t="shared" si="56"/>
        <v>420000</v>
      </c>
    </row>
    <row r="1572" spans="1:16" x14ac:dyDescent="0.2">
      <c r="A1572" s="33">
        <v>47246</v>
      </c>
      <c r="B1572" s="30">
        <f t="shared" si="55"/>
        <v>5</v>
      </c>
      <c r="C1572" s="30" t="str">
        <f>_xlfn.IFS(Table_13[[#This Row],[Month]]=1,"JAN",Table_13[[#This Row],[Month]]=2,"FEB",B1572=3,"MAR",B1572=4,"APR",B1572=5,"MAY",B1572=6,"JUN",B1572=7,"JUL",B1572=8,"AUG",Table_13[[#This Row],[Month]]=9,"SEPT",B1572=10,"OCT",B1572=11,"NOV",B1572=12,"DEC")</f>
        <v>MAY</v>
      </c>
      <c r="D1572" s="2" t="s">
        <v>29</v>
      </c>
      <c r="E1572" s="2" t="s">
        <v>12</v>
      </c>
      <c r="F1572" s="2" t="s">
        <v>13</v>
      </c>
      <c r="G1572" s="2" t="s">
        <v>20</v>
      </c>
      <c r="H1572" s="2" t="s">
        <v>38</v>
      </c>
      <c r="I1572" s="2" t="s">
        <v>31</v>
      </c>
      <c r="J1572" s="15">
        <v>420000</v>
      </c>
      <c r="K1572" s="2">
        <v>6</v>
      </c>
      <c r="L1572" s="2" t="s">
        <v>39</v>
      </c>
      <c r="M1572" s="12">
        <f t="shared" si="54"/>
        <v>336000</v>
      </c>
      <c r="N1572" s="10">
        <f>PRODUCT(Table_13[[#This Row],[Unit Price]],Table_13[[#This Row],[Quantity]])</f>
        <v>2520000</v>
      </c>
      <c r="O1572" s="16">
        <f>PRODUCT(Table_13[[#This Row],[Cost Price]],Table_13[[#This Row],[Quantity]])</f>
        <v>2016000</v>
      </c>
      <c r="P1572" s="27">
        <f t="shared" si="56"/>
        <v>504000</v>
      </c>
    </row>
    <row r="1573" spans="1:16" x14ac:dyDescent="0.2">
      <c r="A1573" s="33">
        <v>47247</v>
      </c>
      <c r="B1573" s="30">
        <f t="shared" si="55"/>
        <v>5</v>
      </c>
      <c r="C1573" s="30" t="str">
        <f>_xlfn.IFS(Table_13[[#This Row],[Month]]=1,"JAN",Table_13[[#This Row],[Month]]=2,"FEB",B1573=3,"MAR",B1573=4,"APR",B1573=5,"MAY",B1573=6,"JUN",B1573=7,"JUL",B1573=8,"AUG",Table_13[[#This Row],[Month]]=9,"SEPT",B1573=10,"OCT",B1573=11,"NOV",B1573=12,"DEC")</f>
        <v>MAY</v>
      </c>
      <c r="D1573" s="2" t="s">
        <v>25</v>
      </c>
      <c r="E1573" s="2" t="s">
        <v>12</v>
      </c>
      <c r="F1573" s="2" t="s">
        <v>13</v>
      </c>
      <c r="G1573" s="2" t="s">
        <v>20</v>
      </c>
      <c r="H1573" s="2" t="s">
        <v>30</v>
      </c>
      <c r="I1573" s="2" t="s">
        <v>31</v>
      </c>
      <c r="J1573" s="15">
        <v>300000</v>
      </c>
      <c r="K1573" s="2">
        <v>4</v>
      </c>
      <c r="L1573" s="2" t="s">
        <v>24</v>
      </c>
      <c r="M1573" s="12">
        <f t="shared" si="54"/>
        <v>240000</v>
      </c>
      <c r="N1573" s="10">
        <f>PRODUCT(Table_13[[#This Row],[Unit Price]],Table_13[[#This Row],[Quantity]])</f>
        <v>1200000</v>
      </c>
      <c r="O1573" s="16">
        <f>PRODUCT(Table_13[[#This Row],[Cost Price]],Table_13[[#This Row],[Quantity]])</f>
        <v>960000</v>
      </c>
      <c r="P1573" s="27">
        <f t="shared" si="56"/>
        <v>240000</v>
      </c>
    </row>
    <row r="1574" spans="1:16" x14ac:dyDescent="0.2">
      <c r="A1574" s="33">
        <v>47248</v>
      </c>
      <c r="B1574" s="30">
        <f t="shared" si="55"/>
        <v>5</v>
      </c>
      <c r="C1574" s="30" t="str">
        <f>_xlfn.IFS(Table_13[[#This Row],[Month]]=1,"JAN",Table_13[[#This Row],[Month]]=2,"FEB",B1574=3,"MAR",B1574=4,"APR",B1574=5,"MAY",B1574=6,"JUN",B1574=7,"JUL",B1574=8,"AUG",Table_13[[#This Row],[Month]]=9,"SEPT",B1574=10,"OCT",B1574=11,"NOV",B1574=12,"DEC")</f>
        <v>MAY</v>
      </c>
      <c r="D1574" s="2" t="s">
        <v>18</v>
      </c>
      <c r="E1574" s="2" t="s">
        <v>32</v>
      </c>
      <c r="F1574" s="2" t="s">
        <v>13</v>
      </c>
      <c r="G1574" s="2" t="s">
        <v>14</v>
      </c>
      <c r="H1574" s="2" t="s">
        <v>33</v>
      </c>
      <c r="I1574" s="2" t="s">
        <v>22</v>
      </c>
      <c r="J1574" s="15">
        <v>180000</v>
      </c>
      <c r="K1574" s="2">
        <v>1</v>
      </c>
      <c r="L1574" s="2" t="s">
        <v>39</v>
      </c>
      <c r="M1574" s="12">
        <f t="shared" si="54"/>
        <v>144000</v>
      </c>
      <c r="N1574" s="10">
        <f>PRODUCT(Table_13[[#This Row],[Unit Price]],Table_13[[#This Row],[Quantity]])</f>
        <v>180000</v>
      </c>
      <c r="O1574" s="16">
        <f>PRODUCT(Table_13[[#This Row],[Cost Price]],Table_13[[#This Row],[Quantity]])</f>
        <v>144000</v>
      </c>
      <c r="P1574" s="27">
        <f t="shared" si="56"/>
        <v>36000</v>
      </c>
    </row>
    <row r="1575" spans="1:16" x14ac:dyDescent="0.2">
      <c r="A1575" s="33">
        <v>47249</v>
      </c>
      <c r="B1575" s="30">
        <f t="shared" si="55"/>
        <v>5</v>
      </c>
      <c r="C1575" s="30" t="str">
        <f>_xlfn.IFS(Table_13[[#This Row],[Month]]=1,"JAN",Table_13[[#This Row],[Month]]=2,"FEB",B1575=3,"MAR",B1575=4,"APR",B1575=5,"MAY",B1575=6,"JUN",B1575=7,"JUL",B1575=8,"AUG",Table_13[[#This Row],[Month]]=9,"SEPT",B1575=10,"OCT",B1575=11,"NOV",B1575=12,"DEC")</f>
        <v>MAY</v>
      </c>
      <c r="D1575" s="2" t="s">
        <v>29</v>
      </c>
      <c r="E1575" s="2" t="s">
        <v>32</v>
      </c>
      <c r="F1575" s="2" t="s">
        <v>23</v>
      </c>
      <c r="G1575" s="2" t="s">
        <v>14</v>
      </c>
      <c r="H1575" s="2" t="s">
        <v>38</v>
      </c>
      <c r="I1575" s="2" t="s">
        <v>31</v>
      </c>
      <c r="J1575" s="15">
        <v>420000</v>
      </c>
      <c r="K1575" s="2">
        <v>5</v>
      </c>
      <c r="L1575" s="2" t="s">
        <v>37</v>
      </c>
      <c r="M1575" s="12">
        <f t="shared" si="54"/>
        <v>336000</v>
      </c>
      <c r="N1575" s="10">
        <f>PRODUCT(Table_13[[#This Row],[Unit Price]],Table_13[[#This Row],[Quantity]])</f>
        <v>2100000</v>
      </c>
      <c r="O1575" s="16">
        <f>PRODUCT(Table_13[[#This Row],[Cost Price]],Table_13[[#This Row],[Quantity]])</f>
        <v>1680000</v>
      </c>
      <c r="P1575" s="27">
        <f t="shared" si="56"/>
        <v>420000</v>
      </c>
    </row>
    <row r="1576" spans="1:16" x14ac:dyDescent="0.2">
      <c r="A1576" s="33">
        <v>47250</v>
      </c>
      <c r="B1576" s="30">
        <f t="shared" si="55"/>
        <v>5</v>
      </c>
      <c r="C1576" s="30" t="str">
        <f>_xlfn.IFS(Table_13[[#This Row],[Month]]=1,"JAN",Table_13[[#This Row],[Month]]=2,"FEB",B1576=3,"MAR",B1576=4,"APR",B1576=5,"MAY",B1576=6,"JUN",B1576=7,"JUL",B1576=8,"AUG",Table_13[[#This Row],[Month]]=9,"SEPT",B1576=10,"OCT",B1576=11,"NOV",B1576=12,"DEC")</f>
        <v>MAY</v>
      </c>
      <c r="D1576" s="2" t="s">
        <v>11</v>
      </c>
      <c r="E1576" s="2" t="s">
        <v>19</v>
      </c>
      <c r="F1576" s="2" t="s">
        <v>23</v>
      </c>
      <c r="G1576" s="2" t="s">
        <v>20</v>
      </c>
      <c r="H1576" s="2" t="s">
        <v>40</v>
      </c>
      <c r="I1576" s="2" t="s">
        <v>31</v>
      </c>
      <c r="J1576" s="15">
        <v>250000</v>
      </c>
      <c r="K1576" s="2">
        <v>7</v>
      </c>
      <c r="L1576" s="2" t="s">
        <v>39</v>
      </c>
      <c r="M1576" s="12">
        <f t="shared" si="54"/>
        <v>200000</v>
      </c>
      <c r="N1576" s="10">
        <f>PRODUCT(Table_13[[#This Row],[Unit Price]],Table_13[[#This Row],[Quantity]])</f>
        <v>1750000</v>
      </c>
      <c r="O1576" s="16">
        <f>PRODUCT(Table_13[[#This Row],[Cost Price]],Table_13[[#This Row],[Quantity]])</f>
        <v>1400000</v>
      </c>
      <c r="P1576" s="27">
        <f t="shared" si="56"/>
        <v>350000</v>
      </c>
    </row>
    <row r="1577" spans="1:16" x14ac:dyDescent="0.2">
      <c r="A1577" s="33">
        <v>47251</v>
      </c>
      <c r="B1577" s="30">
        <f t="shared" si="55"/>
        <v>5</v>
      </c>
      <c r="C1577" s="30" t="str">
        <f>_xlfn.IFS(Table_13[[#This Row],[Month]]=1,"JAN",Table_13[[#This Row],[Month]]=2,"FEB",B1577=3,"MAR",B1577=4,"APR",B1577=5,"MAY",B1577=6,"JUN",B1577=7,"JUL",B1577=8,"AUG",Table_13[[#This Row],[Month]]=9,"SEPT",B1577=10,"OCT",B1577=11,"NOV",B1577=12,"DEC")</f>
        <v>MAY</v>
      </c>
      <c r="D1577" s="2" t="s">
        <v>25</v>
      </c>
      <c r="E1577" s="2" t="s">
        <v>32</v>
      </c>
      <c r="F1577" s="2" t="s">
        <v>23</v>
      </c>
      <c r="G1577" s="2" t="s">
        <v>14</v>
      </c>
      <c r="H1577" s="2" t="s">
        <v>21</v>
      </c>
      <c r="I1577" s="2" t="s">
        <v>22</v>
      </c>
      <c r="J1577" s="15">
        <v>30000</v>
      </c>
      <c r="K1577" s="2">
        <v>1</v>
      </c>
      <c r="L1577" s="2" t="s">
        <v>39</v>
      </c>
      <c r="M1577" s="12">
        <f t="shared" si="54"/>
        <v>24000</v>
      </c>
      <c r="N1577" s="10">
        <f>PRODUCT(Table_13[[#This Row],[Unit Price]],Table_13[[#This Row],[Quantity]])</f>
        <v>30000</v>
      </c>
      <c r="O1577" s="16">
        <f>PRODUCT(Table_13[[#This Row],[Cost Price]],Table_13[[#This Row],[Quantity]])</f>
        <v>24000</v>
      </c>
      <c r="P1577" s="27">
        <f t="shared" si="56"/>
        <v>6000</v>
      </c>
    </row>
    <row r="1578" spans="1:16" x14ac:dyDescent="0.2">
      <c r="A1578" s="33">
        <v>47252</v>
      </c>
      <c r="B1578" s="30">
        <f t="shared" si="55"/>
        <v>5</v>
      </c>
      <c r="C1578" s="30" t="str">
        <f>_xlfn.IFS(Table_13[[#This Row],[Month]]=1,"JAN",Table_13[[#This Row],[Month]]=2,"FEB",B1578=3,"MAR",B1578=4,"APR",B1578=5,"MAY",B1578=6,"JUN",B1578=7,"JUL",B1578=8,"AUG",Table_13[[#This Row],[Month]]=9,"SEPT",B1578=10,"OCT",B1578=11,"NOV",B1578=12,"DEC")</f>
        <v>MAY</v>
      </c>
      <c r="D1578" s="2" t="s">
        <v>25</v>
      </c>
      <c r="E1578" s="2" t="s">
        <v>19</v>
      </c>
      <c r="F1578" s="2" t="s">
        <v>23</v>
      </c>
      <c r="G1578" s="2" t="s">
        <v>14</v>
      </c>
      <c r="H1578" s="2" t="s">
        <v>33</v>
      </c>
      <c r="I1578" s="2" t="s">
        <v>22</v>
      </c>
      <c r="J1578" s="15">
        <v>180000</v>
      </c>
      <c r="K1578" s="2">
        <v>9</v>
      </c>
      <c r="L1578" s="2" t="s">
        <v>35</v>
      </c>
      <c r="M1578" s="12">
        <f t="shared" si="54"/>
        <v>144000</v>
      </c>
      <c r="N1578" s="10">
        <f>PRODUCT(Table_13[[#This Row],[Unit Price]],Table_13[[#This Row],[Quantity]])</f>
        <v>1620000</v>
      </c>
      <c r="O1578" s="16">
        <f>PRODUCT(Table_13[[#This Row],[Cost Price]],Table_13[[#This Row],[Quantity]])</f>
        <v>1296000</v>
      </c>
      <c r="P1578" s="27">
        <f t="shared" si="56"/>
        <v>324000</v>
      </c>
    </row>
    <row r="1579" spans="1:16" x14ac:dyDescent="0.2">
      <c r="A1579" s="33">
        <v>47253</v>
      </c>
      <c r="B1579" s="30">
        <f t="shared" si="55"/>
        <v>5</v>
      </c>
      <c r="C1579" s="30" t="str">
        <f>_xlfn.IFS(Table_13[[#This Row],[Month]]=1,"JAN",Table_13[[#This Row],[Month]]=2,"FEB",B1579=3,"MAR",B1579=4,"APR",B1579=5,"MAY",B1579=6,"JUN",B1579=7,"JUL",B1579=8,"AUG",Table_13[[#This Row],[Month]]=9,"SEPT",B1579=10,"OCT",B1579=11,"NOV",B1579=12,"DEC")</f>
        <v>MAY</v>
      </c>
      <c r="D1579" s="2" t="s">
        <v>29</v>
      </c>
      <c r="E1579" s="2" t="s">
        <v>19</v>
      </c>
      <c r="F1579" s="2" t="s">
        <v>23</v>
      </c>
      <c r="G1579" s="2" t="s">
        <v>14</v>
      </c>
      <c r="H1579" s="2" t="s">
        <v>30</v>
      </c>
      <c r="I1579" s="2" t="s">
        <v>31</v>
      </c>
      <c r="J1579" s="15">
        <v>300000</v>
      </c>
      <c r="K1579" s="2">
        <v>7</v>
      </c>
      <c r="L1579" s="2" t="s">
        <v>39</v>
      </c>
      <c r="M1579" s="12">
        <f t="shared" si="54"/>
        <v>240000</v>
      </c>
      <c r="N1579" s="10">
        <f>PRODUCT(Table_13[[#This Row],[Unit Price]],Table_13[[#This Row],[Quantity]])</f>
        <v>2100000</v>
      </c>
      <c r="O1579" s="16">
        <f>PRODUCT(Table_13[[#This Row],[Cost Price]],Table_13[[#This Row],[Quantity]])</f>
        <v>1680000</v>
      </c>
      <c r="P1579" s="27">
        <f t="shared" si="56"/>
        <v>420000</v>
      </c>
    </row>
    <row r="1580" spans="1:16" x14ac:dyDescent="0.2">
      <c r="A1580" s="33">
        <v>47254</v>
      </c>
      <c r="B1580" s="30">
        <f t="shared" si="55"/>
        <v>5</v>
      </c>
      <c r="C1580" s="30" t="str">
        <f>_xlfn.IFS(Table_13[[#This Row],[Month]]=1,"JAN",Table_13[[#This Row],[Month]]=2,"FEB",B1580=3,"MAR",B1580=4,"APR",B1580=5,"MAY",B1580=6,"JUN",B1580=7,"JUL",B1580=8,"AUG",Table_13[[#This Row],[Month]]=9,"SEPT",B1580=10,"OCT",B1580=11,"NOV",B1580=12,"DEC")</f>
        <v>MAY</v>
      </c>
      <c r="D1580" s="2" t="s">
        <v>18</v>
      </c>
      <c r="E1580" s="2" t="s">
        <v>19</v>
      </c>
      <c r="F1580" s="2" t="s">
        <v>13</v>
      </c>
      <c r="G1580" s="2" t="s">
        <v>14</v>
      </c>
      <c r="H1580" s="2" t="s">
        <v>27</v>
      </c>
      <c r="I1580" s="2" t="s">
        <v>22</v>
      </c>
      <c r="J1580" s="15">
        <v>60000</v>
      </c>
      <c r="K1580" s="2">
        <v>2</v>
      </c>
      <c r="L1580" s="2" t="s">
        <v>39</v>
      </c>
      <c r="M1580" s="12">
        <f t="shared" si="54"/>
        <v>48000</v>
      </c>
      <c r="N1580" s="10">
        <f>PRODUCT(Table_13[[#This Row],[Unit Price]],Table_13[[#This Row],[Quantity]])</f>
        <v>120000</v>
      </c>
      <c r="O1580" s="16">
        <f>PRODUCT(Table_13[[#This Row],[Cost Price]],Table_13[[#This Row],[Quantity]])</f>
        <v>96000</v>
      </c>
      <c r="P1580" s="27">
        <f t="shared" si="56"/>
        <v>24000</v>
      </c>
    </row>
    <row r="1581" spans="1:16" x14ac:dyDescent="0.2">
      <c r="A1581" s="33">
        <v>47255</v>
      </c>
      <c r="B1581" s="30">
        <f t="shared" si="55"/>
        <v>5</v>
      </c>
      <c r="C1581" s="30" t="str">
        <f>_xlfn.IFS(Table_13[[#This Row],[Month]]=1,"JAN",Table_13[[#This Row],[Month]]=2,"FEB",B1581=3,"MAR",B1581=4,"APR",B1581=5,"MAY",B1581=6,"JUN",B1581=7,"JUL",B1581=8,"AUG",Table_13[[#This Row],[Month]]=9,"SEPT",B1581=10,"OCT",B1581=11,"NOV",B1581=12,"DEC")</f>
        <v>MAY</v>
      </c>
      <c r="D1581" s="2" t="s">
        <v>11</v>
      </c>
      <c r="E1581" s="2" t="s">
        <v>32</v>
      </c>
      <c r="F1581" s="2" t="s">
        <v>23</v>
      </c>
      <c r="G1581" s="2" t="s">
        <v>14</v>
      </c>
      <c r="H1581" s="2" t="s">
        <v>40</v>
      </c>
      <c r="I1581" s="2" t="s">
        <v>31</v>
      </c>
      <c r="J1581" s="15">
        <v>250000</v>
      </c>
      <c r="K1581" s="2">
        <v>5</v>
      </c>
      <c r="L1581" s="2" t="s">
        <v>28</v>
      </c>
      <c r="M1581" s="12">
        <f t="shared" si="54"/>
        <v>200000</v>
      </c>
      <c r="N1581" s="10">
        <f>PRODUCT(Table_13[[#This Row],[Unit Price]],Table_13[[#This Row],[Quantity]])</f>
        <v>1250000</v>
      </c>
      <c r="O1581" s="16">
        <f>PRODUCT(Table_13[[#This Row],[Cost Price]],Table_13[[#This Row],[Quantity]])</f>
        <v>1000000</v>
      </c>
      <c r="P1581" s="27">
        <f t="shared" si="56"/>
        <v>250000</v>
      </c>
    </row>
    <row r="1582" spans="1:16" x14ac:dyDescent="0.2">
      <c r="A1582" s="33">
        <v>47256</v>
      </c>
      <c r="B1582" s="30">
        <f t="shared" si="55"/>
        <v>5</v>
      </c>
      <c r="C1582" s="30" t="str">
        <f>_xlfn.IFS(Table_13[[#This Row],[Month]]=1,"JAN",Table_13[[#This Row],[Month]]=2,"FEB",B1582=3,"MAR",B1582=4,"APR",B1582=5,"MAY",B1582=6,"JUN",B1582=7,"JUL",B1582=8,"AUG",Table_13[[#This Row],[Month]]=9,"SEPT",B1582=10,"OCT",B1582=11,"NOV",B1582=12,"DEC")</f>
        <v>MAY</v>
      </c>
      <c r="D1582" s="2" t="s">
        <v>29</v>
      </c>
      <c r="E1582" s="2" t="s">
        <v>32</v>
      </c>
      <c r="F1582" s="2" t="s">
        <v>23</v>
      </c>
      <c r="G1582" s="2" t="s">
        <v>20</v>
      </c>
      <c r="H1582" s="2" t="s">
        <v>15</v>
      </c>
      <c r="I1582" s="2" t="s">
        <v>16</v>
      </c>
      <c r="J1582" s="15">
        <v>85000</v>
      </c>
      <c r="K1582" s="2">
        <v>9</v>
      </c>
      <c r="L1582" s="2" t="s">
        <v>35</v>
      </c>
      <c r="M1582" s="12">
        <f t="shared" si="54"/>
        <v>68000</v>
      </c>
      <c r="N1582" s="10">
        <f>PRODUCT(Table_13[[#This Row],[Unit Price]],Table_13[[#This Row],[Quantity]])</f>
        <v>765000</v>
      </c>
      <c r="O1582" s="16">
        <f>PRODUCT(Table_13[[#This Row],[Cost Price]],Table_13[[#This Row],[Quantity]])</f>
        <v>612000</v>
      </c>
      <c r="P1582" s="27">
        <f t="shared" si="56"/>
        <v>153000</v>
      </c>
    </row>
    <row r="1583" spans="1:16" x14ac:dyDescent="0.2">
      <c r="A1583" s="33">
        <v>47257</v>
      </c>
      <c r="B1583" s="30">
        <f t="shared" si="55"/>
        <v>5</v>
      </c>
      <c r="C1583" s="30" t="str">
        <f>_xlfn.IFS(Table_13[[#This Row],[Month]]=1,"JAN",Table_13[[#This Row],[Month]]=2,"FEB",B1583=3,"MAR",B1583=4,"APR",B1583=5,"MAY",B1583=6,"JUN",B1583=7,"JUL",B1583=8,"AUG",Table_13[[#This Row],[Month]]=9,"SEPT",B1583=10,"OCT",B1583=11,"NOV",B1583=12,"DEC")</f>
        <v>MAY</v>
      </c>
      <c r="D1583" s="2" t="s">
        <v>29</v>
      </c>
      <c r="E1583" s="2" t="s">
        <v>26</v>
      </c>
      <c r="F1583" s="2" t="s">
        <v>13</v>
      </c>
      <c r="G1583" s="2" t="s">
        <v>14</v>
      </c>
      <c r="H1583" s="2" t="s">
        <v>38</v>
      </c>
      <c r="I1583" s="2" t="s">
        <v>31</v>
      </c>
      <c r="J1583" s="15">
        <v>420000</v>
      </c>
      <c r="K1583" s="2">
        <v>5</v>
      </c>
      <c r="L1583" s="2" t="s">
        <v>28</v>
      </c>
      <c r="M1583" s="12">
        <f t="shared" si="54"/>
        <v>336000</v>
      </c>
      <c r="N1583" s="10">
        <f>PRODUCT(Table_13[[#This Row],[Unit Price]],Table_13[[#This Row],[Quantity]])</f>
        <v>2100000</v>
      </c>
      <c r="O1583" s="16">
        <f>PRODUCT(Table_13[[#This Row],[Cost Price]],Table_13[[#This Row],[Quantity]])</f>
        <v>1680000</v>
      </c>
      <c r="P1583" s="27">
        <f t="shared" si="56"/>
        <v>420000</v>
      </c>
    </row>
    <row r="1584" spans="1:16" x14ac:dyDescent="0.2">
      <c r="A1584" s="33">
        <v>47258</v>
      </c>
      <c r="B1584" s="30">
        <f t="shared" si="55"/>
        <v>5</v>
      </c>
      <c r="C1584" s="30" t="str">
        <f>_xlfn.IFS(Table_13[[#This Row],[Month]]=1,"JAN",Table_13[[#This Row],[Month]]=2,"FEB",B1584=3,"MAR",B1584=4,"APR",B1584=5,"MAY",B1584=6,"JUN",B1584=7,"JUL",B1584=8,"AUG",Table_13[[#This Row],[Month]]=9,"SEPT",B1584=10,"OCT",B1584=11,"NOV",B1584=12,"DEC")</f>
        <v>MAY</v>
      </c>
      <c r="D1584" s="2" t="s">
        <v>18</v>
      </c>
      <c r="E1584" s="2" t="s">
        <v>32</v>
      </c>
      <c r="F1584" s="2" t="s">
        <v>13</v>
      </c>
      <c r="G1584" s="2" t="s">
        <v>14</v>
      </c>
      <c r="H1584" s="2" t="s">
        <v>38</v>
      </c>
      <c r="I1584" s="2" t="s">
        <v>31</v>
      </c>
      <c r="J1584" s="15">
        <v>420000</v>
      </c>
      <c r="K1584" s="2">
        <v>7</v>
      </c>
      <c r="L1584" s="2" t="s">
        <v>28</v>
      </c>
      <c r="M1584" s="12">
        <f t="shared" si="54"/>
        <v>336000</v>
      </c>
      <c r="N1584" s="10">
        <f>PRODUCT(Table_13[[#This Row],[Unit Price]],Table_13[[#This Row],[Quantity]])</f>
        <v>2940000</v>
      </c>
      <c r="O1584" s="16">
        <f>PRODUCT(Table_13[[#This Row],[Cost Price]],Table_13[[#This Row],[Quantity]])</f>
        <v>2352000</v>
      </c>
      <c r="P1584" s="27">
        <f t="shared" si="56"/>
        <v>588000</v>
      </c>
    </row>
    <row r="1585" spans="1:16" x14ac:dyDescent="0.2">
      <c r="A1585" s="33">
        <v>47259</v>
      </c>
      <c r="B1585" s="30">
        <f t="shared" si="55"/>
        <v>5</v>
      </c>
      <c r="C1585" s="30" t="str">
        <f>_xlfn.IFS(Table_13[[#This Row],[Month]]=1,"JAN",Table_13[[#This Row],[Month]]=2,"FEB",B1585=3,"MAR",B1585=4,"APR",B1585=5,"MAY",B1585=6,"JUN",B1585=7,"JUL",B1585=8,"AUG",Table_13[[#This Row],[Month]]=9,"SEPT",B1585=10,"OCT",B1585=11,"NOV",B1585=12,"DEC")</f>
        <v>MAY</v>
      </c>
      <c r="D1585" s="2" t="s">
        <v>29</v>
      </c>
      <c r="E1585" s="2" t="s">
        <v>12</v>
      </c>
      <c r="F1585" s="2" t="s">
        <v>13</v>
      </c>
      <c r="G1585" s="2" t="s">
        <v>20</v>
      </c>
      <c r="H1585" s="2" t="s">
        <v>34</v>
      </c>
      <c r="I1585" s="2" t="s">
        <v>16</v>
      </c>
      <c r="J1585" s="15">
        <v>320000</v>
      </c>
      <c r="K1585" s="2">
        <v>3</v>
      </c>
      <c r="L1585" s="2" t="s">
        <v>28</v>
      </c>
      <c r="M1585" s="12">
        <f t="shared" si="54"/>
        <v>256000</v>
      </c>
      <c r="N1585" s="10">
        <f>PRODUCT(Table_13[[#This Row],[Unit Price]],Table_13[[#This Row],[Quantity]])</f>
        <v>960000</v>
      </c>
      <c r="O1585" s="16">
        <f>PRODUCT(Table_13[[#This Row],[Cost Price]],Table_13[[#This Row],[Quantity]])</f>
        <v>768000</v>
      </c>
      <c r="P1585" s="27">
        <f t="shared" si="56"/>
        <v>192000</v>
      </c>
    </row>
    <row r="1586" spans="1:16" x14ac:dyDescent="0.2">
      <c r="A1586" s="33">
        <v>47260</v>
      </c>
      <c r="B1586" s="30">
        <f t="shared" si="55"/>
        <v>5</v>
      </c>
      <c r="C1586" s="30" t="str">
        <f>_xlfn.IFS(Table_13[[#This Row],[Month]]=1,"JAN",Table_13[[#This Row],[Month]]=2,"FEB",B1586=3,"MAR",B1586=4,"APR",B1586=5,"MAY",B1586=6,"JUN",B1586=7,"JUL",B1586=8,"AUG",Table_13[[#This Row],[Month]]=9,"SEPT",B1586=10,"OCT",B1586=11,"NOV",B1586=12,"DEC")</f>
        <v>MAY</v>
      </c>
      <c r="D1586" s="2" t="s">
        <v>25</v>
      </c>
      <c r="E1586" s="2" t="s">
        <v>12</v>
      </c>
      <c r="F1586" s="2" t="s">
        <v>23</v>
      </c>
      <c r="G1586" s="2" t="s">
        <v>20</v>
      </c>
      <c r="H1586" s="2" t="s">
        <v>40</v>
      </c>
      <c r="I1586" s="2" t="s">
        <v>31</v>
      </c>
      <c r="J1586" s="15">
        <v>250000</v>
      </c>
      <c r="K1586" s="2">
        <v>10</v>
      </c>
      <c r="L1586" s="2" t="s">
        <v>28</v>
      </c>
      <c r="M1586" s="12">
        <f t="shared" si="54"/>
        <v>200000</v>
      </c>
      <c r="N1586" s="10">
        <f>PRODUCT(Table_13[[#This Row],[Unit Price]],Table_13[[#This Row],[Quantity]])</f>
        <v>2500000</v>
      </c>
      <c r="O1586" s="16">
        <f>PRODUCT(Table_13[[#This Row],[Cost Price]],Table_13[[#This Row],[Quantity]])</f>
        <v>2000000</v>
      </c>
      <c r="P1586" s="27">
        <f t="shared" si="56"/>
        <v>500000</v>
      </c>
    </row>
    <row r="1587" spans="1:16" x14ac:dyDescent="0.2">
      <c r="A1587" s="33">
        <v>47261</v>
      </c>
      <c r="B1587" s="30">
        <f t="shared" si="55"/>
        <v>5</v>
      </c>
      <c r="C1587" s="30" t="str">
        <f>_xlfn.IFS(Table_13[[#This Row],[Month]]=1,"JAN",Table_13[[#This Row],[Month]]=2,"FEB",B1587=3,"MAR",B1587=4,"APR",B1587=5,"MAY",B1587=6,"JUN",B1587=7,"JUL",B1587=8,"AUG",Table_13[[#This Row],[Month]]=9,"SEPT",B1587=10,"OCT",B1587=11,"NOV",B1587=12,"DEC")</f>
        <v>MAY</v>
      </c>
      <c r="D1587" s="2" t="s">
        <v>18</v>
      </c>
      <c r="E1587" s="2" t="s">
        <v>26</v>
      </c>
      <c r="F1587" s="2" t="s">
        <v>13</v>
      </c>
      <c r="G1587" s="2" t="s">
        <v>14</v>
      </c>
      <c r="H1587" s="2" t="s">
        <v>36</v>
      </c>
      <c r="I1587" s="2" t="s">
        <v>31</v>
      </c>
      <c r="J1587" s="15">
        <v>150000</v>
      </c>
      <c r="K1587" s="2">
        <v>9</v>
      </c>
      <c r="L1587" s="2" t="s">
        <v>39</v>
      </c>
      <c r="M1587" s="12">
        <f t="shared" si="54"/>
        <v>120000</v>
      </c>
      <c r="N1587" s="10">
        <f>PRODUCT(Table_13[[#This Row],[Unit Price]],Table_13[[#This Row],[Quantity]])</f>
        <v>1350000</v>
      </c>
      <c r="O1587" s="16">
        <f>PRODUCT(Table_13[[#This Row],[Cost Price]],Table_13[[#This Row],[Quantity]])</f>
        <v>1080000</v>
      </c>
      <c r="P1587" s="27">
        <f t="shared" si="56"/>
        <v>270000</v>
      </c>
    </row>
    <row r="1588" spans="1:16" x14ac:dyDescent="0.2">
      <c r="A1588" s="33">
        <v>47262</v>
      </c>
      <c r="B1588" s="30">
        <f t="shared" si="55"/>
        <v>5</v>
      </c>
      <c r="C1588" s="30" t="str">
        <f>_xlfn.IFS(Table_13[[#This Row],[Month]]=1,"JAN",Table_13[[#This Row],[Month]]=2,"FEB",B1588=3,"MAR",B1588=4,"APR",B1588=5,"MAY",B1588=6,"JUN",B1588=7,"JUL",B1588=8,"AUG",Table_13[[#This Row],[Month]]=9,"SEPT",B1588=10,"OCT",B1588=11,"NOV",B1588=12,"DEC")</f>
        <v>MAY</v>
      </c>
      <c r="D1588" s="2" t="s">
        <v>11</v>
      </c>
      <c r="E1588" s="2" t="s">
        <v>12</v>
      </c>
      <c r="F1588" s="2" t="s">
        <v>23</v>
      </c>
      <c r="G1588" s="2" t="s">
        <v>14</v>
      </c>
      <c r="H1588" s="2" t="s">
        <v>30</v>
      </c>
      <c r="I1588" s="2" t="s">
        <v>31</v>
      </c>
      <c r="J1588" s="15">
        <v>300000</v>
      </c>
      <c r="K1588" s="2">
        <v>10</v>
      </c>
      <c r="L1588" s="2" t="s">
        <v>17</v>
      </c>
      <c r="M1588" s="12">
        <f t="shared" si="54"/>
        <v>240000</v>
      </c>
      <c r="N1588" s="10">
        <f>PRODUCT(Table_13[[#This Row],[Unit Price]],Table_13[[#This Row],[Quantity]])</f>
        <v>3000000</v>
      </c>
      <c r="O1588" s="16">
        <f>PRODUCT(Table_13[[#This Row],[Cost Price]],Table_13[[#This Row],[Quantity]])</f>
        <v>2400000</v>
      </c>
      <c r="P1588" s="27">
        <f t="shared" si="56"/>
        <v>600000</v>
      </c>
    </row>
    <row r="1589" spans="1:16" x14ac:dyDescent="0.2">
      <c r="A1589" s="33">
        <v>47263</v>
      </c>
      <c r="B1589" s="30">
        <f t="shared" si="55"/>
        <v>5</v>
      </c>
      <c r="C1589" s="30" t="str">
        <f>_xlfn.IFS(Table_13[[#This Row],[Month]]=1,"JAN",Table_13[[#This Row],[Month]]=2,"FEB",B1589=3,"MAR",B1589=4,"APR",B1589=5,"MAY",B1589=6,"JUN",B1589=7,"JUL",B1589=8,"AUG",Table_13[[#This Row],[Month]]=9,"SEPT",B1589=10,"OCT",B1589=11,"NOV",B1589=12,"DEC")</f>
        <v>MAY</v>
      </c>
      <c r="D1589" s="2" t="s">
        <v>18</v>
      </c>
      <c r="E1589" s="2" t="s">
        <v>12</v>
      </c>
      <c r="F1589" s="2" t="s">
        <v>23</v>
      </c>
      <c r="G1589" s="2" t="s">
        <v>20</v>
      </c>
      <c r="H1589" s="2" t="s">
        <v>30</v>
      </c>
      <c r="I1589" s="2" t="s">
        <v>31</v>
      </c>
      <c r="J1589" s="15">
        <v>300000</v>
      </c>
      <c r="K1589" s="2">
        <v>2</v>
      </c>
      <c r="L1589" s="2" t="s">
        <v>35</v>
      </c>
      <c r="M1589" s="12">
        <f t="shared" si="54"/>
        <v>240000</v>
      </c>
      <c r="N1589" s="10">
        <f>PRODUCT(Table_13[[#This Row],[Unit Price]],Table_13[[#This Row],[Quantity]])</f>
        <v>600000</v>
      </c>
      <c r="O1589" s="16">
        <f>PRODUCT(Table_13[[#This Row],[Cost Price]],Table_13[[#This Row],[Quantity]])</f>
        <v>480000</v>
      </c>
      <c r="P1589" s="27">
        <f t="shared" si="56"/>
        <v>120000</v>
      </c>
    </row>
    <row r="1590" spans="1:16" x14ac:dyDescent="0.2">
      <c r="A1590" s="33">
        <v>47264</v>
      </c>
      <c r="B1590" s="30">
        <f t="shared" si="55"/>
        <v>5</v>
      </c>
      <c r="C1590" s="30" t="str">
        <f>_xlfn.IFS(Table_13[[#This Row],[Month]]=1,"JAN",Table_13[[#This Row],[Month]]=2,"FEB",B1590=3,"MAR",B1590=4,"APR",B1590=5,"MAY",B1590=6,"JUN",B1590=7,"JUL",B1590=8,"AUG",Table_13[[#This Row],[Month]]=9,"SEPT",B1590=10,"OCT",B1590=11,"NOV",B1590=12,"DEC")</f>
        <v>MAY</v>
      </c>
      <c r="D1590" s="2" t="s">
        <v>18</v>
      </c>
      <c r="E1590" s="2" t="s">
        <v>32</v>
      </c>
      <c r="F1590" s="2" t="s">
        <v>13</v>
      </c>
      <c r="G1590" s="2" t="s">
        <v>20</v>
      </c>
      <c r="H1590" s="2" t="s">
        <v>33</v>
      </c>
      <c r="I1590" s="2" t="s">
        <v>22</v>
      </c>
      <c r="J1590" s="15">
        <v>180000</v>
      </c>
      <c r="K1590" s="2">
        <v>2</v>
      </c>
      <c r="L1590" s="2" t="s">
        <v>35</v>
      </c>
      <c r="M1590" s="12">
        <f t="shared" si="54"/>
        <v>144000</v>
      </c>
      <c r="N1590" s="10">
        <f>PRODUCT(Table_13[[#This Row],[Unit Price]],Table_13[[#This Row],[Quantity]])</f>
        <v>360000</v>
      </c>
      <c r="O1590" s="16">
        <f>PRODUCT(Table_13[[#This Row],[Cost Price]],Table_13[[#This Row],[Quantity]])</f>
        <v>288000</v>
      </c>
      <c r="P1590" s="27">
        <f t="shared" si="56"/>
        <v>72000</v>
      </c>
    </row>
    <row r="1591" spans="1:16" x14ac:dyDescent="0.2">
      <c r="A1591" s="33">
        <v>47265</v>
      </c>
      <c r="B1591" s="30">
        <f t="shared" si="55"/>
        <v>5</v>
      </c>
      <c r="C1591" s="30" t="str">
        <f>_xlfn.IFS(Table_13[[#This Row],[Month]]=1,"JAN",Table_13[[#This Row],[Month]]=2,"FEB",B1591=3,"MAR",B1591=4,"APR",B1591=5,"MAY",B1591=6,"JUN",B1591=7,"JUL",B1591=8,"AUG",Table_13[[#This Row],[Month]]=9,"SEPT",B1591=10,"OCT",B1591=11,"NOV",B1591=12,"DEC")</f>
        <v>MAY</v>
      </c>
      <c r="D1591" s="2" t="s">
        <v>11</v>
      </c>
      <c r="E1591" s="2" t="s">
        <v>32</v>
      </c>
      <c r="F1591" s="2" t="s">
        <v>23</v>
      </c>
      <c r="G1591" s="2" t="s">
        <v>20</v>
      </c>
      <c r="H1591" s="2" t="s">
        <v>34</v>
      </c>
      <c r="I1591" s="2" t="s">
        <v>16</v>
      </c>
      <c r="J1591" s="15">
        <v>320000</v>
      </c>
      <c r="K1591" s="2">
        <v>10</v>
      </c>
      <c r="L1591" s="2" t="s">
        <v>39</v>
      </c>
      <c r="M1591" s="12">
        <f t="shared" si="54"/>
        <v>256000</v>
      </c>
      <c r="N1591" s="10">
        <f>PRODUCT(Table_13[[#This Row],[Unit Price]],Table_13[[#This Row],[Quantity]])</f>
        <v>3200000</v>
      </c>
      <c r="O1591" s="16">
        <f>PRODUCT(Table_13[[#This Row],[Cost Price]],Table_13[[#This Row],[Quantity]])</f>
        <v>2560000</v>
      </c>
      <c r="P1591" s="27">
        <f t="shared" si="56"/>
        <v>640000</v>
      </c>
    </row>
    <row r="1592" spans="1:16" x14ac:dyDescent="0.2">
      <c r="A1592" s="33">
        <v>47266</v>
      </c>
      <c r="B1592" s="30">
        <f t="shared" si="55"/>
        <v>5</v>
      </c>
      <c r="C1592" s="30" t="str">
        <f>_xlfn.IFS(Table_13[[#This Row],[Month]]=1,"JAN",Table_13[[#This Row],[Month]]=2,"FEB",B1592=3,"MAR",B1592=4,"APR",B1592=5,"MAY",B1592=6,"JUN",B1592=7,"JUL",B1592=8,"AUG",Table_13[[#This Row],[Month]]=9,"SEPT",B1592=10,"OCT",B1592=11,"NOV",B1592=12,"DEC")</f>
        <v>MAY</v>
      </c>
      <c r="D1592" s="2" t="s">
        <v>29</v>
      </c>
      <c r="E1592" s="2" t="s">
        <v>12</v>
      </c>
      <c r="F1592" s="2" t="s">
        <v>23</v>
      </c>
      <c r="G1592" s="2" t="s">
        <v>20</v>
      </c>
      <c r="H1592" s="2" t="s">
        <v>34</v>
      </c>
      <c r="I1592" s="2" t="s">
        <v>16</v>
      </c>
      <c r="J1592" s="15">
        <v>320000</v>
      </c>
      <c r="K1592" s="2">
        <v>1</v>
      </c>
      <c r="L1592" s="2" t="s">
        <v>37</v>
      </c>
      <c r="M1592" s="12">
        <f t="shared" si="54"/>
        <v>256000</v>
      </c>
      <c r="N1592" s="10">
        <f>PRODUCT(Table_13[[#This Row],[Unit Price]],Table_13[[#This Row],[Quantity]])</f>
        <v>320000</v>
      </c>
      <c r="O1592" s="16">
        <f>PRODUCT(Table_13[[#This Row],[Cost Price]],Table_13[[#This Row],[Quantity]])</f>
        <v>256000</v>
      </c>
      <c r="P1592" s="27">
        <f t="shared" si="56"/>
        <v>64000</v>
      </c>
    </row>
    <row r="1593" spans="1:16" x14ac:dyDescent="0.2">
      <c r="A1593" s="33">
        <v>47267</v>
      </c>
      <c r="B1593" s="30">
        <f t="shared" si="55"/>
        <v>5</v>
      </c>
      <c r="C1593" s="30" t="str">
        <f>_xlfn.IFS(Table_13[[#This Row],[Month]]=1,"JAN",Table_13[[#This Row],[Month]]=2,"FEB",B1593=3,"MAR",B1593=4,"APR",B1593=5,"MAY",B1593=6,"JUN",B1593=7,"JUL",B1593=8,"AUG",Table_13[[#This Row],[Month]]=9,"SEPT",B1593=10,"OCT",B1593=11,"NOV",B1593=12,"DEC")</f>
        <v>MAY</v>
      </c>
      <c r="D1593" s="2" t="s">
        <v>29</v>
      </c>
      <c r="E1593" s="2" t="s">
        <v>32</v>
      </c>
      <c r="F1593" s="2" t="s">
        <v>13</v>
      </c>
      <c r="G1593" s="2" t="s">
        <v>20</v>
      </c>
      <c r="H1593" s="2" t="s">
        <v>36</v>
      </c>
      <c r="I1593" s="2" t="s">
        <v>31</v>
      </c>
      <c r="J1593" s="15">
        <v>150000</v>
      </c>
      <c r="K1593" s="2">
        <v>6</v>
      </c>
      <c r="L1593" s="2" t="s">
        <v>35</v>
      </c>
      <c r="M1593" s="12">
        <f t="shared" si="54"/>
        <v>120000</v>
      </c>
      <c r="N1593" s="10">
        <f>PRODUCT(Table_13[[#This Row],[Unit Price]],Table_13[[#This Row],[Quantity]])</f>
        <v>900000</v>
      </c>
      <c r="O1593" s="16">
        <f>PRODUCT(Table_13[[#This Row],[Cost Price]],Table_13[[#This Row],[Quantity]])</f>
        <v>720000</v>
      </c>
      <c r="P1593" s="27">
        <f t="shared" si="56"/>
        <v>180000</v>
      </c>
    </row>
    <row r="1594" spans="1:16" x14ac:dyDescent="0.2">
      <c r="A1594" s="33">
        <v>47268</v>
      </c>
      <c r="B1594" s="30">
        <f t="shared" si="55"/>
        <v>5</v>
      </c>
      <c r="C1594" s="30" t="str">
        <f>_xlfn.IFS(Table_13[[#This Row],[Month]]=1,"JAN",Table_13[[#This Row],[Month]]=2,"FEB",B1594=3,"MAR",B1594=4,"APR",B1594=5,"MAY",B1594=6,"JUN",B1594=7,"JUL",B1594=8,"AUG",Table_13[[#This Row],[Month]]=9,"SEPT",B1594=10,"OCT",B1594=11,"NOV",B1594=12,"DEC")</f>
        <v>MAY</v>
      </c>
      <c r="D1594" s="2" t="s">
        <v>29</v>
      </c>
      <c r="E1594" s="2" t="s">
        <v>19</v>
      </c>
      <c r="F1594" s="2" t="s">
        <v>23</v>
      </c>
      <c r="G1594" s="2" t="s">
        <v>20</v>
      </c>
      <c r="H1594" s="2" t="s">
        <v>15</v>
      </c>
      <c r="I1594" s="2" t="s">
        <v>16</v>
      </c>
      <c r="J1594" s="15">
        <v>85000</v>
      </c>
      <c r="K1594" s="2">
        <v>9</v>
      </c>
      <c r="L1594" s="2" t="s">
        <v>35</v>
      </c>
      <c r="M1594" s="12">
        <f t="shared" si="54"/>
        <v>68000</v>
      </c>
      <c r="N1594" s="10">
        <f>PRODUCT(Table_13[[#This Row],[Unit Price]],Table_13[[#This Row],[Quantity]])</f>
        <v>765000</v>
      </c>
      <c r="O1594" s="16">
        <f>PRODUCT(Table_13[[#This Row],[Cost Price]],Table_13[[#This Row],[Quantity]])</f>
        <v>612000</v>
      </c>
      <c r="P1594" s="27">
        <f t="shared" si="56"/>
        <v>153000</v>
      </c>
    </row>
    <row r="1595" spans="1:16" x14ac:dyDescent="0.2">
      <c r="A1595" s="33">
        <v>47269</v>
      </c>
      <c r="B1595" s="30">
        <f t="shared" si="55"/>
        <v>5</v>
      </c>
      <c r="C1595" s="30" t="str">
        <f>_xlfn.IFS(Table_13[[#This Row],[Month]]=1,"JAN",Table_13[[#This Row],[Month]]=2,"FEB",B1595=3,"MAR",B1595=4,"APR",B1595=5,"MAY",B1595=6,"JUN",B1595=7,"JUL",B1595=8,"AUG",Table_13[[#This Row],[Month]]=9,"SEPT",B1595=10,"OCT",B1595=11,"NOV",B1595=12,"DEC")</f>
        <v>MAY</v>
      </c>
      <c r="D1595" s="2" t="s">
        <v>11</v>
      </c>
      <c r="E1595" s="2" t="s">
        <v>12</v>
      </c>
      <c r="F1595" s="2" t="s">
        <v>13</v>
      </c>
      <c r="G1595" s="2" t="s">
        <v>14</v>
      </c>
      <c r="H1595" s="2" t="s">
        <v>38</v>
      </c>
      <c r="I1595" s="2" t="s">
        <v>31</v>
      </c>
      <c r="J1595" s="15">
        <v>420000</v>
      </c>
      <c r="K1595" s="2">
        <v>7</v>
      </c>
      <c r="L1595" s="2" t="s">
        <v>17</v>
      </c>
      <c r="M1595" s="12">
        <f t="shared" si="54"/>
        <v>336000</v>
      </c>
      <c r="N1595" s="10">
        <f>PRODUCT(Table_13[[#This Row],[Unit Price]],Table_13[[#This Row],[Quantity]])</f>
        <v>2940000</v>
      </c>
      <c r="O1595" s="16">
        <f>PRODUCT(Table_13[[#This Row],[Cost Price]],Table_13[[#This Row],[Quantity]])</f>
        <v>2352000</v>
      </c>
      <c r="P1595" s="27">
        <f t="shared" si="56"/>
        <v>588000</v>
      </c>
    </row>
    <row r="1596" spans="1:16" x14ac:dyDescent="0.2">
      <c r="A1596" s="33">
        <v>47270</v>
      </c>
      <c r="B1596" s="30">
        <f t="shared" si="55"/>
        <v>6</v>
      </c>
      <c r="C1596" s="30" t="str">
        <f>_xlfn.IFS(Table_13[[#This Row],[Month]]=1,"JAN",Table_13[[#This Row],[Month]]=2,"FEB",B1596=3,"MAR",B1596=4,"APR",B1596=5,"MAY",B1596=6,"JUN",B1596=7,"JUL",B1596=8,"AUG",Table_13[[#This Row],[Month]]=9,"SEPT",B1596=10,"OCT",B1596=11,"NOV",B1596=12,"DEC")</f>
        <v>JUN</v>
      </c>
      <c r="D1596" s="2" t="s">
        <v>18</v>
      </c>
      <c r="E1596" s="2" t="s">
        <v>12</v>
      </c>
      <c r="F1596" s="2" t="s">
        <v>13</v>
      </c>
      <c r="G1596" s="2" t="s">
        <v>14</v>
      </c>
      <c r="H1596" s="2" t="s">
        <v>21</v>
      </c>
      <c r="I1596" s="2" t="s">
        <v>22</v>
      </c>
      <c r="J1596" s="15">
        <v>30000</v>
      </c>
      <c r="K1596" s="2">
        <v>3</v>
      </c>
      <c r="L1596" s="2" t="s">
        <v>35</v>
      </c>
      <c r="M1596" s="12">
        <f t="shared" si="54"/>
        <v>24000</v>
      </c>
      <c r="N1596" s="10">
        <f>PRODUCT(Table_13[[#This Row],[Unit Price]],Table_13[[#This Row],[Quantity]])</f>
        <v>90000</v>
      </c>
      <c r="O1596" s="16">
        <f>PRODUCT(Table_13[[#This Row],[Cost Price]],Table_13[[#This Row],[Quantity]])</f>
        <v>72000</v>
      </c>
      <c r="P1596" s="27">
        <f t="shared" si="56"/>
        <v>18000</v>
      </c>
    </row>
    <row r="1597" spans="1:16" x14ac:dyDescent="0.2">
      <c r="A1597" s="33">
        <v>47271</v>
      </c>
      <c r="B1597" s="30">
        <f t="shared" si="55"/>
        <v>6</v>
      </c>
      <c r="C1597" s="30" t="str">
        <f>_xlfn.IFS(Table_13[[#This Row],[Month]]=1,"JAN",Table_13[[#This Row],[Month]]=2,"FEB",B1597=3,"MAR",B1597=4,"APR",B1597=5,"MAY",B1597=6,"JUN",B1597=7,"JUL",B1597=8,"AUG",Table_13[[#This Row],[Month]]=9,"SEPT",B1597=10,"OCT",B1597=11,"NOV",B1597=12,"DEC")</f>
        <v>JUN</v>
      </c>
      <c r="D1597" s="2" t="s">
        <v>18</v>
      </c>
      <c r="E1597" s="2" t="s">
        <v>19</v>
      </c>
      <c r="F1597" s="2" t="s">
        <v>23</v>
      </c>
      <c r="G1597" s="2" t="s">
        <v>20</v>
      </c>
      <c r="H1597" s="2" t="s">
        <v>21</v>
      </c>
      <c r="I1597" s="2" t="s">
        <v>22</v>
      </c>
      <c r="J1597" s="15">
        <v>30000</v>
      </c>
      <c r="K1597" s="2">
        <v>9</v>
      </c>
      <c r="L1597" s="2" t="s">
        <v>17</v>
      </c>
      <c r="M1597" s="12">
        <f t="shared" si="54"/>
        <v>24000</v>
      </c>
      <c r="N1597" s="10">
        <f>PRODUCT(Table_13[[#This Row],[Unit Price]],Table_13[[#This Row],[Quantity]])</f>
        <v>270000</v>
      </c>
      <c r="O1597" s="16">
        <f>PRODUCT(Table_13[[#This Row],[Cost Price]],Table_13[[#This Row],[Quantity]])</f>
        <v>216000</v>
      </c>
      <c r="P1597" s="27">
        <f t="shared" si="56"/>
        <v>54000</v>
      </c>
    </row>
    <row r="1598" spans="1:16" x14ac:dyDescent="0.2">
      <c r="A1598" s="33">
        <v>47272</v>
      </c>
      <c r="B1598" s="30">
        <f t="shared" si="55"/>
        <v>6</v>
      </c>
      <c r="C1598" s="30" t="str">
        <f>_xlfn.IFS(Table_13[[#This Row],[Month]]=1,"JAN",Table_13[[#This Row],[Month]]=2,"FEB",B1598=3,"MAR",B1598=4,"APR",B1598=5,"MAY",B1598=6,"JUN",B1598=7,"JUL",B1598=8,"AUG",Table_13[[#This Row],[Month]]=9,"SEPT",B1598=10,"OCT",B1598=11,"NOV",B1598=12,"DEC")</f>
        <v>JUN</v>
      </c>
      <c r="D1598" s="2" t="s">
        <v>25</v>
      </c>
      <c r="E1598" s="2" t="s">
        <v>12</v>
      </c>
      <c r="F1598" s="2" t="s">
        <v>23</v>
      </c>
      <c r="G1598" s="2" t="s">
        <v>20</v>
      </c>
      <c r="H1598" s="2" t="s">
        <v>27</v>
      </c>
      <c r="I1598" s="2" t="s">
        <v>22</v>
      </c>
      <c r="J1598" s="15">
        <v>60000</v>
      </c>
      <c r="K1598" s="2">
        <v>1</v>
      </c>
      <c r="L1598" s="2" t="s">
        <v>37</v>
      </c>
      <c r="M1598" s="12">
        <f t="shared" si="54"/>
        <v>48000</v>
      </c>
      <c r="N1598" s="10">
        <f>PRODUCT(Table_13[[#This Row],[Unit Price]],Table_13[[#This Row],[Quantity]])</f>
        <v>60000</v>
      </c>
      <c r="O1598" s="16">
        <f>PRODUCT(Table_13[[#This Row],[Cost Price]],Table_13[[#This Row],[Quantity]])</f>
        <v>48000</v>
      </c>
      <c r="P1598" s="27">
        <f t="shared" si="56"/>
        <v>12000</v>
      </c>
    </row>
    <row r="1599" spans="1:16" x14ac:dyDescent="0.2">
      <c r="A1599" s="33">
        <v>47273</v>
      </c>
      <c r="B1599" s="30">
        <f t="shared" si="55"/>
        <v>6</v>
      </c>
      <c r="C1599" s="30" t="str">
        <f>_xlfn.IFS(Table_13[[#This Row],[Month]]=1,"JAN",Table_13[[#This Row],[Month]]=2,"FEB",B1599=3,"MAR",B1599=4,"APR",B1599=5,"MAY",B1599=6,"JUN",B1599=7,"JUL",B1599=8,"AUG",Table_13[[#This Row],[Month]]=9,"SEPT",B1599=10,"OCT",B1599=11,"NOV",B1599=12,"DEC")</f>
        <v>JUN</v>
      </c>
      <c r="D1599" s="2" t="s">
        <v>29</v>
      </c>
      <c r="E1599" s="2" t="s">
        <v>12</v>
      </c>
      <c r="F1599" s="2" t="s">
        <v>23</v>
      </c>
      <c r="G1599" s="2" t="s">
        <v>14</v>
      </c>
      <c r="H1599" s="2" t="s">
        <v>40</v>
      </c>
      <c r="I1599" s="2" t="s">
        <v>31</v>
      </c>
      <c r="J1599" s="15">
        <v>250000</v>
      </c>
      <c r="K1599" s="2">
        <v>1</v>
      </c>
      <c r="L1599" s="2" t="s">
        <v>39</v>
      </c>
      <c r="M1599" s="12">
        <f t="shared" si="54"/>
        <v>200000</v>
      </c>
      <c r="N1599" s="10">
        <f>PRODUCT(Table_13[[#This Row],[Unit Price]],Table_13[[#This Row],[Quantity]])</f>
        <v>250000</v>
      </c>
      <c r="O1599" s="16">
        <f>PRODUCT(Table_13[[#This Row],[Cost Price]],Table_13[[#This Row],[Quantity]])</f>
        <v>200000</v>
      </c>
      <c r="P1599" s="27">
        <f t="shared" si="56"/>
        <v>50000</v>
      </c>
    </row>
    <row r="1600" spans="1:16" x14ac:dyDescent="0.2">
      <c r="A1600" s="33">
        <v>47274</v>
      </c>
      <c r="B1600" s="30">
        <f t="shared" si="55"/>
        <v>6</v>
      </c>
      <c r="C1600" s="30" t="str">
        <f>_xlfn.IFS(Table_13[[#This Row],[Month]]=1,"JAN",Table_13[[#This Row],[Month]]=2,"FEB",B1600=3,"MAR",B1600=4,"APR",B1600=5,"MAY",B1600=6,"JUN",B1600=7,"JUL",B1600=8,"AUG",Table_13[[#This Row],[Month]]=9,"SEPT",B1600=10,"OCT",B1600=11,"NOV",B1600=12,"DEC")</f>
        <v>JUN</v>
      </c>
      <c r="D1600" s="2" t="s">
        <v>29</v>
      </c>
      <c r="E1600" s="2" t="s">
        <v>19</v>
      </c>
      <c r="F1600" s="2" t="s">
        <v>23</v>
      </c>
      <c r="G1600" s="2" t="s">
        <v>14</v>
      </c>
      <c r="H1600" s="2" t="s">
        <v>36</v>
      </c>
      <c r="I1600" s="2" t="s">
        <v>31</v>
      </c>
      <c r="J1600" s="15">
        <v>150000</v>
      </c>
      <c r="K1600" s="2">
        <v>9</v>
      </c>
      <c r="L1600" s="2" t="s">
        <v>17</v>
      </c>
      <c r="M1600" s="12">
        <f t="shared" si="54"/>
        <v>120000</v>
      </c>
      <c r="N1600" s="10">
        <f>PRODUCT(Table_13[[#This Row],[Unit Price]],Table_13[[#This Row],[Quantity]])</f>
        <v>1350000</v>
      </c>
      <c r="O1600" s="16">
        <f>PRODUCT(Table_13[[#This Row],[Cost Price]],Table_13[[#This Row],[Quantity]])</f>
        <v>1080000</v>
      </c>
      <c r="P1600" s="27">
        <f t="shared" si="56"/>
        <v>270000</v>
      </c>
    </row>
    <row r="1601" spans="1:16" x14ac:dyDescent="0.2">
      <c r="A1601" s="33">
        <v>47275</v>
      </c>
      <c r="B1601" s="30">
        <f t="shared" si="55"/>
        <v>6</v>
      </c>
      <c r="C1601" s="30" t="str">
        <f>_xlfn.IFS(Table_13[[#This Row],[Month]]=1,"JAN",Table_13[[#This Row],[Month]]=2,"FEB",B1601=3,"MAR",B1601=4,"APR",B1601=5,"MAY",B1601=6,"JUN",B1601=7,"JUL",B1601=8,"AUG",Table_13[[#This Row],[Month]]=9,"SEPT",B1601=10,"OCT",B1601=11,"NOV",B1601=12,"DEC")</f>
        <v>JUN</v>
      </c>
      <c r="D1601" s="2" t="s">
        <v>11</v>
      </c>
      <c r="E1601" s="2" t="s">
        <v>26</v>
      </c>
      <c r="F1601" s="2" t="s">
        <v>23</v>
      </c>
      <c r="G1601" s="2" t="s">
        <v>14</v>
      </c>
      <c r="H1601" s="2" t="s">
        <v>36</v>
      </c>
      <c r="I1601" s="2" t="s">
        <v>31</v>
      </c>
      <c r="J1601" s="15">
        <v>150000</v>
      </c>
      <c r="K1601" s="2">
        <v>8</v>
      </c>
      <c r="L1601" s="2" t="s">
        <v>24</v>
      </c>
      <c r="M1601" s="12">
        <f t="shared" si="54"/>
        <v>120000</v>
      </c>
      <c r="N1601" s="10">
        <f>PRODUCT(Table_13[[#This Row],[Unit Price]],Table_13[[#This Row],[Quantity]])</f>
        <v>1200000</v>
      </c>
      <c r="O1601" s="16">
        <f>PRODUCT(Table_13[[#This Row],[Cost Price]],Table_13[[#This Row],[Quantity]])</f>
        <v>960000</v>
      </c>
      <c r="P1601" s="27">
        <f t="shared" si="56"/>
        <v>240000</v>
      </c>
    </row>
    <row r="1602" spans="1:16" x14ac:dyDescent="0.2">
      <c r="A1602" s="33">
        <v>47276</v>
      </c>
      <c r="B1602" s="30">
        <f t="shared" ref="B1602:B1665" si="57">MONTH(A1602)</f>
        <v>6</v>
      </c>
      <c r="C1602" s="30" t="str">
        <f>_xlfn.IFS(Table_13[[#This Row],[Month]]=1,"JAN",Table_13[[#This Row],[Month]]=2,"FEB",B1602=3,"MAR",B1602=4,"APR",B1602=5,"MAY",B1602=6,"JUN",B1602=7,"JUL",B1602=8,"AUG",Table_13[[#This Row],[Month]]=9,"SEPT",B1602=10,"OCT",B1602=11,"NOV",B1602=12,"DEC")</f>
        <v>JUN</v>
      </c>
      <c r="D1602" s="2" t="s">
        <v>25</v>
      </c>
      <c r="E1602" s="2" t="s">
        <v>12</v>
      </c>
      <c r="F1602" s="2" t="s">
        <v>13</v>
      </c>
      <c r="G1602" s="2" t="s">
        <v>20</v>
      </c>
      <c r="H1602" s="2" t="s">
        <v>27</v>
      </c>
      <c r="I1602" s="2" t="s">
        <v>22</v>
      </c>
      <c r="J1602" s="15">
        <v>60000</v>
      </c>
      <c r="K1602" s="2">
        <v>4</v>
      </c>
      <c r="L1602" s="2" t="s">
        <v>24</v>
      </c>
      <c r="M1602" s="12">
        <f t="shared" si="54"/>
        <v>48000</v>
      </c>
      <c r="N1602" s="10">
        <f>PRODUCT(Table_13[[#This Row],[Unit Price]],Table_13[[#This Row],[Quantity]])</f>
        <v>240000</v>
      </c>
      <c r="O1602" s="16">
        <f>PRODUCT(Table_13[[#This Row],[Cost Price]],Table_13[[#This Row],[Quantity]])</f>
        <v>192000</v>
      </c>
      <c r="P1602" s="27">
        <f t="shared" ref="P1602:P1665" si="58">N1602-O1602</f>
        <v>48000</v>
      </c>
    </row>
    <row r="1603" spans="1:16" x14ac:dyDescent="0.2">
      <c r="A1603" s="33">
        <v>47277</v>
      </c>
      <c r="B1603" s="30">
        <f t="shared" si="57"/>
        <v>6</v>
      </c>
      <c r="C1603" s="30" t="str">
        <f>_xlfn.IFS(Table_13[[#This Row],[Month]]=1,"JAN",Table_13[[#This Row],[Month]]=2,"FEB",B1603=3,"MAR",B1603=4,"APR",B1603=5,"MAY",B1603=6,"JUN",B1603=7,"JUL",B1603=8,"AUG",Table_13[[#This Row],[Month]]=9,"SEPT",B1603=10,"OCT",B1603=11,"NOV",B1603=12,"DEC")</f>
        <v>JUN</v>
      </c>
      <c r="D1603" s="2" t="s">
        <v>11</v>
      </c>
      <c r="E1603" s="2" t="s">
        <v>32</v>
      </c>
      <c r="F1603" s="2" t="s">
        <v>13</v>
      </c>
      <c r="G1603" s="2" t="s">
        <v>20</v>
      </c>
      <c r="H1603" s="2" t="s">
        <v>21</v>
      </c>
      <c r="I1603" s="2" t="s">
        <v>22</v>
      </c>
      <c r="J1603" s="15">
        <v>30000</v>
      </c>
      <c r="K1603" s="2">
        <v>3</v>
      </c>
      <c r="L1603" s="2" t="s">
        <v>35</v>
      </c>
      <c r="M1603" s="12">
        <f t="shared" si="54"/>
        <v>24000</v>
      </c>
      <c r="N1603" s="10">
        <f>PRODUCT(Table_13[[#This Row],[Unit Price]],Table_13[[#This Row],[Quantity]])</f>
        <v>90000</v>
      </c>
      <c r="O1603" s="16">
        <f>PRODUCT(Table_13[[#This Row],[Cost Price]],Table_13[[#This Row],[Quantity]])</f>
        <v>72000</v>
      </c>
      <c r="P1603" s="27">
        <f t="shared" si="58"/>
        <v>18000</v>
      </c>
    </row>
    <row r="1604" spans="1:16" x14ac:dyDescent="0.2">
      <c r="A1604" s="33">
        <v>47278</v>
      </c>
      <c r="B1604" s="30">
        <f t="shared" si="57"/>
        <v>6</v>
      </c>
      <c r="C1604" s="30" t="str">
        <f>_xlfn.IFS(Table_13[[#This Row],[Month]]=1,"JAN",Table_13[[#This Row],[Month]]=2,"FEB",B1604=3,"MAR",B1604=4,"APR",B1604=5,"MAY",B1604=6,"JUN",B1604=7,"JUL",B1604=8,"AUG",Table_13[[#This Row],[Month]]=9,"SEPT",B1604=10,"OCT",B1604=11,"NOV",B1604=12,"DEC")</f>
        <v>JUN</v>
      </c>
      <c r="D1604" s="2" t="s">
        <v>11</v>
      </c>
      <c r="E1604" s="2" t="s">
        <v>12</v>
      </c>
      <c r="F1604" s="2" t="s">
        <v>13</v>
      </c>
      <c r="G1604" s="2" t="s">
        <v>20</v>
      </c>
      <c r="H1604" s="2" t="s">
        <v>34</v>
      </c>
      <c r="I1604" s="2" t="s">
        <v>16</v>
      </c>
      <c r="J1604" s="15">
        <v>320000</v>
      </c>
      <c r="K1604" s="2">
        <v>4</v>
      </c>
      <c r="L1604" s="2" t="s">
        <v>35</v>
      </c>
      <c r="M1604" s="12">
        <f t="shared" si="54"/>
        <v>256000</v>
      </c>
      <c r="N1604" s="10">
        <f>PRODUCT(Table_13[[#This Row],[Unit Price]],Table_13[[#This Row],[Quantity]])</f>
        <v>1280000</v>
      </c>
      <c r="O1604" s="16">
        <f>PRODUCT(Table_13[[#This Row],[Cost Price]],Table_13[[#This Row],[Quantity]])</f>
        <v>1024000</v>
      </c>
      <c r="P1604" s="27">
        <f t="shared" si="58"/>
        <v>256000</v>
      </c>
    </row>
    <row r="1605" spans="1:16" x14ac:dyDescent="0.2">
      <c r="A1605" s="33">
        <v>47279</v>
      </c>
      <c r="B1605" s="30">
        <f t="shared" si="57"/>
        <v>6</v>
      </c>
      <c r="C1605" s="30" t="str">
        <f>_xlfn.IFS(Table_13[[#This Row],[Month]]=1,"JAN",Table_13[[#This Row],[Month]]=2,"FEB",B1605=3,"MAR",B1605=4,"APR",B1605=5,"MAY",B1605=6,"JUN",B1605=7,"JUL",B1605=8,"AUG",Table_13[[#This Row],[Month]]=9,"SEPT",B1605=10,"OCT",B1605=11,"NOV",B1605=12,"DEC")</f>
        <v>JUN</v>
      </c>
      <c r="D1605" s="2" t="s">
        <v>29</v>
      </c>
      <c r="E1605" s="2" t="s">
        <v>26</v>
      </c>
      <c r="F1605" s="2" t="s">
        <v>23</v>
      </c>
      <c r="G1605" s="2" t="s">
        <v>14</v>
      </c>
      <c r="H1605" s="2" t="s">
        <v>33</v>
      </c>
      <c r="I1605" s="2" t="s">
        <v>22</v>
      </c>
      <c r="J1605" s="15">
        <v>180000</v>
      </c>
      <c r="K1605" s="2">
        <v>8</v>
      </c>
      <c r="L1605" s="2" t="s">
        <v>28</v>
      </c>
      <c r="M1605" s="12">
        <f t="shared" si="54"/>
        <v>144000</v>
      </c>
      <c r="N1605" s="10">
        <f>PRODUCT(Table_13[[#This Row],[Unit Price]],Table_13[[#This Row],[Quantity]])</f>
        <v>1440000</v>
      </c>
      <c r="O1605" s="16">
        <f>PRODUCT(Table_13[[#This Row],[Cost Price]],Table_13[[#This Row],[Quantity]])</f>
        <v>1152000</v>
      </c>
      <c r="P1605" s="27">
        <f t="shared" si="58"/>
        <v>288000</v>
      </c>
    </row>
    <row r="1606" spans="1:16" x14ac:dyDescent="0.2">
      <c r="A1606" s="33">
        <v>47280</v>
      </c>
      <c r="B1606" s="30">
        <f t="shared" si="57"/>
        <v>6</v>
      </c>
      <c r="C1606" s="30" t="str">
        <f>_xlfn.IFS(Table_13[[#This Row],[Month]]=1,"JAN",Table_13[[#This Row],[Month]]=2,"FEB",B1606=3,"MAR",B1606=4,"APR",B1606=5,"MAY",B1606=6,"JUN",B1606=7,"JUL",B1606=8,"AUG",Table_13[[#This Row],[Month]]=9,"SEPT",B1606=10,"OCT",B1606=11,"NOV",B1606=12,"DEC")</f>
        <v>JUN</v>
      </c>
      <c r="D1606" s="2" t="s">
        <v>18</v>
      </c>
      <c r="E1606" s="2" t="s">
        <v>32</v>
      </c>
      <c r="F1606" s="2" t="s">
        <v>13</v>
      </c>
      <c r="G1606" s="2" t="s">
        <v>20</v>
      </c>
      <c r="H1606" s="2" t="s">
        <v>15</v>
      </c>
      <c r="I1606" s="2" t="s">
        <v>16</v>
      </c>
      <c r="J1606" s="15">
        <v>85000</v>
      </c>
      <c r="K1606" s="2">
        <v>4</v>
      </c>
      <c r="L1606" s="2" t="s">
        <v>24</v>
      </c>
      <c r="M1606" s="12">
        <f t="shared" si="54"/>
        <v>68000</v>
      </c>
      <c r="N1606" s="10">
        <f>PRODUCT(Table_13[[#This Row],[Unit Price]],Table_13[[#This Row],[Quantity]])</f>
        <v>340000</v>
      </c>
      <c r="O1606" s="16">
        <f>PRODUCT(Table_13[[#This Row],[Cost Price]],Table_13[[#This Row],[Quantity]])</f>
        <v>272000</v>
      </c>
      <c r="P1606" s="27">
        <f t="shared" si="58"/>
        <v>68000</v>
      </c>
    </row>
    <row r="1607" spans="1:16" x14ac:dyDescent="0.2">
      <c r="A1607" s="33">
        <v>47281</v>
      </c>
      <c r="B1607" s="30">
        <f t="shared" si="57"/>
        <v>6</v>
      </c>
      <c r="C1607" s="30" t="str">
        <f>_xlfn.IFS(Table_13[[#This Row],[Month]]=1,"JAN",Table_13[[#This Row],[Month]]=2,"FEB",B1607=3,"MAR",B1607=4,"APR",B1607=5,"MAY",B1607=6,"JUN",B1607=7,"JUL",B1607=8,"AUG",Table_13[[#This Row],[Month]]=9,"SEPT",B1607=10,"OCT",B1607=11,"NOV",B1607=12,"DEC")</f>
        <v>JUN</v>
      </c>
      <c r="D1607" s="2" t="s">
        <v>29</v>
      </c>
      <c r="E1607" s="2" t="s">
        <v>19</v>
      </c>
      <c r="F1607" s="2" t="s">
        <v>23</v>
      </c>
      <c r="G1607" s="2" t="s">
        <v>20</v>
      </c>
      <c r="H1607" s="2" t="s">
        <v>41</v>
      </c>
      <c r="I1607" s="2" t="s">
        <v>22</v>
      </c>
      <c r="J1607" s="15">
        <v>220000</v>
      </c>
      <c r="K1607" s="2">
        <v>10</v>
      </c>
      <c r="L1607" s="2" t="s">
        <v>17</v>
      </c>
      <c r="M1607" s="12">
        <f t="shared" si="54"/>
        <v>176000</v>
      </c>
      <c r="N1607" s="10">
        <f>PRODUCT(Table_13[[#This Row],[Unit Price]],Table_13[[#This Row],[Quantity]])</f>
        <v>2200000</v>
      </c>
      <c r="O1607" s="16">
        <f>PRODUCT(Table_13[[#This Row],[Cost Price]],Table_13[[#This Row],[Quantity]])</f>
        <v>1760000</v>
      </c>
      <c r="P1607" s="27">
        <f t="shared" si="58"/>
        <v>440000</v>
      </c>
    </row>
    <row r="1608" spans="1:16" x14ac:dyDescent="0.2">
      <c r="A1608" s="33">
        <v>47282</v>
      </c>
      <c r="B1608" s="30">
        <f t="shared" si="57"/>
        <v>6</v>
      </c>
      <c r="C1608" s="30" t="str">
        <f>_xlfn.IFS(Table_13[[#This Row],[Month]]=1,"JAN",Table_13[[#This Row],[Month]]=2,"FEB",B1608=3,"MAR",B1608=4,"APR",B1608=5,"MAY",B1608=6,"JUN",B1608=7,"JUL",B1608=8,"AUG",Table_13[[#This Row],[Month]]=9,"SEPT",B1608=10,"OCT",B1608=11,"NOV",B1608=12,"DEC")</f>
        <v>JUN</v>
      </c>
      <c r="D1608" s="2" t="s">
        <v>25</v>
      </c>
      <c r="E1608" s="2" t="s">
        <v>12</v>
      </c>
      <c r="F1608" s="2" t="s">
        <v>23</v>
      </c>
      <c r="G1608" s="2" t="s">
        <v>20</v>
      </c>
      <c r="H1608" s="2" t="s">
        <v>15</v>
      </c>
      <c r="I1608" s="2" t="s">
        <v>16</v>
      </c>
      <c r="J1608" s="15">
        <v>85000</v>
      </c>
      <c r="K1608" s="2">
        <v>5</v>
      </c>
      <c r="L1608" s="2" t="s">
        <v>35</v>
      </c>
      <c r="M1608" s="12">
        <f t="shared" si="54"/>
        <v>68000</v>
      </c>
      <c r="N1608" s="10">
        <f>PRODUCT(Table_13[[#This Row],[Unit Price]],Table_13[[#This Row],[Quantity]])</f>
        <v>425000</v>
      </c>
      <c r="O1608" s="16">
        <f>PRODUCT(Table_13[[#This Row],[Cost Price]],Table_13[[#This Row],[Quantity]])</f>
        <v>340000</v>
      </c>
      <c r="P1608" s="27">
        <f t="shared" si="58"/>
        <v>85000</v>
      </c>
    </row>
    <row r="1609" spans="1:16" x14ac:dyDescent="0.2">
      <c r="A1609" s="33">
        <v>47283</v>
      </c>
      <c r="B1609" s="30">
        <f t="shared" si="57"/>
        <v>6</v>
      </c>
      <c r="C1609" s="30" t="str">
        <f>_xlfn.IFS(Table_13[[#This Row],[Month]]=1,"JAN",Table_13[[#This Row],[Month]]=2,"FEB",B1609=3,"MAR",B1609=4,"APR",B1609=5,"MAY",B1609=6,"JUN",B1609=7,"JUL",B1609=8,"AUG",Table_13[[#This Row],[Month]]=9,"SEPT",B1609=10,"OCT",B1609=11,"NOV",B1609=12,"DEC")</f>
        <v>JUN</v>
      </c>
      <c r="D1609" s="2" t="s">
        <v>11</v>
      </c>
      <c r="E1609" s="2" t="s">
        <v>19</v>
      </c>
      <c r="F1609" s="2" t="s">
        <v>13</v>
      </c>
      <c r="G1609" s="2" t="s">
        <v>20</v>
      </c>
      <c r="H1609" s="2" t="s">
        <v>30</v>
      </c>
      <c r="I1609" s="2" t="s">
        <v>31</v>
      </c>
      <c r="J1609" s="15">
        <v>300000</v>
      </c>
      <c r="K1609" s="2">
        <v>2</v>
      </c>
      <c r="L1609" s="2" t="s">
        <v>37</v>
      </c>
      <c r="M1609" s="12">
        <f t="shared" si="54"/>
        <v>240000</v>
      </c>
      <c r="N1609" s="10">
        <f>PRODUCT(Table_13[[#This Row],[Unit Price]],Table_13[[#This Row],[Quantity]])</f>
        <v>600000</v>
      </c>
      <c r="O1609" s="16">
        <f>PRODUCT(Table_13[[#This Row],[Cost Price]],Table_13[[#This Row],[Quantity]])</f>
        <v>480000</v>
      </c>
      <c r="P1609" s="27">
        <f t="shared" si="58"/>
        <v>120000</v>
      </c>
    </row>
    <row r="1610" spans="1:16" x14ac:dyDescent="0.2">
      <c r="A1610" s="33">
        <v>47284</v>
      </c>
      <c r="B1610" s="30">
        <f t="shared" si="57"/>
        <v>6</v>
      </c>
      <c r="C1610" s="30" t="str">
        <f>_xlfn.IFS(Table_13[[#This Row],[Month]]=1,"JAN",Table_13[[#This Row],[Month]]=2,"FEB",B1610=3,"MAR",B1610=4,"APR",B1610=5,"MAY",B1610=6,"JUN",B1610=7,"JUL",B1610=8,"AUG",Table_13[[#This Row],[Month]]=9,"SEPT",B1610=10,"OCT",B1610=11,"NOV",B1610=12,"DEC")</f>
        <v>JUN</v>
      </c>
      <c r="D1610" s="2" t="s">
        <v>18</v>
      </c>
      <c r="E1610" s="2" t="s">
        <v>32</v>
      </c>
      <c r="F1610" s="2" t="s">
        <v>23</v>
      </c>
      <c r="G1610" s="2" t="s">
        <v>14</v>
      </c>
      <c r="H1610" s="2" t="s">
        <v>33</v>
      </c>
      <c r="I1610" s="2" t="s">
        <v>22</v>
      </c>
      <c r="J1610" s="15">
        <v>180000</v>
      </c>
      <c r="K1610" s="2">
        <v>1</v>
      </c>
      <c r="L1610" s="2" t="s">
        <v>35</v>
      </c>
      <c r="M1610" s="12">
        <f t="shared" si="54"/>
        <v>144000</v>
      </c>
      <c r="N1610" s="10">
        <f>PRODUCT(Table_13[[#This Row],[Unit Price]],Table_13[[#This Row],[Quantity]])</f>
        <v>180000</v>
      </c>
      <c r="O1610" s="16">
        <f>PRODUCT(Table_13[[#This Row],[Cost Price]],Table_13[[#This Row],[Quantity]])</f>
        <v>144000</v>
      </c>
      <c r="P1610" s="27">
        <f t="shared" si="58"/>
        <v>36000</v>
      </c>
    </row>
    <row r="1611" spans="1:16" x14ac:dyDescent="0.2">
      <c r="A1611" s="33">
        <v>47285</v>
      </c>
      <c r="B1611" s="30">
        <f t="shared" si="57"/>
        <v>6</v>
      </c>
      <c r="C1611" s="30" t="str">
        <f>_xlfn.IFS(Table_13[[#This Row],[Month]]=1,"JAN",Table_13[[#This Row],[Month]]=2,"FEB",B1611=3,"MAR",B1611=4,"APR",B1611=5,"MAY",B1611=6,"JUN",B1611=7,"JUL",B1611=8,"AUG",Table_13[[#This Row],[Month]]=9,"SEPT",B1611=10,"OCT",B1611=11,"NOV",B1611=12,"DEC")</f>
        <v>JUN</v>
      </c>
      <c r="D1611" s="2" t="s">
        <v>25</v>
      </c>
      <c r="E1611" s="2" t="s">
        <v>32</v>
      </c>
      <c r="F1611" s="2" t="s">
        <v>13</v>
      </c>
      <c r="G1611" s="2" t="s">
        <v>14</v>
      </c>
      <c r="H1611" s="2" t="s">
        <v>36</v>
      </c>
      <c r="I1611" s="2" t="s">
        <v>31</v>
      </c>
      <c r="J1611" s="15">
        <v>150000</v>
      </c>
      <c r="K1611" s="2">
        <v>3</v>
      </c>
      <c r="L1611" s="2" t="s">
        <v>35</v>
      </c>
      <c r="M1611" s="12">
        <f t="shared" si="54"/>
        <v>120000</v>
      </c>
      <c r="N1611" s="10">
        <f>PRODUCT(Table_13[[#This Row],[Unit Price]],Table_13[[#This Row],[Quantity]])</f>
        <v>450000</v>
      </c>
      <c r="O1611" s="16">
        <f>PRODUCT(Table_13[[#This Row],[Cost Price]],Table_13[[#This Row],[Quantity]])</f>
        <v>360000</v>
      </c>
      <c r="P1611" s="27">
        <f t="shared" si="58"/>
        <v>90000</v>
      </c>
    </row>
    <row r="1612" spans="1:16" x14ac:dyDescent="0.2">
      <c r="A1612" s="33">
        <v>47286</v>
      </c>
      <c r="B1612" s="30">
        <f t="shared" si="57"/>
        <v>6</v>
      </c>
      <c r="C1612" s="30" t="str">
        <f>_xlfn.IFS(Table_13[[#This Row],[Month]]=1,"JAN",Table_13[[#This Row],[Month]]=2,"FEB",B1612=3,"MAR",B1612=4,"APR",B1612=5,"MAY",B1612=6,"JUN",B1612=7,"JUL",B1612=8,"AUG",Table_13[[#This Row],[Month]]=9,"SEPT",B1612=10,"OCT",B1612=11,"NOV",B1612=12,"DEC")</f>
        <v>JUN</v>
      </c>
      <c r="D1612" s="2" t="s">
        <v>25</v>
      </c>
      <c r="E1612" s="2" t="s">
        <v>26</v>
      </c>
      <c r="F1612" s="2" t="s">
        <v>23</v>
      </c>
      <c r="G1612" s="2" t="s">
        <v>20</v>
      </c>
      <c r="H1612" s="2" t="s">
        <v>33</v>
      </c>
      <c r="I1612" s="2" t="s">
        <v>22</v>
      </c>
      <c r="J1612" s="15">
        <v>180000</v>
      </c>
      <c r="K1612" s="2">
        <v>3</v>
      </c>
      <c r="L1612" s="2" t="s">
        <v>28</v>
      </c>
      <c r="M1612" s="12">
        <f t="shared" si="54"/>
        <v>144000</v>
      </c>
      <c r="N1612" s="10">
        <f>PRODUCT(Table_13[[#This Row],[Unit Price]],Table_13[[#This Row],[Quantity]])</f>
        <v>540000</v>
      </c>
      <c r="O1612" s="16">
        <f>PRODUCT(Table_13[[#This Row],[Cost Price]],Table_13[[#This Row],[Quantity]])</f>
        <v>432000</v>
      </c>
      <c r="P1612" s="27">
        <f t="shared" si="58"/>
        <v>108000</v>
      </c>
    </row>
    <row r="1613" spans="1:16" x14ac:dyDescent="0.2">
      <c r="A1613" s="33">
        <v>47287</v>
      </c>
      <c r="B1613" s="30">
        <f t="shared" si="57"/>
        <v>6</v>
      </c>
      <c r="C1613" s="30" t="str">
        <f>_xlfn.IFS(Table_13[[#This Row],[Month]]=1,"JAN",Table_13[[#This Row],[Month]]=2,"FEB",B1613=3,"MAR",B1613=4,"APR",B1613=5,"MAY",B1613=6,"JUN",B1613=7,"JUL",B1613=8,"AUG",Table_13[[#This Row],[Month]]=9,"SEPT",B1613=10,"OCT",B1613=11,"NOV",B1613=12,"DEC")</f>
        <v>JUN</v>
      </c>
      <c r="D1613" s="2" t="s">
        <v>29</v>
      </c>
      <c r="E1613" s="2" t="s">
        <v>26</v>
      </c>
      <c r="F1613" s="2" t="s">
        <v>13</v>
      </c>
      <c r="G1613" s="2" t="s">
        <v>14</v>
      </c>
      <c r="H1613" s="2" t="s">
        <v>36</v>
      </c>
      <c r="I1613" s="2" t="s">
        <v>31</v>
      </c>
      <c r="J1613" s="15">
        <v>150000</v>
      </c>
      <c r="K1613" s="2">
        <v>5</v>
      </c>
      <c r="L1613" s="2" t="s">
        <v>24</v>
      </c>
      <c r="M1613" s="12">
        <f t="shared" si="54"/>
        <v>120000</v>
      </c>
      <c r="N1613" s="10">
        <f>PRODUCT(Table_13[[#This Row],[Unit Price]],Table_13[[#This Row],[Quantity]])</f>
        <v>750000</v>
      </c>
      <c r="O1613" s="16">
        <f>PRODUCT(Table_13[[#This Row],[Cost Price]],Table_13[[#This Row],[Quantity]])</f>
        <v>600000</v>
      </c>
      <c r="P1613" s="27">
        <f t="shared" si="58"/>
        <v>150000</v>
      </c>
    </row>
    <row r="1614" spans="1:16" x14ac:dyDescent="0.2">
      <c r="A1614" s="33">
        <v>47288</v>
      </c>
      <c r="B1614" s="30">
        <f t="shared" si="57"/>
        <v>6</v>
      </c>
      <c r="C1614" s="30" t="str">
        <f>_xlfn.IFS(Table_13[[#This Row],[Month]]=1,"JAN",Table_13[[#This Row],[Month]]=2,"FEB",B1614=3,"MAR",B1614=4,"APR",B1614=5,"MAY",B1614=6,"JUN",B1614=7,"JUL",B1614=8,"AUG",Table_13[[#This Row],[Month]]=9,"SEPT",B1614=10,"OCT",B1614=11,"NOV",B1614=12,"DEC")</f>
        <v>JUN</v>
      </c>
      <c r="D1614" s="2" t="s">
        <v>18</v>
      </c>
      <c r="E1614" s="2" t="s">
        <v>32</v>
      </c>
      <c r="F1614" s="2" t="s">
        <v>23</v>
      </c>
      <c r="G1614" s="2" t="s">
        <v>14</v>
      </c>
      <c r="H1614" s="2" t="s">
        <v>27</v>
      </c>
      <c r="I1614" s="2" t="s">
        <v>22</v>
      </c>
      <c r="J1614" s="15">
        <v>60000</v>
      </c>
      <c r="K1614" s="2">
        <v>8</v>
      </c>
      <c r="L1614" s="2" t="s">
        <v>24</v>
      </c>
      <c r="M1614" s="12">
        <f t="shared" si="54"/>
        <v>48000</v>
      </c>
      <c r="N1614" s="10">
        <f>PRODUCT(Table_13[[#This Row],[Unit Price]],Table_13[[#This Row],[Quantity]])</f>
        <v>480000</v>
      </c>
      <c r="O1614" s="16">
        <f>PRODUCT(Table_13[[#This Row],[Cost Price]],Table_13[[#This Row],[Quantity]])</f>
        <v>384000</v>
      </c>
      <c r="P1614" s="27">
        <f t="shared" si="58"/>
        <v>96000</v>
      </c>
    </row>
    <row r="1615" spans="1:16" x14ac:dyDescent="0.2">
      <c r="A1615" s="33">
        <v>47289</v>
      </c>
      <c r="B1615" s="30">
        <f t="shared" si="57"/>
        <v>6</v>
      </c>
      <c r="C1615" s="30" t="str">
        <f>_xlfn.IFS(Table_13[[#This Row],[Month]]=1,"JAN",Table_13[[#This Row],[Month]]=2,"FEB",B1615=3,"MAR",B1615=4,"APR",B1615=5,"MAY",B1615=6,"JUN",B1615=7,"JUL",B1615=8,"AUG",Table_13[[#This Row],[Month]]=9,"SEPT",B1615=10,"OCT",B1615=11,"NOV",B1615=12,"DEC")</f>
        <v>JUN</v>
      </c>
      <c r="D1615" s="2" t="s">
        <v>18</v>
      </c>
      <c r="E1615" s="2" t="s">
        <v>12</v>
      </c>
      <c r="F1615" s="2" t="s">
        <v>13</v>
      </c>
      <c r="G1615" s="2" t="s">
        <v>20</v>
      </c>
      <c r="H1615" s="2" t="s">
        <v>40</v>
      </c>
      <c r="I1615" s="2" t="s">
        <v>31</v>
      </c>
      <c r="J1615" s="15">
        <v>250000</v>
      </c>
      <c r="K1615" s="2">
        <v>5</v>
      </c>
      <c r="L1615" s="2" t="s">
        <v>24</v>
      </c>
      <c r="M1615" s="12">
        <f t="shared" si="54"/>
        <v>200000</v>
      </c>
      <c r="N1615" s="10">
        <f>PRODUCT(Table_13[[#This Row],[Unit Price]],Table_13[[#This Row],[Quantity]])</f>
        <v>1250000</v>
      </c>
      <c r="O1615" s="16">
        <f>PRODUCT(Table_13[[#This Row],[Cost Price]],Table_13[[#This Row],[Quantity]])</f>
        <v>1000000</v>
      </c>
      <c r="P1615" s="27">
        <f t="shared" si="58"/>
        <v>250000</v>
      </c>
    </row>
    <row r="1616" spans="1:16" x14ac:dyDescent="0.2">
      <c r="A1616" s="33">
        <v>47290</v>
      </c>
      <c r="B1616" s="30">
        <f t="shared" si="57"/>
        <v>6</v>
      </c>
      <c r="C1616" s="30" t="str">
        <f>_xlfn.IFS(Table_13[[#This Row],[Month]]=1,"JAN",Table_13[[#This Row],[Month]]=2,"FEB",B1616=3,"MAR",B1616=4,"APR",B1616=5,"MAY",B1616=6,"JUN",B1616=7,"JUL",B1616=8,"AUG",Table_13[[#This Row],[Month]]=9,"SEPT",B1616=10,"OCT",B1616=11,"NOV",B1616=12,"DEC")</f>
        <v>JUN</v>
      </c>
      <c r="D1616" s="2" t="s">
        <v>18</v>
      </c>
      <c r="E1616" s="2" t="s">
        <v>26</v>
      </c>
      <c r="F1616" s="2" t="s">
        <v>13</v>
      </c>
      <c r="G1616" s="2" t="s">
        <v>14</v>
      </c>
      <c r="H1616" s="2" t="s">
        <v>33</v>
      </c>
      <c r="I1616" s="2" t="s">
        <v>22</v>
      </c>
      <c r="J1616" s="15">
        <v>180000</v>
      </c>
      <c r="K1616" s="2">
        <v>3</v>
      </c>
      <c r="L1616" s="2" t="s">
        <v>17</v>
      </c>
      <c r="M1616" s="12">
        <f t="shared" si="54"/>
        <v>144000</v>
      </c>
      <c r="N1616" s="10">
        <f>PRODUCT(Table_13[[#This Row],[Unit Price]],Table_13[[#This Row],[Quantity]])</f>
        <v>540000</v>
      </c>
      <c r="O1616" s="16">
        <f>PRODUCT(Table_13[[#This Row],[Cost Price]],Table_13[[#This Row],[Quantity]])</f>
        <v>432000</v>
      </c>
      <c r="P1616" s="27">
        <f t="shared" si="58"/>
        <v>108000</v>
      </c>
    </row>
    <row r="1617" spans="1:16" x14ac:dyDescent="0.2">
      <c r="A1617" s="33">
        <v>47291</v>
      </c>
      <c r="B1617" s="30">
        <f t="shared" si="57"/>
        <v>6</v>
      </c>
      <c r="C1617" s="30" t="str">
        <f>_xlfn.IFS(Table_13[[#This Row],[Month]]=1,"JAN",Table_13[[#This Row],[Month]]=2,"FEB",B1617=3,"MAR",B1617=4,"APR",B1617=5,"MAY",B1617=6,"JUN",B1617=7,"JUL",B1617=8,"AUG",Table_13[[#This Row],[Month]]=9,"SEPT",B1617=10,"OCT",B1617=11,"NOV",B1617=12,"DEC")</f>
        <v>JUN</v>
      </c>
      <c r="D1617" s="2" t="s">
        <v>29</v>
      </c>
      <c r="E1617" s="2" t="s">
        <v>12</v>
      </c>
      <c r="F1617" s="2" t="s">
        <v>23</v>
      </c>
      <c r="G1617" s="2" t="s">
        <v>14</v>
      </c>
      <c r="H1617" s="2" t="s">
        <v>34</v>
      </c>
      <c r="I1617" s="2" t="s">
        <v>16</v>
      </c>
      <c r="J1617" s="15">
        <v>320000</v>
      </c>
      <c r="K1617" s="2">
        <v>9</v>
      </c>
      <c r="L1617" s="2" t="s">
        <v>17</v>
      </c>
      <c r="M1617" s="12">
        <f t="shared" si="54"/>
        <v>256000</v>
      </c>
      <c r="N1617" s="10">
        <f>PRODUCT(Table_13[[#This Row],[Unit Price]],Table_13[[#This Row],[Quantity]])</f>
        <v>2880000</v>
      </c>
      <c r="O1617" s="16">
        <f>PRODUCT(Table_13[[#This Row],[Cost Price]],Table_13[[#This Row],[Quantity]])</f>
        <v>2304000</v>
      </c>
      <c r="P1617" s="27">
        <f t="shared" si="58"/>
        <v>576000</v>
      </c>
    </row>
    <row r="1618" spans="1:16" x14ac:dyDescent="0.2">
      <c r="A1618" s="33">
        <v>47292</v>
      </c>
      <c r="B1618" s="30">
        <f t="shared" si="57"/>
        <v>6</v>
      </c>
      <c r="C1618" s="30" t="str">
        <f>_xlfn.IFS(Table_13[[#This Row],[Month]]=1,"JAN",Table_13[[#This Row],[Month]]=2,"FEB",B1618=3,"MAR",B1618=4,"APR",B1618=5,"MAY",B1618=6,"JUN",B1618=7,"JUL",B1618=8,"AUG",Table_13[[#This Row],[Month]]=9,"SEPT",B1618=10,"OCT",B1618=11,"NOV",B1618=12,"DEC")</f>
        <v>JUN</v>
      </c>
      <c r="D1618" s="2" t="s">
        <v>11</v>
      </c>
      <c r="E1618" s="2" t="s">
        <v>12</v>
      </c>
      <c r="F1618" s="2" t="s">
        <v>23</v>
      </c>
      <c r="G1618" s="2" t="s">
        <v>20</v>
      </c>
      <c r="H1618" s="2" t="s">
        <v>15</v>
      </c>
      <c r="I1618" s="2" t="s">
        <v>16</v>
      </c>
      <c r="J1618" s="15">
        <v>85000</v>
      </c>
      <c r="K1618" s="2">
        <v>5</v>
      </c>
      <c r="L1618" s="2" t="s">
        <v>28</v>
      </c>
      <c r="M1618" s="12">
        <f t="shared" si="54"/>
        <v>68000</v>
      </c>
      <c r="N1618" s="10">
        <f>PRODUCT(Table_13[[#This Row],[Unit Price]],Table_13[[#This Row],[Quantity]])</f>
        <v>425000</v>
      </c>
      <c r="O1618" s="16">
        <f>PRODUCT(Table_13[[#This Row],[Cost Price]],Table_13[[#This Row],[Quantity]])</f>
        <v>340000</v>
      </c>
      <c r="P1618" s="27">
        <f t="shared" si="58"/>
        <v>85000</v>
      </c>
    </row>
    <row r="1619" spans="1:16" x14ac:dyDescent="0.2">
      <c r="A1619" s="33">
        <v>47293</v>
      </c>
      <c r="B1619" s="30">
        <f t="shared" si="57"/>
        <v>6</v>
      </c>
      <c r="C1619" s="30" t="str">
        <f>_xlfn.IFS(Table_13[[#This Row],[Month]]=1,"JAN",Table_13[[#This Row],[Month]]=2,"FEB",B1619=3,"MAR",B1619=4,"APR",B1619=5,"MAY",B1619=6,"JUN",B1619=7,"JUL",B1619=8,"AUG",Table_13[[#This Row],[Month]]=9,"SEPT",B1619=10,"OCT",B1619=11,"NOV",B1619=12,"DEC")</f>
        <v>JUN</v>
      </c>
      <c r="D1619" s="2" t="s">
        <v>25</v>
      </c>
      <c r="E1619" s="2" t="s">
        <v>19</v>
      </c>
      <c r="F1619" s="2" t="s">
        <v>13</v>
      </c>
      <c r="G1619" s="2" t="s">
        <v>14</v>
      </c>
      <c r="H1619" s="2" t="s">
        <v>41</v>
      </c>
      <c r="I1619" s="2" t="s">
        <v>22</v>
      </c>
      <c r="J1619" s="15">
        <v>220000</v>
      </c>
      <c r="K1619" s="2">
        <v>1</v>
      </c>
      <c r="L1619" s="2" t="s">
        <v>37</v>
      </c>
      <c r="M1619" s="12">
        <f t="shared" si="54"/>
        <v>176000</v>
      </c>
      <c r="N1619" s="10">
        <f>PRODUCT(Table_13[[#This Row],[Unit Price]],Table_13[[#This Row],[Quantity]])</f>
        <v>220000</v>
      </c>
      <c r="O1619" s="16">
        <f>PRODUCT(Table_13[[#This Row],[Cost Price]],Table_13[[#This Row],[Quantity]])</f>
        <v>176000</v>
      </c>
      <c r="P1619" s="27">
        <f t="shared" si="58"/>
        <v>44000</v>
      </c>
    </row>
    <row r="1620" spans="1:16" x14ac:dyDescent="0.2">
      <c r="A1620" s="33">
        <v>47294</v>
      </c>
      <c r="B1620" s="30">
        <f t="shared" si="57"/>
        <v>6</v>
      </c>
      <c r="C1620" s="30" t="str">
        <f>_xlfn.IFS(Table_13[[#This Row],[Month]]=1,"JAN",Table_13[[#This Row],[Month]]=2,"FEB",B1620=3,"MAR",B1620=4,"APR",B1620=5,"MAY",B1620=6,"JUN",B1620=7,"JUL",B1620=8,"AUG",Table_13[[#This Row],[Month]]=9,"SEPT",B1620=10,"OCT",B1620=11,"NOV",B1620=12,"DEC")</f>
        <v>JUN</v>
      </c>
      <c r="D1620" s="2" t="s">
        <v>18</v>
      </c>
      <c r="E1620" s="2" t="s">
        <v>19</v>
      </c>
      <c r="F1620" s="2" t="s">
        <v>13</v>
      </c>
      <c r="G1620" s="2" t="s">
        <v>20</v>
      </c>
      <c r="H1620" s="2" t="s">
        <v>33</v>
      </c>
      <c r="I1620" s="2" t="s">
        <v>22</v>
      </c>
      <c r="J1620" s="15">
        <v>180000</v>
      </c>
      <c r="K1620" s="2">
        <v>2</v>
      </c>
      <c r="L1620" s="2" t="s">
        <v>28</v>
      </c>
      <c r="M1620" s="12">
        <f t="shared" si="54"/>
        <v>144000</v>
      </c>
      <c r="N1620" s="10">
        <f>PRODUCT(Table_13[[#This Row],[Unit Price]],Table_13[[#This Row],[Quantity]])</f>
        <v>360000</v>
      </c>
      <c r="O1620" s="16">
        <f>PRODUCT(Table_13[[#This Row],[Cost Price]],Table_13[[#This Row],[Quantity]])</f>
        <v>288000</v>
      </c>
      <c r="P1620" s="27">
        <f t="shared" si="58"/>
        <v>72000</v>
      </c>
    </row>
    <row r="1621" spans="1:16" x14ac:dyDescent="0.2">
      <c r="A1621" s="33">
        <v>47295</v>
      </c>
      <c r="B1621" s="30">
        <f t="shared" si="57"/>
        <v>6</v>
      </c>
      <c r="C1621" s="30" t="str">
        <f>_xlfn.IFS(Table_13[[#This Row],[Month]]=1,"JAN",Table_13[[#This Row],[Month]]=2,"FEB",B1621=3,"MAR",B1621=4,"APR",B1621=5,"MAY",B1621=6,"JUN",B1621=7,"JUL",B1621=8,"AUG",Table_13[[#This Row],[Month]]=9,"SEPT",B1621=10,"OCT",B1621=11,"NOV",B1621=12,"DEC")</f>
        <v>JUN</v>
      </c>
      <c r="D1621" s="2" t="s">
        <v>18</v>
      </c>
      <c r="E1621" s="2" t="s">
        <v>19</v>
      </c>
      <c r="F1621" s="2" t="s">
        <v>23</v>
      </c>
      <c r="G1621" s="2" t="s">
        <v>20</v>
      </c>
      <c r="H1621" s="2" t="s">
        <v>36</v>
      </c>
      <c r="I1621" s="2" t="s">
        <v>31</v>
      </c>
      <c r="J1621" s="15">
        <v>150000</v>
      </c>
      <c r="K1621" s="2">
        <v>1</v>
      </c>
      <c r="L1621" s="2" t="s">
        <v>35</v>
      </c>
      <c r="M1621" s="12">
        <f t="shared" si="54"/>
        <v>120000</v>
      </c>
      <c r="N1621" s="10">
        <f>PRODUCT(Table_13[[#This Row],[Unit Price]],Table_13[[#This Row],[Quantity]])</f>
        <v>150000</v>
      </c>
      <c r="O1621" s="16">
        <f>PRODUCT(Table_13[[#This Row],[Cost Price]],Table_13[[#This Row],[Quantity]])</f>
        <v>120000</v>
      </c>
      <c r="P1621" s="27">
        <f t="shared" si="58"/>
        <v>30000</v>
      </c>
    </row>
    <row r="1622" spans="1:16" x14ac:dyDescent="0.2">
      <c r="A1622" s="33">
        <v>47296</v>
      </c>
      <c r="B1622" s="30">
        <f t="shared" si="57"/>
        <v>6</v>
      </c>
      <c r="C1622" s="30" t="str">
        <f>_xlfn.IFS(Table_13[[#This Row],[Month]]=1,"JAN",Table_13[[#This Row],[Month]]=2,"FEB",B1622=3,"MAR",B1622=4,"APR",B1622=5,"MAY",B1622=6,"JUN",B1622=7,"JUL",B1622=8,"AUG",Table_13[[#This Row],[Month]]=9,"SEPT",B1622=10,"OCT",B1622=11,"NOV",B1622=12,"DEC")</f>
        <v>JUN</v>
      </c>
      <c r="D1622" s="2" t="s">
        <v>11</v>
      </c>
      <c r="E1622" s="2" t="s">
        <v>26</v>
      </c>
      <c r="F1622" s="2" t="s">
        <v>13</v>
      </c>
      <c r="G1622" s="2" t="s">
        <v>20</v>
      </c>
      <c r="H1622" s="2" t="s">
        <v>33</v>
      </c>
      <c r="I1622" s="2" t="s">
        <v>22</v>
      </c>
      <c r="J1622" s="15">
        <v>180000</v>
      </c>
      <c r="K1622" s="2">
        <v>2</v>
      </c>
      <c r="L1622" s="2" t="s">
        <v>24</v>
      </c>
      <c r="M1622" s="12">
        <f t="shared" si="54"/>
        <v>144000</v>
      </c>
      <c r="N1622" s="10">
        <f>PRODUCT(Table_13[[#This Row],[Unit Price]],Table_13[[#This Row],[Quantity]])</f>
        <v>360000</v>
      </c>
      <c r="O1622" s="16">
        <f>PRODUCT(Table_13[[#This Row],[Cost Price]],Table_13[[#This Row],[Quantity]])</f>
        <v>288000</v>
      </c>
      <c r="P1622" s="27">
        <f t="shared" si="58"/>
        <v>72000</v>
      </c>
    </row>
    <row r="1623" spans="1:16" x14ac:dyDescent="0.2">
      <c r="A1623" s="33">
        <v>47297</v>
      </c>
      <c r="B1623" s="30">
        <f t="shared" si="57"/>
        <v>6</v>
      </c>
      <c r="C1623" s="30" t="str">
        <f>_xlfn.IFS(Table_13[[#This Row],[Month]]=1,"JAN",Table_13[[#This Row],[Month]]=2,"FEB",B1623=3,"MAR",B1623=4,"APR",B1623=5,"MAY",B1623=6,"JUN",B1623=7,"JUL",B1623=8,"AUG",Table_13[[#This Row],[Month]]=9,"SEPT",B1623=10,"OCT",B1623=11,"NOV",B1623=12,"DEC")</f>
        <v>JUN</v>
      </c>
      <c r="D1623" s="2" t="s">
        <v>29</v>
      </c>
      <c r="E1623" s="2" t="s">
        <v>32</v>
      </c>
      <c r="F1623" s="2" t="s">
        <v>23</v>
      </c>
      <c r="G1623" s="2" t="s">
        <v>14</v>
      </c>
      <c r="H1623" s="2" t="s">
        <v>34</v>
      </c>
      <c r="I1623" s="2" t="s">
        <v>16</v>
      </c>
      <c r="J1623" s="15">
        <v>320000</v>
      </c>
      <c r="K1623" s="2">
        <v>4</v>
      </c>
      <c r="L1623" s="2" t="s">
        <v>39</v>
      </c>
      <c r="M1623" s="12">
        <f t="shared" si="54"/>
        <v>256000</v>
      </c>
      <c r="N1623" s="10">
        <f>PRODUCT(Table_13[[#This Row],[Unit Price]],Table_13[[#This Row],[Quantity]])</f>
        <v>1280000</v>
      </c>
      <c r="O1623" s="16">
        <f>PRODUCT(Table_13[[#This Row],[Cost Price]],Table_13[[#This Row],[Quantity]])</f>
        <v>1024000</v>
      </c>
      <c r="P1623" s="27">
        <f t="shared" si="58"/>
        <v>256000</v>
      </c>
    </row>
    <row r="1624" spans="1:16" x14ac:dyDescent="0.2">
      <c r="A1624" s="33">
        <v>47298</v>
      </c>
      <c r="B1624" s="30">
        <f t="shared" si="57"/>
        <v>6</v>
      </c>
      <c r="C1624" s="30" t="str">
        <f>_xlfn.IFS(Table_13[[#This Row],[Month]]=1,"JAN",Table_13[[#This Row],[Month]]=2,"FEB",B1624=3,"MAR",B1624=4,"APR",B1624=5,"MAY",B1624=6,"JUN",B1624=7,"JUL",B1624=8,"AUG",Table_13[[#This Row],[Month]]=9,"SEPT",B1624=10,"OCT",B1624=11,"NOV",B1624=12,"DEC")</f>
        <v>JUN</v>
      </c>
      <c r="D1624" s="2" t="s">
        <v>29</v>
      </c>
      <c r="E1624" s="2" t="s">
        <v>32</v>
      </c>
      <c r="F1624" s="2" t="s">
        <v>13</v>
      </c>
      <c r="G1624" s="2" t="s">
        <v>20</v>
      </c>
      <c r="H1624" s="2" t="s">
        <v>36</v>
      </c>
      <c r="I1624" s="2" t="s">
        <v>31</v>
      </c>
      <c r="J1624" s="15">
        <v>150000</v>
      </c>
      <c r="K1624" s="2">
        <v>10</v>
      </c>
      <c r="L1624" s="2" t="s">
        <v>17</v>
      </c>
      <c r="M1624" s="12">
        <f t="shared" si="54"/>
        <v>120000</v>
      </c>
      <c r="N1624" s="10">
        <f>PRODUCT(Table_13[[#This Row],[Unit Price]],Table_13[[#This Row],[Quantity]])</f>
        <v>1500000</v>
      </c>
      <c r="O1624" s="16">
        <f>PRODUCT(Table_13[[#This Row],[Cost Price]],Table_13[[#This Row],[Quantity]])</f>
        <v>1200000</v>
      </c>
      <c r="P1624" s="27">
        <f t="shared" si="58"/>
        <v>300000</v>
      </c>
    </row>
    <row r="1625" spans="1:16" x14ac:dyDescent="0.2">
      <c r="A1625" s="33">
        <v>47299</v>
      </c>
      <c r="B1625" s="30">
        <f t="shared" si="57"/>
        <v>6</v>
      </c>
      <c r="C1625" s="30" t="str">
        <f>_xlfn.IFS(Table_13[[#This Row],[Month]]=1,"JAN",Table_13[[#This Row],[Month]]=2,"FEB",B1625=3,"MAR",B1625=4,"APR",B1625=5,"MAY",B1625=6,"JUN",B1625=7,"JUL",B1625=8,"AUG",Table_13[[#This Row],[Month]]=9,"SEPT",B1625=10,"OCT",B1625=11,"NOV",B1625=12,"DEC")</f>
        <v>JUN</v>
      </c>
      <c r="D1625" s="2" t="s">
        <v>25</v>
      </c>
      <c r="E1625" s="2" t="s">
        <v>26</v>
      </c>
      <c r="F1625" s="2" t="s">
        <v>23</v>
      </c>
      <c r="G1625" s="2" t="s">
        <v>20</v>
      </c>
      <c r="H1625" s="2" t="s">
        <v>21</v>
      </c>
      <c r="I1625" s="2" t="s">
        <v>22</v>
      </c>
      <c r="J1625" s="15">
        <v>30000</v>
      </c>
      <c r="K1625" s="2">
        <v>3</v>
      </c>
      <c r="L1625" s="2" t="s">
        <v>35</v>
      </c>
      <c r="M1625" s="12">
        <f t="shared" si="54"/>
        <v>24000</v>
      </c>
      <c r="N1625" s="10">
        <f>PRODUCT(Table_13[[#This Row],[Unit Price]],Table_13[[#This Row],[Quantity]])</f>
        <v>90000</v>
      </c>
      <c r="O1625" s="16">
        <f>PRODUCT(Table_13[[#This Row],[Cost Price]],Table_13[[#This Row],[Quantity]])</f>
        <v>72000</v>
      </c>
      <c r="P1625" s="27">
        <f t="shared" si="58"/>
        <v>18000</v>
      </c>
    </row>
    <row r="1626" spans="1:16" x14ac:dyDescent="0.2">
      <c r="A1626" s="33">
        <v>47300</v>
      </c>
      <c r="B1626" s="30">
        <f t="shared" si="57"/>
        <v>7</v>
      </c>
      <c r="C1626" s="30" t="str">
        <f>_xlfn.IFS(Table_13[[#This Row],[Month]]=1,"JAN",Table_13[[#This Row],[Month]]=2,"FEB",B1626=3,"MAR",B1626=4,"APR",B1626=5,"MAY",B1626=6,"JUN",B1626=7,"JUL",B1626=8,"AUG",Table_13[[#This Row],[Month]]=9,"SEPT",B1626=10,"OCT",B1626=11,"NOV",B1626=12,"DEC")</f>
        <v>JUL</v>
      </c>
      <c r="D1626" s="2" t="s">
        <v>25</v>
      </c>
      <c r="E1626" s="2" t="s">
        <v>26</v>
      </c>
      <c r="F1626" s="2" t="s">
        <v>13</v>
      </c>
      <c r="G1626" s="2" t="s">
        <v>20</v>
      </c>
      <c r="H1626" s="2" t="s">
        <v>15</v>
      </c>
      <c r="I1626" s="2" t="s">
        <v>16</v>
      </c>
      <c r="J1626" s="15">
        <v>85000</v>
      </c>
      <c r="K1626" s="2">
        <v>4</v>
      </c>
      <c r="L1626" s="2" t="s">
        <v>35</v>
      </c>
      <c r="M1626" s="12">
        <f t="shared" si="54"/>
        <v>68000</v>
      </c>
      <c r="N1626" s="10">
        <f>PRODUCT(Table_13[[#This Row],[Unit Price]],Table_13[[#This Row],[Quantity]])</f>
        <v>340000</v>
      </c>
      <c r="O1626" s="16">
        <f>PRODUCT(Table_13[[#This Row],[Cost Price]],Table_13[[#This Row],[Quantity]])</f>
        <v>272000</v>
      </c>
      <c r="P1626" s="27">
        <f t="shared" si="58"/>
        <v>68000</v>
      </c>
    </row>
    <row r="1627" spans="1:16" x14ac:dyDescent="0.2">
      <c r="A1627" s="33">
        <v>47301</v>
      </c>
      <c r="B1627" s="30">
        <f t="shared" si="57"/>
        <v>7</v>
      </c>
      <c r="C1627" s="30" t="str">
        <f>_xlfn.IFS(Table_13[[#This Row],[Month]]=1,"JAN",Table_13[[#This Row],[Month]]=2,"FEB",B1627=3,"MAR",B1627=4,"APR",B1627=5,"MAY",B1627=6,"JUN",B1627=7,"JUL",B1627=8,"AUG",Table_13[[#This Row],[Month]]=9,"SEPT",B1627=10,"OCT",B1627=11,"NOV",B1627=12,"DEC")</f>
        <v>JUL</v>
      </c>
      <c r="D1627" s="2" t="s">
        <v>11</v>
      </c>
      <c r="E1627" s="2" t="s">
        <v>32</v>
      </c>
      <c r="F1627" s="2" t="s">
        <v>13</v>
      </c>
      <c r="G1627" s="2" t="s">
        <v>20</v>
      </c>
      <c r="H1627" s="2" t="s">
        <v>33</v>
      </c>
      <c r="I1627" s="2" t="s">
        <v>22</v>
      </c>
      <c r="J1627" s="15">
        <v>180000</v>
      </c>
      <c r="K1627" s="2">
        <v>10</v>
      </c>
      <c r="L1627" s="2" t="s">
        <v>35</v>
      </c>
      <c r="M1627" s="12">
        <f t="shared" si="54"/>
        <v>144000</v>
      </c>
      <c r="N1627" s="10">
        <f>PRODUCT(Table_13[[#This Row],[Unit Price]],Table_13[[#This Row],[Quantity]])</f>
        <v>1800000</v>
      </c>
      <c r="O1627" s="16">
        <f>PRODUCT(Table_13[[#This Row],[Cost Price]],Table_13[[#This Row],[Quantity]])</f>
        <v>1440000</v>
      </c>
      <c r="P1627" s="27">
        <f t="shared" si="58"/>
        <v>360000</v>
      </c>
    </row>
    <row r="1628" spans="1:16" x14ac:dyDescent="0.2">
      <c r="A1628" s="33">
        <v>47302</v>
      </c>
      <c r="B1628" s="30">
        <f t="shared" si="57"/>
        <v>7</v>
      </c>
      <c r="C1628" s="30" t="str">
        <f>_xlfn.IFS(Table_13[[#This Row],[Month]]=1,"JAN",Table_13[[#This Row],[Month]]=2,"FEB",B1628=3,"MAR",B1628=4,"APR",B1628=5,"MAY",B1628=6,"JUN",B1628=7,"JUL",B1628=8,"AUG",Table_13[[#This Row],[Month]]=9,"SEPT",B1628=10,"OCT",B1628=11,"NOV",B1628=12,"DEC")</f>
        <v>JUL</v>
      </c>
      <c r="D1628" s="2" t="s">
        <v>11</v>
      </c>
      <c r="E1628" s="2" t="s">
        <v>19</v>
      </c>
      <c r="F1628" s="2" t="s">
        <v>23</v>
      </c>
      <c r="G1628" s="2" t="s">
        <v>20</v>
      </c>
      <c r="H1628" s="2" t="s">
        <v>34</v>
      </c>
      <c r="I1628" s="2" t="s">
        <v>16</v>
      </c>
      <c r="J1628" s="15">
        <v>320000</v>
      </c>
      <c r="K1628" s="2">
        <v>9</v>
      </c>
      <c r="L1628" s="2" t="s">
        <v>37</v>
      </c>
      <c r="M1628" s="12">
        <f t="shared" si="54"/>
        <v>256000</v>
      </c>
      <c r="N1628" s="10">
        <f>PRODUCT(Table_13[[#This Row],[Unit Price]],Table_13[[#This Row],[Quantity]])</f>
        <v>2880000</v>
      </c>
      <c r="O1628" s="16">
        <f>PRODUCT(Table_13[[#This Row],[Cost Price]],Table_13[[#This Row],[Quantity]])</f>
        <v>2304000</v>
      </c>
      <c r="P1628" s="27">
        <f t="shared" si="58"/>
        <v>576000</v>
      </c>
    </row>
    <row r="1629" spans="1:16" x14ac:dyDescent="0.2">
      <c r="A1629" s="33">
        <v>47303</v>
      </c>
      <c r="B1629" s="30">
        <f t="shared" si="57"/>
        <v>7</v>
      </c>
      <c r="C1629" s="30" t="str">
        <f>_xlfn.IFS(Table_13[[#This Row],[Month]]=1,"JAN",Table_13[[#This Row],[Month]]=2,"FEB",B1629=3,"MAR",B1629=4,"APR",B1629=5,"MAY",B1629=6,"JUN",B1629=7,"JUL",B1629=8,"AUG",Table_13[[#This Row],[Month]]=9,"SEPT",B1629=10,"OCT",B1629=11,"NOV",B1629=12,"DEC")</f>
        <v>JUL</v>
      </c>
      <c r="D1629" s="2" t="s">
        <v>25</v>
      </c>
      <c r="E1629" s="2" t="s">
        <v>19</v>
      </c>
      <c r="F1629" s="2" t="s">
        <v>23</v>
      </c>
      <c r="G1629" s="2" t="s">
        <v>14</v>
      </c>
      <c r="H1629" s="2" t="s">
        <v>36</v>
      </c>
      <c r="I1629" s="2" t="s">
        <v>31</v>
      </c>
      <c r="J1629" s="15">
        <v>150000</v>
      </c>
      <c r="K1629" s="2">
        <v>3</v>
      </c>
      <c r="L1629" s="2" t="s">
        <v>39</v>
      </c>
      <c r="M1629" s="12">
        <f t="shared" si="54"/>
        <v>120000</v>
      </c>
      <c r="N1629" s="10">
        <f>PRODUCT(Table_13[[#This Row],[Unit Price]],Table_13[[#This Row],[Quantity]])</f>
        <v>450000</v>
      </c>
      <c r="O1629" s="16">
        <f>PRODUCT(Table_13[[#This Row],[Cost Price]],Table_13[[#This Row],[Quantity]])</f>
        <v>360000</v>
      </c>
      <c r="P1629" s="27">
        <f t="shared" si="58"/>
        <v>90000</v>
      </c>
    </row>
    <row r="1630" spans="1:16" x14ac:dyDescent="0.2">
      <c r="A1630" s="33">
        <v>47304</v>
      </c>
      <c r="B1630" s="30">
        <f t="shared" si="57"/>
        <v>7</v>
      </c>
      <c r="C1630" s="30" t="str">
        <f>_xlfn.IFS(Table_13[[#This Row],[Month]]=1,"JAN",Table_13[[#This Row],[Month]]=2,"FEB",B1630=3,"MAR",B1630=4,"APR",B1630=5,"MAY",B1630=6,"JUN",B1630=7,"JUL",B1630=8,"AUG",Table_13[[#This Row],[Month]]=9,"SEPT",B1630=10,"OCT",B1630=11,"NOV",B1630=12,"DEC")</f>
        <v>JUL</v>
      </c>
      <c r="D1630" s="2" t="s">
        <v>29</v>
      </c>
      <c r="E1630" s="2" t="s">
        <v>19</v>
      </c>
      <c r="F1630" s="2" t="s">
        <v>13</v>
      </c>
      <c r="G1630" s="2" t="s">
        <v>14</v>
      </c>
      <c r="H1630" s="2" t="s">
        <v>41</v>
      </c>
      <c r="I1630" s="2" t="s">
        <v>22</v>
      </c>
      <c r="J1630" s="15">
        <v>220000</v>
      </c>
      <c r="K1630" s="2">
        <v>5</v>
      </c>
      <c r="L1630" s="2" t="s">
        <v>39</v>
      </c>
      <c r="M1630" s="12">
        <f t="shared" si="54"/>
        <v>176000</v>
      </c>
      <c r="N1630" s="10">
        <f>PRODUCT(Table_13[[#This Row],[Unit Price]],Table_13[[#This Row],[Quantity]])</f>
        <v>1100000</v>
      </c>
      <c r="O1630" s="16">
        <f>PRODUCT(Table_13[[#This Row],[Cost Price]],Table_13[[#This Row],[Quantity]])</f>
        <v>880000</v>
      </c>
      <c r="P1630" s="27">
        <f t="shared" si="58"/>
        <v>220000</v>
      </c>
    </row>
    <row r="1631" spans="1:16" x14ac:dyDescent="0.2">
      <c r="A1631" s="33">
        <v>47305</v>
      </c>
      <c r="B1631" s="30">
        <f t="shared" si="57"/>
        <v>7</v>
      </c>
      <c r="C1631" s="30" t="str">
        <f>_xlfn.IFS(Table_13[[#This Row],[Month]]=1,"JAN",Table_13[[#This Row],[Month]]=2,"FEB",B1631=3,"MAR",B1631=4,"APR",B1631=5,"MAY",B1631=6,"JUN",B1631=7,"JUL",B1631=8,"AUG",Table_13[[#This Row],[Month]]=9,"SEPT",B1631=10,"OCT",B1631=11,"NOV",B1631=12,"DEC")</f>
        <v>JUL</v>
      </c>
      <c r="D1631" s="2" t="s">
        <v>29</v>
      </c>
      <c r="E1631" s="2" t="s">
        <v>32</v>
      </c>
      <c r="F1631" s="2" t="s">
        <v>23</v>
      </c>
      <c r="G1631" s="2" t="s">
        <v>20</v>
      </c>
      <c r="H1631" s="2" t="s">
        <v>30</v>
      </c>
      <c r="I1631" s="2" t="s">
        <v>31</v>
      </c>
      <c r="J1631" s="15">
        <v>300000</v>
      </c>
      <c r="K1631" s="2">
        <v>2</v>
      </c>
      <c r="L1631" s="2" t="s">
        <v>17</v>
      </c>
      <c r="M1631" s="12">
        <f t="shared" si="54"/>
        <v>240000</v>
      </c>
      <c r="N1631" s="10">
        <f>PRODUCT(Table_13[[#This Row],[Unit Price]],Table_13[[#This Row],[Quantity]])</f>
        <v>600000</v>
      </c>
      <c r="O1631" s="16">
        <f>PRODUCT(Table_13[[#This Row],[Cost Price]],Table_13[[#This Row],[Quantity]])</f>
        <v>480000</v>
      </c>
      <c r="P1631" s="27">
        <f t="shared" si="58"/>
        <v>120000</v>
      </c>
    </row>
    <row r="1632" spans="1:16" x14ac:dyDescent="0.2">
      <c r="A1632" s="33">
        <v>47306</v>
      </c>
      <c r="B1632" s="30">
        <f t="shared" si="57"/>
        <v>7</v>
      </c>
      <c r="C1632" s="30" t="str">
        <f>_xlfn.IFS(Table_13[[#This Row],[Month]]=1,"JAN",Table_13[[#This Row],[Month]]=2,"FEB",B1632=3,"MAR",B1632=4,"APR",B1632=5,"MAY",B1632=6,"JUN",B1632=7,"JUL",B1632=8,"AUG",Table_13[[#This Row],[Month]]=9,"SEPT",B1632=10,"OCT",B1632=11,"NOV",B1632=12,"DEC")</f>
        <v>JUL</v>
      </c>
      <c r="D1632" s="2" t="s">
        <v>18</v>
      </c>
      <c r="E1632" s="2" t="s">
        <v>12</v>
      </c>
      <c r="F1632" s="2" t="s">
        <v>23</v>
      </c>
      <c r="G1632" s="2" t="s">
        <v>14</v>
      </c>
      <c r="H1632" s="2" t="s">
        <v>30</v>
      </c>
      <c r="I1632" s="2" t="s">
        <v>31</v>
      </c>
      <c r="J1632" s="15">
        <v>300000</v>
      </c>
      <c r="K1632" s="2">
        <v>6</v>
      </c>
      <c r="L1632" s="2" t="s">
        <v>39</v>
      </c>
      <c r="M1632" s="12">
        <f t="shared" si="54"/>
        <v>240000</v>
      </c>
      <c r="N1632" s="10">
        <f>PRODUCT(Table_13[[#This Row],[Unit Price]],Table_13[[#This Row],[Quantity]])</f>
        <v>1800000</v>
      </c>
      <c r="O1632" s="16">
        <f>PRODUCT(Table_13[[#This Row],[Cost Price]],Table_13[[#This Row],[Quantity]])</f>
        <v>1440000</v>
      </c>
      <c r="P1632" s="27">
        <f t="shared" si="58"/>
        <v>360000</v>
      </c>
    </row>
    <row r="1633" spans="1:16" x14ac:dyDescent="0.2">
      <c r="A1633" s="33">
        <v>47307</v>
      </c>
      <c r="B1633" s="30">
        <f t="shared" si="57"/>
        <v>7</v>
      </c>
      <c r="C1633" s="30" t="str">
        <f>_xlfn.IFS(Table_13[[#This Row],[Month]]=1,"JAN",Table_13[[#This Row],[Month]]=2,"FEB",B1633=3,"MAR",B1633=4,"APR",B1633=5,"MAY",B1633=6,"JUN",B1633=7,"JUL",B1633=8,"AUG",Table_13[[#This Row],[Month]]=9,"SEPT",B1633=10,"OCT",B1633=11,"NOV",B1633=12,"DEC")</f>
        <v>JUL</v>
      </c>
      <c r="D1633" s="2" t="s">
        <v>29</v>
      </c>
      <c r="E1633" s="2" t="s">
        <v>32</v>
      </c>
      <c r="F1633" s="2" t="s">
        <v>23</v>
      </c>
      <c r="G1633" s="2" t="s">
        <v>14</v>
      </c>
      <c r="H1633" s="2" t="s">
        <v>33</v>
      </c>
      <c r="I1633" s="2" t="s">
        <v>22</v>
      </c>
      <c r="J1633" s="15">
        <v>180000</v>
      </c>
      <c r="K1633" s="2">
        <v>7</v>
      </c>
      <c r="L1633" s="2" t="s">
        <v>39</v>
      </c>
      <c r="M1633" s="12">
        <f t="shared" si="54"/>
        <v>144000</v>
      </c>
      <c r="N1633" s="10">
        <f>PRODUCT(Table_13[[#This Row],[Unit Price]],Table_13[[#This Row],[Quantity]])</f>
        <v>1260000</v>
      </c>
      <c r="O1633" s="16">
        <f>PRODUCT(Table_13[[#This Row],[Cost Price]],Table_13[[#This Row],[Quantity]])</f>
        <v>1008000</v>
      </c>
      <c r="P1633" s="27">
        <f t="shared" si="58"/>
        <v>252000</v>
      </c>
    </row>
    <row r="1634" spans="1:16" x14ac:dyDescent="0.2">
      <c r="A1634" s="33">
        <v>47308</v>
      </c>
      <c r="B1634" s="30">
        <f t="shared" si="57"/>
        <v>7</v>
      </c>
      <c r="C1634" s="30" t="str">
        <f>_xlfn.IFS(Table_13[[#This Row],[Month]]=1,"JAN",Table_13[[#This Row],[Month]]=2,"FEB",B1634=3,"MAR",B1634=4,"APR",B1634=5,"MAY",B1634=6,"JUN",B1634=7,"JUL",B1634=8,"AUG",Table_13[[#This Row],[Month]]=9,"SEPT",B1634=10,"OCT",B1634=11,"NOV",B1634=12,"DEC")</f>
        <v>JUL</v>
      </c>
      <c r="D1634" s="2" t="s">
        <v>11</v>
      </c>
      <c r="E1634" s="2" t="s">
        <v>26</v>
      </c>
      <c r="F1634" s="2" t="s">
        <v>23</v>
      </c>
      <c r="G1634" s="2" t="s">
        <v>20</v>
      </c>
      <c r="H1634" s="2" t="s">
        <v>34</v>
      </c>
      <c r="I1634" s="2" t="s">
        <v>16</v>
      </c>
      <c r="J1634" s="15">
        <v>320000</v>
      </c>
      <c r="K1634" s="2">
        <v>6</v>
      </c>
      <c r="L1634" s="2" t="s">
        <v>17</v>
      </c>
      <c r="M1634" s="12">
        <f t="shared" si="54"/>
        <v>256000</v>
      </c>
      <c r="N1634" s="10">
        <f>PRODUCT(Table_13[[#This Row],[Unit Price]],Table_13[[#This Row],[Quantity]])</f>
        <v>1920000</v>
      </c>
      <c r="O1634" s="16">
        <f>PRODUCT(Table_13[[#This Row],[Cost Price]],Table_13[[#This Row],[Quantity]])</f>
        <v>1536000</v>
      </c>
      <c r="P1634" s="27">
        <f t="shared" si="58"/>
        <v>384000</v>
      </c>
    </row>
    <row r="1635" spans="1:16" x14ac:dyDescent="0.2">
      <c r="A1635" s="33">
        <v>47309</v>
      </c>
      <c r="B1635" s="30">
        <f t="shared" si="57"/>
        <v>7</v>
      </c>
      <c r="C1635" s="30" t="str">
        <f>_xlfn.IFS(Table_13[[#This Row],[Month]]=1,"JAN",Table_13[[#This Row],[Month]]=2,"FEB",B1635=3,"MAR",B1635=4,"APR",B1635=5,"MAY",B1635=6,"JUN",B1635=7,"JUL",B1635=8,"AUG",Table_13[[#This Row],[Month]]=9,"SEPT",B1635=10,"OCT",B1635=11,"NOV",B1635=12,"DEC")</f>
        <v>JUL</v>
      </c>
      <c r="D1635" s="2" t="s">
        <v>29</v>
      </c>
      <c r="E1635" s="2" t="s">
        <v>19</v>
      </c>
      <c r="F1635" s="2" t="s">
        <v>13</v>
      </c>
      <c r="G1635" s="2" t="s">
        <v>20</v>
      </c>
      <c r="H1635" s="2" t="s">
        <v>40</v>
      </c>
      <c r="I1635" s="2" t="s">
        <v>31</v>
      </c>
      <c r="J1635" s="15">
        <v>250000</v>
      </c>
      <c r="K1635" s="2">
        <v>5</v>
      </c>
      <c r="L1635" s="2" t="s">
        <v>35</v>
      </c>
      <c r="M1635" s="12">
        <f t="shared" si="54"/>
        <v>200000</v>
      </c>
      <c r="N1635" s="10">
        <f>PRODUCT(Table_13[[#This Row],[Unit Price]],Table_13[[#This Row],[Quantity]])</f>
        <v>1250000</v>
      </c>
      <c r="O1635" s="16">
        <f>PRODUCT(Table_13[[#This Row],[Cost Price]],Table_13[[#This Row],[Quantity]])</f>
        <v>1000000</v>
      </c>
      <c r="P1635" s="27">
        <f t="shared" si="58"/>
        <v>250000</v>
      </c>
    </row>
    <row r="1636" spans="1:16" x14ac:dyDescent="0.2">
      <c r="A1636" s="33">
        <v>47310</v>
      </c>
      <c r="B1636" s="30">
        <f t="shared" si="57"/>
        <v>7</v>
      </c>
      <c r="C1636" s="30" t="str">
        <f>_xlfn.IFS(Table_13[[#This Row],[Month]]=1,"JAN",Table_13[[#This Row],[Month]]=2,"FEB",B1636=3,"MAR",B1636=4,"APR",B1636=5,"MAY",B1636=6,"JUN",B1636=7,"JUL",B1636=8,"AUG",Table_13[[#This Row],[Month]]=9,"SEPT",B1636=10,"OCT",B1636=11,"NOV",B1636=12,"DEC")</f>
        <v>JUL</v>
      </c>
      <c r="D1636" s="2" t="s">
        <v>11</v>
      </c>
      <c r="E1636" s="2" t="s">
        <v>19</v>
      </c>
      <c r="F1636" s="2" t="s">
        <v>13</v>
      </c>
      <c r="G1636" s="2" t="s">
        <v>14</v>
      </c>
      <c r="H1636" s="2" t="s">
        <v>30</v>
      </c>
      <c r="I1636" s="2" t="s">
        <v>31</v>
      </c>
      <c r="J1636" s="15">
        <v>300000</v>
      </c>
      <c r="K1636" s="2">
        <v>3</v>
      </c>
      <c r="L1636" s="2" t="s">
        <v>39</v>
      </c>
      <c r="M1636" s="12">
        <f t="shared" si="54"/>
        <v>240000</v>
      </c>
      <c r="N1636" s="10">
        <f>PRODUCT(Table_13[[#This Row],[Unit Price]],Table_13[[#This Row],[Quantity]])</f>
        <v>900000</v>
      </c>
      <c r="O1636" s="16">
        <f>PRODUCT(Table_13[[#This Row],[Cost Price]],Table_13[[#This Row],[Quantity]])</f>
        <v>720000</v>
      </c>
      <c r="P1636" s="27">
        <f t="shared" si="58"/>
        <v>180000</v>
      </c>
    </row>
    <row r="1637" spans="1:16" x14ac:dyDescent="0.2">
      <c r="A1637" s="33">
        <v>47311</v>
      </c>
      <c r="B1637" s="30">
        <f t="shared" si="57"/>
        <v>7</v>
      </c>
      <c r="C1637" s="30" t="str">
        <f>_xlfn.IFS(Table_13[[#This Row],[Month]]=1,"JAN",Table_13[[#This Row],[Month]]=2,"FEB",B1637=3,"MAR",B1637=4,"APR",B1637=5,"MAY",B1637=6,"JUN",B1637=7,"JUL",B1637=8,"AUG",Table_13[[#This Row],[Month]]=9,"SEPT",B1637=10,"OCT",B1637=11,"NOV",B1637=12,"DEC")</f>
        <v>JUL</v>
      </c>
      <c r="D1637" s="2" t="s">
        <v>11</v>
      </c>
      <c r="E1637" s="2" t="s">
        <v>32</v>
      </c>
      <c r="F1637" s="2" t="s">
        <v>13</v>
      </c>
      <c r="G1637" s="2" t="s">
        <v>20</v>
      </c>
      <c r="H1637" s="2" t="s">
        <v>33</v>
      </c>
      <c r="I1637" s="2" t="s">
        <v>22</v>
      </c>
      <c r="J1637" s="15">
        <v>180000</v>
      </c>
      <c r="K1637" s="2">
        <v>8</v>
      </c>
      <c r="L1637" s="2" t="s">
        <v>39</v>
      </c>
      <c r="M1637" s="12">
        <f t="shared" si="54"/>
        <v>144000</v>
      </c>
      <c r="N1637" s="10">
        <f>PRODUCT(Table_13[[#This Row],[Unit Price]],Table_13[[#This Row],[Quantity]])</f>
        <v>1440000</v>
      </c>
      <c r="O1637" s="16">
        <f>PRODUCT(Table_13[[#This Row],[Cost Price]],Table_13[[#This Row],[Quantity]])</f>
        <v>1152000</v>
      </c>
      <c r="P1637" s="27">
        <f t="shared" si="58"/>
        <v>288000</v>
      </c>
    </row>
    <row r="1638" spans="1:16" x14ac:dyDescent="0.2">
      <c r="A1638" s="33">
        <v>47312</v>
      </c>
      <c r="B1638" s="30">
        <f t="shared" si="57"/>
        <v>7</v>
      </c>
      <c r="C1638" s="30" t="str">
        <f>_xlfn.IFS(Table_13[[#This Row],[Month]]=1,"JAN",Table_13[[#This Row],[Month]]=2,"FEB",B1638=3,"MAR",B1638=4,"APR",B1638=5,"MAY",B1638=6,"JUN",B1638=7,"JUL",B1638=8,"AUG",Table_13[[#This Row],[Month]]=9,"SEPT",B1638=10,"OCT",B1638=11,"NOV",B1638=12,"DEC")</f>
        <v>JUL</v>
      </c>
      <c r="D1638" s="2" t="s">
        <v>18</v>
      </c>
      <c r="E1638" s="2" t="s">
        <v>32</v>
      </c>
      <c r="F1638" s="2" t="s">
        <v>13</v>
      </c>
      <c r="G1638" s="2" t="s">
        <v>20</v>
      </c>
      <c r="H1638" s="2" t="s">
        <v>34</v>
      </c>
      <c r="I1638" s="2" t="s">
        <v>16</v>
      </c>
      <c r="J1638" s="15">
        <v>320000</v>
      </c>
      <c r="K1638" s="2">
        <v>5</v>
      </c>
      <c r="L1638" s="2" t="s">
        <v>24</v>
      </c>
      <c r="M1638" s="12">
        <f t="shared" si="54"/>
        <v>256000</v>
      </c>
      <c r="N1638" s="10">
        <f>PRODUCT(Table_13[[#This Row],[Unit Price]],Table_13[[#This Row],[Quantity]])</f>
        <v>1600000</v>
      </c>
      <c r="O1638" s="16">
        <f>PRODUCT(Table_13[[#This Row],[Cost Price]],Table_13[[#This Row],[Quantity]])</f>
        <v>1280000</v>
      </c>
      <c r="P1638" s="27">
        <f t="shared" si="58"/>
        <v>320000</v>
      </c>
    </row>
    <row r="1639" spans="1:16" x14ac:dyDescent="0.2">
      <c r="A1639" s="33">
        <v>47313</v>
      </c>
      <c r="B1639" s="30">
        <f t="shared" si="57"/>
        <v>7</v>
      </c>
      <c r="C1639" s="30" t="str">
        <f>_xlfn.IFS(Table_13[[#This Row],[Month]]=1,"JAN",Table_13[[#This Row],[Month]]=2,"FEB",B1639=3,"MAR",B1639=4,"APR",B1639=5,"MAY",B1639=6,"JUN",B1639=7,"JUL",B1639=8,"AUG",Table_13[[#This Row],[Month]]=9,"SEPT",B1639=10,"OCT",B1639=11,"NOV",B1639=12,"DEC")</f>
        <v>JUL</v>
      </c>
      <c r="D1639" s="2" t="s">
        <v>11</v>
      </c>
      <c r="E1639" s="2" t="s">
        <v>32</v>
      </c>
      <c r="F1639" s="2" t="s">
        <v>13</v>
      </c>
      <c r="G1639" s="2" t="s">
        <v>14</v>
      </c>
      <c r="H1639" s="2" t="s">
        <v>40</v>
      </c>
      <c r="I1639" s="2" t="s">
        <v>31</v>
      </c>
      <c r="J1639" s="15">
        <v>250000</v>
      </c>
      <c r="K1639" s="2">
        <v>7</v>
      </c>
      <c r="L1639" s="2" t="s">
        <v>24</v>
      </c>
      <c r="M1639" s="12">
        <f t="shared" si="54"/>
        <v>200000</v>
      </c>
      <c r="N1639" s="10">
        <f>PRODUCT(Table_13[[#This Row],[Unit Price]],Table_13[[#This Row],[Quantity]])</f>
        <v>1750000</v>
      </c>
      <c r="O1639" s="16">
        <f>PRODUCT(Table_13[[#This Row],[Cost Price]],Table_13[[#This Row],[Quantity]])</f>
        <v>1400000</v>
      </c>
      <c r="P1639" s="27">
        <f t="shared" si="58"/>
        <v>350000</v>
      </c>
    </row>
    <row r="1640" spans="1:16" x14ac:dyDescent="0.2">
      <c r="A1640" s="33">
        <v>47314</v>
      </c>
      <c r="B1640" s="30">
        <f t="shared" si="57"/>
        <v>7</v>
      </c>
      <c r="C1640" s="30" t="str">
        <f>_xlfn.IFS(Table_13[[#This Row],[Month]]=1,"JAN",Table_13[[#This Row],[Month]]=2,"FEB",B1640=3,"MAR",B1640=4,"APR",B1640=5,"MAY",B1640=6,"JUN",B1640=7,"JUL",B1640=8,"AUG",Table_13[[#This Row],[Month]]=9,"SEPT",B1640=10,"OCT",B1640=11,"NOV",B1640=12,"DEC")</f>
        <v>JUL</v>
      </c>
      <c r="D1640" s="2" t="s">
        <v>11</v>
      </c>
      <c r="E1640" s="2" t="s">
        <v>19</v>
      </c>
      <c r="F1640" s="2" t="s">
        <v>13</v>
      </c>
      <c r="G1640" s="2" t="s">
        <v>20</v>
      </c>
      <c r="H1640" s="2" t="s">
        <v>30</v>
      </c>
      <c r="I1640" s="2" t="s">
        <v>31</v>
      </c>
      <c r="J1640" s="15">
        <v>300000</v>
      </c>
      <c r="K1640" s="2">
        <v>8</v>
      </c>
      <c r="L1640" s="2" t="s">
        <v>17</v>
      </c>
      <c r="M1640" s="12">
        <f t="shared" si="54"/>
        <v>240000</v>
      </c>
      <c r="N1640" s="10">
        <f>PRODUCT(Table_13[[#This Row],[Unit Price]],Table_13[[#This Row],[Quantity]])</f>
        <v>2400000</v>
      </c>
      <c r="O1640" s="16">
        <f>PRODUCT(Table_13[[#This Row],[Cost Price]],Table_13[[#This Row],[Quantity]])</f>
        <v>1920000</v>
      </c>
      <c r="P1640" s="27">
        <f t="shared" si="58"/>
        <v>480000</v>
      </c>
    </row>
    <row r="1641" spans="1:16" x14ac:dyDescent="0.2">
      <c r="A1641" s="33">
        <v>47315</v>
      </c>
      <c r="B1641" s="30">
        <f t="shared" si="57"/>
        <v>7</v>
      </c>
      <c r="C1641" s="30" t="str">
        <f>_xlfn.IFS(Table_13[[#This Row],[Month]]=1,"JAN",Table_13[[#This Row],[Month]]=2,"FEB",B1641=3,"MAR",B1641=4,"APR",B1641=5,"MAY",B1641=6,"JUN",B1641=7,"JUL",B1641=8,"AUG",Table_13[[#This Row],[Month]]=9,"SEPT",B1641=10,"OCT",B1641=11,"NOV",B1641=12,"DEC")</f>
        <v>JUL</v>
      </c>
      <c r="D1641" s="2" t="s">
        <v>11</v>
      </c>
      <c r="E1641" s="2" t="s">
        <v>19</v>
      </c>
      <c r="F1641" s="2" t="s">
        <v>23</v>
      </c>
      <c r="G1641" s="2" t="s">
        <v>14</v>
      </c>
      <c r="H1641" s="2" t="s">
        <v>38</v>
      </c>
      <c r="I1641" s="2" t="s">
        <v>31</v>
      </c>
      <c r="J1641" s="15">
        <v>420000</v>
      </c>
      <c r="K1641" s="2">
        <v>4</v>
      </c>
      <c r="L1641" s="2" t="s">
        <v>39</v>
      </c>
      <c r="M1641" s="12">
        <f t="shared" si="54"/>
        <v>336000</v>
      </c>
      <c r="N1641" s="10">
        <f>PRODUCT(Table_13[[#This Row],[Unit Price]],Table_13[[#This Row],[Quantity]])</f>
        <v>1680000</v>
      </c>
      <c r="O1641" s="16">
        <f>PRODUCT(Table_13[[#This Row],[Cost Price]],Table_13[[#This Row],[Quantity]])</f>
        <v>1344000</v>
      </c>
      <c r="P1641" s="27">
        <f t="shared" si="58"/>
        <v>336000</v>
      </c>
    </row>
    <row r="1642" spans="1:16" x14ac:dyDescent="0.2">
      <c r="A1642" s="33">
        <v>47316</v>
      </c>
      <c r="B1642" s="30">
        <f t="shared" si="57"/>
        <v>7</v>
      </c>
      <c r="C1642" s="30" t="str">
        <f>_xlfn.IFS(Table_13[[#This Row],[Month]]=1,"JAN",Table_13[[#This Row],[Month]]=2,"FEB",B1642=3,"MAR",B1642=4,"APR",B1642=5,"MAY",B1642=6,"JUN",B1642=7,"JUL",B1642=8,"AUG",Table_13[[#This Row],[Month]]=9,"SEPT",B1642=10,"OCT",B1642=11,"NOV",B1642=12,"DEC")</f>
        <v>JUL</v>
      </c>
      <c r="D1642" s="2" t="s">
        <v>11</v>
      </c>
      <c r="E1642" s="2" t="s">
        <v>12</v>
      </c>
      <c r="F1642" s="2" t="s">
        <v>23</v>
      </c>
      <c r="G1642" s="2" t="s">
        <v>20</v>
      </c>
      <c r="H1642" s="2" t="s">
        <v>40</v>
      </c>
      <c r="I1642" s="2" t="s">
        <v>31</v>
      </c>
      <c r="J1642" s="15">
        <v>250000</v>
      </c>
      <c r="K1642" s="2">
        <v>6</v>
      </c>
      <c r="L1642" s="2" t="s">
        <v>28</v>
      </c>
      <c r="M1642" s="12">
        <f t="shared" si="54"/>
        <v>200000</v>
      </c>
      <c r="N1642" s="10">
        <f>PRODUCT(Table_13[[#This Row],[Unit Price]],Table_13[[#This Row],[Quantity]])</f>
        <v>1500000</v>
      </c>
      <c r="O1642" s="16">
        <f>PRODUCT(Table_13[[#This Row],[Cost Price]],Table_13[[#This Row],[Quantity]])</f>
        <v>1200000</v>
      </c>
      <c r="P1642" s="27">
        <f t="shared" si="58"/>
        <v>300000</v>
      </c>
    </row>
    <row r="1643" spans="1:16" x14ac:dyDescent="0.2">
      <c r="A1643" s="33">
        <v>47317</v>
      </c>
      <c r="B1643" s="30">
        <f t="shared" si="57"/>
        <v>7</v>
      </c>
      <c r="C1643" s="30" t="str">
        <f>_xlfn.IFS(Table_13[[#This Row],[Month]]=1,"JAN",Table_13[[#This Row],[Month]]=2,"FEB",B1643=3,"MAR",B1643=4,"APR",B1643=5,"MAY",B1643=6,"JUN",B1643=7,"JUL",B1643=8,"AUG",Table_13[[#This Row],[Month]]=9,"SEPT",B1643=10,"OCT",B1643=11,"NOV",B1643=12,"DEC")</f>
        <v>JUL</v>
      </c>
      <c r="D1643" s="2" t="s">
        <v>18</v>
      </c>
      <c r="E1643" s="2" t="s">
        <v>32</v>
      </c>
      <c r="F1643" s="2" t="s">
        <v>13</v>
      </c>
      <c r="G1643" s="2" t="s">
        <v>14</v>
      </c>
      <c r="H1643" s="2" t="s">
        <v>36</v>
      </c>
      <c r="I1643" s="2" t="s">
        <v>31</v>
      </c>
      <c r="J1643" s="15">
        <v>150000</v>
      </c>
      <c r="K1643" s="2">
        <v>3</v>
      </c>
      <c r="L1643" s="2" t="s">
        <v>28</v>
      </c>
      <c r="M1643" s="12">
        <f t="shared" si="54"/>
        <v>120000</v>
      </c>
      <c r="N1643" s="10">
        <f>PRODUCT(Table_13[[#This Row],[Unit Price]],Table_13[[#This Row],[Quantity]])</f>
        <v>450000</v>
      </c>
      <c r="O1643" s="16">
        <f>PRODUCT(Table_13[[#This Row],[Cost Price]],Table_13[[#This Row],[Quantity]])</f>
        <v>360000</v>
      </c>
      <c r="P1643" s="27">
        <f t="shared" si="58"/>
        <v>90000</v>
      </c>
    </row>
    <row r="1644" spans="1:16" x14ac:dyDescent="0.2">
      <c r="A1644" s="33">
        <v>47318</v>
      </c>
      <c r="B1644" s="30">
        <f t="shared" si="57"/>
        <v>7</v>
      </c>
      <c r="C1644" s="30" t="str">
        <f>_xlfn.IFS(Table_13[[#This Row],[Month]]=1,"JAN",Table_13[[#This Row],[Month]]=2,"FEB",B1644=3,"MAR",B1644=4,"APR",B1644=5,"MAY",B1644=6,"JUN",B1644=7,"JUL",B1644=8,"AUG",Table_13[[#This Row],[Month]]=9,"SEPT",B1644=10,"OCT",B1644=11,"NOV",B1644=12,"DEC")</f>
        <v>JUL</v>
      </c>
      <c r="D1644" s="2" t="s">
        <v>29</v>
      </c>
      <c r="E1644" s="2" t="s">
        <v>12</v>
      </c>
      <c r="F1644" s="2" t="s">
        <v>23</v>
      </c>
      <c r="G1644" s="2" t="s">
        <v>20</v>
      </c>
      <c r="H1644" s="2" t="s">
        <v>30</v>
      </c>
      <c r="I1644" s="2" t="s">
        <v>31</v>
      </c>
      <c r="J1644" s="15">
        <v>300000</v>
      </c>
      <c r="K1644" s="2">
        <v>6</v>
      </c>
      <c r="L1644" s="2" t="s">
        <v>37</v>
      </c>
      <c r="M1644" s="12">
        <f t="shared" si="54"/>
        <v>240000</v>
      </c>
      <c r="N1644" s="10">
        <f>PRODUCT(Table_13[[#This Row],[Unit Price]],Table_13[[#This Row],[Quantity]])</f>
        <v>1800000</v>
      </c>
      <c r="O1644" s="16">
        <f>PRODUCT(Table_13[[#This Row],[Cost Price]],Table_13[[#This Row],[Quantity]])</f>
        <v>1440000</v>
      </c>
      <c r="P1644" s="27">
        <f t="shared" si="58"/>
        <v>360000</v>
      </c>
    </row>
    <row r="1645" spans="1:16" x14ac:dyDescent="0.2">
      <c r="A1645" s="33">
        <v>47319</v>
      </c>
      <c r="B1645" s="30">
        <f t="shared" si="57"/>
        <v>7</v>
      </c>
      <c r="C1645" s="30" t="str">
        <f>_xlfn.IFS(Table_13[[#This Row],[Month]]=1,"JAN",Table_13[[#This Row],[Month]]=2,"FEB",B1645=3,"MAR",B1645=4,"APR",B1645=5,"MAY",B1645=6,"JUN",B1645=7,"JUL",B1645=8,"AUG",Table_13[[#This Row],[Month]]=9,"SEPT",B1645=10,"OCT",B1645=11,"NOV",B1645=12,"DEC")</f>
        <v>JUL</v>
      </c>
      <c r="D1645" s="2" t="s">
        <v>25</v>
      </c>
      <c r="E1645" s="2" t="s">
        <v>12</v>
      </c>
      <c r="F1645" s="2" t="s">
        <v>13</v>
      </c>
      <c r="G1645" s="2" t="s">
        <v>20</v>
      </c>
      <c r="H1645" s="2" t="s">
        <v>33</v>
      </c>
      <c r="I1645" s="2" t="s">
        <v>22</v>
      </c>
      <c r="J1645" s="15">
        <v>180000</v>
      </c>
      <c r="K1645" s="2">
        <v>2</v>
      </c>
      <c r="L1645" s="2" t="s">
        <v>28</v>
      </c>
      <c r="M1645" s="12">
        <f t="shared" si="54"/>
        <v>144000</v>
      </c>
      <c r="N1645" s="10">
        <f>PRODUCT(Table_13[[#This Row],[Unit Price]],Table_13[[#This Row],[Quantity]])</f>
        <v>360000</v>
      </c>
      <c r="O1645" s="16">
        <f>PRODUCT(Table_13[[#This Row],[Cost Price]],Table_13[[#This Row],[Quantity]])</f>
        <v>288000</v>
      </c>
      <c r="P1645" s="27">
        <f t="shared" si="58"/>
        <v>72000</v>
      </c>
    </row>
    <row r="1646" spans="1:16" x14ac:dyDescent="0.2">
      <c r="A1646" s="33">
        <v>47320</v>
      </c>
      <c r="B1646" s="30">
        <f t="shared" si="57"/>
        <v>7</v>
      </c>
      <c r="C1646" s="30" t="str">
        <f>_xlfn.IFS(Table_13[[#This Row],[Month]]=1,"JAN",Table_13[[#This Row],[Month]]=2,"FEB",B1646=3,"MAR",B1646=4,"APR",B1646=5,"MAY",B1646=6,"JUN",B1646=7,"JUL",B1646=8,"AUG",Table_13[[#This Row],[Month]]=9,"SEPT",B1646=10,"OCT",B1646=11,"NOV",B1646=12,"DEC")</f>
        <v>JUL</v>
      </c>
      <c r="D1646" s="2" t="s">
        <v>18</v>
      </c>
      <c r="E1646" s="2" t="s">
        <v>19</v>
      </c>
      <c r="F1646" s="2" t="s">
        <v>23</v>
      </c>
      <c r="G1646" s="2" t="s">
        <v>20</v>
      </c>
      <c r="H1646" s="2" t="s">
        <v>36</v>
      </c>
      <c r="I1646" s="2" t="s">
        <v>31</v>
      </c>
      <c r="J1646" s="15">
        <v>150000</v>
      </c>
      <c r="K1646" s="2">
        <v>6</v>
      </c>
      <c r="L1646" s="2" t="s">
        <v>24</v>
      </c>
      <c r="M1646" s="12">
        <f t="shared" si="54"/>
        <v>120000</v>
      </c>
      <c r="N1646" s="10">
        <f>PRODUCT(Table_13[[#This Row],[Unit Price]],Table_13[[#This Row],[Quantity]])</f>
        <v>900000</v>
      </c>
      <c r="O1646" s="16">
        <f>PRODUCT(Table_13[[#This Row],[Cost Price]],Table_13[[#This Row],[Quantity]])</f>
        <v>720000</v>
      </c>
      <c r="P1646" s="27">
        <f t="shared" si="58"/>
        <v>180000</v>
      </c>
    </row>
    <row r="1647" spans="1:16" x14ac:dyDescent="0.2">
      <c r="A1647" s="33">
        <v>47321</v>
      </c>
      <c r="B1647" s="30">
        <f t="shared" si="57"/>
        <v>7</v>
      </c>
      <c r="C1647" s="30" t="str">
        <f>_xlfn.IFS(Table_13[[#This Row],[Month]]=1,"JAN",Table_13[[#This Row],[Month]]=2,"FEB",B1647=3,"MAR",B1647=4,"APR",B1647=5,"MAY",B1647=6,"JUN",B1647=7,"JUL",B1647=8,"AUG",Table_13[[#This Row],[Month]]=9,"SEPT",B1647=10,"OCT",B1647=11,"NOV",B1647=12,"DEC")</f>
        <v>JUL</v>
      </c>
      <c r="D1647" s="2" t="s">
        <v>25</v>
      </c>
      <c r="E1647" s="2" t="s">
        <v>26</v>
      </c>
      <c r="F1647" s="2" t="s">
        <v>13</v>
      </c>
      <c r="G1647" s="2" t="s">
        <v>20</v>
      </c>
      <c r="H1647" s="2" t="s">
        <v>27</v>
      </c>
      <c r="I1647" s="2" t="s">
        <v>22</v>
      </c>
      <c r="J1647" s="15">
        <v>60000</v>
      </c>
      <c r="K1647" s="2">
        <v>8</v>
      </c>
      <c r="L1647" s="2" t="s">
        <v>37</v>
      </c>
      <c r="M1647" s="12">
        <f t="shared" si="54"/>
        <v>48000</v>
      </c>
      <c r="N1647" s="10">
        <f>PRODUCT(Table_13[[#This Row],[Unit Price]],Table_13[[#This Row],[Quantity]])</f>
        <v>480000</v>
      </c>
      <c r="O1647" s="16">
        <f>PRODUCT(Table_13[[#This Row],[Cost Price]],Table_13[[#This Row],[Quantity]])</f>
        <v>384000</v>
      </c>
      <c r="P1647" s="27">
        <f t="shared" si="58"/>
        <v>96000</v>
      </c>
    </row>
    <row r="1648" spans="1:16" x14ac:dyDescent="0.2">
      <c r="A1648" s="33">
        <v>47322</v>
      </c>
      <c r="B1648" s="30">
        <f t="shared" si="57"/>
        <v>7</v>
      </c>
      <c r="C1648" s="30" t="str">
        <f>_xlfn.IFS(Table_13[[#This Row],[Month]]=1,"JAN",Table_13[[#This Row],[Month]]=2,"FEB",B1648=3,"MAR",B1648=4,"APR",B1648=5,"MAY",B1648=6,"JUN",B1648=7,"JUL",B1648=8,"AUG",Table_13[[#This Row],[Month]]=9,"SEPT",B1648=10,"OCT",B1648=11,"NOV",B1648=12,"DEC")</f>
        <v>JUL</v>
      </c>
      <c r="D1648" s="2" t="s">
        <v>11</v>
      </c>
      <c r="E1648" s="2" t="s">
        <v>19</v>
      </c>
      <c r="F1648" s="2" t="s">
        <v>13</v>
      </c>
      <c r="G1648" s="2" t="s">
        <v>20</v>
      </c>
      <c r="H1648" s="2" t="s">
        <v>41</v>
      </c>
      <c r="I1648" s="2" t="s">
        <v>22</v>
      </c>
      <c r="J1648" s="15">
        <v>220000</v>
      </c>
      <c r="K1648" s="2">
        <v>9</v>
      </c>
      <c r="L1648" s="2" t="s">
        <v>28</v>
      </c>
      <c r="M1648" s="12">
        <f t="shared" si="54"/>
        <v>176000</v>
      </c>
      <c r="N1648" s="10">
        <f>PRODUCT(Table_13[[#This Row],[Unit Price]],Table_13[[#This Row],[Quantity]])</f>
        <v>1980000</v>
      </c>
      <c r="O1648" s="16">
        <f>PRODUCT(Table_13[[#This Row],[Cost Price]],Table_13[[#This Row],[Quantity]])</f>
        <v>1584000</v>
      </c>
      <c r="P1648" s="27">
        <f t="shared" si="58"/>
        <v>396000</v>
      </c>
    </row>
    <row r="1649" spans="1:16" x14ac:dyDescent="0.2">
      <c r="A1649" s="33">
        <v>47323</v>
      </c>
      <c r="B1649" s="30">
        <f t="shared" si="57"/>
        <v>7</v>
      </c>
      <c r="C1649" s="30" t="str">
        <f>_xlfn.IFS(Table_13[[#This Row],[Month]]=1,"JAN",Table_13[[#This Row],[Month]]=2,"FEB",B1649=3,"MAR",B1649=4,"APR",B1649=5,"MAY",B1649=6,"JUN",B1649=7,"JUL",B1649=8,"AUG",Table_13[[#This Row],[Month]]=9,"SEPT",B1649=10,"OCT",B1649=11,"NOV",B1649=12,"DEC")</f>
        <v>JUL</v>
      </c>
      <c r="D1649" s="2" t="s">
        <v>29</v>
      </c>
      <c r="E1649" s="2" t="s">
        <v>32</v>
      </c>
      <c r="F1649" s="2" t="s">
        <v>23</v>
      </c>
      <c r="G1649" s="2" t="s">
        <v>14</v>
      </c>
      <c r="H1649" s="2" t="s">
        <v>30</v>
      </c>
      <c r="I1649" s="2" t="s">
        <v>31</v>
      </c>
      <c r="J1649" s="15">
        <v>300000</v>
      </c>
      <c r="K1649" s="2">
        <v>9</v>
      </c>
      <c r="L1649" s="2" t="s">
        <v>35</v>
      </c>
      <c r="M1649" s="12">
        <f t="shared" si="54"/>
        <v>240000</v>
      </c>
      <c r="N1649" s="10">
        <f>PRODUCT(Table_13[[#This Row],[Unit Price]],Table_13[[#This Row],[Quantity]])</f>
        <v>2700000</v>
      </c>
      <c r="O1649" s="16">
        <f>PRODUCT(Table_13[[#This Row],[Cost Price]],Table_13[[#This Row],[Quantity]])</f>
        <v>2160000</v>
      </c>
      <c r="P1649" s="27">
        <f t="shared" si="58"/>
        <v>540000</v>
      </c>
    </row>
    <row r="1650" spans="1:16" x14ac:dyDescent="0.2">
      <c r="A1650" s="33">
        <v>47324</v>
      </c>
      <c r="B1650" s="30">
        <f t="shared" si="57"/>
        <v>7</v>
      </c>
      <c r="C1650" s="30" t="str">
        <f>_xlfn.IFS(Table_13[[#This Row],[Month]]=1,"JAN",Table_13[[#This Row],[Month]]=2,"FEB",B1650=3,"MAR",B1650=4,"APR",B1650=5,"MAY",B1650=6,"JUN",B1650=7,"JUL",B1650=8,"AUG",Table_13[[#This Row],[Month]]=9,"SEPT",B1650=10,"OCT",B1650=11,"NOV",B1650=12,"DEC")</f>
        <v>JUL</v>
      </c>
      <c r="D1650" s="2" t="s">
        <v>11</v>
      </c>
      <c r="E1650" s="2" t="s">
        <v>32</v>
      </c>
      <c r="F1650" s="2" t="s">
        <v>13</v>
      </c>
      <c r="G1650" s="2" t="s">
        <v>14</v>
      </c>
      <c r="H1650" s="2" t="s">
        <v>38</v>
      </c>
      <c r="I1650" s="2" t="s">
        <v>31</v>
      </c>
      <c r="J1650" s="15">
        <v>420000</v>
      </c>
      <c r="K1650" s="2">
        <v>1</v>
      </c>
      <c r="L1650" s="2" t="s">
        <v>37</v>
      </c>
      <c r="M1650" s="12">
        <f t="shared" si="54"/>
        <v>336000</v>
      </c>
      <c r="N1650" s="10">
        <f>PRODUCT(Table_13[[#This Row],[Unit Price]],Table_13[[#This Row],[Quantity]])</f>
        <v>420000</v>
      </c>
      <c r="O1650" s="16">
        <f>PRODUCT(Table_13[[#This Row],[Cost Price]],Table_13[[#This Row],[Quantity]])</f>
        <v>336000</v>
      </c>
      <c r="P1650" s="27">
        <f t="shared" si="58"/>
        <v>84000</v>
      </c>
    </row>
    <row r="1651" spans="1:16" x14ac:dyDescent="0.2">
      <c r="A1651" s="33">
        <v>47325</v>
      </c>
      <c r="B1651" s="30">
        <f t="shared" si="57"/>
        <v>7</v>
      </c>
      <c r="C1651" s="30" t="str">
        <f>_xlfn.IFS(Table_13[[#This Row],[Month]]=1,"JAN",Table_13[[#This Row],[Month]]=2,"FEB",B1651=3,"MAR",B1651=4,"APR",B1651=5,"MAY",B1651=6,"JUN",B1651=7,"JUL",B1651=8,"AUG",Table_13[[#This Row],[Month]]=9,"SEPT",B1651=10,"OCT",B1651=11,"NOV",B1651=12,"DEC")</f>
        <v>JUL</v>
      </c>
      <c r="D1651" s="2" t="s">
        <v>25</v>
      </c>
      <c r="E1651" s="2" t="s">
        <v>32</v>
      </c>
      <c r="F1651" s="2" t="s">
        <v>13</v>
      </c>
      <c r="G1651" s="2" t="s">
        <v>20</v>
      </c>
      <c r="H1651" s="2" t="s">
        <v>41</v>
      </c>
      <c r="I1651" s="2" t="s">
        <v>22</v>
      </c>
      <c r="J1651" s="15">
        <v>220000</v>
      </c>
      <c r="K1651" s="2">
        <v>6</v>
      </c>
      <c r="L1651" s="2" t="s">
        <v>35</v>
      </c>
      <c r="M1651" s="12">
        <f t="shared" si="54"/>
        <v>176000</v>
      </c>
      <c r="N1651" s="10">
        <f>PRODUCT(Table_13[[#This Row],[Unit Price]],Table_13[[#This Row],[Quantity]])</f>
        <v>1320000</v>
      </c>
      <c r="O1651" s="16">
        <f>PRODUCT(Table_13[[#This Row],[Cost Price]],Table_13[[#This Row],[Quantity]])</f>
        <v>1056000</v>
      </c>
      <c r="P1651" s="27">
        <f t="shared" si="58"/>
        <v>264000</v>
      </c>
    </row>
    <row r="1652" spans="1:16" x14ac:dyDescent="0.2">
      <c r="A1652" s="33">
        <v>47326</v>
      </c>
      <c r="B1652" s="30">
        <f t="shared" si="57"/>
        <v>7</v>
      </c>
      <c r="C1652" s="30" t="str">
        <f>_xlfn.IFS(Table_13[[#This Row],[Month]]=1,"JAN",Table_13[[#This Row],[Month]]=2,"FEB",B1652=3,"MAR",B1652=4,"APR",B1652=5,"MAY",B1652=6,"JUN",B1652=7,"JUL",B1652=8,"AUG",Table_13[[#This Row],[Month]]=9,"SEPT",B1652=10,"OCT",B1652=11,"NOV",B1652=12,"DEC")</f>
        <v>JUL</v>
      </c>
      <c r="D1652" s="2" t="s">
        <v>11</v>
      </c>
      <c r="E1652" s="2" t="s">
        <v>19</v>
      </c>
      <c r="F1652" s="2" t="s">
        <v>13</v>
      </c>
      <c r="G1652" s="2" t="s">
        <v>20</v>
      </c>
      <c r="H1652" s="2" t="s">
        <v>21</v>
      </c>
      <c r="I1652" s="2" t="s">
        <v>22</v>
      </c>
      <c r="J1652" s="15">
        <v>30000</v>
      </c>
      <c r="K1652" s="2">
        <v>5</v>
      </c>
      <c r="L1652" s="2" t="s">
        <v>28</v>
      </c>
      <c r="M1652" s="12">
        <f t="shared" si="54"/>
        <v>24000</v>
      </c>
      <c r="N1652" s="10">
        <f>PRODUCT(Table_13[[#This Row],[Unit Price]],Table_13[[#This Row],[Quantity]])</f>
        <v>150000</v>
      </c>
      <c r="O1652" s="16">
        <f>PRODUCT(Table_13[[#This Row],[Cost Price]],Table_13[[#This Row],[Quantity]])</f>
        <v>120000</v>
      </c>
      <c r="P1652" s="27">
        <f t="shared" si="58"/>
        <v>30000</v>
      </c>
    </row>
    <row r="1653" spans="1:16" x14ac:dyDescent="0.2">
      <c r="A1653" s="33">
        <v>47327</v>
      </c>
      <c r="B1653" s="30">
        <f t="shared" si="57"/>
        <v>7</v>
      </c>
      <c r="C1653" s="30" t="str">
        <f>_xlfn.IFS(Table_13[[#This Row],[Month]]=1,"JAN",Table_13[[#This Row],[Month]]=2,"FEB",B1653=3,"MAR",B1653=4,"APR",B1653=5,"MAY",B1653=6,"JUN",B1653=7,"JUL",B1653=8,"AUG",Table_13[[#This Row],[Month]]=9,"SEPT",B1653=10,"OCT",B1653=11,"NOV",B1653=12,"DEC")</f>
        <v>JUL</v>
      </c>
      <c r="D1653" s="2" t="s">
        <v>29</v>
      </c>
      <c r="E1653" s="2" t="s">
        <v>26</v>
      </c>
      <c r="F1653" s="2" t="s">
        <v>23</v>
      </c>
      <c r="G1653" s="2" t="s">
        <v>14</v>
      </c>
      <c r="H1653" s="2" t="s">
        <v>21</v>
      </c>
      <c r="I1653" s="2" t="s">
        <v>22</v>
      </c>
      <c r="J1653" s="15">
        <v>30000</v>
      </c>
      <c r="K1653" s="2">
        <v>9</v>
      </c>
      <c r="L1653" s="2" t="s">
        <v>28</v>
      </c>
      <c r="M1653" s="12">
        <f t="shared" si="54"/>
        <v>24000</v>
      </c>
      <c r="N1653" s="10">
        <f>PRODUCT(Table_13[[#This Row],[Unit Price]],Table_13[[#This Row],[Quantity]])</f>
        <v>270000</v>
      </c>
      <c r="O1653" s="16">
        <f>PRODUCT(Table_13[[#This Row],[Cost Price]],Table_13[[#This Row],[Quantity]])</f>
        <v>216000</v>
      </c>
      <c r="P1653" s="27">
        <f t="shared" si="58"/>
        <v>54000</v>
      </c>
    </row>
    <row r="1654" spans="1:16" x14ac:dyDescent="0.2">
      <c r="A1654" s="33">
        <v>47328</v>
      </c>
      <c r="B1654" s="30">
        <f t="shared" si="57"/>
        <v>7</v>
      </c>
      <c r="C1654" s="30" t="str">
        <f>_xlfn.IFS(Table_13[[#This Row],[Month]]=1,"JAN",Table_13[[#This Row],[Month]]=2,"FEB",B1654=3,"MAR",B1654=4,"APR",B1654=5,"MAY",B1654=6,"JUN",B1654=7,"JUL",B1654=8,"AUG",Table_13[[#This Row],[Month]]=9,"SEPT",B1654=10,"OCT",B1654=11,"NOV",B1654=12,"DEC")</f>
        <v>JUL</v>
      </c>
      <c r="D1654" s="2" t="s">
        <v>25</v>
      </c>
      <c r="E1654" s="2" t="s">
        <v>12</v>
      </c>
      <c r="F1654" s="2" t="s">
        <v>13</v>
      </c>
      <c r="G1654" s="2" t="s">
        <v>14</v>
      </c>
      <c r="H1654" s="2" t="s">
        <v>40</v>
      </c>
      <c r="I1654" s="2" t="s">
        <v>31</v>
      </c>
      <c r="J1654" s="15">
        <v>250000</v>
      </c>
      <c r="K1654" s="2">
        <v>1</v>
      </c>
      <c r="L1654" s="2" t="s">
        <v>35</v>
      </c>
      <c r="M1654" s="12">
        <f t="shared" si="54"/>
        <v>200000</v>
      </c>
      <c r="N1654" s="10">
        <f>PRODUCT(Table_13[[#This Row],[Unit Price]],Table_13[[#This Row],[Quantity]])</f>
        <v>250000</v>
      </c>
      <c r="O1654" s="16">
        <f>PRODUCT(Table_13[[#This Row],[Cost Price]],Table_13[[#This Row],[Quantity]])</f>
        <v>200000</v>
      </c>
      <c r="P1654" s="27">
        <f t="shared" si="58"/>
        <v>50000</v>
      </c>
    </row>
    <row r="1655" spans="1:16" x14ac:dyDescent="0.2">
      <c r="A1655" s="33">
        <v>47329</v>
      </c>
      <c r="B1655" s="30">
        <f t="shared" si="57"/>
        <v>7</v>
      </c>
      <c r="C1655" s="30" t="str">
        <f>_xlfn.IFS(Table_13[[#This Row],[Month]]=1,"JAN",Table_13[[#This Row],[Month]]=2,"FEB",B1655=3,"MAR",B1655=4,"APR",B1655=5,"MAY",B1655=6,"JUN",B1655=7,"JUL",B1655=8,"AUG",Table_13[[#This Row],[Month]]=9,"SEPT",B1655=10,"OCT",B1655=11,"NOV",B1655=12,"DEC")</f>
        <v>JUL</v>
      </c>
      <c r="D1655" s="2" t="s">
        <v>25</v>
      </c>
      <c r="E1655" s="2" t="s">
        <v>32</v>
      </c>
      <c r="F1655" s="2" t="s">
        <v>13</v>
      </c>
      <c r="G1655" s="2" t="s">
        <v>14</v>
      </c>
      <c r="H1655" s="2" t="s">
        <v>41</v>
      </c>
      <c r="I1655" s="2" t="s">
        <v>22</v>
      </c>
      <c r="J1655" s="15">
        <v>220000</v>
      </c>
      <c r="K1655" s="2">
        <v>8</v>
      </c>
      <c r="L1655" s="2" t="s">
        <v>24</v>
      </c>
      <c r="M1655" s="12">
        <f t="shared" si="54"/>
        <v>176000</v>
      </c>
      <c r="N1655" s="10">
        <f>PRODUCT(Table_13[[#This Row],[Unit Price]],Table_13[[#This Row],[Quantity]])</f>
        <v>1760000</v>
      </c>
      <c r="O1655" s="16">
        <f>PRODUCT(Table_13[[#This Row],[Cost Price]],Table_13[[#This Row],[Quantity]])</f>
        <v>1408000</v>
      </c>
      <c r="P1655" s="27">
        <f t="shared" si="58"/>
        <v>352000</v>
      </c>
    </row>
    <row r="1656" spans="1:16" x14ac:dyDescent="0.2">
      <c r="A1656" s="33">
        <v>47330</v>
      </c>
      <c r="B1656" s="30">
        <f t="shared" si="57"/>
        <v>7</v>
      </c>
      <c r="C1656" s="30" t="str">
        <f>_xlfn.IFS(Table_13[[#This Row],[Month]]=1,"JAN",Table_13[[#This Row],[Month]]=2,"FEB",B1656=3,"MAR",B1656=4,"APR",B1656=5,"MAY",B1656=6,"JUN",B1656=7,"JUL",B1656=8,"AUG",Table_13[[#This Row],[Month]]=9,"SEPT",B1656=10,"OCT",B1656=11,"NOV",B1656=12,"DEC")</f>
        <v>JUL</v>
      </c>
      <c r="D1656" s="2" t="s">
        <v>18</v>
      </c>
      <c r="E1656" s="2" t="s">
        <v>19</v>
      </c>
      <c r="F1656" s="2" t="s">
        <v>13</v>
      </c>
      <c r="G1656" s="2" t="s">
        <v>14</v>
      </c>
      <c r="H1656" s="2" t="s">
        <v>38</v>
      </c>
      <c r="I1656" s="2" t="s">
        <v>31</v>
      </c>
      <c r="J1656" s="15">
        <v>420000</v>
      </c>
      <c r="K1656" s="2">
        <v>8</v>
      </c>
      <c r="L1656" s="2" t="s">
        <v>39</v>
      </c>
      <c r="M1656" s="12">
        <f t="shared" si="54"/>
        <v>336000</v>
      </c>
      <c r="N1656" s="10">
        <f>PRODUCT(Table_13[[#This Row],[Unit Price]],Table_13[[#This Row],[Quantity]])</f>
        <v>3360000</v>
      </c>
      <c r="O1656" s="16">
        <f>PRODUCT(Table_13[[#This Row],[Cost Price]],Table_13[[#This Row],[Quantity]])</f>
        <v>2688000</v>
      </c>
      <c r="P1656" s="27">
        <f t="shared" si="58"/>
        <v>672000</v>
      </c>
    </row>
    <row r="1657" spans="1:16" x14ac:dyDescent="0.2">
      <c r="A1657" s="33">
        <v>47331</v>
      </c>
      <c r="B1657" s="30">
        <f t="shared" si="57"/>
        <v>8</v>
      </c>
      <c r="C1657" s="30" t="str">
        <f>_xlfn.IFS(Table_13[[#This Row],[Month]]=1,"JAN",Table_13[[#This Row],[Month]]=2,"FEB",B1657=3,"MAR",B1657=4,"APR",B1657=5,"MAY",B1657=6,"JUN",B1657=7,"JUL",B1657=8,"AUG",Table_13[[#This Row],[Month]]=9,"SEPT",B1657=10,"OCT",B1657=11,"NOV",B1657=12,"DEC")</f>
        <v>AUG</v>
      </c>
      <c r="D1657" s="2" t="s">
        <v>29</v>
      </c>
      <c r="E1657" s="2" t="s">
        <v>26</v>
      </c>
      <c r="F1657" s="2" t="s">
        <v>13</v>
      </c>
      <c r="G1657" s="2" t="s">
        <v>14</v>
      </c>
      <c r="H1657" s="2" t="s">
        <v>30</v>
      </c>
      <c r="I1657" s="2" t="s">
        <v>31</v>
      </c>
      <c r="J1657" s="15">
        <v>300000</v>
      </c>
      <c r="K1657" s="2">
        <v>10</v>
      </c>
      <c r="L1657" s="2" t="s">
        <v>35</v>
      </c>
      <c r="M1657" s="12">
        <f t="shared" si="54"/>
        <v>240000</v>
      </c>
      <c r="N1657" s="10">
        <f>PRODUCT(Table_13[[#This Row],[Unit Price]],Table_13[[#This Row],[Quantity]])</f>
        <v>3000000</v>
      </c>
      <c r="O1657" s="16">
        <f>PRODUCT(Table_13[[#This Row],[Cost Price]],Table_13[[#This Row],[Quantity]])</f>
        <v>2400000</v>
      </c>
      <c r="P1657" s="27">
        <f t="shared" si="58"/>
        <v>600000</v>
      </c>
    </row>
    <row r="1658" spans="1:16" x14ac:dyDescent="0.2">
      <c r="A1658" s="33">
        <v>47332</v>
      </c>
      <c r="B1658" s="30">
        <f t="shared" si="57"/>
        <v>8</v>
      </c>
      <c r="C1658" s="30" t="str">
        <f>_xlfn.IFS(Table_13[[#This Row],[Month]]=1,"JAN",Table_13[[#This Row],[Month]]=2,"FEB",B1658=3,"MAR",B1658=4,"APR",B1658=5,"MAY",B1658=6,"JUN",B1658=7,"JUL",B1658=8,"AUG",Table_13[[#This Row],[Month]]=9,"SEPT",B1658=10,"OCT",B1658=11,"NOV",B1658=12,"DEC")</f>
        <v>AUG</v>
      </c>
      <c r="D1658" s="2" t="s">
        <v>29</v>
      </c>
      <c r="E1658" s="2" t="s">
        <v>32</v>
      </c>
      <c r="F1658" s="2" t="s">
        <v>13</v>
      </c>
      <c r="G1658" s="2" t="s">
        <v>14</v>
      </c>
      <c r="H1658" s="2" t="s">
        <v>36</v>
      </c>
      <c r="I1658" s="2" t="s">
        <v>31</v>
      </c>
      <c r="J1658" s="15">
        <v>150000</v>
      </c>
      <c r="K1658" s="2">
        <v>1</v>
      </c>
      <c r="L1658" s="2" t="s">
        <v>35</v>
      </c>
      <c r="M1658" s="12">
        <f t="shared" si="54"/>
        <v>120000</v>
      </c>
      <c r="N1658" s="10">
        <f>PRODUCT(Table_13[[#This Row],[Unit Price]],Table_13[[#This Row],[Quantity]])</f>
        <v>150000</v>
      </c>
      <c r="O1658" s="16">
        <f>PRODUCT(Table_13[[#This Row],[Cost Price]],Table_13[[#This Row],[Quantity]])</f>
        <v>120000</v>
      </c>
      <c r="P1658" s="27">
        <f t="shared" si="58"/>
        <v>30000</v>
      </c>
    </row>
    <row r="1659" spans="1:16" x14ac:dyDescent="0.2">
      <c r="A1659" s="33">
        <v>47333</v>
      </c>
      <c r="B1659" s="30">
        <f t="shared" si="57"/>
        <v>8</v>
      </c>
      <c r="C1659" s="30" t="str">
        <f>_xlfn.IFS(Table_13[[#This Row],[Month]]=1,"JAN",Table_13[[#This Row],[Month]]=2,"FEB",B1659=3,"MAR",B1659=4,"APR",B1659=5,"MAY",B1659=6,"JUN",B1659=7,"JUL",B1659=8,"AUG",Table_13[[#This Row],[Month]]=9,"SEPT",B1659=10,"OCT",B1659=11,"NOV",B1659=12,"DEC")</f>
        <v>AUG</v>
      </c>
      <c r="D1659" s="2" t="s">
        <v>29</v>
      </c>
      <c r="E1659" s="2" t="s">
        <v>32</v>
      </c>
      <c r="F1659" s="2" t="s">
        <v>13</v>
      </c>
      <c r="G1659" s="2" t="s">
        <v>20</v>
      </c>
      <c r="H1659" s="2" t="s">
        <v>41</v>
      </c>
      <c r="I1659" s="2" t="s">
        <v>22</v>
      </c>
      <c r="J1659" s="15">
        <v>220000</v>
      </c>
      <c r="K1659" s="2">
        <v>6</v>
      </c>
      <c r="L1659" s="2" t="s">
        <v>28</v>
      </c>
      <c r="M1659" s="12">
        <f t="shared" si="54"/>
        <v>176000</v>
      </c>
      <c r="N1659" s="10">
        <f>PRODUCT(Table_13[[#This Row],[Unit Price]],Table_13[[#This Row],[Quantity]])</f>
        <v>1320000</v>
      </c>
      <c r="O1659" s="16">
        <f>PRODUCT(Table_13[[#This Row],[Cost Price]],Table_13[[#This Row],[Quantity]])</f>
        <v>1056000</v>
      </c>
      <c r="P1659" s="27">
        <f t="shared" si="58"/>
        <v>264000</v>
      </c>
    </row>
    <row r="1660" spans="1:16" x14ac:dyDescent="0.2">
      <c r="A1660" s="33">
        <v>47334</v>
      </c>
      <c r="B1660" s="30">
        <f t="shared" si="57"/>
        <v>8</v>
      </c>
      <c r="C1660" s="30" t="str">
        <f>_xlfn.IFS(Table_13[[#This Row],[Month]]=1,"JAN",Table_13[[#This Row],[Month]]=2,"FEB",B1660=3,"MAR",B1660=4,"APR",B1660=5,"MAY",B1660=6,"JUN",B1660=7,"JUL",B1660=8,"AUG",Table_13[[#This Row],[Month]]=9,"SEPT",B1660=10,"OCT",B1660=11,"NOV",B1660=12,"DEC")</f>
        <v>AUG</v>
      </c>
      <c r="D1660" s="2" t="s">
        <v>29</v>
      </c>
      <c r="E1660" s="2" t="s">
        <v>19</v>
      </c>
      <c r="F1660" s="2" t="s">
        <v>23</v>
      </c>
      <c r="G1660" s="2" t="s">
        <v>14</v>
      </c>
      <c r="H1660" s="2" t="s">
        <v>33</v>
      </c>
      <c r="I1660" s="2" t="s">
        <v>22</v>
      </c>
      <c r="J1660" s="15">
        <v>180000</v>
      </c>
      <c r="K1660" s="2">
        <v>3</v>
      </c>
      <c r="L1660" s="2" t="s">
        <v>39</v>
      </c>
      <c r="M1660" s="12">
        <f t="shared" si="54"/>
        <v>144000</v>
      </c>
      <c r="N1660" s="10">
        <f>PRODUCT(Table_13[[#This Row],[Unit Price]],Table_13[[#This Row],[Quantity]])</f>
        <v>540000</v>
      </c>
      <c r="O1660" s="16">
        <f>PRODUCT(Table_13[[#This Row],[Cost Price]],Table_13[[#This Row],[Quantity]])</f>
        <v>432000</v>
      </c>
      <c r="P1660" s="27">
        <f t="shared" si="58"/>
        <v>108000</v>
      </c>
    </row>
    <row r="1661" spans="1:16" x14ac:dyDescent="0.2">
      <c r="A1661" s="33">
        <v>47335</v>
      </c>
      <c r="B1661" s="30">
        <f t="shared" si="57"/>
        <v>8</v>
      </c>
      <c r="C1661" s="30" t="str">
        <f>_xlfn.IFS(Table_13[[#This Row],[Month]]=1,"JAN",Table_13[[#This Row],[Month]]=2,"FEB",B1661=3,"MAR",B1661=4,"APR",B1661=5,"MAY",B1661=6,"JUN",B1661=7,"JUL",B1661=8,"AUG",Table_13[[#This Row],[Month]]=9,"SEPT",B1661=10,"OCT",B1661=11,"NOV",B1661=12,"DEC")</f>
        <v>AUG</v>
      </c>
      <c r="D1661" s="2" t="s">
        <v>29</v>
      </c>
      <c r="E1661" s="2" t="s">
        <v>12</v>
      </c>
      <c r="F1661" s="2" t="s">
        <v>13</v>
      </c>
      <c r="G1661" s="2" t="s">
        <v>20</v>
      </c>
      <c r="H1661" s="2" t="s">
        <v>27</v>
      </c>
      <c r="I1661" s="2" t="s">
        <v>22</v>
      </c>
      <c r="J1661" s="15">
        <v>60000</v>
      </c>
      <c r="K1661" s="2">
        <v>10</v>
      </c>
      <c r="L1661" s="2" t="s">
        <v>35</v>
      </c>
      <c r="M1661" s="12">
        <f t="shared" si="54"/>
        <v>48000</v>
      </c>
      <c r="N1661" s="10">
        <f>PRODUCT(Table_13[[#This Row],[Unit Price]],Table_13[[#This Row],[Quantity]])</f>
        <v>600000</v>
      </c>
      <c r="O1661" s="16">
        <f>PRODUCT(Table_13[[#This Row],[Cost Price]],Table_13[[#This Row],[Quantity]])</f>
        <v>480000</v>
      </c>
      <c r="P1661" s="27">
        <f t="shared" si="58"/>
        <v>120000</v>
      </c>
    </row>
    <row r="1662" spans="1:16" x14ac:dyDescent="0.2">
      <c r="A1662" s="33">
        <v>47336</v>
      </c>
      <c r="B1662" s="30">
        <f t="shared" si="57"/>
        <v>8</v>
      </c>
      <c r="C1662" s="30" t="str">
        <f>_xlfn.IFS(Table_13[[#This Row],[Month]]=1,"JAN",Table_13[[#This Row],[Month]]=2,"FEB",B1662=3,"MAR",B1662=4,"APR",B1662=5,"MAY",B1662=6,"JUN",B1662=7,"JUL",B1662=8,"AUG",Table_13[[#This Row],[Month]]=9,"SEPT",B1662=10,"OCT",B1662=11,"NOV",B1662=12,"DEC")</f>
        <v>AUG</v>
      </c>
      <c r="D1662" s="2" t="s">
        <v>25</v>
      </c>
      <c r="E1662" s="2" t="s">
        <v>12</v>
      </c>
      <c r="F1662" s="2" t="s">
        <v>23</v>
      </c>
      <c r="G1662" s="2" t="s">
        <v>14</v>
      </c>
      <c r="H1662" s="2" t="s">
        <v>41</v>
      </c>
      <c r="I1662" s="2" t="s">
        <v>22</v>
      </c>
      <c r="J1662" s="15">
        <v>220000</v>
      </c>
      <c r="K1662" s="2">
        <v>1</v>
      </c>
      <c r="L1662" s="2" t="s">
        <v>37</v>
      </c>
      <c r="M1662" s="12">
        <f t="shared" si="54"/>
        <v>176000</v>
      </c>
      <c r="N1662" s="10">
        <f>PRODUCT(Table_13[[#This Row],[Unit Price]],Table_13[[#This Row],[Quantity]])</f>
        <v>220000</v>
      </c>
      <c r="O1662" s="16">
        <f>PRODUCT(Table_13[[#This Row],[Cost Price]],Table_13[[#This Row],[Quantity]])</f>
        <v>176000</v>
      </c>
      <c r="P1662" s="27">
        <f t="shared" si="58"/>
        <v>44000</v>
      </c>
    </row>
    <row r="1663" spans="1:16" x14ac:dyDescent="0.2">
      <c r="A1663" s="33">
        <v>47337</v>
      </c>
      <c r="B1663" s="30">
        <f t="shared" si="57"/>
        <v>8</v>
      </c>
      <c r="C1663" s="30" t="str">
        <f>_xlfn.IFS(Table_13[[#This Row],[Month]]=1,"JAN",Table_13[[#This Row],[Month]]=2,"FEB",B1663=3,"MAR",B1663=4,"APR",B1663=5,"MAY",B1663=6,"JUN",B1663=7,"JUL",B1663=8,"AUG",Table_13[[#This Row],[Month]]=9,"SEPT",B1663=10,"OCT",B1663=11,"NOV",B1663=12,"DEC")</f>
        <v>AUG</v>
      </c>
      <c r="D1663" s="2" t="s">
        <v>29</v>
      </c>
      <c r="E1663" s="2" t="s">
        <v>26</v>
      </c>
      <c r="F1663" s="2" t="s">
        <v>13</v>
      </c>
      <c r="G1663" s="2" t="s">
        <v>20</v>
      </c>
      <c r="H1663" s="2" t="s">
        <v>40</v>
      </c>
      <c r="I1663" s="2" t="s">
        <v>31</v>
      </c>
      <c r="J1663" s="15">
        <v>250000</v>
      </c>
      <c r="K1663" s="2">
        <v>5</v>
      </c>
      <c r="L1663" s="2" t="s">
        <v>28</v>
      </c>
      <c r="M1663" s="12">
        <f t="shared" si="54"/>
        <v>200000</v>
      </c>
      <c r="N1663" s="10">
        <f>PRODUCT(Table_13[[#This Row],[Unit Price]],Table_13[[#This Row],[Quantity]])</f>
        <v>1250000</v>
      </c>
      <c r="O1663" s="16">
        <f>PRODUCT(Table_13[[#This Row],[Cost Price]],Table_13[[#This Row],[Quantity]])</f>
        <v>1000000</v>
      </c>
      <c r="P1663" s="27">
        <f t="shared" si="58"/>
        <v>250000</v>
      </c>
    </row>
    <row r="1664" spans="1:16" x14ac:dyDescent="0.2">
      <c r="A1664" s="33">
        <v>47338</v>
      </c>
      <c r="B1664" s="30">
        <f t="shared" si="57"/>
        <v>8</v>
      </c>
      <c r="C1664" s="30" t="str">
        <f>_xlfn.IFS(Table_13[[#This Row],[Month]]=1,"JAN",Table_13[[#This Row],[Month]]=2,"FEB",B1664=3,"MAR",B1664=4,"APR",B1664=5,"MAY",B1664=6,"JUN",B1664=7,"JUL",B1664=8,"AUG",Table_13[[#This Row],[Month]]=9,"SEPT",B1664=10,"OCT",B1664=11,"NOV",B1664=12,"DEC")</f>
        <v>AUG</v>
      </c>
      <c r="D1664" s="2" t="s">
        <v>25</v>
      </c>
      <c r="E1664" s="2" t="s">
        <v>19</v>
      </c>
      <c r="F1664" s="2" t="s">
        <v>23</v>
      </c>
      <c r="G1664" s="2" t="s">
        <v>20</v>
      </c>
      <c r="H1664" s="2" t="s">
        <v>40</v>
      </c>
      <c r="I1664" s="2" t="s">
        <v>31</v>
      </c>
      <c r="J1664" s="15">
        <v>250000</v>
      </c>
      <c r="K1664" s="2">
        <v>8</v>
      </c>
      <c r="L1664" s="2" t="s">
        <v>35</v>
      </c>
      <c r="M1664" s="12">
        <f t="shared" si="54"/>
        <v>200000</v>
      </c>
      <c r="N1664" s="10">
        <f>PRODUCT(Table_13[[#This Row],[Unit Price]],Table_13[[#This Row],[Quantity]])</f>
        <v>2000000</v>
      </c>
      <c r="O1664" s="16">
        <f>PRODUCT(Table_13[[#This Row],[Cost Price]],Table_13[[#This Row],[Quantity]])</f>
        <v>1600000</v>
      </c>
      <c r="P1664" s="27">
        <f t="shared" si="58"/>
        <v>400000</v>
      </c>
    </row>
    <row r="1665" spans="1:16" x14ac:dyDescent="0.2">
      <c r="A1665" s="33">
        <v>47339</v>
      </c>
      <c r="B1665" s="30">
        <f t="shared" si="57"/>
        <v>8</v>
      </c>
      <c r="C1665" s="30" t="str">
        <f>_xlfn.IFS(Table_13[[#This Row],[Month]]=1,"JAN",Table_13[[#This Row],[Month]]=2,"FEB",B1665=3,"MAR",B1665=4,"APR",B1665=5,"MAY",B1665=6,"JUN",B1665=7,"JUL",B1665=8,"AUG",Table_13[[#This Row],[Month]]=9,"SEPT",B1665=10,"OCT",B1665=11,"NOV",B1665=12,"DEC")</f>
        <v>AUG</v>
      </c>
      <c r="D1665" s="2" t="s">
        <v>11</v>
      </c>
      <c r="E1665" s="2" t="s">
        <v>32</v>
      </c>
      <c r="F1665" s="2" t="s">
        <v>23</v>
      </c>
      <c r="G1665" s="2" t="s">
        <v>14</v>
      </c>
      <c r="H1665" s="2" t="s">
        <v>36</v>
      </c>
      <c r="I1665" s="2" t="s">
        <v>31</v>
      </c>
      <c r="J1665" s="15">
        <v>150000</v>
      </c>
      <c r="K1665" s="2">
        <v>4</v>
      </c>
      <c r="L1665" s="2" t="s">
        <v>24</v>
      </c>
      <c r="M1665" s="12">
        <f t="shared" si="54"/>
        <v>120000</v>
      </c>
      <c r="N1665" s="10">
        <f>PRODUCT(Table_13[[#This Row],[Unit Price]],Table_13[[#This Row],[Quantity]])</f>
        <v>600000</v>
      </c>
      <c r="O1665" s="16">
        <f>PRODUCT(Table_13[[#This Row],[Cost Price]],Table_13[[#This Row],[Quantity]])</f>
        <v>480000</v>
      </c>
      <c r="P1665" s="27">
        <f t="shared" si="58"/>
        <v>120000</v>
      </c>
    </row>
    <row r="1666" spans="1:16" x14ac:dyDescent="0.2">
      <c r="A1666" s="33">
        <v>47340</v>
      </c>
      <c r="B1666" s="30">
        <f t="shared" ref="B1666:B1729" si="59">MONTH(A1666)</f>
        <v>8</v>
      </c>
      <c r="C1666" s="30" t="str">
        <f>_xlfn.IFS(Table_13[[#This Row],[Month]]=1,"JAN",Table_13[[#This Row],[Month]]=2,"FEB",B1666=3,"MAR",B1666=4,"APR",B1666=5,"MAY",B1666=6,"JUN",B1666=7,"JUL",B1666=8,"AUG",Table_13[[#This Row],[Month]]=9,"SEPT",B1666=10,"OCT",B1666=11,"NOV",B1666=12,"DEC")</f>
        <v>AUG</v>
      </c>
      <c r="D1666" s="2" t="s">
        <v>25</v>
      </c>
      <c r="E1666" s="2" t="s">
        <v>19</v>
      </c>
      <c r="F1666" s="2" t="s">
        <v>13</v>
      </c>
      <c r="G1666" s="2" t="s">
        <v>14</v>
      </c>
      <c r="H1666" s="2" t="s">
        <v>41</v>
      </c>
      <c r="I1666" s="2" t="s">
        <v>22</v>
      </c>
      <c r="J1666" s="15">
        <v>220000</v>
      </c>
      <c r="K1666" s="2">
        <v>3</v>
      </c>
      <c r="L1666" s="2" t="s">
        <v>37</v>
      </c>
      <c r="M1666" s="12">
        <f t="shared" si="54"/>
        <v>176000</v>
      </c>
      <c r="N1666" s="10">
        <f>PRODUCT(Table_13[[#This Row],[Unit Price]],Table_13[[#This Row],[Quantity]])</f>
        <v>660000</v>
      </c>
      <c r="O1666" s="16">
        <f>PRODUCT(Table_13[[#This Row],[Cost Price]],Table_13[[#This Row],[Quantity]])</f>
        <v>528000</v>
      </c>
      <c r="P1666" s="27">
        <f t="shared" ref="P1666:P1729" si="60">N1666-O1666</f>
        <v>132000</v>
      </c>
    </row>
    <row r="1667" spans="1:16" x14ac:dyDescent="0.2">
      <c r="A1667" s="33">
        <v>47341</v>
      </c>
      <c r="B1667" s="30">
        <f t="shared" si="59"/>
        <v>8</v>
      </c>
      <c r="C1667" s="30" t="str">
        <f>_xlfn.IFS(Table_13[[#This Row],[Month]]=1,"JAN",Table_13[[#This Row],[Month]]=2,"FEB",B1667=3,"MAR",B1667=4,"APR",B1667=5,"MAY",B1667=6,"JUN",B1667=7,"JUL",B1667=8,"AUG",Table_13[[#This Row],[Month]]=9,"SEPT",B1667=10,"OCT",B1667=11,"NOV",B1667=12,"DEC")</f>
        <v>AUG</v>
      </c>
      <c r="D1667" s="2" t="s">
        <v>25</v>
      </c>
      <c r="E1667" s="2" t="s">
        <v>26</v>
      </c>
      <c r="F1667" s="2" t="s">
        <v>13</v>
      </c>
      <c r="G1667" s="2" t="s">
        <v>14</v>
      </c>
      <c r="H1667" s="2" t="s">
        <v>33</v>
      </c>
      <c r="I1667" s="2" t="s">
        <v>22</v>
      </c>
      <c r="J1667" s="15">
        <v>180000</v>
      </c>
      <c r="K1667" s="2">
        <v>7</v>
      </c>
      <c r="L1667" s="2" t="s">
        <v>37</v>
      </c>
      <c r="M1667" s="12">
        <f t="shared" si="54"/>
        <v>144000</v>
      </c>
      <c r="N1667" s="10">
        <f>PRODUCT(Table_13[[#This Row],[Unit Price]],Table_13[[#This Row],[Quantity]])</f>
        <v>1260000</v>
      </c>
      <c r="O1667" s="16">
        <f>PRODUCT(Table_13[[#This Row],[Cost Price]],Table_13[[#This Row],[Quantity]])</f>
        <v>1008000</v>
      </c>
      <c r="P1667" s="27">
        <f t="shared" si="60"/>
        <v>252000</v>
      </c>
    </row>
    <row r="1668" spans="1:16" x14ac:dyDescent="0.2">
      <c r="A1668" s="33">
        <v>47342</v>
      </c>
      <c r="B1668" s="30">
        <f t="shared" si="59"/>
        <v>8</v>
      </c>
      <c r="C1668" s="30" t="str">
        <f>_xlfn.IFS(Table_13[[#This Row],[Month]]=1,"JAN",Table_13[[#This Row],[Month]]=2,"FEB",B1668=3,"MAR",B1668=4,"APR",B1668=5,"MAY",B1668=6,"JUN",B1668=7,"JUL",B1668=8,"AUG",Table_13[[#This Row],[Month]]=9,"SEPT",B1668=10,"OCT",B1668=11,"NOV",B1668=12,"DEC")</f>
        <v>AUG</v>
      </c>
      <c r="D1668" s="2" t="s">
        <v>25</v>
      </c>
      <c r="E1668" s="2" t="s">
        <v>19</v>
      </c>
      <c r="F1668" s="2" t="s">
        <v>23</v>
      </c>
      <c r="G1668" s="2" t="s">
        <v>20</v>
      </c>
      <c r="H1668" s="2" t="s">
        <v>36</v>
      </c>
      <c r="I1668" s="2" t="s">
        <v>31</v>
      </c>
      <c r="J1668" s="15">
        <v>150000</v>
      </c>
      <c r="K1668" s="2">
        <v>4</v>
      </c>
      <c r="L1668" s="2" t="s">
        <v>35</v>
      </c>
      <c r="M1668" s="12">
        <f t="shared" si="54"/>
        <v>120000</v>
      </c>
      <c r="N1668" s="10">
        <f>PRODUCT(Table_13[[#This Row],[Unit Price]],Table_13[[#This Row],[Quantity]])</f>
        <v>600000</v>
      </c>
      <c r="O1668" s="16">
        <f>PRODUCT(Table_13[[#This Row],[Cost Price]],Table_13[[#This Row],[Quantity]])</f>
        <v>480000</v>
      </c>
      <c r="P1668" s="27">
        <f t="shared" si="60"/>
        <v>120000</v>
      </c>
    </row>
    <row r="1669" spans="1:16" x14ac:dyDescent="0.2">
      <c r="A1669" s="33">
        <v>47343</v>
      </c>
      <c r="B1669" s="30">
        <f t="shared" si="59"/>
        <v>8</v>
      </c>
      <c r="C1669" s="30" t="str">
        <f>_xlfn.IFS(Table_13[[#This Row],[Month]]=1,"JAN",Table_13[[#This Row],[Month]]=2,"FEB",B1669=3,"MAR",B1669=4,"APR",B1669=5,"MAY",B1669=6,"JUN",B1669=7,"JUL",B1669=8,"AUG",Table_13[[#This Row],[Month]]=9,"SEPT",B1669=10,"OCT",B1669=11,"NOV",B1669=12,"DEC")</f>
        <v>AUG</v>
      </c>
      <c r="D1669" s="2" t="s">
        <v>18</v>
      </c>
      <c r="E1669" s="2" t="s">
        <v>26</v>
      </c>
      <c r="F1669" s="2" t="s">
        <v>23</v>
      </c>
      <c r="G1669" s="2" t="s">
        <v>14</v>
      </c>
      <c r="H1669" s="2" t="s">
        <v>36</v>
      </c>
      <c r="I1669" s="2" t="s">
        <v>31</v>
      </c>
      <c r="J1669" s="15">
        <v>150000</v>
      </c>
      <c r="K1669" s="2">
        <v>10</v>
      </c>
      <c r="L1669" s="2" t="s">
        <v>24</v>
      </c>
      <c r="M1669" s="12">
        <f t="shared" si="54"/>
        <v>120000</v>
      </c>
      <c r="N1669" s="10">
        <f>PRODUCT(Table_13[[#This Row],[Unit Price]],Table_13[[#This Row],[Quantity]])</f>
        <v>1500000</v>
      </c>
      <c r="O1669" s="16">
        <f>PRODUCT(Table_13[[#This Row],[Cost Price]],Table_13[[#This Row],[Quantity]])</f>
        <v>1200000</v>
      </c>
      <c r="P1669" s="27">
        <f t="shared" si="60"/>
        <v>300000</v>
      </c>
    </row>
    <row r="1670" spans="1:16" x14ac:dyDescent="0.2">
      <c r="A1670" s="33">
        <v>47344</v>
      </c>
      <c r="B1670" s="30">
        <f t="shared" si="59"/>
        <v>8</v>
      </c>
      <c r="C1670" s="30" t="str">
        <f>_xlfn.IFS(Table_13[[#This Row],[Month]]=1,"JAN",Table_13[[#This Row],[Month]]=2,"FEB",B1670=3,"MAR",B1670=4,"APR",B1670=5,"MAY",B1670=6,"JUN",B1670=7,"JUL",B1670=8,"AUG",Table_13[[#This Row],[Month]]=9,"SEPT",B1670=10,"OCT",B1670=11,"NOV",B1670=12,"DEC")</f>
        <v>AUG</v>
      </c>
      <c r="D1670" s="2" t="s">
        <v>11</v>
      </c>
      <c r="E1670" s="2" t="s">
        <v>19</v>
      </c>
      <c r="F1670" s="2" t="s">
        <v>13</v>
      </c>
      <c r="G1670" s="2" t="s">
        <v>14</v>
      </c>
      <c r="H1670" s="2" t="s">
        <v>36</v>
      </c>
      <c r="I1670" s="2" t="s">
        <v>31</v>
      </c>
      <c r="J1670" s="15">
        <v>150000</v>
      </c>
      <c r="K1670" s="2">
        <v>1</v>
      </c>
      <c r="L1670" s="2" t="s">
        <v>39</v>
      </c>
      <c r="M1670" s="12">
        <f t="shared" si="54"/>
        <v>120000</v>
      </c>
      <c r="N1670" s="10">
        <f>PRODUCT(Table_13[[#This Row],[Unit Price]],Table_13[[#This Row],[Quantity]])</f>
        <v>150000</v>
      </c>
      <c r="O1670" s="16">
        <f>PRODUCT(Table_13[[#This Row],[Cost Price]],Table_13[[#This Row],[Quantity]])</f>
        <v>120000</v>
      </c>
      <c r="P1670" s="27">
        <f t="shared" si="60"/>
        <v>30000</v>
      </c>
    </row>
    <row r="1671" spans="1:16" x14ac:dyDescent="0.2">
      <c r="A1671" s="33">
        <v>47345</v>
      </c>
      <c r="B1671" s="30">
        <f t="shared" si="59"/>
        <v>8</v>
      </c>
      <c r="C1671" s="30" t="str">
        <f>_xlfn.IFS(Table_13[[#This Row],[Month]]=1,"JAN",Table_13[[#This Row],[Month]]=2,"FEB",B1671=3,"MAR",B1671=4,"APR",B1671=5,"MAY",B1671=6,"JUN",B1671=7,"JUL",B1671=8,"AUG",Table_13[[#This Row],[Month]]=9,"SEPT",B1671=10,"OCT",B1671=11,"NOV",B1671=12,"DEC")</f>
        <v>AUG</v>
      </c>
      <c r="D1671" s="2" t="s">
        <v>29</v>
      </c>
      <c r="E1671" s="2" t="s">
        <v>26</v>
      </c>
      <c r="F1671" s="2" t="s">
        <v>23</v>
      </c>
      <c r="G1671" s="2" t="s">
        <v>20</v>
      </c>
      <c r="H1671" s="2" t="s">
        <v>36</v>
      </c>
      <c r="I1671" s="2" t="s">
        <v>31</v>
      </c>
      <c r="J1671" s="15">
        <v>150000</v>
      </c>
      <c r="K1671" s="2">
        <v>4</v>
      </c>
      <c r="L1671" s="2" t="s">
        <v>24</v>
      </c>
      <c r="M1671" s="12">
        <f t="shared" si="54"/>
        <v>120000</v>
      </c>
      <c r="N1671" s="10">
        <f>PRODUCT(Table_13[[#This Row],[Unit Price]],Table_13[[#This Row],[Quantity]])</f>
        <v>600000</v>
      </c>
      <c r="O1671" s="16">
        <f>PRODUCT(Table_13[[#This Row],[Cost Price]],Table_13[[#This Row],[Quantity]])</f>
        <v>480000</v>
      </c>
      <c r="P1671" s="27">
        <f t="shared" si="60"/>
        <v>120000</v>
      </c>
    </row>
    <row r="1672" spans="1:16" x14ac:dyDescent="0.2">
      <c r="A1672" s="33">
        <v>47346</v>
      </c>
      <c r="B1672" s="30">
        <f t="shared" si="59"/>
        <v>8</v>
      </c>
      <c r="C1672" s="30" t="str">
        <f>_xlfn.IFS(Table_13[[#This Row],[Month]]=1,"JAN",Table_13[[#This Row],[Month]]=2,"FEB",B1672=3,"MAR",B1672=4,"APR",B1672=5,"MAY",B1672=6,"JUN",B1672=7,"JUL",B1672=8,"AUG",Table_13[[#This Row],[Month]]=9,"SEPT",B1672=10,"OCT",B1672=11,"NOV",B1672=12,"DEC")</f>
        <v>AUG</v>
      </c>
      <c r="D1672" s="2" t="s">
        <v>11</v>
      </c>
      <c r="E1672" s="2" t="s">
        <v>26</v>
      </c>
      <c r="F1672" s="2" t="s">
        <v>23</v>
      </c>
      <c r="G1672" s="2" t="s">
        <v>14</v>
      </c>
      <c r="H1672" s="2" t="s">
        <v>27</v>
      </c>
      <c r="I1672" s="2" t="s">
        <v>22</v>
      </c>
      <c r="J1672" s="15">
        <v>60000</v>
      </c>
      <c r="K1672" s="2">
        <v>5</v>
      </c>
      <c r="L1672" s="2" t="s">
        <v>37</v>
      </c>
      <c r="M1672" s="12">
        <f t="shared" si="54"/>
        <v>48000</v>
      </c>
      <c r="N1672" s="10">
        <f>PRODUCT(Table_13[[#This Row],[Unit Price]],Table_13[[#This Row],[Quantity]])</f>
        <v>300000</v>
      </c>
      <c r="O1672" s="16">
        <f>PRODUCT(Table_13[[#This Row],[Cost Price]],Table_13[[#This Row],[Quantity]])</f>
        <v>240000</v>
      </c>
      <c r="P1672" s="27">
        <f t="shared" si="60"/>
        <v>60000</v>
      </c>
    </row>
    <row r="1673" spans="1:16" x14ac:dyDescent="0.2">
      <c r="A1673" s="33">
        <v>47347</v>
      </c>
      <c r="B1673" s="30">
        <f t="shared" si="59"/>
        <v>8</v>
      </c>
      <c r="C1673" s="30" t="str">
        <f>_xlfn.IFS(Table_13[[#This Row],[Month]]=1,"JAN",Table_13[[#This Row],[Month]]=2,"FEB",B1673=3,"MAR",B1673=4,"APR",B1673=5,"MAY",B1673=6,"JUN",B1673=7,"JUL",B1673=8,"AUG",Table_13[[#This Row],[Month]]=9,"SEPT",B1673=10,"OCT",B1673=11,"NOV",B1673=12,"DEC")</f>
        <v>AUG</v>
      </c>
      <c r="D1673" s="2" t="s">
        <v>25</v>
      </c>
      <c r="E1673" s="2" t="s">
        <v>32</v>
      </c>
      <c r="F1673" s="2" t="s">
        <v>13</v>
      </c>
      <c r="G1673" s="2" t="s">
        <v>20</v>
      </c>
      <c r="H1673" s="2" t="s">
        <v>41</v>
      </c>
      <c r="I1673" s="2" t="s">
        <v>22</v>
      </c>
      <c r="J1673" s="15">
        <v>220000</v>
      </c>
      <c r="K1673" s="2">
        <v>7</v>
      </c>
      <c r="L1673" s="2" t="s">
        <v>17</v>
      </c>
      <c r="M1673" s="12">
        <f t="shared" si="54"/>
        <v>176000</v>
      </c>
      <c r="N1673" s="10">
        <f>PRODUCT(Table_13[[#This Row],[Unit Price]],Table_13[[#This Row],[Quantity]])</f>
        <v>1540000</v>
      </c>
      <c r="O1673" s="16">
        <f>PRODUCT(Table_13[[#This Row],[Cost Price]],Table_13[[#This Row],[Quantity]])</f>
        <v>1232000</v>
      </c>
      <c r="P1673" s="27">
        <f t="shared" si="60"/>
        <v>308000</v>
      </c>
    </row>
    <row r="1674" spans="1:16" x14ac:dyDescent="0.2">
      <c r="A1674" s="33">
        <v>47348</v>
      </c>
      <c r="B1674" s="30">
        <f t="shared" si="59"/>
        <v>8</v>
      </c>
      <c r="C1674" s="30" t="str">
        <f>_xlfn.IFS(Table_13[[#This Row],[Month]]=1,"JAN",Table_13[[#This Row],[Month]]=2,"FEB",B1674=3,"MAR",B1674=4,"APR",B1674=5,"MAY",B1674=6,"JUN",B1674=7,"JUL",B1674=8,"AUG",Table_13[[#This Row],[Month]]=9,"SEPT",B1674=10,"OCT",B1674=11,"NOV",B1674=12,"DEC")</f>
        <v>AUG</v>
      </c>
      <c r="D1674" s="2" t="s">
        <v>29</v>
      </c>
      <c r="E1674" s="2" t="s">
        <v>19</v>
      </c>
      <c r="F1674" s="2" t="s">
        <v>13</v>
      </c>
      <c r="G1674" s="2" t="s">
        <v>20</v>
      </c>
      <c r="H1674" s="2" t="s">
        <v>36</v>
      </c>
      <c r="I1674" s="2" t="s">
        <v>31</v>
      </c>
      <c r="J1674" s="15">
        <v>150000</v>
      </c>
      <c r="K1674" s="2">
        <v>4</v>
      </c>
      <c r="L1674" s="2" t="s">
        <v>39</v>
      </c>
      <c r="M1674" s="12">
        <f t="shared" si="54"/>
        <v>120000</v>
      </c>
      <c r="N1674" s="10">
        <f>PRODUCT(Table_13[[#This Row],[Unit Price]],Table_13[[#This Row],[Quantity]])</f>
        <v>600000</v>
      </c>
      <c r="O1674" s="16">
        <f>PRODUCT(Table_13[[#This Row],[Cost Price]],Table_13[[#This Row],[Quantity]])</f>
        <v>480000</v>
      </c>
      <c r="P1674" s="27">
        <f t="shared" si="60"/>
        <v>120000</v>
      </c>
    </row>
    <row r="1675" spans="1:16" x14ac:dyDescent="0.2">
      <c r="A1675" s="33">
        <v>47349</v>
      </c>
      <c r="B1675" s="30">
        <f t="shared" si="59"/>
        <v>8</v>
      </c>
      <c r="C1675" s="30" t="str">
        <f>_xlfn.IFS(Table_13[[#This Row],[Month]]=1,"JAN",Table_13[[#This Row],[Month]]=2,"FEB",B1675=3,"MAR",B1675=4,"APR",B1675=5,"MAY",B1675=6,"JUN",B1675=7,"JUL",B1675=8,"AUG",Table_13[[#This Row],[Month]]=9,"SEPT",B1675=10,"OCT",B1675=11,"NOV",B1675=12,"DEC")</f>
        <v>AUG</v>
      </c>
      <c r="D1675" s="2" t="s">
        <v>18</v>
      </c>
      <c r="E1675" s="2" t="s">
        <v>26</v>
      </c>
      <c r="F1675" s="2" t="s">
        <v>23</v>
      </c>
      <c r="G1675" s="2" t="s">
        <v>14</v>
      </c>
      <c r="H1675" s="2" t="s">
        <v>34</v>
      </c>
      <c r="I1675" s="2" t="s">
        <v>16</v>
      </c>
      <c r="J1675" s="15">
        <v>320000</v>
      </c>
      <c r="K1675" s="2">
        <v>6</v>
      </c>
      <c r="L1675" s="2" t="s">
        <v>17</v>
      </c>
      <c r="M1675" s="12">
        <f t="shared" si="54"/>
        <v>256000</v>
      </c>
      <c r="N1675" s="10">
        <f>PRODUCT(Table_13[[#This Row],[Unit Price]],Table_13[[#This Row],[Quantity]])</f>
        <v>1920000</v>
      </c>
      <c r="O1675" s="16">
        <f>PRODUCT(Table_13[[#This Row],[Cost Price]],Table_13[[#This Row],[Quantity]])</f>
        <v>1536000</v>
      </c>
      <c r="P1675" s="27">
        <f t="shared" si="60"/>
        <v>384000</v>
      </c>
    </row>
    <row r="1676" spans="1:16" x14ac:dyDescent="0.2">
      <c r="A1676" s="33">
        <v>47350</v>
      </c>
      <c r="B1676" s="30">
        <f t="shared" si="59"/>
        <v>8</v>
      </c>
      <c r="C1676" s="30" t="str">
        <f>_xlfn.IFS(Table_13[[#This Row],[Month]]=1,"JAN",Table_13[[#This Row],[Month]]=2,"FEB",B1676=3,"MAR",B1676=4,"APR",B1676=5,"MAY",B1676=6,"JUN",B1676=7,"JUL",B1676=8,"AUG",Table_13[[#This Row],[Month]]=9,"SEPT",B1676=10,"OCT",B1676=11,"NOV",B1676=12,"DEC")</f>
        <v>AUG</v>
      </c>
      <c r="D1676" s="2" t="s">
        <v>25</v>
      </c>
      <c r="E1676" s="2" t="s">
        <v>12</v>
      </c>
      <c r="F1676" s="2" t="s">
        <v>13</v>
      </c>
      <c r="G1676" s="2" t="s">
        <v>20</v>
      </c>
      <c r="H1676" s="2" t="s">
        <v>34</v>
      </c>
      <c r="I1676" s="2" t="s">
        <v>16</v>
      </c>
      <c r="J1676" s="15">
        <v>320000</v>
      </c>
      <c r="K1676" s="2">
        <v>6</v>
      </c>
      <c r="L1676" s="2" t="s">
        <v>37</v>
      </c>
      <c r="M1676" s="12">
        <f t="shared" si="54"/>
        <v>256000</v>
      </c>
      <c r="N1676" s="10">
        <f>PRODUCT(Table_13[[#This Row],[Unit Price]],Table_13[[#This Row],[Quantity]])</f>
        <v>1920000</v>
      </c>
      <c r="O1676" s="16">
        <f>PRODUCT(Table_13[[#This Row],[Cost Price]],Table_13[[#This Row],[Quantity]])</f>
        <v>1536000</v>
      </c>
      <c r="P1676" s="27">
        <f t="shared" si="60"/>
        <v>384000</v>
      </c>
    </row>
    <row r="1677" spans="1:16" x14ac:dyDescent="0.2">
      <c r="A1677" s="33">
        <v>47351</v>
      </c>
      <c r="B1677" s="30">
        <f t="shared" si="59"/>
        <v>8</v>
      </c>
      <c r="C1677" s="30" t="str">
        <f>_xlfn.IFS(Table_13[[#This Row],[Month]]=1,"JAN",Table_13[[#This Row],[Month]]=2,"FEB",B1677=3,"MAR",B1677=4,"APR",B1677=5,"MAY",B1677=6,"JUN",B1677=7,"JUL",B1677=8,"AUG",Table_13[[#This Row],[Month]]=9,"SEPT",B1677=10,"OCT",B1677=11,"NOV",B1677=12,"DEC")</f>
        <v>AUG</v>
      </c>
      <c r="D1677" s="2" t="s">
        <v>11</v>
      </c>
      <c r="E1677" s="2" t="s">
        <v>12</v>
      </c>
      <c r="F1677" s="2" t="s">
        <v>23</v>
      </c>
      <c r="G1677" s="2" t="s">
        <v>20</v>
      </c>
      <c r="H1677" s="2" t="s">
        <v>27</v>
      </c>
      <c r="I1677" s="2" t="s">
        <v>22</v>
      </c>
      <c r="J1677" s="15">
        <v>60000</v>
      </c>
      <c r="K1677" s="2">
        <v>4</v>
      </c>
      <c r="L1677" s="2" t="s">
        <v>37</v>
      </c>
      <c r="M1677" s="12">
        <f t="shared" si="54"/>
        <v>48000</v>
      </c>
      <c r="N1677" s="10">
        <f>PRODUCT(Table_13[[#This Row],[Unit Price]],Table_13[[#This Row],[Quantity]])</f>
        <v>240000</v>
      </c>
      <c r="O1677" s="16">
        <f>PRODUCT(Table_13[[#This Row],[Cost Price]],Table_13[[#This Row],[Quantity]])</f>
        <v>192000</v>
      </c>
      <c r="P1677" s="27">
        <f t="shared" si="60"/>
        <v>48000</v>
      </c>
    </row>
    <row r="1678" spans="1:16" x14ac:dyDescent="0.2">
      <c r="A1678" s="33">
        <v>47352</v>
      </c>
      <c r="B1678" s="30">
        <f t="shared" si="59"/>
        <v>8</v>
      </c>
      <c r="C1678" s="30" t="str">
        <f>_xlfn.IFS(Table_13[[#This Row],[Month]]=1,"JAN",Table_13[[#This Row],[Month]]=2,"FEB",B1678=3,"MAR",B1678=4,"APR",B1678=5,"MAY",B1678=6,"JUN",B1678=7,"JUL",B1678=8,"AUG",Table_13[[#This Row],[Month]]=9,"SEPT",B1678=10,"OCT",B1678=11,"NOV",B1678=12,"DEC")</f>
        <v>AUG</v>
      </c>
      <c r="D1678" s="2" t="s">
        <v>29</v>
      </c>
      <c r="E1678" s="2" t="s">
        <v>19</v>
      </c>
      <c r="F1678" s="2" t="s">
        <v>13</v>
      </c>
      <c r="G1678" s="2" t="s">
        <v>14</v>
      </c>
      <c r="H1678" s="2" t="s">
        <v>15</v>
      </c>
      <c r="I1678" s="2" t="s">
        <v>16</v>
      </c>
      <c r="J1678" s="15">
        <v>85000</v>
      </c>
      <c r="K1678" s="2">
        <v>8</v>
      </c>
      <c r="L1678" s="2" t="s">
        <v>24</v>
      </c>
      <c r="M1678" s="12">
        <f t="shared" si="54"/>
        <v>68000</v>
      </c>
      <c r="N1678" s="10">
        <f>PRODUCT(Table_13[[#This Row],[Unit Price]],Table_13[[#This Row],[Quantity]])</f>
        <v>680000</v>
      </c>
      <c r="O1678" s="16">
        <f>PRODUCT(Table_13[[#This Row],[Cost Price]],Table_13[[#This Row],[Quantity]])</f>
        <v>544000</v>
      </c>
      <c r="P1678" s="27">
        <f t="shared" si="60"/>
        <v>136000</v>
      </c>
    </row>
    <row r="1679" spans="1:16" x14ac:dyDescent="0.2">
      <c r="A1679" s="33">
        <v>47353</v>
      </c>
      <c r="B1679" s="30">
        <f t="shared" si="59"/>
        <v>8</v>
      </c>
      <c r="C1679" s="30" t="str">
        <f>_xlfn.IFS(Table_13[[#This Row],[Month]]=1,"JAN",Table_13[[#This Row],[Month]]=2,"FEB",B1679=3,"MAR",B1679=4,"APR",B1679=5,"MAY",B1679=6,"JUN",B1679=7,"JUL",B1679=8,"AUG",Table_13[[#This Row],[Month]]=9,"SEPT",B1679=10,"OCT",B1679=11,"NOV",B1679=12,"DEC")</f>
        <v>AUG</v>
      </c>
      <c r="D1679" s="2" t="s">
        <v>25</v>
      </c>
      <c r="E1679" s="2" t="s">
        <v>26</v>
      </c>
      <c r="F1679" s="2" t="s">
        <v>23</v>
      </c>
      <c r="G1679" s="2" t="s">
        <v>14</v>
      </c>
      <c r="H1679" s="2" t="s">
        <v>15</v>
      </c>
      <c r="I1679" s="2" t="s">
        <v>16</v>
      </c>
      <c r="J1679" s="15">
        <v>85000</v>
      </c>
      <c r="K1679" s="2">
        <v>2</v>
      </c>
      <c r="L1679" s="2" t="s">
        <v>39</v>
      </c>
      <c r="M1679" s="12">
        <f t="shared" si="54"/>
        <v>68000</v>
      </c>
      <c r="N1679" s="10">
        <f>PRODUCT(Table_13[[#This Row],[Unit Price]],Table_13[[#This Row],[Quantity]])</f>
        <v>170000</v>
      </c>
      <c r="O1679" s="16">
        <f>PRODUCT(Table_13[[#This Row],[Cost Price]],Table_13[[#This Row],[Quantity]])</f>
        <v>136000</v>
      </c>
      <c r="P1679" s="27">
        <f t="shared" si="60"/>
        <v>34000</v>
      </c>
    </row>
    <row r="1680" spans="1:16" x14ac:dyDescent="0.2">
      <c r="A1680" s="33">
        <v>47354</v>
      </c>
      <c r="B1680" s="30">
        <f t="shared" si="59"/>
        <v>8</v>
      </c>
      <c r="C1680" s="30" t="str">
        <f>_xlfn.IFS(Table_13[[#This Row],[Month]]=1,"JAN",Table_13[[#This Row],[Month]]=2,"FEB",B1680=3,"MAR",B1680=4,"APR",B1680=5,"MAY",B1680=6,"JUN",B1680=7,"JUL",B1680=8,"AUG",Table_13[[#This Row],[Month]]=9,"SEPT",B1680=10,"OCT",B1680=11,"NOV",B1680=12,"DEC")</f>
        <v>AUG</v>
      </c>
      <c r="D1680" s="2" t="s">
        <v>29</v>
      </c>
      <c r="E1680" s="2" t="s">
        <v>26</v>
      </c>
      <c r="F1680" s="2" t="s">
        <v>23</v>
      </c>
      <c r="G1680" s="2" t="s">
        <v>20</v>
      </c>
      <c r="H1680" s="2" t="s">
        <v>15</v>
      </c>
      <c r="I1680" s="2" t="s">
        <v>16</v>
      </c>
      <c r="J1680" s="15">
        <v>85000</v>
      </c>
      <c r="K1680" s="2">
        <v>9</v>
      </c>
      <c r="L1680" s="2" t="s">
        <v>17</v>
      </c>
      <c r="M1680" s="12">
        <f t="shared" si="54"/>
        <v>68000</v>
      </c>
      <c r="N1680" s="10">
        <f>PRODUCT(Table_13[[#This Row],[Unit Price]],Table_13[[#This Row],[Quantity]])</f>
        <v>765000</v>
      </c>
      <c r="O1680" s="16">
        <f>PRODUCT(Table_13[[#This Row],[Cost Price]],Table_13[[#This Row],[Quantity]])</f>
        <v>612000</v>
      </c>
      <c r="P1680" s="27">
        <f t="shared" si="60"/>
        <v>153000</v>
      </c>
    </row>
    <row r="1681" spans="1:16" x14ac:dyDescent="0.2">
      <c r="A1681" s="33">
        <v>47355</v>
      </c>
      <c r="B1681" s="30">
        <f t="shared" si="59"/>
        <v>8</v>
      </c>
      <c r="C1681" s="30" t="str">
        <f>_xlfn.IFS(Table_13[[#This Row],[Month]]=1,"JAN",Table_13[[#This Row],[Month]]=2,"FEB",B1681=3,"MAR",B1681=4,"APR",B1681=5,"MAY",B1681=6,"JUN",B1681=7,"JUL",B1681=8,"AUG",Table_13[[#This Row],[Month]]=9,"SEPT",B1681=10,"OCT",B1681=11,"NOV",B1681=12,"DEC")</f>
        <v>AUG</v>
      </c>
      <c r="D1681" s="2" t="s">
        <v>25</v>
      </c>
      <c r="E1681" s="2" t="s">
        <v>26</v>
      </c>
      <c r="F1681" s="2" t="s">
        <v>13</v>
      </c>
      <c r="G1681" s="2" t="s">
        <v>20</v>
      </c>
      <c r="H1681" s="2" t="s">
        <v>38</v>
      </c>
      <c r="I1681" s="2" t="s">
        <v>31</v>
      </c>
      <c r="J1681" s="15">
        <v>420000</v>
      </c>
      <c r="K1681" s="2">
        <v>3</v>
      </c>
      <c r="L1681" s="2" t="s">
        <v>35</v>
      </c>
      <c r="M1681" s="12">
        <f t="shared" si="54"/>
        <v>336000</v>
      </c>
      <c r="N1681" s="10">
        <f>PRODUCT(Table_13[[#This Row],[Unit Price]],Table_13[[#This Row],[Quantity]])</f>
        <v>1260000</v>
      </c>
      <c r="O1681" s="16">
        <f>PRODUCT(Table_13[[#This Row],[Cost Price]],Table_13[[#This Row],[Quantity]])</f>
        <v>1008000</v>
      </c>
      <c r="P1681" s="27">
        <f t="shared" si="60"/>
        <v>252000</v>
      </c>
    </row>
    <row r="1682" spans="1:16" x14ac:dyDescent="0.2">
      <c r="A1682" s="33">
        <v>47356</v>
      </c>
      <c r="B1682" s="30">
        <f t="shared" si="59"/>
        <v>8</v>
      </c>
      <c r="C1682" s="30" t="str">
        <f>_xlfn.IFS(Table_13[[#This Row],[Month]]=1,"JAN",Table_13[[#This Row],[Month]]=2,"FEB",B1682=3,"MAR",B1682=4,"APR",B1682=5,"MAY",B1682=6,"JUN",B1682=7,"JUL",B1682=8,"AUG",Table_13[[#This Row],[Month]]=9,"SEPT",B1682=10,"OCT",B1682=11,"NOV",B1682=12,"DEC")</f>
        <v>AUG</v>
      </c>
      <c r="D1682" s="2" t="s">
        <v>29</v>
      </c>
      <c r="E1682" s="2" t="s">
        <v>19</v>
      </c>
      <c r="F1682" s="2" t="s">
        <v>13</v>
      </c>
      <c r="G1682" s="2" t="s">
        <v>14</v>
      </c>
      <c r="H1682" s="2" t="s">
        <v>30</v>
      </c>
      <c r="I1682" s="2" t="s">
        <v>31</v>
      </c>
      <c r="J1682" s="15">
        <v>300000</v>
      </c>
      <c r="K1682" s="2">
        <v>5</v>
      </c>
      <c r="L1682" s="2" t="s">
        <v>35</v>
      </c>
      <c r="M1682" s="12">
        <f t="shared" si="54"/>
        <v>240000</v>
      </c>
      <c r="N1682" s="10">
        <f>PRODUCT(Table_13[[#This Row],[Unit Price]],Table_13[[#This Row],[Quantity]])</f>
        <v>1500000</v>
      </c>
      <c r="O1682" s="16">
        <f>PRODUCT(Table_13[[#This Row],[Cost Price]],Table_13[[#This Row],[Quantity]])</f>
        <v>1200000</v>
      </c>
      <c r="P1682" s="27">
        <f t="shared" si="60"/>
        <v>300000</v>
      </c>
    </row>
    <row r="1683" spans="1:16" x14ac:dyDescent="0.2">
      <c r="A1683" s="33">
        <v>47357</v>
      </c>
      <c r="B1683" s="30">
        <f t="shared" si="59"/>
        <v>8</v>
      </c>
      <c r="C1683" s="30" t="str">
        <f>_xlfn.IFS(Table_13[[#This Row],[Month]]=1,"JAN",Table_13[[#This Row],[Month]]=2,"FEB",B1683=3,"MAR",B1683=4,"APR",B1683=5,"MAY",B1683=6,"JUN",B1683=7,"JUL",B1683=8,"AUG",Table_13[[#This Row],[Month]]=9,"SEPT",B1683=10,"OCT",B1683=11,"NOV",B1683=12,"DEC")</f>
        <v>AUG</v>
      </c>
      <c r="D1683" s="2" t="s">
        <v>18</v>
      </c>
      <c r="E1683" s="2" t="s">
        <v>26</v>
      </c>
      <c r="F1683" s="2" t="s">
        <v>23</v>
      </c>
      <c r="G1683" s="2" t="s">
        <v>20</v>
      </c>
      <c r="H1683" s="2" t="s">
        <v>21</v>
      </c>
      <c r="I1683" s="2" t="s">
        <v>22</v>
      </c>
      <c r="J1683" s="15">
        <v>30000</v>
      </c>
      <c r="K1683" s="2">
        <v>1</v>
      </c>
      <c r="L1683" s="2" t="s">
        <v>17</v>
      </c>
      <c r="M1683" s="12">
        <f t="shared" si="54"/>
        <v>24000</v>
      </c>
      <c r="N1683" s="10">
        <f>PRODUCT(Table_13[[#This Row],[Unit Price]],Table_13[[#This Row],[Quantity]])</f>
        <v>30000</v>
      </c>
      <c r="O1683" s="16">
        <f>PRODUCT(Table_13[[#This Row],[Cost Price]],Table_13[[#This Row],[Quantity]])</f>
        <v>24000</v>
      </c>
      <c r="P1683" s="27">
        <f t="shared" si="60"/>
        <v>6000</v>
      </c>
    </row>
    <row r="1684" spans="1:16" x14ac:dyDescent="0.2">
      <c r="A1684" s="33">
        <v>47358</v>
      </c>
      <c r="B1684" s="30">
        <f t="shared" si="59"/>
        <v>8</v>
      </c>
      <c r="C1684" s="30" t="str">
        <f>_xlfn.IFS(Table_13[[#This Row],[Month]]=1,"JAN",Table_13[[#This Row],[Month]]=2,"FEB",B1684=3,"MAR",B1684=4,"APR",B1684=5,"MAY",B1684=6,"JUN",B1684=7,"JUL",B1684=8,"AUG",Table_13[[#This Row],[Month]]=9,"SEPT",B1684=10,"OCT",B1684=11,"NOV",B1684=12,"DEC")</f>
        <v>AUG</v>
      </c>
      <c r="D1684" s="2" t="s">
        <v>11</v>
      </c>
      <c r="E1684" s="2" t="s">
        <v>32</v>
      </c>
      <c r="F1684" s="2" t="s">
        <v>23</v>
      </c>
      <c r="G1684" s="2" t="s">
        <v>20</v>
      </c>
      <c r="H1684" s="2" t="s">
        <v>41</v>
      </c>
      <c r="I1684" s="2" t="s">
        <v>22</v>
      </c>
      <c r="J1684" s="15">
        <v>220000</v>
      </c>
      <c r="K1684" s="2">
        <v>8</v>
      </c>
      <c r="L1684" s="2" t="s">
        <v>37</v>
      </c>
      <c r="M1684" s="12">
        <f t="shared" si="54"/>
        <v>176000</v>
      </c>
      <c r="N1684" s="10">
        <f>PRODUCT(Table_13[[#This Row],[Unit Price]],Table_13[[#This Row],[Quantity]])</f>
        <v>1760000</v>
      </c>
      <c r="O1684" s="16">
        <f>PRODUCT(Table_13[[#This Row],[Cost Price]],Table_13[[#This Row],[Quantity]])</f>
        <v>1408000</v>
      </c>
      <c r="P1684" s="27">
        <f t="shared" si="60"/>
        <v>352000</v>
      </c>
    </row>
    <row r="1685" spans="1:16" x14ac:dyDescent="0.2">
      <c r="A1685" s="33">
        <v>47359</v>
      </c>
      <c r="B1685" s="30">
        <f t="shared" si="59"/>
        <v>8</v>
      </c>
      <c r="C1685" s="30" t="str">
        <f>_xlfn.IFS(Table_13[[#This Row],[Month]]=1,"JAN",Table_13[[#This Row],[Month]]=2,"FEB",B1685=3,"MAR",B1685=4,"APR",B1685=5,"MAY",B1685=6,"JUN",B1685=7,"JUL",B1685=8,"AUG",Table_13[[#This Row],[Month]]=9,"SEPT",B1685=10,"OCT",B1685=11,"NOV",B1685=12,"DEC")</f>
        <v>AUG</v>
      </c>
      <c r="D1685" s="2" t="s">
        <v>29</v>
      </c>
      <c r="E1685" s="2" t="s">
        <v>12</v>
      </c>
      <c r="F1685" s="2" t="s">
        <v>23</v>
      </c>
      <c r="G1685" s="2" t="s">
        <v>14</v>
      </c>
      <c r="H1685" s="2" t="s">
        <v>34</v>
      </c>
      <c r="I1685" s="2" t="s">
        <v>16</v>
      </c>
      <c r="J1685" s="15">
        <v>320000</v>
      </c>
      <c r="K1685" s="2">
        <v>5</v>
      </c>
      <c r="L1685" s="2" t="s">
        <v>17</v>
      </c>
      <c r="M1685" s="12">
        <f t="shared" si="54"/>
        <v>256000</v>
      </c>
      <c r="N1685" s="10">
        <f>PRODUCT(Table_13[[#This Row],[Unit Price]],Table_13[[#This Row],[Quantity]])</f>
        <v>1600000</v>
      </c>
      <c r="O1685" s="16">
        <f>PRODUCT(Table_13[[#This Row],[Cost Price]],Table_13[[#This Row],[Quantity]])</f>
        <v>1280000</v>
      </c>
      <c r="P1685" s="27">
        <f t="shared" si="60"/>
        <v>320000</v>
      </c>
    </row>
    <row r="1686" spans="1:16" x14ac:dyDescent="0.2">
      <c r="A1686" s="33">
        <v>47360</v>
      </c>
      <c r="B1686" s="30">
        <f t="shared" si="59"/>
        <v>8</v>
      </c>
      <c r="C1686" s="30" t="str">
        <f>_xlfn.IFS(Table_13[[#This Row],[Month]]=1,"JAN",Table_13[[#This Row],[Month]]=2,"FEB",B1686=3,"MAR",B1686=4,"APR",B1686=5,"MAY",B1686=6,"JUN",B1686=7,"JUL",B1686=8,"AUG",Table_13[[#This Row],[Month]]=9,"SEPT",B1686=10,"OCT",B1686=11,"NOV",B1686=12,"DEC")</f>
        <v>AUG</v>
      </c>
      <c r="D1686" s="2" t="s">
        <v>18</v>
      </c>
      <c r="E1686" s="2" t="s">
        <v>19</v>
      </c>
      <c r="F1686" s="2" t="s">
        <v>23</v>
      </c>
      <c r="G1686" s="2" t="s">
        <v>14</v>
      </c>
      <c r="H1686" s="2" t="s">
        <v>30</v>
      </c>
      <c r="I1686" s="2" t="s">
        <v>31</v>
      </c>
      <c r="J1686" s="15">
        <v>300000</v>
      </c>
      <c r="K1686" s="2">
        <v>10</v>
      </c>
      <c r="L1686" s="2" t="s">
        <v>35</v>
      </c>
      <c r="M1686" s="12">
        <f t="shared" si="54"/>
        <v>240000</v>
      </c>
      <c r="N1686" s="10">
        <f>PRODUCT(Table_13[[#This Row],[Unit Price]],Table_13[[#This Row],[Quantity]])</f>
        <v>3000000</v>
      </c>
      <c r="O1686" s="16">
        <f>PRODUCT(Table_13[[#This Row],[Cost Price]],Table_13[[#This Row],[Quantity]])</f>
        <v>2400000</v>
      </c>
      <c r="P1686" s="27">
        <f t="shared" si="60"/>
        <v>600000</v>
      </c>
    </row>
    <row r="1687" spans="1:16" x14ac:dyDescent="0.2">
      <c r="A1687" s="33">
        <v>47361</v>
      </c>
      <c r="B1687" s="30">
        <f t="shared" si="59"/>
        <v>8</v>
      </c>
      <c r="C1687" s="30" t="str">
        <f>_xlfn.IFS(Table_13[[#This Row],[Month]]=1,"JAN",Table_13[[#This Row],[Month]]=2,"FEB",B1687=3,"MAR",B1687=4,"APR",B1687=5,"MAY",B1687=6,"JUN",B1687=7,"JUL",B1687=8,"AUG",Table_13[[#This Row],[Month]]=9,"SEPT",B1687=10,"OCT",B1687=11,"NOV",B1687=12,"DEC")</f>
        <v>AUG</v>
      </c>
      <c r="D1687" s="2" t="s">
        <v>29</v>
      </c>
      <c r="E1687" s="2" t="s">
        <v>12</v>
      </c>
      <c r="F1687" s="2" t="s">
        <v>13</v>
      </c>
      <c r="G1687" s="2" t="s">
        <v>20</v>
      </c>
      <c r="H1687" s="2" t="s">
        <v>41</v>
      </c>
      <c r="I1687" s="2" t="s">
        <v>22</v>
      </c>
      <c r="J1687" s="15">
        <v>220000</v>
      </c>
      <c r="K1687" s="2">
        <v>1</v>
      </c>
      <c r="L1687" s="2" t="s">
        <v>17</v>
      </c>
      <c r="M1687" s="12">
        <f t="shared" si="54"/>
        <v>176000</v>
      </c>
      <c r="N1687" s="10">
        <f>PRODUCT(Table_13[[#This Row],[Unit Price]],Table_13[[#This Row],[Quantity]])</f>
        <v>220000</v>
      </c>
      <c r="O1687" s="16">
        <f>PRODUCT(Table_13[[#This Row],[Cost Price]],Table_13[[#This Row],[Quantity]])</f>
        <v>176000</v>
      </c>
      <c r="P1687" s="27">
        <f t="shared" si="60"/>
        <v>44000</v>
      </c>
    </row>
    <row r="1688" spans="1:16" x14ac:dyDescent="0.2">
      <c r="A1688" s="33">
        <v>47362</v>
      </c>
      <c r="B1688" s="30">
        <f t="shared" si="59"/>
        <v>9</v>
      </c>
      <c r="C1688" s="30" t="str">
        <f>_xlfn.IFS(Table_13[[#This Row],[Month]]=1,"JAN",Table_13[[#This Row],[Month]]=2,"FEB",B1688=3,"MAR",B1688=4,"APR",B1688=5,"MAY",B1688=6,"JUN",B1688=7,"JUL",B1688=8,"AUG",Table_13[[#This Row],[Month]]=9,"SEPT",B1688=10,"OCT",B1688=11,"NOV",B1688=12,"DEC")</f>
        <v>SEPT</v>
      </c>
      <c r="D1688" s="2" t="s">
        <v>25</v>
      </c>
      <c r="E1688" s="2" t="s">
        <v>26</v>
      </c>
      <c r="F1688" s="2" t="s">
        <v>23</v>
      </c>
      <c r="G1688" s="2" t="s">
        <v>14</v>
      </c>
      <c r="H1688" s="2" t="s">
        <v>21</v>
      </c>
      <c r="I1688" s="2" t="s">
        <v>22</v>
      </c>
      <c r="J1688" s="15">
        <v>30000</v>
      </c>
      <c r="K1688" s="2">
        <v>6</v>
      </c>
      <c r="L1688" s="2" t="s">
        <v>24</v>
      </c>
      <c r="M1688" s="12">
        <f t="shared" si="54"/>
        <v>24000</v>
      </c>
      <c r="N1688" s="10">
        <f>PRODUCT(Table_13[[#This Row],[Unit Price]],Table_13[[#This Row],[Quantity]])</f>
        <v>180000</v>
      </c>
      <c r="O1688" s="16">
        <f>PRODUCT(Table_13[[#This Row],[Cost Price]],Table_13[[#This Row],[Quantity]])</f>
        <v>144000</v>
      </c>
      <c r="P1688" s="27">
        <f t="shared" si="60"/>
        <v>36000</v>
      </c>
    </row>
    <row r="1689" spans="1:16" x14ac:dyDescent="0.2">
      <c r="A1689" s="33">
        <v>47363</v>
      </c>
      <c r="B1689" s="30">
        <f t="shared" si="59"/>
        <v>9</v>
      </c>
      <c r="C1689" s="30" t="str">
        <f>_xlfn.IFS(Table_13[[#This Row],[Month]]=1,"JAN",Table_13[[#This Row],[Month]]=2,"FEB",B1689=3,"MAR",B1689=4,"APR",B1689=5,"MAY",B1689=6,"JUN",B1689=7,"JUL",B1689=8,"AUG",Table_13[[#This Row],[Month]]=9,"SEPT",B1689=10,"OCT",B1689=11,"NOV",B1689=12,"DEC")</f>
        <v>SEPT</v>
      </c>
      <c r="D1689" s="2" t="s">
        <v>29</v>
      </c>
      <c r="E1689" s="2" t="s">
        <v>19</v>
      </c>
      <c r="F1689" s="2" t="s">
        <v>13</v>
      </c>
      <c r="G1689" s="2" t="s">
        <v>14</v>
      </c>
      <c r="H1689" s="2" t="s">
        <v>38</v>
      </c>
      <c r="I1689" s="2" t="s">
        <v>31</v>
      </c>
      <c r="J1689" s="15">
        <v>420000</v>
      </c>
      <c r="K1689" s="2">
        <v>1</v>
      </c>
      <c r="L1689" s="2" t="s">
        <v>39</v>
      </c>
      <c r="M1689" s="12">
        <f t="shared" si="54"/>
        <v>336000</v>
      </c>
      <c r="N1689" s="10">
        <f>PRODUCT(Table_13[[#This Row],[Unit Price]],Table_13[[#This Row],[Quantity]])</f>
        <v>420000</v>
      </c>
      <c r="O1689" s="16">
        <f>PRODUCT(Table_13[[#This Row],[Cost Price]],Table_13[[#This Row],[Quantity]])</f>
        <v>336000</v>
      </c>
      <c r="P1689" s="27">
        <f t="shared" si="60"/>
        <v>84000</v>
      </c>
    </row>
    <row r="1690" spans="1:16" x14ac:dyDescent="0.2">
      <c r="A1690" s="33">
        <v>47364</v>
      </c>
      <c r="B1690" s="30">
        <f t="shared" si="59"/>
        <v>9</v>
      </c>
      <c r="C1690" s="30" t="str">
        <f>_xlfn.IFS(Table_13[[#This Row],[Month]]=1,"JAN",Table_13[[#This Row],[Month]]=2,"FEB",B1690=3,"MAR",B1690=4,"APR",B1690=5,"MAY",B1690=6,"JUN",B1690=7,"JUL",B1690=8,"AUG",Table_13[[#This Row],[Month]]=9,"SEPT",B1690=10,"OCT",B1690=11,"NOV",B1690=12,"DEC")</f>
        <v>SEPT</v>
      </c>
      <c r="D1690" s="2" t="s">
        <v>25</v>
      </c>
      <c r="E1690" s="2" t="s">
        <v>32</v>
      </c>
      <c r="F1690" s="2" t="s">
        <v>23</v>
      </c>
      <c r="G1690" s="2" t="s">
        <v>20</v>
      </c>
      <c r="H1690" s="2" t="s">
        <v>38</v>
      </c>
      <c r="I1690" s="2" t="s">
        <v>31</v>
      </c>
      <c r="J1690" s="15">
        <v>420000</v>
      </c>
      <c r="K1690" s="2">
        <v>6</v>
      </c>
      <c r="L1690" s="2" t="s">
        <v>37</v>
      </c>
      <c r="M1690" s="12">
        <f t="shared" si="54"/>
        <v>336000</v>
      </c>
      <c r="N1690" s="10">
        <f>PRODUCT(Table_13[[#This Row],[Unit Price]],Table_13[[#This Row],[Quantity]])</f>
        <v>2520000</v>
      </c>
      <c r="O1690" s="16">
        <f>PRODUCT(Table_13[[#This Row],[Cost Price]],Table_13[[#This Row],[Quantity]])</f>
        <v>2016000</v>
      </c>
      <c r="P1690" s="27">
        <f t="shared" si="60"/>
        <v>504000</v>
      </c>
    </row>
    <row r="1691" spans="1:16" x14ac:dyDescent="0.2">
      <c r="A1691" s="33">
        <v>47365</v>
      </c>
      <c r="B1691" s="30">
        <f t="shared" si="59"/>
        <v>9</v>
      </c>
      <c r="C1691" s="30" t="str">
        <f>_xlfn.IFS(Table_13[[#This Row],[Month]]=1,"JAN",Table_13[[#This Row],[Month]]=2,"FEB",B1691=3,"MAR",B1691=4,"APR",B1691=5,"MAY",B1691=6,"JUN",B1691=7,"JUL",B1691=8,"AUG",Table_13[[#This Row],[Month]]=9,"SEPT",B1691=10,"OCT",B1691=11,"NOV",B1691=12,"DEC")</f>
        <v>SEPT</v>
      </c>
      <c r="D1691" s="2" t="s">
        <v>25</v>
      </c>
      <c r="E1691" s="2" t="s">
        <v>32</v>
      </c>
      <c r="F1691" s="2" t="s">
        <v>13</v>
      </c>
      <c r="G1691" s="2" t="s">
        <v>20</v>
      </c>
      <c r="H1691" s="2" t="s">
        <v>15</v>
      </c>
      <c r="I1691" s="2" t="s">
        <v>16</v>
      </c>
      <c r="J1691" s="15">
        <v>85000</v>
      </c>
      <c r="K1691" s="2">
        <v>7</v>
      </c>
      <c r="L1691" s="2" t="s">
        <v>35</v>
      </c>
      <c r="M1691" s="12">
        <f t="shared" si="54"/>
        <v>68000</v>
      </c>
      <c r="N1691" s="10">
        <f>PRODUCT(Table_13[[#This Row],[Unit Price]],Table_13[[#This Row],[Quantity]])</f>
        <v>595000</v>
      </c>
      <c r="O1691" s="16">
        <f>PRODUCT(Table_13[[#This Row],[Cost Price]],Table_13[[#This Row],[Quantity]])</f>
        <v>476000</v>
      </c>
      <c r="P1691" s="27">
        <f t="shared" si="60"/>
        <v>119000</v>
      </c>
    </row>
    <row r="1692" spans="1:16" x14ac:dyDescent="0.2">
      <c r="A1692" s="33">
        <v>47366</v>
      </c>
      <c r="B1692" s="30">
        <f t="shared" si="59"/>
        <v>9</v>
      </c>
      <c r="C1692" s="30" t="str">
        <f>_xlfn.IFS(Table_13[[#This Row],[Month]]=1,"JAN",Table_13[[#This Row],[Month]]=2,"FEB",B1692=3,"MAR",B1692=4,"APR",B1692=5,"MAY",B1692=6,"JUN",B1692=7,"JUL",B1692=8,"AUG",Table_13[[#This Row],[Month]]=9,"SEPT",B1692=10,"OCT",B1692=11,"NOV",B1692=12,"DEC")</f>
        <v>SEPT</v>
      </c>
      <c r="D1692" s="2" t="s">
        <v>25</v>
      </c>
      <c r="E1692" s="2" t="s">
        <v>19</v>
      </c>
      <c r="F1692" s="2" t="s">
        <v>23</v>
      </c>
      <c r="G1692" s="2" t="s">
        <v>20</v>
      </c>
      <c r="H1692" s="2" t="s">
        <v>36</v>
      </c>
      <c r="I1692" s="2" t="s">
        <v>31</v>
      </c>
      <c r="J1692" s="15">
        <v>150000</v>
      </c>
      <c r="K1692" s="2">
        <v>7</v>
      </c>
      <c r="L1692" s="2" t="s">
        <v>39</v>
      </c>
      <c r="M1692" s="12">
        <f t="shared" si="54"/>
        <v>120000</v>
      </c>
      <c r="N1692" s="10">
        <f>PRODUCT(Table_13[[#This Row],[Unit Price]],Table_13[[#This Row],[Quantity]])</f>
        <v>1050000</v>
      </c>
      <c r="O1692" s="16">
        <f>PRODUCT(Table_13[[#This Row],[Cost Price]],Table_13[[#This Row],[Quantity]])</f>
        <v>840000</v>
      </c>
      <c r="P1692" s="27">
        <f t="shared" si="60"/>
        <v>210000</v>
      </c>
    </row>
    <row r="1693" spans="1:16" x14ac:dyDescent="0.2">
      <c r="A1693" s="33">
        <v>47367</v>
      </c>
      <c r="B1693" s="30">
        <f t="shared" si="59"/>
        <v>9</v>
      </c>
      <c r="C1693" s="30" t="str">
        <f>_xlfn.IFS(Table_13[[#This Row],[Month]]=1,"JAN",Table_13[[#This Row],[Month]]=2,"FEB",B1693=3,"MAR",B1693=4,"APR",B1693=5,"MAY",B1693=6,"JUN",B1693=7,"JUL",B1693=8,"AUG",Table_13[[#This Row],[Month]]=9,"SEPT",B1693=10,"OCT",B1693=11,"NOV",B1693=12,"DEC")</f>
        <v>SEPT</v>
      </c>
      <c r="D1693" s="2" t="s">
        <v>11</v>
      </c>
      <c r="E1693" s="2" t="s">
        <v>19</v>
      </c>
      <c r="F1693" s="2" t="s">
        <v>13</v>
      </c>
      <c r="G1693" s="2" t="s">
        <v>20</v>
      </c>
      <c r="H1693" s="2" t="s">
        <v>36</v>
      </c>
      <c r="I1693" s="2" t="s">
        <v>31</v>
      </c>
      <c r="J1693" s="15">
        <v>150000</v>
      </c>
      <c r="K1693" s="2">
        <v>10</v>
      </c>
      <c r="L1693" s="2" t="s">
        <v>17</v>
      </c>
      <c r="M1693" s="12">
        <f t="shared" si="54"/>
        <v>120000</v>
      </c>
      <c r="N1693" s="10">
        <f>PRODUCT(Table_13[[#This Row],[Unit Price]],Table_13[[#This Row],[Quantity]])</f>
        <v>1500000</v>
      </c>
      <c r="O1693" s="16">
        <f>PRODUCT(Table_13[[#This Row],[Cost Price]],Table_13[[#This Row],[Quantity]])</f>
        <v>1200000</v>
      </c>
      <c r="P1693" s="27">
        <f t="shared" si="60"/>
        <v>300000</v>
      </c>
    </row>
    <row r="1694" spans="1:16" x14ac:dyDescent="0.2">
      <c r="A1694" s="33">
        <v>47368</v>
      </c>
      <c r="B1694" s="30">
        <f t="shared" si="59"/>
        <v>9</v>
      </c>
      <c r="C1694" s="30" t="str">
        <f>_xlfn.IFS(Table_13[[#This Row],[Month]]=1,"JAN",Table_13[[#This Row],[Month]]=2,"FEB",B1694=3,"MAR",B1694=4,"APR",B1694=5,"MAY",B1694=6,"JUN",B1694=7,"JUL",B1694=8,"AUG",Table_13[[#This Row],[Month]]=9,"SEPT",B1694=10,"OCT",B1694=11,"NOV",B1694=12,"DEC")</f>
        <v>SEPT</v>
      </c>
      <c r="D1694" s="2" t="s">
        <v>18</v>
      </c>
      <c r="E1694" s="2" t="s">
        <v>12</v>
      </c>
      <c r="F1694" s="2" t="s">
        <v>13</v>
      </c>
      <c r="G1694" s="2" t="s">
        <v>20</v>
      </c>
      <c r="H1694" s="2" t="s">
        <v>21</v>
      </c>
      <c r="I1694" s="2" t="s">
        <v>22</v>
      </c>
      <c r="J1694" s="15">
        <v>30000</v>
      </c>
      <c r="K1694" s="2">
        <v>9</v>
      </c>
      <c r="L1694" s="2" t="s">
        <v>17</v>
      </c>
      <c r="M1694" s="12">
        <f t="shared" si="54"/>
        <v>24000</v>
      </c>
      <c r="N1694" s="10">
        <f>PRODUCT(Table_13[[#This Row],[Unit Price]],Table_13[[#This Row],[Quantity]])</f>
        <v>270000</v>
      </c>
      <c r="O1694" s="16">
        <f>PRODUCT(Table_13[[#This Row],[Cost Price]],Table_13[[#This Row],[Quantity]])</f>
        <v>216000</v>
      </c>
      <c r="P1694" s="27">
        <f t="shared" si="60"/>
        <v>54000</v>
      </c>
    </row>
    <row r="1695" spans="1:16" x14ac:dyDescent="0.2">
      <c r="A1695" s="33">
        <v>47369</v>
      </c>
      <c r="B1695" s="30">
        <f t="shared" si="59"/>
        <v>9</v>
      </c>
      <c r="C1695" s="30" t="str">
        <f>_xlfn.IFS(Table_13[[#This Row],[Month]]=1,"JAN",Table_13[[#This Row],[Month]]=2,"FEB",B1695=3,"MAR",B1695=4,"APR",B1695=5,"MAY",B1695=6,"JUN",B1695=7,"JUL",B1695=8,"AUG",Table_13[[#This Row],[Month]]=9,"SEPT",B1695=10,"OCT",B1695=11,"NOV",B1695=12,"DEC")</f>
        <v>SEPT</v>
      </c>
      <c r="D1695" s="2" t="s">
        <v>25</v>
      </c>
      <c r="E1695" s="2" t="s">
        <v>26</v>
      </c>
      <c r="F1695" s="2" t="s">
        <v>23</v>
      </c>
      <c r="G1695" s="2" t="s">
        <v>14</v>
      </c>
      <c r="H1695" s="2" t="s">
        <v>34</v>
      </c>
      <c r="I1695" s="2" t="s">
        <v>16</v>
      </c>
      <c r="J1695" s="15">
        <v>320000</v>
      </c>
      <c r="K1695" s="2">
        <v>8</v>
      </c>
      <c r="L1695" s="2" t="s">
        <v>37</v>
      </c>
      <c r="M1695" s="12">
        <f t="shared" si="54"/>
        <v>256000</v>
      </c>
      <c r="N1695" s="10">
        <f>PRODUCT(Table_13[[#This Row],[Unit Price]],Table_13[[#This Row],[Quantity]])</f>
        <v>2560000</v>
      </c>
      <c r="O1695" s="16">
        <f>PRODUCT(Table_13[[#This Row],[Cost Price]],Table_13[[#This Row],[Quantity]])</f>
        <v>2048000</v>
      </c>
      <c r="P1695" s="27">
        <f t="shared" si="60"/>
        <v>512000</v>
      </c>
    </row>
    <row r="1696" spans="1:16" x14ac:dyDescent="0.2">
      <c r="A1696" s="33">
        <v>47370</v>
      </c>
      <c r="B1696" s="30">
        <f t="shared" si="59"/>
        <v>9</v>
      </c>
      <c r="C1696" s="30" t="str">
        <f>_xlfn.IFS(Table_13[[#This Row],[Month]]=1,"JAN",Table_13[[#This Row],[Month]]=2,"FEB",B1696=3,"MAR",B1696=4,"APR",B1696=5,"MAY",B1696=6,"JUN",B1696=7,"JUL",B1696=8,"AUG",Table_13[[#This Row],[Month]]=9,"SEPT",B1696=10,"OCT",B1696=11,"NOV",B1696=12,"DEC")</f>
        <v>SEPT</v>
      </c>
      <c r="D1696" s="2" t="s">
        <v>18</v>
      </c>
      <c r="E1696" s="2" t="s">
        <v>32</v>
      </c>
      <c r="F1696" s="2" t="s">
        <v>13</v>
      </c>
      <c r="G1696" s="2" t="s">
        <v>20</v>
      </c>
      <c r="H1696" s="2" t="s">
        <v>21</v>
      </c>
      <c r="I1696" s="2" t="s">
        <v>22</v>
      </c>
      <c r="J1696" s="15">
        <v>30000</v>
      </c>
      <c r="K1696" s="2">
        <v>9</v>
      </c>
      <c r="L1696" s="2" t="s">
        <v>28</v>
      </c>
      <c r="M1696" s="12">
        <f t="shared" si="54"/>
        <v>24000</v>
      </c>
      <c r="N1696" s="10">
        <f>PRODUCT(Table_13[[#This Row],[Unit Price]],Table_13[[#This Row],[Quantity]])</f>
        <v>270000</v>
      </c>
      <c r="O1696" s="16">
        <f>PRODUCT(Table_13[[#This Row],[Cost Price]],Table_13[[#This Row],[Quantity]])</f>
        <v>216000</v>
      </c>
      <c r="P1696" s="27">
        <f t="shared" si="60"/>
        <v>54000</v>
      </c>
    </row>
    <row r="1697" spans="1:16" x14ac:dyDescent="0.2">
      <c r="A1697" s="33">
        <v>47371</v>
      </c>
      <c r="B1697" s="30">
        <f t="shared" si="59"/>
        <v>9</v>
      </c>
      <c r="C1697" s="30" t="str">
        <f>_xlfn.IFS(Table_13[[#This Row],[Month]]=1,"JAN",Table_13[[#This Row],[Month]]=2,"FEB",B1697=3,"MAR",B1697=4,"APR",B1697=5,"MAY",B1697=6,"JUN",B1697=7,"JUL",B1697=8,"AUG",Table_13[[#This Row],[Month]]=9,"SEPT",B1697=10,"OCT",B1697=11,"NOV",B1697=12,"DEC")</f>
        <v>SEPT</v>
      </c>
      <c r="D1697" s="2" t="s">
        <v>18</v>
      </c>
      <c r="E1697" s="2" t="s">
        <v>26</v>
      </c>
      <c r="F1697" s="2" t="s">
        <v>23</v>
      </c>
      <c r="G1697" s="2" t="s">
        <v>14</v>
      </c>
      <c r="H1697" s="2" t="s">
        <v>40</v>
      </c>
      <c r="I1697" s="2" t="s">
        <v>31</v>
      </c>
      <c r="J1697" s="15">
        <v>250000</v>
      </c>
      <c r="K1697" s="2">
        <v>3</v>
      </c>
      <c r="L1697" s="2" t="s">
        <v>24</v>
      </c>
      <c r="M1697" s="12">
        <f t="shared" si="54"/>
        <v>200000</v>
      </c>
      <c r="N1697" s="10">
        <f>PRODUCT(Table_13[[#This Row],[Unit Price]],Table_13[[#This Row],[Quantity]])</f>
        <v>750000</v>
      </c>
      <c r="O1697" s="16">
        <f>PRODUCT(Table_13[[#This Row],[Cost Price]],Table_13[[#This Row],[Quantity]])</f>
        <v>600000</v>
      </c>
      <c r="P1697" s="27">
        <f t="shared" si="60"/>
        <v>150000</v>
      </c>
    </row>
    <row r="1698" spans="1:16" x14ac:dyDescent="0.2">
      <c r="A1698" s="33">
        <v>47372</v>
      </c>
      <c r="B1698" s="30">
        <f t="shared" si="59"/>
        <v>9</v>
      </c>
      <c r="C1698" s="30" t="str">
        <f>_xlfn.IFS(Table_13[[#This Row],[Month]]=1,"JAN",Table_13[[#This Row],[Month]]=2,"FEB",B1698=3,"MAR",B1698=4,"APR",B1698=5,"MAY",B1698=6,"JUN",B1698=7,"JUL",B1698=8,"AUG",Table_13[[#This Row],[Month]]=9,"SEPT",B1698=10,"OCT",B1698=11,"NOV",B1698=12,"DEC")</f>
        <v>SEPT</v>
      </c>
      <c r="D1698" s="2" t="s">
        <v>18</v>
      </c>
      <c r="E1698" s="2" t="s">
        <v>19</v>
      </c>
      <c r="F1698" s="2" t="s">
        <v>23</v>
      </c>
      <c r="G1698" s="2" t="s">
        <v>14</v>
      </c>
      <c r="H1698" s="2" t="s">
        <v>27</v>
      </c>
      <c r="I1698" s="2" t="s">
        <v>22</v>
      </c>
      <c r="J1698" s="15">
        <v>60000</v>
      </c>
      <c r="K1698" s="2">
        <v>2</v>
      </c>
      <c r="L1698" s="2" t="s">
        <v>24</v>
      </c>
      <c r="M1698" s="12">
        <f t="shared" si="54"/>
        <v>48000</v>
      </c>
      <c r="N1698" s="10">
        <f>PRODUCT(Table_13[[#This Row],[Unit Price]],Table_13[[#This Row],[Quantity]])</f>
        <v>120000</v>
      </c>
      <c r="O1698" s="16">
        <f>PRODUCT(Table_13[[#This Row],[Cost Price]],Table_13[[#This Row],[Quantity]])</f>
        <v>96000</v>
      </c>
      <c r="P1698" s="27">
        <f t="shared" si="60"/>
        <v>24000</v>
      </c>
    </row>
    <row r="1699" spans="1:16" x14ac:dyDescent="0.2">
      <c r="A1699" s="33">
        <v>47373</v>
      </c>
      <c r="B1699" s="30">
        <f t="shared" si="59"/>
        <v>9</v>
      </c>
      <c r="C1699" s="30" t="str">
        <f>_xlfn.IFS(Table_13[[#This Row],[Month]]=1,"JAN",Table_13[[#This Row],[Month]]=2,"FEB",B1699=3,"MAR",B1699=4,"APR",B1699=5,"MAY",B1699=6,"JUN",B1699=7,"JUL",B1699=8,"AUG",Table_13[[#This Row],[Month]]=9,"SEPT",B1699=10,"OCT",B1699=11,"NOV",B1699=12,"DEC")</f>
        <v>SEPT</v>
      </c>
      <c r="D1699" s="2" t="s">
        <v>11</v>
      </c>
      <c r="E1699" s="2" t="s">
        <v>32</v>
      </c>
      <c r="F1699" s="2" t="s">
        <v>13</v>
      </c>
      <c r="G1699" s="2" t="s">
        <v>20</v>
      </c>
      <c r="H1699" s="2" t="s">
        <v>34</v>
      </c>
      <c r="I1699" s="2" t="s">
        <v>16</v>
      </c>
      <c r="J1699" s="15">
        <v>320000</v>
      </c>
      <c r="K1699" s="2">
        <v>3</v>
      </c>
      <c r="L1699" s="2" t="s">
        <v>28</v>
      </c>
      <c r="M1699" s="12">
        <f t="shared" si="54"/>
        <v>256000</v>
      </c>
      <c r="N1699" s="10">
        <f>PRODUCT(Table_13[[#This Row],[Unit Price]],Table_13[[#This Row],[Quantity]])</f>
        <v>960000</v>
      </c>
      <c r="O1699" s="16">
        <f>PRODUCT(Table_13[[#This Row],[Cost Price]],Table_13[[#This Row],[Quantity]])</f>
        <v>768000</v>
      </c>
      <c r="P1699" s="27">
        <f t="shared" si="60"/>
        <v>192000</v>
      </c>
    </row>
    <row r="1700" spans="1:16" x14ac:dyDescent="0.2">
      <c r="A1700" s="33">
        <v>47374</v>
      </c>
      <c r="B1700" s="30">
        <f t="shared" si="59"/>
        <v>9</v>
      </c>
      <c r="C1700" s="30" t="str">
        <f>_xlfn.IFS(Table_13[[#This Row],[Month]]=1,"JAN",Table_13[[#This Row],[Month]]=2,"FEB",B1700=3,"MAR",B1700=4,"APR",B1700=5,"MAY",B1700=6,"JUN",B1700=7,"JUL",B1700=8,"AUG",Table_13[[#This Row],[Month]]=9,"SEPT",B1700=10,"OCT",B1700=11,"NOV",B1700=12,"DEC")</f>
        <v>SEPT</v>
      </c>
      <c r="D1700" s="2" t="s">
        <v>18</v>
      </c>
      <c r="E1700" s="2" t="s">
        <v>26</v>
      </c>
      <c r="F1700" s="2" t="s">
        <v>13</v>
      </c>
      <c r="G1700" s="2" t="s">
        <v>14</v>
      </c>
      <c r="H1700" s="2" t="s">
        <v>30</v>
      </c>
      <c r="I1700" s="2" t="s">
        <v>31</v>
      </c>
      <c r="J1700" s="15">
        <v>300000</v>
      </c>
      <c r="K1700" s="2">
        <v>9</v>
      </c>
      <c r="L1700" s="2" t="s">
        <v>24</v>
      </c>
      <c r="M1700" s="12">
        <f t="shared" si="54"/>
        <v>240000</v>
      </c>
      <c r="N1700" s="10">
        <f>PRODUCT(Table_13[[#This Row],[Unit Price]],Table_13[[#This Row],[Quantity]])</f>
        <v>2700000</v>
      </c>
      <c r="O1700" s="16">
        <f>PRODUCT(Table_13[[#This Row],[Cost Price]],Table_13[[#This Row],[Quantity]])</f>
        <v>2160000</v>
      </c>
      <c r="P1700" s="27">
        <f t="shared" si="60"/>
        <v>540000</v>
      </c>
    </row>
    <row r="1701" spans="1:16" x14ac:dyDescent="0.2">
      <c r="A1701" s="33">
        <v>47375</v>
      </c>
      <c r="B1701" s="30">
        <f t="shared" si="59"/>
        <v>9</v>
      </c>
      <c r="C1701" s="30" t="str">
        <f>_xlfn.IFS(Table_13[[#This Row],[Month]]=1,"JAN",Table_13[[#This Row],[Month]]=2,"FEB",B1701=3,"MAR",B1701=4,"APR",B1701=5,"MAY",B1701=6,"JUN",B1701=7,"JUL",B1701=8,"AUG",Table_13[[#This Row],[Month]]=9,"SEPT",B1701=10,"OCT",B1701=11,"NOV",B1701=12,"DEC")</f>
        <v>SEPT</v>
      </c>
      <c r="D1701" s="2" t="s">
        <v>18</v>
      </c>
      <c r="E1701" s="2" t="s">
        <v>32</v>
      </c>
      <c r="F1701" s="2" t="s">
        <v>13</v>
      </c>
      <c r="G1701" s="2" t="s">
        <v>14</v>
      </c>
      <c r="H1701" s="2" t="s">
        <v>38</v>
      </c>
      <c r="I1701" s="2" t="s">
        <v>31</v>
      </c>
      <c r="J1701" s="15">
        <v>420000</v>
      </c>
      <c r="K1701" s="2">
        <v>4</v>
      </c>
      <c r="L1701" s="2" t="s">
        <v>39</v>
      </c>
      <c r="M1701" s="12">
        <f t="shared" si="54"/>
        <v>336000</v>
      </c>
      <c r="N1701" s="10">
        <f>PRODUCT(Table_13[[#This Row],[Unit Price]],Table_13[[#This Row],[Quantity]])</f>
        <v>1680000</v>
      </c>
      <c r="O1701" s="16">
        <f>PRODUCT(Table_13[[#This Row],[Cost Price]],Table_13[[#This Row],[Quantity]])</f>
        <v>1344000</v>
      </c>
      <c r="P1701" s="27">
        <f t="shared" si="60"/>
        <v>336000</v>
      </c>
    </row>
    <row r="1702" spans="1:16" x14ac:dyDescent="0.2">
      <c r="A1702" s="33">
        <v>47376</v>
      </c>
      <c r="B1702" s="30">
        <f t="shared" si="59"/>
        <v>9</v>
      </c>
      <c r="C1702" s="30" t="str">
        <f>_xlfn.IFS(Table_13[[#This Row],[Month]]=1,"JAN",Table_13[[#This Row],[Month]]=2,"FEB",B1702=3,"MAR",B1702=4,"APR",B1702=5,"MAY",B1702=6,"JUN",B1702=7,"JUL",B1702=8,"AUG",Table_13[[#This Row],[Month]]=9,"SEPT",B1702=10,"OCT",B1702=11,"NOV",B1702=12,"DEC")</f>
        <v>SEPT</v>
      </c>
      <c r="D1702" s="2" t="s">
        <v>11</v>
      </c>
      <c r="E1702" s="2" t="s">
        <v>12</v>
      </c>
      <c r="F1702" s="2" t="s">
        <v>13</v>
      </c>
      <c r="G1702" s="2" t="s">
        <v>20</v>
      </c>
      <c r="H1702" s="2" t="s">
        <v>34</v>
      </c>
      <c r="I1702" s="2" t="s">
        <v>16</v>
      </c>
      <c r="J1702" s="15">
        <v>320000</v>
      </c>
      <c r="K1702" s="2">
        <v>6</v>
      </c>
      <c r="L1702" s="2" t="s">
        <v>35</v>
      </c>
      <c r="M1702" s="12">
        <f t="shared" si="54"/>
        <v>256000</v>
      </c>
      <c r="N1702" s="10">
        <f>PRODUCT(Table_13[[#This Row],[Unit Price]],Table_13[[#This Row],[Quantity]])</f>
        <v>1920000</v>
      </c>
      <c r="O1702" s="16">
        <f>PRODUCT(Table_13[[#This Row],[Cost Price]],Table_13[[#This Row],[Quantity]])</f>
        <v>1536000</v>
      </c>
      <c r="P1702" s="27">
        <f t="shared" si="60"/>
        <v>384000</v>
      </c>
    </row>
    <row r="1703" spans="1:16" x14ac:dyDescent="0.2">
      <c r="A1703" s="33">
        <v>47377</v>
      </c>
      <c r="B1703" s="30">
        <f t="shared" si="59"/>
        <v>9</v>
      </c>
      <c r="C1703" s="30" t="str">
        <f>_xlfn.IFS(Table_13[[#This Row],[Month]]=1,"JAN",Table_13[[#This Row],[Month]]=2,"FEB",B1703=3,"MAR",B1703=4,"APR",B1703=5,"MAY",B1703=6,"JUN",B1703=7,"JUL",B1703=8,"AUG",Table_13[[#This Row],[Month]]=9,"SEPT",B1703=10,"OCT",B1703=11,"NOV",B1703=12,"DEC")</f>
        <v>SEPT</v>
      </c>
      <c r="D1703" s="2" t="s">
        <v>11</v>
      </c>
      <c r="E1703" s="2" t="s">
        <v>32</v>
      </c>
      <c r="F1703" s="2" t="s">
        <v>13</v>
      </c>
      <c r="G1703" s="2" t="s">
        <v>20</v>
      </c>
      <c r="H1703" s="2" t="s">
        <v>41</v>
      </c>
      <c r="I1703" s="2" t="s">
        <v>22</v>
      </c>
      <c r="J1703" s="15">
        <v>220000</v>
      </c>
      <c r="K1703" s="2">
        <v>4</v>
      </c>
      <c r="L1703" s="2" t="s">
        <v>39</v>
      </c>
      <c r="M1703" s="12">
        <f t="shared" si="54"/>
        <v>176000</v>
      </c>
      <c r="N1703" s="10">
        <f>PRODUCT(Table_13[[#This Row],[Unit Price]],Table_13[[#This Row],[Quantity]])</f>
        <v>880000</v>
      </c>
      <c r="O1703" s="16">
        <f>PRODUCT(Table_13[[#This Row],[Cost Price]],Table_13[[#This Row],[Quantity]])</f>
        <v>704000</v>
      </c>
      <c r="P1703" s="27">
        <f t="shared" si="60"/>
        <v>176000</v>
      </c>
    </row>
    <row r="1704" spans="1:16" x14ac:dyDescent="0.2">
      <c r="A1704" s="33">
        <v>47378</v>
      </c>
      <c r="B1704" s="30">
        <f t="shared" si="59"/>
        <v>9</v>
      </c>
      <c r="C1704" s="30" t="str">
        <f>_xlfn.IFS(Table_13[[#This Row],[Month]]=1,"JAN",Table_13[[#This Row],[Month]]=2,"FEB",B1704=3,"MAR",B1704=4,"APR",B1704=5,"MAY",B1704=6,"JUN",B1704=7,"JUL",B1704=8,"AUG",Table_13[[#This Row],[Month]]=9,"SEPT",B1704=10,"OCT",B1704=11,"NOV",B1704=12,"DEC")</f>
        <v>SEPT</v>
      </c>
      <c r="D1704" s="2" t="s">
        <v>25</v>
      </c>
      <c r="E1704" s="2" t="s">
        <v>32</v>
      </c>
      <c r="F1704" s="2" t="s">
        <v>13</v>
      </c>
      <c r="G1704" s="2" t="s">
        <v>20</v>
      </c>
      <c r="H1704" s="2" t="s">
        <v>15</v>
      </c>
      <c r="I1704" s="2" t="s">
        <v>16</v>
      </c>
      <c r="J1704" s="15">
        <v>85000</v>
      </c>
      <c r="K1704" s="2">
        <v>8</v>
      </c>
      <c r="L1704" s="2" t="s">
        <v>24</v>
      </c>
      <c r="M1704" s="12">
        <f t="shared" si="54"/>
        <v>68000</v>
      </c>
      <c r="N1704" s="10">
        <f>PRODUCT(Table_13[[#This Row],[Unit Price]],Table_13[[#This Row],[Quantity]])</f>
        <v>680000</v>
      </c>
      <c r="O1704" s="16">
        <f>PRODUCT(Table_13[[#This Row],[Cost Price]],Table_13[[#This Row],[Quantity]])</f>
        <v>544000</v>
      </c>
      <c r="P1704" s="27">
        <f t="shared" si="60"/>
        <v>136000</v>
      </c>
    </row>
    <row r="1705" spans="1:16" x14ac:dyDescent="0.2">
      <c r="A1705" s="33">
        <v>47379</v>
      </c>
      <c r="B1705" s="30">
        <f t="shared" si="59"/>
        <v>9</v>
      </c>
      <c r="C1705" s="30" t="str">
        <f>_xlfn.IFS(Table_13[[#This Row],[Month]]=1,"JAN",Table_13[[#This Row],[Month]]=2,"FEB",B1705=3,"MAR",B1705=4,"APR",B1705=5,"MAY",B1705=6,"JUN",B1705=7,"JUL",B1705=8,"AUG",Table_13[[#This Row],[Month]]=9,"SEPT",B1705=10,"OCT",B1705=11,"NOV",B1705=12,"DEC")</f>
        <v>SEPT</v>
      </c>
      <c r="D1705" s="2" t="s">
        <v>11</v>
      </c>
      <c r="E1705" s="2" t="s">
        <v>12</v>
      </c>
      <c r="F1705" s="2" t="s">
        <v>13</v>
      </c>
      <c r="G1705" s="2" t="s">
        <v>20</v>
      </c>
      <c r="H1705" s="2" t="s">
        <v>38</v>
      </c>
      <c r="I1705" s="2" t="s">
        <v>31</v>
      </c>
      <c r="J1705" s="15">
        <v>420000</v>
      </c>
      <c r="K1705" s="2">
        <v>7</v>
      </c>
      <c r="L1705" s="2" t="s">
        <v>28</v>
      </c>
      <c r="M1705" s="12">
        <f t="shared" si="54"/>
        <v>336000</v>
      </c>
      <c r="N1705" s="10">
        <f>PRODUCT(Table_13[[#This Row],[Unit Price]],Table_13[[#This Row],[Quantity]])</f>
        <v>2940000</v>
      </c>
      <c r="O1705" s="16">
        <f>PRODUCT(Table_13[[#This Row],[Cost Price]],Table_13[[#This Row],[Quantity]])</f>
        <v>2352000</v>
      </c>
      <c r="P1705" s="27">
        <f t="shared" si="60"/>
        <v>588000</v>
      </c>
    </row>
    <row r="1706" spans="1:16" x14ac:dyDescent="0.2">
      <c r="A1706" s="33">
        <v>47380</v>
      </c>
      <c r="B1706" s="30">
        <f t="shared" si="59"/>
        <v>9</v>
      </c>
      <c r="C1706" s="30" t="str">
        <f>_xlfn.IFS(Table_13[[#This Row],[Month]]=1,"JAN",Table_13[[#This Row],[Month]]=2,"FEB",B1706=3,"MAR",B1706=4,"APR",B1706=5,"MAY",B1706=6,"JUN",B1706=7,"JUL",B1706=8,"AUG",Table_13[[#This Row],[Month]]=9,"SEPT",B1706=10,"OCT",B1706=11,"NOV",B1706=12,"DEC")</f>
        <v>SEPT</v>
      </c>
      <c r="D1706" s="2" t="s">
        <v>18</v>
      </c>
      <c r="E1706" s="2" t="s">
        <v>32</v>
      </c>
      <c r="F1706" s="2" t="s">
        <v>23</v>
      </c>
      <c r="G1706" s="2" t="s">
        <v>20</v>
      </c>
      <c r="H1706" s="2" t="s">
        <v>41</v>
      </c>
      <c r="I1706" s="2" t="s">
        <v>22</v>
      </c>
      <c r="J1706" s="15">
        <v>220000</v>
      </c>
      <c r="K1706" s="2">
        <v>2</v>
      </c>
      <c r="L1706" s="2" t="s">
        <v>17</v>
      </c>
      <c r="M1706" s="12">
        <f t="shared" si="54"/>
        <v>176000</v>
      </c>
      <c r="N1706" s="10">
        <f>PRODUCT(Table_13[[#This Row],[Unit Price]],Table_13[[#This Row],[Quantity]])</f>
        <v>440000</v>
      </c>
      <c r="O1706" s="16">
        <f>PRODUCT(Table_13[[#This Row],[Cost Price]],Table_13[[#This Row],[Quantity]])</f>
        <v>352000</v>
      </c>
      <c r="P1706" s="27">
        <f t="shared" si="60"/>
        <v>88000</v>
      </c>
    </row>
    <row r="1707" spans="1:16" x14ac:dyDescent="0.2">
      <c r="A1707" s="33">
        <v>47381</v>
      </c>
      <c r="B1707" s="30">
        <f t="shared" si="59"/>
        <v>9</v>
      </c>
      <c r="C1707" s="30" t="str">
        <f>_xlfn.IFS(Table_13[[#This Row],[Month]]=1,"JAN",Table_13[[#This Row],[Month]]=2,"FEB",B1707=3,"MAR",B1707=4,"APR",B1707=5,"MAY",B1707=6,"JUN",B1707=7,"JUL",B1707=8,"AUG",Table_13[[#This Row],[Month]]=9,"SEPT",B1707=10,"OCT",B1707=11,"NOV",B1707=12,"DEC")</f>
        <v>SEPT</v>
      </c>
      <c r="D1707" s="2" t="s">
        <v>29</v>
      </c>
      <c r="E1707" s="2" t="s">
        <v>26</v>
      </c>
      <c r="F1707" s="2" t="s">
        <v>13</v>
      </c>
      <c r="G1707" s="2" t="s">
        <v>14</v>
      </c>
      <c r="H1707" s="2" t="s">
        <v>36</v>
      </c>
      <c r="I1707" s="2" t="s">
        <v>31</v>
      </c>
      <c r="J1707" s="15">
        <v>150000</v>
      </c>
      <c r="K1707" s="2">
        <v>1</v>
      </c>
      <c r="L1707" s="2" t="s">
        <v>35</v>
      </c>
      <c r="M1707" s="12">
        <f t="shared" si="54"/>
        <v>120000</v>
      </c>
      <c r="N1707" s="10">
        <f>PRODUCT(Table_13[[#This Row],[Unit Price]],Table_13[[#This Row],[Quantity]])</f>
        <v>150000</v>
      </c>
      <c r="O1707" s="16">
        <f>PRODUCT(Table_13[[#This Row],[Cost Price]],Table_13[[#This Row],[Quantity]])</f>
        <v>120000</v>
      </c>
      <c r="P1707" s="27">
        <f t="shared" si="60"/>
        <v>30000</v>
      </c>
    </row>
    <row r="1708" spans="1:16" x14ac:dyDescent="0.2">
      <c r="A1708" s="33">
        <v>47382</v>
      </c>
      <c r="B1708" s="30">
        <f t="shared" si="59"/>
        <v>9</v>
      </c>
      <c r="C1708" s="30" t="str">
        <f>_xlfn.IFS(Table_13[[#This Row],[Month]]=1,"JAN",Table_13[[#This Row],[Month]]=2,"FEB",B1708=3,"MAR",B1708=4,"APR",B1708=5,"MAY",B1708=6,"JUN",B1708=7,"JUL",B1708=8,"AUG",Table_13[[#This Row],[Month]]=9,"SEPT",B1708=10,"OCT",B1708=11,"NOV",B1708=12,"DEC")</f>
        <v>SEPT</v>
      </c>
      <c r="D1708" s="2" t="s">
        <v>29</v>
      </c>
      <c r="E1708" s="2" t="s">
        <v>12</v>
      </c>
      <c r="F1708" s="2" t="s">
        <v>23</v>
      </c>
      <c r="G1708" s="2" t="s">
        <v>20</v>
      </c>
      <c r="H1708" s="2" t="s">
        <v>38</v>
      </c>
      <c r="I1708" s="2" t="s">
        <v>31</v>
      </c>
      <c r="J1708" s="15">
        <v>420000</v>
      </c>
      <c r="K1708" s="2">
        <v>4</v>
      </c>
      <c r="L1708" s="2" t="s">
        <v>37</v>
      </c>
      <c r="M1708" s="12">
        <f t="shared" si="54"/>
        <v>336000</v>
      </c>
      <c r="N1708" s="10">
        <f>PRODUCT(Table_13[[#This Row],[Unit Price]],Table_13[[#This Row],[Quantity]])</f>
        <v>1680000</v>
      </c>
      <c r="O1708" s="16">
        <f>PRODUCT(Table_13[[#This Row],[Cost Price]],Table_13[[#This Row],[Quantity]])</f>
        <v>1344000</v>
      </c>
      <c r="P1708" s="27">
        <f t="shared" si="60"/>
        <v>336000</v>
      </c>
    </row>
    <row r="1709" spans="1:16" x14ac:dyDescent="0.2">
      <c r="A1709" s="33">
        <v>47383</v>
      </c>
      <c r="B1709" s="30">
        <f t="shared" si="59"/>
        <v>9</v>
      </c>
      <c r="C1709" s="30" t="str">
        <f>_xlfn.IFS(Table_13[[#This Row],[Month]]=1,"JAN",Table_13[[#This Row],[Month]]=2,"FEB",B1709=3,"MAR",B1709=4,"APR",B1709=5,"MAY",B1709=6,"JUN",B1709=7,"JUL",B1709=8,"AUG",Table_13[[#This Row],[Month]]=9,"SEPT",B1709=10,"OCT",B1709=11,"NOV",B1709=12,"DEC")</f>
        <v>SEPT</v>
      </c>
      <c r="D1709" s="2" t="s">
        <v>25</v>
      </c>
      <c r="E1709" s="2" t="s">
        <v>19</v>
      </c>
      <c r="F1709" s="2" t="s">
        <v>23</v>
      </c>
      <c r="G1709" s="2" t="s">
        <v>14</v>
      </c>
      <c r="H1709" s="2" t="s">
        <v>30</v>
      </c>
      <c r="I1709" s="2" t="s">
        <v>31</v>
      </c>
      <c r="J1709" s="15">
        <v>300000</v>
      </c>
      <c r="K1709" s="2">
        <v>1</v>
      </c>
      <c r="L1709" s="2" t="s">
        <v>28</v>
      </c>
      <c r="M1709" s="12">
        <f t="shared" si="54"/>
        <v>240000</v>
      </c>
      <c r="N1709" s="10">
        <f>PRODUCT(Table_13[[#This Row],[Unit Price]],Table_13[[#This Row],[Quantity]])</f>
        <v>300000</v>
      </c>
      <c r="O1709" s="16">
        <f>PRODUCT(Table_13[[#This Row],[Cost Price]],Table_13[[#This Row],[Quantity]])</f>
        <v>240000</v>
      </c>
      <c r="P1709" s="27">
        <f t="shared" si="60"/>
        <v>60000</v>
      </c>
    </row>
    <row r="1710" spans="1:16" x14ac:dyDescent="0.2">
      <c r="A1710" s="33">
        <v>47384</v>
      </c>
      <c r="B1710" s="30">
        <f t="shared" si="59"/>
        <v>9</v>
      </c>
      <c r="C1710" s="30" t="str">
        <f>_xlfn.IFS(Table_13[[#This Row],[Month]]=1,"JAN",Table_13[[#This Row],[Month]]=2,"FEB",B1710=3,"MAR",B1710=4,"APR",B1710=5,"MAY",B1710=6,"JUN",B1710=7,"JUL",B1710=8,"AUG",Table_13[[#This Row],[Month]]=9,"SEPT",B1710=10,"OCT",B1710=11,"NOV",B1710=12,"DEC")</f>
        <v>SEPT</v>
      </c>
      <c r="D1710" s="2" t="s">
        <v>11</v>
      </c>
      <c r="E1710" s="2" t="s">
        <v>19</v>
      </c>
      <c r="F1710" s="2" t="s">
        <v>13</v>
      </c>
      <c r="G1710" s="2" t="s">
        <v>20</v>
      </c>
      <c r="H1710" s="2" t="s">
        <v>30</v>
      </c>
      <c r="I1710" s="2" t="s">
        <v>31</v>
      </c>
      <c r="J1710" s="15">
        <v>300000</v>
      </c>
      <c r="K1710" s="2">
        <v>9</v>
      </c>
      <c r="L1710" s="2" t="s">
        <v>24</v>
      </c>
      <c r="M1710" s="12">
        <f t="shared" si="54"/>
        <v>240000</v>
      </c>
      <c r="N1710" s="10">
        <f>PRODUCT(Table_13[[#This Row],[Unit Price]],Table_13[[#This Row],[Quantity]])</f>
        <v>2700000</v>
      </c>
      <c r="O1710" s="16">
        <f>PRODUCT(Table_13[[#This Row],[Cost Price]],Table_13[[#This Row],[Quantity]])</f>
        <v>2160000</v>
      </c>
      <c r="P1710" s="27">
        <f t="shared" si="60"/>
        <v>540000</v>
      </c>
    </row>
    <row r="1711" spans="1:16" x14ac:dyDescent="0.2">
      <c r="A1711" s="33">
        <v>47385</v>
      </c>
      <c r="B1711" s="30">
        <f t="shared" si="59"/>
        <v>9</v>
      </c>
      <c r="C1711" s="30" t="str">
        <f>_xlfn.IFS(Table_13[[#This Row],[Month]]=1,"JAN",Table_13[[#This Row],[Month]]=2,"FEB",B1711=3,"MAR",B1711=4,"APR",B1711=5,"MAY",B1711=6,"JUN",B1711=7,"JUL",B1711=8,"AUG",Table_13[[#This Row],[Month]]=9,"SEPT",B1711=10,"OCT",B1711=11,"NOV",B1711=12,"DEC")</f>
        <v>SEPT</v>
      </c>
      <c r="D1711" s="2" t="s">
        <v>25</v>
      </c>
      <c r="E1711" s="2" t="s">
        <v>32</v>
      </c>
      <c r="F1711" s="2" t="s">
        <v>13</v>
      </c>
      <c r="G1711" s="2" t="s">
        <v>14</v>
      </c>
      <c r="H1711" s="2" t="s">
        <v>40</v>
      </c>
      <c r="I1711" s="2" t="s">
        <v>31</v>
      </c>
      <c r="J1711" s="15">
        <v>250000</v>
      </c>
      <c r="K1711" s="2">
        <v>6</v>
      </c>
      <c r="L1711" s="2" t="s">
        <v>24</v>
      </c>
      <c r="M1711" s="12">
        <f t="shared" si="54"/>
        <v>200000</v>
      </c>
      <c r="N1711" s="10">
        <f>PRODUCT(Table_13[[#This Row],[Unit Price]],Table_13[[#This Row],[Quantity]])</f>
        <v>1500000</v>
      </c>
      <c r="O1711" s="16">
        <f>PRODUCT(Table_13[[#This Row],[Cost Price]],Table_13[[#This Row],[Quantity]])</f>
        <v>1200000</v>
      </c>
      <c r="P1711" s="27">
        <f t="shared" si="60"/>
        <v>300000</v>
      </c>
    </row>
    <row r="1712" spans="1:16" x14ac:dyDescent="0.2">
      <c r="A1712" s="33">
        <v>47386</v>
      </c>
      <c r="B1712" s="30">
        <f t="shared" si="59"/>
        <v>9</v>
      </c>
      <c r="C1712" s="30" t="str">
        <f>_xlfn.IFS(Table_13[[#This Row],[Month]]=1,"JAN",Table_13[[#This Row],[Month]]=2,"FEB",B1712=3,"MAR",B1712=4,"APR",B1712=5,"MAY",B1712=6,"JUN",B1712=7,"JUL",B1712=8,"AUG",Table_13[[#This Row],[Month]]=9,"SEPT",B1712=10,"OCT",B1712=11,"NOV",B1712=12,"DEC")</f>
        <v>SEPT</v>
      </c>
      <c r="D1712" s="2" t="s">
        <v>29</v>
      </c>
      <c r="E1712" s="2" t="s">
        <v>26</v>
      </c>
      <c r="F1712" s="2" t="s">
        <v>13</v>
      </c>
      <c r="G1712" s="2" t="s">
        <v>20</v>
      </c>
      <c r="H1712" s="2" t="s">
        <v>21</v>
      </c>
      <c r="I1712" s="2" t="s">
        <v>22</v>
      </c>
      <c r="J1712" s="15">
        <v>30000</v>
      </c>
      <c r="K1712" s="2">
        <v>7</v>
      </c>
      <c r="L1712" s="2" t="s">
        <v>28</v>
      </c>
      <c r="M1712" s="12">
        <f t="shared" si="54"/>
        <v>24000</v>
      </c>
      <c r="N1712" s="10">
        <f>PRODUCT(Table_13[[#This Row],[Unit Price]],Table_13[[#This Row],[Quantity]])</f>
        <v>210000</v>
      </c>
      <c r="O1712" s="16">
        <f>PRODUCT(Table_13[[#This Row],[Cost Price]],Table_13[[#This Row],[Quantity]])</f>
        <v>168000</v>
      </c>
      <c r="P1712" s="27">
        <f t="shared" si="60"/>
        <v>42000</v>
      </c>
    </row>
    <row r="1713" spans="1:16" x14ac:dyDescent="0.2">
      <c r="A1713" s="33">
        <v>47387</v>
      </c>
      <c r="B1713" s="30">
        <f t="shared" si="59"/>
        <v>9</v>
      </c>
      <c r="C1713" s="30" t="str">
        <f>_xlfn.IFS(Table_13[[#This Row],[Month]]=1,"JAN",Table_13[[#This Row],[Month]]=2,"FEB",B1713=3,"MAR",B1713=4,"APR",B1713=5,"MAY",B1713=6,"JUN",B1713=7,"JUL",B1713=8,"AUG",Table_13[[#This Row],[Month]]=9,"SEPT",B1713=10,"OCT",B1713=11,"NOV",B1713=12,"DEC")</f>
        <v>SEPT</v>
      </c>
      <c r="D1713" s="2" t="s">
        <v>25</v>
      </c>
      <c r="E1713" s="2" t="s">
        <v>12</v>
      </c>
      <c r="F1713" s="2" t="s">
        <v>23</v>
      </c>
      <c r="G1713" s="2" t="s">
        <v>14</v>
      </c>
      <c r="H1713" s="2" t="s">
        <v>15</v>
      </c>
      <c r="I1713" s="2" t="s">
        <v>16</v>
      </c>
      <c r="J1713" s="15">
        <v>85000</v>
      </c>
      <c r="K1713" s="2">
        <v>7</v>
      </c>
      <c r="L1713" s="2" t="s">
        <v>39</v>
      </c>
      <c r="M1713" s="12">
        <f t="shared" si="54"/>
        <v>68000</v>
      </c>
      <c r="N1713" s="10">
        <f>PRODUCT(Table_13[[#This Row],[Unit Price]],Table_13[[#This Row],[Quantity]])</f>
        <v>595000</v>
      </c>
      <c r="O1713" s="16">
        <f>PRODUCT(Table_13[[#This Row],[Cost Price]],Table_13[[#This Row],[Quantity]])</f>
        <v>476000</v>
      </c>
      <c r="P1713" s="27">
        <f t="shared" si="60"/>
        <v>119000</v>
      </c>
    </row>
    <row r="1714" spans="1:16" x14ac:dyDescent="0.2">
      <c r="A1714" s="33">
        <v>47388</v>
      </c>
      <c r="B1714" s="30">
        <f t="shared" si="59"/>
        <v>9</v>
      </c>
      <c r="C1714" s="30" t="str">
        <f>_xlfn.IFS(Table_13[[#This Row],[Month]]=1,"JAN",Table_13[[#This Row],[Month]]=2,"FEB",B1714=3,"MAR",B1714=4,"APR",B1714=5,"MAY",B1714=6,"JUN",B1714=7,"JUL",B1714=8,"AUG",Table_13[[#This Row],[Month]]=9,"SEPT",B1714=10,"OCT",B1714=11,"NOV",B1714=12,"DEC")</f>
        <v>SEPT</v>
      </c>
      <c r="D1714" s="2" t="s">
        <v>11</v>
      </c>
      <c r="E1714" s="2" t="s">
        <v>32</v>
      </c>
      <c r="F1714" s="2" t="s">
        <v>23</v>
      </c>
      <c r="G1714" s="2" t="s">
        <v>14</v>
      </c>
      <c r="H1714" s="2" t="s">
        <v>15</v>
      </c>
      <c r="I1714" s="2" t="s">
        <v>16</v>
      </c>
      <c r="J1714" s="15">
        <v>85000</v>
      </c>
      <c r="K1714" s="2">
        <v>7</v>
      </c>
      <c r="L1714" s="2" t="s">
        <v>39</v>
      </c>
      <c r="M1714" s="12">
        <f t="shared" si="54"/>
        <v>68000</v>
      </c>
      <c r="N1714" s="10">
        <f>PRODUCT(Table_13[[#This Row],[Unit Price]],Table_13[[#This Row],[Quantity]])</f>
        <v>595000</v>
      </c>
      <c r="O1714" s="16">
        <f>PRODUCT(Table_13[[#This Row],[Cost Price]],Table_13[[#This Row],[Quantity]])</f>
        <v>476000</v>
      </c>
      <c r="P1714" s="27">
        <f t="shared" si="60"/>
        <v>119000</v>
      </c>
    </row>
    <row r="1715" spans="1:16" x14ac:dyDescent="0.2">
      <c r="A1715" s="33">
        <v>47389</v>
      </c>
      <c r="B1715" s="30">
        <f t="shared" si="59"/>
        <v>9</v>
      </c>
      <c r="C1715" s="30" t="str">
        <f>_xlfn.IFS(Table_13[[#This Row],[Month]]=1,"JAN",Table_13[[#This Row],[Month]]=2,"FEB",B1715=3,"MAR",B1715=4,"APR",B1715=5,"MAY",B1715=6,"JUN",B1715=7,"JUL",B1715=8,"AUG",Table_13[[#This Row],[Month]]=9,"SEPT",B1715=10,"OCT",B1715=11,"NOV",B1715=12,"DEC")</f>
        <v>SEPT</v>
      </c>
      <c r="D1715" s="2" t="s">
        <v>25</v>
      </c>
      <c r="E1715" s="2" t="s">
        <v>26</v>
      </c>
      <c r="F1715" s="2" t="s">
        <v>13</v>
      </c>
      <c r="G1715" s="2" t="s">
        <v>14</v>
      </c>
      <c r="H1715" s="2" t="s">
        <v>21</v>
      </c>
      <c r="I1715" s="2" t="s">
        <v>22</v>
      </c>
      <c r="J1715" s="15">
        <v>30000</v>
      </c>
      <c r="K1715" s="2">
        <v>4</v>
      </c>
      <c r="L1715" s="2" t="s">
        <v>17</v>
      </c>
      <c r="M1715" s="12">
        <f t="shared" si="54"/>
        <v>24000</v>
      </c>
      <c r="N1715" s="10">
        <f>PRODUCT(Table_13[[#This Row],[Unit Price]],Table_13[[#This Row],[Quantity]])</f>
        <v>120000</v>
      </c>
      <c r="O1715" s="16">
        <f>PRODUCT(Table_13[[#This Row],[Cost Price]],Table_13[[#This Row],[Quantity]])</f>
        <v>96000</v>
      </c>
      <c r="P1715" s="27">
        <f t="shared" si="60"/>
        <v>24000</v>
      </c>
    </row>
    <row r="1716" spans="1:16" x14ac:dyDescent="0.2">
      <c r="A1716" s="33">
        <v>47390</v>
      </c>
      <c r="B1716" s="30">
        <f t="shared" si="59"/>
        <v>9</v>
      </c>
      <c r="C1716" s="30" t="str">
        <f>_xlfn.IFS(Table_13[[#This Row],[Month]]=1,"JAN",Table_13[[#This Row],[Month]]=2,"FEB",B1716=3,"MAR",B1716=4,"APR",B1716=5,"MAY",B1716=6,"JUN",B1716=7,"JUL",B1716=8,"AUG",Table_13[[#This Row],[Month]]=9,"SEPT",B1716=10,"OCT",B1716=11,"NOV",B1716=12,"DEC")</f>
        <v>SEPT</v>
      </c>
      <c r="D1716" s="2" t="s">
        <v>11</v>
      </c>
      <c r="E1716" s="2" t="s">
        <v>26</v>
      </c>
      <c r="F1716" s="2" t="s">
        <v>13</v>
      </c>
      <c r="G1716" s="2" t="s">
        <v>14</v>
      </c>
      <c r="H1716" s="2" t="s">
        <v>36</v>
      </c>
      <c r="I1716" s="2" t="s">
        <v>31</v>
      </c>
      <c r="J1716" s="15">
        <v>150000</v>
      </c>
      <c r="K1716" s="2">
        <v>9</v>
      </c>
      <c r="L1716" s="2" t="s">
        <v>24</v>
      </c>
      <c r="M1716" s="12">
        <f t="shared" si="54"/>
        <v>120000</v>
      </c>
      <c r="N1716" s="10">
        <f>PRODUCT(Table_13[[#This Row],[Unit Price]],Table_13[[#This Row],[Quantity]])</f>
        <v>1350000</v>
      </c>
      <c r="O1716" s="16">
        <f>PRODUCT(Table_13[[#This Row],[Cost Price]],Table_13[[#This Row],[Quantity]])</f>
        <v>1080000</v>
      </c>
      <c r="P1716" s="27">
        <f t="shared" si="60"/>
        <v>270000</v>
      </c>
    </row>
    <row r="1717" spans="1:16" x14ac:dyDescent="0.2">
      <c r="A1717" s="33">
        <v>47391</v>
      </c>
      <c r="B1717" s="30">
        <f t="shared" si="59"/>
        <v>9</v>
      </c>
      <c r="C1717" s="30" t="str">
        <f>_xlfn.IFS(Table_13[[#This Row],[Month]]=1,"JAN",Table_13[[#This Row],[Month]]=2,"FEB",B1717=3,"MAR",B1717=4,"APR",B1717=5,"MAY",B1717=6,"JUN",B1717=7,"JUL",B1717=8,"AUG",Table_13[[#This Row],[Month]]=9,"SEPT",B1717=10,"OCT",B1717=11,"NOV",B1717=12,"DEC")</f>
        <v>SEPT</v>
      </c>
      <c r="D1717" s="2" t="s">
        <v>29</v>
      </c>
      <c r="E1717" s="2" t="s">
        <v>12</v>
      </c>
      <c r="F1717" s="2" t="s">
        <v>23</v>
      </c>
      <c r="G1717" s="2" t="s">
        <v>20</v>
      </c>
      <c r="H1717" s="2" t="s">
        <v>41</v>
      </c>
      <c r="I1717" s="2" t="s">
        <v>22</v>
      </c>
      <c r="J1717" s="15">
        <v>220000</v>
      </c>
      <c r="K1717" s="2">
        <v>9</v>
      </c>
      <c r="L1717" s="2" t="s">
        <v>39</v>
      </c>
      <c r="M1717" s="12">
        <f t="shared" si="54"/>
        <v>176000</v>
      </c>
      <c r="N1717" s="10">
        <f>PRODUCT(Table_13[[#This Row],[Unit Price]],Table_13[[#This Row],[Quantity]])</f>
        <v>1980000</v>
      </c>
      <c r="O1717" s="16">
        <f>PRODUCT(Table_13[[#This Row],[Cost Price]],Table_13[[#This Row],[Quantity]])</f>
        <v>1584000</v>
      </c>
      <c r="P1717" s="27">
        <f t="shared" si="60"/>
        <v>396000</v>
      </c>
    </row>
    <row r="1718" spans="1:16" x14ac:dyDescent="0.2">
      <c r="A1718" s="33">
        <v>47392</v>
      </c>
      <c r="B1718" s="30">
        <f t="shared" si="59"/>
        <v>10</v>
      </c>
      <c r="C1718" s="30" t="str">
        <f>_xlfn.IFS(Table_13[[#This Row],[Month]]=1,"JAN",Table_13[[#This Row],[Month]]=2,"FEB",B1718=3,"MAR",B1718=4,"APR",B1718=5,"MAY",B1718=6,"JUN",B1718=7,"JUL",B1718=8,"AUG",Table_13[[#This Row],[Month]]=9,"SEPT",B1718=10,"OCT",B1718=11,"NOV",B1718=12,"DEC")</f>
        <v>OCT</v>
      </c>
      <c r="D1718" s="2" t="s">
        <v>18</v>
      </c>
      <c r="E1718" s="2" t="s">
        <v>26</v>
      </c>
      <c r="F1718" s="2" t="s">
        <v>23</v>
      </c>
      <c r="G1718" s="2" t="s">
        <v>14</v>
      </c>
      <c r="H1718" s="2" t="s">
        <v>21</v>
      </c>
      <c r="I1718" s="2" t="s">
        <v>22</v>
      </c>
      <c r="J1718" s="15">
        <v>30000</v>
      </c>
      <c r="K1718" s="2">
        <v>8</v>
      </c>
      <c r="L1718" s="2" t="s">
        <v>37</v>
      </c>
      <c r="M1718" s="12">
        <f t="shared" si="54"/>
        <v>24000</v>
      </c>
      <c r="N1718" s="10">
        <f>PRODUCT(Table_13[[#This Row],[Unit Price]],Table_13[[#This Row],[Quantity]])</f>
        <v>240000</v>
      </c>
      <c r="O1718" s="16">
        <f>PRODUCT(Table_13[[#This Row],[Cost Price]],Table_13[[#This Row],[Quantity]])</f>
        <v>192000</v>
      </c>
      <c r="P1718" s="27">
        <f t="shared" si="60"/>
        <v>48000</v>
      </c>
    </row>
    <row r="1719" spans="1:16" x14ac:dyDescent="0.2">
      <c r="A1719" s="33">
        <v>47393</v>
      </c>
      <c r="B1719" s="30">
        <f t="shared" si="59"/>
        <v>10</v>
      </c>
      <c r="C1719" s="30" t="str">
        <f>_xlfn.IFS(Table_13[[#This Row],[Month]]=1,"JAN",Table_13[[#This Row],[Month]]=2,"FEB",B1719=3,"MAR",B1719=4,"APR",B1719=5,"MAY",B1719=6,"JUN",B1719=7,"JUL",B1719=8,"AUG",Table_13[[#This Row],[Month]]=9,"SEPT",B1719=10,"OCT",B1719=11,"NOV",B1719=12,"DEC")</f>
        <v>OCT</v>
      </c>
      <c r="D1719" s="2" t="s">
        <v>18</v>
      </c>
      <c r="E1719" s="2" t="s">
        <v>26</v>
      </c>
      <c r="F1719" s="2" t="s">
        <v>13</v>
      </c>
      <c r="G1719" s="2" t="s">
        <v>14</v>
      </c>
      <c r="H1719" s="2" t="s">
        <v>15</v>
      </c>
      <c r="I1719" s="2" t="s">
        <v>16</v>
      </c>
      <c r="J1719" s="15">
        <v>85000</v>
      </c>
      <c r="K1719" s="2">
        <v>2</v>
      </c>
      <c r="L1719" s="2" t="s">
        <v>24</v>
      </c>
      <c r="M1719" s="12">
        <f t="shared" si="54"/>
        <v>68000</v>
      </c>
      <c r="N1719" s="10">
        <f>PRODUCT(Table_13[[#This Row],[Unit Price]],Table_13[[#This Row],[Quantity]])</f>
        <v>170000</v>
      </c>
      <c r="O1719" s="16">
        <f>PRODUCT(Table_13[[#This Row],[Cost Price]],Table_13[[#This Row],[Quantity]])</f>
        <v>136000</v>
      </c>
      <c r="P1719" s="27">
        <f t="shared" si="60"/>
        <v>34000</v>
      </c>
    </row>
    <row r="1720" spans="1:16" x14ac:dyDescent="0.2">
      <c r="A1720" s="33">
        <v>47394</v>
      </c>
      <c r="B1720" s="30">
        <f t="shared" si="59"/>
        <v>10</v>
      </c>
      <c r="C1720" s="30" t="str">
        <f>_xlfn.IFS(Table_13[[#This Row],[Month]]=1,"JAN",Table_13[[#This Row],[Month]]=2,"FEB",B1720=3,"MAR",B1720=4,"APR",B1720=5,"MAY",B1720=6,"JUN",B1720=7,"JUL",B1720=8,"AUG",Table_13[[#This Row],[Month]]=9,"SEPT",B1720=10,"OCT",B1720=11,"NOV",B1720=12,"DEC")</f>
        <v>OCT</v>
      </c>
      <c r="D1720" s="2" t="s">
        <v>25</v>
      </c>
      <c r="E1720" s="2" t="s">
        <v>19</v>
      </c>
      <c r="F1720" s="2" t="s">
        <v>23</v>
      </c>
      <c r="G1720" s="2" t="s">
        <v>14</v>
      </c>
      <c r="H1720" s="2" t="s">
        <v>33</v>
      </c>
      <c r="I1720" s="2" t="s">
        <v>22</v>
      </c>
      <c r="J1720" s="15">
        <v>180000</v>
      </c>
      <c r="K1720" s="2">
        <v>9</v>
      </c>
      <c r="L1720" s="2" t="s">
        <v>24</v>
      </c>
      <c r="M1720" s="12">
        <f t="shared" si="54"/>
        <v>144000</v>
      </c>
      <c r="N1720" s="10">
        <f>PRODUCT(Table_13[[#This Row],[Unit Price]],Table_13[[#This Row],[Quantity]])</f>
        <v>1620000</v>
      </c>
      <c r="O1720" s="16">
        <f>PRODUCT(Table_13[[#This Row],[Cost Price]],Table_13[[#This Row],[Quantity]])</f>
        <v>1296000</v>
      </c>
      <c r="P1720" s="27">
        <f t="shared" si="60"/>
        <v>324000</v>
      </c>
    </row>
    <row r="1721" spans="1:16" x14ac:dyDescent="0.2">
      <c r="A1721" s="33">
        <v>47395</v>
      </c>
      <c r="B1721" s="30">
        <f t="shared" si="59"/>
        <v>10</v>
      </c>
      <c r="C1721" s="30" t="str">
        <f>_xlfn.IFS(Table_13[[#This Row],[Month]]=1,"JAN",Table_13[[#This Row],[Month]]=2,"FEB",B1721=3,"MAR",B1721=4,"APR",B1721=5,"MAY",B1721=6,"JUN",B1721=7,"JUL",B1721=8,"AUG",Table_13[[#This Row],[Month]]=9,"SEPT",B1721=10,"OCT",B1721=11,"NOV",B1721=12,"DEC")</f>
        <v>OCT</v>
      </c>
      <c r="D1721" s="2" t="s">
        <v>18</v>
      </c>
      <c r="E1721" s="2" t="s">
        <v>26</v>
      </c>
      <c r="F1721" s="2" t="s">
        <v>13</v>
      </c>
      <c r="G1721" s="2" t="s">
        <v>14</v>
      </c>
      <c r="H1721" s="2" t="s">
        <v>36</v>
      </c>
      <c r="I1721" s="2" t="s">
        <v>31</v>
      </c>
      <c r="J1721" s="15">
        <v>150000</v>
      </c>
      <c r="K1721" s="2">
        <v>8</v>
      </c>
      <c r="L1721" s="2" t="s">
        <v>39</v>
      </c>
      <c r="M1721" s="12">
        <f t="shared" si="54"/>
        <v>120000</v>
      </c>
      <c r="N1721" s="10">
        <f>PRODUCT(Table_13[[#This Row],[Unit Price]],Table_13[[#This Row],[Quantity]])</f>
        <v>1200000</v>
      </c>
      <c r="O1721" s="16">
        <f>PRODUCT(Table_13[[#This Row],[Cost Price]],Table_13[[#This Row],[Quantity]])</f>
        <v>960000</v>
      </c>
      <c r="P1721" s="27">
        <f t="shared" si="60"/>
        <v>240000</v>
      </c>
    </row>
    <row r="1722" spans="1:16" x14ac:dyDescent="0.2">
      <c r="A1722" s="33">
        <v>47396</v>
      </c>
      <c r="B1722" s="30">
        <f t="shared" si="59"/>
        <v>10</v>
      </c>
      <c r="C1722" s="30" t="str">
        <f>_xlfn.IFS(Table_13[[#This Row],[Month]]=1,"JAN",Table_13[[#This Row],[Month]]=2,"FEB",B1722=3,"MAR",B1722=4,"APR",B1722=5,"MAY",B1722=6,"JUN",B1722=7,"JUL",B1722=8,"AUG",Table_13[[#This Row],[Month]]=9,"SEPT",B1722=10,"OCT",B1722=11,"NOV",B1722=12,"DEC")</f>
        <v>OCT</v>
      </c>
      <c r="D1722" s="2" t="s">
        <v>29</v>
      </c>
      <c r="E1722" s="2" t="s">
        <v>12</v>
      </c>
      <c r="F1722" s="2" t="s">
        <v>13</v>
      </c>
      <c r="G1722" s="2" t="s">
        <v>14</v>
      </c>
      <c r="H1722" s="2" t="s">
        <v>27</v>
      </c>
      <c r="I1722" s="2" t="s">
        <v>22</v>
      </c>
      <c r="J1722" s="15">
        <v>60000</v>
      </c>
      <c r="K1722" s="2">
        <v>8</v>
      </c>
      <c r="L1722" s="2" t="s">
        <v>37</v>
      </c>
      <c r="M1722" s="12">
        <f t="shared" si="54"/>
        <v>48000</v>
      </c>
      <c r="N1722" s="10">
        <f>PRODUCT(Table_13[[#This Row],[Unit Price]],Table_13[[#This Row],[Quantity]])</f>
        <v>480000</v>
      </c>
      <c r="O1722" s="16">
        <f>PRODUCT(Table_13[[#This Row],[Cost Price]],Table_13[[#This Row],[Quantity]])</f>
        <v>384000</v>
      </c>
      <c r="P1722" s="27">
        <f t="shared" si="60"/>
        <v>96000</v>
      </c>
    </row>
    <row r="1723" spans="1:16" x14ac:dyDescent="0.2">
      <c r="A1723" s="33">
        <v>47397</v>
      </c>
      <c r="B1723" s="30">
        <f t="shared" si="59"/>
        <v>10</v>
      </c>
      <c r="C1723" s="30" t="str">
        <f>_xlfn.IFS(Table_13[[#This Row],[Month]]=1,"JAN",Table_13[[#This Row],[Month]]=2,"FEB",B1723=3,"MAR",B1723=4,"APR",B1723=5,"MAY",B1723=6,"JUN",B1723=7,"JUL",B1723=8,"AUG",Table_13[[#This Row],[Month]]=9,"SEPT",B1723=10,"OCT",B1723=11,"NOV",B1723=12,"DEC")</f>
        <v>OCT</v>
      </c>
      <c r="D1723" s="2" t="s">
        <v>11</v>
      </c>
      <c r="E1723" s="2" t="s">
        <v>12</v>
      </c>
      <c r="F1723" s="2" t="s">
        <v>13</v>
      </c>
      <c r="G1723" s="2" t="s">
        <v>20</v>
      </c>
      <c r="H1723" s="2" t="s">
        <v>30</v>
      </c>
      <c r="I1723" s="2" t="s">
        <v>31</v>
      </c>
      <c r="J1723" s="15">
        <v>300000</v>
      </c>
      <c r="K1723" s="2">
        <v>5</v>
      </c>
      <c r="L1723" s="2" t="s">
        <v>28</v>
      </c>
      <c r="M1723" s="12">
        <f t="shared" si="54"/>
        <v>240000</v>
      </c>
      <c r="N1723" s="10">
        <f>PRODUCT(Table_13[[#This Row],[Unit Price]],Table_13[[#This Row],[Quantity]])</f>
        <v>1500000</v>
      </c>
      <c r="O1723" s="16">
        <f>PRODUCT(Table_13[[#This Row],[Cost Price]],Table_13[[#This Row],[Quantity]])</f>
        <v>1200000</v>
      </c>
      <c r="P1723" s="27">
        <f t="shared" si="60"/>
        <v>300000</v>
      </c>
    </row>
    <row r="1724" spans="1:16" x14ac:dyDescent="0.2">
      <c r="A1724" s="33">
        <v>47398</v>
      </c>
      <c r="B1724" s="30">
        <f t="shared" si="59"/>
        <v>10</v>
      </c>
      <c r="C1724" s="30" t="str">
        <f>_xlfn.IFS(Table_13[[#This Row],[Month]]=1,"JAN",Table_13[[#This Row],[Month]]=2,"FEB",B1724=3,"MAR",B1724=4,"APR",B1724=5,"MAY",B1724=6,"JUN",B1724=7,"JUL",B1724=8,"AUG",Table_13[[#This Row],[Month]]=9,"SEPT",B1724=10,"OCT",B1724=11,"NOV",B1724=12,"DEC")</f>
        <v>OCT</v>
      </c>
      <c r="D1724" s="2" t="s">
        <v>29</v>
      </c>
      <c r="E1724" s="2" t="s">
        <v>19</v>
      </c>
      <c r="F1724" s="2" t="s">
        <v>13</v>
      </c>
      <c r="G1724" s="2" t="s">
        <v>14</v>
      </c>
      <c r="H1724" s="2" t="s">
        <v>21</v>
      </c>
      <c r="I1724" s="2" t="s">
        <v>22</v>
      </c>
      <c r="J1724" s="15">
        <v>30000</v>
      </c>
      <c r="K1724" s="2">
        <v>8</v>
      </c>
      <c r="L1724" s="2" t="s">
        <v>35</v>
      </c>
      <c r="M1724" s="12">
        <f t="shared" si="54"/>
        <v>24000</v>
      </c>
      <c r="N1724" s="10">
        <f>PRODUCT(Table_13[[#This Row],[Unit Price]],Table_13[[#This Row],[Quantity]])</f>
        <v>240000</v>
      </c>
      <c r="O1724" s="16">
        <f>PRODUCT(Table_13[[#This Row],[Cost Price]],Table_13[[#This Row],[Quantity]])</f>
        <v>192000</v>
      </c>
      <c r="P1724" s="27">
        <f t="shared" si="60"/>
        <v>48000</v>
      </c>
    </row>
    <row r="1725" spans="1:16" x14ac:dyDescent="0.2">
      <c r="A1725" s="33">
        <v>47399</v>
      </c>
      <c r="B1725" s="30">
        <f t="shared" si="59"/>
        <v>10</v>
      </c>
      <c r="C1725" s="30" t="str">
        <f>_xlfn.IFS(Table_13[[#This Row],[Month]]=1,"JAN",Table_13[[#This Row],[Month]]=2,"FEB",B1725=3,"MAR",B1725=4,"APR",B1725=5,"MAY",B1725=6,"JUN",B1725=7,"JUL",B1725=8,"AUG",Table_13[[#This Row],[Month]]=9,"SEPT",B1725=10,"OCT",B1725=11,"NOV",B1725=12,"DEC")</f>
        <v>OCT</v>
      </c>
      <c r="D1725" s="2" t="s">
        <v>29</v>
      </c>
      <c r="E1725" s="2" t="s">
        <v>12</v>
      </c>
      <c r="F1725" s="2" t="s">
        <v>23</v>
      </c>
      <c r="G1725" s="2" t="s">
        <v>20</v>
      </c>
      <c r="H1725" s="2" t="s">
        <v>38</v>
      </c>
      <c r="I1725" s="2" t="s">
        <v>31</v>
      </c>
      <c r="J1725" s="15">
        <v>420000</v>
      </c>
      <c r="K1725" s="2">
        <v>3</v>
      </c>
      <c r="L1725" s="2" t="s">
        <v>24</v>
      </c>
      <c r="M1725" s="12">
        <f t="shared" si="54"/>
        <v>336000</v>
      </c>
      <c r="N1725" s="10">
        <f>PRODUCT(Table_13[[#This Row],[Unit Price]],Table_13[[#This Row],[Quantity]])</f>
        <v>1260000</v>
      </c>
      <c r="O1725" s="16">
        <f>PRODUCT(Table_13[[#This Row],[Cost Price]],Table_13[[#This Row],[Quantity]])</f>
        <v>1008000</v>
      </c>
      <c r="P1725" s="27">
        <f t="shared" si="60"/>
        <v>252000</v>
      </c>
    </row>
    <row r="1726" spans="1:16" x14ac:dyDescent="0.2">
      <c r="A1726" s="33">
        <v>47400</v>
      </c>
      <c r="B1726" s="30">
        <f t="shared" si="59"/>
        <v>10</v>
      </c>
      <c r="C1726" s="30" t="str">
        <f>_xlfn.IFS(Table_13[[#This Row],[Month]]=1,"JAN",Table_13[[#This Row],[Month]]=2,"FEB",B1726=3,"MAR",B1726=4,"APR",B1726=5,"MAY",B1726=6,"JUN",B1726=7,"JUL",B1726=8,"AUG",Table_13[[#This Row],[Month]]=9,"SEPT",B1726=10,"OCT",B1726=11,"NOV",B1726=12,"DEC")</f>
        <v>OCT</v>
      </c>
      <c r="D1726" s="2" t="s">
        <v>11</v>
      </c>
      <c r="E1726" s="2" t="s">
        <v>12</v>
      </c>
      <c r="F1726" s="2" t="s">
        <v>23</v>
      </c>
      <c r="G1726" s="2" t="s">
        <v>14</v>
      </c>
      <c r="H1726" s="2" t="s">
        <v>38</v>
      </c>
      <c r="I1726" s="2" t="s">
        <v>31</v>
      </c>
      <c r="J1726" s="15">
        <v>420000</v>
      </c>
      <c r="K1726" s="2">
        <v>7</v>
      </c>
      <c r="L1726" s="2" t="s">
        <v>39</v>
      </c>
      <c r="M1726" s="12">
        <f t="shared" si="54"/>
        <v>336000</v>
      </c>
      <c r="N1726" s="10">
        <f>PRODUCT(Table_13[[#This Row],[Unit Price]],Table_13[[#This Row],[Quantity]])</f>
        <v>2940000</v>
      </c>
      <c r="O1726" s="16">
        <f>PRODUCT(Table_13[[#This Row],[Cost Price]],Table_13[[#This Row],[Quantity]])</f>
        <v>2352000</v>
      </c>
      <c r="P1726" s="27">
        <f t="shared" si="60"/>
        <v>588000</v>
      </c>
    </row>
    <row r="1727" spans="1:16" x14ac:dyDescent="0.2">
      <c r="A1727" s="33">
        <v>47401</v>
      </c>
      <c r="B1727" s="30">
        <f t="shared" si="59"/>
        <v>10</v>
      </c>
      <c r="C1727" s="30" t="str">
        <f>_xlfn.IFS(Table_13[[#This Row],[Month]]=1,"JAN",Table_13[[#This Row],[Month]]=2,"FEB",B1727=3,"MAR",B1727=4,"APR",B1727=5,"MAY",B1727=6,"JUN",B1727=7,"JUL",B1727=8,"AUG",Table_13[[#This Row],[Month]]=9,"SEPT",B1727=10,"OCT",B1727=11,"NOV",B1727=12,"DEC")</f>
        <v>OCT</v>
      </c>
      <c r="D1727" s="2" t="s">
        <v>18</v>
      </c>
      <c r="E1727" s="2" t="s">
        <v>19</v>
      </c>
      <c r="F1727" s="2" t="s">
        <v>23</v>
      </c>
      <c r="G1727" s="2" t="s">
        <v>14</v>
      </c>
      <c r="H1727" s="2" t="s">
        <v>15</v>
      </c>
      <c r="I1727" s="2" t="s">
        <v>16</v>
      </c>
      <c r="J1727" s="15">
        <v>85000</v>
      </c>
      <c r="K1727" s="2">
        <v>9</v>
      </c>
      <c r="L1727" s="2" t="s">
        <v>39</v>
      </c>
      <c r="M1727" s="12">
        <f t="shared" si="54"/>
        <v>68000</v>
      </c>
      <c r="N1727" s="10">
        <f>PRODUCT(Table_13[[#This Row],[Unit Price]],Table_13[[#This Row],[Quantity]])</f>
        <v>765000</v>
      </c>
      <c r="O1727" s="16">
        <f>PRODUCT(Table_13[[#This Row],[Cost Price]],Table_13[[#This Row],[Quantity]])</f>
        <v>612000</v>
      </c>
      <c r="P1727" s="27">
        <f t="shared" si="60"/>
        <v>153000</v>
      </c>
    </row>
    <row r="1728" spans="1:16" x14ac:dyDescent="0.2">
      <c r="A1728" s="33">
        <v>47402</v>
      </c>
      <c r="B1728" s="30">
        <f t="shared" si="59"/>
        <v>10</v>
      </c>
      <c r="C1728" s="30" t="str">
        <f>_xlfn.IFS(Table_13[[#This Row],[Month]]=1,"JAN",Table_13[[#This Row],[Month]]=2,"FEB",B1728=3,"MAR",B1728=4,"APR",B1728=5,"MAY",B1728=6,"JUN",B1728=7,"JUL",B1728=8,"AUG",Table_13[[#This Row],[Month]]=9,"SEPT",B1728=10,"OCT",B1728=11,"NOV",B1728=12,"DEC")</f>
        <v>OCT</v>
      </c>
      <c r="D1728" s="2" t="s">
        <v>18</v>
      </c>
      <c r="E1728" s="2" t="s">
        <v>19</v>
      </c>
      <c r="F1728" s="2" t="s">
        <v>23</v>
      </c>
      <c r="G1728" s="2" t="s">
        <v>14</v>
      </c>
      <c r="H1728" s="2" t="s">
        <v>30</v>
      </c>
      <c r="I1728" s="2" t="s">
        <v>31</v>
      </c>
      <c r="J1728" s="15">
        <v>300000</v>
      </c>
      <c r="K1728" s="2">
        <v>8</v>
      </c>
      <c r="L1728" s="2" t="s">
        <v>28</v>
      </c>
      <c r="M1728" s="12">
        <f t="shared" si="54"/>
        <v>240000</v>
      </c>
      <c r="N1728" s="10">
        <f>PRODUCT(Table_13[[#This Row],[Unit Price]],Table_13[[#This Row],[Quantity]])</f>
        <v>2400000</v>
      </c>
      <c r="O1728" s="16">
        <f>PRODUCT(Table_13[[#This Row],[Cost Price]],Table_13[[#This Row],[Quantity]])</f>
        <v>1920000</v>
      </c>
      <c r="P1728" s="27">
        <f t="shared" si="60"/>
        <v>480000</v>
      </c>
    </row>
    <row r="1729" spans="1:16" x14ac:dyDescent="0.2">
      <c r="A1729" s="33">
        <v>47403</v>
      </c>
      <c r="B1729" s="30">
        <f t="shared" si="59"/>
        <v>10</v>
      </c>
      <c r="C1729" s="30" t="str">
        <f>_xlfn.IFS(Table_13[[#This Row],[Month]]=1,"JAN",Table_13[[#This Row],[Month]]=2,"FEB",B1729=3,"MAR",B1729=4,"APR",B1729=5,"MAY",B1729=6,"JUN",B1729=7,"JUL",B1729=8,"AUG",Table_13[[#This Row],[Month]]=9,"SEPT",B1729=10,"OCT",B1729=11,"NOV",B1729=12,"DEC")</f>
        <v>OCT</v>
      </c>
      <c r="D1729" s="2" t="s">
        <v>29</v>
      </c>
      <c r="E1729" s="2" t="s">
        <v>32</v>
      </c>
      <c r="F1729" s="2" t="s">
        <v>13</v>
      </c>
      <c r="G1729" s="2" t="s">
        <v>20</v>
      </c>
      <c r="H1729" s="2" t="s">
        <v>38</v>
      </c>
      <c r="I1729" s="2" t="s">
        <v>31</v>
      </c>
      <c r="J1729" s="15">
        <v>420000</v>
      </c>
      <c r="K1729" s="2">
        <v>6</v>
      </c>
      <c r="L1729" s="2" t="s">
        <v>17</v>
      </c>
      <c r="M1729" s="12">
        <f t="shared" si="54"/>
        <v>336000</v>
      </c>
      <c r="N1729" s="10">
        <f>PRODUCT(Table_13[[#This Row],[Unit Price]],Table_13[[#This Row],[Quantity]])</f>
        <v>2520000</v>
      </c>
      <c r="O1729" s="16">
        <f>PRODUCT(Table_13[[#This Row],[Cost Price]],Table_13[[#This Row],[Quantity]])</f>
        <v>2016000</v>
      </c>
      <c r="P1729" s="27">
        <f t="shared" si="60"/>
        <v>504000</v>
      </c>
    </row>
    <row r="1730" spans="1:16" x14ac:dyDescent="0.2">
      <c r="A1730" s="33">
        <v>47404</v>
      </c>
      <c r="B1730" s="30">
        <f t="shared" ref="B1730:B1793" si="61">MONTH(A1730)</f>
        <v>10</v>
      </c>
      <c r="C1730" s="30" t="str">
        <f>_xlfn.IFS(Table_13[[#This Row],[Month]]=1,"JAN",Table_13[[#This Row],[Month]]=2,"FEB",B1730=3,"MAR",B1730=4,"APR",B1730=5,"MAY",B1730=6,"JUN",B1730=7,"JUL",B1730=8,"AUG",Table_13[[#This Row],[Month]]=9,"SEPT",B1730=10,"OCT",B1730=11,"NOV",B1730=12,"DEC")</f>
        <v>OCT</v>
      </c>
      <c r="D1730" s="2" t="s">
        <v>25</v>
      </c>
      <c r="E1730" s="2" t="s">
        <v>32</v>
      </c>
      <c r="F1730" s="2" t="s">
        <v>23</v>
      </c>
      <c r="G1730" s="2" t="s">
        <v>14</v>
      </c>
      <c r="H1730" s="2" t="s">
        <v>36</v>
      </c>
      <c r="I1730" s="2" t="s">
        <v>31</v>
      </c>
      <c r="J1730" s="15">
        <v>150000</v>
      </c>
      <c r="K1730" s="2">
        <v>9</v>
      </c>
      <c r="L1730" s="2" t="s">
        <v>35</v>
      </c>
      <c r="M1730" s="12">
        <f t="shared" si="54"/>
        <v>120000</v>
      </c>
      <c r="N1730" s="10">
        <f>PRODUCT(Table_13[[#This Row],[Unit Price]],Table_13[[#This Row],[Quantity]])</f>
        <v>1350000</v>
      </c>
      <c r="O1730" s="16">
        <f>PRODUCT(Table_13[[#This Row],[Cost Price]],Table_13[[#This Row],[Quantity]])</f>
        <v>1080000</v>
      </c>
      <c r="P1730" s="27">
        <f t="shared" ref="P1730:P1793" si="62">N1730-O1730</f>
        <v>270000</v>
      </c>
    </row>
    <row r="1731" spans="1:16" x14ac:dyDescent="0.2">
      <c r="A1731" s="33">
        <v>47405</v>
      </c>
      <c r="B1731" s="30">
        <f t="shared" si="61"/>
        <v>10</v>
      </c>
      <c r="C1731" s="30" t="str">
        <f>_xlfn.IFS(Table_13[[#This Row],[Month]]=1,"JAN",Table_13[[#This Row],[Month]]=2,"FEB",B1731=3,"MAR",B1731=4,"APR",B1731=5,"MAY",B1731=6,"JUN",B1731=7,"JUL",B1731=8,"AUG",Table_13[[#This Row],[Month]]=9,"SEPT",B1731=10,"OCT",B1731=11,"NOV",B1731=12,"DEC")</f>
        <v>OCT</v>
      </c>
      <c r="D1731" s="2" t="s">
        <v>18</v>
      </c>
      <c r="E1731" s="2" t="s">
        <v>26</v>
      </c>
      <c r="F1731" s="2" t="s">
        <v>13</v>
      </c>
      <c r="G1731" s="2" t="s">
        <v>20</v>
      </c>
      <c r="H1731" s="2" t="s">
        <v>21</v>
      </c>
      <c r="I1731" s="2" t="s">
        <v>22</v>
      </c>
      <c r="J1731" s="15">
        <v>30000</v>
      </c>
      <c r="K1731" s="2">
        <v>3</v>
      </c>
      <c r="L1731" s="2" t="s">
        <v>28</v>
      </c>
      <c r="M1731" s="12">
        <f t="shared" si="54"/>
        <v>24000</v>
      </c>
      <c r="N1731" s="10">
        <f>PRODUCT(Table_13[[#This Row],[Unit Price]],Table_13[[#This Row],[Quantity]])</f>
        <v>90000</v>
      </c>
      <c r="O1731" s="16">
        <f>PRODUCT(Table_13[[#This Row],[Cost Price]],Table_13[[#This Row],[Quantity]])</f>
        <v>72000</v>
      </c>
      <c r="P1731" s="27">
        <f t="shared" si="62"/>
        <v>18000</v>
      </c>
    </row>
    <row r="1732" spans="1:16" x14ac:dyDescent="0.2">
      <c r="A1732" s="33">
        <v>47406</v>
      </c>
      <c r="B1732" s="30">
        <f t="shared" si="61"/>
        <v>10</v>
      </c>
      <c r="C1732" s="30" t="str">
        <f>_xlfn.IFS(Table_13[[#This Row],[Month]]=1,"JAN",Table_13[[#This Row],[Month]]=2,"FEB",B1732=3,"MAR",B1732=4,"APR",B1732=5,"MAY",B1732=6,"JUN",B1732=7,"JUL",B1732=8,"AUG",Table_13[[#This Row],[Month]]=9,"SEPT",B1732=10,"OCT",B1732=11,"NOV",B1732=12,"DEC")</f>
        <v>OCT</v>
      </c>
      <c r="D1732" s="2" t="s">
        <v>18</v>
      </c>
      <c r="E1732" s="2" t="s">
        <v>26</v>
      </c>
      <c r="F1732" s="2" t="s">
        <v>13</v>
      </c>
      <c r="G1732" s="2" t="s">
        <v>20</v>
      </c>
      <c r="H1732" s="2" t="s">
        <v>21</v>
      </c>
      <c r="I1732" s="2" t="s">
        <v>22</v>
      </c>
      <c r="J1732" s="15">
        <v>30000</v>
      </c>
      <c r="K1732" s="2">
        <v>4</v>
      </c>
      <c r="L1732" s="2" t="s">
        <v>37</v>
      </c>
      <c r="M1732" s="12">
        <f t="shared" si="54"/>
        <v>24000</v>
      </c>
      <c r="N1732" s="10">
        <f>PRODUCT(Table_13[[#This Row],[Unit Price]],Table_13[[#This Row],[Quantity]])</f>
        <v>120000</v>
      </c>
      <c r="O1732" s="16">
        <f>PRODUCT(Table_13[[#This Row],[Cost Price]],Table_13[[#This Row],[Quantity]])</f>
        <v>96000</v>
      </c>
      <c r="P1732" s="27">
        <f t="shared" si="62"/>
        <v>24000</v>
      </c>
    </row>
    <row r="1733" spans="1:16" x14ac:dyDescent="0.2">
      <c r="A1733" s="33">
        <v>47407</v>
      </c>
      <c r="B1733" s="30">
        <f t="shared" si="61"/>
        <v>10</v>
      </c>
      <c r="C1733" s="30" t="str">
        <f>_xlfn.IFS(Table_13[[#This Row],[Month]]=1,"JAN",Table_13[[#This Row],[Month]]=2,"FEB",B1733=3,"MAR",B1733=4,"APR",B1733=5,"MAY",B1733=6,"JUN",B1733=7,"JUL",B1733=8,"AUG",Table_13[[#This Row],[Month]]=9,"SEPT",B1733=10,"OCT",B1733=11,"NOV",B1733=12,"DEC")</f>
        <v>OCT</v>
      </c>
      <c r="D1733" s="2" t="s">
        <v>29</v>
      </c>
      <c r="E1733" s="2" t="s">
        <v>19</v>
      </c>
      <c r="F1733" s="2" t="s">
        <v>23</v>
      </c>
      <c r="G1733" s="2" t="s">
        <v>14</v>
      </c>
      <c r="H1733" s="2" t="s">
        <v>27</v>
      </c>
      <c r="I1733" s="2" t="s">
        <v>22</v>
      </c>
      <c r="J1733" s="15">
        <v>60000</v>
      </c>
      <c r="K1733" s="2">
        <v>4</v>
      </c>
      <c r="L1733" s="2" t="s">
        <v>37</v>
      </c>
      <c r="M1733" s="12">
        <f t="shared" si="54"/>
        <v>48000</v>
      </c>
      <c r="N1733" s="10">
        <f>PRODUCT(Table_13[[#This Row],[Unit Price]],Table_13[[#This Row],[Quantity]])</f>
        <v>240000</v>
      </c>
      <c r="O1733" s="16">
        <f>PRODUCT(Table_13[[#This Row],[Cost Price]],Table_13[[#This Row],[Quantity]])</f>
        <v>192000</v>
      </c>
      <c r="P1733" s="27">
        <f t="shared" si="62"/>
        <v>48000</v>
      </c>
    </row>
    <row r="1734" spans="1:16" x14ac:dyDescent="0.2">
      <c r="A1734" s="33">
        <v>47408</v>
      </c>
      <c r="B1734" s="30">
        <f t="shared" si="61"/>
        <v>10</v>
      </c>
      <c r="C1734" s="30" t="str">
        <f>_xlfn.IFS(Table_13[[#This Row],[Month]]=1,"JAN",Table_13[[#This Row],[Month]]=2,"FEB",B1734=3,"MAR",B1734=4,"APR",B1734=5,"MAY",B1734=6,"JUN",B1734=7,"JUL",B1734=8,"AUG",Table_13[[#This Row],[Month]]=9,"SEPT",B1734=10,"OCT",B1734=11,"NOV",B1734=12,"DEC")</f>
        <v>OCT</v>
      </c>
      <c r="D1734" s="2" t="s">
        <v>29</v>
      </c>
      <c r="E1734" s="2" t="s">
        <v>26</v>
      </c>
      <c r="F1734" s="2" t="s">
        <v>13</v>
      </c>
      <c r="G1734" s="2" t="s">
        <v>20</v>
      </c>
      <c r="H1734" s="2" t="s">
        <v>40</v>
      </c>
      <c r="I1734" s="2" t="s">
        <v>31</v>
      </c>
      <c r="J1734" s="15">
        <v>250000</v>
      </c>
      <c r="K1734" s="2">
        <v>8</v>
      </c>
      <c r="L1734" s="2" t="s">
        <v>17</v>
      </c>
      <c r="M1734" s="12">
        <f t="shared" si="54"/>
        <v>200000</v>
      </c>
      <c r="N1734" s="10">
        <f>PRODUCT(Table_13[[#This Row],[Unit Price]],Table_13[[#This Row],[Quantity]])</f>
        <v>2000000</v>
      </c>
      <c r="O1734" s="16">
        <f>PRODUCT(Table_13[[#This Row],[Cost Price]],Table_13[[#This Row],[Quantity]])</f>
        <v>1600000</v>
      </c>
      <c r="P1734" s="27">
        <f t="shared" si="62"/>
        <v>400000</v>
      </c>
    </row>
    <row r="1735" spans="1:16" x14ac:dyDescent="0.2">
      <c r="A1735" s="33">
        <v>47409</v>
      </c>
      <c r="B1735" s="30">
        <f t="shared" si="61"/>
        <v>10</v>
      </c>
      <c r="C1735" s="30" t="str">
        <f>_xlfn.IFS(Table_13[[#This Row],[Month]]=1,"JAN",Table_13[[#This Row],[Month]]=2,"FEB",B1735=3,"MAR",B1735=4,"APR",B1735=5,"MAY",B1735=6,"JUN",B1735=7,"JUL",B1735=8,"AUG",Table_13[[#This Row],[Month]]=9,"SEPT",B1735=10,"OCT",B1735=11,"NOV",B1735=12,"DEC")</f>
        <v>OCT</v>
      </c>
      <c r="D1735" s="2" t="s">
        <v>29</v>
      </c>
      <c r="E1735" s="2" t="s">
        <v>32</v>
      </c>
      <c r="F1735" s="2" t="s">
        <v>23</v>
      </c>
      <c r="G1735" s="2" t="s">
        <v>14</v>
      </c>
      <c r="H1735" s="2" t="s">
        <v>21</v>
      </c>
      <c r="I1735" s="2" t="s">
        <v>22</v>
      </c>
      <c r="J1735" s="15">
        <v>30000</v>
      </c>
      <c r="K1735" s="2">
        <v>6</v>
      </c>
      <c r="L1735" s="2" t="s">
        <v>28</v>
      </c>
      <c r="M1735" s="12">
        <f t="shared" si="54"/>
        <v>24000</v>
      </c>
      <c r="N1735" s="10">
        <f>PRODUCT(Table_13[[#This Row],[Unit Price]],Table_13[[#This Row],[Quantity]])</f>
        <v>180000</v>
      </c>
      <c r="O1735" s="16">
        <f>PRODUCT(Table_13[[#This Row],[Cost Price]],Table_13[[#This Row],[Quantity]])</f>
        <v>144000</v>
      </c>
      <c r="P1735" s="27">
        <f t="shared" si="62"/>
        <v>36000</v>
      </c>
    </row>
    <row r="1736" spans="1:16" x14ac:dyDescent="0.2">
      <c r="A1736" s="33">
        <v>47410</v>
      </c>
      <c r="B1736" s="30">
        <f t="shared" si="61"/>
        <v>10</v>
      </c>
      <c r="C1736" s="30" t="str">
        <f>_xlfn.IFS(Table_13[[#This Row],[Month]]=1,"JAN",Table_13[[#This Row],[Month]]=2,"FEB",B1736=3,"MAR",B1736=4,"APR",B1736=5,"MAY",B1736=6,"JUN",B1736=7,"JUL",B1736=8,"AUG",Table_13[[#This Row],[Month]]=9,"SEPT",B1736=10,"OCT",B1736=11,"NOV",B1736=12,"DEC")</f>
        <v>OCT</v>
      </c>
      <c r="D1736" s="2" t="s">
        <v>25</v>
      </c>
      <c r="E1736" s="2" t="s">
        <v>19</v>
      </c>
      <c r="F1736" s="2" t="s">
        <v>23</v>
      </c>
      <c r="G1736" s="2" t="s">
        <v>20</v>
      </c>
      <c r="H1736" s="2" t="s">
        <v>40</v>
      </c>
      <c r="I1736" s="2" t="s">
        <v>31</v>
      </c>
      <c r="J1736" s="15">
        <v>250000</v>
      </c>
      <c r="K1736" s="2">
        <v>1</v>
      </c>
      <c r="L1736" s="2" t="s">
        <v>24</v>
      </c>
      <c r="M1736" s="12">
        <f t="shared" si="54"/>
        <v>200000</v>
      </c>
      <c r="N1736" s="10">
        <f>PRODUCT(Table_13[[#This Row],[Unit Price]],Table_13[[#This Row],[Quantity]])</f>
        <v>250000</v>
      </c>
      <c r="O1736" s="16">
        <f>PRODUCT(Table_13[[#This Row],[Cost Price]],Table_13[[#This Row],[Quantity]])</f>
        <v>200000</v>
      </c>
      <c r="P1736" s="27">
        <f t="shared" si="62"/>
        <v>50000</v>
      </c>
    </row>
    <row r="1737" spans="1:16" x14ac:dyDescent="0.2">
      <c r="A1737" s="33">
        <v>47411</v>
      </c>
      <c r="B1737" s="30">
        <f t="shared" si="61"/>
        <v>10</v>
      </c>
      <c r="C1737" s="30" t="str">
        <f>_xlfn.IFS(Table_13[[#This Row],[Month]]=1,"JAN",Table_13[[#This Row],[Month]]=2,"FEB",B1737=3,"MAR",B1737=4,"APR",B1737=5,"MAY",B1737=6,"JUN",B1737=7,"JUL",B1737=8,"AUG",Table_13[[#This Row],[Month]]=9,"SEPT",B1737=10,"OCT",B1737=11,"NOV",B1737=12,"DEC")</f>
        <v>OCT</v>
      </c>
      <c r="D1737" s="2" t="s">
        <v>11</v>
      </c>
      <c r="E1737" s="2" t="s">
        <v>12</v>
      </c>
      <c r="F1737" s="2" t="s">
        <v>13</v>
      </c>
      <c r="G1737" s="2" t="s">
        <v>14</v>
      </c>
      <c r="H1737" s="2" t="s">
        <v>15</v>
      </c>
      <c r="I1737" s="2" t="s">
        <v>16</v>
      </c>
      <c r="J1737" s="15">
        <v>85000</v>
      </c>
      <c r="K1737" s="2">
        <v>1</v>
      </c>
      <c r="L1737" s="2" t="s">
        <v>35</v>
      </c>
      <c r="M1737" s="12">
        <f t="shared" si="54"/>
        <v>68000</v>
      </c>
      <c r="N1737" s="10">
        <f>PRODUCT(Table_13[[#This Row],[Unit Price]],Table_13[[#This Row],[Quantity]])</f>
        <v>85000</v>
      </c>
      <c r="O1737" s="16">
        <f>PRODUCT(Table_13[[#This Row],[Cost Price]],Table_13[[#This Row],[Quantity]])</f>
        <v>68000</v>
      </c>
      <c r="P1737" s="27">
        <f t="shared" si="62"/>
        <v>17000</v>
      </c>
    </row>
    <row r="1738" spans="1:16" x14ac:dyDescent="0.2">
      <c r="A1738" s="33">
        <v>47412</v>
      </c>
      <c r="B1738" s="30">
        <f t="shared" si="61"/>
        <v>10</v>
      </c>
      <c r="C1738" s="30" t="str">
        <f>_xlfn.IFS(Table_13[[#This Row],[Month]]=1,"JAN",Table_13[[#This Row],[Month]]=2,"FEB",B1738=3,"MAR",B1738=4,"APR",B1738=5,"MAY",B1738=6,"JUN",B1738=7,"JUL",B1738=8,"AUG",Table_13[[#This Row],[Month]]=9,"SEPT",B1738=10,"OCT",B1738=11,"NOV",B1738=12,"DEC")</f>
        <v>OCT</v>
      </c>
      <c r="D1738" s="2" t="s">
        <v>29</v>
      </c>
      <c r="E1738" s="2" t="s">
        <v>12</v>
      </c>
      <c r="F1738" s="2" t="s">
        <v>23</v>
      </c>
      <c r="G1738" s="2" t="s">
        <v>20</v>
      </c>
      <c r="H1738" s="2" t="s">
        <v>21</v>
      </c>
      <c r="I1738" s="2" t="s">
        <v>22</v>
      </c>
      <c r="J1738" s="15">
        <v>30000</v>
      </c>
      <c r="K1738" s="2">
        <v>9</v>
      </c>
      <c r="L1738" s="2" t="s">
        <v>17</v>
      </c>
      <c r="M1738" s="12">
        <f t="shared" si="54"/>
        <v>24000</v>
      </c>
      <c r="N1738" s="10">
        <f>PRODUCT(Table_13[[#This Row],[Unit Price]],Table_13[[#This Row],[Quantity]])</f>
        <v>270000</v>
      </c>
      <c r="O1738" s="16">
        <f>PRODUCT(Table_13[[#This Row],[Cost Price]],Table_13[[#This Row],[Quantity]])</f>
        <v>216000</v>
      </c>
      <c r="P1738" s="27">
        <f t="shared" si="62"/>
        <v>54000</v>
      </c>
    </row>
    <row r="1739" spans="1:16" x14ac:dyDescent="0.2">
      <c r="A1739" s="33">
        <v>47413</v>
      </c>
      <c r="B1739" s="30">
        <f t="shared" si="61"/>
        <v>10</v>
      </c>
      <c r="C1739" s="30" t="str">
        <f>_xlfn.IFS(Table_13[[#This Row],[Month]]=1,"JAN",Table_13[[#This Row],[Month]]=2,"FEB",B1739=3,"MAR",B1739=4,"APR",B1739=5,"MAY",B1739=6,"JUN",B1739=7,"JUL",B1739=8,"AUG",Table_13[[#This Row],[Month]]=9,"SEPT",B1739=10,"OCT",B1739=11,"NOV",B1739=12,"DEC")</f>
        <v>OCT</v>
      </c>
      <c r="D1739" s="2" t="s">
        <v>25</v>
      </c>
      <c r="E1739" s="2" t="s">
        <v>32</v>
      </c>
      <c r="F1739" s="2" t="s">
        <v>23</v>
      </c>
      <c r="G1739" s="2" t="s">
        <v>20</v>
      </c>
      <c r="H1739" s="2" t="s">
        <v>21</v>
      </c>
      <c r="I1739" s="2" t="s">
        <v>22</v>
      </c>
      <c r="J1739" s="15">
        <v>30000</v>
      </c>
      <c r="K1739" s="2">
        <v>3</v>
      </c>
      <c r="L1739" s="2" t="s">
        <v>17</v>
      </c>
      <c r="M1739" s="12">
        <f t="shared" si="54"/>
        <v>24000</v>
      </c>
      <c r="N1739" s="10">
        <f>PRODUCT(Table_13[[#This Row],[Unit Price]],Table_13[[#This Row],[Quantity]])</f>
        <v>90000</v>
      </c>
      <c r="O1739" s="16">
        <f>PRODUCT(Table_13[[#This Row],[Cost Price]],Table_13[[#This Row],[Quantity]])</f>
        <v>72000</v>
      </c>
      <c r="P1739" s="27">
        <f t="shared" si="62"/>
        <v>18000</v>
      </c>
    </row>
    <row r="1740" spans="1:16" x14ac:dyDescent="0.2">
      <c r="A1740" s="33">
        <v>47414</v>
      </c>
      <c r="B1740" s="30">
        <f t="shared" si="61"/>
        <v>10</v>
      </c>
      <c r="C1740" s="30" t="str">
        <f>_xlfn.IFS(Table_13[[#This Row],[Month]]=1,"JAN",Table_13[[#This Row],[Month]]=2,"FEB",B1740=3,"MAR",B1740=4,"APR",B1740=5,"MAY",B1740=6,"JUN",B1740=7,"JUL",B1740=8,"AUG",Table_13[[#This Row],[Month]]=9,"SEPT",B1740=10,"OCT",B1740=11,"NOV",B1740=12,"DEC")</f>
        <v>OCT</v>
      </c>
      <c r="D1740" s="2" t="s">
        <v>25</v>
      </c>
      <c r="E1740" s="2" t="s">
        <v>12</v>
      </c>
      <c r="F1740" s="2" t="s">
        <v>23</v>
      </c>
      <c r="G1740" s="2" t="s">
        <v>20</v>
      </c>
      <c r="H1740" s="2" t="s">
        <v>36</v>
      </c>
      <c r="I1740" s="2" t="s">
        <v>31</v>
      </c>
      <c r="J1740" s="15">
        <v>150000</v>
      </c>
      <c r="K1740" s="2">
        <v>8</v>
      </c>
      <c r="L1740" s="2" t="s">
        <v>28</v>
      </c>
      <c r="M1740" s="12">
        <f t="shared" si="54"/>
        <v>120000</v>
      </c>
      <c r="N1740" s="10">
        <f>PRODUCT(Table_13[[#This Row],[Unit Price]],Table_13[[#This Row],[Quantity]])</f>
        <v>1200000</v>
      </c>
      <c r="O1740" s="16">
        <f>PRODUCT(Table_13[[#This Row],[Cost Price]],Table_13[[#This Row],[Quantity]])</f>
        <v>960000</v>
      </c>
      <c r="P1740" s="27">
        <f t="shared" si="62"/>
        <v>240000</v>
      </c>
    </row>
    <row r="1741" spans="1:16" x14ac:dyDescent="0.2">
      <c r="A1741" s="33">
        <v>47415</v>
      </c>
      <c r="B1741" s="30">
        <f t="shared" si="61"/>
        <v>10</v>
      </c>
      <c r="C1741" s="30" t="str">
        <f>_xlfn.IFS(Table_13[[#This Row],[Month]]=1,"JAN",Table_13[[#This Row],[Month]]=2,"FEB",B1741=3,"MAR",B1741=4,"APR",B1741=5,"MAY",B1741=6,"JUN",B1741=7,"JUL",B1741=8,"AUG",Table_13[[#This Row],[Month]]=9,"SEPT",B1741=10,"OCT",B1741=11,"NOV",B1741=12,"DEC")</f>
        <v>OCT</v>
      </c>
      <c r="D1741" s="2" t="s">
        <v>29</v>
      </c>
      <c r="E1741" s="2" t="s">
        <v>26</v>
      </c>
      <c r="F1741" s="2" t="s">
        <v>13</v>
      </c>
      <c r="G1741" s="2" t="s">
        <v>20</v>
      </c>
      <c r="H1741" s="2" t="s">
        <v>15</v>
      </c>
      <c r="I1741" s="2" t="s">
        <v>16</v>
      </c>
      <c r="J1741" s="15">
        <v>85000</v>
      </c>
      <c r="K1741" s="2">
        <v>4</v>
      </c>
      <c r="L1741" s="2" t="s">
        <v>24</v>
      </c>
      <c r="M1741" s="12">
        <f t="shared" si="54"/>
        <v>68000</v>
      </c>
      <c r="N1741" s="10">
        <f>PRODUCT(Table_13[[#This Row],[Unit Price]],Table_13[[#This Row],[Quantity]])</f>
        <v>340000</v>
      </c>
      <c r="O1741" s="16">
        <f>PRODUCT(Table_13[[#This Row],[Cost Price]],Table_13[[#This Row],[Quantity]])</f>
        <v>272000</v>
      </c>
      <c r="P1741" s="27">
        <f t="shared" si="62"/>
        <v>68000</v>
      </c>
    </row>
    <row r="1742" spans="1:16" x14ac:dyDescent="0.2">
      <c r="A1742" s="33">
        <v>47416</v>
      </c>
      <c r="B1742" s="30">
        <f t="shared" si="61"/>
        <v>10</v>
      </c>
      <c r="C1742" s="30" t="str">
        <f>_xlfn.IFS(Table_13[[#This Row],[Month]]=1,"JAN",Table_13[[#This Row],[Month]]=2,"FEB",B1742=3,"MAR",B1742=4,"APR",B1742=5,"MAY",B1742=6,"JUN",B1742=7,"JUL",B1742=8,"AUG",Table_13[[#This Row],[Month]]=9,"SEPT",B1742=10,"OCT",B1742=11,"NOV",B1742=12,"DEC")</f>
        <v>OCT</v>
      </c>
      <c r="D1742" s="2" t="s">
        <v>11</v>
      </c>
      <c r="E1742" s="2" t="s">
        <v>26</v>
      </c>
      <c r="F1742" s="2" t="s">
        <v>23</v>
      </c>
      <c r="G1742" s="2" t="s">
        <v>20</v>
      </c>
      <c r="H1742" s="2" t="s">
        <v>34</v>
      </c>
      <c r="I1742" s="2" t="s">
        <v>16</v>
      </c>
      <c r="J1742" s="15">
        <v>320000</v>
      </c>
      <c r="K1742" s="2">
        <v>3</v>
      </c>
      <c r="L1742" s="2" t="s">
        <v>28</v>
      </c>
      <c r="M1742" s="12">
        <f t="shared" si="54"/>
        <v>256000</v>
      </c>
      <c r="N1742" s="10">
        <f>PRODUCT(Table_13[[#This Row],[Unit Price]],Table_13[[#This Row],[Quantity]])</f>
        <v>960000</v>
      </c>
      <c r="O1742" s="16">
        <f>PRODUCT(Table_13[[#This Row],[Cost Price]],Table_13[[#This Row],[Quantity]])</f>
        <v>768000</v>
      </c>
      <c r="P1742" s="27">
        <f t="shared" si="62"/>
        <v>192000</v>
      </c>
    </row>
    <row r="1743" spans="1:16" x14ac:dyDescent="0.2">
      <c r="A1743" s="33">
        <v>47417</v>
      </c>
      <c r="B1743" s="30">
        <f t="shared" si="61"/>
        <v>10</v>
      </c>
      <c r="C1743" s="30" t="str">
        <f>_xlfn.IFS(Table_13[[#This Row],[Month]]=1,"JAN",Table_13[[#This Row],[Month]]=2,"FEB",B1743=3,"MAR",B1743=4,"APR",B1743=5,"MAY",B1743=6,"JUN",B1743=7,"JUL",B1743=8,"AUG",Table_13[[#This Row],[Month]]=9,"SEPT",B1743=10,"OCT",B1743=11,"NOV",B1743=12,"DEC")</f>
        <v>OCT</v>
      </c>
      <c r="D1743" s="2" t="s">
        <v>18</v>
      </c>
      <c r="E1743" s="2" t="s">
        <v>32</v>
      </c>
      <c r="F1743" s="2" t="s">
        <v>13</v>
      </c>
      <c r="G1743" s="2" t="s">
        <v>14</v>
      </c>
      <c r="H1743" s="2" t="s">
        <v>27</v>
      </c>
      <c r="I1743" s="2" t="s">
        <v>22</v>
      </c>
      <c r="J1743" s="15">
        <v>60000</v>
      </c>
      <c r="K1743" s="2">
        <v>7</v>
      </c>
      <c r="L1743" s="2" t="s">
        <v>24</v>
      </c>
      <c r="M1743" s="12">
        <f t="shared" si="54"/>
        <v>48000</v>
      </c>
      <c r="N1743" s="10">
        <f>PRODUCT(Table_13[[#This Row],[Unit Price]],Table_13[[#This Row],[Quantity]])</f>
        <v>420000</v>
      </c>
      <c r="O1743" s="16">
        <f>PRODUCT(Table_13[[#This Row],[Cost Price]],Table_13[[#This Row],[Quantity]])</f>
        <v>336000</v>
      </c>
      <c r="P1743" s="27">
        <f t="shared" si="62"/>
        <v>84000</v>
      </c>
    </row>
    <row r="1744" spans="1:16" x14ac:dyDescent="0.2">
      <c r="A1744" s="33">
        <v>47418</v>
      </c>
      <c r="B1744" s="30">
        <f t="shared" si="61"/>
        <v>10</v>
      </c>
      <c r="C1744" s="30" t="str">
        <f>_xlfn.IFS(Table_13[[#This Row],[Month]]=1,"JAN",Table_13[[#This Row],[Month]]=2,"FEB",B1744=3,"MAR",B1744=4,"APR",B1744=5,"MAY",B1744=6,"JUN",B1744=7,"JUL",B1744=8,"AUG",Table_13[[#This Row],[Month]]=9,"SEPT",B1744=10,"OCT",B1744=11,"NOV",B1744=12,"DEC")</f>
        <v>OCT</v>
      </c>
      <c r="D1744" s="2" t="s">
        <v>18</v>
      </c>
      <c r="E1744" s="2" t="s">
        <v>32</v>
      </c>
      <c r="F1744" s="2" t="s">
        <v>23</v>
      </c>
      <c r="G1744" s="2" t="s">
        <v>20</v>
      </c>
      <c r="H1744" s="2" t="s">
        <v>30</v>
      </c>
      <c r="I1744" s="2" t="s">
        <v>31</v>
      </c>
      <c r="J1744" s="15">
        <v>300000</v>
      </c>
      <c r="K1744" s="2">
        <v>6</v>
      </c>
      <c r="L1744" s="2" t="s">
        <v>24</v>
      </c>
      <c r="M1744" s="12">
        <f t="shared" si="54"/>
        <v>240000</v>
      </c>
      <c r="N1744" s="10">
        <f>PRODUCT(Table_13[[#This Row],[Unit Price]],Table_13[[#This Row],[Quantity]])</f>
        <v>1800000</v>
      </c>
      <c r="O1744" s="16">
        <f>PRODUCT(Table_13[[#This Row],[Cost Price]],Table_13[[#This Row],[Quantity]])</f>
        <v>1440000</v>
      </c>
      <c r="P1744" s="27">
        <f t="shared" si="62"/>
        <v>360000</v>
      </c>
    </row>
    <row r="1745" spans="1:16" x14ac:dyDescent="0.2">
      <c r="A1745" s="33">
        <v>47419</v>
      </c>
      <c r="B1745" s="30">
        <f t="shared" si="61"/>
        <v>10</v>
      </c>
      <c r="C1745" s="30" t="str">
        <f>_xlfn.IFS(Table_13[[#This Row],[Month]]=1,"JAN",Table_13[[#This Row],[Month]]=2,"FEB",B1745=3,"MAR",B1745=4,"APR",B1745=5,"MAY",B1745=6,"JUN",B1745=7,"JUL",B1745=8,"AUG",Table_13[[#This Row],[Month]]=9,"SEPT",B1745=10,"OCT",B1745=11,"NOV",B1745=12,"DEC")</f>
        <v>OCT</v>
      </c>
      <c r="D1745" s="2" t="s">
        <v>25</v>
      </c>
      <c r="E1745" s="2" t="s">
        <v>32</v>
      </c>
      <c r="F1745" s="2" t="s">
        <v>13</v>
      </c>
      <c r="G1745" s="2" t="s">
        <v>14</v>
      </c>
      <c r="H1745" s="2" t="s">
        <v>36</v>
      </c>
      <c r="I1745" s="2" t="s">
        <v>31</v>
      </c>
      <c r="J1745" s="15">
        <v>150000</v>
      </c>
      <c r="K1745" s="2">
        <v>6</v>
      </c>
      <c r="L1745" s="2" t="s">
        <v>35</v>
      </c>
      <c r="M1745" s="12">
        <f t="shared" si="54"/>
        <v>120000</v>
      </c>
      <c r="N1745" s="10">
        <f>PRODUCT(Table_13[[#This Row],[Unit Price]],Table_13[[#This Row],[Quantity]])</f>
        <v>900000</v>
      </c>
      <c r="O1745" s="16">
        <f>PRODUCT(Table_13[[#This Row],[Cost Price]],Table_13[[#This Row],[Quantity]])</f>
        <v>720000</v>
      </c>
      <c r="P1745" s="27">
        <f t="shared" si="62"/>
        <v>180000</v>
      </c>
    </row>
    <row r="1746" spans="1:16" x14ac:dyDescent="0.2">
      <c r="A1746" s="33">
        <v>47420</v>
      </c>
      <c r="B1746" s="30">
        <f t="shared" si="61"/>
        <v>10</v>
      </c>
      <c r="C1746" s="30" t="str">
        <f>_xlfn.IFS(Table_13[[#This Row],[Month]]=1,"JAN",Table_13[[#This Row],[Month]]=2,"FEB",B1746=3,"MAR",B1746=4,"APR",B1746=5,"MAY",B1746=6,"JUN",B1746=7,"JUL",B1746=8,"AUG",Table_13[[#This Row],[Month]]=9,"SEPT",B1746=10,"OCT",B1746=11,"NOV",B1746=12,"DEC")</f>
        <v>OCT</v>
      </c>
      <c r="D1746" s="2" t="s">
        <v>25</v>
      </c>
      <c r="E1746" s="2" t="s">
        <v>12</v>
      </c>
      <c r="F1746" s="2" t="s">
        <v>23</v>
      </c>
      <c r="G1746" s="2" t="s">
        <v>14</v>
      </c>
      <c r="H1746" s="2" t="s">
        <v>30</v>
      </c>
      <c r="I1746" s="2" t="s">
        <v>31</v>
      </c>
      <c r="J1746" s="15">
        <v>300000</v>
      </c>
      <c r="K1746" s="2">
        <v>10</v>
      </c>
      <c r="L1746" s="2" t="s">
        <v>28</v>
      </c>
      <c r="M1746" s="12">
        <f t="shared" si="54"/>
        <v>240000</v>
      </c>
      <c r="N1746" s="10">
        <f>PRODUCT(Table_13[[#This Row],[Unit Price]],Table_13[[#This Row],[Quantity]])</f>
        <v>3000000</v>
      </c>
      <c r="O1746" s="16">
        <f>PRODUCT(Table_13[[#This Row],[Cost Price]],Table_13[[#This Row],[Quantity]])</f>
        <v>2400000</v>
      </c>
      <c r="P1746" s="27">
        <f t="shared" si="62"/>
        <v>600000</v>
      </c>
    </row>
    <row r="1747" spans="1:16" x14ac:dyDescent="0.2">
      <c r="A1747" s="33">
        <v>47421</v>
      </c>
      <c r="B1747" s="30">
        <f t="shared" si="61"/>
        <v>10</v>
      </c>
      <c r="C1747" s="30" t="str">
        <f>_xlfn.IFS(Table_13[[#This Row],[Month]]=1,"JAN",Table_13[[#This Row],[Month]]=2,"FEB",B1747=3,"MAR",B1747=4,"APR",B1747=5,"MAY",B1747=6,"JUN",B1747=7,"JUL",B1747=8,"AUG",Table_13[[#This Row],[Month]]=9,"SEPT",B1747=10,"OCT",B1747=11,"NOV",B1747=12,"DEC")</f>
        <v>OCT</v>
      </c>
      <c r="D1747" s="2" t="s">
        <v>18</v>
      </c>
      <c r="E1747" s="2" t="s">
        <v>19</v>
      </c>
      <c r="F1747" s="2" t="s">
        <v>13</v>
      </c>
      <c r="G1747" s="2" t="s">
        <v>14</v>
      </c>
      <c r="H1747" s="2" t="s">
        <v>38</v>
      </c>
      <c r="I1747" s="2" t="s">
        <v>31</v>
      </c>
      <c r="J1747" s="15">
        <v>420000</v>
      </c>
      <c r="K1747" s="2">
        <v>1</v>
      </c>
      <c r="L1747" s="2" t="s">
        <v>17</v>
      </c>
      <c r="M1747" s="12">
        <f t="shared" si="54"/>
        <v>336000</v>
      </c>
      <c r="N1747" s="10">
        <f>PRODUCT(Table_13[[#This Row],[Unit Price]],Table_13[[#This Row],[Quantity]])</f>
        <v>420000</v>
      </c>
      <c r="O1747" s="16">
        <f>PRODUCT(Table_13[[#This Row],[Cost Price]],Table_13[[#This Row],[Quantity]])</f>
        <v>336000</v>
      </c>
      <c r="P1747" s="27">
        <f t="shared" si="62"/>
        <v>84000</v>
      </c>
    </row>
    <row r="1748" spans="1:16" x14ac:dyDescent="0.2">
      <c r="A1748" s="33">
        <v>47422</v>
      </c>
      <c r="B1748" s="30">
        <f t="shared" si="61"/>
        <v>10</v>
      </c>
      <c r="C1748" s="30" t="str">
        <f>_xlfn.IFS(Table_13[[#This Row],[Month]]=1,"JAN",Table_13[[#This Row],[Month]]=2,"FEB",B1748=3,"MAR",B1748=4,"APR",B1748=5,"MAY",B1748=6,"JUN",B1748=7,"JUL",B1748=8,"AUG",Table_13[[#This Row],[Month]]=9,"SEPT",B1748=10,"OCT",B1748=11,"NOV",B1748=12,"DEC")</f>
        <v>OCT</v>
      </c>
      <c r="D1748" s="2" t="s">
        <v>11</v>
      </c>
      <c r="E1748" s="2" t="s">
        <v>12</v>
      </c>
      <c r="F1748" s="2" t="s">
        <v>13</v>
      </c>
      <c r="G1748" s="2" t="s">
        <v>20</v>
      </c>
      <c r="H1748" s="2" t="s">
        <v>27</v>
      </c>
      <c r="I1748" s="2" t="s">
        <v>22</v>
      </c>
      <c r="J1748" s="15">
        <v>60000</v>
      </c>
      <c r="K1748" s="2">
        <v>1</v>
      </c>
      <c r="L1748" s="2" t="s">
        <v>24</v>
      </c>
      <c r="M1748" s="12">
        <f t="shared" si="54"/>
        <v>48000</v>
      </c>
      <c r="N1748" s="10">
        <f>PRODUCT(Table_13[[#This Row],[Unit Price]],Table_13[[#This Row],[Quantity]])</f>
        <v>60000</v>
      </c>
      <c r="O1748" s="16">
        <f>PRODUCT(Table_13[[#This Row],[Cost Price]],Table_13[[#This Row],[Quantity]])</f>
        <v>48000</v>
      </c>
      <c r="P1748" s="27">
        <f t="shared" si="62"/>
        <v>12000</v>
      </c>
    </row>
    <row r="1749" spans="1:16" x14ac:dyDescent="0.2">
      <c r="A1749" s="33">
        <v>47423</v>
      </c>
      <c r="B1749" s="30">
        <f t="shared" si="61"/>
        <v>11</v>
      </c>
      <c r="C1749" s="30" t="str">
        <f>_xlfn.IFS(Table_13[[#This Row],[Month]]=1,"JAN",Table_13[[#This Row],[Month]]=2,"FEB",B1749=3,"MAR",B1749=4,"APR",B1749=5,"MAY",B1749=6,"JUN",B1749=7,"JUL",B1749=8,"AUG",Table_13[[#This Row],[Month]]=9,"SEPT",B1749=10,"OCT",B1749=11,"NOV",B1749=12,"DEC")</f>
        <v>NOV</v>
      </c>
      <c r="D1749" s="2" t="s">
        <v>29</v>
      </c>
      <c r="E1749" s="2" t="s">
        <v>19</v>
      </c>
      <c r="F1749" s="2" t="s">
        <v>13</v>
      </c>
      <c r="G1749" s="2" t="s">
        <v>14</v>
      </c>
      <c r="H1749" s="2" t="s">
        <v>36</v>
      </c>
      <c r="I1749" s="2" t="s">
        <v>31</v>
      </c>
      <c r="J1749" s="15">
        <v>150000</v>
      </c>
      <c r="K1749" s="2">
        <v>10</v>
      </c>
      <c r="L1749" s="2" t="s">
        <v>39</v>
      </c>
      <c r="M1749" s="12">
        <f t="shared" si="54"/>
        <v>120000</v>
      </c>
      <c r="N1749" s="10">
        <f>PRODUCT(Table_13[[#This Row],[Unit Price]],Table_13[[#This Row],[Quantity]])</f>
        <v>1500000</v>
      </c>
      <c r="O1749" s="16">
        <f>PRODUCT(Table_13[[#This Row],[Cost Price]],Table_13[[#This Row],[Quantity]])</f>
        <v>1200000</v>
      </c>
      <c r="P1749" s="27">
        <f t="shared" si="62"/>
        <v>300000</v>
      </c>
    </row>
    <row r="1750" spans="1:16" x14ac:dyDescent="0.2">
      <c r="A1750" s="33">
        <v>47424</v>
      </c>
      <c r="B1750" s="30">
        <f t="shared" si="61"/>
        <v>11</v>
      </c>
      <c r="C1750" s="30" t="str">
        <f>_xlfn.IFS(Table_13[[#This Row],[Month]]=1,"JAN",Table_13[[#This Row],[Month]]=2,"FEB",B1750=3,"MAR",B1750=4,"APR",B1750=5,"MAY",B1750=6,"JUN",B1750=7,"JUL",B1750=8,"AUG",Table_13[[#This Row],[Month]]=9,"SEPT",B1750=10,"OCT",B1750=11,"NOV",B1750=12,"DEC")</f>
        <v>NOV</v>
      </c>
      <c r="D1750" s="2" t="s">
        <v>11</v>
      </c>
      <c r="E1750" s="2" t="s">
        <v>32</v>
      </c>
      <c r="F1750" s="2" t="s">
        <v>13</v>
      </c>
      <c r="G1750" s="2" t="s">
        <v>14</v>
      </c>
      <c r="H1750" s="2" t="s">
        <v>33</v>
      </c>
      <c r="I1750" s="2" t="s">
        <v>22</v>
      </c>
      <c r="J1750" s="15">
        <v>180000</v>
      </c>
      <c r="K1750" s="2">
        <v>10</v>
      </c>
      <c r="L1750" s="2" t="s">
        <v>28</v>
      </c>
      <c r="M1750" s="12">
        <f t="shared" si="54"/>
        <v>144000</v>
      </c>
      <c r="N1750" s="10">
        <f>PRODUCT(Table_13[[#This Row],[Unit Price]],Table_13[[#This Row],[Quantity]])</f>
        <v>1800000</v>
      </c>
      <c r="O1750" s="16">
        <f>PRODUCT(Table_13[[#This Row],[Cost Price]],Table_13[[#This Row],[Quantity]])</f>
        <v>1440000</v>
      </c>
      <c r="P1750" s="27">
        <f t="shared" si="62"/>
        <v>360000</v>
      </c>
    </row>
    <row r="1751" spans="1:16" x14ac:dyDescent="0.2">
      <c r="A1751" s="33">
        <v>47425</v>
      </c>
      <c r="B1751" s="30">
        <f t="shared" si="61"/>
        <v>11</v>
      </c>
      <c r="C1751" s="30" t="str">
        <f>_xlfn.IFS(Table_13[[#This Row],[Month]]=1,"JAN",Table_13[[#This Row],[Month]]=2,"FEB",B1751=3,"MAR",B1751=4,"APR",B1751=5,"MAY",B1751=6,"JUN",B1751=7,"JUL",B1751=8,"AUG",Table_13[[#This Row],[Month]]=9,"SEPT",B1751=10,"OCT",B1751=11,"NOV",B1751=12,"DEC")</f>
        <v>NOV</v>
      </c>
      <c r="D1751" s="2" t="s">
        <v>25</v>
      </c>
      <c r="E1751" s="2" t="s">
        <v>12</v>
      </c>
      <c r="F1751" s="2" t="s">
        <v>23</v>
      </c>
      <c r="G1751" s="2" t="s">
        <v>14</v>
      </c>
      <c r="H1751" s="2" t="s">
        <v>36</v>
      </c>
      <c r="I1751" s="2" t="s">
        <v>31</v>
      </c>
      <c r="J1751" s="15">
        <v>150000</v>
      </c>
      <c r="K1751" s="2">
        <v>10</v>
      </c>
      <c r="L1751" s="2" t="s">
        <v>24</v>
      </c>
      <c r="M1751" s="12">
        <f t="shared" si="54"/>
        <v>120000</v>
      </c>
      <c r="N1751" s="10">
        <f>PRODUCT(Table_13[[#This Row],[Unit Price]],Table_13[[#This Row],[Quantity]])</f>
        <v>1500000</v>
      </c>
      <c r="O1751" s="16">
        <f>PRODUCT(Table_13[[#This Row],[Cost Price]],Table_13[[#This Row],[Quantity]])</f>
        <v>1200000</v>
      </c>
      <c r="P1751" s="27">
        <f t="shared" si="62"/>
        <v>300000</v>
      </c>
    </row>
    <row r="1752" spans="1:16" x14ac:dyDescent="0.2">
      <c r="A1752" s="33">
        <v>47426</v>
      </c>
      <c r="B1752" s="30">
        <f t="shared" si="61"/>
        <v>11</v>
      </c>
      <c r="C1752" s="30" t="str">
        <f>_xlfn.IFS(Table_13[[#This Row],[Month]]=1,"JAN",Table_13[[#This Row],[Month]]=2,"FEB",B1752=3,"MAR",B1752=4,"APR",B1752=5,"MAY",B1752=6,"JUN",B1752=7,"JUL",B1752=8,"AUG",Table_13[[#This Row],[Month]]=9,"SEPT",B1752=10,"OCT",B1752=11,"NOV",B1752=12,"DEC")</f>
        <v>NOV</v>
      </c>
      <c r="D1752" s="2" t="s">
        <v>18</v>
      </c>
      <c r="E1752" s="2" t="s">
        <v>12</v>
      </c>
      <c r="F1752" s="2" t="s">
        <v>23</v>
      </c>
      <c r="G1752" s="2" t="s">
        <v>20</v>
      </c>
      <c r="H1752" s="2" t="s">
        <v>27</v>
      </c>
      <c r="I1752" s="2" t="s">
        <v>22</v>
      </c>
      <c r="J1752" s="15">
        <v>60000</v>
      </c>
      <c r="K1752" s="2">
        <v>8</v>
      </c>
      <c r="L1752" s="2" t="s">
        <v>39</v>
      </c>
      <c r="M1752" s="12">
        <f t="shared" si="54"/>
        <v>48000</v>
      </c>
      <c r="N1752" s="10">
        <f>PRODUCT(Table_13[[#This Row],[Unit Price]],Table_13[[#This Row],[Quantity]])</f>
        <v>480000</v>
      </c>
      <c r="O1752" s="16">
        <f>PRODUCT(Table_13[[#This Row],[Cost Price]],Table_13[[#This Row],[Quantity]])</f>
        <v>384000</v>
      </c>
      <c r="P1752" s="27">
        <f t="shared" si="62"/>
        <v>96000</v>
      </c>
    </row>
    <row r="1753" spans="1:16" x14ac:dyDescent="0.2">
      <c r="A1753" s="33">
        <v>47427</v>
      </c>
      <c r="B1753" s="30">
        <f t="shared" si="61"/>
        <v>11</v>
      </c>
      <c r="C1753" s="30" t="str">
        <f>_xlfn.IFS(Table_13[[#This Row],[Month]]=1,"JAN",Table_13[[#This Row],[Month]]=2,"FEB",B1753=3,"MAR",B1753=4,"APR",B1753=5,"MAY",B1753=6,"JUN",B1753=7,"JUL",B1753=8,"AUG",Table_13[[#This Row],[Month]]=9,"SEPT",B1753=10,"OCT",B1753=11,"NOV",B1753=12,"DEC")</f>
        <v>NOV</v>
      </c>
      <c r="D1753" s="2" t="s">
        <v>29</v>
      </c>
      <c r="E1753" s="2" t="s">
        <v>12</v>
      </c>
      <c r="F1753" s="2" t="s">
        <v>13</v>
      </c>
      <c r="G1753" s="2" t="s">
        <v>14</v>
      </c>
      <c r="H1753" s="2" t="s">
        <v>41</v>
      </c>
      <c r="I1753" s="2" t="s">
        <v>22</v>
      </c>
      <c r="J1753" s="15">
        <v>220000</v>
      </c>
      <c r="K1753" s="2">
        <v>7</v>
      </c>
      <c r="L1753" s="2" t="s">
        <v>37</v>
      </c>
      <c r="M1753" s="12">
        <f t="shared" si="54"/>
        <v>176000</v>
      </c>
      <c r="N1753" s="10">
        <f>PRODUCT(Table_13[[#This Row],[Unit Price]],Table_13[[#This Row],[Quantity]])</f>
        <v>1540000</v>
      </c>
      <c r="O1753" s="16">
        <f>PRODUCT(Table_13[[#This Row],[Cost Price]],Table_13[[#This Row],[Quantity]])</f>
        <v>1232000</v>
      </c>
      <c r="P1753" s="27">
        <f t="shared" si="62"/>
        <v>308000</v>
      </c>
    </row>
    <row r="1754" spans="1:16" x14ac:dyDescent="0.2">
      <c r="A1754" s="33">
        <v>47428</v>
      </c>
      <c r="B1754" s="30">
        <f t="shared" si="61"/>
        <v>11</v>
      </c>
      <c r="C1754" s="30" t="str">
        <f>_xlfn.IFS(Table_13[[#This Row],[Month]]=1,"JAN",Table_13[[#This Row],[Month]]=2,"FEB",B1754=3,"MAR",B1754=4,"APR",B1754=5,"MAY",B1754=6,"JUN",B1754=7,"JUL",B1754=8,"AUG",Table_13[[#This Row],[Month]]=9,"SEPT",B1754=10,"OCT",B1754=11,"NOV",B1754=12,"DEC")</f>
        <v>NOV</v>
      </c>
      <c r="D1754" s="2" t="s">
        <v>18</v>
      </c>
      <c r="E1754" s="2" t="s">
        <v>32</v>
      </c>
      <c r="F1754" s="2" t="s">
        <v>13</v>
      </c>
      <c r="G1754" s="2" t="s">
        <v>14</v>
      </c>
      <c r="H1754" s="2" t="s">
        <v>21</v>
      </c>
      <c r="I1754" s="2" t="s">
        <v>22</v>
      </c>
      <c r="J1754" s="15">
        <v>30000</v>
      </c>
      <c r="K1754" s="2">
        <v>1</v>
      </c>
      <c r="L1754" s="2" t="s">
        <v>35</v>
      </c>
      <c r="M1754" s="12">
        <f t="shared" si="54"/>
        <v>24000</v>
      </c>
      <c r="N1754" s="10">
        <f>PRODUCT(Table_13[[#This Row],[Unit Price]],Table_13[[#This Row],[Quantity]])</f>
        <v>30000</v>
      </c>
      <c r="O1754" s="16">
        <f>PRODUCT(Table_13[[#This Row],[Cost Price]],Table_13[[#This Row],[Quantity]])</f>
        <v>24000</v>
      </c>
      <c r="P1754" s="27">
        <f t="shared" si="62"/>
        <v>6000</v>
      </c>
    </row>
    <row r="1755" spans="1:16" x14ac:dyDescent="0.2">
      <c r="A1755" s="33">
        <v>47429</v>
      </c>
      <c r="B1755" s="30">
        <f t="shared" si="61"/>
        <v>11</v>
      </c>
      <c r="C1755" s="30" t="str">
        <f>_xlfn.IFS(Table_13[[#This Row],[Month]]=1,"JAN",Table_13[[#This Row],[Month]]=2,"FEB",B1755=3,"MAR",B1755=4,"APR",B1755=5,"MAY",B1755=6,"JUN",B1755=7,"JUL",B1755=8,"AUG",Table_13[[#This Row],[Month]]=9,"SEPT",B1755=10,"OCT",B1755=11,"NOV",B1755=12,"DEC")</f>
        <v>NOV</v>
      </c>
      <c r="D1755" s="2" t="s">
        <v>18</v>
      </c>
      <c r="E1755" s="2" t="s">
        <v>19</v>
      </c>
      <c r="F1755" s="2" t="s">
        <v>23</v>
      </c>
      <c r="G1755" s="2" t="s">
        <v>20</v>
      </c>
      <c r="H1755" s="2" t="s">
        <v>36</v>
      </c>
      <c r="I1755" s="2" t="s">
        <v>31</v>
      </c>
      <c r="J1755" s="15">
        <v>150000</v>
      </c>
      <c r="K1755" s="2">
        <v>6</v>
      </c>
      <c r="L1755" s="2" t="s">
        <v>17</v>
      </c>
      <c r="M1755" s="12">
        <f t="shared" si="54"/>
        <v>120000</v>
      </c>
      <c r="N1755" s="10">
        <f>PRODUCT(Table_13[[#This Row],[Unit Price]],Table_13[[#This Row],[Quantity]])</f>
        <v>900000</v>
      </c>
      <c r="O1755" s="16">
        <f>PRODUCT(Table_13[[#This Row],[Cost Price]],Table_13[[#This Row],[Quantity]])</f>
        <v>720000</v>
      </c>
      <c r="P1755" s="27">
        <f t="shared" si="62"/>
        <v>180000</v>
      </c>
    </row>
    <row r="1756" spans="1:16" x14ac:dyDescent="0.2">
      <c r="A1756" s="33">
        <v>47430</v>
      </c>
      <c r="B1756" s="30">
        <f t="shared" si="61"/>
        <v>11</v>
      </c>
      <c r="C1756" s="30" t="str">
        <f>_xlfn.IFS(Table_13[[#This Row],[Month]]=1,"JAN",Table_13[[#This Row],[Month]]=2,"FEB",B1756=3,"MAR",B1756=4,"APR",B1756=5,"MAY",B1756=6,"JUN",B1756=7,"JUL",B1756=8,"AUG",Table_13[[#This Row],[Month]]=9,"SEPT",B1756=10,"OCT",B1756=11,"NOV",B1756=12,"DEC")</f>
        <v>NOV</v>
      </c>
      <c r="D1756" s="2" t="s">
        <v>25</v>
      </c>
      <c r="E1756" s="2" t="s">
        <v>32</v>
      </c>
      <c r="F1756" s="2" t="s">
        <v>13</v>
      </c>
      <c r="G1756" s="2" t="s">
        <v>20</v>
      </c>
      <c r="H1756" s="2" t="s">
        <v>21</v>
      </c>
      <c r="I1756" s="2" t="s">
        <v>22</v>
      </c>
      <c r="J1756" s="15">
        <v>30000</v>
      </c>
      <c r="K1756" s="2">
        <v>4</v>
      </c>
      <c r="L1756" s="2" t="s">
        <v>17</v>
      </c>
      <c r="M1756" s="12">
        <f t="shared" si="54"/>
        <v>24000</v>
      </c>
      <c r="N1756" s="10">
        <f>PRODUCT(Table_13[[#This Row],[Unit Price]],Table_13[[#This Row],[Quantity]])</f>
        <v>120000</v>
      </c>
      <c r="O1756" s="16">
        <f>PRODUCT(Table_13[[#This Row],[Cost Price]],Table_13[[#This Row],[Quantity]])</f>
        <v>96000</v>
      </c>
      <c r="P1756" s="27">
        <f t="shared" si="62"/>
        <v>24000</v>
      </c>
    </row>
    <row r="1757" spans="1:16" x14ac:dyDescent="0.2">
      <c r="A1757" s="33">
        <v>47431</v>
      </c>
      <c r="B1757" s="30">
        <f t="shared" si="61"/>
        <v>11</v>
      </c>
      <c r="C1757" s="30" t="str">
        <f>_xlfn.IFS(Table_13[[#This Row],[Month]]=1,"JAN",Table_13[[#This Row],[Month]]=2,"FEB",B1757=3,"MAR",B1757=4,"APR",B1757=5,"MAY",B1757=6,"JUN",B1757=7,"JUL",B1757=8,"AUG",Table_13[[#This Row],[Month]]=9,"SEPT",B1757=10,"OCT",B1757=11,"NOV",B1757=12,"DEC")</f>
        <v>NOV</v>
      </c>
      <c r="D1757" s="2" t="s">
        <v>25</v>
      </c>
      <c r="E1757" s="2" t="s">
        <v>26</v>
      </c>
      <c r="F1757" s="2" t="s">
        <v>23</v>
      </c>
      <c r="G1757" s="2" t="s">
        <v>14</v>
      </c>
      <c r="H1757" s="2" t="s">
        <v>41</v>
      </c>
      <c r="I1757" s="2" t="s">
        <v>22</v>
      </c>
      <c r="J1757" s="15">
        <v>220000</v>
      </c>
      <c r="K1757" s="2">
        <v>1</v>
      </c>
      <c r="L1757" s="2" t="s">
        <v>28</v>
      </c>
      <c r="M1757" s="12">
        <f t="shared" si="54"/>
        <v>176000</v>
      </c>
      <c r="N1757" s="10">
        <f>PRODUCT(Table_13[[#This Row],[Unit Price]],Table_13[[#This Row],[Quantity]])</f>
        <v>220000</v>
      </c>
      <c r="O1757" s="16">
        <f>PRODUCT(Table_13[[#This Row],[Cost Price]],Table_13[[#This Row],[Quantity]])</f>
        <v>176000</v>
      </c>
      <c r="P1757" s="27">
        <f t="shared" si="62"/>
        <v>44000</v>
      </c>
    </row>
    <row r="1758" spans="1:16" x14ac:dyDescent="0.2">
      <c r="A1758" s="33">
        <v>47432</v>
      </c>
      <c r="B1758" s="30">
        <f t="shared" si="61"/>
        <v>11</v>
      </c>
      <c r="C1758" s="30" t="str">
        <f>_xlfn.IFS(Table_13[[#This Row],[Month]]=1,"JAN",Table_13[[#This Row],[Month]]=2,"FEB",B1758=3,"MAR",B1758=4,"APR",B1758=5,"MAY",B1758=6,"JUN",B1758=7,"JUL",B1758=8,"AUG",Table_13[[#This Row],[Month]]=9,"SEPT",B1758=10,"OCT",B1758=11,"NOV",B1758=12,"DEC")</f>
        <v>NOV</v>
      </c>
      <c r="D1758" s="2" t="s">
        <v>25</v>
      </c>
      <c r="E1758" s="2" t="s">
        <v>19</v>
      </c>
      <c r="F1758" s="2" t="s">
        <v>13</v>
      </c>
      <c r="G1758" s="2" t="s">
        <v>14</v>
      </c>
      <c r="H1758" s="2" t="s">
        <v>27</v>
      </c>
      <c r="I1758" s="2" t="s">
        <v>22</v>
      </c>
      <c r="J1758" s="15">
        <v>60000</v>
      </c>
      <c r="K1758" s="2">
        <v>6</v>
      </c>
      <c r="L1758" s="2" t="s">
        <v>24</v>
      </c>
      <c r="M1758" s="12">
        <f t="shared" si="54"/>
        <v>48000</v>
      </c>
      <c r="N1758" s="10">
        <f>PRODUCT(Table_13[[#This Row],[Unit Price]],Table_13[[#This Row],[Quantity]])</f>
        <v>360000</v>
      </c>
      <c r="O1758" s="16">
        <f>PRODUCT(Table_13[[#This Row],[Cost Price]],Table_13[[#This Row],[Quantity]])</f>
        <v>288000</v>
      </c>
      <c r="P1758" s="27">
        <f t="shared" si="62"/>
        <v>72000</v>
      </c>
    </row>
    <row r="1759" spans="1:16" x14ac:dyDescent="0.2">
      <c r="A1759" s="33">
        <v>47433</v>
      </c>
      <c r="B1759" s="30">
        <f t="shared" si="61"/>
        <v>11</v>
      </c>
      <c r="C1759" s="30" t="str">
        <f>_xlfn.IFS(Table_13[[#This Row],[Month]]=1,"JAN",Table_13[[#This Row],[Month]]=2,"FEB",B1759=3,"MAR",B1759=4,"APR",B1759=5,"MAY",B1759=6,"JUN",B1759=7,"JUL",B1759=8,"AUG",Table_13[[#This Row],[Month]]=9,"SEPT",B1759=10,"OCT",B1759=11,"NOV",B1759=12,"DEC")</f>
        <v>NOV</v>
      </c>
      <c r="D1759" s="2" t="s">
        <v>25</v>
      </c>
      <c r="E1759" s="2" t="s">
        <v>12</v>
      </c>
      <c r="F1759" s="2" t="s">
        <v>23</v>
      </c>
      <c r="G1759" s="2" t="s">
        <v>20</v>
      </c>
      <c r="H1759" s="2" t="s">
        <v>40</v>
      </c>
      <c r="I1759" s="2" t="s">
        <v>31</v>
      </c>
      <c r="J1759" s="15">
        <v>250000</v>
      </c>
      <c r="K1759" s="2">
        <v>7</v>
      </c>
      <c r="L1759" s="2" t="s">
        <v>39</v>
      </c>
      <c r="M1759" s="12">
        <f t="shared" si="54"/>
        <v>200000</v>
      </c>
      <c r="N1759" s="10">
        <f>PRODUCT(Table_13[[#This Row],[Unit Price]],Table_13[[#This Row],[Quantity]])</f>
        <v>1750000</v>
      </c>
      <c r="O1759" s="16">
        <f>PRODUCT(Table_13[[#This Row],[Cost Price]],Table_13[[#This Row],[Quantity]])</f>
        <v>1400000</v>
      </c>
      <c r="P1759" s="27">
        <f t="shared" si="62"/>
        <v>350000</v>
      </c>
    </row>
    <row r="1760" spans="1:16" x14ac:dyDescent="0.2">
      <c r="A1760" s="33">
        <v>47434</v>
      </c>
      <c r="B1760" s="30">
        <f t="shared" si="61"/>
        <v>11</v>
      </c>
      <c r="C1760" s="30" t="str">
        <f>_xlfn.IFS(Table_13[[#This Row],[Month]]=1,"JAN",Table_13[[#This Row],[Month]]=2,"FEB",B1760=3,"MAR",B1760=4,"APR",B1760=5,"MAY",B1760=6,"JUN",B1760=7,"JUL",B1760=8,"AUG",Table_13[[#This Row],[Month]]=9,"SEPT",B1760=10,"OCT",B1760=11,"NOV",B1760=12,"DEC")</f>
        <v>NOV</v>
      </c>
      <c r="D1760" s="2" t="s">
        <v>18</v>
      </c>
      <c r="E1760" s="2" t="s">
        <v>26</v>
      </c>
      <c r="F1760" s="2" t="s">
        <v>23</v>
      </c>
      <c r="G1760" s="2" t="s">
        <v>14</v>
      </c>
      <c r="H1760" s="2" t="s">
        <v>41</v>
      </c>
      <c r="I1760" s="2" t="s">
        <v>22</v>
      </c>
      <c r="J1760" s="15">
        <v>220000</v>
      </c>
      <c r="K1760" s="2">
        <v>9</v>
      </c>
      <c r="L1760" s="2" t="s">
        <v>35</v>
      </c>
      <c r="M1760" s="12">
        <f t="shared" si="54"/>
        <v>176000</v>
      </c>
      <c r="N1760" s="10">
        <f>PRODUCT(Table_13[[#This Row],[Unit Price]],Table_13[[#This Row],[Quantity]])</f>
        <v>1980000</v>
      </c>
      <c r="O1760" s="16">
        <f>PRODUCT(Table_13[[#This Row],[Cost Price]],Table_13[[#This Row],[Quantity]])</f>
        <v>1584000</v>
      </c>
      <c r="P1760" s="27">
        <f t="shared" si="62"/>
        <v>396000</v>
      </c>
    </row>
    <row r="1761" spans="1:16" x14ac:dyDescent="0.2">
      <c r="A1761" s="33">
        <v>47435</v>
      </c>
      <c r="B1761" s="30">
        <f t="shared" si="61"/>
        <v>11</v>
      </c>
      <c r="C1761" s="30" t="str">
        <f>_xlfn.IFS(Table_13[[#This Row],[Month]]=1,"JAN",Table_13[[#This Row],[Month]]=2,"FEB",B1761=3,"MAR",B1761=4,"APR",B1761=5,"MAY",B1761=6,"JUN",B1761=7,"JUL",B1761=8,"AUG",Table_13[[#This Row],[Month]]=9,"SEPT",B1761=10,"OCT",B1761=11,"NOV",B1761=12,"DEC")</f>
        <v>NOV</v>
      </c>
      <c r="D1761" s="2" t="s">
        <v>25</v>
      </c>
      <c r="E1761" s="2" t="s">
        <v>26</v>
      </c>
      <c r="F1761" s="2" t="s">
        <v>23</v>
      </c>
      <c r="G1761" s="2" t="s">
        <v>14</v>
      </c>
      <c r="H1761" s="2" t="s">
        <v>21</v>
      </c>
      <c r="I1761" s="2" t="s">
        <v>22</v>
      </c>
      <c r="J1761" s="15">
        <v>30000</v>
      </c>
      <c r="K1761" s="2">
        <v>10</v>
      </c>
      <c r="L1761" s="2" t="s">
        <v>28</v>
      </c>
      <c r="M1761" s="12">
        <f t="shared" si="54"/>
        <v>24000</v>
      </c>
      <c r="N1761" s="10">
        <f>PRODUCT(Table_13[[#This Row],[Unit Price]],Table_13[[#This Row],[Quantity]])</f>
        <v>300000</v>
      </c>
      <c r="O1761" s="16">
        <f>PRODUCT(Table_13[[#This Row],[Cost Price]],Table_13[[#This Row],[Quantity]])</f>
        <v>240000</v>
      </c>
      <c r="P1761" s="27">
        <f t="shared" si="62"/>
        <v>60000</v>
      </c>
    </row>
    <row r="1762" spans="1:16" x14ac:dyDescent="0.2">
      <c r="A1762" s="33">
        <v>47436</v>
      </c>
      <c r="B1762" s="30">
        <f t="shared" si="61"/>
        <v>11</v>
      </c>
      <c r="C1762" s="30" t="str">
        <f>_xlfn.IFS(Table_13[[#This Row],[Month]]=1,"JAN",Table_13[[#This Row],[Month]]=2,"FEB",B1762=3,"MAR",B1762=4,"APR",B1762=5,"MAY",B1762=6,"JUN",B1762=7,"JUL",B1762=8,"AUG",Table_13[[#This Row],[Month]]=9,"SEPT",B1762=10,"OCT",B1762=11,"NOV",B1762=12,"DEC")</f>
        <v>NOV</v>
      </c>
      <c r="D1762" s="2" t="s">
        <v>18</v>
      </c>
      <c r="E1762" s="2" t="s">
        <v>26</v>
      </c>
      <c r="F1762" s="2" t="s">
        <v>13</v>
      </c>
      <c r="G1762" s="2" t="s">
        <v>14</v>
      </c>
      <c r="H1762" s="2" t="s">
        <v>36</v>
      </c>
      <c r="I1762" s="2" t="s">
        <v>31</v>
      </c>
      <c r="J1762" s="15">
        <v>150000</v>
      </c>
      <c r="K1762" s="2">
        <v>1</v>
      </c>
      <c r="L1762" s="2" t="s">
        <v>24</v>
      </c>
      <c r="M1762" s="12">
        <f t="shared" si="54"/>
        <v>120000</v>
      </c>
      <c r="N1762" s="10">
        <f>PRODUCT(Table_13[[#This Row],[Unit Price]],Table_13[[#This Row],[Quantity]])</f>
        <v>150000</v>
      </c>
      <c r="O1762" s="16">
        <f>PRODUCT(Table_13[[#This Row],[Cost Price]],Table_13[[#This Row],[Quantity]])</f>
        <v>120000</v>
      </c>
      <c r="P1762" s="27">
        <f t="shared" si="62"/>
        <v>30000</v>
      </c>
    </row>
    <row r="1763" spans="1:16" x14ac:dyDescent="0.2">
      <c r="A1763" s="33">
        <v>47437</v>
      </c>
      <c r="B1763" s="30">
        <f t="shared" si="61"/>
        <v>11</v>
      </c>
      <c r="C1763" s="30" t="str">
        <f>_xlfn.IFS(Table_13[[#This Row],[Month]]=1,"JAN",Table_13[[#This Row],[Month]]=2,"FEB",B1763=3,"MAR",B1763=4,"APR",B1763=5,"MAY",B1763=6,"JUN",B1763=7,"JUL",B1763=8,"AUG",Table_13[[#This Row],[Month]]=9,"SEPT",B1763=10,"OCT",B1763=11,"NOV",B1763=12,"DEC")</f>
        <v>NOV</v>
      </c>
      <c r="D1763" s="2" t="s">
        <v>29</v>
      </c>
      <c r="E1763" s="2" t="s">
        <v>12</v>
      </c>
      <c r="F1763" s="2" t="s">
        <v>13</v>
      </c>
      <c r="G1763" s="2" t="s">
        <v>14</v>
      </c>
      <c r="H1763" s="2" t="s">
        <v>33</v>
      </c>
      <c r="I1763" s="2" t="s">
        <v>22</v>
      </c>
      <c r="J1763" s="15">
        <v>180000</v>
      </c>
      <c r="K1763" s="2">
        <v>3</v>
      </c>
      <c r="L1763" s="2" t="s">
        <v>35</v>
      </c>
      <c r="M1763" s="12">
        <f t="shared" si="54"/>
        <v>144000</v>
      </c>
      <c r="N1763" s="10">
        <f>PRODUCT(Table_13[[#This Row],[Unit Price]],Table_13[[#This Row],[Quantity]])</f>
        <v>540000</v>
      </c>
      <c r="O1763" s="16">
        <f>PRODUCT(Table_13[[#This Row],[Cost Price]],Table_13[[#This Row],[Quantity]])</f>
        <v>432000</v>
      </c>
      <c r="P1763" s="27">
        <f t="shared" si="62"/>
        <v>108000</v>
      </c>
    </row>
    <row r="1764" spans="1:16" x14ac:dyDescent="0.2">
      <c r="A1764" s="33">
        <v>47438</v>
      </c>
      <c r="B1764" s="30">
        <f t="shared" si="61"/>
        <v>11</v>
      </c>
      <c r="C1764" s="30" t="str">
        <f>_xlfn.IFS(Table_13[[#This Row],[Month]]=1,"JAN",Table_13[[#This Row],[Month]]=2,"FEB",B1764=3,"MAR",B1764=4,"APR",B1764=5,"MAY",B1764=6,"JUN",B1764=7,"JUL",B1764=8,"AUG",Table_13[[#This Row],[Month]]=9,"SEPT",B1764=10,"OCT",B1764=11,"NOV",B1764=12,"DEC")</f>
        <v>NOV</v>
      </c>
      <c r="D1764" s="2" t="s">
        <v>25</v>
      </c>
      <c r="E1764" s="2" t="s">
        <v>12</v>
      </c>
      <c r="F1764" s="2" t="s">
        <v>23</v>
      </c>
      <c r="G1764" s="2" t="s">
        <v>14</v>
      </c>
      <c r="H1764" s="2" t="s">
        <v>38</v>
      </c>
      <c r="I1764" s="2" t="s">
        <v>31</v>
      </c>
      <c r="J1764" s="15">
        <v>420000</v>
      </c>
      <c r="K1764" s="2">
        <v>10</v>
      </c>
      <c r="L1764" s="2" t="s">
        <v>35</v>
      </c>
      <c r="M1764" s="12">
        <f t="shared" si="54"/>
        <v>336000</v>
      </c>
      <c r="N1764" s="10">
        <f>PRODUCT(Table_13[[#This Row],[Unit Price]],Table_13[[#This Row],[Quantity]])</f>
        <v>4200000</v>
      </c>
      <c r="O1764" s="16">
        <f>PRODUCT(Table_13[[#This Row],[Cost Price]],Table_13[[#This Row],[Quantity]])</f>
        <v>3360000</v>
      </c>
      <c r="P1764" s="27">
        <f t="shared" si="62"/>
        <v>840000</v>
      </c>
    </row>
    <row r="1765" spans="1:16" x14ac:dyDescent="0.2">
      <c r="A1765" s="33">
        <v>47439</v>
      </c>
      <c r="B1765" s="30">
        <f t="shared" si="61"/>
        <v>11</v>
      </c>
      <c r="C1765" s="30" t="str">
        <f>_xlfn.IFS(Table_13[[#This Row],[Month]]=1,"JAN",Table_13[[#This Row],[Month]]=2,"FEB",B1765=3,"MAR",B1765=4,"APR",B1765=5,"MAY",B1765=6,"JUN",B1765=7,"JUL",B1765=8,"AUG",Table_13[[#This Row],[Month]]=9,"SEPT",B1765=10,"OCT",B1765=11,"NOV",B1765=12,"DEC")</f>
        <v>NOV</v>
      </c>
      <c r="D1765" s="2" t="s">
        <v>29</v>
      </c>
      <c r="E1765" s="2" t="s">
        <v>12</v>
      </c>
      <c r="F1765" s="2" t="s">
        <v>23</v>
      </c>
      <c r="G1765" s="2" t="s">
        <v>14</v>
      </c>
      <c r="H1765" s="2" t="s">
        <v>15</v>
      </c>
      <c r="I1765" s="2" t="s">
        <v>16</v>
      </c>
      <c r="J1765" s="15">
        <v>85000</v>
      </c>
      <c r="K1765" s="2">
        <v>2</v>
      </c>
      <c r="L1765" s="2" t="s">
        <v>37</v>
      </c>
      <c r="M1765" s="12">
        <f t="shared" si="54"/>
        <v>68000</v>
      </c>
      <c r="N1765" s="10">
        <f>PRODUCT(Table_13[[#This Row],[Unit Price]],Table_13[[#This Row],[Quantity]])</f>
        <v>170000</v>
      </c>
      <c r="O1765" s="16">
        <f>PRODUCT(Table_13[[#This Row],[Cost Price]],Table_13[[#This Row],[Quantity]])</f>
        <v>136000</v>
      </c>
      <c r="P1765" s="27">
        <f t="shared" si="62"/>
        <v>34000</v>
      </c>
    </row>
    <row r="1766" spans="1:16" x14ac:dyDescent="0.2">
      <c r="A1766" s="33">
        <v>47440</v>
      </c>
      <c r="B1766" s="30">
        <f t="shared" si="61"/>
        <v>11</v>
      </c>
      <c r="C1766" s="30" t="str">
        <f>_xlfn.IFS(Table_13[[#This Row],[Month]]=1,"JAN",Table_13[[#This Row],[Month]]=2,"FEB",B1766=3,"MAR",B1766=4,"APR",B1766=5,"MAY",B1766=6,"JUN",B1766=7,"JUL",B1766=8,"AUG",Table_13[[#This Row],[Month]]=9,"SEPT",B1766=10,"OCT",B1766=11,"NOV",B1766=12,"DEC")</f>
        <v>NOV</v>
      </c>
      <c r="D1766" s="2" t="s">
        <v>11</v>
      </c>
      <c r="E1766" s="2" t="s">
        <v>26</v>
      </c>
      <c r="F1766" s="2" t="s">
        <v>23</v>
      </c>
      <c r="G1766" s="2" t="s">
        <v>14</v>
      </c>
      <c r="H1766" s="2" t="s">
        <v>27</v>
      </c>
      <c r="I1766" s="2" t="s">
        <v>22</v>
      </c>
      <c r="J1766" s="15">
        <v>60000</v>
      </c>
      <c r="K1766" s="2">
        <v>4</v>
      </c>
      <c r="L1766" s="2" t="s">
        <v>37</v>
      </c>
      <c r="M1766" s="12">
        <f t="shared" si="54"/>
        <v>48000</v>
      </c>
      <c r="N1766" s="10">
        <f>PRODUCT(Table_13[[#This Row],[Unit Price]],Table_13[[#This Row],[Quantity]])</f>
        <v>240000</v>
      </c>
      <c r="O1766" s="16">
        <f>PRODUCT(Table_13[[#This Row],[Cost Price]],Table_13[[#This Row],[Quantity]])</f>
        <v>192000</v>
      </c>
      <c r="P1766" s="27">
        <f t="shared" si="62"/>
        <v>48000</v>
      </c>
    </row>
    <row r="1767" spans="1:16" x14ac:dyDescent="0.2">
      <c r="A1767" s="33">
        <v>47441</v>
      </c>
      <c r="B1767" s="30">
        <f t="shared" si="61"/>
        <v>11</v>
      </c>
      <c r="C1767" s="30" t="str">
        <f>_xlfn.IFS(Table_13[[#This Row],[Month]]=1,"JAN",Table_13[[#This Row],[Month]]=2,"FEB",B1767=3,"MAR",B1767=4,"APR",B1767=5,"MAY",B1767=6,"JUN",B1767=7,"JUL",B1767=8,"AUG",Table_13[[#This Row],[Month]]=9,"SEPT",B1767=10,"OCT",B1767=11,"NOV",B1767=12,"DEC")</f>
        <v>NOV</v>
      </c>
      <c r="D1767" s="2" t="s">
        <v>29</v>
      </c>
      <c r="E1767" s="2" t="s">
        <v>19</v>
      </c>
      <c r="F1767" s="2" t="s">
        <v>23</v>
      </c>
      <c r="G1767" s="2" t="s">
        <v>14</v>
      </c>
      <c r="H1767" s="2" t="s">
        <v>36</v>
      </c>
      <c r="I1767" s="2" t="s">
        <v>31</v>
      </c>
      <c r="J1767" s="15">
        <v>150000</v>
      </c>
      <c r="K1767" s="2">
        <v>9</v>
      </c>
      <c r="L1767" s="2" t="s">
        <v>37</v>
      </c>
      <c r="M1767" s="12">
        <f t="shared" si="54"/>
        <v>120000</v>
      </c>
      <c r="N1767" s="10">
        <f>PRODUCT(Table_13[[#This Row],[Unit Price]],Table_13[[#This Row],[Quantity]])</f>
        <v>1350000</v>
      </c>
      <c r="O1767" s="16">
        <f>PRODUCT(Table_13[[#This Row],[Cost Price]],Table_13[[#This Row],[Quantity]])</f>
        <v>1080000</v>
      </c>
      <c r="P1767" s="27">
        <f t="shared" si="62"/>
        <v>270000</v>
      </c>
    </row>
    <row r="1768" spans="1:16" x14ac:dyDescent="0.2">
      <c r="A1768" s="33">
        <v>47442</v>
      </c>
      <c r="B1768" s="30">
        <f t="shared" si="61"/>
        <v>11</v>
      </c>
      <c r="C1768" s="30" t="str">
        <f>_xlfn.IFS(Table_13[[#This Row],[Month]]=1,"JAN",Table_13[[#This Row],[Month]]=2,"FEB",B1768=3,"MAR",B1768=4,"APR",B1768=5,"MAY",B1768=6,"JUN",B1768=7,"JUL",B1768=8,"AUG",Table_13[[#This Row],[Month]]=9,"SEPT",B1768=10,"OCT",B1768=11,"NOV",B1768=12,"DEC")</f>
        <v>NOV</v>
      </c>
      <c r="D1768" s="2" t="s">
        <v>25</v>
      </c>
      <c r="E1768" s="2" t="s">
        <v>32</v>
      </c>
      <c r="F1768" s="2" t="s">
        <v>13</v>
      </c>
      <c r="G1768" s="2" t="s">
        <v>20</v>
      </c>
      <c r="H1768" s="2" t="s">
        <v>38</v>
      </c>
      <c r="I1768" s="2" t="s">
        <v>31</v>
      </c>
      <c r="J1768" s="15">
        <v>420000</v>
      </c>
      <c r="K1768" s="2">
        <v>1</v>
      </c>
      <c r="L1768" s="2" t="s">
        <v>35</v>
      </c>
      <c r="M1768" s="12">
        <f t="shared" si="54"/>
        <v>336000</v>
      </c>
      <c r="N1768" s="10">
        <f>PRODUCT(Table_13[[#This Row],[Unit Price]],Table_13[[#This Row],[Quantity]])</f>
        <v>420000</v>
      </c>
      <c r="O1768" s="16">
        <f>PRODUCT(Table_13[[#This Row],[Cost Price]],Table_13[[#This Row],[Quantity]])</f>
        <v>336000</v>
      </c>
      <c r="P1768" s="27">
        <f t="shared" si="62"/>
        <v>84000</v>
      </c>
    </row>
    <row r="1769" spans="1:16" x14ac:dyDescent="0.2">
      <c r="A1769" s="33">
        <v>47443</v>
      </c>
      <c r="B1769" s="30">
        <f t="shared" si="61"/>
        <v>11</v>
      </c>
      <c r="C1769" s="30" t="str">
        <f>_xlfn.IFS(Table_13[[#This Row],[Month]]=1,"JAN",Table_13[[#This Row],[Month]]=2,"FEB",B1769=3,"MAR",B1769=4,"APR",B1769=5,"MAY",B1769=6,"JUN",B1769=7,"JUL",B1769=8,"AUG",Table_13[[#This Row],[Month]]=9,"SEPT",B1769=10,"OCT",B1769=11,"NOV",B1769=12,"DEC")</f>
        <v>NOV</v>
      </c>
      <c r="D1769" s="2" t="s">
        <v>18</v>
      </c>
      <c r="E1769" s="2" t="s">
        <v>19</v>
      </c>
      <c r="F1769" s="2" t="s">
        <v>13</v>
      </c>
      <c r="G1769" s="2" t="s">
        <v>14</v>
      </c>
      <c r="H1769" s="2" t="s">
        <v>38</v>
      </c>
      <c r="I1769" s="2" t="s">
        <v>31</v>
      </c>
      <c r="J1769" s="15">
        <v>420000</v>
      </c>
      <c r="K1769" s="2">
        <v>9</v>
      </c>
      <c r="L1769" s="2" t="s">
        <v>37</v>
      </c>
      <c r="M1769" s="12">
        <f t="shared" si="54"/>
        <v>336000</v>
      </c>
      <c r="N1769" s="10">
        <f>PRODUCT(Table_13[[#This Row],[Unit Price]],Table_13[[#This Row],[Quantity]])</f>
        <v>3780000</v>
      </c>
      <c r="O1769" s="16">
        <f>PRODUCT(Table_13[[#This Row],[Cost Price]],Table_13[[#This Row],[Quantity]])</f>
        <v>3024000</v>
      </c>
      <c r="P1769" s="27">
        <f t="shared" si="62"/>
        <v>756000</v>
      </c>
    </row>
    <row r="1770" spans="1:16" x14ac:dyDescent="0.2">
      <c r="A1770" s="33">
        <v>47444</v>
      </c>
      <c r="B1770" s="30">
        <f t="shared" si="61"/>
        <v>11</v>
      </c>
      <c r="C1770" s="30" t="str">
        <f>_xlfn.IFS(Table_13[[#This Row],[Month]]=1,"JAN",Table_13[[#This Row],[Month]]=2,"FEB",B1770=3,"MAR",B1770=4,"APR",B1770=5,"MAY",B1770=6,"JUN",B1770=7,"JUL",B1770=8,"AUG",Table_13[[#This Row],[Month]]=9,"SEPT",B1770=10,"OCT",B1770=11,"NOV",B1770=12,"DEC")</f>
        <v>NOV</v>
      </c>
      <c r="D1770" s="2" t="s">
        <v>11</v>
      </c>
      <c r="E1770" s="2" t="s">
        <v>32</v>
      </c>
      <c r="F1770" s="2" t="s">
        <v>23</v>
      </c>
      <c r="G1770" s="2" t="s">
        <v>20</v>
      </c>
      <c r="H1770" s="2" t="s">
        <v>38</v>
      </c>
      <c r="I1770" s="2" t="s">
        <v>31</v>
      </c>
      <c r="J1770" s="15">
        <v>420000</v>
      </c>
      <c r="K1770" s="2">
        <v>9</v>
      </c>
      <c r="L1770" s="2" t="s">
        <v>39</v>
      </c>
      <c r="M1770" s="12">
        <f t="shared" si="54"/>
        <v>336000</v>
      </c>
      <c r="N1770" s="10">
        <f>PRODUCT(Table_13[[#This Row],[Unit Price]],Table_13[[#This Row],[Quantity]])</f>
        <v>3780000</v>
      </c>
      <c r="O1770" s="16">
        <f>PRODUCT(Table_13[[#This Row],[Cost Price]],Table_13[[#This Row],[Quantity]])</f>
        <v>3024000</v>
      </c>
      <c r="P1770" s="27">
        <f t="shared" si="62"/>
        <v>756000</v>
      </c>
    </row>
    <row r="1771" spans="1:16" x14ac:dyDescent="0.2">
      <c r="A1771" s="33">
        <v>47445</v>
      </c>
      <c r="B1771" s="30">
        <f t="shared" si="61"/>
        <v>11</v>
      </c>
      <c r="C1771" s="30" t="str">
        <f>_xlfn.IFS(Table_13[[#This Row],[Month]]=1,"JAN",Table_13[[#This Row],[Month]]=2,"FEB",B1771=3,"MAR",B1771=4,"APR",B1771=5,"MAY",B1771=6,"JUN",B1771=7,"JUL",B1771=8,"AUG",Table_13[[#This Row],[Month]]=9,"SEPT",B1771=10,"OCT",B1771=11,"NOV",B1771=12,"DEC")</f>
        <v>NOV</v>
      </c>
      <c r="D1771" s="2" t="s">
        <v>11</v>
      </c>
      <c r="E1771" s="2" t="s">
        <v>32</v>
      </c>
      <c r="F1771" s="2" t="s">
        <v>13</v>
      </c>
      <c r="G1771" s="2" t="s">
        <v>20</v>
      </c>
      <c r="H1771" s="2" t="s">
        <v>15</v>
      </c>
      <c r="I1771" s="2" t="s">
        <v>16</v>
      </c>
      <c r="J1771" s="15">
        <v>85000</v>
      </c>
      <c r="K1771" s="2">
        <v>6</v>
      </c>
      <c r="L1771" s="2" t="s">
        <v>24</v>
      </c>
      <c r="M1771" s="12">
        <f t="shared" si="54"/>
        <v>68000</v>
      </c>
      <c r="N1771" s="10">
        <f>PRODUCT(Table_13[[#This Row],[Unit Price]],Table_13[[#This Row],[Quantity]])</f>
        <v>510000</v>
      </c>
      <c r="O1771" s="16">
        <f>PRODUCT(Table_13[[#This Row],[Cost Price]],Table_13[[#This Row],[Quantity]])</f>
        <v>408000</v>
      </c>
      <c r="P1771" s="27">
        <f t="shared" si="62"/>
        <v>102000</v>
      </c>
    </row>
    <row r="1772" spans="1:16" x14ac:dyDescent="0.2">
      <c r="A1772" s="33">
        <v>47446</v>
      </c>
      <c r="B1772" s="30">
        <f t="shared" si="61"/>
        <v>11</v>
      </c>
      <c r="C1772" s="30" t="str">
        <f>_xlfn.IFS(Table_13[[#This Row],[Month]]=1,"JAN",Table_13[[#This Row],[Month]]=2,"FEB",B1772=3,"MAR",B1772=4,"APR",B1772=5,"MAY",B1772=6,"JUN",B1772=7,"JUL",B1772=8,"AUG",Table_13[[#This Row],[Month]]=9,"SEPT",B1772=10,"OCT",B1772=11,"NOV",B1772=12,"DEC")</f>
        <v>NOV</v>
      </c>
      <c r="D1772" s="2" t="s">
        <v>29</v>
      </c>
      <c r="E1772" s="2" t="s">
        <v>32</v>
      </c>
      <c r="F1772" s="2" t="s">
        <v>23</v>
      </c>
      <c r="G1772" s="2" t="s">
        <v>14</v>
      </c>
      <c r="H1772" s="2" t="s">
        <v>34</v>
      </c>
      <c r="I1772" s="2" t="s">
        <v>16</v>
      </c>
      <c r="J1772" s="15">
        <v>320000</v>
      </c>
      <c r="K1772" s="2">
        <v>3</v>
      </c>
      <c r="L1772" s="2" t="s">
        <v>35</v>
      </c>
      <c r="M1772" s="12">
        <f t="shared" si="54"/>
        <v>256000</v>
      </c>
      <c r="N1772" s="10">
        <f>PRODUCT(Table_13[[#This Row],[Unit Price]],Table_13[[#This Row],[Quantity]])</f>
        <v>960000</v>
      </c>
      <c r="O1772" s="16">
        <f>PRODUCT(Table_13[[#This Row],[Cost Price]],Table_13[[#This Row],[Quantity]])</f>
        <v>768000</v>
      </c>
      <c r="P1772" s="27">
        <f t="shared" si="62"/>
        <v>192000</v>
      </c>
    </row>
    <row r="1773" spans="1:16" x14ac:dyDescent="0.2">
      <c r="A1773" s="33">
        <v>47447</v>
      </c>
      <c r="B1773" s="30">
        <f t="shared" si="61"/>
        <v>11</v>
      </c>
      <c r="C1773" s="30" t="str">
        <f>_xlfn.IFS(Table_13[[#This Row],[Month]]=1,"JAN",Table_13[[#This Row],[Month]]=2,"FEB",B1773=3,"MAR",B1773=4,"APR",B1773=5,"MAY",B1773=6,"JUN",B1773=7,"JUL",B1773=8,"AUG",Table_13[[#This Row],[Month]]=9,"SEPT",B1773=10,"OCT",B1773=11,"NOV",B1773=12,"DEC")</f>
        <v>NOV</v>
      </c>
      <c r="D1773" s="2" t="s">
        <v>29</v>
      </c>
      <c r="E1773" s="2" t="s">
        <v>19</v>
      </c>
      <c r="F1773" s="2" t="s">
        <v>23</v>
      </c>
      <c r="G1773" s="2" t="s">
        <v>14</v>
      </c>
      <c r="H1773" s="2" t="s">
        <v>33</v>
      </c>
      <c r="I1773" s="2" t="s">
        <v>22</v>
      </c>
      <c r="J1773" s="15">
        <v>180000</v>
      </c>
      <c r="K1773" s="2">
        <v>8</v>
      </c>
      <c r="L1773" s="2" t="s">
        <v>28</v>
      </c>
      <c r="M1773" s="12">
        <f t="shared" si="54"/>
        <v>144000</v>
      </c>
      <c r="N1773" s="10">
        <f>PRODUCT(Table_13[[#This Row],[Unit Price]],Table_13[[#This Row],[Quantity]])</f>
        <v>1440000</v>
      </c>
      <c r="O1773" s="16">
        <f>PRODUCT(Table_13[[#This Row],[Cost Price]],Table_13[[#This Row],[Quantity]])</f>
        <v>1152000</v>
      </c>
      <c r="P1773" s="27">
        <f t="shared" si="62"/>
        <v>288000</v>
      </c>
    </row>
    <row r="1774" spans="1:16" x14ac:dyDescent="0.2">
      <c r="A1774" s="33">
        <v>47448</v>
      </c>
      <c r="B1774" s="30">
        <f t="shared" si="61"/>
        <v>11</v>
      </c>
      <c r="C1774" s="30" t="str">
        <f>_xlfn.IFS(Table_13[[#This Row],[Month]]=1,"JAN",Table_13[[#This Row],[Month]]=2,"FEB",B1774=3,"MAR",B1774=4,"APR",B1774=5,"MAY",B1774=6,"JUN",B1774=7,"JUL",B1774=8,"AUG",Table_13[[#This Row],[Month]]=9,"SEPT",B1774=10,"OCT",B1774=11,"NOV",B1774=12,"DEC")</f>
        <v>NOV</v>
      </c>
      <c r="D1774" s="2" t="s">
        <v>11</v>
      </c>
      <c r="E1774" s="2" t="s">
        <v>12</v>
      </c>
      <c r="F1774" s="2" t="s">
        <v>13</v>
      </c>
      <c r="G1774" s="2" t="s">
        <v>14</v>
      </c>
      <c r="H1774" s="2" t="s">
        <v>15</v>
      </c>
      <c r="I1774" s="2" t="s">
        <v>16</v>
      </c>
      <c r="J1774" s="15">
        <v>85000</v>
      </c>
      <c r="K1774" s="2">
        <v>6</v>
      </c>
      <c r="L1774" s="2" t="s">
        <v>35</v>
      </c>
      <c r="M1774" s="12">
        <f t="shared" si="54"/>
        <v>68000</v>
      </c>
      <c r="N1774" s="10">
        <f>PRODUCT(Table_13[[#This Row],[Unit Price]],Table_13[[#This Row],[Quantity]])</f>
        <v>510000</v>
      </c>
      <c r="O1774" s="16">
        <f>PRODUCT(Table_13[[#This Row],[Cost Price]],Table_13[[#This Row],[Quantity]])</f>
        <v>408000</v>
      </c>
      <c r="P1774" s="27">
        <f t="shared" si="62"/>
        <v>102000</v>
      </c>
    </row>
    <row r="1775" spans="1:16" x14ac:dyDescent="0.2">
      <c r="A1775" s="33">
        <v>47449</v>
      </c>
      <c r="B1775" s="30">
        <f t="shared" si="61"/>
        <v>11</v>
      </c>
      <c r="C1775" s="30" t="str">
        <f>_xlfn.IFS(Table_13[[#This Row],[Month]]=1,"JAN",Table_13[[#This Row],[Month]]=2,"FEB",B1775=3,"MAR",B1775=4,"APR",B1775=5,"MAY",B1775=6,"JUN",B1775=7,"JUL",B1775=8,"AUG",Table_13[[#This Row],[Month]]=9,"SEPT",B1775=10,"OCT",B1775=11,"NOV",B1775=12,"DEC")</f>
        <v>NOV</v>
      </c>
      <c r="D1775" s="2" t="s">
        <v>11</v>
      </c>
      <c r="E1775" s="2" t="s">
        <v>32</v>
      </c>
      <c r="F1775" s="2" t="s">
        <v>13</v>
      </c>
      <c r="G1775" s="2" t="s">
        <v>14</v>
      </c>
      <c r="H1775" s="2" t="s">
        <v>30</v>
      </c>
      <c r="I1775" s="2" t="s">
        <v>31</v>
      </c>
      <c r="J1775" s="15">
        <v>300000</v>
      </c>
      <c r="K1775" s="2">
        <v>3</v>
      </c>
      <c r="L1775" s="2" t="s">
        <v>17</v>
      </c>
      <c r="M1775" s="12">
        <f t="shared" si="54"/>
        <v>240000</v>
      </c>
      <c r="N1775" s="10">
        <f>PRODUCT(Table_13[[#This Row],[Unit Price]],Table_13[[#This Row],[Quantity]])</f>
        <v>900000</v>
      </c>
      <c r="O1775" s="16">
        <f>PRODUCT(Table_13[[#This Row],[Cost Price]],Table_13[[#This Row],[Quantity]])</f>
        <v>720000</v>
      </c>
      <c r="P1775" s="27">
        <f t="shared" si="62"/>
        <v>180000</v>
      </c>
    </row>
    <row r="1776" spans="1:16" x14ac:dyDescent="0.2">
      <c r="A1776" s="33">
        <v>47450</v>
      </c>
      <c r="B1776" s="30">
        <f t="shared" si="61"/>
        <v>11</v>
      </c>
      <c r="C1776" s="30" t="str">
        <f>_xlfn.IFS(Table_13[[#This Row],[Month]]=1,"JAN",Table_13[[#This Row],[Month]]=2,"FEB",B1776=3,"MAR",B1776=4,"APR",B1776=5,"MAY",B1776=6,"JUN",B1776=7,"JUL",B1776=8,"AUG",Table_13[[#This Row],[Month]]=9,"SEPT",B1776=10,"OCT",B1776=11,"NOV",B1776=12,"DEC")</f>
        <v>NOV</v>
      </c>
      <c r="D1776" s="2" t="s">
        <v>29</v>
      </c>
      <c r="E1776" s="2" t="s">
        <v>12</v>
      </c>
      <c r="F1776" s="2" t="s">
        <v>23</v>
      </c>
      <c r="G1776" s="2" t="s">
        <v>20</v>
      </c>
      <c r="H1776" s="2" t="s">
        <v>33</v>
      </c>
      <c r="I1776" s="2" t="s">
        <v>22</v>
      </c>
      <c r="J1776" s="15">
        <v>180000</v>
      </c>
      <c r="K1776" s="2">
        <v>1</v>
      </c>
      <c r="L1776" s="2" t="s">
        <v>28</v>
      </c>
      <c r="M1776" s="12">
        <f t="shared" si="54"/>
        <v>144000</v>
      </c>
      <c r="N1776" s="10">
        <f>PRODUCT(Table_13[[#This Row],[Unit Price]],Table_13[[#This Row],[Quantity]])</f>
        <v>180000</v>
      </c>
      <c r="O1776" s="16">
        <f>PRODUCT(Table_13[[#This Row],[Cost Price]],Table_13[[#This Row],[Quantity]])</f>
        <v>144000</v>
      </c>
      <c r="P1776" s="27">
        <f t="shared" si="62"/>
        <v>36000</v>
      </c>
    </row>
    <row r="1777" spans="1:16" x14ac:dyDescent="0.2">
      <c r="A1777" s="33">
        <v>47451</v>
      </c>
      <c r="B1777" s="30">
        <f t="shared" si="61"/>
        <v>11</v>
      </c>
      <c r="C1777" s="30" t="str">
        <f>_xlfn.IFS(Table_13[[#This Row],[Month]]=1,"JAN",Table_13[[#This Row],[Month]]=2,"FEB",B1777=3,"MAR",B1777=4,"APR",B1777=5,"MAY",B1777=6,"JUN",B1777=7,"JUL",B1777=8,"AUG",Table_13[[#This Row],[Month]]=9,"SEPT",B1777=10,"OCT",B1777=11,"NOV",B1777=12,"DEC")</f>
        <v>NOV</v>
      </c>
      <c r="D1777" s="2" t="s">
        <v>18</v>
      </c>
      <c r="E1777" s="2" t="s">
        <v>26</v>
      </c>
      <c r="F1777" s="2" t="s">
        <v>13</v>
      </c>
      <c r="G1777" s="2" t="s">
        <v>14</v>
      </c>
      <c r="H1777" s="2" t="s">
        <v>41</v>
      </c>
      <c r="I1777" s="2" t="s">
        <v>22</v>
      </c>
      <c r="J1777" s="15">
        <v>220000</v>
      </c>
      <c r="K1777" s="2">
        <v>1</v>
      </c>
      <c r="L1777" s="2" t="s">
        <v>37</v>
      </c>
      <c r="M1777" s="12">
        <f t="shared" si="54"/>
        <v>176000</v>
      </c>
      <c r="N1777" s="10">
        <f>PRODUCT(Table_13[[#This Row],[Unit Price]],Table_13[[#This Row],[Quantity]])</f>
        <v>220000</v>
      </c>
      <c r="O1777" s="16">
        <f>PRODUCT(Table_13[[#This Row],[Cost Price]],Table_13[[#This Row],[Quantity]])</f>
        <v>176000</v>
      </c>
      <c r="P1777" s="27">
        <f t="shared" si="62"/>
        <v>44000</v>
      </c>
    </row>
    <row r="1778" spans="1:16" x14ac:dyDescent="0.2">
      <c r="A1778" s="33">
        <v>47452</v>
      </c>
      <c r="B1778" s="30">
        <f t="shared" si="61"/>
        <v>11</v>
      </c>
      <c r="C1778" s="30" t="str">
        <f>_xlfn.IFS(Table_13[[#This Row],[Month]]=1,"JAN",Table_13[[#This Row],[Month]]=2,"FEB",B1778=3,"MAR",B1778=4,"APR",B1778=5,"MAY",B1778=6,"JUN",B1778=7,"JUL",B1778=8,"AUG",Table_13[[#This Row],[Month]]=9,"SEPT",B1778=10,"OCT",B1778=11,"NOV",B1778=12,"DEC")</f>
        <v>NOV</v>
      </c>
      <c r="D1778" s="2" t="s">
        <v>25</v>
      </c>
      <c r="E1778" s="2" t="s">
        <v>32</v>
      </c>
      <c r="F1778" s="2" t="s">
        <v>13</v>
      </c>
      <c r="G1778" s="2" t="s">
        <v>20</v>
      </c>
      <c r="H1778" s="2" t="s">
        <v>21</v>
      </c>
      <c r="I1778" s="2" t="s">
        <v>22</v>
      </c>
      <c r="J1778" s="15">
        <v>30000</v>
      </c>
      <c r="K1778" s="2">
        <v>1</v>
      </c>
      <c r="L1778" s="2" t="s">
        <v>37</v>
      </c>
      <c r="M1778" s="12">
        <f t="shared" si="54"/>
        <v>24000</v>
      </c>
      <c r="N1778" s="10">
        <f>PRODUCT(Table_13[[#This Row],[Unit Price]],Table_13[[#This Row],[Quantity]])</f>
        <v>30000</v>
      </c>
      <c r="O1778" s="16">
        <f>PRODUCT(Table_13[[#This Row],[Cost Price]],Table_13[[#This Row],[Quantity]])</f>
        <v>24000</v>
      </c>
      <c r="P1778" s="27">
        <f t="shared" si="62"/>
        <v>6000</v>
      </c>
    </row>
    <row r="1779" spans="1:16" x14ac:dyDescent="0.2">
      <c r="A1779" s="33">
        <v>47453</v>
      </c>
      <c r="B1779" s="30">
        <f t="shared" si="61"/>
        <v>12</v>
      </c>
      <c r="C1779" s="30" t="str">
        <f>_xlfn.IFS(Table_13[[#This Row],[Month]]=1,"JAN",Table_13[[#This Row],[Month]]=2,"FEB",B1779=3,"MAR",B1779=4,"APR",B1779=5,"MAY",B1779=6,"JUN",B1779=7,"JUL",B1779=8,"AUG",Table_13[[#This Row],[Month]]=9,"SEPT",B1779=10,"OCT",B1779=11,"NOV",B1779=12,"DEC")</f>
        <v>DEC</v>
      </c>
      <c r="D1779" s="2" t="s">
        <v>18</v>
      </c>
      <c r="E1779" s="2" t="s">
        <v>12</v>
      </c>
      <c r="F1779" s="2" t="s">
        <v>23</v>
      </c>
      <c r="G1779" s="2" t="s">
        <v>20</v>
      </c>
      <c r="H1779" s="2" t="s">
        <v>27</v>
      </c>
      <c r="I1779" s="2" t="s">
        <v>22</v>
      </c>
      <c r="J1779" s="15">
        <v>60000</v>
      </c>
      <c r="K1779" s="2">
        <v>2</v>
      </c>
      <c r="L1779" s="2" t="s">
        <v>39</v>
      </c>
      <c r="M1779" s="12">
        <f t="shared" si="54"/>
        <v>48000</v>
      </c>
      <c r="N1779" s="10">
        <f>PRODUCT(Table_13[[#This Row],[Unit Price]],Table_13[[#This Row],[Quantity]])</f>
        <v>120000</v>
      </c>
      <c r="O1779" s="16">
        <f>PRODUCT(Table_13[[#This Row],[Cost Price]],Table_13[[#This Row],[Quantity]])</f>
        <v>96000</v>
      </c>
      <c r="P1779" s="27">
        <f t="shared" si="62"/>
        <v>24000</v>
      </c>
    </row>
    <row r="1780" spans="1:16" x14ac:dyDescent="0.2">
      <c r="A1780" s="33">
        <v>47454</v>
      </c>
      <c r="B1780" s="30">
        <f t="shared" si="61"/>
        <v>12</v>
      </c>
      <c r="C1780" s="30" t="str">
        <f>_xlfn.IFS(Table_13[[#This Row],[Month]]=1,"JAN",Table_13[[#This Row],[Month]]=2,"FEB",B1780=3,"MAR",B1780=4,"APR",B1780=5,"MAY",B1780=6,"JUN",B1780=7,"JUL",B1780=8,"AUG",Table_13[[#This Row],[Month]]=9,"SEPT",B1780=10,"OCT",B1780=11,"NOV",B1780=12,"DEC")</f>
        <v>DEC</v>
      </c>
      <c r="D1780" s="2" t="s">
        <v>11</v>
      </c>
      <c r="E1780" s="2" t="s">
        <v>19</v>
      </c>
      <c r="F1780" s="2" t="s">
        <v>13</v>
      </c>
      <c r="G1780" s="2" t="s">
        <v>20</v>
      </c>
      <c r="H1780" s="2" t="s">
        <v>40</v>
      </c>
      <c r="I1780" s="2" t="s">
        <v>31</v>
      </c>
      <c r="J1780" s="15">
        <v>250000</v>
      </c>
      <c r="K1780" s="2">
        <v>7</v>
      </c>
      <c r="L1780" s="2" t="s">
        <v>37</v>
      </c>
      <c r="M1780" s="12">
        <f t="shared" si="54"/>
        <v>200000</v>
      </c>
      <c r="N1780" s="10">
        <f>PRODUCT(Table_13[[#This Row],[Unit Price]],Table_13[[#This Row],[Quantity]])</f>
        <v>1750000</v>
      </c>
      <c r="O1780" s="16">
        <f>PRODUCT(Table_13[[#This Row],[Cost Price]],Table_13[[#This Row],[Quantity]])</f>
        <v>1400000</v>
      </c>
      <c r="P1780" s="27">
        <f t="shared" si="62"/>
        <v>350000</v>
      </c>
    </row>
    <row r="1781" spans="1:16" x14ac:dyDescent="0.2">
      <c r="A1781" s="33">
        <v>47455</v>
      </c>
      <c r="B1781" s="30">
        <f t="shared" si="61"/>
        <v>12</v>
      </c>
      <c r="C1781" s="30" t="str">
        <f>_xlfn.IFS(Table_13[[#This Row],[Month]]=1,"JAN",Table_13[[#This Row],[Month]]=2,"FEB",B1781=3,"MAR",B1781=4,"APR",B1781=5,"MAY",B1781=6,"JUN",B1781=7,"JUL",B1781=8,"AUG",Table_13[[#This Row],[Month]]=9,"SEPT",B1781=10,"OCT",B1781=11,"NOV",B1781=12,"DEC")</f>
        <v>DEC</v>
      </c>
      <c r="D1781" s="2" t="s">
        <v>11</v>
      </c>
      <c r="E1781" s="2" t="s">
        <v>26</v>
      </c>
      <c r="F1781" s="2" t="s">
        <v>23</v>
      </c>
      <c r="G1781" s="2" t="s">
        <v>14</v>
      </c>
      <c r="H1781" s="2" t="s">
        <v>38</v>
      </c>
      <c r="I1781" s="2" t="s">
        <v>31</v>
      </c>
      <c r="J1781" s="15">
        <v>420000</v>
      </c>
      <c r="K1781" s="2">
        <v>10</v>
      </c>
      <c r="L1781" s="2" t="s">
        <v>28</v>
      </c>
      <c r="M1781" s="12">
        <f t="shared" si="54"/>
        <v>336000</v>
      </c>
      <c r="N1781" s="10">
        <f>PRODUCT(Table_13[[#This Row],[Unit Price]],Table_13[[#This Row],[Quantity]])</f>
        <v>4200000</v>
      </c>
      <c r="O1781" s="16">
        <f>PRODUCT(Table_13[[#This Row],[Cost Price]],Table_13[[#This Row],[Quantity]])</f>
        <v>3360000</v>
      </c>
      <c r="P1781" s="27">
        <f t="shared" si="62"/>
        <v>840000</v>
      </c>
    </row>
    <row r="1782" spans="1:16" x14ac:dyDescent="0.2">
      <c r="A1782" s="33">
        <v>47456</v>
      </c>
      <c r="B1782" s="30">
        <f t="shared" si="61"/>
        <v>12</v>
      </c>
      <c r="C1782" s="30" t="str">
        <f>_xlfn.IFS(Table_13[[#This Row],[Month]]=1,"JAN",Table_13[[#This Row],[Month]]=2,"FEB",B1782=3,"MAR",B1782=4,"APR",B1782=5,"MAY",B1782=6,"JUN",B1782=7,"JUL",B1782=8,"AUG",Table_13[[#This Row],[Month]]=9,"SEPT",B1782=10,"OCT",B1782=11,"NOV",B1782=12,"DEC")</f>
        <v>DEC</v>
      </c>
      <c r="D1782" s="2" t="s">
        <v>11</v>
      </c>
      <c r="E1782" s="2" t="s">
        <v>12</v>
      </c>
      <c r="F1782" s="2" t="s">
        <v>23</v>
      </c>
      <c r="G1782" s="2" t="s">
        <v>14</v>
      </c>
      <c r="H1782" s="2" t="s">
        <v>34</v>
      </c>
      <c r="I1782" s="2" t="s">
        <v>16</v>
      </c>
      <c r="J1782" s="15">
        <v>320000</v>
      </c>
      <c r="K1782" s="2">
        <v>10</v>
      </c>
      <c r="L1782" s="2" t="s">
        <v>35</v>
      </c>
      <c r="M1782" s="12">
        <f t="shared" si="54"/>
        <v>256000</v>
      </c>
      <c r="N1782" s="10">
        <f>PRODUCT(Table_13[[#This Row],[Unit Price]],Table_13[[#This Row],[Quantity]])</f>
        <v>3200000</v>
      </c>
      <c r="O1782" s="16">
        <f>PRODUCT(Table_13[[#This Row],[Cost Price]],Table_13[[#This Row],[Quantity]])</f>
        <v>2560000</v>
      </c>
      <c r="P1782" s="27">
        <f t="shared" si="62"/>
        <v>640000</v>
      </c>
    </row>
    <row r="1783" spans="1:16" x14ac:dyDescent="0.2">
      <c r="A1783" s="33">
        <v>47457</v>
      </c>
      <c r="B1783" s="30">
        <f t="shared" si="61"/>
        <v>12</v>
      </c>
      <c r="C1783" s="30" t="str">
        <f>_xlfn.IFS(Table_13[[#This Row],[Month]]=1,"JAN",Table_13[[#This Row],[Month]]=2,"FEB",B1783=3,"MAR",B1783=4,"APR",B1783=5,"MAY",B1783=6,"JUN",B1783=7,"JUL",B1783=8,"AUG",Table_13[[#This Row],[Month]]=9,"SEPT",B1783=10,"OCT",B1783=11,"NOV",B1783=12,"DEC")</f>
        <v>DEC</v>
      </c>
      <c r="D1783" s="2" t="s">
        <v>25</v>
      </c>
      <c r="E1783" s="2" t="s">
        <v>32</v>
      </c>
      <c r="F1783" s="2" t="s">
        <v>13</v>
      </c>
      <c r="G1783" s="2" t="s">
        <v>14</v>
      </c>
      <c r="H1783" s="2" t="s">
        <v>30</v>
      </c>
      <c r="I1783" s="2" t="s">
        <v>31</v>
      </c>
      <c r="J1783" s="15">
        <v>300000</v>
      </c>
      <c r="K1783" s="2">
        <v>1</v>
      </c>
      <c r="L1783" s="2" t="s">
        <v>28</v>
      </c>
      <c r="M1783" s="12">
        <f t="shared" si="54"/>
        <v>240000</v>
      </c>
      <c r="N1783" s="10">
        <f>PRODUCT(Table_13[[#This Row],[Unit Price]],Table_13[[#This Row],[Quantity]])</f>
        <v>300000</v>
      </c>
      <c r="O1783" s="16">
        <f>PRODUCT(Table_13[[#This Row],[Cost Price]],Table_13[[#This Row],[Quantity]])</f>
        <v>240000</v>
      </c>
      <c r="P1783" s="27">
        <f t="shared" si="62"/>
        <v>60000</v>
      </c>
    </row>
    <row r="1784" spans="1:16" x14ac:dyDescent="0.2">
      <c r="A1784" s="33">
        <v>47458</v>
      </c>
      <c r="B1784" s="30">
        <f t="shared" si="61"/>
        <v>12</v>
      </c>
      <c r="C1784" s="30" t="str">
        <f>_xlfn.IFS(Table_13[[#This Row],[Month]]=1,"JAN",Table_13[[#This Row],[Month]]=2,"FEB",B1784=3,"MAR",B1784=4,"APR",B1784=5,"MAY",B1784=6,"JUN",B1784=7,"JUL",B1784=8,"AUG",Table_13[[#This Row],[Month]]=9,"SEPT",B1784=10,"OCT",B1784=11,"NOV",B1784=12,"DEC")</f>
        <v>DEC</v>
      </c>
      <c r="D1784" s="2" t="s">
        <v>25</v>
      </c>
      <c r="E1784" s="2" t="s">
        <v>26</v>
      </c>
      <c r="F1784" s="2" t="s">
        <v>23</v>
      </c>
      <c r="G1784" s="2" t="s">
        <v>20</v>
      </c>
      <c r="H1784" s="2" t="s">
        <v>36</v>
      </c>
      <c r="I1784" s="2" t="s">
        <v>31</v>
      </c>
      <c r="J1784" s="15">
        <v>150000</v>
      </c>
      <c r="K1784" s="2">
        <v>3</v>
      </c>
      <c r="L1784" s="2" t="s">
        <v>24</v>
      </c>
      <c r="M1784" s="12">
        <f t="shared" si="54"/>
        <v>120000</v>
      </c>
      <c r="N1784" s="10">
        <f>PRODUCT(Table_13[[#This Row],[Unit Price]],Table_13[[#This Row],[Quantity]])</f>
        <v>450000</v>
      </c>
      <c r="O1784" s="16">
        <f>PRODUCT(Table_13[[#This Row],[Cost Price]],Table_13[[#This Row],[Quantity]])</f>
        <v>360000</v>
      </c>
      <c r="P1784" s="27">
        <f t="shared" si="62"/>
        <v>90000</v>
      </c>
    </row>
    <row r="1785" spans="1:16" x14ac:dyDescent="0.2">
      <c r="A1785" s="33">
        <v>47459</v>
      </c>
      <c r="B1785" s="30">
        <f t="shared" si="61"/>
        <v>12</v>
      </c>
      <c r="C1785" s="30" t="str">
        <f>_xlfn.IFS(Table_13[[#This Row],[Month]]=1,"JAN",Table_13[[#This Row],[Month]]=2,"FEB",B1785=3,"MAR",B1785=4,"APR",B1785=5,"MAY",B1785=6,"JUN",B1785=7,"JUL",B1785=8,"AUG",Table_13[[#This Row],[Month]]=9,"SEPT",B1785=10,"OCT",B1785=11,"NOV",B1785=12,"DEC")</f>
        <v>DEC</v>
      </c>
      <c r="D1785" s="2" t="s">
        <v>11</v>
      </c>
      <c r="E1785" s="2" t="s">
        <v>26</v>
      </c>
      <c r="F1785" s="2" t="s">
        <v>23</v>
      </c>
      <c r="G1785" s="2" t="s">
        <v>14</v>
      </c>
      <c r="H1785" s="2" t="s">
        <v>40</v>
      </c>
      <c r="I1785" s="2" t="s">
        <v>31</v>
      </c>
      <c r="J1785" s="15">
        <v>250000</v>
      </c>
      <c r="K1785" s="2">
        <v>3</v>
      </c>
      <c r="L1785" s="2" t="s">
        <v>37</v>
      </c>
      <c r="M1785" s="12">
        <f t="shared" si="54"/>
        <v>200000</v>
      </c>
      <c r="N1785" s="10">
        <f>PRODUCT(Table_13[[#This Row],[Unit Price]],Table_13[[#This Row],[Quantity]])</f>
        <v>750000</v>
      </c>
      <c r="O1785" s="16">
        <f>PRODUCT(Table_13[[#This Row],[Cost Price]],Table_13[[#This Row],[Quantity]])</f>
        <v>600000</v>
      </c>
      <c r="P1785" s="27">
        <f t="shared" si="62"/>
        <v>150000</v>
      </c>
    </row>
    <row r="1786" spans="1:16" x14ac:dyDescent="0.2">
      <c r="A1786" s="33">
        <v>47460</v>
      </c>
      <c r="B1786" s="30">
        <f t="shared" si="61"/>
        <v>12</v>
      </c>
      <c r="C1786" s="30" t="str">
        <f>_xlfn.IFS(Table_13[[#This Row],[Month]]=1,"JAN",Table_13[[#This Row],[Month]]=2,"FEB",B1786=3,"MAR",B1786=4,"APR",B1786=5,"MAY",B1786=6,"JUN",B1786=7,"JUL",B1786=8,"AUG",Table_13[[#This Row],[Month]]=9,"SEPT",B1786=10,"OCT",B1786=11,"NOV",B1786=12,"DEC")</f>
        <v>DEC</v>
      </c>
      <c r="D1786" s="2" t="s">
        <v>29</v>
      </c>
      <c r="E1786" s="2" t="s">
        <v>19</v>
      </c>
      <c r="F1786" s="2" t="s">
        <v>13</v>
      </c>
      <c r="G1786" s="2" t="s">
        <v>20</v>
      </c>
      <c r="H1786" s="2" t="s">
        <v>38</v>
      </c>
      <c r="I1786" s="2" t="s">
        <v>31</v>
      </c>
      <c r="J1786" s="15">
        <v>420000</v>
      </c>
      <c r="K1786" s="2">
        <v>4</v>
      </c>
      <c r="L1786" s="2" t="s">
        <v>24</v>
      </c>
      <c r="M1786" s="12">
        <f t="shared" si="54"/>
        <v>336000</v>
      </c>
      <c r="N1786" s="10">
        <f>PRODUCT(Table_13[[#This Row],[Unit Price]],Table_13[[#This Row],[Quantity]])</f>
        <v>1680000</v>
      </c>
      <c r="O1786" s="16">
        <f>PRODUCT(Table_13[[#This Row],[Cost Price]],Table_13[[#This Row],[Quantity]])</f>
        <v>1344000</v>
      </c>
      <c r="P1786" s="27">
        <f t="shared" si="62"/>
        <v>336000</v>
      </c>
    </row>
    <row r="1787" spans="1:16" x14ac:dyDescent="0.2">
      <c r="A1787" s="33">
        <v>47461</v>
      </c>
      <c r="B1787" s="30">
        <f t="shared" si="61"/>
        <v>12</v>
      </c>
      <c r="C1787" s="30" t="str">
        <f>_xlfn.IFS(Table_13[[#This Row],[Month]]=1,"JAN",Table_13[[#This Row],[Month]]=2,"FEB",B1787=3,"MAR",B1787=4,"APR",B1787=5,"MAY",B1787=6,"JUN",B1787=7,"JUL",B1787=8,"AUG",Table_13[[#This Row],[Month]]=9,"SEPT",B1787=10,"OCT",B1787=11,"NOV",B1787=12,"DEC")</f>
        <v>DEC</v>
      </c>
      <c r="D1787" s="2" t="s">
        <v>29</v>
      </c>
      <c r="E1787" s="2" t="s">
        <v>19</v>
      </c>
      <c r="F1787" s="2" t="s">
        <v>23</v>
      </c>
      <c r="G1787" s="2" t="s">
        <v>14</v>
      </c>
      <c r="H1787" s="2" t="s">
        <v>33</v>
      </c>
      <c r="I1787" s="2" t="s">
        <v>22</v>
      </c>
      <c r="J1787" s="15">
        <v>180000</v>
      </c>
      <c r="K1787" s="2">
        <v>1</v>
      </c>
      <c r="L1787" s="2" t="s">
        <v>17</v>
      </c>
      <c r="M1787" s="12">
        <f t="shared" ref="M1787:M2041" si="63">J1787-J1787*0.2</f>
        <v>144000</v>
      </c>
      <c r="N1787" s="10">
        <f>PRODUCT(Table_13[[#This Row],[Unit Price]],Table_13[[#This Row],[Quantity]])</f>
        <v>180000</v>
      </c>
      <c r="O1787" s="16">
        <f>PRODUCT(Table_13[[#This Row],[Cost Price]],Table_13[[#This Row],[Quantity]])</f>
        <v>144000</v>
      </c>
      <c r="P1787" s="27">
        <f t="shared" si="62"/>
        <v>36000</v>
      </c>
    </row>
    <row r="1788" spans="1:16" x14ac:dyDescent="0.2">
      <c r="A1788" s="33">
        <v>47462</v>
      </c>
      <c r="B1788" s="30">
        <f t="shared" si="61"/>
        <v>12</v>
      </c>
      <c r="C1788" s="30" t="str">
        <f>_xlfn.IFS(Table_13[[#This Row],[Month]]=1,"JAN",Table_13[[#This Row],[Month]]=2,"FEB",B1788=3,"MAR",B1788=4,"APR",B1788=5,"MAY",B1788=6,"JUN",B1788=7,"JUL",B1788=8,"AUG",Table_13[[#This Row],[Month]]=9,"SEPT",B1788=10,"OCT",B1788=11,"NOV",B1788=12,"DEC")</f>
        <v>DEC</v>
      </c>
      <c r="D1788" s="2" t="s">
        <v>29</v>
      </c>
      <c r="E1788" s="2" t="s">
        <v>12</v>
      </c>
      <c r="F1788" s="2" t="s">
        <v>23</v>
      </c>
      <c r="G1788" s="2" t="s">
        <v>20</v>
      </c>
      <c r="H1788" s="2" t="s">
        <v>36</v>
      </c>
      <c r="I1788" s="2" t="s">
        <v>31</v>
      </c>
      <c r="J1788" s="15">
        <v>150000</v>
      </c>
      <c r="K1788" s="2">
        <v>3</v>
      </c>
      <c r="L1788" s="2" t="s">
        <v>35</v>
      </c>
      <c r="M1788" s="12">
        <f t="shared" si="63"/>
        <v>120000</v>
      </c>
      <c r="N1788" s="10">
        <f>PRODUCT(Table_13[[#This Row],[Unit Price]],Table_13[[#This Row],[Quantity]])</f>
        <v>450000</v>
      </c>
      <c r="O1788" s="16">
        <f>PRODUCT(Table_13[[#This Row],[Cost Price]],Table_13[[#This Row],[Quantity]])</f>
        <v>360000</v>
      </c>
      <c r="P1788" s="27">
        <f t="shared" si="62"/>
        <v>90000</v>
      </c>
    </row>
    <row r="1789" spans="1:16" x14ac:dyDescent="0.2">
      <c r="A1789" s="33">
        <v>47463</v>
      </c>
      <c r="B1789" s="30">
        <f t="shared" si="61"/>
        <v>12</v>
      </c>
      <c r="C1789" s="30" t="str">
        <f>_xlfn.IFS(Table_13[[#This Row],[Month]]=1,"JAN",Table_13[[#This Row],[Month]]=2,"FEB",B1789=3,"MAR",B1789=4,"APR",B1789=5,"MAY",B1789=6,"JUN",B1789=7,"JUL",B1789=8,"AUG",Table_13[[#This Row],[Month]]=9,"SEPT",B1789=10,"OCT",B1789=11,"NOV",B1789=12,"DEC")</f>
        <v>DEC</v>
      </c>
      <c r="D1789" s="2" t="s">
        <v>25</v>
      </c>
      <c r="E1789" s="2" t="s">
        <v>32</v>
      </c>
      <c r="F1789" s="2" t="s">
        <v>23</v>
      </c>
      <c r="G1789" s="2" t="s">
        <v>14</v>
      </c>
      <c r="H1789" s="2" t="s">
        <v>41</v>
      </c>
      <c r="I1789" s="2" t="s">
        <v>22</v>
      </c>
      <c r="J1789" s="15">
        <v>220000</v>
      </c>
      <c r="K1789" s="2">
        <v>9</v>
      </c>
      <c r="L1789" s="2" t="s">
        <v>28</v>
      </c>
      <c r="M1789" s="12">
        <f t="shared" si="63"/>
        <v>176000</v>
      </c>
      <c r="N1789" s="10">
        <f>PRODUCT(Table_13[[#This Row],[Unit Price]],Table_13[[#This Row],[Quantity]])</f>
        <v>1980000</v>
      </c>
      <c r="O1789" s="16">
        <f>PRODUCT(Table_13[[#This Row],[Cost Price]],Table_13[[#This Row],[Quantity]])</f>
        <v>1584000</v>
      </c>
      <c r="P1789" s="27">
        <f t="shared" si="62"/>
        <v>396000</v>
      </c>
    </row>
    <row r="1790" spans="1:16" x14ac:dyDescent="0.2">
      <c r="A1790" s="33">
        <v>47464</v>
      </c>
      <c r="B1790" s="30">
        <f t="shared" si="61"/>
        <v>12</v>
      </c>
      <c r="C1790" s="30" t="str">
        <f>_xlfn.IFS(Table_13[[#This Row],[Month]]=1,"JAN",Table_13[[#This Row],[Month]]=2,"FEB",B1790=3,"MAR",B1790=4,"APR",B1790=5,"MAY",B1790=6,"JUN",B1790=7,"JUL",B1790=8,"AUG",Table_13[[#This Row],[Month]]=9,"SEPT",B1790=10,"OCT",B1790=11,"NOV",B1790=12,"DEC")</f>
        <v>DEC</v>
      </c>
      <c r="D1790" s="2" t="s">
        <v>29</v>
      </c>
      <c r="E1790" s="2" t="s">
        <v>26</v>
      </c>
      <c r="F1790" s="2" t="s">
        <v>23</v>
      </c>
      <c r="G1790" s="2" t="s">
        <v>14</v>
      </c>
      <c r="H1790" s="2" t="s">
        <v>38</v>
      </c>
      <c r="I1790" s="2" t="s">
        <v>31</v>
      </c>
      <c r="J1790" s="15">
        <v>420000</v>
      </c>
      <c r="K1790" s="2">
        <v>4</v>
      </c>
      <c r="L1790" s="2" t="s">
        <v>28</v>
      </c>
      <c r="M1790" s="12">
        <f t="shared" si="63"/>
        <v>336000</v>
      </c>
      <c r="N1790" s="10">
        <f>PRODUCT(Table_13[[#This Row],[Unit Price]],Table_13[[#This Row],[Quantity]])</f>
        <v>1680000</v>
      </c>
      <c r="O1790" s="16">
        <f>PRODUCT(Table_13[[#This Row],[Cost Price]],Table_13[[#This Row],[Quantity]])</f>
        <v>1344000</v>
      </c>
      <c r="P1790" s="27">
        <f t="shared" si="62"/>
        <v>336000</v>
      </c>
    </row>
    <row r="1791" spans="1:16" x14ac:dyDescent="0.2">
      <c r="A1791" s="33">
        <v>47465</v>
      </c>
      <c r="B1791" s="30">
        <f t="shared" si="61"/>
        <v>12</v>
      </c>
      <c r="C1791" s="30" t="str">
        <f>_xlfn.IFS(Table_13[[#This Row],[Month]]=1,"JAN",Table_13[[#This Row],[Month]]=2,"FEB",B1791=3,"MAR",B1791=4,"APR",B1791=5,"MAY",B1791=6,"JUN",B1791=7,"JUL",B1791=8,"AUG",Table_13[[#This Row],[Month]]=9,"SEPT",B1791=10,"OCT",B1791=11,"NOV",B1791=12,"DEC")</f>
        <v>DEC</v>
      </c>
      <c r="D1791" s="2" t="s">
        <v>29</v>
      </c>
      <c r="E1791" s="2" t="s">
        <v>26</v>
      </c>
      <c r="F1791" s="2" t="s">
        <v>23</v>
      </c>
      <c r="G1791" s="2" t="s">
        <v>20</v>
      </c>
      <c r="H1791" s="2" t="s">
        <v>30</v>
      </c>
      <c r="I1791" s="2" t="s">
        <v>31</v>
      </c>
      <c r="J1791" s="15">
        <v>300000</v>
      </c>
      <c r="K1791" s="2">
        <v>2</v>
      </c>
      <c r="L1791" s="2" t="s">
        <v>39</v>
      </c>
      <c r="M1791" s="12">
        <f t="shared" si="63"/>
        <v>240000</v>
      </c>
      <c r="N1791" s="10">
        <f>PRODUCT(Table_13[[#This Row],[Unit Price]],Table_13[[#This Row],[Quantity]])</f>
        <v>600000</v>
      </c>
      <c r="O1791" s="16">
        <f>PRODUCT(Table_13[[#This Row],[Cost Price]],Table_13[[#This Row],[Quantity]])</f>
        <v>480000</v>
      </c>
      <c r="P1791" s="27">
        <f t="shared" si="62"/>
        <v>120000</v>
      </c>
    </row>
    <row r="1792" spans="1:16" x14ac:dyDescent="0.2">
      <c r="A1792" s="33">
        <v>47466</v>
      </c>
      <c r="B1792" s="30">
        <f t="shared" si="61"/>
        <v>12</v>
      </c>
      <c r="C1792" s="30" t="str">
        <f>_xlfn.IFS(Table_13[[#This Row],[Month]]=1,"JAN",Table_13[[#This Row],[Month]]=2,"FEB",B1792=3,"MAR",B1792=4,"APR",B1792=5,"MAY",B1792=6,"JUN",B1792=7,"JUL",B1792=8,"AUG",Table_13[[#This Row],[Month]]=9,"SEPT",B1792=10,"OCT",B1792=11,"NOV",B1792=12,"DEC")</f>
        <v>DEC</v>
      </c>
      <c r="D1792" s="2" t="s">
        <v>18</v>
      </c>
      <c r="E1792" s="2" t="s">
        <v>19</v>
      </c>
      <c r="F1792" s="2" t="s">
        <v>23</v>
      </c>
      <c r="G1792" s="2" t="s">
        <v>20</v>
      </c>
      <c r="H1792" s="2" t="s">
        <v>15</v>
      </c>
      <c r="I1792" s="2" t="s">
        <v>16</v>
      </c>
      <c r="J1792" s="15">
        <v>85000</v>
      </c>
      <c r="K1792" s="2">
        <v>8</v>
      </c>
      <c r="L1792" s="2" t="s">
        <v>24</v>
      </c>
      <c r="M1792" s="12">
        <f t="shared" si="63"/>
        <v>68000</v>
      </c>
      <c r="N1792" s="10">
        <f>PRODUCT(Table_13[[#This Row],[Unit Price]],Table_13[[#This Row],[Quantity]])</f>
        <v>680000</v>
      </c>
      <c r="O1792" s="16">
        <f>PRODUCT(Table_13[[#This Row],[Cost Price]],Table_13[[#This Row],[Quantity]])</f>
        <v>544000</v>
      </c>
      <c r="P1792" s="27">
        <f t="shared" si="62"/>
        <v>136000</v>
      </c>
    </row>
    <row r="1793" spans="1:16" x14ac:dyDescent="0.2">
      <c r="A1793" s="33">
        <v>47467</v>
      </c>
      <c r="B1793" s="30">
        <f t="shared" si="61"/>
        <v>12</v>
      </c>
      <c r="C1793" s="30" t="str">
        <f>_xlfn.IFS(Table_13[[#This Row],[Month]]=1,"JAN",Table_13[[#This Row],[Month]]=2,"FEB",B1793=3,"MAR",B1793=4,"APR",B1793=5,"MAY",B1793=6,"JUN",B1793=7,"JUL",B1793=8,"AUG",Table_13[[#This Row],[Month]]=9,"SEPT",B1793=10,"OCT",B1793=11,"NOV",B1793=12,"DEC")</f>
        <v>DEC</v>
      </c>
      <c r="D1793" s="2" t="s">
        <v>25</v>
      </c>
      <c r="E1793" s="2" t="s">
        <v>32</v>
      </c>
      <c r="F1793" s="2" t="s">
        <v>13</v>
      </c>
      <c r="G1793" s="2" t="s">
        <v>20</v>
      </c>
      <c r="H1793" s="2" t="s">
        <v>41</v>
      </c>
      <c r="I1793" s="2" t="s">
        <v>22</v>
      </c>
      <c r="J1793" s="15">
        <v>220000</v>
      </c>
      <c r="K1793" s="2">
        <v>10</v>
      </c>
      <c r="L1793" s="2" t="s">
        <v>28</v>
      </c>
      <c r="M1793" s="12">
        <f t="shared" si="63"/>
        <v>176000</v>
      </c>
      <c r="N1793" s="10">
        <f>PRODUCT(Table_13[[#This Row],[Unit Price]],Table_13[[#This Row],[Quantity]])</f>
        <v>2200000</v>
      </c>
      <c r="O1793" s="16">
        <f>PRODUCT(Table_13[[#This Row],[Cost Price]],Table_13[[#This Row],[Quantity]])</f>
        <v>1760000</v>
      </c>
      <c r="P1793" s="27">
        <f t="shared" si="62"/>
        <v>440000</v>
      </c>
    </row>
    <row r="1794" spans="1:16" x14ac:dyDescent="0.2">
      <c r="A1794" s="33">
        <v>47468</v>
      </c>
      <c r="B1794" s="30">
        <f t="shared" ref="B1794:B1857" si="64">MONTH(A1794)</f>
        <v>12</v>
      </c>
      <c r="C1794" s="30" t="str">
        <f>_xlfn.IFS(Table_13[[#This Row],[Month]]=1,"JAN",Table_13[[#This Row],[Month]]=2,"FEB",B1794=3,"MAR",B1794=4,"APR",B1794=5,"MAY",B1794=6,"JUN",B1794=7,"JUL",B1794=8,"AUG",Table_13[[#This Row],[Month]]=9,"SEPT",B1794=10,"OCT",B1794=11,"NOV",B1794=12,"DEC")</f>
        <v>DEC</v>
      </c>
      <c r="D1794" s="2" t="s">
        <v>11</v>
      </c>
      <c r="E1794" s="2" t="s">
        <v>12</v>
      </c>
      <c r="F1794" s="2" t="s">
        <v>13</v>
      </c>
      <c r="G1794" s="2" t="s">
        <v>20</v>
      </c>
      <c r="H1794" s="2" t="s">
        <v>41</v>
      </c>
      <c r="I1794" s="2" t="s">
        <v>22</v>
      </c>
      <c r="J1794" s="15">
        <v>220000</v>
      </c>
      <c r="K1794" s="2">
        <v>7</v>
      </c>
      <c r="L1794" s="2" t="s">
        <v>28</v>
      </c>
      <c r="M1794" s="12">
        <f t="shared" si="63"/>
        <v>176000</v>
      </c>
      <c r="N1794" s="10">
        <f>PRODUCT(Table_13[[#This Row],[Unit Price]],Table_13[[#This Row],[Quantity]])</f>
        <v>1540000</v>
      </c>
      <c r="O1794" s="16">
        <f>PRODUCT(Table_13[[#This Row],[Cost Price]],Table_13[[#This Row],[Quantity]])</f>
        <v>1232000</v>
      </c>
      <c r="P1794" s="27">
        <f t="shared" ref="P1794:P1857" si="65">N1794-O1794</f>
        <v>308000</v>
      </c>
    </row>
    <row r="1795" spans="1:16" x14ac:dyDescent="0.2">
      <c r="A1795" s="33">
        <v>47469</v>
      </c>
      <c r="B1795" s="30">
        <f t="shared" si="64"/>
        <v>12</v>
      </c>
      <c r="C1795" s="30" t="str">
        <f>_xlfn.IFS(Table_13[[#This Row],[Month]]=1,"JAN",Table_13[[#This Row],[Month]]=2,"FEB",B1795=3,"MAR",B1795=4,"APR",B1795=5,"MAY",B1795=6,"JUN",B1795=7,"JUL",B1795=8,"AUG",Table_13[[#This Row],[Month]]=9,"SEPT",B1795=10,"OCT",B1795=11,"NOV",B1795=12,"DEC")</f>
        <v>DEC</v>
      </c>
      <c r="D1795" s="2" t="s">
        <v>18</v>
      </c>
      <c r="E1795" s="2" t="s">
        <v>26</v>
      </c>
      <c r="F1795" s="2" t="s">
        <v>13</v>
      </c>
      <c r="G1795" s="2" t="s">
        <v>20</v>
      </c>
      <c r="H1795" s="2" t="s">
        <v>34</v>
      </c>
      <c r="I1795" s="2" t="s">
        <v>16</v>
      </c>
      <c r="J1795" s="15">
        <v>320000</v>
      </c>
      <c r="K1795" s="2">
        <v>10</v>
      </c>
      <c r="L1795" s="2" t="s">
        <v>28</v>
      </c>
      <c r="M1795" s="12">
        <f t="shared" si="63"/>
        <v>256000</v>
      </c>
      <c r="N1795" s="10">
        <f>PRODUCT(Table_13[[#This Row],[Unit Price]],Table_13[[#This Row],[Quantity]])</f>
        <v>3200000</v>
      </c>
      <c r="O1795" s="16">
        <f>PRODUCT(Table_13[[#This Row],[Cost Price]],Table_13[[#This Row],[Quantity]])</f>
        <v>2560000</v>
      </c>
      <c r="P1795" s="27">
        <f t="shared" si="65"/>
        <v>640000</v>
      </c>
    </row>
    <row r="1796" spans="1:16" x14ac:dyDescent="0.2">
      <c r="A1796" s="33">
        <v>47470</v>
      </c>
      <c r="B1796" s="30">
        <f t="shared" si="64"/>
        <v>12</v>
      </c>
      <c r="C1796" s="30" t="str">
        <f>_xlfn.IFS(Table_13[[#This Row],[Month]]=1,"JAN",Table_13[[#This Row],[Month]]=2,"FEB",B1796=3,"MAR",B1796=4,"APR",B1796=5,"MAY",B1796=6,"JUN",B1796=7,"JUL",B1796=8,"AUG",Table_13[[#This Row],[Month]]=9,"SEPT",B1796=10,"OCT",B1796=11,"NOV",B1796=12,"DEC")</f>
        <v>DEC</v>
      </c>
      <c r="D1796" s="2" t="s">
        <v>11</v>
      </c>
      <c r="E1796" s="2" t="s">
        <v>19</v>
      </c>
      <c r="F1796" s="2" t="s">
        <v>23</v>
      </c>
      <c r="G1796" s="2" t="s">
        <v>14</v>
      </c>
      <c r="H1796" s="2" t="s">
        <v>33</v>
      </c>
      <c r="I1796" s="2" t="s">
        <v>22</v>
      </c>
      <c r="J1796" s="15">
        <v>180000</v>
      </c>
      <c r="K1796" s="2">
        <v>9</v>
      </c>
      <c r="L1796" s="2" t="s">
        <v>37</v>
      </c>
      <c r="M1796" s="12">
        <f t="shared" si="63"/>
        <v>144000</v>
      </c>
      <c r="N1796" s="10">
        <f>PRODUCT(Table_13[[#This Row],[Unit Price]],Table_13[[#This Row],[Quantity]])</f>
        <v>1620000</v>
      </c>
      <c r="O1796" s="16">
        <f>PRODUCT(Table_13[[#This Row],[Cost Price]],Table_13[[#This Row],[Quantity]])</f>
        <v>1296000</v>
      </c>
      <c r="P1796" s="27">
        <f t="shared" si="65"/>
        <v>324000</v>
      </c>
    </row>
    <row r="1797" spans="1:16" x14ac:dyDescent="0.2">
      <c r="A1797" s="33">
        <v>47471</v>
      </c>
      <c r="B1797" s="30">
        <f t="shared" si="64"/>
        <v>12</v>
      </c>
      <c r="C1797" s="30" t="str">
        <f>_xlfn.IFS(Table_13[[#This Row],[Month]]=1,"JAN",Table_13[[#This Row],[Month]]=2,"FEB",B1797=3,"MAR",B1797=4,"APR",B1797=5,"MAY",B1797=6,"JUN",B1797=7,"JUL",B1797=8,"AUG",Table_13[[#This Row],[Month]]=9,"SEPT",B1797=10,"OCT",B1797=11,"NOV",B1797=12,"DEC")</f>
        <v>DEC</v>
      </c>
      <c r="D1797" s="2" t="s">
        <v>29</v>
      </c>
      <c r="E1797" s="2" t="s">
        <v>26</v>
      </c>
      <c r="F1797" s="2" t="s">
        <v>23</v>
      </c>
      <c r="G1797" s="2" t="s">
        <v>14</v>
      </c>
      <c r="H1797" s="2" t="s">
        <v>27</v>
      </c>
      <c r="I1797" s="2" t="s">
        <v>22</v>
      </c>
      <c r="J1797" s="15">
        <v>60000</v>
      </c>
      <c r="K1797" s="2">
        <v>4</v>
      </c>
      <c r="L1797" s="2" t="s">
        <v>39</v>
      </c>
      <c r="M1797" s="12">
        <f t="shared" si="63"/>
        <v>48000</v>
      </c>
      <c r="N1797" s="10">
        <f>PRODUCT(Table_13[[#This Row],[Unit Price]],Table_13[[#This Row],[Quantity]])</f>
        <v>240000</v>
      </c>
      <c r="O1797" s="16">
        <f>PRODUCT(Table_13[[#This Row],[Cost Price]],Table_13[[#This Row],[Quantity]])</f>
        <v>192000</v>
      </c>
      <c r="P1797" s="27">
        <f t="shared" si="65"/>
        <v>48000</v>
      </c>
    </row>
    <row r="1798" spans="1:16" x14ac:dyDescent="0.2">
      <c r="A1798" s="33">
        <v>47472</v>
      </c>
      <c r="B1798" s="30">
        <f t="shared" si="64"/>
        <v>12</v>
      </c>
      <c r="C1798" s="30" t="str">
        <f>_xlfn.IFS(Table_13[[#This Row],[Month]]=1,"JAN",Table_13[[#This Row],[Month]]=2,"FEB",B1798=3,"MAR",B1798=4,"APR",B1798=5,"MAY",B1798=6,"JUN",B1798=7,"JUL",B1798=8,"AUG",Table_13[[#This Row],[Month]]=9,"SEPT",B1798=10,"OCT",B1798=11,"NOV",B1798=12,"DEC")</f>
        <v>DEC</v>
      </c>
      <c r="D1798" s="2" t="s">
        <v>25</v>
      </c>
      <c r="E1798" s="2" t="s">
        <v>26</v>
      </c>
      <c r="F1798" s="2" t="s">
        <v>23</v>
      </c>
      <c r="G1798" s="2" t="s">
        <v>20</v>
      </c>
      <c r="H1798" s="2" t="s">
        <v>40</v>
      </c>
      <c r="I1798" s="2" t="s">
        <v>31</v>
      </c>
      <c r="J1798" s="15">
        <v>250000</v>
      </c>
      <c r="K1798" s="2">
        <v>10</v>
      </c>
      <c r="L1798" s="2" t="s">
        <v>39</v>
      </c>
      <c r="M1798" s="12">
        <f t="shared" si="63"/>
        <v>200000</v>
      </c>
      <c r="N1798" s="10">
        <f>PRODUCT(Table_13[[#This Row],[Unit Price]],Table_13[[#This Row],[Quantity]])</f>
        <v>2500000</v>
      </c>
      <c r="O1798" s="16">
        <f>PRODUCT(Table_13[[#This Row],[Cost Price]],Table_13[[#This Row],[Quantity]])</f>
        <v>2000000</v>
      </c>
      <c r="P1798" s="27">
        <f t="shared" si="65"/>
        <v>500000</v>
      </c>
    </row>
    <row r="1799" spans="1:16" x14ac:dyDescent="0.2">
      <c r="A1799" s="33">
        <v>47473</v>
      </c>
      <c r="B1799" s="30">
        <f t="shared" si="64"/>
        <v>12</v>
      </c>
      <c r="C1799" s="30" t="str">
        <f>_xlfn.IFS(Table_13[[#This Row],[Month]]=1,"JAN",Table_13[[#This Row],[Month]]=2,"FEB",B1799=3,"MAR",B1799=4,"APR",B1799=5,"MAY",B1799=6,"JUN",B1799=7,"JUL",B1799=8,"AUG",Table_13[[#This Row],[Month]]=9,"SEPT",B1799=10,"OCT",B1799=11,"NOV",B1799=12,"DEC")</f>
        <v>DEC</v>
      </c>
      <c r="D1799" s="2" t="s">
        <v>29</v>
      </c>
      <c r="E1799" s="2" t="s">
        <v>26</v>
      </c>
      <c r="F1799" s="2" t="s">
        <v>23</v>
      </c>
      <c r="G1799" s="2" t="s">
        <v>14</v>
      </c>
      <c r="H1799" s="2" t="s">
        <v>34</v>
      </c>
      <c r="I1799" s="2" t="s">
        <v>16</v>
      </c>
      <c r="J1799" s="15">
        <v>320000</v>
      </c>
      <c r="K1799" s="2">
        <v>2</v>
      </c>
      <c r="L1799" s="2" t="s">
        <v>28</v>
      </c>
      <c r="M1799" s="12">
        <f t="shared" si="63"/>
        <v>256000</v>
      </c>
      <c r="N1799" s="10">
        <f>PRODUCT(Table_13[[#This Row],[Unit Price]],Table_13[[#This Row],[Quantity]])</f>
        <v>640000</v>
      </c>
      <c r="O1799" s="16">
        <f>PRODUCT(Table_13[[#This Row],[Cost Price]],Table_13[[#This Row],[Quantity]])</f>
        <v>512000</v>
      </c>
      <c r="P1799" s="27">
        <f t="shared" si="65"/>
        <v>128000</v>
      </c>
    </row>
    <row r="1800" spans="1:16" x14ac:dyDescent="0.2">
      <c r="A1800" s="33">
        <v>47474</v>
      </c>
      <c r="B1800" s="30">
        <f t="shared" si="64"/>
        <v>12</v>
      </c>
      <c r="C1800" s="30" t="str">
        <f>_xlfn.IFS(Table_13[[#This Row],[Month]]=1,"JAN",Table_13[[#This Row],[Month]]=2,"FEB",B1800=3,"MAR",B1800=4,"APR",B1800=5,"MAY",B1800=6,"JUN",B1800=7,"JUL",B1800=8,"AUG",Table_13[[#This Row],[Month]]=9,"SEPT",B1800=10,"OCT",B1800=11,"NOV",B1800=12,"DEC")</f>
        <v>DEC</v>
      </c>
      <c r="D1800" s="2" t="s">
        <v>25</v>
      </c>
      <c r="E1800" s="2" t="s">
        <v>32</v>
      </c>
      <c r="F1800" s="2" t="s">
        <v>23</v>
      </c>
      <c r="G1800" s="2" t="s">
        <v>20</v>
      </c>
      <c r="H1800" s="2" t="s">
        <v>38</v>
      </c>
      <c r="I1800" s="2" t="s">
        <v>31</v>
      </c>
      <c r="J1800" s="15">
        <v>420000</v>
      </c>
      <c r="K1800" s="2">
        <v>7</v>
      </c>
      <c r="L1800" s="2" t="s">
        <v>35</v>
      </c>
      <c r="M1800" s="12">
        <f t="shared" si="63"/>
        <v>336000</v>
      </c>
      <c r="N1800" s="10">
        <f>PRODUCT(Table_13[[#This Row],[Unit Price]],Table_13[[#This Row],[Quantity]])</f>
        <v>2940000</v>
      </c>
      <c r="O1800" s="16">
        <f>PRODUCT(Table_13[[#This Row],[Cost Price]],Table_13[[#This Row],[Quantity]])</f>
        <v>2352000</v>
      </c>
      <c r="P1800" s="27">
        <f t="shared" si="65"/>
        <v>588000</v>
      </c>
    </row>
    <row r="1801" spans="1:16" x14ac:dyDescent="0.2">
      <c r="A1801" s="33">
        <v>47475</v>
      </c>
      <c r="B1801" s="30">
        <f t="shared" si="64"/>
        <v>12</v>
      </c>
      <c r="C1801" s="30" t="str">
        <f>_xlfn.IFS(Table_13[[#This Row],[Month]]=1,"JAN",Table_13[[#This Row],[Month]]=2,"FEB",B1801=3,"MAR",B1801=4,"APR",B1801=5,"MAY",B1801=6,"JUN",B1801=7,"JUL",B1801=8,"AUG",Table_13[[#This Row],[Month]]=9,"SEPT",B1801=10,"OCT",B1801=11,"NOV",B1801=12,"DEC")</f>
        <v>DEC</v>
      </c>
      <c r="D1801" s="2" t="s">
        <v>29</v>
      </c>
      <c r="E1801" s="2" t="s">
        <v>26</v>
      </c>
      <c r="F1801" s="2" t="s">
        <v>23</v>
      </c>
      <c r="G1801" s="2" t="s">
        <v>20</v>
      </c>
      <c r="H1801" s="2" t="s">
        <v>30</v>
      </c>
      <c r="I1801" s="2" t="s">
        <v>31</v>
      </c>
      <c r="J1801" s="15">
        <v>300000</v>
      </c>
      <c r="K1801" s="2">
        <v>5</v>
      </c>
      <c r="L1801" s="2" t="s">
        <v>35</v>
      </c>
      <c r="M1801" s="12">
        <f t="shared" si="63"/>
        <v>240000</v>
      </c>
      <c r="N1801" s="10">
        <f>PRODUCT(Table_13[[#This Row],[Unit Price]],Table_13[[#This Row],[Quantity]])</f>
        <v>1500000</v>
      </c>
      <c r="O1801" s="16">
        <f>PRODUCT(Table_13[[#This Row],[Cost Price]],Table_13[[#This Row],[Quantity]])</f>
        <v>1200000</v>
      </c>
      <c r="P1801" s="27">
        <f t="shared" si="65"/>
        <v>300000</v>
      </c>
    </row>
    <row r="1802" spans="1:16" x14ac:dyDescent="0.2">
      <c r="A1802" s="33">
        <v>47476</v>
      </c>
      <c r="B1802" s="30">
        <f t="shared" si="64"/>
        <v>12</v>
      </c>
      <c r="C1802" s="30" t="str">
        <f>_xlfn.IFS(Table_13[[#This Row],[Month]]=1,"JAN",Table_13[[#This Row],[Month]]=2,"FEB",B1802=3,"MAR",B1802=4,"APR",B1802=5,"MAY",B1802=6,"JUN",B1802=7,"JUL",B1802=8,"AUG",Table_13[[#This Row],[Month]]=9,"SEPT",B1802=10,"OCT",B1802=11,"NOV",B1802=12,"DEC")</f>
        <v>DEC</v>
      </c>
      <c r="D1802" s="2" t="s">
        <v>25</v>
      </c>
      <c r="E1802" s="2" t="s">
        <v>12</v>
      </c>
      <c r="F1802" s="2" t="s">
        <v>23</v>
      </c>
      <c r="G1802" s="2" t="s">
        <v>20</v>
      </c>
      <c r="H1802" s="2" t="s">
        <v>27</v>
      </c>
      <c r="I1802" s="2" t="s">
        <v>22</v>
      </c>
      <c r="J1802" s="15">
        <v>60000</v>
      </c>
      <c r="K1802" s="2">
        <v>5</v>
      </c>
      <c r="L1802" s="2" t="s">
        <v>37</v>
      </c>
      <c r="M1802" s="12">
        <f t="shared" si="63"/>
        <v>48000</v>
      </c>
      <c r="N1802" s="10">
        <f>PRODUCT(Table_13[[#This Row],[Unit Price]],Table_13[[#This Row],[Quantity]])</f>
        <v>300000</v>
      </c>
      <c r="O1802" s="16">
        <f>PRODUCT(Table_13[[#This Row],[Cost Price]],Table_13[[#This Row],[Quantity]])</f>
        <v>240000</v>
      </c>
      <c r="P1802" s="27">
        <f t="shared" si="65"/>
        <v>60000</v>
      </c>
    </row>
    <row r="1803" spans="1:16" x14ac:dyDescent="0.2">
      <c r="A1803" s="33">
        <v>47477</v>
      </c>
      <c r="B1803" s="30">
        <f t="shared" si="64"/>
        <v>12</v>
      </c>
      <c r="C1803" s="30" t="str">
        <f>_xlfn.IFS(Table_13[[#This Row],[Month]]=1,"JAN",Table_13[[#This Row],[Month]]=2,"FEB",B1803=3,"MAR",B1803=4,"APR",B1803=5,"MAY",B1803=6,"JUN",B1803=7,"JUL",B1803=8,"AUG",Table_13[[#This Row],[Month]]=9,"SEPT",B1803=10,"OCT",B1803=11,"NOV",B1803=12,"DEC")</f>
        <v>DEC</v>
      </c>
      <c r="D1803" s="2" t="s">
        <v>18</v>
      </c>
      <c r="E1803" s="2" t="s">
        <v>12</v>
      </c>
      <c r="F1803" s="2" t="s">
        <v>13</v>
      </c>
      <c r="G1803" s="2" t="s">
        <v>20</v>
      </c>
      <c r="H1803" s="2" t="s">
        <v>38</v>
      </c>
      <c r="I1803" s="2" t="s">
        <v>31</v>
      </c>
      <c r="J1803" s="15">
        <v>420000</v>
      </c>
      <c r="K1803" s="2">
        <v>9</v>
      </c>
      <c r="L1803" s="2" t="s">
        <v>28</v>
      </c>
      <c r="M1803" s="12">
        <f t="shared" si="63"/>
        <v>336000</v>
      </c>
      <c r="N1803" s="10">
        <f>PRODUCT(Table_13[[#This Row],[Unit Price]],Table_13[[#This Row],[Quantity]])</f>
        <v>3780000</v>
      </c>
      <c r="O1803" s="16">
        <f>PRODUCT(Table_13[[#This Row],[Cost Price]],Table_13[[#This Row],[Quantity]])</f>
        <v>3024000</v>
      </c>
      <c r="P1803" s="27">
        <f t="shared" si="65"/>
        <v>756000</v>
      </c>
    </row>
    <row r="1804" spans="1:16" x14ac:dyDescent="0.2">
      <c r="A1804" s="33">
        <v>47478</v>
      </c>
      <c r="B1804" s="30">
        <f t="shared" si="64"/>
        <v>12</v>
      </c>
      <c r="C1804" s="30" t="str">
        <f>_xlfn.IFS(Table_13[[#This Row],[Month]]=1,"JAN",Table_13[[#This Row],[Month]]=2,"FEB",B1804=3,"MAR",B1804=4,"APR",B1804=5,"MAY",B1804=6,"JUN",B1804=7,"JUL",B1804=8,"AUG",Table_13[[#This Row],[Month]]=9,"SEPT",B1804=10,"OCT",B1804=11,"NOV",B1804=12,"DEC")</f>
        <v>DEC</v>
      </c>
      <c r="D1804" s="2" t="s">
        <v>25</v>
      </c>
      <c r="E1804" s="2" t="s">
        <v>12</v>
      </c>
      <c r="F1804" s="2" t="s">
        <v>13</v>
      </c>
      <c r="G1804" s="2" t="s">
        <v>20</v>
      </c>
      <c r="H1804" s="2" t="s">
        <v>40</v>
      </c>
      <c r="I1804" s="2" t="s">
        <v>31</v>
      </c>
      <c r="J1804" s="15">
        <v>250000</v>
      </c>
      <c r="K1804" s="2">
        <v>9</v>
      </c>
      <c r="L1804" s="2" t="s">
        <v>39</v>
      </c>
      <c r="M1804" s="12">
        <f t="shared" si="63"/>
        <v>200000</v>
      </c>
      <c r="N1804" s="10">
        <f>PRODUCT(Table_13[[#This Row],[Unit Price]],Table_13[[#This Row],[Quantity]])</f>
        <v>2250000</v>
      </c>
      <c r="O1804" s="16">
        <f>PRODUCT(Table_13[[#This Row],[Cost Price]],Table_13[[#This Row],[Quantity]])</f>
        <v>1800000</v>
      </c>
      <c r="P1804" s="27">
        <f t="shared" si="65"/>
        <v>450000</v>
      </c>
    </row>
    <row r="1805" spans="1:16" x14ac:dyDescent="0.2">
      <c r="A1805" s="33">
        <v>47479</v>
      </c>
      <c r="B1805" s="30">
        <f t="shared" si="64"/>
        <v>12</v>
      </c>
      <c r="C1805" s="30" t="str">
        <f>_xlfn.IFS(Table_13[[#This Row],[Month]]=1,"JAN",Table_13[[#This Row],[Month]]=2,"FEB",B1805=3,"MAR",B1805=4,"APR",B1805=5,"MAY",B1805=6,"JUN",B1805=7,"JUL",B1805=8,"AUG",Table_13[[#This Row],[Month]]=9,"SEPT",B1805=10,"OCT",B1805=11,"NOV",B1805=12,"DEC")</f>
        <v>DEC</v>
      </c>
      <c r="D1805" s="2" t="s">
        <v>11</v>
      </c>
      <c r="E1805" s="2" t="s">
        <v>32</v>
      </c>
      <c r="F1805" s="2" t="s">
        <v>13</v>
      </c>
      <c r="G1805" s="2" t="s">
        <v>20</v>
      </c>
      <c r="H1805" s="2" t="s">
        <v>41</v>
      </c>
      <c r="I1805" s="2" t="s">
        <v>22</v>
      </c>
      <c r="J1805" s="15">
        <v>220000</v>
      </c>
      <c r="K1805" s="2">
        <v>1</v>
      </c>
      <c r="L1805" s="2" t="s">
        <v>39</v>
      </c>
      <c r="M1805" s="12">
        <f t="shared" si="63"/>
        <v>176000</v>
      </c>
      <c r="N1805" s="10">
        <f>PRODUCT(Table_13[[#This Row],[Unit Price]],Table_13[[#This Row],[Quantity]])</f>
        <v>220000</v>
      </c>
      <c r="O1805" s="16">
        <f>PRODUCT(Table_13[[#This Row],[Cost Price]],Table_13[[#This Row],[Quantity]])</f>
        <v>176000</v>
      </c>
      <c r="P1805" s="27">
        <f t="shared" si="65"/>
        <v>44000</v>
      </c>
    </row>
    <row r="1806" spans="1:16" x14ac:dyDescent="0.2">
      <c r="A1806" s="33">
        <v>47480</v>
      </c>
      <c r="B1806" s="30">
        <f t="shared" si="64"/>
        <v>12</v>
      </c>
      <c r="C1806" s="30" t="str">
        <f>_xlfn.IFS(Table_13[[#This Row],[Month]]=1,"JAN",Table_13[[#This Row],[Month]]=2,"FEB",B1806=3,"MAR",B1806=4,"APR",B1806=5,"MAY",B1806=6,"JUN",B1806=7,"JUL",B1806=8,"AUG",Table_13[[#This Row],[Month]]=9,"SEPT",B1806=10,"OCT",B1806=11,"NOV",B1806=12,"DEC")</f>
        <v>DEC</v>
      </c>
      <c r="D1806" s="2" t="s">
        <v>11</v>
      </c>
      <c r="E1806" s="2" t="s">
        <v>19</v>
      </c>
      <c r="F1806" s="2" t="s">
        <v>13</v>
      </c>
      <c r="G1806" s="2" t="s">
        <v>20</v>
      </c>
      <c r="H1806" s="2" t="s">
        <v>41</v>
      </c>
      <c r="I1806" s="2" t="s">
        <v>22</v>
      </c>
      <c r="J1806" s="15">
        <v>220000</v>
      </c>
      <c r="K1806" s="2">
        <v>3</v>
      </c>
      <c r="L1806" s="2" t="s">
        <v>39</v>
      </c>
      <c r="M1806" s="12">
        <f t="shared" si="63"/>
        <v>176000</v>
      </c>
      <c r="N1806" s="10">
        <f>PRODUCT(Table_13[[#This Row],[Unit Price]],Table_13[[#This Row],[Quantity]])</f>
        <v>660000</v>
      </c>
      <c r="O1806" s="16">
        <f>PRODUCT(Table_13[[#This Row],[Cost Price]],Table_13[[#This Row],[Quantity]])</f>
        <v>528000</v>
      </c>
      <c r="P1806" s="27">
        <f t="shared" si="65"/>
        <v>132000</v>
      </c>
    </row>
    <row r="1807" spans="1:16" x14ac:dyDescent="0.2">
      <c r="A1807" s="33">
        <v>47481</v>
      </c>
      <c r="B1807" s="30">
        <f t="shared" si="64"/>
        <v>12</v>
      </c>
      <c r="C1807" s="30" t="str">
        <f>_xlfn.IFS(Table_13[[#This Row],[Month]]=1,"JAN",Table_13[[#This Row],[Month]]=2,"FEB",B1807=3,"MAR",B1807=4,"APR",B1807=5,"MAY",B1807=6,"JUN",B1807=7,"JUL",B1807=8,"AUG",Table_13[[#This Row],[Month]]=9,"SEPT",B1807=10,"OCT",B1807=11,"NOV",B1807=12,"DEC")</f>
        <v>DEC</v>
      </c>
      <c r="D1807" s="2" t="s">
        <v>11</v>
      </c>
      <c r="E1807" s="2" t="s">
        <v>19</v>
      </c>
      <c r="F1807" s="2" t="s">
        <v>23</v>
      </c>
      <c r="G1807" s="2" t="s">
        <v>20</v>
      </c>
      <c r="H1807" s="2" t="s">
        <v>40</v>
      </c>
      <c r="I1807" s="2" t="s">
        <v>31</v>
      </c>
      <c r="J1807" s="15">
        <v>250000</v>
      </c>
      <c r="K1807" s="2">
        <v>8</v>
      </c>
      <c r="L1807" s="2" t="s">
        <v>28</v>
      </c>
      <c r="M1807" s="12">
        <f t="shared" si="63"/>
        <v>200000</v>
      </c>
      <c r="N1807" s="10">
        <f>PRODUCT(Table_13[[#This Row],[Unit Price]],Table_13[[#This Row],[Quantity]])</f>
        <v>2000000</v>
      </c>
      <c r="O1807" s="16">
        <f>PRODUCT(Table_13[[#This Row],[Cost Price]],Table_13[[#This Row],[Quantity]])</f>
        <v>1600000</v>
      </c>
      <c r="P1807" s="27">
        <f t="shared" si="65"/>
        <v>400000</v>
      </c>
    </row>
    <row r="1808" spans="1:16" x14ac:dyDescent="0.2">
      <c r="A1808" s="33">
        <v>47482</v>
      </c>
      <c r="B1808" s="30">
        <f t="shared" si="64"/>
        <v>12</v>
      </c>
      <c r="C1808" s="30" t="str">
        <f>_xlfn.IFS(Table_13[[#This Row],[Month]]=1,"JAN",Table_13[[#This Row],[Month]]=2,"FEB",B1808=3,"MAR",B1808=4,"APR",B1808=5,"MAY",B1808=6,"JUN",B1808=7,"JUL",B1808=8,"AUG",Table_13[[#This Row],[Month]]=9,"SEPT",B1808=10,"OCT",B1808=11,"NOV",B1808=12,"DEC")</f>
        <v>DEC</v>
      </c>
      <c r="D1808" s="2" t="s">
        <v>11</v>
      </c>
      <c r="E1808" s="2" t="s">
        <v>26</v>
      </c>
      <c r="F1808" s="2" t="s">
        <v>13</v>
      </c>
      <c r="G1808" s="2" t="s">
        <v>20</v>
      </c>
      <c r="H1808" s="2" t="s">
        <v>21</v>
      </c>
      <c r="I1808" s="2" t="s">
        <v>22</v>
      </c>
      <c r="J1808" s="15">
        <v>30000</v>
      </c>
      <c r="K1808" s="2">
        <v>1</v>
      </c>
      <c r="L1808" s="2" t="s">
        <v>35</v>
      </c>
      <c r="M1808" s="12">
        <f t="shared" si="63"/>
        <v>24000</v>
      </c>
      <c r="N1808" s="10">
        <f>PRODUCT(Table_13[[#This Row],[Unit Price]],Table_13[[#This Row],[Quantity]])</f>
        <v>30000</v>
      </c>
      <c r="O1808" s="16">
        <f>PRODUCT(Table_13[[#This Row],[Cost Price]],Table_13[[#This Row],[Quantity]])</f>
        <v>24000</v>
      </c>
      <c r="P1808" s="27">
        <f t="shared" si="65"/>
        <v>6000</v>
      </c>
    </row>
    <row r="1809" spans="1:16" x14ac:dyDescent="0.2">
      <c r="A1809" s="33">
        <v>47483</v>
      </c>
      <c r="B1809" s="30">
        <f t="shared" si="64"/>
        <v>12</v>
      </c>
      <c r="C1809" s="30" t="str">
        <f>_xlfn.IFS(Table_13[[#This Row],[Month]]=1,"JAN",Table_13[[#This Row],[Month]]=2,"FEB",B1809=3,"MAR",B1809=4,"APR",B1809=5,"MAY",B1809=6,"JUN",B1809=7,"JUL",B1809=8,"AUG",Table_13[[#This Row],[Month]]=9,"SEPT",B1809=10,"OCT",B1809=11,"NOV",B1809=12,"DEC")</f>
        <v>DEC</v>
      </c>
      <c r="D1809" s="2" t="s">
        <v>11</v>
      </c>
      <c r="E1809" s="2" t="s">
        <v>32</v>
      </c>
      <c r="F1809" s="2" t="s">
        <v>23</v>
      </c>
      <c r="G1809" s="2" t="s">
        <v>20</v>
      </c>
      <c r="H1809" s="2" t="s">
        <v>21</v>
      </c>
      <c r="I1809" s="2" t="s">
        <v>22</v>
      </c>
      <c r="J1809" s="15">
        <v>30000</v>
      </c>
      <c r="K1809" s="2">
        <v>1</v>
      </c>
      <c r="L1809" s="2" t="s">
        <v>37</v>
      </c>
      <c r="M1809" s="12">
        <f t="shared" si="63"/>
        <v>24000</v>
      </c>
      <c r="N1809" s="10">
        <f>PRODUCT(Table_13[[#This Row],[Unit Price]],Table_13[[#This Row],[Quantity]])</f>
        <v>30000</v>
      </c>
      <c r="O1809" s="16">
        <f>PRODUCT(Table_13[[#This Row],[Cost Price]],Table_13[[#This Row],[Quantity]])</f>
        <v>24000</v>
      </c>
      <c r="P1809" s="27">
        <f t="shared" si="65"/>
        <v>6000</v>
      </c>
    </row>
    <row r="1810" spans="1:16" x14ac:dyDescent="0.2">
      <c r="A1810" s="33">
        <v>47484</v>
      </c>
      <c r="B1810" s="30">
        <f t="shared" si="64"/>
        <v>1</v>
      </c>
      <c r="C1810" s="30" t="str">
        <f>_xlfn.IFS(Table_13[[#This Row],[Month]]=1,"JAN",Table_13[[#This Row],[Month]]=2,"FEB",B1810=3,"MAR",B1810=4,"APR",B1810=5,"MAY",B1810=6,"JUN",B1810=7,"JUL",B1810=8,"AUG",Table_13[[#This Row],[Month]]=9,"SEPT",B1810=10,"OCT",B1810=11,"NOV",B1810=12,"DEC")</f>
        <v>JAN</v>
      </c>
      <c r="D1810" s="2" t="s">
        <v>29</v>
      </c>
      <c r="E1810" s="2" t="s">
        <v>26</v>
      </c>
      <c r="F1810" s="2" t="s">
        <v>13</v>
      </c>
      <c r="G1810" s="2" t="s">
        <v>20</v>
      </c>
      <c r="H1810" s="2" t="s">
        <v>21</v>
      </c>
      <c r="I1810" s="2" t="s">
        <v>22</v>
      </c>
      <c r="J1810" s="15">
        <v>30000</v>
      </c>
      <c r="K1810" s="2">
        <v>8</v>
      </c>
      <c r="L1810" s="2" t="s">
        <v>17</v>
      </c>
      <c r="M1810" s="12">
        <f t="shared" si="63"/>
        <v>24000</v>
      </c>
      <c r="N1810" s="10">
        <f>PRODUCT(Table_13[[#This Row],[Unit Price]],Table_13[[#This Row],[Quantity]])</f>
        <v>240000</v>
      </c>
      <c r="O1810" s="16">
        <f>PRODUCT(Table_13[[#This Row],[Cost Price]],Table_13[[#This Row],[Quantity]])</f>
        <v>192000</v>
      </c>
      <c r="P1810" s="27">
        <f t="shared" si="65"/>
        <v>48000</v>
      </c>
    </row>
    <row r="1811" spans="1:16" x14ac:dyDescent="0.2">
      <c r="A1811" s="33">
        <v>47485</v>
      </c>
      <c r="B1811" s="30">
        <f t="shared" si="64"/>
        <v>1</v>
      </c>
      <c r="C1811" s="30" t="str">
        <f>_xlfn.IFS(Table_13[[#This Row],[Month]]=1,"JAN",Table_13[[#This Row],[Month]]=2,"FEB",B1811=3,"MAR",B1811=4,"APR",B1811=5,"MAY",B1811=6,"JUN",B1811=7,"JUL",B1811=8,"AUG",Table_13[[#This Row],[Month]]=9,"SEPT",B1811=10,"OCT",B1811=11,"NOV",B1811=12,"DEC")</f>
        <v>JAN</v>
      </c>
      <c r="D1811" s="2" t="s">
        <v>11</v>
      </c>
      <c r="E1811" s="2" t="s">
        <v>12</v>
      </c>
      <c r="F1811" s="2" t="s">
        <v>13</v>
      </c>
      <c r="G1811" s="2" t="s">
        <v>20</v>
      </c>
      <c r="H1811" s="2" t="s">
        <v>27</v>
      </c>
      <c r="I1811" s="2" t="s">
        <v>22</v>
      </c>
      <c r="J1811" s="15">
        <v>60000</v>
      </c>
      <c r="K1811" s="2">
        <v>6</v>
      </c>
      <c r="L1811" s="2" t="s">
        <v>35</v>
      </c>
      <c r="M1811" s="12">
        <f t="shared" si="63"/>
        <v>48000</v>
      </c>
      <c r="N1811" s="10">
        <f>PRODUCT(Table_13[[#This Row],[Unit Price]],Table_13[[#This Row],[Quantity]])</f>
        <v>360000</v>
      </c>
      <c r="O1811" s="16">
        <f>PRODUCT(Table_13[[#This Row],[Cost Price]],Table_13[[#This Row],[Quantity]])</f>
        <v>288000</v>
      </c>
      <c r="P1811" s="27">
        <f t="shared" si="65"/>
        <v>72000</v>
      </c>
    </row>
    <row r="1812" spans="1:16" x14ac:dyDescent="0.2">
      <c r="A1812" s="33">
        <v>47486</v>
      </c>
      <c r="B1812" s="30">
        <f t="shared" si="64"/>
        <v>1</v>
      </c>
      <c r="C1812" s="30" t="str">
        <f>_xlfn.IFS(Table_13[[#This Row],[Month]]=1,"JAN",Table_13[[#This Row],[Month]]=2,"FEB",B1812=3,"MAR",B1812=4,"APR",B1812=5,"MAY",B1812=6,"JUN",B1812=7,"JUL",B1812=8,"AUG",Table_13[[#This Row],[Month]]=9,"SEPT",B1812=10,"OCT",B1812=11,"NOV",B1812=12,"DEC")</f>
        <v>JAN</v>
      </c>
      <c r="D1812" s="2" t="s">
        <v>11</v>
      </c>
      <c r="E1812" s="2" t="s">
        <v>12</v>
      </c>
      <c r="F1812" s="2" t="s">
        <v>23</v>
      </c>
      <c r="G1812" s="2" t="s">
        <v>20</v>
      </c>
      <c r="H1812" s="2" t="s">
        <v>40</v>
      </c>
      <c r="I1812" s="2" t="s">
        <v>31</v>
      </c>
      <c r="J1812" s="15">
        <v>250000</v>
      </c>
      <c r="K1812" s="2">
        <v>5</v>
      </c>
      <c r="L1812" s="2" t="s">
        <v>24</v>
      </c>
      <c r="M1812" s="12">
        <f t="shared" si="63"/>
        <v>200000</v>
      </c>
      <c r="N1812" s="10">
        <f>PRODUCT(Table_13[[#This Row],[Unit Price]],Table_13[[#This Row],[Quantity]])</f>
        <v>1250000</v>
      </c>
      <c r="O1812" s="16">
        <f>PRODUCT(Table_13[[#This Row],[Cost Price]],Table_13[[#This Row],[Quantity]])</f>
        <v>1000000</v>
      </c>
      <c r="P1812" s="27">
        <f t="shared" si="65"/>
        <v>250000</v>
      </c>
    </row>
    <row r="1813" spans="1:16" x14ac:dyDescent="0.2">
      <c r="A1813" s="33">
        <v>47487</v>
      </c>
      <c r="B1813" s="30">
        <f t="shared" si="64"/>
        <v>1</v>
      </c>
      <c r="C1813" s="30" t="str">
        <f>_xlfn.IFS(Table_13[[#This Row],[Month]]=1,"JAN",Table_13[[#This Row],[Month]]=2,"FEB",B1813=3,"MAR",B1813=4,"APR",B1813=5,"MAY",B1813=6,"JUN",B1813=7,"JUL",B1813=8,"AUG",Table_13[[#This Row],[Month]]=9,"SEPT",B1813=10,"OCT",B1813=11,"NOV",B1813=12,"DEC")</f>
        <v>JAN</v>
      </c>
      <c r="D1813" s="2" t="s">
        <v>25</v>
      </c>
      <c r="E1813" s="2" t="s">
        <v>32</v>
      </c>
      <c r="F1813" s="2" t="s">
        <v>13</v>
      </c>
      <c r="G1813" s="2" t="s">
        <v>20</v>
      </c>
      <c r="H1813" s="2" t="s">
        <v>21</v>
      </c>
      <c r="I1813" s="2" t="s">
        <v>22</v>
      </c>
      <c r="J1813" s="15">
        <v>30000</v>
      </c>
      <c r="K1813" s="2">
        <v>1</v>
      </c>
      <c r="L1813" s="2" t="s">
        <v>37</v>
      </c>
      <c r="M1813" s="12">
        <f t="shared" si="63"/>
        <v>24000</v>
      </c>
      <c r="N1813" s="10">
        <f>PRODUCT(Table_13[[#This Row],[Unit Price]],Table_13[[#This Row],[Quantity]])</f>
        <v>30000</v>
      </c>
      <c r="O1813" s="16">
        <f>PRODUCT(Table_13[[#This Row],[Cost Price]],Table_13[[#This Row],[Quantity]])</f>
        <v>24000</v>
      </c>
      <c r="P1813" s="27">
        <f t="shared" si="65"/>
        <v>6000</v>
      </c>
    </row>
    <row r="1814" spans="1:16" x14ac:dyDescent="0.2">
      <c r="A1814" s="33">
        <v>47488</v>
      </c>
      <c r="B1814" s="30">
        <f t="shared" si="64"/>
        <v>1</v>
      </c>
      <c r="C1814" s="30" t="str">
        <f>_xlfn.IFS(Table_13[[#This Row],[Month]]=1,"JAN",Table_13[[#This Row],[Month]]=2,"FEB",B1814=3,"MAR",B1814=4,"APR",B1814=5,"MAY",B1814=6,"JUN",B1814=7,"JUL",B1814=8,"AUG",Table_13[[#This Row],[Month]]=9,"SEPT",B1814=10,"OCT",B1814=11,"NOV",B1814=12,"DEC")</f>
        <v>JAN</v>
      </c>
      <c r="D1814" s="2" t="s">
        <v>25</v>
      </c>
      <c r="E1814" s="2" t="s">
        <v>26</v>
      </c>
      <c r="F1814" s="2" t="s">
        <v>23</v>
      </c>
      <c r="G1814" s="2" t="s">
        <v>20</v>
      </c>
      <c r="H1814" s="2" t="s">
        <v>36</v>
      </c>
      <c r="I1814" s="2" t="s">
        <v>31</v>
      </c>
      <c r="J1814" s="15">
        <v>150000</v>
      </c>
      <c r="K1814" s="2">
        <v>9</v>
      </c>
      <c r="L1814" s="2" t="s">
        <v>37</v>
      </c>
      <c r="M1814" s="12">
        <f t="shared" si="63"/>
        <v>120000</v>
      </c>
      <c r="N1814" s="10">
        <f>PRODUCT(Table_13[[#This Row],[Unit Price]],Table_13[[#This Row],[Quantity]])</f>
        <v>1350000</v>
      </c>
      <c r="O1814" s="16">
        <f>PRODUCT(Table_13[[#This Row],[Cost Price]],Table_13[[#This Row],[Quantity]])</f>
        <v>1080000</v>
      </c>
      <c r="P1814" s="27">
        <f t="shared" si="65"/>
        <v>270000</v>
      </c>
    </row>
    <row r="1815" spans="1:16" x14ac:dyDescent="0.2">
      <c r="A1815" s="33">
        <v>47489</v>
      </c>
      <c r="B1815" s="30">
        <f t="shared" si="64"/>
        <v>1</v>
      </c>
      <c r="C1815" s="30" t="str">
        <f>_xlfn.IFS(Table_13[[#This Row],[Month]]=1,"JAN",Table_13[[#This Row],[Month]]=2,"FEB",B1815=3,"MAR",B1815=4,"APR",B1815=5,"MAY",B1815=6,"JUN",B1815=7,"JUL",B1815=8,"AUG",Table_13[[#This Row],[Month]]=9,"SEPT",B1815=10,"OCT",B1815=11,"NOV",B1815=12,"DEC")</f>
        <v>JAN</v>
      </c>
      <c r="D1815" s="2" t="s">
        <v>18</v>
      </c>
      <c r="E1815" s="2" t="s">
        <v>32</v>
      </c>
      <c r="F1815" s="2" t="s">
        <v>13</v>
      </c>
      <c r="G1815" s="2" t="s">
        <v>20</v>
      </c>
      <c r="H1815" s="2" t="s">
        <v>33</v>
      </c>
      <c r="I1815" s="2" t="s">
        <v>22</v>
      </c>
      <c r="J1815" s="15">
        <v>180000</v>
      </c>
      <c r="K1815" s="2">
        <v>2</v>
      </c>
      <c r="L1815" s="2" t="s">
        <v>37</v>
      </c>
      <c r="M1815" s="12">
        <f t="shared" si="63"/>
        <v>144000</v>
      </c>
      <c r="N1815" s="10">
        <f>PRODUCT(Table_13[[#This Row],[Unit Price]],Table_13[[#This Row],[Quantity]])</f>
        <v>360000</v>
      </c>
      <c r="O1815" s="16">
        <f>PRODUCT(Table_13[[#This Row],[Cost Price]],Table_13[[#This Row],[Quantity]])</f>
        <v>288000</v>
      </c>
      <c r="P1815" s="27">
        <f t="shared" si="65"/>
        <v>72000</v>
      </c>
    </row>
    <row r="1816" spans="1:16" x14ac:dyDescent="0.2">
      <c r="A1816" s="33">
        <v>47490</v>
      </c>
      <c r="B1816" s="30">
        <f t="shared" si="64"/>
        <v>1</v>
      </c>
      <c r="C1816" s="30" t="str">
        <f>_xlfn.IFS(Table_13[[#This Row],[Month]]=1,"JAN",Table_13[[#This Row],[Month]]=2,"FEB",B1816=3,"MAR",B1816=4,"APR",B1816=5,"MAY",B1816=6,"JUN",B1816=7,"JUL",B1816=8,"AUG",Table_13[[#This Row],[Month]]=9,"SEPT",B1816=10,"OCT",B1816=11,"NOV",B1816=12,"DEC")</f>
        <v>JAN</v>
      </c>
      <c r="D1816" s="2" t="s">
        <v>18</v>
      </c>
      <c r="E1816" s="2" t="s">
        <v>32</v>
      </c>
      <c r="F1816" s="2" t="s">
        <v>13</v>
      </c>
      <c r="G1816" s="2" t="s">
        <v>20</v>
      </c>
      <c r="H1816" s="2" t="s">
        <v>38</v>
      </c>
      <c r="I1816" s="2" t="s">
        <v>31</v>
      </c>
      <c r="J1816" s="15">
        <v>420000</v>
      </c>
      <c r="K1816" s="2">
        <v>10</v>
      </c>
      <c r="L1816" s="2" t="s">
        <v>28</v>
      </c>
      <c r="M1816" s="12">
        <f t="shared" si="63"/>
        <v>336000</v>
      </c>
      <c r="N1816" s="10">
        <f>PRODUCT(Table_13[[#This Row],[Unit Price]],Table_13[[#This Row],[Quantity]])</f>
        <v>4200000</v>
      </c>
      <c r="O1816" s="16">
        <f>PRODUCT(Table_13[[#This Row],[Cost Price]],Table_13[[#This Row],[Quantity]])</f>
        <v>3360000</v>
      </c>
      <c r="P1816" s="27">
        <f t="shared" si="65"/>
        <v>840000</v>
      </c>
    </row>
    <row r="1817" spans="1:16" x14ac:dyDescent="0.2">
      <c r="A1817" s="33">
        <v>47491</v>
      </c>
      <c r="B1817" s="30">
        <f t="shared" si="64"/>
        <v>1</v>
      </c>
      <c r="C1817" s="30" t="str">
        <f>_xlfn.IFS(Table_13[[#This Row],[Month]]=1,"JAN",Table_13[[#This Row],[Month]]=2,"FEB",B1817=3,"MAR",B1817=4,"APR",B1817=5,"MAY",B1817=6,"JUN",B1817=7,"JUL",B1817=8,"AUG",Table_13[[#This Row],[Month]]=9,"SEPT",B1817=10,"OCT",B1817=11,"NOV",B1817=12,"DEC")</f>
        <v>JAN</v>
      </c>
      <c r="D1817" s="2" t="s">
        <v>11</v>
      </c>
      <c r="E1817" s="2" t="s">
        <v>26</v>
      </c>
      <c r="F1817" s="2" t="s">
        <v>23</v>
      </c>
      <c r="G1817" s="2" t="s">
        <v>20</v>
      </c>
      <c r="H1817" s="2" t="s">
        <v>30</v>
      </c>
      <c r="I1817" s="2" t="s">
        <v>31</v>
      </c>
      <c r="J1817" s="15">
        <v>300000</v>
      </c>
      <c r="K1817" s="2">
        <v>4</v>
      </c>
      <c r="L1817" s="2" t="s">
        <v>39</v>
      </c>
      <c r="M1817" s="12">
        <f t="shared" si="63"/>
        <v>240000</v>
      </c>
      <c r="N1817" s="10">
        <f>PRODUCT(Table_13[[#This Row],[Unit Price]],Table_13[[#This Row],[Quantity]])</f>
        <v>1200000</v>
      </c>
      <c r="O1817" s="16">
        <f>PRODUCT(Table_13[[#This Row],[Cost Price]],Table_13[[#This Row],[Quantity]])</f>
        <v>960000</v>
      </c>
      <c r="P1817" s="27">
        <f t="shared" si="65"/>
        <v>240000</v>
      </c>
    </row>
    <row r="1818" spans="1:16" x14ac:dyDescent="0.2">
      <c r="A1818" s="33">
        <v>47492</v>
      </c>
      <c r="B1818" s="30">
        <f t="shared" si="64"/>
        <v>1</v>
      </c>
      <c r="C1818" s="30" t="str">
        <f>_xlfn.IFS(Table_13[[#This Row],[Month]]=1,"JAN",Table_13[[#This Row],[Month]]=2,"FEB",B1818=3,"MAR",B1818=4,"APR",B1818=5,"MAY",B1818=6,"JUN",B1818=7,"JUL",B1818=8,"AUG",Table_13[[#This Row],[Month]]=9,"SEPT",B1818=10,"OCT",B1818=11,"NOV",B1818=12,"DEC")</f>
        <v>JAN</v>
      </c>
      <c r="D1818" s="2" t="s">
        <v>11</v>
      </c>
      <c r="E1818" s="2" t="s">
        <v>12</v>
      </c>
      <c r="F1818" s="2" t="s">
        <v>13</v>
      </c>
      <c r="G1818" s="2" t="s">
        <v>20</v>
      </c>
      <c r="H1818" s="2" t="s">
        <v>33</v>
      </c>
      <c r="I1818" s="2" t="s">
        <v>22</v>
      </c>
      <c r="J1818" s="15">
        <v>180000</v>
      </c>
      <c r="K1818" s="2">
        <v>8</v>
      </c>
      <c r="L1818" s="2" t="s">
        <v>37</v>
      </c>
      <c r="M1818" s="12">
        <f t="shared" si="63"/>
        <v>144000</v>
      </c>
      <c r="N1818" s="10">
        <f>PRODUCT(Table_13[[#This Row],[Unit Price]],Table_13[[#This Row],[Quantity]])</f>
        <v>1440000</v>
      </c>
      <c r="O1818" s="16">
        <f>PRODUCT(Table_13[[#This Row],[Cost Price]],Table_13[[#This Row],[Quantity]])</f>
        <v>1152000</v>
      </c>
      <c r="P1818" s="27">
        <f t="shared" si="65"/>
        <v>288000</v>
      </c>
    </row>
    <row r="1819" spans="1:16" x14ac:dyDescent="0.2">
      <c r="A1819" s="33">
        <v>47493</v>
      </c>
      <c r="B1819" s="30">
        <f t="shared" si="64"/>
        <v>1</v>
      </c>
      <c r="C1819" s="30" t="str">
        <f>_xlfn.IFS(Table_13[[#This Row],[Month]]=1,"JAN",Table_13[[#This Row],[Month]]=2,"FEB",B1819=3,"MAR",B1819=4,"APR",B1819=5,"MAY",B1819=6,"JUN",B1819=7,"JUL",B1819=8,"AUG",Table_13[[#This Row],[Month]]=9,"SEPT",B1819=10,"OCT",B1819=11,"NOV",B1819=12,"DEC")</f>
        <v>JAN</v>
      </c>
      <c r="D1819" s="2" t="s">
        <v>18</v>
      </c>
      <c r="E1819" s="2" t="s">
        <v>32</v>
      </c>
      <c r="F1819" s="2" t="s">
        <v>13</v>
      </c>
      <c r="G1819" s="2" t="s">
        <v>20</v>
      </c>
      <c r="H1819" s="2" t="s">
        <v>38</v>
      </c>
      <c r="I1819" s="2" t="s">
        <v>31</v>
      </c>
      <c r="J1819" s="15">
        <v>420000</v>
      </c>
      <c r="K1819" s="2">
        <v>5</v>
      </c>
      <c r="L1819" s="2" t="s">
        <v>37</v>
      </c>
      <c r="M1819" s="12">
        <f t="shared" si="63"/>
        <v>336000</v>
      </c>
      <c r="N1819" s="10">
        <f>PRODUCT(Table_13[[#This Row],[Unit Price]],Table_13[[#This Row],[Quantity]])</f>
        <v>2100000</v>
      </c>
      <c r="O1819" s="16">
        <f>PRODUCT(Table_13[[#This Row],[Cost Price]],Table_13[[#This Row],[Quantity]])</f>
        <v>1680000</v>
      </c>
      <c r="P1819" s="27">
        <f t="shared" si="65"/>
        <v>420000</v>
      </c>
    </row>
    <row r="1820" spans="1:16" x14ac:dyDescent="0.2">
      <c r="A1820" s="33">
        <v>47494</v>
      </c>
      <c r="B1820" s="30">
        <f t="shared" si="64"/>
        <v>1</v>
      </c>
      <c r="C1820" s="30" t="str">
        <f>_xlfn.IFS(Table_13[[#This Row],[Month]]=1,"JAN",Table_13[[#This Row],[Month]]=2,"FEB",B1820=3,"MAR",B1820=4,"APR",B1820=5,"MAY",B1820=6,"JUN",B1820=7,"JUL",B1820=8,"AUG",Table_13[[#This Row],[Month]]=9,"SEPT",B1820=10,"OCT",B1820=11,"NOV",B1820=12,"DEC")</f>
        <v>JAN</v>
      </c>
      <c r="D1820" s="2" t="s">
        <v>25</v>
      </c>
      <c r="E1820" s="2" t="s">
        <v>19</v>
      </c>
      <c r="F1820" s="2" t="s">
        <v>23</v>
      </c>
      <c r="G1820" s="2" t="s">
        <v>20</v>
      </c>
      <c r="H1820" s="2" t="s">
        <v>33</v>
      </c>
      <c r="I1820" s="2" t="s">
        <v>22</v>
      </c>
      <c r="J1820" s="15">
        <v>180000</v>
      </c>
      <c r="K1820" s="2">
        <v>5</v>
      </c>
      <c r="L1820" s="2" t="s">
        <v>17</v>
      </c>
      <c r="M1820" s="12">
        <f t="shared" si="63"/>
        <v>144000</v>
      </c>
      <c r="N1820" s="10">
        <f>PRODUCT(Table_13[[#This Row],[Unit Price]],Table_13[[#This Row],[Quantity]])</f>
        <v>900000</v>
      </c>
      <c r="O1820" s="16">
        <f>PRODUCT(Table_13[[#This Row],[Cost Price]],Table_13[[#This Row],[Quantity]])</f>
        <v>720000</v>
      </c>
      <c r="P1820" s="27">
        <f t="shared" si="65"/>
        <v>180000</v>
      </c>
    </row>
    <row r="1821" spans="1:16" x14ac:dyDescent="0.2">
      <c r="A1821" s="33">
        <v>47495</v>
      </c>
      <c r="B1821" s="30">
        <f t="shared" si="64"/>
        <v>1</v>
      </c>
      <c r="C1821" s="30" t="str">
        <f>_xlfn.IFS(Table_13[[#This Row],[Month]]=1,"JAN",Table_13[[#This Row],[Month]]=2,"FEB",B1821=3,"MAR",B1821=4,"APR",B1821=5,"MAY",B1821=6,"JUN",B1821=7,"JUL",B1821=8,"AUG",Table_13[[#This Row],[Month]]=9,"SEPT",B1821=10,"OCT",B1821=11,"NOV",B1821=12,"DEC")</f>
        <v>JAN</v>
      </c>
      <c r="D1821" s="2" t="s">
        <v>11</v>
      </c>
      <c r="E1821" s="2" t="s">
        <v>12</v>
      </c>
      <c r="F1821" s="2" t="s">
        <v>23</v>
      </c>
      <c r="G1821" s="2" t="s">
        <v>20</v>
      </c>
      <c r="H1821" s="2" t="s">
        <v>30</v>
      </c>
      <c r="I1821" s="2" t="s">
        <v>31</v>
      </c>
      <c r="J1821" s="15">
        <v>300000</v>
      </c>
      <c r="K1821" s="2">
        <v>1</v>
      </c>
      <c r="L1821" s="2" t="s">
        <v>37</v>
      </c>
      <c r="M1821" s="12">
        <f t="shared" si="63"/>
        <v>240000</v>
      </c>
      <c r="N1821" s="10">
        <f>PRODUCT(Table_13[[#This Row],[Unit Price]],Table_13[[#This Row],[Quantity]])</f>
        <v>300000</v>
      </c>
      <c r="O1821" s="16">
        <f>PRODUCT(Table_13[[#This Row],[Cost Price]],Table_13[[#This Row],[Quantity]])</f>
        <v>240000</v>
      </c>
      <c r="P1821" s="27">
        <f t="shared" si="65"/>
        <v>60000</v>
      </c>
    </row>
    <row r="1822" spans="1:16" x14ac:dyDescent="0.2">
      <c r="A1822" s="33">
        <v>47496</v>
      </c>
      <c r="B1822" s="30">
        <f t="shared" si="64"/>
        <v>1</v>
      </c>
      <c r="C1822" s="30" t="str">
        <f>_xlfn.IFS(Table_13[[#This Row],[Month]]=1,"JAN",Table_13[[#This Row],[Month]]=2,"FEB",B1822=3,"MAR",B1822=4,"APR",B1822=5,"MAY",B1822=6,"JUN",B1822=7,"JUL",B1822=8,"AUG",Table_13[[#This Row],[Month]]=9,"SEPT",B1822=10,"OCT",B1822=11,"NOV",B1822=12,"DEC")</f>
        <v>JAN</v>
      </c>
      <c r="D1822" s="2" t="s">
        <v>25</v>
      </c>
      <c r="E1822" s="2" t="s">
        <v>12</v>
      </c>
      <c r="F1822" s="2" t="s">
        <v>13</v>
      </c>
      <c r="G1822" s="2" t="s">
        <v>20</v>
      </c>
      <c r="H1822" s="2" t="s">
        <v>33</v>
      </c>
      <c r="I1822" s="2" t="s">
        <v>22</v>
      </c>
      <c r="J1822" s="15">
        <v>180000</v>
      </c>
      <c r="K1822" s="2">
        <v>7</v>
      </c>
      <c r="L1822" s="2" t="s">
        <v>37</v>
      </c>
      <c r="M1822" s="12">
        <f t="shared" si="63"/>
        <v>144000</v>
      </c>
      <c r="N1822" s="10">
        <f>PRODUCT(Table_13[[#This Row],[Unit Price]],Table_13[[#This Row],[Quantity]])</f>
        <v>1260000</v>
      </c>
      <c r="O1822" s="16">
        <f>PRODUCT(Table_13[[#This Row],[Cost Price]],Table_13[[#This Row],[Quantity]])</f>
        <v>1008000</v>
      </c>
      <c r="P1822" s="27">
        <f t="shared" si="65"/>
        <v>252000</v>
      </c>
    </row>
    <row r="1823" spans="1:16" x14ac:dyDescent="0.2">
      <c r="A1823" s="33">
        <v>47497</v>
      </c>
      <c r="B1823" s="30">
        <f t="shared" si="64"/>
        <v>1</v>
      </c>
      <c r="C1823" s="30" t="str">
        <f>_xlfn.IFS(Table_13[[#This Row],[Month]]=1,"JAN",Table_13[[#This Row],[Month]]=2,"FEB",B1823=3,"MAR",B1823=4,"APR",B1823=5,"MAY",B1823=6,"JUN",B1823=7,"JUL",B1823=8,"AUG",Table_13[[#This Row],[Month]]=9,"SEPT",B1823=10,"OCT",B1823=11,"NOV",B1823=12,"DEC")</f>
        <v>JAN</v>
      </c>
      <c r="D1823" s="2" t="s">
        <v>18</v>
      </c>
      <c r="E1823" s="2" t="s">
        <v>26</v>
      </c>
      <c r="F1823" s="2" t="s">
        <v>23</v>
      </c>
      <c r="G1823" s="2" t="s">
        <v>20</v>
      </c>
      <c r="H1823" s="2" t="s">
        <v>21</v>
      </c>
      <c r="I1823" s="2" t="s">
        <v>22</v>
      </c>
      <c r="J1823" s="15">
        <v>30000</v>
      </c>
      <c r="K1823" s="2">
        <v>8</v>
      </c>
      <c r="L1823" s="2" t="s">
        <v>37</v>
      </c>
      <c r="M1823" s="12">
        <f t="shared" si="63"/>
        <v>24000</v>
      </c>
      <c r="N1823" s="10">
        <f>PRODUCT(Table_13[[#This Row],[Unit Price]],Table_13[[#This Row],[Quantity]])</f>
        <v>240000</v>
      </c>
      <c r="O1823" s="16">
        <f>PRODUCT(Table_13[[#This Row],[Cost Price]],Table_13[[#This Row],[Quantity]])</f>
        <v>192000</v>
      </c>
      <c r="P1823" s="27">
        <f t="shared" si="65"/>
        <v>48000</v>
      </c>
    </row>
    <row r="1824" spans="1:16" x14ac:dyDescent="0.2">
      <c r="A1824" s="33">
        <v>47498</v>
      </c>
      <c r="B1824" s="30">
        <f t="shared" si="64"/>
        <v>1</v>
      </c>
      <c r="C1824" s="30" t="str">
        <f>_xlfn.IFS(Table_13[[#This Row],[Month]]=1,"JAN",Table_13[[#This Row],[Month]]=2,"FEB",B1824=3,"MAR",B1824=4,"APR",B1824=5,"MAY",B1824=6,"JUN",B1824=7,"JUL",B1824=8,"AUG",Table_13[[#This Row],[Month]]=9,"SEPT",B1824=10,"OCT",B1824=11,"NOV",B1824=12,"DEC")</f>
        <v>JAN</v>
      </c>
      <c r="D1824" s="2" t="s">
        <v>29</v>
      </c>
      <c r="E1824" s="2" t="s">
        <v>12</v>
      </c>
      <c r="F1824" s="2" t="s">
        <v>13</v>
      </c>
      <c r="G1824" s="2" t="s">
        <v>20</v>
      </c>
      <c r="H1824" s="2" t="s">
        <v>15</v>
      </c>
      <c r="I1824" s="2" t="s">
        <v>16</v>
      </c>
      <c r="J1824" s="15">
        <v>85000</v>
      </c>
      <c r="K1824" s="2">
        <v>10</v>
      </c>
      <c r="L1824" s="2" t="s">
        <v>28</v>
      </c>
      <c r="M1824" s="12">
        <f t="shared" si="63"/>
        <v>68000</v>
      </c>
      <c r="N1824" s="10">
        <f>PRODUCT(Table_13[[#This Row],[Unit Price]],Table_13[[#This Row],[Quantity]])</f>
        <v>850000</v>
      </c>
      <c r="O1824" s="16">
        <f>PRODUCT(Table_13[[#This Row],[Cost Price]],Table_13[[#This Row],[Quantity]])</f>
        <v>680000</v>
      </c>
      <c r="P1824" s="27">
        <f t="shared" si="65"/>
        <v>170000</v>
      </c>
    </row>
    <row r="1825" spans="1:16" x14ac:dyDescent="0.2">
      <c r="A1825" s="33">
        <v>47499</v>
      </c>
      <c r="B1825" s="30">
        <f t="shared" si="64"/>
        <v>1</v>
      </c>
      <c r="C1825" s="30" t="str">
        <f>_xlfn.IFS(Table_13[[#This Row],[Month]]=1,"JAN",Table_13[[#This Row],[Month]]=2,"FEB",B1825=3,"MAR",B1825=4,"APR",B1825=5,"MAY",B1825=6,"JUN",B1825=7,"JUL",B1825=8,"AUG",Table_13[[#This Row],[Month]]=9,"SEPT",B1825=10,"OCT",B1825=11,"NOV",B1825=12,"DEC")</f>
        <v>JAN</v>
      </c>
      <c r="D1825" s="2" t="s">
        <v>18</v>
      </c>
      <c r="E1825" s="2" t="s">
        <v>26</v>
      </c>
      <c r="F1825" s="2" t="s">
        <v>13</v>
      </c>
      <c r="G1825" s="2" t="s">
        <v>20</v>
      </c>
      <c r="H1825" s="2" t="s">
        <v>15</v>
      </c>
      <c r="I1825" s="2" t="s">
        <v>16</v>
      </c>
      <c r="J1825" s="15">
        <v>85000</v>
      </c>
      <c r="K1825" s="2">
        <v>1</v>
      </c>
      <c r="L1825" s="2" t="s">
        <v>17</v>
      </c>
      <c r="M1825" s="12">
        <f t="shared" si="63"/>
        <v>68000</v>
      </c>
      <c r="N1825" s="10">
        <f>PRODUCT(Table_13[[#This Row],[Unit Price]],Table_13[[#This Row],[Quantity]])</f>
        <v>85000</v>
      </c>
      <c r="O1825" s="16">
        <f>PRODUCT(Table_13[[#This Row],[Cost Price]],Table_13[[#This Row],[Quantity]])</f>
        <v>68000</v>
      </c>
      <c r="P1825" s="27">
        <f t="shared" si="65"/>
        <v>17000</v>
      </c>
    </row>
    <row r="1826" spans="1:16" x14ac:dyDescent="0.2">
      <c r="A1826" s="33">
        <v>47500</v>
      </c>
      <c r="B1826" s="30">
        <f t="shared" si="64"/>
        <v>1</v>
      </c>
      <c r="C1826" s="30" t="str">
        <f>_xlfn.IFS(Table_13[[#This Row],[Month]]=1,"JAN",Table_13[[#This Row],[Month]]=2,"FEB",B1826=3,"MAR",B1826=4,"APR",B1826=5,"MAY",B1826=6,"JUN",B1826=7,"JUL",B1826=8,"AUG",Table_13[[#This Row],[Month]]=9,"SEPT",B1826=10,"OCT",B1826=11,"NOV",B1826=12,"DEC")</f>
        <v>JAN</v>
      </c>
      <c r="D1826" s="2" t="s">
        <v>29</v>
      </c>
      <c r="E1826" s="2" t="s">
        <v>19</v>
      </c>
      <c r="F1826" s="2" t="s">
        <v>23</v>
      </c>
      <c r="G1826" s="2" t="s">
        <v>20</v>
      </c>
      <c r="H1826" s="2" t="s">
        <v>36</v>
      </c>
      <c r="I1826" s="2" t="s">
        <v>31</v>
      </c>
      <c r="J1826" s="15">
        <v>150000</v>
      </c>
      <c r="K1826" s="2">
        <v>8</v>
      </c>
      <c r="L1826" s="2" t="s">
        <v>37</v>
      </c>
      <c r="M1826" s="12">
        <f t="shared" si="63"/>
        <v>120000</v>
      </c>
      <c r="N1826" s="10">
        <f>PRODUCT(Table_13[[#This Row],[Unit Price]],Table_13[[#This Row],[Quantity]])</f>
        <v>1200000</v>
      </c>
      <c r="O1826" s="16">
        <f>PRODUCT(Table_13[[#This Row],[Cost Price]],Table_13[[#This Row],[Quantity]])</f>
        <v>960000</v>
      </c>
      <c r="P1826" s="27">
        <f t="shared" si="65"/>
        <v>240000</v>
      </c>
    </row>
    <row r="1827" spans="1:16" x14ac:dyDescent="0.2">
      <c r="A1827" s="33">
        <v>47501</v>
      </c>
      <c r="B1827" s="30">
        <f t="shared" si="64"/>
        <v>1</v>
      </c>
      <c r="C1827" s="30" t="str">
        <f>_xlfn.IFS(Table_13[[#This Row],[Month]]=1,"JAN",Table_13[[#This Row],[Month]]=2,"FEB",B1827=3,"MAR",B1827=4,"APR",B1827=5,"MAY",B1827=6,"JUN",B1827=7,"JUL",B1827=8,"AUG",Table_13[[#This Row],[Month]]=9,"SEPT",B1827=10,"OCT",B1827=11,"NOV",B1827=12,"DEC")</f>
        <v>JAN</v>
      </c>
      <c r="D1827" s="2" t="s">
        <v>11</v>
      </c>
      <c r="E1827" s="2" t="s">
        <v>19</v>
      </c>
      <c r="F1827" s="2" t="s">
        <v>23</v>
      </c>
      <c r="G1827" s="2" t="s">
        <v>20</v>
      </c>
      <c r="H1827" s="2" t="s">
        <v>38</v>
      </c>
      <c r="I1827" s="2" t="s">
        <v>31</v>
      </c>
      <c r="J1827" s="15">
        <v>420000</v>
      </c>
      <c r="K1827" s="2">
        <v>6</v>
      </c>
      <c r="L1827" s="2" t="s">
        <v>35</v>
      </c>
      <c r="M1827" s="12">
        <f t="shared" si="63"/>
        <v>336000</v>
      </c>
      <c r="N1827" s="10">
        <f>PRODUCT(Table_13[[#This Row],[Unit Price]],Table_13[[#This Row],[Quantity]])</f>
        <v>2520000</v>
      </c>
      <c r="O1827" s="16">
        <f>PRODUCT(Table_13[[#This Row],[Cost Price]],Table_13[[#This Row],[Quantity]])</f>
        <v>2016000</v>
      </c>
      <c r="P1827" s="27">
        <f t="shared" si="65"/>
        <v>504000</v>
      </c>
    </row>
    <row r="1828" spans="1:16" x14ac:dyDescent="0.2">
      <c r="A1828" s="33">
        <v>47502</v>
      </c>
      <c r="B1828" s="30">
        <f t="shared" si="64"/>
        <v>1</v>
      </c>
      <c r="C1828" s="30" t="str">
        <f>_xlfn.IFS(Table_13[[#This Row],[Month]]=1,"JAN",Table_13[[#This Row],[Month]]=2,"FEB",B1828=3,"MAR",B1828=4,"APR",B1828=5,"MAY",B1828=6,"JUN",B1828=7,"JUL",B1828=8,"AUG",Table_13[[#This Row],[Month]]=9,"SEPT",B1828=10,"OCT",B1828=11,"NOV",B1828=12,"DEC")</f>
        <v>JAN</v>
      </c>
      <c r="D1828" s="2" t="s">
        <v>25</v>
      </c>
      <c r="E1828" s="2" t="s">
        <v>32</v>
      </c>
      <c r="F1828" s="2" t="s">
        <v>13</v>
      </c>
      <c r="G1828" s="2" t="s">
        <v>20</v>
      </c>
      <c r="H1828" s="2" t="s">
        <v>27</v>
      </c>
      <c r="I1828" s="2" t="s">
        <v>22</v>
      </c>
      <c r="J1828" s="15">
        <v>60000</v>
      </c>
      <c r="K1828" s="2">
        <v>8</v>
      </c>
      <c r="L1828" s="2" t="s">
        <v>35</v>
      </c>
      <c r="M1828" s="12">
        <f t="shared" si="63"/>
        <v>48000</v>
      </c>
      <c r="N1828" s="10">
        <f>PRODUCT(Table_13[[#This Row],[Unit Price]],Table_13[[#This Row],[Quantity]])</f>
        <v>480000</v>
      </c>
      <c r="O1828" s="16">
        <f>PRODUCT(Table_13[[#This Row],[Cost Price]],Table_13[[#This Row],[Quantity]])</f>
        <v>384000</v>
      </c>
      <c r="P1828" s="27">
        <f t="shared" si="65"/>
        <v>96000</v>
      </c>
    </row>
    <row r="1829" spans="1:16" x14ac:dyDescent="0.2">
      <c r="A1829" s="33">
        <v>47503</v>
      </c>
      <c r="B1829" s="30">
        <f t="shared" si="64"/>
        <v>1</v>
      </c>
      <c r="C1829" s="30" t="str">
        <f>_xlfn.IFS(Table_13[[#This Row],[Month]]=1,"JAN",Table_13[[#This Row],[Month]]=2,"FEB",B1829=3,"MAR",B1829=4,"APR",B1829=5,"MAY",B1829=6,"JUN",B1829=7,"JUL",B1829=8,"AUG",Table_13[[#This Row],[Month]]=9,"SEPT",B1829=10,"OCT",B1829=11,"NOV",B1829=12,"DEC")</f>
        <v>JAN</v>
      </c>
      <c r="D1829" s="2" t="s">
        <v>25</v>
      </c>
      <c r="E1829" s="2" t="s">
        <v>12</v>
      </c>
      <c r="F1829" s="2" t="s">
        <v>13</v>
      </c>
      <c r="G1829" s="2" t="s">
        <v>20</v>
      </c>
      <c r="H1829" s="2" t="s">
        <v>30</v>
      </c>
      <c r="I1829" s="2" t="s">
        <v>31</v>
      </c>
      <c r="J1829" s="15">
        <v>300000</v>
      </c>
      <c r="K1829" s="2">
        <v>7</v>
      </c>
      <c r="L1829" s="2" t="s">
        <v>28</v>
      </c>
      <c r="M1829" s="12">
        <f t="shared" si="63"/>
        <v>240000</v>
      </c>
      <c r="N1829" s="10">
        <f>PRODUCT(Table_13[[#This Row],[Unit Price]],Table_13[[#This Row],[Quantity]])</f>
        <v>2100000</v>
      </c>
      <c r="O1829" s="16">
        <f>PRODUCT(Table_13[[#This Row],[Cost Price]],Table_13[[#This Row],[Quantity]])</f>
        <v>1680000</v>
      </c>
      <c r="P1829" s="27">
        <f t="shared" si="65"/>
        <v>420000</v>
      </c>
    </row>
    <row r="1830" spans="1:16" x14ac:dyDescent="0.2">
      <c r="A1830" s="33">
        <v>47504</v>
      </c>
      <c r="B1830" s="30">
        <f t="shared" si="64"/>
        <v>1</v>
      </c>
      <c r="C1830" s="30" t="str">
        <f>_xlfn.IFS(Table_13[[#This Row],[Month]]=1,"JAN",Table_13[[#This Row],[Month]]=2,"FEB",B1830=3,"MAR",B1830=4,"APR",B1830=5,"MAY",B1830=6,"JUN",B1830=7,"JUL",B1830=8,"AUG",Table_13[[#This Row],[Month]]=9,"SEPT",B1830=10,"OCT",B1830=11,"NOV",B1830=12,"DEC")</f>
        <v>JAN</v>
      </c>
      <c r="D1830" s="2" t="s">
        <v>18</v>
      </c>
      <c r="E1830" s="2" t="s">
        <v>19</v>
      </c>
      <c r="F1830" s="2" t="s">
        <v>23</v>
      </c>
      <c r="G1830" s="2" t="s">
        <v>20</v>
      </c>
      <c r="H1830" s="2" t="s">
        <v>36</v>
      </c>
      <c r="I1830" s="2" t="s">
        <v>31</v>
      </c>
      <c r="J1830" s="15">
        <v>150000</v>
      </c>
      <c r="K1830" s="2">
        <v>8</v>
      </c>
      <c r="L1830" s="2" t="s">
        <v>37</v>
      </c>
      <c r="M1830" s="12">
        <f t="shared" si="63"/>
        <v>120000</v>
      </c>
      <c r="N1830" s="10">
        <f>PRODUCT(Table_13[[#This Row],[Unit Price]],Table_13[[#This Row],[Quantity]])</f>
        <v>1200000</v>
      </c>
      <c r="O1830" s="16">
        <f>PRODUCT(Table_13[[#This Row],[Cost Price]],Table_13[[#This Row],[Quantity]])</f>
        <v>960000</v>
      </c>
      <c r="P1830" s="27">
        <f t="shared" si="65"/>
        <v>240000</v>
      </c>
    </row>
    <row r="1831" spans="1:16" x14ac:dyDescent="0.2">
      <c r="A1831" s="33">
        <v>47505</v>
      </c>
      <c r="B1831" s="30">
        <f t="shared" si="64"/>
        <v>1</v>
      </c>
      <c r="C1831" s="30" t="str">
        <f>_xlfn.IFS(Table_13[[#This Row],[Month]]=1,"JAN",Table_13[[#This Row],[Month]]=2,"FEB",B1831=3,"MAR",B1831=4,"APR",B1831=5,"MAY",B1831=6,"JUN",B1831=7,"JUL",B1831=8,"AUG",Table_13[[#This Row],[Month]]=9,"SEPT",B1831=10,"OCT",B1831=11,"NOV",B1831=12,"DEC")</f>
        <v>JAN</v>
      </c>
      <c r="D1831" s="2" t="s">
        <v>18</v>
      </c>
      <c r="E1831" s="2" t="s">
        <v>12</v>
      </c>
      <c r="F1831" s="2" t="s">
        <v>23</v>
      </c>
      <c r="G1831" s="2" t="s">
        <v>20</v>
      </c>
      <c r="H1831" s="2" t="s">
        <v>27</v>
      </c>
      <c r="I1831" s="2" t="s">
        <v>22</v>
      </c>
      <c r="J1831" s="15">
        <v>60000</v>
      </c>
      <c r="K1831" s="2">
        <v>10</v>
      </c>
      <c r="L1831" s="2" t="s">
        <v>17</v>
      </c>
      <c r="M1831" s="12">
        <f t="shared" si="63"/>
        <v>48000</v>
      </c>
      <c r="N1831" s="10">
        <f>PRODUCT(Table_13[[#This Row],[Unit Price]],Table_13[[#This Row],[Quantity]])</f>
        <v>600000</v>
      </c>
      <c r="O1831" s="16">
        <f>PRODUCT(Table_13[[#This Row],[Cost Price]],Table_13[[#This Row],[Quantity]])</f>
        <v>480000</v>
      </c>
      <c r="P1831" s="27">
        <f t="shared" si="65"/>
        <v>120000</v>
      </c>
    </row>
    <row r="1832" spans="1:16" x14ac:dyDescent="0.2">
      <c r="A1832" s="33">
        <v>47506</v>
      </c>
      <c r="B1832" s="30">
        <f t="shared" si="64"/>
        <v>1</v>
      </c>
      <c r="C1832" s="30" t="str">
        <f>_xlfn.IFS(Table_13[[#This Row],[Month]]=1,"JAN",Table_13[[#This Row],[Month]]=2,"FEB",B1832=3,"MAR",B1832=4,"APR",B1832=5,"MAY",B1832=6,"JUN",B1832=7,"JUL",B1832=8,"AUG",Table_13[[#This Row],[Month]]=9,"SEPT",B1832=10,"OCT",B1832=11,"NOV",B1832=12,"DEC")</f>
        <v>JAN</v>
      </c>
      <c r="D1832" s="2" t="s">
        <v>29</v>
      </c>
      <c r="E1832" s="2" t="s">
        <v>26</v>
      </c>
      <c r="F1832" s="2" t="s">
        <v>13</v>
      </c>
      <c r="G1832" s="2" t="s">
        <v>20</v>
      </c>
      <c r="H1832" s="2" t="s">
        <v>34</v>
      </c>
      <c r="I1832" s="2" t="s">
        <v>16</v>
      </c>
      <c r="J1832" s="15">
        <v>320000</v>
      </c>
      <c r="K1832" s="2">
        <v>9</v>
      </c>
      <c r="L1832" s="2" t="s">
        <v>35</v>
      </c>
      <c r="M1832" s="12">
        <f t="shared" si="63"/>
        <v>256000</v>
      </c>
      <c r="N1832" s="10">
        <f>PRODUCT(Table_13[[#This Row],[Unit Price]],Table_13[[#This Row],[Quantity]])</f>
        <v>2880000</v>
      </c>
      <c r="O1832" s="16">
        <f>PRODUCT(Table_13[[#This Row],[Cost Price]],Table_13[[#This Row],[Quantity]])</f>
        <v>2304000</v>
      </c>
      <c r="P1832" s="27">
        <f t="shared" si="65"/>
        <v>576000</v>
      </c>
    </row>
    <row r="1833" spans="1:16" x14ac:dyDescent="0.2">
      <c r="A1833" s="33">
        <v>47507</v>
      </c>
      <c r="B1833" s="30">
        <f t="shared" si="64"/>
        <v>1</v>
      </c>
      <c r="C1833" s="30" t="str">
        <f>_xlfn.IFS(Table_13[[#This Row],[Month]]=1,"JAN",Table_13[[#This Row],[Month]]=2,"FEB",B1833=3,"MAR",B1833=4,"APR",B1833=5,"MAY",B1833=6,"JUN",B1833=7,"JUL",B1833=8,"AUG",Table_13[[#This Row],[Month]]=9,"SEPT",B1833=10,"OCT",B1833=11,"NOV",B1833=12,"DEC")</f>
        <v>JAN</v>
      </c>
      <c r="D1833" s="2" t="s">
        <v>11</v>
      </c>
      <c r="E1833" s="2" t="s">
        <v>12</v>
      </c>
      <c r="F1833" s="2" t="s">
        <v>13</v>
      </c>
      <c r="G1833" s="2" t="s">
        <v>20</v>
      </c>
      <c r="H1833" s="2" t="s">
        <v>40</v>
      </c>
      <c r="I1833" s="2" t="s">
        <v>31</v>
      </c>
      <c r="J1833" s="15">
        <v>250000</v>
      </c>
      <c r="K1833" s="2">
        <v>9</v>
      </c>
      <c r="L1833" s="2" t="s">
        <v>28</v>
      </c>
      <c r="M1833" s="12">
        <f t="shared" si="63"/>
        <v>200000</v>
      </c>
      <c r="N1833" s="10">
        <f>PRODUCT(Table_13[[#This Row],[Unit Price]],Table_13[[#This Row],[Quantity]])</f>
        <v>2250000</v>
      </c>
      <c r="O1833" s="16">
        <f>PRODUCT(Table_13[[#This Row],[Cost Price]],Table_13[[#This Row],[Quantity]])</f>
        <v>1800000</v>
      </c>
      <c r="P1833" s="27">
        <f t="shared" si="65"/>
        <v>450000</v>
      </c>
    </row>
    <row r="1834" spans="1:16" x14ac:dyDescent="0.2">
      <c r="A1834" s="33">
        <v>47508</v>
      </c>
      <c r="B1834" s="30">
        <f t="shared" si="64"/>
        <v>1</v>
      </c>
      <c r="C1834" s="30" t="str">
        <f>_xlfn.IFS(Table_13[[#This Row],[Month]]=1,"JAN",Table_13[[#This Row],[Month]]=2,"FEB",B1834=3,"MAR",B1834=4,"APR",B1834=5,"MAY",B1834=6,"JUN",B1834=7,"JUL",B1834=8,"AUG",Table_13[[#This Row],[Month]]=9,"SEPT",B1834=10,"OCT",B1834=11,"NOV",B1834=12,"DEC")</f>
        <v>JAN</v>
      </c>
      <c r="D1834" s="2" t="s">
        <v>25</v>
      </c>
      <c r="E1834" s="2" t="s">
        <v>26</v>
      </c>
      <c r="F1834" s="2" t="s">
        <v>13</v>
      </c>
      <c r="G1834" s="2" t="s">
        <v>20</v>
      </c>
      <c r="H1834" s="2" t="s">
        <v>41</v>
      </c>
      <c r="I1834" s="2" t="s">
        <v>22</v>
      </c>
      <c r="J1834" s="15">
        <v>220000</v>
      </c>
      <c r="K1834" s="2">
        <v>7</v>
      </c>
      <c r="L1834" s="2" t="s">
        <v>35</v>
      </c>
      <c r="M1834" s="12">
        <f t="shared" si="63"/>
        <v>176000</v>
      </c>
      <c r="N1834" s="10">
        <f>PRODUCT(Table_13[[#This Row],[Unit Price]],Table_13[[#This Row],[Quantity]])</f>
        <v>1540000</v>
      </c>
      <c r="O1834" s="16">
        <f>PRODUCT(Table_13[[#This Row],[Cost Price]],Table_13[[#This Row],[Quantity]])</f>
        <v>1232000</v>
      </c>
      <c r="P1834" s="27">
        <f t="shared" si="65"/>
        <v>308000</v>
      </c>
    </row>
    <row r="1835" spans="1:16" x14ac:dyDescent="0.2">
      <c r="A1835" s="33">
        <v>47509</v>
      </c>
      <c r="B1835" s="30">
        <f t="shared" si="64"/>
        <v>1</v>
      </c>
      <c r="C1835" s="30" t="str">
        <f>_xlfn.IFS(Table_13[[#This Row],[Month]]=1,"JAN",Table_13[[#This Row],[Month]]=2,"FEB",B1835=3,"MAR",B1835=4,"APR",B1835=5,"MAY",B1835=6,"JUN",B1835=7,"JUL",B1835=8,"AUG",Table_13[[#This Row],[Month]]=9,"SEPT",B1835=10,"OCT",B1835=11,"NOV",B1835=12,"DEC")</f>
        <v>JAN</v>
      </c>
      <c r="D1835" s="2" t="s">
        <v>25</v>
      </c>
      <c r="E1835" s="2" t="s">
        <v>19</v>
      </c>
      <c r="F1835" s="2" t="s">
        <v>13</v>
      </c>
      <c r="G1835" s="2" t="s">
        <v>20</v>
      </c>
      <c r="H1835" s="2" t="s">
        <v>34</v>
      </c>
      <c r="I1835" s="2" t="s">
        <v>16</v>
      </c>
      <c r="J1835" s="15">
        <v>320000</v>
      </c>
      <c r="K1835" s="2">
        <v>4</v>
      </c>
      <c r="L1835" s="2" t="s">
        <v>24</v>
      </c>
      <c r="M1835" s="12">
        <f t="shared" si="63"/>
        <v>256000</v>
      </c>
      <c r="N1835" s="10">
        <f>PRODUCT(Table_13[[#This Row],[Unit Price]],Table_13[[#This Row],[Quantity]])</f>
        <v>1280000</v>
      </c>
      <c r="O1835" s="16">
        <f>PRODUCT(Table_13[[#This Row],[Cost Price]],Table_13[[#This Row],[Quantity]])</f>
        <v>1024000</v>
      </c>
      <c r="P1835" s="27">
        <f t="shared" si="65"/>
        <v>256000</v>
      </c>
    </row>
    <row r="1836" spans="1:16" x14ac:dyDescent="0.2">
      <c r="A1836" s="33">
        <v>47510</v>
      </c>
      <c r="B1836" s="30">
        <f t="shared" si="64"/>
        <v>1</v>
      </c>
      <c r="C1836" s="30" t="str">
        <f>_xlfn.IFS(Table_13[[#This Row],[Month]]=1,"JAN",Table_13[[#This Row],[Month]]=2,"FEB",B1836=3,"MAR",B1836=4,"APR",B1836=5,"MAY",B1836=6,"JUN",B1836=7,"JUL",B1836=8,"AUG",Table_13[[#This Row],[Month]]=9,"SEPT",B1836=10,"OCT",B1836=11,"NOV",B1836=12,"DEC")</f>
        <v>JAN</v>
      </c>
      <c r="D1836" s="2" t="s">
        <v>25</v>
      </c>
      <c r="E1836" s="2" t="s">
        <v>19</v>
      </c>
      <c r="F1836" s="2" t="s">
        <v>23</v>
      </c>
      <c r="G1836" s="2" t="s">
        <v>20</v>
      </c>
      <c r="H1836" s="2" t="s">
        <v>41</v>
      </c>
      <c r="I1836" s="2" t="s">
        <v>22</v>
      </c>
      <c r="J1836" s="15">
        <v>220000</v>
      </c>
      <c r="K1836" s="2">
        <v>1</v>
      </c>
      <c r="L1836" s="2" t="s">
        <v>37</v>
      </c>
      <c r="M1836" s="12">
        <f t="shared" si="63"/>
        <v>176000</v>
      </c>
      <c r="N1836" s="10">
        <f>PRODUCT(Table_13[[#This Row],[Unit Price]],Table_13[[#This Row],[Quantity]])</f>
        <v>220000</v>
      </c>
      <c r="O1836" s="16">
        <f>PRODUCT(Table_13[[#This Row],[Cost Price]],Table_13[[#This Row],[Quantity]])</f>
        <v>176000</v>
      </c>
      <c r="P1836" s="27">
        <f t="shared" si="65"/>
        <v>44000</v>
      </c>
    </row>
    <row r="1837" spans="1:16" x14ac:dyDescent="0.2">
      <c r="A1837" s="33">
        <v>47511</v>
      </c>
      <c r="B1837" s="30">
        <f t="shared" si="64"/>
        <v>1</v>
      </c>
      <c r="C1837" s="30" t="str">
        <f>_xlfn.IFS(Table_13[[#This Row],[Month]]=1,"JAN",Table_13[[#This Row],[Month]]=2,"FEB",B1837=3,"MAR",B1837=4,"APR",B1837=5,"MAY",B1837=6,"JUN",B1837=7,"JUL",B1837=8,"AUG",Table_13[[#This Row],[Month]]=9,"SEPT",B1837=10,"OCT",B1837=11,"NOV",B1837=12,"DEC")</f>
        <v>JAN</v>
      </c>
      <c r="D1837" s="2" t="s">
        <v>11</v>
      </c>
      <c r="E1837" s="2" t="s">
        <v>19</v>
      </c>
      <c r="F1837" s="2" t="s">
        <v>13</v>
      </c>
      <c r="G1837" s="2" t="s">
        <v>20</v>
      </c>
      <c r="H1837" s="2" t="s">
        <v>21</v>
      </c>
      <c r="I1837" s="2" t="s">
        <v>22</v>
      </c>
      <c r="J1837" s="15">
        <v>30000</v>
      </c>
      <c r="K1837" s="2">
        <v>9</v>
      </c>
      <c r="L1837" s="2" t="s">
        <v>37</v>
      </c>
      <c r="M1837" s="12">
        <f t="shared" si="63"/>
        <v>24000</v>
      </c>
      <c r="N1837" s="10">
        <f>PRODUCT(Table_13[[#This Row],[Unit Price]],Table_13[[#This Row],[Quantity]])</f>
        <v>270000</v>
      </c>
      <c r="O1837" s="16">
        <f>PRODUCT(Table_13[[#This Row],[Cost Price]],Table_13[[#This Row],[Quantity]])</f>
        <v>216000</v>
      </c>
      <c r="P1837" s="27">
        <f t="shared" si="65"/>
        <v>54000</v>
      </c>
    </row>
    <row r="1838" spans="1:16" x14ac:dyDescent="0.2">
      <c r="A1838" s="33">
        <v>47512</v>
      </c>
      <c r="B1838" s="30">
        <f t="shared" si="64"/>
        <v>1</v>
      </c>
      <c r="C1838" s="30" t="str">
        <f>_xlfn.IFS(Table_13[[#This Row],[Month]]=1,"JAN",Table_13[[#This Row],[Month]]=2,"FEB",B1838=3,"MAR",B1838=4,"APR",B1838=5,"MAY",B1838=6,"JUN",B1838=7,"JUL",B1838=8,"AUG",Table_13[[#This Row],[Month]]=9,"SEPT",B1838=10,"OCT",B1838=11,"NOV",B1838=12,"DEC")</f>
        <v>JAN</v>
      </c>
      <c r="D1838" s="2" t="s">
        <v>29</v>
      </c>
      <c r="E1838" s="2" t="s">
        <v>19</v>
      </c>
      <c r="F1838" s="2" t="s">
        <v>23</v>
      </c>
      <c r="G1838" s="2" t="s">
        <v>20</v>
      </c>
      <c r="H1838" s="2" t="s">
        <v>21</v>
      </c>
      <c r="I1838" s="2" t="s">
        <v>22</v>
      </c>
      <c r="J1838" s="15">
        <v>30000</v>
      </c>
      <c r="K1838" s="2">
        <v>8</v>
      </c>
      <c r="L1838" s="2" t="s">
        <v>37</v>
      </c>
      <c r="M1838" s="12">
        <f t="shared" si="63"/>
        <v>24000</v>
      </c>
      <c r="N1838" s="10">
        <f>PRODUCT(Table_13[[#This Row],[Unit Price]],Table_13[[#This Row],[Quantity]])</f>
        <v>240000</v>
      </c>
      <c r="O1838" s="16">
        <f>PRODUCT(Table_13[[#This Row],[Cost Price]],Table_13[[#This Row],[Quantity]])</f>
        <v>192000</v>
      </c>
      <c r="P1838" s="27">
        <f t="shared" si="65"/>
        <v>48000</v>
      </c>
    </row>
    <row r="1839" spans="1:16" x14ac:dyDescent="0.2">
      <c r="A1839" s="33">
        <v>47513</v>
      </c>
      <c r="B1839" s="30">
        <f t="shared" si="64"/>
        <v>1</v>
      </c>
      <c r="C1839" s="30" t="str">
        <f>_xlfn.IFS(Table_13[[#This Row],[Month]]=1,"JAN",Table_13[[#This Row],[Month]]=2,"FEB",B1839=3,"MAR",B1839=4,"APR",B1839=5,"MAY",B1839=6,"JUN",B1839=7,"JUL",B1839=8,"AUG",Table_13[[#This Row],[Month]]=9,"SEPT",B1839=10,"OCT",B1839=11,"NOV",B1839=12,"DEC")</f>
        <v>JAN</v>
      </c>
      <c r="D1839" s="2" t="s">
        <v>25</v>
      </c>
      <c r="E1839" s="2" t="s">
        <v>19</v>
      </c>
      <c r="F1839" s="2" t="s">
        <v>23</v>
      </c>
      <c r="G1839" s="2" t="s">
        <v>20</v>
      </c>
      <c r="H1839" s="2" t="s">
        <v>27</v>
      </c>
      <c r="I1839" s="2" t="s">
        <v>22</v>
      </c>
      <c r="J1839" s="15">
        <v>60000</v>
      </c>
      <c r="K1839" s="2">
        <v>7</v>
      </c>
      <c r="L1839" s="2" t="s">
        <v>24</v>
      </c>
      <c r="M1839" s="12">
        <f t="shared" si="63"/>
        <v>48000</v>
      </c>
      <c r="N1839" s="10">
        <f>PRODUCT(Table_13[[#This Row],[Unit Price]],Table_13[[#This Row],[Quantity]])</f>
        <v>420000</v>
      </c>
      <c r="O1839" s="16">
        <f>PRODUCT(Table_13[[#This Row],[Cost Price]],Table_13[[#This Row],[Quantity]])</f>
        <v>336000</v>
      </c>
      <c r="P1839" s="27">
        <f t="shared" si="65"/>
        <v>84000</v>
      </c>
    </row>
    <row r="1840" spans="1:16" x14ac:dyDescent="0.2">
      <c r="A1840" s="33">
        <v>47514</v>
      </c>
      <c r="B1840" s="30">
        <f t="shared" si="64"/>
        <v>1</v>
      </c>
      <c r="C1840" s="30" t="str">
        <f>_xlfn.IFS(Table_13[[#This Row],[Month]]=1,"JAN",Table_13[[#This Row],[Month]]=2,"FEB",B1840=3,"MAR",B1840=4,"APR",B1840=5,"MAY",B1840=6,"JUN",B1840=7,"JUL",B1840=8,"AUG",Table_13[[#This Row],[Month]]=9,"SEPT",B1840=10,"OCT",B1840=11,"NOV",B1840=12,"DEC")</f>
        <v>JAN</v>
      </c>
      <c r="D1840" s="2" t="s">
        <v>11</v>
      </c>
      <c r="E1840" s="2" t="s">
        <v>26</v>
      </c>
      <c r="F1840" s="2" t="s">
        <v>13</v>
      </c>
      <c r="G1840" s="2" t="s">
        <v>20</v>
      </c>
      <c r="H1840" s="2" t="s">
        <v>21</v>
      </c>
      <c r="I1840" s="2" t="s">
        <v>22</v>
      </c>
      <c r="J1840" s="15">
        <v>30000</v>
      </c>
      <c r="K1840" s="2">
        <v>7</v>
      </c>
      <c r="L1840" s="2" t="s">
        <v>39</v>
      </c>
      <c r="M1840" s="12">
        <f t="shared" si="63"/>
        <v>24000</v>
      </c>
      <c r="N1840" s="10">
        <f>PRODUCT(Table_13[[#This Row],[Unit Price]],Table_13[[#This Row],[Quantity]])</f>
        <v>210000</v>
      </c>
      <c r="O1840" s="16">
        <f>PRODUCT(Table_13[[#This Row],[Cost Price]],Table_13[[#This Row],[Quantity]])</f>
        <v>168000</v>
      </c>
      <c r="P1840" s="27">
        <f t="shared" si="65"/>
        <v>42000</v>
      </c>
    </row>
    <row r="1841" spans="1:16" x14ac:dyDescent="0.2">
      <c r="A1841" s="33">
        <v>47515</v>
      </c>
      <c r="B1841" s="30">
        <f t="shared" si="64"/>
        <v>2</v>
      </c>
      <c r="C1841" s="30" t="str">
        <f>_xlfn.IFS(Table_13[[#This Row],[Month]]=1,"JAN",Table_13[[#This Row],[Month]]=2,"FEB",B1841=3,"MAR",B1841=4,"APR",B1841=5,"MAY",B1841=6,"JUN",B1841=7,"JUL",B1841=8,"AUG",Table_13[[#This Row],[Month]]=9,"SEPT",B1841=10,"OCT",B1841=11,"NOV",B1841=12,"DEC")</f>
        <v>FEB</v>
      </c>
      <c r="D1841" s="2" t="s">
        <v>11</v>
      </c>
      <c r="E1841" s="2" t="s">
        <v>12</v>
      </c>
      <c r="F1841" s="2" t="s">
        <v>13</v>
      </c>
      <c r="G1841" s="2" t="s">
        <v>20</v>
      </c>
      <c r="H1841" s="2" t="s">
        <v>30</v>
      </c>
      <c r="I1841" s="2" t="s">
        <v>31</v>
      </c>
      <c r="J1841" s="15">
        <v>300000</v>
      </c>
      <c r="K1841" s="2">
        <v>6</v>
      </c>
      <c r="L1841" s="2" t="s">
        <v>37</v>
      </c>
      <c r="M1841" s="12">
        <f t="shared" si="63"/>
        <v>240000</v>
      </c>
      <c r="N1841" s="10">
        <f>PRODUCT(Table_13[[#This Row],[Unit Price]],Table_13[[#This Row],[Quantity]])</f>
        <v>1800000</v>
      </c>
      <c r="O1841" s="16">
        <f>PRODUCT(Table_13[[#This Row],[Cost Price]],Table_13[[#This Row],[Quantity]])</f>
        <v>1440000</v>
      </c>
      <c r="P1841" s="27">
        <f t="shared" si="65"/>
        <v>360000</v>
      </c>
    </row>
    <row r="1842" spans="1:16" x14ac:dyDescent="0.2">
      <c r="A1842" s="33">
        <v>47516</v>
      </c>
      <c r="B1842" s="30">
        <f t="shared" si="64"/>
        <v>2</v>
      </c>
      <c r="C1842" s="30" t="str">
        <f>_xlfn.IFS(Table_13[[#This Row],[Month]]=1,"JAN",Table_13[[#This Row],[Month]]=2,"FEB",B1842=3,"MAR",B1842=4,"APR",B1842=5,"MAY",B1842=6,"JUN",B1842=7,"JUL",B1842=8,"AUG",Table_13[[#This Row],[Month]]=9,"SEPT",B1842=10,"OCT",B1842=11,"NOV",B1842=12,"DEC")</f>
        <v>FEB</v>
      </c>
      <c r="D1842" s="2" t="s">
        <v>29</v>
      </c>
      <c r="E1842" s="2" t="s">
        <v>32</v>
      </c>
      <c r="F1842" s="2" t="s">
        <v>23</v>
      </c>
      <c r="G1842" s="2" t="s">
        <v>20</v>
      </c>
      <c r="H1842" s="2" t="s">
        <v>30</v>
      </c>
      <c r="I1842" s="2" t="s">
        <v>31</v>
      </c>
      <c r="J1842" s="15">
        <v>300000</v>
      </c>
      <c r="K1842" s="2">
        <v>4</v>
      </c>
      <c r="L1842" s="2" t="s">
        <v>39</v>
      </c>
      <c r="M1842" s="12">
        <f t="shared" si="63"/>
        <v>240000</v>
      </c>
      <c r="N1842" s="10">
        <f>PRODUCT(Table_13[[#This Row],[Unit Price]],Table_13[[#This Row],[Quantity]])</f>
        <v>1200000</v>
      </c>
      <c r="O1842" s="16">
        <f>PRODUCT(Table_13[[#This Row],[Cost Price]],Table_13[[#This Row],[Quantity]])</f>
        <v>960000</v>
      </c>
      <c r="P1842" s="27">
        <f t="shared" si="65"/>
        <v>240000</v>
      </c>
    </row>
    <row r="1843" spans="1:16" x14ac:dyDescent="0.2">
      <c r="A1843" s="33">
        <v>47517</v>
      </c>
      <c r="B1843" s="30">
        <f t="shared" si="64"/>
        <v>2</v>
      </c>
      <c r="C1843" s="30" t="str">
        <f>_xlfn.IFS(Table_13[[#This Row],[Month]]=1,"JAN",Table_13[[#This Row],[Month]]=2,"FEB",B1843=3,"MAR",B1843=4,"APR",B1843=5,"MAY",B1843=6,"JUN",B1843=7,"JUL",B1843=8,"AUG",Table_13[[#This Row],[Month]]=9,"SEPT",B1843=10,"OCT",B1843=11,"NOV",B1843=12,"DEC")</f>
        <v>FEB</v>
      </c>
      <c r="D1843" s="2" t="s">
        <v>25</v>
      </c>
      <c r="E1843" s="2" t="s">
        <v>26</v>
      </c>
      <c r="F1843" s="2" t="s">
        <v>13</v>
      </c>
      <c r="G1843" s="2" t="s">
        <v>20</v>
      </c>
      <c r="H1843" s="2" t="s">
        <v>15</v>
      </c>
      <c r="I1843" s="2" t="s">
        <v>16</v>
      </c>
      <c r="J1843" s="15">
        <v>85000</v>
      </c>
      <c r="K1843" s="2">
        <v>2</v>
      </c>
      <c r="L1843" s="2" t="s">
        <v>17</v>
      </c>
      <c r="M1843" s="12">
        <f t="shared" si="63"/>
        <v>68000</v>
      </c>
      <c r="N1843" s="10">
        <f>PRODUCT(Table_13[[#This Row],[Unit Price]],Table_13[[#This Row],[Quantity]])</f>
        <v>170000</v>
      </c>
      <c r="O1843" s="16">
        <f>PRODUCT(Table_13[[#This Row],[Cost Price]],Table_13[[#This Row],[Quantity]])</f>
        <v>136000</v>
      </c>
      <c r="P1843" s="27">
        <f t="shared" si="65"/>
        <v>34000</v>
      </c>
    </row>
    <row r="1844" spans="1:16" x14ac:dyDescent="0.2">
      <c r="A1844" s="33">
        <v>47518</v>
      </c>
      <c r="B1844" s="30">
        <f t="shared" si="64"/>
        <v>2</v>
      </c>
      <c r="C1844" s="30" t="str">
        <f>_xlfn.IFS(Table_13[[#This Row],[Month]]=1,"JAN",Table_13[[#This Row],[Month]]=2,"FEB",B1844=3,"MAR",B1844=4,"APR",B1844=5,"MAY",B1844=6,"JUN",B1844=7,"JUL",B1844=8,"AUG",Table_13[[#This Row],[Month]]=9,"SEPT",B1844=10,"OCT",B1844=11,"NOV",B1844=12,"DEC")</f>
        <v>FEB</v>
      </c>
      <c r="D1844" s="2" t="s">
        <v>29</v>
      </c>
      <c r="E1844" s="2" t="s">
        <v>26</v>
      </c>
      <c r="F1844" s="2" t="s">
        <v>23</v>
      </c>
      <c r="G1844" s="2" t="s">
        <v>20</v>
      </c>
      <c r="H1844" s="2" t="s">
        <v>36</v>
      </c>
      <c r="I1844" s="2" t="s">
        <v>31</v>
      </c>
      <c r="J1844" s="15">
        <v>150000</v>
      </c>
      <c r="K1844" s="2">
        <v>3</v>
      </c>
      <c r="L1844" s="2" t="s">
        <v>24</v>
      </c>
      <c r="M1844" s="12">
        <f t="shared" si="63"/>
        <v>120000</v>
      </c>
      <c r="N1844" s="10">
        <f>PRODUCT(Table_13[[#This Row],[Unit Price]],Table_13[[#This Row],[Quantity]])</f>
        <v>450000</v>
      </c>
      <c r="O1844" s="16">
        <f>PRODUCT(Table_13[[#This Row],[Cost Price]],Table_13[[#This Row],[Quantity]])</f>
        <v>360000</v>
      </c>
      <c r="P1844" s="27">
        <f t="shared" si="65"/>
        <v>90000</v>
      </c>
    </row>
    <row r="1845" spans="1:16" x14ac:dyDescent="0.2">
      <c r="A1845" s="33">
        <v>47519</v>
      </c>
      <c r="B1845" s="30">
        <f t="shared" si="64"/>
        <v>2</v>
      </c>
      <c r="C1845" s="30" t="str">
        <f>_xlfn.IFS(Table_13[[#This Row],[Month]]=1,"JAN",Table_13[[#This Row],[Month]]=2,"FEB",B1845=3,"MAR",B1845=4,"APR",B1845=5,"MAY",B1845=6,"JUN",B1845=7,"JUL",B1845=8,"AUG",Table_13[[#This Row],[Month]]=9,"SEPT",B1845=10,"OCT",B1845=11,"NOV",B1845=12,"DEC")</f>
        <v>FEB</v>
      </c>
      <c r="D1845" s="2" t="s">
        <v>11</v>
      </c>
      <c r="E1845" s="2" t="s">
        <v>32</v>
      </c>
      <c r="F1845" s="2" t="s">
        <v>23</v>
      </c>
      <c r="G1845" s="2" t="s">
        <v>20</v>
      </c>
      <c r="H1845" s="2" t="s">
        <v>40</v>
      </c>
      <c r="I1845" s="2" t="s">
        <v>31</v>
      </c>
      <c r="J1845" s="15">
        <v>250000</v>
      </c>
      <c r="K1845" s="2">
        <v>4</v>
      </c>
      <c r="L1845" s="2" t="s">
        <v>28</v>
      </c>
      <c r="M1845" s="12">
        <f t="shared" si="63"/>
        <v>200000</v>
      </c>
      <c r="N1845" s="10">
        <f>PRODUCT(Table_13[[#This Row],[Unit Price]],Table_13[[#This Row],[Quantity]])</f>
        <v>1000000</v>
      </c>
      <c r="O1845" s="16">
        <f>PRODUCT(Table_13[[#This Row],[Cost Price]],Table_13[[#This Row],[Quantity]])</f>
        <v>800000</v>
      </c>
      <c r="P1845" s="27">
        <f t="shared" si="65"/>
        <v>200000</v>
      </c>
    </row>
    <row r="1846" spans="1:16" x14ac:dyDescent="0.2">
      <c r="A1846" s="33">
        <v>47520</v>
      </c>
      <c r="B1846" s="30">
        <f t="shared" si="64"/>
        <v>2</v>
      </c>
      <c r="C1846" s="30" t="str">
        <f>_xlfn.IFS(Table_13[[#This Row],[Month]]=1,"JAN",Table_13[[#This Row],[Month]]=2,"FEB",B1846=3,"MAR",B1846=4,"APR",B1846=5,"MAY",B1846=6,"JUN",B1846=7,"JUL",B1846=8,"AUG",Table_13[[#This Row],[Month]]=9,"SEPT",B1846=10,"OCT",B1846=11,"NOV",B1846=12,"DEC")</f>
        <v>FEB</v>
      </c>
      <c r="D1846" s="2" t="s">
        <v>29</v>
      </c>
      <c r="E1846" s="2" t="s">
        <v>12</v>
      </c>
      <c r="F1846" s="2" t="s">
        <v>13</v>
      </c>
      <c r="G1846" s="2" t="s">
        <v>20</v>
      </c>
      <c r="H1846" s="2" t="s">
        <v>40</v>
      </c>
      <c r="I1846" s="2" t="s">
        <v>31</v>
      </c>
      <c r="J1846" s="15">
        <v>250000</v>
      </c>
      <c r="K1846" s="2">
        <v>7</v>
      </c>
      <c r="L1846" s="2" t="s">
        <v>17</v>
      </c>
      <c r="M1846" s="12">
        <f t="shared" si="63"/>
        <v>200000</v>
      </c>
      <c r="N1846" s="10">
        <f>PRODUCT(Table_13[[#This Row],[Unit Price]],Table_13[[#This Row],[Quantity]])</f>
        <v>1750000</v>
      </c>
      <c r="O1846" s="16">
        <f>PRODUCT(Table_13[[#This Row],[Cost Price]],Table_13[[#This Row],[Quantity]])</f>
        <v>1400000</v>
      </c>
      <c r="P1846" s="27">
        <f t="shared" si="65"/>
        <v>350000</v>
      </c>
    </row>
    <row r="1847" spans="1:16" x14ac:dyDescent="0.2">
      <c r="A1847" s="33">
        <v>47521</v>
      </c>
      <c r="B1847" s="30">
        <f t="shared" si="64"/>
        <v>2</v>
      </c>
      <c r="C1847" s="30" t="str">
        <f>_xlfn.IFS(Table_13[[#This Row],[Month]]=1,"JAN",Table_13[[#This Row],[Month]]=2,"FEB",B1847=3,"MAR",B1847=4,"APR",B1847=5,"MAY",B1847=6,"JUN",B1847=7,"JUL",B1847=8,"AUG",Table_13[[#This Row],[Month]]=9,"SEPT",B1847=10,"OCT",B1847=11,"NOV",B1847=12,"DEC")</f>
        <v>FEB</v>
      </c>
      <c r="D1847" s="2" t="s">
        <v>11</v>
      </c>
      <c r="E1847" s="2" t="s">
        <v>19</v>
      </c>
      <c r="F1847" s="2" t="s">
        <v>13</v>
      </c>
      <c r="G1847" s="2" t="s">
        <v>20</v>
      </c>
      <c r="H1847" s="2" t="s">
        <v>40</v>
      </c>
      <c r="I1847" s="2" t="s">
        <v>31</v>
      </c>
      <c r="J1847" s="15">
        <v>250000</v>
      </c>
      <c r="K1847" s="2">
        <v>3</v>
      </c>
      <c r="L1847" s="2" t="s">
        <v>24</v>
      </c>
      <c r="M1847" s="12">
        <f t="shared" si="63"/>
        <v>200000</v>
      </c>
      <c r="N1847" s="10">
        <f>PRODUCT(Table_13[[#This Row],[Unit Price]],Table_13[[#This Row],[Quantity]])</f>
        <v>750000</v>
      </c>
      <c r="O1847" s="16">
        <f>PRODUCT(Table_13[[#This Row],[Cost Price]],Table_13[[#This Row],[Quantity]])</f>
        <v>600000</v>
      </c>
      <c r="P1847" s="27">
        <f t="shared" si="65"/>
        <v>150000</v>
      </c>
    </row>
    <row r="1848" spans="1:16" x14ac:dyDescent="0.2">
      <c r="A1848" s="33">
        <v>47522</v>
      </c>
      <c r="B1848" s="30">
        <f t="shared" si="64"/>
        <v>2</v>
      </c>
      <c r="C1848" s="30" t="str">
        <f>_xlfn.IFS(Table_13[[#This Row],[Month]]=1,"JAN",Table_13[[#This Row],[Month]]=2,"FEB",B1848=3,"MAR",B1848=4,"APR",B1848=5,"MAY",B1848=6,"JUN",B1848=7,"JUL",B1848=8,"AUG",Table_13[[#This Row],[Month]]=9,"SEPT",B1848=10,"OCT",B1848=11,"NOV",B1848=12,"DEC")</f>
        <v>FEB</v>
      </c>
      <c r="D1848" s="2" t="s">
        <v>18</v>
      </c>
      <c r="E1848" s="2" t="s">
        <v>26</v>
      </c>
      <c r="F1848" s="2" t="s">
        <v>13</v>
      </c>
      <c r="G1848" s="2" t="s">
        <v>20</v>
      </c>
      <c r="H1848" s="2" t="s">
        <v>36</v>
      </c>
      <c r="I1848" s="2" t="s">
        <v>31</v>
      </c>
      <c r="J1848" s="15">
        <v>150000</v>
      </c>
      <c r="K1848" s="2">
        <v>8</v>
      </c>
      <c r="L1848" s="2" t="s">
        <v>17</v>
      </c>
      <c r="M1848" s="12">
        <f t="shared" si="63"/>
        <v>120000</v>
      </c>
      <c r="N1848" s="10">
        <f>PRODUCT(Table_13[[#This Row],[Unit Price]],Table_13[[#This Row],[Quantity]])</f>
        <v>1200000</v>
      </c>
      <c r="O1848" s="16">
        <f>PRODUCT(Table_13[[#This Row],[Cost Price]],Table_13[[#This Row],[Quantity]])</f>
        <v>960000</v>
      </c>
      <c r="P1848" s="27">
        <f t="shared" si="65"/>
        <v>240000</v>
      </c>
    </row>
    <row r="1849" spans="1:16" x14ac:dyDescent="0.2">
      <c r="A1849" s="33">
        <v>47523</v>
      </c>
      <c r="B1849" s="30">
        <f t="shared" si="64"/>
        <v>2</v>
      </c>
      <c r="C1849" s="30" t="str">
        <f>_xlfn.IFS(Table_13[[#This Row],[Month]]=1,"JAN",Table_13[[#This Row],[Month]]=2,"FEB",B1849=3,"MAR",B1849=4,"APR",B1849=5,"MAY",B1849=6,"JUN",B1849=7,"JUL",B1849=8,"AUG",Table_13[[#This Row],[Month]]=9,"SEPT",B1849=10,"OCT",B1849=11,"NOV",B1849=12,"DEC")</f>
        <v>FEB</v>
      </c>
      <c r="D1849" s="2" t="s">
        <v>18</v>
      </c>
      <c r="E1849" s="2" t="s">
        <v>26</v>
      </c>
      <c r="F1849" s="2" t="s">
        <v>23</v>
      </c>
      <c r="G1849" s="2" t="s">
        <v>20</v>
      </c>
      <c r="H1849" s="2" t="s">
        <v>15</v>
      </c>
      <c r="I1849" s="2" t="s">
        <v>16</v>
      </c>
      <c r="J1849" s="15">
        <v>85000</v>
      </c>
      <c r="K1849" s="2">
        <v>1</v>
      </c>
      <c r="L1849" s="2" t="s">
        <v>37</v>
      </c>
      <c r="M1849" s="12">
        <f t="shared" si="63"/>
        <v>68000</v>
      </c>
      <c r="N1849" s="10">
        <f>PRODUCT(Table_13[[#This Row],[Unit Price]],Table_13[[#This Row],[Quantity]])</f>
        <v>85000</v>
      </c>
      <c r="O1849" s="16">
        <f>PRODUCT(Table_13[[#This Row],[Cost Price]],Table_13[[#This Row],[Quantity]])</f>
        <v>68000</v>
      </c>
      <c r="P1849" s="27">
        <f t="shared" si="65"/>
        <v>17000</v>
      </c>
    </row>
    <row r="1850" spans="1:16" x14ac:dyDescent="0.2">
      <c r="A1850" s="33">
        <v>47524</v>
      </c>
      <c r="B1850" s="30">
        <f t="shared" si="64"/>
        <v>2</v>
      </c>
      <c r="C1850" s="30" t="str">
        <f>_xlfn.IFS(Table_13[[#This Row],[Month]]=1,"JAN",Table_13[[#This Row],[Month]]=2,"FEB",B1850=3,"MAR",B1850=4,"APR",B1850=5,"MAY",B1850=6,"JUN",B1850=7,"JUL",B1850=8,"AUG",Table_13[[#This Row],[Month]]=9,"SEPT",B1850=10,"OCT",B1850=11,"NOV",B1850=12,"DEC")</f>
        <v>FEB</v>
      </c>
      <c r="D1850" s="2" t="s">
        <v>18</v>
      </c>
      <c r="E1850" s="2" t="s">
        <v>32</v>
      </c>
      <c r="F1850" s="2" t="s">
        <v>13</v>
      </c>
      <c r="G1850" s="2" t="s">
        <v>20</v>
      </c>
      <c r="H1850" s="2" t="s">
        <v>41</v>
      </c>
      <c r="I1850" s="2" t="s">
        <v>22</v>
      </c>
      <c r="J1850" s="15">
        <v>220000</v>
      </c>
      <c r="K1850" s="2">
        <v>6</v>
      </c>
      <c r="L1850" s="2" t="s">
        <v>17</v>
      </c>
      <c r="M1850" s="12">
        <f t="shared" si="63"/>
        <v>176000</v>
      </c>
      <c r="N1850" s="10">
        <f>PRODUCT(Table_13[[#This Row],[Unit Price]],Table_13[[#This Row],[Quantity]])</f>
        <v>1320000</v>
      </c>
      <c r="O1850" s="16">
        <f>PRODUCT(Table_13[[#This Row],[Cost Price]],Table_13[[#This Row],[Quantity]])</f>
        <v>1056000</v>
      </c>
      <c r="P1850" s="27">
        <f t="shared" si="65"/>
        <v>264000</v>
      </c>
    </row>
    <row r="1851" spans="1:16" x14ac:dyDescent="0.2">
      <c r="A1851" s="33">
        <v>47525</v>
      </c>
      <c r="B1851" s="30">
        <f t="shared" si="64"/>
        <v>2</v>
      </c>
      <c r="C1851" s="30" t="str">
        <f>_xlfn.IFS(Table_13[[#This Row],[Month]]=1,"JAN",Table_13[[#This Row],[Month]]=2,"FEB",B1851=3,"MAR",B1851=4,"APR",B1851=5,"MAY",B1851=6,"JUN",B1851=7,"JUL",B1851=8,"AUG",Table_13[[#This Row],[Month]]=9,"SEPT",B1851=10,"OCT",B1851=11,"NOV",B1851=12,"DEC")</f>
        <v>FEB</v>
      </c>
      <c r="D1851" s="2" t="s">
        <v>18</v>
      </c>
      <c r="E1851" s="2" t="s">
        <v>12</v>
      </c>
      <c r="F1851" s="2" t="s">
        <v>23</v>
      </c>
      <c r="G1851" s="2" t="s">
        <v>20</v>
      </c>
      <c r="H1851" s="2" t="s">
        <v>21</v>
      </c>
      <c r="I1851" s="2" t="s">
        <v>22</v>
      </c>
      <c r="J1851" s="15">
        <v>30000</v>
      </c>
      <c r="K1851" s="2">
        <v>3</v>
      </c>
      <c r="L1851" s="2" t="s">
        <v>17</v>
      </c>
      <c r="M1851" s="12">
        <f t="shared" si="63"/>
        <v>24000</v>
      </c>
      <c r="N1851" s="10">
        <f>PRODUCT(Table_13[[#This Row],[Unit Price]],Table_13[[#This Row],[Quantity]])</f>
        <v>90000</v>
      </c>
      <c r="O1851" s="16">
        <f>PRODUCT(Table_13[[#This Row],[Cost Price]],Table_13[[#This Row],[Quantity]])</f>
        <v>72000</v>
      </c>
      <c r="P1851" s="27">
        <f t="shared" si="65"/>
        <v>18000</v>
      </c>
    </row>
    <row r="1852" spans="1:16" x14ac:dyDescent="0.2">
      <c r="A1852" s="33">
        <v>47526</v>
      </c>
      <c r="B1852" s="30">
        <f t="shared" si="64"/>
        <v>2</v>
      </c>
      <c r="C1852" s="30" t="str">
        <f>_xlfn.IFS(Table_13[[#This Row],[Month]]=1,"JAN",Table_13[[#This Row],[Month]]=2,"FEB",B1852=3,"MAR",B1852=4,"APR",B1852=5,"MAY",B1852=6,"JUN",B1852=7,"JUL",B1852=8,"AUG",Table_13[[#This Row],[Month]]=9,"SEPT",B1852=10,"OCT",B1852=11,"NOV",B1852=12,"DEC")</f>
        <v>FEB</v>
      </c>
      <c r="D1852" s="2" t="s">
        <v>29</v>
      </c>
      <c r="E1852" s="2" t="s">
        <v>32</v>
      </c>
      <c r="F1852" s="2" t="s">
        <v>23</v>
      </c>
      <c r="G1852" s="2" t="s">
        <v>20</v>
      </c>
      <c r="H1852" s="2" t="s">
        <v>30</v>
      </c>
      <c r="I1852" s="2" t="s">
        <v>31</v>
      </c>
      <c r="J1852" s="15">
        <v>300000</v>
      </c>
      <c r="K1852" s="2">
        <v>3</v>
      </c>
      <c r="L1852" s="2" t="s">
        <v>24</v>
      </c>
      <c r="M1852" s="12">
        <f t="shared" si="63"/>
        <v>240000</v>
      </c>
      <c r="N1852" s="10">
        <f>PRODUCT(Table_13[[#This Row],[Unit Price]],Table_13[[#This Row],[Quantity]])</f>
        <v>900000</v>
      </c>
      <c r="O1852" s="16">
        <f>PRODUCT(Table_13[[#This Row],[Cost Price]],Table_13[[#This Row],[Quantity]])</f>
        <v>720000</v>
      </c>
      <c r="P1852" s="27">
        <f t="shared" si="65"/>
        <v>180000</v>
      </c>
    </row>
    <row r="1853" spans="1:16" x14ac:dyDescent="0.2">
      <c r="A1853" s="33">
        <v>47527</v>
      </c>
      <c r="B1853" s="30">
        <f t="shared" si="64"/>
        <v>2</v>
      </c>
      <c r="C1853" s="30" t="str">
        <f>_xlfn.IFS(Table_13[[#This Row],[Month]]=1,"JAN",Table_13[[#This Row],[Month]]=2,"FEB",B1853=3,"MAR",B1853=4,"APR",B1853=5,"MAY",B1853=6,"JUN",B1853=7,"JUL",B1853=8,"AUG",Table_13[[#This Row],[Month]]=9,"SEPT",B1853=10,"OCT",B1853=11,"NOV",B1853=12,"DEC")</f>
        <v>FEB</v>
      </c>
      <c r="D1853" s="2" t="s">
        <v>18</v>
      </c>
      <c r="E1853" s="2" t="s">
        <v>26</v>
      </c>
      <c r="F1853" s="2" t="s">
        <v>13</v>
      </c>
      <c r="G1853" s="2" t="s">
        <v>20</v>
      </c>
      <c r="H1853" s="2" t="s">
        <v>40</v>
      </c>
      <c r="I1853" s="2" t="s">
        <v>31</v>
      </c>
      <c r="J1853" s="15">
        <v>250000</v>
      </c>
      <c r="K1853" s="2">
        <v>10</v>
      </c>
      <c r="L1853" s="2" t="s">
        <v>37</v>
      </c>
      <c r="M1853" s="12">
        <f t="shared" si="63"/>
        <v>200000</v>
      </c>
      <c r="N1853" s="10">
        <f>PRODUCT(Table_13[[#This Row],[Unit Price]],Table_13[[#This Row],[Quantity]])</f>
        <v>2500000</v>
      </c>
      <c r="O1853" s="16">
        <f>PRODUCT(Table_13[[#This Row],[Cost Price]],Table_13[[#This Row],[Quantity]])</f>
        <v>2000000</v>
      </c>
      <c r="P1853" s="27">
        <f t="shared" si="65"/>
        <v>500000</v>
      </c>
    </row>
    <row r="1854" spans="1:16" x14ac:dyDescent="0.2">
      <c r="A1854" s="33">
        <v>47528</v>
      </c>
      <c r="B1854" s="30">
        <f t="shared" si="64"/>
        <v>2</v>
      </c>
      <c r="C1854" s="30" t="str">
        <f>_xlfn.IFS(Table_13[[#This Row],[Month]]=1,"JAN",Table_13[[#This Row],[Month]]=2,"FEB",B1854=3,"MAR",B1854=4,"APR",B1854=5,"MAY",B1854=6,"JUN",B1854=7,"JUL",B1854=8,"AUG",Table_13[[#This Row],[Month]]=9,"SEPT",B1854=10,"OCT",B1854=11,"NOV",B1854=12,"DEC")</f>
        <v>FEB</v>
      </c>
      <c r="D1854" s="2" t="s">
        <v>18</v>
      </c>
      <c r="E1854" s="2" t="s">
        <v>19</v>
      </c>
      <c r="F1854" s="2" t="s">
        <v>13</v>
      </c>
      <c r="G1854" s="2" t="s">
        <v>20</v>
      </c>
      <c r="H1854" s="2" t="s">
        <v>30</v>
      </c>
      <c r="I1854" s="2" t="s">
        <v>31</v>
      </c>
      <c r="J1854" s="15">
        <v>300000</v>
      </c>
      <c r="K1854" s="2">
        <v>4</v>
      </c>
      <c r="L1854" s="2" t="s">
        <v>35</v>
      </c>
      <c r="M1854" s="12">
        <f t="shared" si="63"/>
        <v>240000</v>
      </c>
      <c r="N1854" s="10">
        <f>PRODUCT(Table_13[[#This Row],[Unit Price]],Table_13[[#This Row],[Quantity]])</f>
        <v>1200000</v>
      </c>
      <c r="O1854" s="16">
        <f>PRODUCT(Table_13[[#This Row],[Cost Price]],Table_13[[#This Row],[Quantity]])</f>
        <v>960000</v>
      </c>
      <c r="P1854" s="27">
        <f t="shared" si="65"/>
        <v>240000</v>
      </c>
    </row>
    <row r="1855" spans="1:16" x14ac:dyDescent="0.2">
      <c r="A1855" s="33">
        <v>47529</v>
      </c>
      <c r="B1855" s="30">
        <f t="shared" si="64"/>
        <v>2</v>
      </c>
      <c r="C1855" s="30" t="str">
        <f>_xlfn.IFS(Table_13[[#This Row],[Month]]=1,"JAN",Table_13[[#This Row],[Month]]=2,"FEB",B1855=3,"MAR",B1855=4,"APR",B1855=5,"MAY",B1855=6,"JUN",B1855=7,"JUL",B1855=8,"AUG",Table_13[[#This Row],[Month]]=9,"SEPT",B1855=10,"OCT",B1855=11,"NOV",B1855=12,"DEC")</f>
        <v>FEB</v>
      </c>
      <c r="D1855" s="2" t="s">
        <v>25</v>
      </c>
      <c r="E1855" s="2" t="s">
        <v>26</v>
      </c>
      <c r="F1855" s="2" t="s">
        <v>13</v>
      </c>
      <c r="G1855" s="2" t="s">
        <v>20</v>
      </c>
      <c r="H1855" s="2" t="s">
        <v>34</v>
      </c>
      <c r="I1855" s="2" t="s">
        <v>16</v>
      </c>
      <c r="J1855" s="15">
        <v>320000</v>
      </c>
      <c r="K1855" s="2">
        <v>5</v>
      </c>
      <c r="L1855" s="2" t="s">
        <v>39</v>
      </c>
      <c r="M1855" s="12">
        <f t="shared" si="63"/>
        <v>256000</v>
      </c>
      <c r="N1855" s="10">
        <f>PRODUCT(Table_13[[#This Row],[Unit Price]],Table_13[[#This Row],[Quantity]])</f>
        <v>1600000</v>
      </c>
      <c r="O1855" s="16">
        <f>PRODUCT(Table_13[[#This Row],[Cost Price]],Table_13[[#This Row],[Quantity]])</f>
        <v>1280000</v>
      </c>
      <c r="P1855" s="27">
        <f t="shared" si="65"/>
        <v>320000</v>
      </c>
    </row>
    <row r="1856" spans="1:16" x14ac:dyDescent="0.2">
      <c r="A1856" s="33">
        <v>47530</v>
      </c>
      <c r="B1856" s="30">
        <f t="shared" si="64"/>
        <v>2</v>
      </c>
      <c r="C1856" s="30" t="str">
        <f>_xlfn.IFS(Table_13[[#This Row],[Month]]=1,"JAN",Table_13[[#This Row],[Month]]=2,"FEB",B1856=3,"MAR",B1856=4,"APR",B1856=5,"MAY",B1856=6,"JUN",B1856=7,"JUL",B1856=8,"AUG",Table_13[[#This Row],[Month]]=9,"SEPT",B1856=10,"OCT",B1856=11,"NOV",B1856=12,"DEC")</f>
        <v>FEB</v>
      </c>
      <c r="D1856" s="2" t="s">
        <v>25</v>
      </c>
      <c r="E1856" s="2" t="s">
        <v>19</v>
      </c>
      <c r="F1856" s="2" t="s">
        <v>13</v>
      </c>
      <c r="G1856" s="2" t="s">
        <v>20</v>
      </c>
      <c r="H1856" s="2" t="s">
        <v>34</v>
      </c>
      <c r="I1856" s="2" t="s">
        <v>16</v>
      </c>
      <c r="J1856" s="15">
        <v>320000</v>
      </c>
      <c r="K1856" s="2">
        <v>1</v>
      </c>
      <c r="L1856" s="2" t="s">
        <v>24</v>
      </c>
      <c r="M1856" s="12">
        <f t="shared" si="63"/>
        <v>256000</v>
      </c>
      <c r="N1856" s="10">
        <f>PRODUCT(Table_13[[#This Row],[Unit Price]],Table_13[[#This Row],[Quantity]])</f>
        <v>320000</v>
      </c>
      <c r="O1856" s="16">
        <f>PRODUCT(Table_13[[#This Row],[Cost Price]],Table_13[[#This Row],[Quantity]])</f>
        <v>256000</v>
      </c>
      <c r="P1856" s="27">
        <f t="shared" si="65"/>
        <v>64000</v>
      </c>
    </row>
    <row r="1857" spans="1:16" x14ac:dyDescent="0.2">
      <c r="A1857" s="33">
        <v>47531</v>
      </c>
      <c r="B1857" s="30">
        <f t="shared" si="64"/>
        <v>2</v>
      </c>
      <c r="C1857" s="30" t="str">
        <f>_xlfn.IFS(Table_13[[#This Row],[Month]]=1,"JAN",Table_13[[#This Row],[Month]]=2,"FEB",B1857=3,"MAR",B1857=4,"APR",B1857=5,"MAY",B1857=6,"JUN",B1857=7,"JUL",B1857=8,"AUG",Table_13[[#This Row],[Month]]=9,"SEPT",B1857=10,"OCT",B1857=11,"NOV",B1857=12,"DEC")</f>
        <v>FEB</v>
      </c>
      <c r="D1857" s="2" t="s">
        <v>29</v>
      </c>
      <c r="E1857" s="2" t="s">
        <v>12</v>
      </c>
      <c r="F1857" s="2" t="s">
        <v>13</v>
      </c>
      <c r="G1857" s="2" t="s">
        <v>20</v>
      </c>
      <c r="H1857" s="2" t="s">
        <v>38</v>
      </c>
      <c r="I1857" s="2" t="s">
        <v>31</v>
      </c>
      <c r="J1857" s="15">
        <v>420000</v>
      </c>
      <c r="K1857" s="2">
        <v>4</v>
      </c>
      <c r="L1857" s="2" t="s">
        <v>37</v>
      </c>
      <c r="M1857" s="12">
        <f t="shared" si="63"/>
        <v>336000</v>
      </c>
      <c r="N1857" s="10">
        <f>PRODUCT(Table_13[[#This Row],[Unit Price]],Table_13[[#This Row],[Quantity]])</f>
        <v>1680000</v>
      </c>
      <c r="O1857" s="16">
        <f>PRODUCT(Table_13[[#This Row],[Cost Price]],Table_13[[#This Row],[Quantity]])</f>
        <v>1344000</v>
      </c>
      <c r="P1857" s="27">
        <f t="shared" si="65"/>
        <v>336000</v>
      </c>
    </row>
    <row r="1858" spans="1:16" x14ac:dyDescent="0.2">
      <c r="A1858" s="33">
        <v>47532</v>
      </c>
      <c r="B1858" s="30">
        <f t="shared" ref="B1858:B1921" si="66">MONTH(A1858)</f>
        <v>2</v>
      </c>
      <c r="C1858" s="30" t="str">
        <f>_xlfn.IFS(Table_13[[#This Row],[Month]]=1,"JAN",Table_13[[#This Row],[Month]]=2,"FEB",B1858=3,"MAR",B1858=4,"APR",B1858=5,"MAY",B1858=6,"JUN",B1858=7,"JUL",B1858=8,"AUG",Table_13[[#This Row],[Month]]=9,"SEPT",B1858=10,"OCT",B1858=11,"NOV",B1858=12,"DEC")</f>
        <v>FEB</v>
      </c>
      <c r="D1858" s="2" t="s">
        <v>25</v>
      </c>
      <c r="E1858" s="2" t="s">
        <v>26</v>
      </c>
      <c r="F1858" s="2" t="s">
        <v>23</v>
      </c>
      <c r="G1858" s="2" t="s">
        <v>20</v>
      </c>
      <c r="H1858" s="2" t="s">
        <v>15</v>
      </c>
      <c r="I1858" s="2" t="s">
        <v>16</v>
      </c>
      <c r="J1858" s="15">
        <v>85000</v>
      </c>
      <c r="K1858" s="2">
        <v>5</v>
      </c>
      <c r="L1858" s="2" t="s">
        <v>28</v>
      </c>
      <c r="M1858" s="12">
        <f t="shared" si="63"/>
        <v>68000</v>
      </c>
      <c r="N1858" s="10">
        <f>PRODUCT(Table_13[[#This Row],[Unit Price]],Table_13[[#This Row],[Quantity]])</f>
        <v>425000</v>
      </c>
      <c r="O1858" s="16">
        <f>PRODUCT(Table_13[[#This Row],[Cost Price]],Table_13[[#This Row],[Quantity]])</f>
        <v>340000</v>
      </c>
      <c r="P1858" s="27">
        <f t="shared" ref="P1858:P1921" si="67">N1858-O1858</f>
        <v>85000</v>
      </c>
    </row>
    <row r="1859" spans="1:16" x14ac:dyDescent="0.2">
      <c r="A1859" s="33">
        <v>47533</v>
      </c>
      <c r="B1859" s="30">
        <f t="shared" si="66"/>
        <v>2</v>
      </c>
      <c r="C1859" s="30" t="str">
        <f>_xlfn.IFS(Table_13[[#This Row],[Month]]=1,"JAN",Table_13[[#This Row],[Month]]=2,"FEB",B1859=3,"MAR",B1859=4,"APR",B1859=5,"MAY",B1859=6,"JUN",B1859=7,"JUL",B1859=8,"AUG",Table_13[[#This Row],[Month]]=9,"SEPT",B1859=10,"OCT",B1859=11,"NOV",B1859=12,"DEC")</f>
        <v>FEB</v>
      </c>
      <c r="D1859" s="2" t="s">
        <v>18</v>
      </c>
      <c r="E1859" s="2" t="s">
        <v>19</v>
      </c>
      <c r="F1859" s="2" t="s">
        <v>23</v>
      </c>
      <c r="G1859" s="2" t="s">
        <v>20</v>
      </c>
      <c r="H1859" s="2" t="s">
        <v>27</v>
      </c>
      <c r="I1859" s="2" t="s">
        <v>22</v>
      </c>
      <c r="J1859" s="15">
        <v>60000</v>
      </c>
      <c r="K1859" s="2">
        <v>3</v>
      </c>
      <c r="L1859" s="2" t="s">
        <v>17</v>
      </c>
      <c r="M1859" s="12">
        <f t="shared" si="63"/>
        <v>48000</v>
      </c>
      <c r="N1859" s="10">
        <f>PRODUCT(Table_13[[#This Row],[Unit Price]],Table_13[[#This Row],[Quantity]])</f>
        <v>180000</v>
      </c>
      <c r="O1859" s="16">
        <f>PRODUCT(Table_13[[#This Row],[Cost Price]],Table_13[[#This Row],[Quantity]])</f>
        <v>144000</v>
      </c>
      <c r="P1859" s="27">
        <f t="shared" si="67"/>
        <v>36000</v>
      </c>
    </row>
    <row r="1860" spans="1:16" x14ac:dyDescent="0.2">
      <c r="A1860" s="33">
        <v>47534</v>
      </c>
      <c r="B1860" s="30">
        <f t="shared" si="66"/>
        <v>2</v>
      </c>
      <c r="C1860" s="30" t="str">
        <f>_xlfn.IFS(Table_13[[#This Row],[Month]]=1,"JAN",Table_13[[#This Row],[Month]]=2,"FEB",B1860=3,"MAR",B1860=4,"APR",B1860=5,"MAY",B1860=6,"JUN",B1860=7,"JUL",B1860=8,"AUG",Table_13[[#This Row],[Month]]=9,"SEPT",B1860=10,"OCT",B1860=11,"NOV",B1860=12,"DEC")</f>
        <v>FEB</v>
      </c>
      <c r="D1860" s="2" t="s">
        <v>11</v>
      </c>
      <c r="E1860" s="2" t="s">
        <v>32</v>
      </c>
      <c r="F1860" s="2" t="s">
        <v>13</v>
      </c>
      <c r="G1860" s="2" t="s">
        <v>20</v>
      </c>
      <c r="H1860" s="2" t="s">
        <v>40</v>
      </c>
      <c r="I1860" s="2" t="s">
        <v>31</v>
      </c>
      <c r="J1860" s="15">
        <v>250000</v>
      </c>
      <c r="K1860" s="2">
        <v>4</v>
      </c>
      <c r="L1860" s="2" t="s">
        <v>37</v>
      </c>
      <c r="M1860" s="12">
        <f t="shared" si="63"/>
        <v>200000</v>
      </c>
      <c r="N1860" s="10">
        <f>PRODUCT(Table_13[[#This Row],[Unit Price]],Table_13[[#This Row],[Quantity]])</f>
        <v>1000000</v>
      </c>
      <c r="O1860" s="16">
        <f>PRODUCT(Table_13[[#This Row],[Cost Price]],Table_13[[#This Row],[Quantity]])</f>
        <v>800000</v>
      </c>
      <c r="P1860" s="27">
        <f t="shared" si="67"/>
        <v>200000</v>
      </c>
    </row>
    <row r="1861" spans="1:16" x14ac:dyDescent="0.2">
      <c r="A1861" s="33">
        <v>47535</v>
      </c>
      <c r="B1861" s="30">
        <f t="shared" si="66"/>
        <v>2</v>
      </c>
      <c r="C1861" s="30" t="str">
        <f>_xlfn.IFS(Table_13[[#This Row],[Month]]=1,"JAN",Table_13[[#This Row],[Month]]=2,"FEB",B1861=3,"MAR",B1861=4,"APR",B1861=5,"MAY",B1861=6,"JUN",B1861=7,"JUL",B1861=8,"AUG",Table_13[[#This Row],[Month]]=9,"SEPT",B1861=10,"OCT",B1861=11,"NOV",B1861=12,"DEC")</f>
        <v>FEB</v>
      </c>
      <c r="D1861" s="2" t="s">
        <v>18</v>
      </c>
      <c r="E1861" s="2" t="s">
        <v>12</v>
      </c>
      <c r="F1861" s="2" t="s">
        <v>13</v>
      </c>
      <c r="G1861" s="2" t="s">
        <v>20</v>
      </c>
      <c r="H1861" s="2" t="s">
        <v>38</v>
      </c>
      <c r="I1861" s="2" t="s">
        <v>31</v>
      </c>
      <c r="J1861" s="15">
        <v>420000</v>
      </c>
      <c r="K1861" s="2">
        <v>5</v>
      </c>
      <c r="L1861" s="2" t="s">
        <v>17</v>
      </c>
      <c r="M1861" s="12">
        <f t="shared" si="63"/>
        <v>336000</v>
      </c>
      <c r="N1861" s="10">
        <f>PRODUCT(Table_13[[#This Row],[Unit Price]],Table_13[[#This Row],[Quantity]])</f>
        <v>2100000</v>
      </c>
      <c r="O1861" s="16">
        <f>PRODUCT(Table_13[[#This Row],[Cost Price]],Table_13[[#This Row],[Quantity]])</f>
        <v>1680000</v>
      </c>
      <c r="P1861" s="27">
        <f t="shared" si="67"/>
        <v>420000</v>
      </c>
    </row>
    <row r="1862" spans="1:16" x14ac:dyDescent="0.2">
      <c r="A1862" s="33">
        <v>47536</v>
      </c>
      <c r="B1862" s="30">
        <f t="shared" si="66"/>
        <v>2</v>
      </c>
      <c r="C1862" s="30" t="str">
        <f>_xlfn.IFS(Table_13[[#This Row],[Month]]=1,"JAN",Table_13[[#This Row],[Month]]=2,"FEB",B1862=3,"MAR",B1862=4,"APR",B1862=5,"MAY",B1862=6,"JUN",B1862=7,"JUL",B1862=8,"AUG",Table_13[[#This Row],[Month]]=9,"SEPT",B1862=10,"OCT",B1862=11,"NOV",B1862=12,"DEC")</f>
        <v>FEB</v>
      </c>
      <c r="D1862" s="2" t="s">
        <v>11</v>
      </c>
      <c r="E1862" s="2" t="s">
        <v>26</v>
      </c>
      <c r="F1862" s="2" t="s">
        <v>13</v>
      </c>
      <c r="G1862" s="2" t="s">
        <v>20</v>
      </c>
      <c r="H1862" s="2" t="s">
        <v>36</v>
      </c>
      <c r="I1862" s="2" t="s">
        <v>31</v>
      </c>
      <c r="J1862" s="15">
        <v>150000</v>
      </c>
      <c r="K1862" s="2">
        <v>5</v>
      </c>
      <c r="L1862" s="2" t="s">
        <v>28</v>
      </c>
      <c r="M1862" s="12">
        <f t="shared" si="63"/>
        <v>120000</v>
      </c>
      <c r="N1862" s="10">
        <f>PRODUCT(Table_13[[#This Row],[Unit Price]],Table_13[[#This Row],[Quantity]])</f>
        <v>750000</v>
      </c>
      <c r="O1862" s="16">
        <f>PRODUCT(Table_13[[#This Row],[Cost Price]],Table_13[[#This Row],[Quantity]])</f>
        <v>600000</v>
      </c>
      <c r="P1862" s="27">
        <f t="shared" si="67"/>
        <v>150000</v>
      </c>
    </row>
    <row r="1863" spans="1:16" x14ac:dyDescent="0.2">
      <c r="A1863" s="33">
        <v>47537</v>
      </c>
      <c r="B1863" s="30">
        <f t="shared" si="66"/>
        <v>2</v>
      </c>
      <c r="C1863" s="30" t="str">
        <f>_xlfn.IFS(Table_13[[#This Row],[Month]]=1,"JAN",Table_13[[#This Row],[Month]]=2,"FEB",B1863=3,"MAR",B1863=4,"APR",B1863=5,"MAY",B1863=6,"JUN",B1863=7,"JUL",B1863=8,"AUG",Table_13[[#This Row],[Month]]=9,"SEPT",B1863=10,"OCT",B1863=11,"NOV",B1863=12,"DEC")</f>
        <v>FEB</v>
      </c>
      <c r="D1863" s="2" t="s">
        <v>29</v>
      </c>
      <c r="E1863" s="2" t="s">
        <v>19</v>
      </c>
      <c r="F1863" s="2" t="s">
        <v>23</v>
      </c>
      <c r="G1863" s="2" t="s">
        <v>20</v>
      </c>
      <c r="H1863" s="2" t="s">
        <v>33</v>
      </c>
      <c r="I1863" s="2" t="s">
        <v>22</v>
      </c>
      <c r="J1863" s="15">
        <v>180000</v>
      </c>
      <c r="K1863" s="2">
        <v>1</v>
      </c>
      <c r="L1863" s="2" t="s">
        <v>35</v>
      </c>
      <c r="M1863" s="12">
        <f t="shared" si="63"/>
        <v>144000</v>
      </c>
      <c r="N1863" s="10">
        <f>PRODUCT(Table_13[[#This Row],[Unit Price]],Table_13[[#This Row],[Quantity]])</f>
        <v>180000</v>
      </c>
      <c r="O1863" s="16">
        <f>PRODUCT(Table_13[[#This Row],[Cost Price]],Table_13[[#This Row],[Quantity]])</f>
        <v>144000</v>
      </c>
      <c r="P1863" s="27">
        <f t="shared" si="67"/>
        <v>36000</v>
      </c>
    </row>
    <row r="1864" spans="1:16" x14ac:dyDescent="0.2">
      <c r="A1864" s="33">
        <v>47538</v>
      </c>
      <c r="B1864" s="30">
        <f t="shared" si="66"/>
        <v>2</v>
      </c>
      <c r="C1864" s="30" t="str">
        <f>_xlfn.IFS(Table_13[[#This Row],[Month]]=1,"JAN",Table_13[[#This Row],[Month]]=2,"FEB",B1864=3,"MAR",B1864=4,"APR",B1864=5,"MAY",B1864=6,"JUN",B1864=7,"JUL",B1864=8,"AUG",Table_13[[#This Row],[Month]]=9,"SEPT",B1864=10,"OCT",B1864=11,"NOV",B1864=12,"DEC")</f>
        <v>FEB</v>
      </c>
      <c r="D1864" s="2" t="s">
        <v>25</v>
      </c>
      <c r="E1864" s="2" t="s">
        <v>32</v>
      </c>
      <c r="F1864" s="2" t="s">
        <v>23</v>
      </c>
      <c r="G1864" s="2" t="s">
        <v>20</v>
      </c>
      <c r="H1864" s="2" t="s">
        <v>33</v>
      </c>
      <c r="I1864" s="2" t="s">
        <v>22</v>
      </c>
      <c r="J1864" s="15">
        <v>180000</v>
      </c>
      <c r="K1864" s="2">
        <v>1</v>
      </c>
      <c r="L1864" s="2" t="s">
        <v>28</v>
      </c>
      <c r="M1864" s="12">
        <f t="shared" si="63"/>
        <v>144000</v>
      </c>
      <c r="N1864" s="10">
        <f>PRODUCT(Table_13[[#This Row],[Unit Price]],Table_13[[#This Row],[Quantity]])</f>
        <v>180000</v>
      </c>
      <c r="O1864" s="16">
        <f>PRODUCT(Table_13[[#This Row],[Cost Price]],Table_13[[#This Row],[Quantity]])</f>
        <v>144000</v>
      </c>
      <c r="P1864" s="27">
        <f t="shared" si="67"/>
        <v>36000</v>
      </c>
    </row>
    <row r="1865" spans="1:16" x14ac:dyDescent="0.2">
      <c r="A1865" s="33">
        <v>47539</v>
      </c>
      <c r="B1865" s="30">
        <f t="shared" si="66"/>
        <v>2</v>
      </c>
      <c r="C1865" s="30" t="str">
        <f>_xlfn.IFS(Table_13[[#This Row],[Month]]=1,"JAN",Table_13[[#This Row],[Month]]=2,"FEB",B1865=3,"MAR",B1865=4,"APR",B1865=5,"MAY",B1865=6,"JUN",B1865=7,"JUL",B1865=8,"AUG",Table_13[[#This Row],[Month]]=9,"SEPT",B1865=10,"OCT",B1865=11,"NOV",B1865=12,"DEC")</f>
        <v>FEB</v>
      </c>
      <c r="D1865" s="2" t="s">
        <v>11</v>
      </c>
      <c r="E1865" s="2" t="s">
        <v>19</v>
      </c>
      <c r="F1865" s="2" t="s">
        <v>13</v>
      </c>
      <c r="G1865" s="2" t="s">
        <v>20</v>
      </c>
      <c r="H1865" s="2" t="s">
        <v>40</v>
      </c>
      <c r="I1865" s="2" t="s">
        <v>31</v>
      </c>
      <c r="J1865" s="15">
        <v>250000</v>
      </c>
      <c r="K1865" s="2">
        <v>9</v>
      </c>
      <c r="L1865" s="2" t="s">
        <v>17</v>
      </c>
      <c r="M1865" s="12">
        <f t="shared" si="63"/>
        <v>200000</v>
      </c>
      <c r="N1865" s="10">
        <f>PRODUCT(Table_13[[#This Row],[Unit Price]],Table_13[[#This Row],[Quantity]])</f>
        <v>2250000</v>
      </c>
      <c r="O1865" s="16">
        <f>PRODUCT(Table_13[[#This Row],[Cost Price]],Table_13[[#This Row],[Quantity]])</f>
        <v>1800000</v>
      </c>
      <c r="P1865" s="27">
        <f t="shared" si="67"/>
        <v>450000</v>
      </c>
    </row>
    <row r="1866" spans="1:16" x14ac:dyDescent="0.2">
      <c r="A1866" s="33">
        <v>47540</v>
      </c>
      <c r="B1866" s="30">
        <f t="shared" si="66"/>
        <v>2</v>
      </c>
      <c r="C1866" s="30" t="str">
        <f>_xlfn.IFS(Table_13[[#This Row],[Month]]=1,"JAN",Table_13[[#This Row],[Month]]=2,"FEB",B1866=3,"MAR",B1866=4,"APR",B1866=5,"MAY",B1866=6,"JUN",B1866=7,"JUL",B1866=8,"AUG",Table_13[[#This Row],[Month]]=9,"SEPT",B1866=10,"OCT",B1866=11,"NOV",B1866=12,"DEC")</f>
        <v>FEB</v>
      </c>
      <c r="D1866" s="2" t="s">
        <v>29</v>
      </c>
      <c r="E1866" s="2" t="s">
        <v>12</v>
      </c>
      <c r="F1866" s="2" t="s">
        <v>13</v>
      </c>
      <c r="G1866" s="2" t="s">
        <v>20</v>
      </c>
      <c r="H1866" s="2" t="s">
        <v>15</v>
      </c>
      <c r="I1866" s="2" t="s">
        <v>16</v>
      </c>
      <c r="J1866" s="15">
        <v>85000</v>
      </c>
      <c r="K1866" s="2">
        <v>4</v>
      </c>
      <c r="L1866" s="2" t="s">
        <v>35</v>
      </c>
      <c r="M1866" s="12">
        <f t="shared" si="63"/>
        <v>68000</v>
      </c>
      <c r="N1866" s="10">
        <f>PRODUCT(Table_13[[#This Row],[Unit Price]],Table_13[[#This Row],[Quantity]])</f>
        <v>340000</v>
      </c>
      <c r="O1866" s="16">
        <f>PRODUCT(Table_13[[#This Row],[Cost Price]],Table_13[[#This Row],[Quantity]])</f>
        <v>272000</v>
      </c>
      <c r="P1866" s="27">
        <f t="shared" si="67"/>
        <v>68000</v>
      </c>
    </row>
    <row r="1867" spans="1:16" x14ac:dyDescent="0.2">
      <c r="A1867" s="33">
        <v>47541</v>
      </c>
      <c r="B1867" s="30">
        <f t="shared" si="66"/>
        <v>2</v>
      </c>
      <c r="C1867" s="30" t="str">
        <f>_xlfn.IFS(Table_13[[#This Row],[Month]]=1,"JAN",Table_13[[#This Row],[Month]]=2,"FEB",B1867=3,"MAR",B1867=4,"APR",B1867=5,"MAY",B1867=6,"JUN",B1867=7,"JUL",B1867=8,"AUG",Table_13[[#This Row],[Month]]=9,"SEPT",B1867=10,"OCT",B1867=11,"NOV",B1867=12,"DEC")</f>
        <v>FEB</v>
      </c>
      <c r="D1867" s="2" t="s">
        <v>11</v>
      </c>
      <c r="E1867" s="2" t="s">
        <v>32</v>
      </c>
      <c r="F1867" s="2" t="s">
        <v>23</v>
      </c>
      <c r="G1867" s="2" t="s">
        <v>20</v>
      </c>
      <c r="H1867" s="2" t="s">
        <v>38</v>
      </c>
      <c r="I1867" s="2" t="s">
        <v>31</v>
      </c>
      <c r="J1867" s="15">
        <v>420000</v>
      </c>
      <c r="K1867" s="2">
        <v>8</v>
      </c>
      <c r="L1867" s="2" t="s">
        <v>24</v>
      </c>
      <c r="M1867" s="12">
        <f t="shared" si="63"/>
        <v>336000</v>
      </c>
      <c r="N1867" s="10">
        <f>PRODUCT(Table_13[[#This Row],[Unit Price]],Table_13[[#This Row],[Quantity]])</f>
        <v>3360000</v>
      </c>
      <c r="O1867" s="16">
        <f>PRODUCT(Table_13[[#This Row],[Cost Price]],Table_13[[#This Row],[Quantity]])</f>
        <v>2688000</v>
      </c>
      <c r="P1867" s="27">
        <f t="shared" si="67"/>
        <v>672000</v>
      </c>
    </row>
    <row r="1868" spans="1:16" x14ac:dyDescent="0.2">
      <c r="A1868" s="33">
        <v>47542</v>
      </c>
      <c r="B1868" s="30">
        <f t="shared" si="66"/>
        <v>2</v>
      </c>
      <c r="C1868" s="30" t="str">
        <f>_xlfn.IFS(Table_13[[#This Row],[Month]]=1,"JAN",Table_13[[#This Row],[Month]]=2,"FEB",B1868=3,"MAR",B1868=4,"APR",B1868=5,"MAY",B1868=6,"JUN",B1868=7,"JUL",B1868=8,"AUG",Table_13[[#This Row],[Month]]=9,"SEPT",B1868=10,"OCT",B1868=11,"NOV",B1868=12,"DEC")</f>
        <v>FEB</v>
      </c>
      <c r="D1868" s="2" t="s">
        <v>25</v>
      </c>
      <c r="E1868" s="2" t="s">
        <v>32</v>
      </c>
      <c r="F1868" s="2" t="s">
        <v>23</v>
      </c>
      <c r="G1868" s="2" t="s">
        <v>20</v>
      </c>
      <c r="H1868" s="2" t="s">
        <v>34</v>
      </c>
      <c r="I1868" s="2" t="s">
        <v>16</v>
      </c>
      <c r="J1868" s="15">
        <v>320000</v>
      </c>
      <c r="K1868" s="2">
        <v>6</v>
      </c>
      <c r="L1868" s="2" t="s">
        <v>24</v>
      </c>
      <c r="M1868" s="12">
        <f t="shared" si="63"/>
        <v>256000</v>
      </c>
      <c r="N1868" s="10">
        <f>PRODUCT(Table_13[[#This Row],[Unit Price]],Table_13[[#This Row],[Quantity]])</f>
        <v>1920000</v>
      </c>
      <c r="O1868" s="16">
        <f>PRODUCT(Table_13[[#This Row],[Cost Price]],Table_13[[#This Row],[Quantity]])</f>
        <v>1536000</v>
      </c>
      <c r="P1868" s="27">
        <f t="shared" si="67"/>
        <v>384000</v>
      </c>
    </row>
    <row r="1869" spans="1:16" x14ac:dyDescent="0.2">
      <c r="A1869" s="33">
        <v>47543</v>
      </c>
      <c r="B1869" s="30">
        <f t="shared" si="66"/>
        <v>3</v>
      </c>
      <c r="C1869" s="30" t="str">
        <f>_xlfn.IFS(Table_13[[#This Row],[Month]]=1,"JAN",Table_13[[#This Row],[Month]]=2,"FEB",B1869=3,"MAR",B1869=4,"APR",B1869=5,"MAY",B1869=6,"JUN",B1869=7,"JUL",B1869=8,"AUG",Table_13[[#This Row],[Month]]=9,"SEPT",B1869=10,"OCT",B1869=11,"NOV",B1869=12,"DEC")</f>
        <v>MAR</v>
      </c>
      <c r="D1869" s="2" t="s">
        <v>29</v>
      </c>
      <c r="E1869" s="2" t="s">
        <v>19</v>
      </c>
      <c r="F1869" s="2" t="s">
        <v>13</v>
      </c>
      <c r="G1869" s="2" t="s">
        <v>20</v>
      </c>
      <c r="H1869" s="2" t="s">
        <v>36</v>
      </c>
      <c r="I1869" s="2" t="s">
        <v>31</v>
      </c>
      <c r="J1869" s="15">
        <v>150000</v>
      </c>
      <c r="K1869" s="2">
        <v>3</v>
      </c>
      <c r="L1869" s="2" t="s">
        <v>37</v>
      </c>
      <c r="M1869" s="12">
        <f t="shared" si="63"/>
        <v>120000</v>
      </c>
      <c r="N1869" s="10">
        <f>PRODUCT(Table_13[[#This Row],[Unit Price]],Table_13[[#This Row],[Quantity]])</f>
        <v>450000</v>
      </c>
      <c r="O1869" s="16">
        <f>PRODUCT(Table_13[[#This Row],[Cost Price]],Table_13[[#This Row],[Quantity]])</f>
        <v>360000</v>
      </c>
      <c r="P1869" s="27">
        <f t="shared" si="67"/>
        <v>90000</v>
      </c>
    </row>
    <row r="1870" spans="1:16" x14ac:dyDescent="0.2">
      <c r="A1870" s="33">
        <v>47544</v>
      </c>
      <c r="B1870" s="30">
        <f t="shared" si="66"/>
        <v>3</v>
      </c>
      <c r="C1870" s="30" t="str">
        <f>_xlfn.IFS(Table_13[[#This Row],[Month]]=1,"JAN",Table_13[[#This Row],[Month]]=2,"FEB",B1870=3,"MAR",B1870=4,"APR",B1870=5,"MAY",B1870=6,"JUN",B1870=7,"JUL",B1870=8,"AUG",Table_13[[#This Row],[Month]]=9,"SEPT",B1870=10,"OCT",B1870=11,"NOV",B1870=12,"DEC")</f>
        <v>MAR</v>
      </c>
      <c r="D1870" s="2" t="s">
        <v>11</v>
      </c>
      <c r="E1870" s="2" t="s">
        <v>32</v>
      </c>
      <c r="F1870" s="2" t="s">
        <v>13</v>
      </c>
      <c r="G1870" s="2" t="s">
        <v>20</v>
      </c>
      <c r="H1870" s="2" t="s">
        <v>15</v>
      </c>
      <c r="I1870" s="2" t="s">
        <v>16</v>
      </c>
      <c r="J1870" s="15">
        <v>85000</v>
      </c>
      <c r="K1870" s="2">
        <v>3</v>
      </c>
      <c r="L1870" s="2" t="s">
        <v>28</v>
      </c>
      <c r="M1870" s="12">
        <f t="shared" si="63"/>
        <v>68000</v>
      </c>
      <c r="N1870" s="10">
        <f>PRODUCT(Table_13[[#This Row],[Unit Price]],Table_13[[#This Row],[Quantity]])</f>
        <v>255000</v>
      </c>
      <c r="O1870" s="16">
        <f>PRODUCT(Table_13[[#This Row],[Cost Price]],Table_13[[#This Row],[Quantity]])</f>
        <v>204000</v>
      </c>
      <c r="P1870" s="27">
        <f t="shared" si="67"/>
        <v>51000</v>
      </c>
    </row>
    <row r="1871" spans="1:16" x14ac:dyDescent="0.2">
      <c r="A1871" s="33">
        <v>47545</v>
      </c>
      <c r="B1871" s="30">
        <f t="shared" si="66"/>
        <v>3</v>
      </c>
      <c r="C1871" s="30" t="str">
        <f>_xlfn.IFS(Table_13[[#This Row],[Month]]=1,"JAN",Table_13[[#This Row],[Month]]=2,"FEB",B1871=3,"MAR",B1871=4,"APR",B1871=5,"MAY",B1871=6,"JUN",B1871=7,"JUL",B1871=8,"AUG",Table_13[[#This Row],[Month]]=9,"SEPT",B1871=10,"OCT",B1871=11,"NOV",B1871=12,"DEC")</f>
        <v>MAR</v>
      </c>
      <c r="D1871" s="2" t="s">
        <v>29</v>
      </c>
      <c r="E1871" s="2" t="s">
        <v>19</v>
      </c>
      <c r="F1871" s="2" t="s">
        <v>13</v>
      </c>
      <c r="G1871" s="2" t="s">
        <v>20</v>
      </c>
      <c r="H1871" s="2" t="s">
        <v>30</v>
      </c>
      <c r="I1871" s="2" t="s">
        <v>31</v>
      </c>
      <c r="J1871" s="15">
        <v>300000</v>
      </c>
      <c r="K1871" s="2">
        <v>1</v>
      </c>
      <c r="L1871" s="2" t="s">
        <v>28</v>
      </c>
      <c r="M1871" s="12">
        <f t="shared" si="63"/>
        <v>240000</v>
      </c>
      <c r="N1871" s="10">
        <f>PRODUCT(Table_13[[#This Row],[Unit Price]],Table_13[[#This Row],[Quantity]])</f>
        <v>300000</v>
      </c>
      <c r="O1871" s="16">
        <f>PRODUCT(Table_13[[#This Row],[Cost Price]],Table_13[[#This Row],[Quantity]])</f>
        <v>240000</v>
      </c>
      <c r="P1871" s="27">
        <f t="shared" si="67"/>
        <v>60000</v>
      </c>
    </row>
    <row r="1872" spans="1:16" x14ac:dyDescent="0.2">
      <c r="A1872" s="33">
        <v>47546</v>
      </c>
      <c r="B1872" s="30">
        <f t="shared" si="66"/>
        <v>3</v>
      </c>
      <c r="C1872" s="30" t="str">
        <f>_xlfn.IFS(Table_13[[#This Row],[Month]]=1,"JAN",Table_13[[#This Row],[Month]]=2,"FEB",B1872=3,"MAR",B1872=4,"APR",B1872=5,"MAY",B1872=6,"JUN",B1872=7,"JUL",B1872=8,"AUG",Table_13[[#This Row],[Month]]=9,"SEPT",B1872=10,"OCT",B1872=11,"NOV",B1872=12,"DEC")</f>
        <v>MAR</v>
      </c>
      <c r="D1872" s="2" t="s">
        <v>25</v>
      </c>
      <c r="E1872" s="2" t="s">
        <v>19</v>
      </c>
      <c r="F1872" s="2" t="s">
        <v>23</v>
      </c>
      <c r="G1872" s="2" t="s">
        <v>14</v>
      </c>
      <c r="H1872" s="2" t="s">
        <v>33</v>
      </c>
      <c r="I1872" s="2" t="s">
        <v>22</v>
      </c>
      <c r="J1872" s="15">
        <v>180000</v>
      </c>
      <c r="K1872" s="2">
        <v>4</v>
      </c>
      <c r="L1872" s="2" t="s">
        <v>37</v>
      </c>
      <c r="M1872" s="12">
        <f t="shared" si="63"/>
        <v>144000</v>
      </c>
      <c r="N1872" s="10">
        <f>PRODUCT(Table_13[[#This Row],[Unit Price]],Table_13[[#This Row],[Quantity]])</f>
        <v>720000</v>
      </c>
      <c r="O1872" s="16">
        <f>PRODUCT(Table_13[[#This Row],[Cost Price]],Table_13[[#This Row],[Quantity]])</f>
        <v>576000</v>
      </c>
      <c r="P1872" s="27">
        <f t="shared" si="67"/>
        <v>144000</v>
      </c>
    </row>
    <row r="1873" spans="1:16" x14ac:dyDescent="0.2">
      <c r="A1873" s="33">
        <v>47547</v>
      </c>
      <c r="B1873" s="30">
        <f t="shared" si="66"/>
        <v>3</v>
      </c>
      <c r="C1873" s="30" t="str">
        <f>_xlfn.IFS(Table_13[[#This Row],[Month]]=1,"JAN",Table_13[[#This Row],[Month]]=2,"FEB",B1873=3,"MAR",B1873=4,"APR",B1873=5,"MAY",B1873=6,"JUN",B1873=7,"JUL",B1873=8,"AUG",Table_13[[#This Row],[Month]]=9,"SEPT",B1873=10,"OCT",B1873=11,"NOV",B1873=12,"DEC")</f>
        <v>MAR</v>
      </c>
      <c r="D1873" s="2" t="s">
        <v>11</v>
      </c>
      <c r="E1873" s="2" t="s">
        <v>19</v>
      </c>
      <c r="F1873" s="2" t="s">
        <v>13</v>
      </c>
      <c r="G1873" s="2" t="s">
        <v>14</v>
      </c>
      <c r="H1873" s="2" t="s">
        <v>38</v>
      </c>
      <c r="I1873" s="2" t="s">
        <v>31</v>
      </c>
      <c r="J1873" s="15">
        <v>420000</v>
      </c>
      <c r="K1873" s="2">
        <v>10</v>
      </c>
      <c r="L1873" s="2" t="s">
        <v>35</v>
      </c>
      <c r="M1873" s="12">
        <f t="shared" si="63"/>
        <v>336000</v>
      </c>
      <c r="N1873" s="10">
        <f>PRODUCT(Table_13[[#This Row],[Unit Price]],Table_13[[#This Row],[Quantity]])</f>
        <v>4200000</v>
      </c>
      <c r="O1873" s="16">
        <f>PRODUCT(Table_13[[#This Row],[Cost Price]],Table_13[[#This Row],[Quantity]])</f>
        <v>3360000</v>
      </c>
      <c r="P1873" s="27">
        <f t="shared" si="67"/>
        <v>840000</v>
      </c>
    </row>
    <row r="1874" spans="1:16" x14ac:dyDescent="0.2">
      <c r="A1874" s="33">
        <v>47548</v>
      </c>
      <c r="B1874" s="30">
        <f t="shared" si="66"/>
        <v>3</v>
      </c>
      <c r="C1874" s="30" t="str">
        <f>_xlfn.IFS(Table_13[[#This Row],[Month]]=1,"JAN",Table_13[[#This Row],[Month]]=2,"FEB",B1874=3,"MAR",B1874=4,"APR",B1874=5,"MAY",B1874=6,"JUN",B1874=7,"JUL",B1874=8,"AUG",Table_13[[#This Row],[Month]]=9,"SEPT",B1874=10,"OCT",B1874=11,"NOV",B1874=12,"DEC")</f>
        <v>MAR</v>
      </c>
      <c r="D1874" s="2" t="s">
        <v>29</v>
      </c>
      <c r="E1874" s="2" t="s">
        <v>32</v>
      </c>
      <c r="F1874" s="2" t="s">
        <v>23</v>
      </c>
      <c r="G1874" s="2" t="s">
        <v>14</v>
      </c>
      <c r="H1874" s="2" t="s">
        <v>36</v>
      </c>
      <c r="I1874" s="2" t="s">
        <v>31</v>
      </c>
      <c r="J1874" s="15">
        <v>150000</v>
      </c>
      <c r="K1874" s="2">
        <v>4</v>
      </c>
      <c r="L1874" s="2" t="s">
        <v>39</v>
      </c>
      <c r="M1874" s="12">
        <f t="shared" si="63"/>
        <v>120000</v>
      </c>
      <c r="N1874" s="10">
        <f>PRODUCT(Table_13[[#This Row],[Unit Price]],Table_13[[#This Row],[Quantity]])</f>
        <v>600000</v>
      </c>
      <c r="O1874" s="16">
        <f>PRODUCT(Table_13[[#This Row],[Cost Price]],Table_13[[#This Row],[Quantity]])</f>
        <v>480000</v>
      </c>
      <c r="P1874" s="27">
        <f t="shared" si="67"/>
        <v>120000</v>
      </c>
    </row>
    <row r="1875" spans="1:16" x14ac:dyDescent="0.2">
      <c r="A1875" s="33">
        <v>47549</v>
      </c>
      <c r="B1875" s="30">
        <f t="shared" si="66"/>
        <v>3</v>
      </c>
      <c r="C1875" s="30" t="str">
        <f>_xlfn.IFS(Table_13[[#This Row],[Month]]=1,"JAN",Table_13[[#This Row],[Month]]=2,"FEB",B1875=3,"MAR",B1875=4,"APR",B1875=5,"MAY",B1875=6,"JUN",B1875=7,"JUL",B1875=8,"AUG",Table_13[[#This Row],[Month]]=9,"SEPT",B1875=10,"OCT",B1875=11,"NOV",B1875=12,"DEC")</f>
        <v>MAR</v>
      </c>
      <c r="D1875" s="2" t="s">
        <v>18</v>
      </c>
      <c r="E1875" s="2" t="s">
        <v>26</v>
      </c>
      <c r="F1875" s="2" t="s">
        <v>13</v>
      </c>
      <c r="G1875" s="2" t="s">
        <v>14</v>
      </c>
      <c r="H1875" s="2" t="s">
        <v>15</v>
      </c>
      <c r="I1875" s="2" t="s">
        <v>16</v>
      </c>
      <c r="J1875" s="15">
        <v>85000</v>
      </c>
      <c r="K1875" s="2">
        <v>6</v>
      </c>
      <c r="L1875" s="2" t="s">
        <v>39</v>
      </c>
      <c r="M1875" s="12">
        <f t="shared" si="63"/>
        <v>68000</v>
      </c>
      <c r="N1875" s="10">
        <f>PRODUCT(Table_13[[#This Row],[Unit Price]],Table_13[[#This Row],[Quantity]])</f>
        <v>510000</v>
      </c>
      <c r="O1875" s="16">
        <f>PRODUCT(Table_13[[#This Row],[Cost Price]],Table_13[[#This Row],[Quantity]])</f>
        <v>408000</v>
      </c>
      <c r="P1875" s="27">
        <f t="shared" si="67"/>
        <v>102000</v>
      </c>
    </row>
    <row r="1876" spans="1:16" x14ac:dyDescent="0.2">
      <c r="A1876" s="33">
        <v>47550</v>
      </c>
      <c r="B1876" s="30">
        <f t="shared" si="66"/>
        <v>3</v>
      </c>
      <c r="C1876" s="30" t="str">
        <f>_xlfn.IFS(Table_13[[#This Row],[Month]]=1,"JAN",Table_13[[#This Row],[Month]]=2,"FEB",B1876=3,"MAR",B1876=4,"APR",B1876=5,"MAY",B1876=6,"JUN",B1876=7,"JUL",B1876=8,"AUG",Table_13[[#This Row],[Month]]=9,"SEPT",B1876=10,"OCT",B1876=11,"NOV",B1876=12,"DEC")</f>
        <v>MAR</v>
      </c>
      <c r="D1876" s="2" t="s">
        <v>25</v>
      </c>
      <c r="E1876" s="2" t="s">
        <v>12</v>
      </c>
      <c r="F1876" s="2" t="s">
        <v>23</v>
      </c>
      <c r="G1876" s="2" t="s">
        <v>20</v>
      </c>
      <c r="H1876" s="2" t="s">
        <v>30</v>
      </c>
      <c r="I1876" s="2" t="s">
        <v>31</v>
      </c>
      <c r="J1876" s="15">
        <v>300000</v>
      </c>
      <c r="K1876" s="2">
        <v>10</v>
      </c>
      <c r="L1876" s="2" t="s">
        <v>17</v>
      </c>
      <c r="M1876" s="12">
        <f t="shared" si="63"/>
        <v>240000</v>
      </c>
      <c r="N1876" s="10">
        <f>PRODUCT(Table_13[[#This Row],[Unit Price]],Table_13[[#This Row],[Quantity]])</f>
        <v>3000000</v>
      </c>
      <c r="O1876" s="16">
        <f>PRODUCT(Table_13[[#This Row],[Cost Price]],Table_13[[#This Row],[Quantity]])</f>
        <v>2400000</v>
      </c>
      <c r="P1876" s="27">
        <f t="shared" si="67"/>
        <v>600000</v>
      </c>
    </row>
    <row r="1877" spans="1:16" x14ac:dyDescent="0.2">
      <c r="A1877" s="33">
        <v>47551</v>
      </c>
      <c r="B1877" s="30">
        <f t="shared" si="66"/>
        <v>3</v>
      </c>
      <c r="C1877" s="30" t="str">
        <f>_xlfn.IFS(Table_13[[#This Row],[Month]]=1,"JAN",Table_13[[#This Row],[Month]]=2,"FEB",B1877=3,"MAR",B1877=4,"APR",B1877=5,"MAY",B1877=6,"JUN",B1877=7,"JUL",B1877=8,"AUG",Table_13[[#This Row],[Month]]=9,"SEPT",B1877=10,"OCT",B1877=11,"NOV",B1877=12,"DEC")</f>
        <v>MAR</v>
      </c>
      <c r="D1877" s="2" t="s">
        <v>18</v>
      </c>
      <c r="E1877" s="2" t="s">
        <v>19</v>
      </c>
      <c r="F1877" s="2" t="s">
        <v>23</v>
      </c>
      <c r="G1877" s="2" t="s">
        <v>20</v>
      </c>
      <c r="H1877" s="2" t="s">
        <v>36</v>
      </c>
      <c r="I1877" s="2" t="s">
        <v>31</v>
      </c>
      <c r="J1877" s="15">
        <v>150000</v>
      </c>
      <c r="K1877" s="2">
        <v>6</v>
      </c>
      <c r="L1877" s="2" t="s">
        <v>39</v>
      </c>
      <c r="M1877" s="12">
        <f t="shared" si="63"/>
        <v>120000</v>
      </c>
      <c r="N1877" s="10">
        <f>PRODUCT(Table_13[[#This Row],[Unit Price]],Table_13[[#This Row],[Quantity]])</f>
        <v>900000</v>
      </c>
      <c r="O1877" s="16">
        <f>PRODUCT(Table_13[[#This Row],[Cost Price]],Table_13[[#This Row],[Quantity]])</f>
        <v>720000</v>
      </c>
      <c r="P1877" s="27">
        <f t="shared" si="67"/>
        <v>180000</v>
      </c>
    </row>
    <row r="1878" spans="1:16" x14ac:dyDescent="0.2">
      <c r="A1878" s="33">
        <v>47552</v>
      </c>
      <c r="B1878" s="30">
        <f t="shared" si="66"/>
        <v>3</v>
      </c>
      <c r="C1878" s="30" t="str">
        <f>_xlfn.IFS(Table_13[[#This Row],[Month]]=1,"JAN",Table_13[[#This Row],[Month]]=2,"FEB",B1878=3,"MAR",B1878=4,"APR",B1878=5,"MAY",B1878=6,"JUN",B1878=7,"JUL",B1878=8,"AUG",Table_13[[#This Row],[Month]]=9,"SEPT",B1878=10,"OCT",B1878=11,"NOV",B1878=12,"DEC")</f>
        <v>MAR</v>
      </c>
      <c r="D1878" s="2" t="s">
        <v>25</v>
      </c>
      <c r="E1878" s="2" t="s">
        <v>12</v>
      </c>
      <c r="F1878" s="2" t="s">
        <v>23</v>
      </c>
      <c r="G1878" s="2" t="s">
        <v>20</v>
      </c>
      <c r="H1878" s="2" t="s">
        <v>36</v>
      </c>
      <c r="I1878" s="2" t="s">
        <v>31</v>
      </c>
      <c r="J1878" s="15">
        <v>150000</v>
      </c>
      <c r="K1878" s="2">
        <v>1</v>
      </c>
      <c r="L1878" s="2" t="s">
        <v>39</v>
      </c>
      <c r="M1878" s="12">
        <f t="shared" si="63"/>
        <v>120000</v>
      </c>
      <c r="N1878" s="10">
        <f>PRODUCT(Table_13[[#This Row],[Unit Price]],Table_13[[#This Row],[Quantity]])</f>
        <v>150000</v>
      </c>
      <c r="O1878" s="16">
        <f>PRODUCT(Table_13[[#This Row],[Cost Price]],Table_13[[#This Row],[Quantity]])</f>
        <v>120000</v>
      </c>
      <c r="P1878" s="27">
        <f t="shared" si="67"/>
        <v>30000</v>
      </c>
    </row>
    <row r="1879" spans="1:16" x14ac:dyDescent="0.2">
      <c r="A1879" s="33">
        <v>47553</v>
      </c>
      <c r="B1879" s="30">
        <f t="shared" si="66"/>
        <v>3</v>
      </c>
      <c r="C1879" s="30" t="str">
        <f>_xlfn.IFS(Table_13[[#This Row],[Month]]=1,"JAN",Table_13[[#This Row],[Month]]=2,"FEB",B1879=3,"MAR",B1879=4,"APR",B1879=5,"MAY",B1879=6,"JUN",B1879=7,"JUL",B1879=8,"AUG",Table_13[[#This Row],[Month]]=9,"SEPT",B1879=10,"OCT",B1879=11,"NOV",B1879=12,"DEC")</f>
        <v>MAR</v>
      </c>
      <c r="D1879" s="2" t="s">
        <v>29</v>
      </c>
      <c r="E1879" s="2" t="s">
        <v>12</v>
      </c>
      <c r="F1879" s="2" t="s">
        <v>13</v>
      </c>
      <c r="G1879" s="2" t="s">
        <v>20</v>
      </c>
      <c r="H1879" s="2" t="s">
        <v>30</v>
      </c>
      <c r="I1879" s="2" t="s">
        <v>31</v>
      </c>
      <c r="J1879" s="15">
        <v>300000</v>
      </c>
      <c r="K1879" s="2">
        <v>3</v>
      </c>
      <c r="L1879" s="2" t="s">
        <v>28</v>
      </c>
      <c r="M1879" s="12">
        <f t="shared" si="63"/>
        <v>240000</v>
      </c>
      <c r="N1879" s="10">
        <f>PRODUCT(Table_13[[#This Row],[Unit Price]],Table_13[[#This Row],[Quantity]])</f>
        <v>900000</v>
      </c>
      <c r="O1879" s="16">
        <f>PRODUCT(Table_13[[#This Row],[Cost Price]],Table_13[[#This Row],[Quantity]])</f>
        <v>720000</v>
      </c>
      <c r="P1879" s="27">
        <f t="shared" si="67"/>
        <v>180000</v>
      </c>
    </row>
    <row r="1880" spans="1:16" x14ac:dyDescent="0.2">
      <c r="A1880" s="33">
        <v>47554</v>
      </c>
      <c r="B1880" s="30">
        <f t="shared" si="66"/>
        <v>3</v>
      </c>
      <c r="C1880" s="30" t="str">
        <f>_xlfn.IFS(Table_13[[#This Row],[Month]]=1,"JAN",Table_13[[#This Row],[Month]]=2,"FEB",B1880=3,"MAR",B1880=4,"APR",B1880=5,"MAY",B1880=6,"JUN",B1880=7,"JUL",B1880=8,"AUG",Table_13[[#This Row],[Month]]=9,"SEPT",B1880=10,"OCT",B1880=11,"NOV",B1880=12,"DEC")</f>
        <v>MAR</v>
      </c>
      <c r="D1880" s="2" t="s">
        <v>29</v>
      </c>
      <c r="E1880" s="2" t="s">
        <v>12</v>
      </c>
      <c r="F1880" s="2" t="s">
        <v>13</v>
      </c>
      <c r="G1880" s="2" t="s">
        <v>14</v>
      </c>
      <c r="H1880" s="2" t="s">
        <v>30</v>
      </c>
      <c r="I1880" s="2" t="s">
        <v>31</v>
      </c>
      <c r="J1880" s="15">
        <v>300000</v>
      </c>
      <c r="K1880" s="2">
        <v>8</v>
      </c>
      <c r="L1880" s="2" t="s">
        <v>37</v>
      </c>
      <c r="M1880" s="12">
        <f t="shared" si="63"/>
        <v>240000</v>
      </c>
      <c r="N1880" s="10">
        <f>PRODUCT(Table_13[[#This Row],[Unit Price]],Table_13[[#This Row],[Quantity]])</f>
        <v>2400000</v>
      </c>
      <c r="O1880" s="16">
        <f>PRODUCT(Table_13[[#This Row],[Cost Price]],Table_13[[#This Row],[Quantity]])</f>
        <v>1920000</v>
      </c>
      <c r="P1880" s="27">
        <f t="shared" si="67"/>
        <v>480000</v>
      </c>
    </row>
    <row r="1881" spans="1:16" x14ac:dyDescent="0.2">
      <c r="A1881" s="33">
        <v>47555</v>
      </c>
      <c r="B1881" s="30">
        <f t="shared" si="66"/>
        <v>3</v>
      </c>
      <c r="C1881" s="30" t="str">
        <f>_xlfn.IFS(Table_13[[#This Row],[Month]]=1,"JAN",Table_13[[#This Row],[Month]]=2,"FEB",B1881=3,"MAR",B1881=4,"APR",B1881=5,"MAY",B1881=6,"JUN",B1881=7,"JUL",B1881=8,"AUG",Table_13[[#This Row],[Month]]=9,"SEPT",B1881=10,"OCT",B1881=11,"NOV",B1881=12,"DEC")</f>
        <v>MAR</v>
      </c>
      <c r="D1881" s="2" t="s">
        <v>18</v>
      </c>
      <c r="E1881" s="2" t="s">
        <v>12</v>
      </c>
      <c r="F1881" s="2" t="s">
        <v>23</v>
      </c>
      <c r="G1881" s="2" t="s">
        <v>14</v>
      </c>
      <c r="H1881" s="2" t="s">
        <v>30</v>
      </c>
      <c r="I1881" s="2" t="s">
        <v>31</v>
      </c>
      <c r="J1881" s="15">
        <v>300000</v>
      </c>
      <c r="K1881" s="2">
        <v>9</v>
      </c>
      <c r="L1881" s="2" t="s">
        <v>17</v>
      </c>
      <c r="M1881" s="12">
        <f t="shared" si="63"/>
        <v>240000</v>
      </c>
      <c r="N1881" s="10">
        <f>PRODUCT(Table_13[[#This Row],[Unit Price]],Table_13[[#This Row],[Quantity]])</f>
        <v>2700000</v>
      </c>
      <c r="O1881" s="16">
        <f>PRODUCT(Table_13[[#This Row],[Cost Price]],Table_13[[#This Row],[Quantity]])</f>
        <v>2160000</v>
      </c>
      <c r="P1881" s="27">
        <f t="shared" si="67"/>
        <v>540000</v>
      </c>
    </row>
    <row r="1882" spans="1:16" x14ac:dyDescent="0.2">
      <c r="A1882" s="33">
        <v>47556</v>
      </c>
      <c r="B1882" s="30">
        <f t="shared" si="66"/>
        <v>3</v>
      </c>
      <c r="C1882" s="30" t="str">
        <f>_xlfn.IFS(Table_13[[#This Row],[Month]]=1,"JAN",Table_13[[#This Row],[Month]]=2,"FEB",B1882=3,"MAR",B1882=4,"APR",B1882=5,"MAY",B1882=6,"JUN",B1882=7,"JUL",B1882=8,"AUG",Table_13[[#This Row],[Month]]=9,"SEPT",B1882=10,"OCT",B1882=11,"NOV",B1882=12,"DEC")</f>
        <v>MAR</v>
      </c>
      <c r="D1882" s="2" t="s">
        <v>29</v>
      </c>
      <c r="E1882" s="2" t="s">
        <v>19</v>
      </c>
      <c r="F1882" s="2" t="s">
        <v>13</v>
      </c>
      <c r="G1882" s="2" t="s">
        <v>14</v>
      </c>
      <c r="H1882" s="2" t="s">
        <v>30</v>
      </c>
      <c r="I1882" s="2" t="s">
        <v>31</v>
      </c>
      <c r="J1882" s="15">
        <v>300000</v>
      </c>
      <c r="K1882" s="2">
        <v>2</v>
      </c>
      <c r="L1882" s="2" t="s">
        <v>35</v>
      </c>
      <c r="M1882" s="12">
        <f t="shared" si="63"/>
        <v>240000</v>
      </c>
      <c r="N1882" s="10">
        <f>PRODUCT(Table_13[[#This Row],[Unit Price]],Table_13[[#This Row],[Quantity]])</f>
        <v>600000</v>
      </c>
      <c r="O1882" s="16">
        <f>PRODUCT(Table_13[[#This Row],[Cost Price]],Table_13[[#This Row],[Quantity]])</f>
        <v>480000</v>
      </c>
      <c r="P1882" s="27">
        <f t="shared" si="67"/>
        <v>120000</v>
      </c>
    </row>
    <row r="1883" spans="1:16" x14ac:dyDescent="0.2">
      <c r="A1883" s="33">
        <v>47557</v>
      </c>
      <c r="B1883" s="30">
        <f t="shared" si="66"/>
        <v>3</v>
      </c>
      <c r="C1883" s="30" t="str">
        <f>_xlfn.IFS(Table_13[[#This Row],[Month]]=1,"JAN",Table_13[[#This Row],[Month]]=2,"FEB",B1883=3,"MAR",B1883=4,"APR",B1883=5,"MAY",B1883=6,"JUN",B1883=7,"JUL",B1883=8,"AUG",Table_13[[#This Row],[Month]]=9,"SEPT",B1883=10,"OCT",B1883=11,"NOV",B1883=12,"DEC")</f>
        <v>MAR</v>
      </c>
      <c r="D1883" s="2" t="s">
        <v>29</v>
      </c>
      <c r="E1883" s="2" t="s">
        <v>12</v>
      </c>
      <c r="F1883" s="2" t="s">
        <v>23</v>
      </c>
      <c r="G1883" s="2" t="s">
        <v>20</v>
      </c>
      <c r="H1883" s="2" t="s">
        <v>30</v>
      </c>
      <c r="I1883" s="2" t="s">
        <v>31</v>
      </c>
      <c r="J1883" s="15">
        <v>300000</v>
      </c>
      <c r="K1883" s="2">
        <v>10</v>
      </c>
      <c r="L1883" s="2" t="s">
        <v>28</v>
      </c>
      <c r="M1883" s="12">
        <f t="shared" si="63"/>
        <v>240000</v>
      </c>
      <c r="N1883" s="10">
        <f>PRODUCT(Table_13[[#This Row],[Unit Price]],Table_13[[#This Row],[Quantity]])</f>
        <v>3000000</v>
      </c>
      <c r="O1883" s="16">
        <f>PRODUCT(Table_13[[#This Row],[Cost Price]],Table_13[[#This Row],[Quantity]])</f>
        <v>2400000</v>
      </c>
      <c r="P1883" s="27">
        <f t="shared" si="67"/>
        <v>600000</v>
      </c>
    </row>
    <row r="1884" spans="1:16" x14ac:dyDescent="0.2">
      <c r="A1884" s="33">
        <v>47558</v>
      </c>
      <c r="B1884" s="30">
        <f t="shared" si="66"/>
        <v>3</v>
      </c>
      <c r="C1884" s="30" t="str">
        <f>_xlfn.IFS(Table_13[[#This Row],[Month]]=1,"JAN",Table_13[[#This Row],[Month]]=2,"FEB",B1884=3,"MAR",B1884=4,"APR",B1884=5,"MAY",B1884=6,"JUN",B1884=7,"JUL",B1884=8,"AUG",Table_13[[#This Row],[Month]]=9,"SEPT",B1884=10,"OCT",B1884=11,"NOV",B1884=12,"DEC")</f>
        <v>MAR</v>
      </c>
      <c r="D1884" s="2" t="s">
        <v>11</v>
      </c>
      <c r="E1884" s="2" t="s">
        <v>26</v>
      </c>
      <c r="F1884" s="2" t="s">
        <v>23</v>
      </c>
      <c r="G1884" s="2" t="s">
        <v>20</v>
      </c>
      <c r="H1884" s="2" t="s">
        <v>41</v>
      </c>
      <c r="I1884" s="2" t="s">
        <v>22</v>
      </c>
      <c r="J1884" s="15">
        <v>220000</v>
      </c>
      <c r="K1884" s="2">
        <v>4</v>
      </c>
      <c r="L1884" s="2" t="s">
        <v>37</v>
      </c>
      <c r="M1884" s="12">
        <f t="shared" si="63"/>
        <v>176000</v>
      </c>
      <c r="N1884" s="10">
        <f>PRODUCT(Table_13[[#This Row],[Unit Price]],Table_13[[#This Row],[Quantity]])</f>
        <v>880000</v>
      </c>
      <c r="O1884" s="16">
        <f>PRODUCT(Table_13[[#This Row],[Cost Price]],Table_13[[#This Row],[Quantity]])</f>
        <v>704000</v>
      </c>
      <c r="P1884" s="27">
        <f t="shared" si="67"/>
        <v>176000</v>
      </c>
    </row>
    <row r="1885" spans="1:16" x14ac:dyDescent="0.2">
      <c r="A1885" s="33">
        <v>47559</v>
      </c>
      <c r="B1885" s="30">
        <f t="shared" si="66"/>
        <v>3</v>
      </c>
      <c r="C1885" s="30" t="str">
        <f>_xlfn.IFS(Table_13[[#This Row],[Month]]=1,"JAN",Table_13[[#This Row],[Month]]=2,"FEB",B1885=3,"MAR",B1885=4,"APR",B1885=5,"MAY",B1885=6,"JUN",B1885=7,"JUL",B1885=8,"AUG",Table_13[[#This Row],[Month]]=9,"SEPT",B1885=10,"OCT",B1885=11,"NOV",B1885=12,"DEC")</f>
        <v>MAR</v>
      </c>
      <c r="D1885" s="2" t="s">
        <v>29</v>
      </c>
      <c r="E1885" s="2" t="s">
        <v>19</v>
      </c>
      <c r="F1885" s="2" t="s">
        <v>23</v>
      </c>
      <c r="G1885" s="2" t="s">
        <v>14</v>
      </c>
      <c r="H1885" s="2" t="s">
        <v>15</v>
      </c>
      <c r="I1885" s="2" t="s">
        <v>16</v>
      </c>
      <c r="J1885" s="15">
        <v>85000</v>
      </c>
      <c r="K1885" s="2">
        <v>6</v>
      </c>
      <c r="L1885" s="2" t="s">
        <v>37</v>
      </c>
      <c r="M1885" s="12">
        <f t="shared" si="63"/>
        <v>68000</v>
      </c>
      <c r="N1885" s="10">
        <f>PRODUCT(Table_13[[#This Row],[Unit Price]],Table_13[[#This Row],[Quantity]])</f>
        <v>510000</v>
      </c>
      <c r="O1885" s="16">
        <f>PRODUCT(Table_13[[#This Row],[Cost Price]],Table_13[[#This Row],[Quantity]])</f>
        <v>408000</v>
      </c>
      <c r="P1885" s="27">
        <f t="shared" si="67"/>
        <v>102000</v>
      </c>
    </row>
    <row r="1886" spans="1:16" x14ac:dyDescent="0.2">
      <c r="A1886" s="33">
        <v>47560</v>
      </c>
      <c r="B1886" s="30">
        <f t="shared" si="66"/>
        <v>3</v>
      </c>
      <c r="C1886" s="30" t="str">
        <f>_xlfn.IFS(Table_13[[#This Row],[Month]]=1,"JAN",Table_13[[#This Row],[Month]]=2,"FEB",B1886=3,"MAR",B1886=4,"APR",B1886=5,"MAY",B1886=6,"JUN",B1886=7,"JUL",B1886=8,"AUG",Table_13[[#This Row],[Month]]=9,"SEPT",B1886=10,"OCT",B1886=11,"NOV",B1886=12,"DEC")</f>
        <v>MAR</v>
      </c>
      <c r="D1886" s="2" t="s">
        <v>11</v>
      </c>
      <c r="E1886" s="2" t="s">
        <v>26</v>
      </c>
      <c r="F1886" s="2" t="s">
        <v>23</v>
      </c>
      <c r="G1886" s="2" t="s">
        <v>20</v>
      </c>
      <c r="H1886" s="2" t="s">
        <v>27</v>
      </c>
      <c r="I1886" s="2" t="s">
        <v>22</v>
      </c>
      <c r="J1886" s="15">
        <v>60000</v>
      </c>
      <c r="K1886" s="2">
        <v>4</v>
      </c>
      <c r="L1886" s="2" t="s">
        <v>28</v>
      </c>
      <c r="M1886" s="12">
        <f t="shared" si="63"/>
        <v>48000</v>
      </c>
      <c r="N1886" s="10">
        <f>PRODUCT(Table_13[[#This Row],[Unit Price]],Table_13[[#This Row],[Quantity]])</f>
        <v>240000</v>
      </c>
      <c r="O1886" s="16">
        <f>PRODUCT(Table_13[[#This Row],[Cost Price]],Table_13[[#This Row],[Quantity]])</f>
        <v>192000</v>
      </c>
      <c r="P1886" s="27">
        <f t="shared" si="67"/>
        <v>48000</v>
      </c>
    </row>
    <row r="1887" spans="1:16" x14ac:dyDescent="0.2">
      <c r="A1887" s="33">
        <v>47561</v>
      </c>
      <c r="B1887" s="30">
        <f t="shared" si="66"/>
        <v>3</v>
      </c>
      <c r="C1887" s="30" t="str">
        <f>_xlfn.IFS(Table_13[[#This Row],[Month]]=1,"JAN",Table_13[[#This Row],[Month]]=2,"FEB",B1887=3,"MAR",B1887=4,"APR",B1887=5,"MAY",B1887=6,"JUN",B1887=7,"JUL",B1887=8,"AUG",Table_13[[#This Row],[Month]]=9,"SEPT",B1887=10,"OCT",B1887=11,"NOV",B1887=12,"DEC")</f>
        <v>MAR</v>
      </c>
      <c r="D1887" s="2" t="s">
        <v>18</v>
      </c>
      <c r="E1887" s="2" t="s">
        <v>12</v>
      </c>
      <c r="F1887" s="2" t="s">
        <v>13</v>
      </c>
      <c r="G1887" s="2" t="s">
        <v>20</v>
      </c>
      <c r="H1887" s="2" t="s">
        <v>41</v>
      </c>
      <c r="I1887" s="2" t="s">
        <v>22</v>
      </c>
      <c r="J1887" s="15">
        <v>220000</v>
      </c>
      <c r="K1887" s="2">
        <v>2</v>
      </c>
      <c r="L1887" s="2" t="s">
        <v>24</v>
      </c>
      <c r="M1887" s="12">
        <f t="shared" si="63"/>
        <v>176000</v>
      </c>
      <c r="N1887" s="10">
        <f>PRODUCT(Table_13[[#This Row],[Unit Price]],Table_13[[#This Row],[Quantity]])</f>
        <v>440000</v>
      </c>
      <c r="O1887" s="16">
        <f>PRODUCT(Table_13[[#This Row],[Cost Price]],Table_13[[#This Row],[Quantity]])</f>
        <v>352000</v>
      </c>
      <c r="P1887" s="27">
        <f t="shared" si="67"/>
        <v>88000</v>
      </c>
    </row>
    <row r="1888" spans="1:16" x14ac:dyDescent="0.2">
      <c r="A1888" s="33">
        <v>47562</v>
      </c>
      <c r="B1888" s="30">
        <f t="shared" si="66"/>
        <v>3</v>
      </c>
      <c r="C1888" s="30" t="str">
        <f>_xlfn.IFS(Table_13[[#This Row],[Month]]=1,"JAN",Table_13[[#This Row],[Month]]=2,"FEB",B1888=3,"MAR",B1888=4,"APR",B1888=5,"MAY",B1888=6,"JUN",B1888=7,"JUL",B1888=8,"AUG",Table_13[[#This Row],[Month]]=9,"SEPT",B1888=10,"OCT",B1888=11,"NOV",B1888=12,"DEC")</f>
        <v>MAR</v>
      </c>
      <c r="D1888" s="2" t="s">
        <v>18</v>
      </c>
      <c r="E1888" s="2" t="s">
        <v>32</v>
      </c>
      <c r="F1888" s="2" t="s">
        <v>23</v>
      </c>
      <c r="G1888" s="2" t="s">
        <v>14</v>
      </c>
      <c r="H1888" s="2" t="s">
        <v>30</v>
      </c>
      <c r="I1888" s="2" t="s">
        <v>31</v>
      </c>
      <c r="J1888" s="15">
        <v>300000</v>
      </c>
      <c r="K1888" s="2">
        <v>3</v>
      </c>
      <c r="L1888" s="2" t="s">
        <v>17</v>
      </c>
      <c r="M1888" s="12">
        <f t="shared" si="63"/>
        <v>240000</v>
      </c>
      <c r="N1888" s="10">
        <f>PRODUCT(Table_13[[#This Row],[Unit Price]],Table_13[[#This Row],[Quantity]])</f>
        <v>900000</v>
      </c>
      <c r="O1888" s="16">
        <f>PRODUCT(Table_13[[#This Row],[Cost Price]],Table_13[[#This Row],[Quantity]])</f>
        <v>720000</v>
      </c>
      <c r="P1888" s="27">
        <f t="shared" si="67"/>
        <v>180000</v>
      </c>
    </row>
    <row r="1889" spans="1:16" x14ac:dyDescent="0.2">
      <c r="A1889" s="33">
        <v>47563</v>
      </c>
      <c r="B1889" s="30">
        <f t="shared" si="66"/>
        <v>3</v>
      </c>
      <c r="C1889" s="30" t="str">
        <f>_xlfn.IFS(Table_13[[#This Row],[Month]]=1,"JAN",Table_13[[#This Row],[Month]]=2,"FEB",B1889=3,"MAR",B1889=4,"APR",B1889=5,"MAY",B1889=6,"JUN",B1889=7,"JUL",B1889=8,"AUG",Table_13[[#This Row],[Month]]=9,"SEPT",B1889=10,"OCT",B1889=11,"NOV",B1889=12,"DEC")</f>
        <v>MAR</v>
      </c>
      <c r="D1889" s="2" t="s">
        <v>25</v>
      </c>
      <c r="E1889" s="2" t="s">
        <v>12</v>
      </c>
      <c r="F1889" s="2" t="s">
        <v>23</v>
      </c>
      <c r="G1889" s="2" t="s">
        <v>14</v>
      </c>
      <c r="H1889" s="2" t="s">
        <v>41</v>
      </c>
      <c r="I1889" s="2" t="s">
        <v>22</v>
      </c>
      <c r="J1889" s="15">
        <v>220000</v>
      </c>
      <c r="K1889" s="2">
        <v>8</v>
      </c>
      <c r="L1889" s="2" t="s">
        <v>39</v>
      </c>
      <c r="M1889" s="12">
        <f t="shared" si="63"/>
        <v>176000</v>
      </c>
      <c r="N1889" s="10">
        <f>PRODUCT(Table_13[[#This Row],[Unit Price]],Table_13[[#This Row],[Quantity]])</f>
        <v>1760000</v>
      </c>
      <c r="O1889" s="16">
        <f>PRODUCT(Table_13[[#This Row],[Cost Price]],Table_13[[#This Row],[Quantity]])</f>
        <v>1408000</v>
      </c>
      <c r="P1889" s="27">
        <f t="shared" si="67"/>
        <v>352000</v>
      </c>
    </row>
    <row r="1890" spans="1:16" x14ac:dyDescent="0.2">
      <c r="A1890" s="33">
        <v>47564</v>
      </c>
      <c r="B1890" s="30">
        <f t="shared" si="66"/>
        <v>3</v>
      </c>
      <c r="C1890" s="30" t="str">
        <f>_xlfn.IFS(Table_13[[#This Row],[Month]]=1,"JAN",Table_13[[#This Row],[Month]]=2,"FEB",B1890=3,"MAR",B1890=4,"APR",B1890=5,"MAY",B1890=6,"JUN",B1890=7,"JUL",B1890=8,"AUG",Table_13[[#This Row],[Month]]=9,"SEPT",B1890=10,"OCT",B1890=11,"NOV",B1890=12,"DEC")</f>
        <v>MAR</v>
      </c>
      <c r="D1890" s="2" t="s">
        <v>11</v>
      </c>
      <c r="E1890" s="2" t="s">
        <v>12</v>
      </c>
      <c r="F1890" s="2" t="s">
        <v>13</v>
      </c>
      <c r="G1890" s="2" t="s">
        <v>14</v>
      </c>
      <c r="H1890" s="2" t="s">
        <v>40</v>
      </c>
      <c r="I1890" s="2" t="s">
        <v>31</v>
      </c>
      <c r="J1890" s="15">
        <v>250000</v>
      </c>
      <c r="K1890" s="2">
        <v>8</v>
      </c>
      <c r="L1890" s="2" t="s">
        <v>37</v>
      </c>
      <c r="M1890" s="12">
        <f t="shared" si="63"/>
        <v>200000</v>
      </c>
      <c r="N1890" s="10">
        <f>PRODUCT(Table_13[[#This Row],[Unit Price]],Table_13[[#This Row],[Quantity]])</f>
        <v>2000000</v>
      </c>
      <c r="O1890" s="16">
        <f>PRODUCT(Table_13[[#This Row],[Cost Price]],Table_13[[#This Row],[Quantity]])</f>
        <v>1600000</v>
      </c>
      <c r="P1890" s="27">
        <f t="shared" si="67"/>
        <v>400000</v>
      </c>
    </row>
    <row r="1891" spans="1:16" x14ac:dyDescent="0.2">
      <c r="A1891" s="33">
        <v>47565</v>
      </c>
      <c r="B1891" s="30">
        <f t="shared" si="66"/>
        <v>3</v>
      </c>
      <c r="C1891" s="30" t="str">
        <f>_xlfn.IFS(Table_13[[#This Row],[Month]]=1,"JAN",Table_13[[#This Row],[Month]]=2,"FEB",B1891=3,"MAR",B1891=4,"APR",B1891=5,"MAY",B1891=6,"JUN",B1891=7,"JUL",B1891=8,"AUG",Table_13[[#This Row],[Month]]=9,"SEPT",B1891=10,"OCT",B1891=11,"NOV",B1891=12,"DEC")</f>
        <v>MAR</v>
      </c>
      <c r="D1891" s="2" t="s">
        <v>25</v>
      </c>
      <c r="E1891" s="2" t="s">
        <v>12</v>
      </c>
      <c r="F1891" s="2" t="s">
        <v>13</v>
      </c>
      <c r="G1891" s="2" t="s">
        <v>14</v>
      </c>
      <c r="H1891" s="2" t="s">
        <v>15</v>
      </c>
      <c r="I1891" s="2" t="s">
        <v>16</v>
      </c>
      <c r="J1891" s="15">
        <v>85000</v>
      </c>
      <c r="K1891" s="2">
        <v>2</v>
      </c>
      <c r="L1891" s="2" t="s">
        <v>17</v>
      </c>
      <c r="M1891" s="12">
        <f t="shared" si="63"/>
        <v>68000</v>
      </c>
      <c r="N1891" s="10">
        <f>PRODUCT(Table_13[[#This Row],[Unit Price]],Table_13[[#This Row],[Quantity]])</f>
        <v>170000</v>
      </c>
      <c r="O1891" s="16">
        <f>PRODUCT(Table_13[[#This Row],[Cost Price]],Table_13[[#This Row],[Quantity]])</f>
        <v>136000</v>
      </c>
      <c r="P1891" s="27">
        <f t="shared" si="67"/>
        <v>34000</v>
      </c>
    </row>
    <row r="1892" spans="1:16" x14ac:dyDescent="0.2">
      <c r="A1892" s="33">
        <v>47566</v>
      </c>
      <c r="B1892" s="30">
        <f t="shared" si="66"/>
        <v>3</v>
      </c>
      <c r="C1892" s="30" t="str">
        <f>_xlfn.IFS(Table_13[[#This Row],[Month]]=1,"JAN",Table_13[[#This Row],[Month]]=2,"FEB",B1892=3,"MAR",B1892=4,"APR",B1892=5,"MAY",B1892=6,"JUN",B1892=7,"JUL",B1892=8,"AUG",Table_13[[#This Row],[Month]]=9,"SEPT",B1892=10,"OCT",B1892=11,"NOV",B1892=12,"DEC")</f>
        <v>MAR</v>
      </c>
      <c r="D1892" s="2" t="s">
        <v>29</v>
      </c>
      <c r="E1892" s="2" t="s">
        <v>26</v>
      </c>
      <c r="F1892" s="2" t="s">
        <v>23</v>
      </c>
      <c r="G1892" s="2" t="s">
        <v>20</v>
      </c>
      <c r="H1892" s="2" t="s">
        <v>36</v>
      </c>
      <c r="I1892" s="2" t="s">
        <v>31</v>
      </c>
      <c r="J1892" s="15">
        <v>150000</v>
      </c>
      <c r="K1892" s="2">
        <v>7</v>
      </c>
      <c r="L1892" s="2" t="s">
        <v>37</v>
      </c>
      <c r="M1892" s="12">
        <f t="shared" si="63"/>
        <v>120000</v>
      </c>
      <c r="N1892" s="10">
        <f>PRODUCT(Table_13[[#This Row],[Unit Price]],Table_13[[#This Row],[Quantity]])</f>
        <v>1050000</v>
      </c>
      <c r="O1892" s="16">
        <f>PRODUCT(Table_13[[#This Row],[Cost Price]],Table_13[[#This Row],[Quantity]])</f>
        <v>840000</v>
      </c>
      <c r="P1892" s="27">
        <f t="shared" si="67"/>
        <v>210000</v>
      </c>
    </row>
    <row r="1893" spans="1:16" x14ac:dyDescent="0.2">
      <c r="A1893" s="33">
        <v>47567</v>
      </c>
      <c r="B1893" s="30">
        <f t="shared" si="66"/>
        <v>3</v>
      </c>
      <c r="C1893" s="30" t="str">
        <f>_xlfn.IFS(Table_13[[#This Row],[Month]]=1,"JAN",Table_13[[#This Row],[Month]]=2,"FEB",B1893=3,"MAR",B1893=4,"APR",B1893=5,"MAY",B1893=6,"JUN",B1893=7,"JUL",B1893=8,"AUG",Table_13[[#This Row],[Month]]=9,"SEPT",B1893=10,"OCT",B1893=11,"NOV",B1893=12,"DEC")</f>
        <v>MAR</v>
      </c>
      <c r="D1893" s="2" t="s">
        <v>25</v>
      </c>
      <c r="E1893" s="2" t="s">
        <v>26</v>
      </c>
      <c r="F1893" s="2" t="s">
        <v>13</v>
      </c>
      <c r="G1893" s="2" t="s">
        <v>14</v>
      </c>
      <c r="H1893" s="2" t="s">
        <v>21</v>
      </c>
      <c r="I1893" s="2" t="s">
        <v>22</v>
      </c>
      <c r="J1893" s="15">
        <v>30000</v>
      </c>
      <c r="K1893" s="2">
        <v>8</v>
      </c>
      <c r="L1893" s="2" t="s">
        <v>28</v>
      </c>
      <c r="M1893" s="12">
        <f t="shared" si="63"/>
        <v>24000</v>
      </c>
      <c r="N1893" s="10">
        <f>PRODUCT(Table_13[[#This Row],[Unit Price]],Table_13[[#This Row],[Quantity]])</f>
        <v>240000</v>
      </c>
      <c r="O1893" s="16">
        <f>PRODUCT(Table_13[[#This Row],[Cost Price]],Table_13[[#This Row],[Quantity]])</f>
        <v>192000</v>
      </c>
      <c r="P1893" s="27">
        <f t="shared" si="67"/>
        <v>48000</v>
      </c>
    </row>
    <row r="1894" spans="1:16" x14ac:dyDescent="0.2">
      <c r="A1894" s="33">
        <v>47568</v>
      </c>
      <c r="B1894" s="30">
        <f t="shared" si="66"/>
        <v>3</v>
      </c>
      <c r="C1894" s="30" t="str">
        <f>_xlfn.IFS(Table_13[[#This Row],[Month]]=1,"JAN",Table_13[[#This Row],[Month]]=2,"FEB",B1894=3,"MAR",B1894=4,"APR",B1894=5,"MAY",B1894=6,"JUN",B1894=7,"JUL",B1894=8,"AUG",Table_13[[#This Row],[Month]]=9,"SEPT",B1894=10,"OCT",B1894=11,"NOV",B1894=12,"DEC")</f>
        <v>MAR</v>
      </c>
      <c r="D1894" s="2" t="s">
        <v>11</v>
      </c>
      <c r="E1894" s="2" t="s">
        <v>12</v>
      </c>
      <c r="F1894" s="2" t="s">
        <v>23</v>
      </c>
      <c r="G1894" s="2" t="s">
        <v>14</v>
      </c>
      <c r="H1894" s="2" t="s">
        <v>15</v>
      </c>
      <c r="I1894" s="2" t="s">
        <v>16</v>
      </c>
      <c r="J1894" s="15">
        <v>85000</v>
      </c>
      <c r="K1894" s="2">
        <v>2</v>
      </c>
      <c r="L1894" s="2" t="s">
        <v>37</v>
      </c>
      <c r="M1894" s="12">
        <f t="shared" si="63"/>
        <v>68000</v>
      </c>
      <c r="N1894" s="10">
        <f>PRODUCT(Table_13[[#This Row],[Unit Price]],Table_13[[#This Row],[Quantity]])</f>
        <v>170000</v>
      </c>
      <c r="O1894" s="16">
        <f>PRODUCT(Table_13[[#This Row],[Cost Price]],Table_13[[#This Row],[Quantity]])</f>
        <v>136000</v>
      </c>
      <c r="P1894" s="27">
        <f t="shared" si="67"/>
        <v>34000</v>
      </c>
    </row>
    <row r="1895" spans="1:16" x14ac:dyDescent="0.2">
      <c r="A1895" s="33">
        <v>47569</v>
      </c>
      <c r="B1895" s="30">
        <f t="shared" si="66"/>
        <v>3</v>
      </c>
      <c r="C1895" s="30" t="str">
        <f>_xlfn.IFS(Table_13[[#This Row],[Month]]=1,"JAN",Table_13[[#This Row],[Month]]=2,"FEB",B1895=3,"MAR",B1895=4,"APR",B1895=5,"MAY",B1895=6,"JUN",B1895=7,"JUL",B1895=8,"AUG",Table_13[[#This Row],[Month]]=9,"SEPT",B1895=10,"OCT",B1895=11,"NOV",B1895=12,"DEC")</f>
        <v>MAR</v>
      </c>
      <c r="D1895" s="2" t="s">
        <v>11</v>
      </c>
      <c r="E1895" s="2" t="s">
        <v>32</v>
      </c>
      <c r="F1895" s="2" t="s">
        <v>13</v>
      </c>
      <c r="G1895" s="2" t="s">
        <v>14</v>
      </c>
      <c r="H1895" s="2" t="s">
        <v>33</v>
      </c>
      <c r="I1895" s="2" t="s">
        <v>22</v>
      </c>
      <c r="J1895" s="15">
        <v>180000</v>
      </c>
      <c r="K1895" s="2">
        <v>5</v>
      </c>
      <c r="L1895" s="2" t="s">
        <v>24</v>
      </c>
      <c r="M1895" s="12">
        <f t="shared" si="63"/>
        <v>144000</v>
      </c>
      <c r="N1895" s="10">
        <f>PRODUCT(Table_13[[#This Row],[Unit Price]],Table_13[[#This Row],[Quantity]])</f>
        <v>900000</v>
      </c>
      <c r="O1895" s="16">
        <f>PRODUCT(Table_13[[#This Row],[Cost Price]],Table_13[[#This Row],[Quantity]])</f>
        <v>720000</v>
      </c>
      <c r="P1895" s="27">
        <f t="shared" si="67"/>
        <v>180000</v>
      </c>
    </row>
    <row r="1896" spans="1:16" x14ac:dyDescent="0.2">
      <c r="A1896" s="33">
        <v>47570</v>
      </c>
      <c r="B1896" s="30">
        <f t="shared" si="66"/>
        <v>3</v>
      </c>
      <c r="C1896" s="30" t="str">
        <f>_xlfn.IFS(Table_13[[#This Row],[Month]]=1,"JAN",Table_13[[#This Row],[Month]]=2,"FEB",B1896=3,"MAR",B1896=4,"APR",B1896=5,"MAY",B1896=6,"JUN",B1896=7,"JUL",B1896=8,"AUG",Table_13[[#This Row],[Month]]=9,"SEPT",B1896=10,"OCT",B1896=11,"NOV",B1896=12,"DEC")</f>
        <v>MAR</v>
      </c>
      <c r="D1896" s="2" t="s">
        <v>11</v>
      </c>
      <c r="E1896" s="2" t="s">
        <v>26</v>
      </c>
      <c r="F1896" s="2" t="s">
        <v>13</v>
      </c>
      <c r="G1896" s="2" t="s">
        <v>14</v>
      </c>
      <c r="H1896" s="2" t="s">
        <v>15</v>
      </c>
      <c r="I1896" s="2" t="s">
        <v>16</v>
      </c>
      <c r="J1896" s="15">
        <v>85000</v>
      </c>
      <c r="K1896" s="2">
        <v>9</v>
      </c>
      <c r="L1896" s="2" t="s">
        <v>37</v>
      </c>
      <c r="M1896" s="12">
        <f t="shared" si="63"/>
        <v>68000</v>
      </c>
      <c r="N1896" s="10">
        <f>PRODUCT(Table_13[[#This Row],[Unit Price]],Table_13[[#This Row],[Quantity]])</f>
        <v>765000</v>
      </c>
      <c r="O1896" s="16">
        <f>PRODUCT(Table_13[[#This Row],[Cost Price]],Table_13[[#This Row],[Quantity]])</f>
        <v>612000</v>
      </c>
      <c r="P1896" s="27">
        <f t="shared" si="67"/>
        <v>153000</v>
      </c>
    </row>
    <row r="1897" spans="1:16" x14ac:dyDescent="0.2">
      <c r="A1897" s="33">
        <v>47571</v>
      </c>
      <c r="B1897" s="30">
        <f t="shared" si="66"/>
        <v>3</v>
      </c>
      <c r="C1897" s="30" t="str">
        <f>_xlfn.IFS(Table_13[[#This Row],[Month]]=1,"JAN",Table_13[[#This Row],[Month]]=2,"FEB",B1897=3,"MAR",B1897=4,"APR",B1897=5,"MAY",B1897=6,"JUN",B1897=7,"JUL",B1897=8,"AUG",Table_13[[#This Row],[Month]]=9,"SEPT",B1897=10,"OCT",B1897=11,"NOV",B1897=12,"DEC")</f>
        <v>MAR</v>
      </c>
      <c r="D1897" s="2" t="s">
        <v>11</v>
      </c>
      <c r="E1897" s="2" t="s">
        <v>32</v>
      </c>
      <c r="F1897" s="2" t="s">
        <v>23</v>
      </c>
      <c r="G1897" s="2" t="s">
        <v>14</v>
      </c>
      <c r="H1897" s="2" t="s">
        <v>38</v>
      </c>
      <c r="I1897" s="2" t="s">
        <v>31</v>
      </c>
      <c r="J1897" s="15">
        <v>420000</v>
      </c>
      <c r="K1897" s="2">
        <v>9</v>
      </c>
      <c r="L1897" s="2" t="s">
        <v>24</v>
      </c>
      <c r="M1897" s="12">
        <f t="shared" si="63"/>
        <v>336000</v>
      </c>
      <c r="N1897" s="10">
        <f>PRODUCT(Table_13[[#This Row],[Unit Price]],Table_13[[#This Row],[Quantity]])</f>
        <v>3780000</v>
      </c>
      <c r="O1897" s="16">
        <f>PRODUCT(Table_13[[#This Row],[Cost Price]],Table_13[[#This Row],[Quantity]])</f>
        <v>3024000</v>
      </c>
      <c r="P1897" s="27">
        <f t="shared" si="67"/>
        <v>756000</v>
      </c>
    </row>
    <row r="1898" spans="1:16" x14ac:dyDescent="0.2">
      <c r="A1898" s="33">
        <v>47572</v>
      </c>
      <c r="B1898" s="30">
        <f t="shared" si="66"/>
        <v>3</v>
      </c>
      <c r="C1898" s="30" t="str">
        <f>_xlfn.IFS(Table_13[[#This Row],[Month]]=1,"JAN",Table_13[[#This Row],[Month]]=2,"FEB",B1898=3,"MAR",B1898=4,"APR",B1898=5,"MAY",B1898=6,"JUN",B1898=7,"JUL",B1898=8,"AUG",Table_13[[#This Row],[Month]]=9,"SEPT",B1898=10,"OCT",B1898=11,"NOV",B1898=12,"DEC")</f>
        <v>MAR</v>
      </c>
      <c r="D1898" s="2" t="s">
        <v>29</v>
      </c>
      <c r="E1898" s="2" t="s">
        <v>32</v>
      </c>
      <c r="F1898" s="2" t="s">
        <v>13</v>
      </c>
      <c r="G1898" s="2" t="s">
        <v>14</v>
      </c>
      <c r="H1898" s="2" t="s">
        <v>34</v>
      </c>
      <c r="I1898" s="2" t="s">
        <v>16</v>
      </c>
      <c r="J1898" s="15">
        <v>320000</v>
      </c>
      <c r="K1898" s="2">
        <v>5</v>
      </c>
      <c r="L1898" s="2" t="s">
        <v>17</v>
      </c>
      <c r="M1898" s="12">
        <f t="shared" si="63"/>
        <v>256000</v>
      </c>
      <c r="N1898" s="10">
        <f>PRODUCT(Table_13[[#This Row],[Unit Price]],Table_13[[#This Row],[Quantity]])</f>
        <v>1600000</v>
      </c>
      <c r="O1898" s="16">
        <f>PRODUCT(Table_13[[#This Row],[Cost Price]],Table_13[[#This Row],[Quantity]])</f>
        <v>1280000</v>
      </c>
      <c r="P1898" s="27">
        <f t="shared" si="67"/>
        <v>320000</v>
      </c>
    </row>
    <row r="1899" spans="1:16" x14ac:dyDescent="0.2">
      <c r="A1899" s="33">
        <v>47573</v>
      </c>
      <c r="B1899" s="30">
        <f t="shared" si="66"/>
        <v>3</v>
      </c>
      <c r="C1899" s="30" t="str">
        <f>_xlfn.IFS(Table_13[[#This Row],[Month]]=1,"JAN",Table_13[[#This Row],[Month]]=2,"FEB",B1899=3,"MAR",B1899=4,"APR",B1899=5,"MAY",B1899=6,"JUN",B1899=7,"JUL",B1899=8,"AUG",Table_13[[#This Row],[Month]]=9,"SEPT",B1899=10,"OCT",B1899=11,"NOV",B1899=12,"DEC")</f>
        <v>MAR</v>
      </c>
      <c r="D1899" s="2" t="s">
        <v>11</v>
      </c>
      <c r="E1899" s="2" t="s">
        <v>19</v>
      </c>
      <c r="F1899" s="2" t="s">
        <v>13</v>
      </c>
      <c r="G1899" s="2" t="s">
        <v>14</v>
      </c>
      <c r="H1899" s="2" t="s">
        <v>34</v>
      </c>
      <c r="I1899" s="2" t="s">
        <v>16</v>
      </c>
      <c r="J1899" s="15">
        <v>320000</v>
      </c>
      <c r="K1899" s="2">
        <v>1</v>
      </c>
      <c r="L1899" s="2" t="s">
        <v>37</v>
      </c>
      <c r="M1899" s="12">
        <f t="shared" si="63"/>
        <v>256000</v>
      </c>
      <c r="N1899" s="10">
        <f>PRODUCT(Table_13[[#This Row],[Unit Price]],Table_13[[#This Row],[Quantity]])</f>
        <v>320000</v>
      </c>
      <c r="O1899" s="16">
        <f>PRODUCT(Table_13[[#This Row],[Cost Price]],Table_13[[#This Row],[Quantity]])</f>
        <v>256000</v>
      </c>
      <c r="P1899" s="27">
        <f t="shared" si="67"/>
        <v>64000</v>
      </c>
    </row>
    <row r="1900" spans="1:16" x14ac:dyDescent="0.2">
      <c r="A1900" s="33">
        <v>47574</v>
      </c>
      <c r="B1900" s="30">
        <f t="shared" si="66"/>
        <v>4</v>
      </c>
      <c r="C1900" s="30" t="str">
        <f>_xlfn.IFS(Table_13[[#This Row],[Month]]=1,"JAN",Table_13[[#This Row],[Month]]=2,"FEB",B1900=3,"MAR",B1900=4,"APR",B1900=5,"MAY",B1900=6,"JUN",B1900=7,"JUL",B1900=8,"AUG",Table_13[[#This Row],[Month]]=9,"SEPT",B1900=10,"OCT",B1900=11,"NOV",B1900=12,"DEC")</f>
        <v>APR</v>
      </c>
      <c r="D1900" s="2" t="s">
        <v>29</v>
      </c>
      <c r="E1900" s="2" t="s">
        <v>26</v>
      </c>
      <c r="F1900" s="2" t="s">
        <v>13</v>
      </c>
      <c r="G1900" s="2" t="s">
        <v>14</v>
      </c>
      <c r="H1900" s="2" t="s">
        <v>21</v>
      </c>
      <c r="I1900" s="2" t="s">
        <v>22</v>
      </c>
      <c r="J1900" s="15">
        <v>30000</v>
      </c>
      <c r="K1900" s="2">
        <v>10</v>
      </c>
      <c r="L1900" s="2" t="s">
        <v>35</v>
      </c>
      <c r="M1900" s="12">
        <f t="shared" si="63"/>
        <v>24000</v>
      </c>
      <c r="N1900" s="10">
        <f>PRODUCT(Table_13[[#This Row],[Unit Price]],Table_13[[#This Row],[Quantity]])</f>
        <v>300000</v>
      </c>
      <c r="O1900" s="16">
        <f>PRODUCT(Table_13[[#This Row],[Cost Price]],Table_13[[#This Row],[Quantity]])</f>
        <v>240000</v>
      </c>
      <c r="P1900" s="27">
        <f t="shared" si="67"/>
        <v>60000</v>
      </c>
    </row>
    <row r="1901" spans="1:16" x14ac:dyDescent="0.2">
      <c r="A1901" s="33">
        <v>47575</v>
      </c>
      <c r="B1901" s="30">
        <f t="shared" si="66"/>
        <v>4</v>
      </c>
      <c r="C1901" s="30" t="str">
        <f>_xlfn.IFS(Table_13[[#This Row],[Month]]=1,"JAN",Table_13[[#This Row],[Month]]=2,"FEB",B1901=3,"MAR",B1901=4,"APR",B1901=5,"MAY",B1901=6,"JUN",B1901=7,"JUL",B1901=8,"AUG",Table_13[[#This Row],[Month]]=9,"SEPT",B1901=10,"OCT",B1901=11,"NOV",B1901=12,"DEC")</f>
        <v>APR</v>
      </c>
      <c r="D1901" s="2" t="s">
        <v>18</v>
      </c>
      <c r="E1901" s="2" t="s">
        <v>12</v>
      </c>
      <c r="F1901" s="2" t="s">
        <v>13</v>
      </c>
      <c r="G1901" s="2" t="s">
        <v>20</v>
      </c>
      <c r="H1901" s="2" t="s">
        <v>33</v>
      </c>
      <c r="I1901" s="2" t="s">
        <v>22</v>
      </c>
      <c r="J1901" s="15">
        <v>180000</v>
      </c>
      <c r="K1901" s="2">
        <v>10</v>
      </c>
      <c r="L1901" s="2" t="s">
        <v>39</v>
      </c>
      <c r="M1901" s="12">
        <f t="shared" si="63"/>
        <v>144000</v>
      </c>
      <c r="N1901" s="10">
        <f>PRODUCT(Table_13[[#This Row],[Unit Price]],Table_13[[#This Row],[Quantity]])</f>
        <v>1800000</v>
      </c>
      <c r="O1901" s="16">
        <f>PRODUCT(Table_13[[#This Row],[Cost Price]],Table_13[[#This Row],[Quantity]])</f>
        <v>1440000</v>
      </c>
      <c r="P1901" s="27">
        <f t="shared" si="67"/>
        <v>360000</v>
      </c>
    </row>
    <row r="1902" spans="1:16" x14ac:dyDescent="0.2">
      <c r="A1902" s="33">
        <v>47576</v>
      </c>
      <c r="B1902" s="30">
        <f t="shared" si="66"/>
        <v>4</v>
      </c>
      <c r="C1902" s="30" t="str">
        <f>_xlfn.IFS(Table_13[[#This Row],[Month]]=1,"JAN",Table_13[[#This Row],[Month]]=2,"FEB",B1902=3,"MAR",B1902=4,"APR",B1902=5,"MAY",B1902=6,"JUN",B1902=7,"JUL",B1902=8,"AUG",Table_13[[#This Row],[Month]]=9,"SEPT",B1902=10,"OCT",B1902=11,"NOV",B1902=12,"DEC")</f>
        <v>APR</v>
      </c>
      <c r="D1902" s="2" t="s">
        <v>11</v>
      </c>
      <c r="E1902" s="2" t="s">
        <v>26</v>
      </c>
      <c r="F1902" s="2" t="s">
        <v>23</v>
      </c>
      <c r="G1902" s="2" t="s">
        <v>14</v>
      </c>
      <c r="H1902" s="2" t="s">
        <v>34</v>
      </c>
      <c r="I1902" s="2" t="s">
        <v>16</v>
      </c>
      <c r="J1902" s="15">
        <v>320000</v>
      </c>
      <c r="K1902" s="2">
        <v>9</v>
      </c>
      <c r="L1902" s="2" t="s">
        <v>28</v>
      </c>
      <c r="M1902" s="12">
        <f t="shared" si="63"/>
        <v>256000</v>
      </c>
      <c r="N1902" s="10">
        <f>PRODUCT(Table_13[[#This Row],[Unit Price]],Table_13[[#This Row],[Quantity]])</f>
        <v>2880000</v>
      </c>
      <c r="O1902" s="16">
        <f>PRODUCT(Table_13[[#This Row],[Cost Price]],Table_13[[#This Row],[Quantity]])</f>
        <v>2304000</v>
      </c>
      <c r="P1902" s="27">
        <f t="shared" si="67"/>
        <v>576000</v>
      </c>
    </row>
    <row r="1903" spans="1:16" x14ac:dyDescent="0.2">
      <c r="A1903" s="33">
        <v>47577</v>
      </c>
      <c r="B1903" s="30">
        <f t="shared" si="66"/>
        <v>4</v>
      </c>
      <c r="C1903" s="30" t="str">
        <f>_xlfn.IFS(Table_13[[#This Row],[Month]]=1,"JAN",Table_13[[#This Row],[Month]]=2,"FEB",B1903=3,"MAR",B1903=4,"APR",B1903=5,"MAY",B1903=6,"JUN",B1903=7,"JUL",B1903=8,"AUG",Table_13[[#This Row],[Month]]=9,"SEPT",B1903=10,"OCT",B1903=11,"NOV",B1903=12,"DEC")</f>
        <v>APR</v>
      </c>
      <c r="D1903" s="2" t="s">
        <v>11</v>
      </c>
      <c r="E1903" s="2" t="s">
        <v>32</v>
      </c>
      <c r="F1903" s="2" t="s">
        <v>23</v>
      </c>
      <c r="G1903" s="2" t="s">
        <v>14</v>
      </c>
      <c r="H1903" s="2" t="s">
        <v>38</v>
      </c>
      <c r="I1903" s="2" t="s">
        <v>31</v>
      </c>
      <c r="J1903" s="15">
        <v>420000</v>
      </c>
      <c r="K1903" s="2">
        <v>2</v>
      </c>
      <c r="L1903" s="2" t="s">
        <v>37</v>
      </c>
      <c r="M1903" s="12">
        <f t="shared" si="63"/>
        <v>336000</v>
      </c>
      <c r="N1903" s="10">
        <f>PRODUCT(Table_13[[#This Row],[Unit Price]],Table_13[[#This Row],[Quantity]])</f>
        <v>840000</v>
      </c>
      <c r="O1903" s="16">
        <f>PRODUCT(Table_13[[#This Row],[Cost Price]],Table_13[[#This Row],[Quantity]])</f>
        <v>672000</v>
      </c>
      <c r="P1903" s="27">
        <f t="shared" si="67"/>
        <v>168000</v>
      </c>
    </row>
    <row r="1904" spans="1:16" x14ac:dyDescent="0.2">
      <c r="A1904" s="33">
        <v>47578</v>
      </c>
      <c r="B1904" s="30">
        <f t="shared" si="66"/>
        <v>4</v>
      </c>
      <c r="C1904" s="30" t="str">
        <f>_xlfn.IFS(Table_13[[#This Row],[Month]]=1,"JAN",Table_13[[#This Row],[Month]]=2,"FEB",B1904=3,"MAR",B1904=4,"APR",B1904=5,"MAY",B1904=6,"JUN",B1904=7,"JUL",B1904=8,"AUG",Table_13[[#This Row],[Month]]=9,"SEPT",B1904=10,"OCT",B1904=11,"NOV",B1904=12,"DEC")</f>
        <v>APR</v>
      </c>
      <c r="D1904" s="2" t="s">
        <v>29</v>
      </c>
      <c r="E1904" s="2" t="s">
        <v>12</v>
      </c>
      <c r="F1904" s="2" t="s">
        <v>13</v>
      </c>
      <c r="G1904" s="2" t="s">
        <v>14</v>
      </c>
      <c r="H1904" s="2" t="s">
        <v>30</v>
      </c>
      <c r="I1904" s="2" t="s">
        <v>31</v>
      </c>
      <c r="J1904" s="15">
        <v>300000</v>
      </c>
      <c r="K1904" s="2">
        <v>6</v>
      </c>
      <c r="L1904" s="2" t="s">
        <v>28</v>
      </c>
      <c r="M1904" s="12">
        <f t="shared" si="63"/>
        <v>240000</v>
      </c>
      <c r="N1904" s="10">
        <f>PRODUCT(Table_13[[#This Row],[Unit Price]],Table_13[[#This Row],[Quantity]])</f>
        <v>1800000</v>
      </c>
      <c r="O1904" s="16">
        <f>PRODUCT(Table_13[[#This Row],[Cost Price]],Table_13[[#This Row],[Quantity]])</f>
        <v>1440000</v>
      </c>
      <c r="P1904" s="27">
        <f t="shared" si="67"/>
        <v>360000</v>
      </c>
    </row>
    <row r="1905" spans="1:16" x14ac:dyDescent="0.2">
      <c r="A1905" s="33">
        <v>47579</v>
      </c>
      <c r="B1905" s="30">
        <f t="shared" si="66"/>
        <v>4</v>
      </c>
      <c r="C1905" s="30" t="str">
        <f>_xlfn.IFS(Table_13[[#This Row],[Month]]=1,"JAN",Table_13[[#This Row],[Month]]=2,"FEB",B1905=3,"MAR",B1905=4,"APR",B1905=5,"MAY",B1905=6,"JUN",B1905=7,"JUL",B1905=8,"AUG",Table_13[[#This Row],[Month]]=9,"SEPT",B1905=10,"OCT",B1905=11,"NOV",B1905=12,"DEC")</f>
        <v>APR</v>
      </c>
      <c r="D1905" s="2" t="s">
        <v>29</v>
      </c>
      <c r="E1905" s="2" t="s">
        <v>26</v>
      </c>
      <c r="F1905" s="2" t="s">
        <v>23</v>
      </c>
      <c r="G1905" s="2" t="s">
        <v>20</v>
      </c>
      <c r="H1905" s="2" t="s">
        <v>21</v>
      </c>
      <c r="I1905" s="2" t="s">
        <v>22</v>
      </c>
      <c r="J1905" s="15">
        <v>30000</v>
      </c>
      <c r="K1905" s="2">
        <v>4</v>
      </c>
      <c r="L1905" s="2" t="s">
        <v>24</v>
      </c>
      <c r="M1905" s="12">
        <f t="shared" si="63"/>
        <v>24000</v>
      </c>
      <c r="N1905" s="10">
        <f>PRODUCT(Table_13[[#This Row],[Unit Price]],Table_13[[#This Row],[Quantity]])</f>
        <v>120000</v>
      </c>
      <c r="O1905" s="16">
        <f>PRODUCT(Table_13[[#This Row],[Cost Price]],Table_13[[#This Row],[Quantity]])</f>
        <v>96000</v>
      </c>
      <c r="P1905" s="27">
        <f t="shared" si="67"/>
        <v>24000</v>
      </c>
    </row>
    <row r="1906" spans="1:16" x14ac:dyDescent="0.2">
      <c r="A1906" s="33">
        <v>47580</v>
      </c>
      <c r="B1906" s="30">
        <f t="shared" si="66"/>
        <v>4</v>
      </c>
      <c r="C1906" s="30" t="str">
        <f>_xlfn.IFS(Table_13[[#This Row],[Month]]=1,"JAN",Table_13[[#This Row],[Month]]=2,"FEB",B1906=3,"MAR",B1906=4,"APR",B1906=5,"MAY",B1906=6,"JUN",B1906=7,"JUL",B1906=8,"AUG",Table_13[[#This Row],[Month]]=9,"SEPT",B1906=10,"OCT",B1906=11,"NOV",B1906=12,"DEC")</f>
        <v>APR</v>
      </c>
      <c r="D1906" s="2" t="s">
        <v>25</v>
      </c>
      <c r="E1906" s="2" t="s">
        <v>32</v>
      </c>
      <c r="F1906" s="2" t="s">
        <v>23</v>
      </c>
      <c r="G1906" s="2" t="s">
        <v>20</v>
      </c>
      <c r="H1906" s="2" t="s">
        <v>34</v>
      </c>
      <c r="I1906" s="2" t="s">
        <v>16</v>
      </c>
      <c r="J1906" s="15">
        <v>320000</v>
      </c>
      <c r="K1906" s="2">
        <v>7</v>
      </c>
      <c r="L1906" s="2" t="s">
        <v>28</v>
      </c>
      <c r="M1906" s="12">
        <f t="shared" si="63"/>
        <v>256000</v>
      </c>
      <c r="N1906" s="10">
        <f>PRODUCT(Table_13[[#This Row],[Unit Price]],Table_13[[#This Row],[Quantity]])</f>
        <v>2240000</v>
      </c>
      <c r="O1906" s="16">
        <f>PRODUCT(Table_13[[#This Row],[Cost Price]],Table_13[[#This Row],[Quantity]])</f>
        <v>1792000</v>
      </c>
      <c r="P1906" s="27">
        <f t="shared" si="67"/>
        <v>448000</v>
      </c>
    </row>
    <row r="1907" spans="1:16" x14ac:dyDescent="0.2">
      <c r="A1907" s="33">
        <v>47581</v>
      </c>
      <c r="B1907" s="30">
        <f t="shared" si="66"/>
        <v>4</v>
      </c>
      <c r="C1907" s="30" t="str">
        <f>_xlfn.IFS(Table_13[[#This Row],[Month]]=1,"JAN",Table_13[[#This Row],[Month]]=2,"FEB",B1907=3,"MAR",B1907=4,"APR",B1907=5,"MAY",B1907=6,"JUN",B1907=7,"JUL",B1907=8,"AUG",Table_13[[#This Row],[Month]]=9,"SEPT",B1907=10,"OCT",B1907=11,"NOV",B1907=12,"DEC")</f>
        <v>APR</v>
      </c>
      <c r="D1907" s="2" t="s">
        <v>29</v>
      </c>
      <c r="E1907" s="2" t="s">
        <v>26</v>
      </c>
      <c r="F1907" s="2" t="s">
        <v>23</v>
      </c>
      <c r="G1907" s="2" t="s">
        <v>20</v>
      </c>
      <c r="H1907" s="2" t="s">
        <v>34</v>
      </c>
      <c r="I1907" s="2" t="s">
        <v>16</v>
      </c>
      <c r="J1907" s="15">
        <v>320000</v>
      </c>
      <c r="K1907" s="2">
        <v>1</v>
      </c>
      <c r="L1907" s="2" t="s">
        <v>37</v>
      </c>
      <c r="M1907" s="12">
        <f t="shared" si="63"/>
        <v>256000</v>
      </c>
      <c r="N1907" s="10">
        <f>PRODUCT(Table_13[[#This Row],[Unit Price]],Table_13[[#This Row],[Quantity]])</f>
        <v>320000</v>
      </c>
      <c r="O1907" s="16">
        <f>PRODUCT(Table_13[[#This Row],[Cost Price]],Table_13[[#This Row],[Quantity]])</f>
        <v>256000</v>
      </c>
      <c r="P1907" s="27">
        <f t="shared" si="67"/>
        <v>64000</v>
      </c>
    </row>
    <row r="1908" spans="1:16" x14ac:dyDescent="0.2">
      <c r="A1908" s="33">
        <v>47582</v>
      </c>
      <c r="B1908" s="30">
        <f t="shared" si="66"/>
        <v>4</v>
      </c>
      <c r="C1908" s="30" t="str">
        <f>_xlfn.IFS(Table_13[[#This Row],[Month]]=1,"JAN",Table_13[[#This Row],[Month]]=2,"FEB",B1908=3,"MAR",B1908=4,"APR",B1908=5,"MAY",B1908=6,"JUN",B1908=7,"JUL",B1908=8,"AUG",Table_13[[#This Row],[Month]]=9,"SEPT",B1908=10,"OCT",B1908=11,"NOV",B1908=12,"DEC")</f>
        <v>APR</v>
      </c>
      <c r="D1908" s="2" t="s">
        <v>29</v>
      </c>
      <c r="E1908" s="2" t="s">
        <v>26</v>
      </c>
      <c r="F1908" s="2" t="s">
        <v>23</v>
      </c>
      <c r="G1908" s="2" t="s">
        <v>14</v>
      </c>
      <c r="H1908" s="2" t="s">
        <v>30</v>
      </c>
      <c r="I1908" s="2" t="s">
        <v>31</v>
      </c>
      <c r="J1908" s="15">
        <v>300000</v>
      </c>
      <c r="K1908" s="2">
        <v>3</v>
      </c>
      <c r="L1908" s="2" t="s">
        <v>35</v>
      </c>
      <c r="M1908" s="12">
        <f t="shared" si="63"/>
        <v>240000</v>
      </c>
      <c r="N1908" s="10">
        <f>PRODUCT(Table_13[[#This Row],[Unit Price]],Table_13[[#This Row],[Quantity]])</f>
        <v>900000</v>
      </c>
      <c r="O1908" s="16">
        <f>PRODUCT(Table_13[[#This Row],[Cost Price]],Table_13[[#This Row],[Quantity]])</f>
        <v>720000</v>
      </c>
      <c r="P1908" s="27">
        <f t="shared" si="67"/>
        <v>180000</v>
      </c>
    </row>
    <row r="1909" spans="1:16" x14ac:dyDescent="0.2">
      <c r="A1909" s="33">
        <v>47583</v>
      </c>
      <c r="B1909" s="30">
        <f t="shared" si="66"/>
        <v>4</v>
      </c>
      <c r="C1909" s="30" t="str">
        <f>_xlfn.IFS(Table_13[[#This Row],[Month]]=1,"JAN",Table_13[[#This Row],[Month]]=2,"FEB",B1909=3,"MAR",B1909=4,"APR",B1909=5,"MAY",B1909=6,"JUN",B1909=7,"JUL",B1909=8,"AUG",Table_13[[#This Row],[Month]]=9,"SEPT",B1909=10,"OCT",B1909=11,"NOV",B1909=12,"DEC")</f>
        <v>APR</v>
      </c>
      <c r="D1909" s="2" t="s">
        <v>29</v>
      </c>
      <c r="E1909" s="2" t="s">
        <v>19</v>
      </c>
      <c r="F1909" s="2" t="s">
        <v>23</v>
      </c>
      <c r="G1909" s="2" t="s">
        <v>14</v>
      </c>
      <c r="H1909" s="2" t="s">
        <v>21</v>
      </c>
      <c r="I1909" s="2" t="s">
        <v>22</v>
      </c>
      <c r="J1909" s="15">
        <v>30000</v>
      </c>
      <c r="K1909" s="2">
        <v>6</v>
      </c>
      <c r="L1909" s="2" t="s">
        <v>28</v>
      </c>
      <c r="M1909" s="12">
        <f t="shared" si="63"/>
        <v>24000</v>
      </c>
      <c r="N1909" s="10">
        <f>PRODUCT(Table_13[[#This Row],[Unit Price]],Table_13[[#This Row],[Quantity]])</f>
        <v>180000</v>
      </c>
      <c r="O1909" s="16">
        <f>PRODUCT(Table_13[[#This Row],[Cost Price]],Table_13[[#This Row],[Quantity]])</f>
        <v>144000</v>
      </c>
      <c r="P1909" s="27">
        <f t="shared" si="67"/>
        <v>36000</v>
      </c>
    </row>
    <row r="1910" spans="1:16" x14ac:dyDescent="0.2">
      <c r="A1910" s="33">
        <v>47584</v>
      </c>
      <c r="B1910" s="30">
        <f t="shared" si="66"/>
        <v>4</v>
      </c>
      <c r="C1910" s="30" t="str">
        <f>_xlfn.IFS(Table_13[[#This Row],[Month]]=1,"JAN",Table_13[[#This Row],[Month]]=2,"FEB",B1910=3,"MAR",B1910=4,"APR",B1910=5,"MAY",B1910=6,"JUN",B1910=7,"JUL",B1910=8,"AUG",Table_13[[#This Row],[Month]]=9,"SEPT",B1910=10,"OCT",B1910=11,"NOV",B1910=12,"DEC")</f>
        <v>APR</v>
      </c>
      <c r="D1910" s="2" t="s">
        <v>18</v>
      </c>
      <c r="E1910" s="2" t="s">
        <v>26</v>
      </c>
      <c r="F1910" s="2" t="s">
        <v>23</v>
      </c>
      <c r="G1910" s="2" t="s">
        <v>20</v>
      </c>
      <c r="H1910" s="2" t="s">
        <v>41</v>
      </c>
      <c r="I1910" s="2" t="s">
        <v>22</v>
      </c>
      <c r="J1910" s="15">
        <v>220000</v>
      </c>
      <c r="K1910" s="2">
        <v>1</v>
      </c>
      <c r="L1910" s="2" t="s">
        <v>28</v>
      </c>
      <c r="M1910" s="12">
        <f t="shared" si="63"/>
        <v>176000</v>
      </c>
      <c r="N1910" s="10">
        <f>PRODUCT(Table_13[[#This Row],[Unit Price]],Table_13[[#This Row],[Quantity]])</f>
        <v>220000</v>
      </c>
      <c r="O1910" s="16">
        <f>PRODUCT(Table_13[[#This Row],[Cost Price]],Table_13[[#This Row],[Quantity]])</f>
        <v>176000</v>
      </c>
      <c r="P1910" s="27">
        <f t="shared" si="67"/>
        <v>44000</v>
      </c>
    </row>
    <row r="1911" spans="1:16" x14ac:dyDescent="0.2">
      <c r="A1911" s="33">
        <v>47585</v>
      </c>
      <c r="B1911" s="30">
        <f t="shared" si="66"/>
        <v>4</v>
      </c>
      <c r="C1911" s="30" t="str">
        <f>_xlfn.IFS(Table_13[[#This Row],[Month]]=1,"JAN",Table_13[[#This Row],[Month]]=2,"FEB",B1911=3,"MAR",B1911=4,"APR",B1911=5,"MAY",B1911=6,"JUN",B1911=7,"JUL",B1911=8,"AUG",Table_13[[#This Row],[Month]]=9,"SEPT",B1911=10,"OCT",B1911=11,"NOV",B1911=12,"DEC")</f>
        <v>APR</v>
      </c>
      <c r="D1911" s="2" t="s">
        <v>29</v>
      </c>
      <c r="E1911" s="2" t="s">
        <v>32</v>
      </c>
      <c r="F1911" s="2" t="s">
        <v>13</v>
      </c>
      <c r="G1911" s="2" t="s">
        <v>14</v>
      </c>
      <c r="H1911" s="2" t="s">
        <v>21</v>
      </c>
      <c r="I1911" s="2" t="s">
        <v>22</v>
      </c>
      <c r="J1911" s="15">
        <v>30000</v>
      </c>
      <c r="K1911" s="2">
        <v>9</v>
      </c>
      <c r="L1911" s="2" t="s">
        <v>35</v>
      </c>
      <c r="M1911" s="12">
        <f t="shared" si="63"/>
        <v>24000</v>
      </c>
      <c r="N1911" s="10">
        <f>PRODUCT(Table_13[[#This Row],[Unit Price]],Table_13[[#This Row],[Quantity]])</f>
        <v>270000</v>
      </c>
      <c r="O1911" s="16">
        <f>PRODUCT(Table_13[[#This Row],[Cost Price]],Table_13[[#This Row],[Quantity]])</f>
        <v>216000</v>
      </c>
      <c r="P1911" s="27">
        <f t="shared" si="67"/>
        <v>54000</v>
      </c>
    </row>
    <row r="1912" spans="1:16" x14ac:dyDescent="0.2">
      <c r="A1912" s="33">
        <v>47586</v>
      </c>
      <c r="B1912" s="30">
        <f t="shared" si="66"/>
        <v>4</v>
      </c>
      <c r="C1912" s="30" t="str">
        <f>_xlfn.IFS(Table_13[[#This Row],[Month]]=1,"JAN",Table_13[[#This Row],[Month]]=2,"FEB",B1912=3,"MAR",B1912=4,"APR",B1912=5,"MAY",B1912=6,"JUN",B1912=7,"JUL",B1912=8,"AUG",Table_13[[#This Row],[Month]]=9,"SEPT",B1912=10,"OCT",B1912=11,"NOV",B1912=12,"DEC")</f>
        <v>APR</v>
      </c>
      <c r="D1912" s="2" t="s">
        <v>11</v>
      </c>
      <c r="E1912" s="2" t="s">
        <v>12</v>
      </c>
      <c r="F1912" s="2" t="s">
        <v>23</v>
      </c>
      <c r="G1912" s="2" t="s">
        <v>14</v>
      </c>
      <c r="H1912" s="2" t="s">
        <v>41</v>
      </c>
      <c r="I1912" s="2" t="s">
        <v>22</v>
      </c>
      <c r="J1912" s="15">
        <v>220000</v>
      </c>
      <c r="K1912" s="2">
        <v>10</v>
      </c>
      <c r="L1912" s="2" t="s">
        <v>35</v>
      </c>
      <c r="M1912" s="12">
        <f t="shared" si="63"/>
        <v>176000</v>
      </c>
      <c r="N1912" s="10">
        <f>PRODUCT(Table_13[[#This Row],[Unit Price]],Table_13[[#This Row],[Quantity]])</f>
        <v>2200000</v>
      </c>
      <c r="O1912" s="16">
        <f>PRODUCT(Table_13[[#This Row],[Cost Price]],Table_13[[#This Row],[Quantity]])</f>
        <v>1760000</v>
      </c>
      <c r="P1912" s="27">
        <f t="shared" si="67"/>
        <v>440000</v>
      </c>
    </row>
    <row r="1913" spans="1:16" x14ac:dyDescent="0.2">
      <c r="A1913" s="33">
        <v>47587</v>
      </c>
      <c r="B1913" s="30">
        <f t="shared" si="66"/>
        <v>4</v>
      </c>
      <c r="C1913" s="30" t="str">
        <f>_xlfn.IFS(Table_13[[#This Row],[Month]]=1,"JAN",Table_13[[#This Row],[Month]]=2,"FEB",B1913=3,"MAR",B1913=4,"APR",B1913=5,"MAY",B1913=6,"JUN",B1913=7,"JUL",B1913=8,"AUG",Table_13[[#This Row],[Month]]=9,"SEPT",B1913=10,"OCT",B1913=11,"NOV",B1913=12,"DEC")</f>
        <v>APR</v>
      </c>
      <c r="D1913" s="2" t="s">
        <v>18</v>
      </c>
      <c r="E1913" s="2" t="s">
        <v>26</v>
      </c>
      <c r="F1913" s="2" t="s">
        <v>13</v>
      </c>
      <c r="G1913" s="2" t="s">
        <v>14</v>
      </c>
      <c r="H1913" s="2" t="s">
        <v>41</v>
      </c>
      <c r="I1913" s="2" t="s">
        <v>22</v>
      </c>
      <c r="J1913" s="15">
        <v>220000</v>
      </c>
      <c r="K1913" s="2">
        <v>9</v>
      </c>
      <c r="L1913" s="2" t="s">
        <v>17</v>
      </c>
      <c r="M1913" s="12">
        <f t="shared" si="63"/>
        <v>176000</v>
      </c>
      <c r="N1913" s="10">
        <f>PRODUCT(Table_13[[#This Row],[Unit Price]],Table_13[[#This Row],[Quantity]])</f>
        <v>1980000</v>
      </c>
      <c r="O1913" s="16">
        <f>PRODUCT(Table_13[[#This Row],[Cost Price]],Table_13[[#This Row],[Quantity]])</f>
        <v>1584000</v>
      </c>
      <c r="P1913" s="27">
        <f t="shared" si="67"/>
        <v>396000</v>
      </c>
    </row>
    <row r="1914" spans="1:16" x14ac:dyDescent="0.2">
      <c r="A1914" s="33">
        <v>47588</v>
      </c>
      <c r="B1914" s="30">
        <f t="shared" si="66"/>
        <v>4</v>
      </c>
      <c r="C1914" s="30" t="str">
        <f>_xlfn.IFS(Table_13[[#This Row],[Month]]=1,"JAN",Table_13[[#This Row],[Month]]=2,"FEB",B1914=3,"MAR",B1914=4,"APR",B1914=5,"MAY",B1914=6,"JUN",B1914=7,"JUL",B1914=8,"AUG",Table_13[[#This Row],[Month]]=9,"SEPT",B1914=10,"OCT",B1914=11,"NOV",B1914=12,"DEC")</f>
        <v>APR</v>
      </c>
      <c r="D1914" s="2" t="s">
        <v>11</v>
      </c>
      <c r="E1914" s="2" t="s">
        <v>32</v>
      </c>
      <c r="F1914" s="2" t="s">
        <v>23</v>
      </c>
      <c r="G1914" s="2" t="s">
        <v>14</v>
      </c>
      <c r="H1914" s="2" t="s">
        <v>27</v>
      </c>
      <c r="I1914" s="2" t="s">
        <v>22</v>
      </c>
      <c r="J1914" s="15">
        <v>60000</v>
      </c>
      <c r="K1914" s="2">
        <v>4</v>
      </c>
      <c r="L1914" s="2" t="s">
        <v>24</v>
      </c>
      <c r="M1914" s="12">
        <f t="shared" si="63"/>
        <v>48000</v>
      </c>
      <c r="N1914" s="10">
        <f>PRODUCT(Table_13[[#This Row],[Unit Price]],Table_13[[#This Row],[Quantity]])</f>
        <v>240000</v>
      </c>
      <c r="O1914" s="16">
        <f>PRODUCT(Table_13[[#This Row],[Cost Price]],Table_13[[#This Row],[Quantity]])</f>
        <v>192000</v>
      </c>
      <c r="P1914" s="27">
        <f t="shared" si="67"/>
        <v>48000</v>
      </c>
    </row>
    <row r="1915" spans="1:16" x14ac:dyDescent="0.2">
      <c r="A1915" s="33">
        <v>47589</v>
      </c>
      <c r="B1915" s="30">
        <f t="shared" si="66"/>
        <v>4</v>
      </c>
      <c r="C1915" s="30" t="str">
        <f>_xlfn.IFS(Table_13[[#This Row],[Month]]=1,"JAN",Table_13[[#This Row],[Month]]=2,"FEB",B1915=3,"MAR",B1915=4,"APR",B1915=5,"MAY",B1915=6,"JUN",B1915=7,"JUL",B1915=8,"AUG",Table_13[[#This Row],[Month]]=9,"SEPT",B1915=10,"OCT",B1915=11,"NOV",B1915=12,"DEC")</f>
        <v>APR</v>
      </c>
      <c r="D1915" s="2" t="s">
        <v>25</v>
      </c>
      <c r="E1915" s="2" t="s">
        <v>26</v>
      </c>
      <c r="F1915" s="2" t="s">
        <v>23</v>
      </c>
      <c r="G1915" s="2" t="s">
        <v>20</v>
      </c>
      <c r="H1915" s="2" t="s">
        <v>41</v>
      </c>
      <c r="I1915" s="2" t="s">
        <v>22</v>
      </c>
      <c r="J1915" s="15">
        <v>220000</v>
      </c>
      <c r="K1915" s="2">
        <v>7</v>
      </c>
      <c r="L1915" s="2" t="s">
        <v>24</v>
      </c>
      <c r="M1915" s="12">
        <f t="shared" si="63"/>
        <v>176000</v>
      </c>
      <c r="N1915" s="10">
        <f>PRODUCT(Table_13[[#This Row],[Unit Price]],Table_13[[#This Row],[Quantity]])</f>
        <v>1540000</v>
      </c>
      <c r="O1915" s="16">
        <f>PRODUCT(Table_13[[#This Row],[Cost Price]],Table_13[[#This Row],[Quantity]])</f>
        <v>1232000</v>
      </c>
      <c r="P1915" s="27">
        <f t="shared" si="67"/>
        <v>308000</v>
      </c>
    </row>
    <row r="1916" spans="1:16" x14ac:dyDescent="0.2">
      <c r="A1916" s="33">
        <v>47590</v>
      </c>
      <c r="B1916" s="30">
        <f t="shared" si="66"/>
        <v>4</v>
      </c>
      <c r="C1916" s="30" t="str">
        <f>_xlfn.IFS(Table_13[[#This Row],[Month]]=1,"JAN",Table_13[[#This Row],[Month]]=2,"FEB",B1916=3,"MAR",B1916=4,"APR",B1916=5,"MAY",B1916=6,"JUN",B1916=7,"JUL",B1916=8,"AUG",Table_13[[#This Row],[Month]]=9,"SEPT",B1916=10,"OCT",B1916=11,"NOV",B1916=12,"DEC")</f>
        <v>APR</v>
      </c>
      <c r="D1916" s="2" t="s">
        <v>11</v>
      </c>
      <c r="E1916" s="2" t="s">
        <v>26</v>
      </c>
      <c r="F1916" s="2" t="s">
        <v>13</v>
      </c>
      <c r="G1916" s="2" t="s">
        <v>20</v>
      </c>
      <c r="H1916" s="2" t="s">
        <v>34</v>
      </c>
      <c r="I1916" s="2" t="s">
        <v>16</v>
      </c>
      <c r="J1916" s="15">
        <v>320000</v>
      </c>
      <c r="K1916" s="2">
        <v>9</v>
      </c>
      <c r="L1916" s="2" t="s">
        <v>28</v>
      </c>
      <c r="M1916" s="12">
        <f t="shared" si="63"/>
        <v>256000</v>
      </c>
      <c r="N1916" s="10">
        <f>PRODUCT(Table_13[[#This Row],[Unit Price]],Table_13[[#This Row],[Quantity]])</f>
        <v>2880000</v>
      </c>
      <c r="O1916" s="16">
        <f>PRODUCT(Table_13[[#This Row],[Cost Price]],Table_13[[#This Row],[Quantity]])</f>
        <v>2304000</v>
      </c>
      <c r="P1916" s="27">
        <f t="shared" si="67"/>
        <v>576000</v>
      </c>
    </row>
    <row r="1917" spans="1:16" x14ac:dyDescent="0.2">
      <c r="A1917" s="33">
        <v>47591</v>
      </c>
      <c r="B1917" s="30">
        <f t="shared" si="66"/>
        <v>4</v>
      </c>
      <c r="C1917" s="30" t="str">
        <f>_xlfn.IFS(Table_13[[#This Row],[Month]]=1,"JAN",Table_13[[#This Row],[Month]]=2,"FEB",B1917=3,"MAR",B1917=4,"APR",B1917=5,"MAY",B1917=6,"JUN",B1917=7,"JUL",B1917=8,"AUG",Table_13[[#This Row],[Month]]=9,"SEPT",B1917=10,"OCT",B1917=11,"NOV",B1917=12,"DEC")</f>
        <v>APR</v>
      </c>
      <c r="D1917" s="2" t="s">
        <v>11</v>
      </c>
      <c r="E1917" s="2" t="s">
        <v>19</v>
      </c>
      <c r="F1917" s="2" t="s">
        <v>23</v>
      </c>
      <c r="G1917" s="2" t="s">
        <v>20</v>
      </c>
      <c r="H1917" s="2" t="s">
        <v>15</v>
      </c>
      <c r="I1917" s="2" t="s">
        <v>16</v>
      </c>
      <c r="J1917" s="15">
        <v>85000</v>
      </c>
      <c r="K1917" s="2">
        <v>5</v>
      </c>
      <c r="L1917" s="2" t="s">
        <v>39</v>
      </c>
      <c r="M1917" s="12">
        <f t="shared" si="63"/>
        <v>68000</v>
      </c>
      <c r="N1917" s="10">
        <f>PRODUCT(Table_13[[#This Row],[Unit Price]],Table_13[[#This Row],[Quantity]])</f>
        <v>425000</v>
      </c>
      <c r="O1917" s="16">
        <f>PRODUCT(Table_13[[#This Row],[Cost Price]],Table_13[[#This Row],[Quantity]])</f>
        <v>340000</v>
      </c>
      <c r="P1917" s="27">
        <f t="shared" si="67"/>
        <v>85000</v>
      </c>
    </row>
    <row r="1918" spans="1:16" x14ac:dyDescent="0.2">
      <c r="A1918" s="33">
        <v>47592</v>
      </c>
      <c r="B1918" s="30">
        <f t="shared" si="66"/>
        <v>4</v>
      </c>
      <c r="C1918" s="30" t="str">
        <f>_xlfn.IFS(Table_13[[#This Row],[Month]]=1,"JAN",Table_13[[#This Row],[Month]]=2,"FEB",B1918=3,"MAR",B1918=4,"APR",B1918=5,"MAY",B1918=6,"JUN",B1918=7,"JUL",B1918=8,"AUG",Table_13[[#This Row],[Month]]=9,"SEPT",B1918=10,"OCT",B1918=11,"NOV",B1918=12,"DEC")</f>
        <v>APR</v>
      </c>
      <c r="D1918" s="2" t="s">
        <v>29</v>
      </c>
      <c r="E1918" s="2" t="s">
        <v>32</v>
      </c>
      <c r="F1918" s="2" t="s">
        <v>13</v>
      </c>
      <c r="G1918" s="2" t="s">
        <v>14</v>
      </c>
      <c r="H1918" s="2" t="s">
        <v>40</v>
      </c>
      <c r="I1918" s="2" t="s">
        <v>31</v>
      </c>
      <c r="J1918" s="15">
        <v>250000</v>
      </c>
      <c r="K1918" s="2">
        <v>10</v>
      </c>
      <c r="L1918" s="2" t="s">
        <v>37</v>
      </c>
      <c r="M1918" s="12">
        <f t="shared" si="63"/>
        <v>200000</v>
      </c>
      <c r="N1918" s="10">
        <f>PRODUCT(Table_13[[#This Row],[Unit Price]],Table_13[[#This Row],[Quantity]])</f>
        <v>2500000</v>
      </c>
      <c r="O1918" s="16">
        <f>PRODUCT(Table_13[[#This Row],[Cost Price]],Table_13[[#This Row],[Quantity]])</f>
        <v>2000000</v>
      </c>
      <c r="P1918" s="27">
        <f t="shared" si="67"/>
        <v>500000</v>
      </c>
    </row>
    <row r="1919" spans="1:16" x14ac:dyDescent="0.2">
      <c r="A1919" s="33">
        <v>47593</v>
      </c>
      <c r="B1919" s="30">
        <f t="shared" si="66"/>
        <v>4</v>
      </c>
      <c r="C1919" s="30" t="str">
        <f>_xlfn.IFS(Table_13[[#This Row],[Month]]=1,"JAN",Table_13[[#This Row],[Month]]=2,"FEB",B1919=3,"MAR",B1919=4,"APR",B1919=5,"MAY",B1919=6,"JUN",B1919=7,"JUL",B1919=8,"AUG",Table_13[[#This Row],[Month]]=9,"SEPT",B1919=10,"OCT",B1919=11,"NOV",B1919=12,"DEC")</f>
        <v>APR</v>
      </c>
      <c r="D1919" s="2" t="s">
        <v>18</v>
      </c>
      <c r="E1919" s="2" t="s">
        <v>32</v>
      </c>
      <c r="F1919" s="2" t="s">
        <v>13</v>
      </c>
      <c r="G1919" s="2" t="s">
        <v>20</v>
      </c>
      <c r="H1919" s="2" t="s">
        <v>34</v>
      </c>
      <c r="I1919" s="2" t="s">
        <v>16</v>
      </c>
      <c r="J1919" s="15">
        <v>320000</v>
      </c>
      <c r="K1919" s="2">
        <v>8</v>
      </c>
      <c r="L1919" s="2" t="s">
        <v>28</v>
      </c>
      <c r="M1919" s="12">
        <f t="shared" si="63"/>
        <v>256000</v>
      </c>
      <c r="N1919" s="10">
        <f>PRODUCT(Table_13[[#This Row],[Unit Price]],Table_13[[#This Row],[Quantity]])</f>
        <v>2560000</v>
      </c>
      <c r="O1919" s="16">
        <f>PRODUCT(Table_13[[#This Row],[Cost Price]],Table_13[[#This Row],[Quantity]])</f>
        <v>2048000</v>
      </c>
      <c r="P1919" s="27">
        <f t="shared" si="67"/>
        <v>512000</v>
      </c>
    </row>
    <row r="1920" spans="1:16" x14ac:dyDescent="0.2">
      <c r="A1920" s="33">
        <v>47594</v>
      </c>
      <c r="B1920" s="30">
        <f t="shared" si="66"/>
        <v>4</v>
      </c>
      <c r="C1920" s="30" t="str">
        <f>_xlfn.IFS(Table_13[[#This Row],[Month]]=1,"JAN",Table_13[[#This Row],[Month]]=2,"FEB",B1920=3,"MAR",B1920=4,"APR",B1920=5,"MAY",B1920=6,"JUN",B1920=7,"JUL",B1920=8,"AUG",Table_13[[#This Row],[Month]]=9,"SEPT",B1920=10,"OCT",B1920=11,"NOV",B1920=12,"DEC")</f>
        <v>APR</v>
      </c>
      <c r="D1920" s="2" t="s">
        <v>29</v>
      </c>
      <c r="E1920" s="2" t="s">
        <v>12</v>
      </c>
      <c r="F1920" s="2" t="s">
        <v>23</v>
      </c>
      <c r="G1920" s="2" t="s">
        <v>20</v>
      </c>
      <c r="H1920" s="2" t="s">
        <v>36</v>
      </c>
      <c r="I1920" s="2" t="s">
        <v>31</v>
      </c>
      <c r="J1920" s="15">
        <v>150000</v>
      </c>
      <c r="K1920" s="2">
        <v>7</v>
      </c>
      <c r="L1920" s="2" t="s">
        <v>35</v>
      </c>
      <c r="M1920" s="12">
        <f t="shared" si="63"/>
        <v>120000</v>
      </c>
      <c r="N1920" s="10">
        <f>PRODUCT(Table_13[[#This Row],[Unit Price]],Table_13[[#This Row],[Quantity]])</f>
        <v>1050000</v>
      </c>
      <c r="O1920" s="16">
        <f>PRODUCT(Table_13[[#This Row],[Cost Price]],Table_13[[#This Row],[Quantity]])</f>
        <v>840000</v>
      </c>
      <c r="P1920" s="27">
        <f t="shared" si="67"/>
        <v>210000</v>
      </c>
    </row>
    <row r="1921" spans="1:16" x14ac:dyDescent="0.2">
      <c r="A1921" s="33">
        <v>47595</v>
      </c>
      <c r="B1921" s="30">
        <f t="shared" si="66"/>
        <v>4</v>
      </c>
      <c r="C1921" s="30" t="str">
        <f>_xlfn.IFS(Table_13[[#This Row],[Month]]=1,"JAN",Table_13[[#This Row],[Month]]=2,"FEB",B1921=3,"MAR",B1921=4,"APR",B1921=5,"MAY",B1921=6,"JUN",B1921=7,"JUL",B1921=8,"AUG",Table_13[[#This Row],[Month]]=9,"SEPT",B1921=10,"OCT",B1921=11,"NOV",B1921=12,"DEC")</f>
        <v>APR</v>
      </c>
      <c r="D1921" s="2" t="s">
        <v>29</v>
      </c>
      <c r="E1921" s="2" t="s">
        <v>26</v>
      </c>
      <c r="F1921" s="2" t="s">
        <v>13</v>
      </c>
      <c r="G1921" s="2" t="s">
        <v>20</v>
      </c>
      <c r="H1921" s="2" t="s">
        <v>33</v>
      </c>
      <c r="I1921" s="2" t="s">
        <v>22</v>
      </c>
      <c r="J1921" s="15">
        <v>180000</v>
      </c>
      <c r="K1921" s="2">
        <v>8</v>
      </c>
      <c r="L1921" s="2" t="s">
        <v>35</v>
      </c>
      <c r="M1921" s="12">
        <f t="shared" si="63"/>
        <v>144000</v>
      </c>
      <c r="N1921" s="10">
        <f>PRODUCT(Table_13[[#This Row],[Unit Price]],Table_13[[#This Row],[Quantity]])</f>
        <v>1440000</v>
      </c>
      <c r="O1921" s="16">
        <f>PRODUCT(Table_13[[#This Row],[Cost Price]],Table_13[[#This Row],[Quantity]])</f>
        <v>1152000</v>
      </c>
      <c r="P1921" s="27">
        <f t="shared" si="67"/>
        <v>288000</v>
      </c>
    </row>
    <row r="1922" spans="1:16" x14ac:dyDescent="0.2">
      <c r="A1922" s="33">
        <v>47596</v>
      </c>
      <c r="B1922" s="30">
        <f t="shared" ref="B1922:B1985" si="68">MONTH(A1922)</f>
        <v>4</v>
      </c>
      <c r="C1922" s="30" t="str">
        <f>_xlfn.IFS(Table_13[[#This Row],[Month]]=1,"JAN",Table_13[[#This Row],[Month]]=2,"FEB",B1922=3,"MAR",B1922=4,"APR",B1922=5,"MAY",B1922=6,"JUN",B1922=7,"JUL",B1922=8,"AUG",Table_13[[#This Row],[Month]]=9,"SEPT",B1922=10,"OCT",B1922=11,"NOV",B1922=12,"DEC")</f>
        <v>APR</v>
      </c>
      <c r="D1922" s="2" t="s">
        <v>11</v>
      </c>
      <c r="E1922" s="2" t="s">
        <v>32</v>
      </c>
      <c r="F1922" s="2" t="s">
        <v>13</v>
      </c>
      <c r="G1922" s="2" t="s">
        <v>14</v>
      </c>
      <c r="H1922" s="2" t="s">
        <v>34</v>
      </c>
      <c r="I1922" s="2" t="s">
        <v>16</v>
      </c>
      <c r="J1922" s="15">
        <v>320000</v>
      </c>
      <c r="K1922" s="2">
        <v>10</v>
      </c>
      <c r="L1922" s="2" t="s">
        <v>28</v>
      </c>
      <c r="M1922" s="12">
        <f t="shared" si="63"/>
        <v>256000</v>
      </c>
      <c r="N1922" s="10">
        <f>PRODUCT(Table_13[[#This Row],[Unit Price]],Table_13[[#This Row],[Quantity]])</f>
        <v>3200000</v>
      </c>
      <c r="O1922" s="16">
        <f>PRODUCT(Table_13[[#This Row],[Cost Price]],Table_13[[#This Row],[Quantity]])</f>
        <v>2560000</v>
      </c>
      <c r="P1922" s="27">
        <f t="shared" ref="P1922:P1985" si="69">N1922-O1922</f>
        <v>640000</v>
      </c>
    </row>
    <row r="1923" spans="1:16" x14ac:dyDescent="0.2">
      <c r="A1923" s="33">
        <v>47597</v>
      </c>
      <c r="B1923" s="30">
        <f t="shared" si="68"/>
        <v>4</v>
      </c>
      <c r="C1923" s="30" t="str">
        <f>_xlfn.IFS(Table_13[[#This Row],[Month]]=1,"JAN",Table_13[[#This Row],[Month]]=2,"FEB",B1923=3,"MAR",B1923=4,"APR",B1923=5,"MAY",B1923=6,"JUN",B1923=7,"JUL",B1923=8,"AUG",Table_13[[#This Row],[Month]]=9,"SEPT",B1923=10,"OCT",B1923=11,"NOV",B1923=12,"DEC")</f>
        <v>APR</v>
      </c>
      <c r="D1923" s="2" t="s">
        <v>29</v>
      </c>
      <c r="E1923" s="2" t="s">
        <v>12</v>
      </c>
      <c r="F1923" s="2" t="s">
        <v>23</v>
      </c>
      <c r="G1923" s="2" t="s">
        <v>20</v>
      </c>
      <c r="H1923" s="2" t="s">
        <v>36</v>
      </c>
      <c r="I1923" s="2" t="s">
        <v>31</v>
      </c>
      <c r="J1923" s="15">
        <v>150000</v>
      </c>
      <c r="K1923" s="2">
        <v>7</v>
      </c>
      <c r="L1923" s="2" t="s">
        <v>39</v>
      </c>
      <c r="M1923" s="12">
        <f t="shared" si="63"/>
        <v>120000</v>
      </c>
      <c r="N1923" s="10">
        <f>PRODUCT(Table_13[[#This Row],[Unit Price]],Table_13[[#This Row],[Quantity]])</f>
        <v>1050000</v>
      </c>
      <c r="O1923" s="16">
        <f>PRODUCT(Table_13[[#This Row],[Cost Price]],Table_13[[#This Row],[Quantity]])</f>
        <v>840000</v>
      </c>
      <c r="P1923" s="27">
        <f t="shared" si="69"/>
        <v>210000</v>
      </c>
    </row>
    <row r="1924" spans="1:16" x14ac:dyDescent="0.2">
      <c r="A1924" s="33">
        <v>47598</v>
      </c>
      <c r="B1924" s="30">
        <f t="shared" si="68"/>
        <v>4</v>
      </c>
      <c r="C1924" s="30" t="str">
        <f>_xlfn.IFS(Table_13[[#This Row],[Month]]=1,"JAN",Table_13[[#This Row],[Month]]=2,"FEB",B1924=3,"MAR",B1924=4,"APR",B1924=5,"MAY",B1924=6,"JUN",B1924=7,"JUL",B1924=8,"AUG",Table_13[[#This Row],[Month]]=9,"SEPT",B1924=10,"OCT",B1924=11,"NOV",B1924=12,"DEC")</f>
        <v>APR</v>
      </c>
      <c r="D1924" s="2" t="s">
        <v>25</v>
      </c>
      <c r="E1924" s="2" t="s">
        <v>19</v>
      </c>
      <c r="F1924" s="2" t="s">
        <v>23</v>
      </c>
      <c r="G1924" s="2" t="s">
        <v>20</v>
      </c>
      <c r="H1924" s="2" t="s">
        <v>41</v>
      </c>
      <c r="I1924" s="2" t="s">
        <v>22</v>
      </c>
      <c r="J1924" s="15">
        <v>220000</v>
      </c>
      <c r="K1924" s="2">
        <v>1</v>
      </c>
      <c r="L1924" s="2" t="s">
        <v>24</v>
      </c>
      <c r="M1924" s="12">
        <f t="shared" si="63"/>
        <v>176000</v>
      </c>
      <c r="N1924" s="10">
        <f>PRODUCT(Table_13[[#This Row],[Unit Price]],Table_13[[#This Row],[Quantity]])</f>
        <v>220000</v>
      </c>
      <c r="O1924" s="16">
        <f>PRODUCT(Table_13[[#This Row],[Cost Price]],Table_13[[#This Row],[Quantity]])</f>
        <v>176000</v>
      </c>
      <c r="P1924" s="27">
        <f t="shared" si="69"/>
        <v>44000</v>
      </c>
    </row>
    <row r="1925" spans="1:16" x14ac:dyDescent="0.2">
      <c r="A1925" s="33">
        <v>47599</v>
      </c>
      <c r="B1925" s="30">
        <f t="shared" si="68"/>
        <v>4</v>
      </c>
      <c r="C1925" s="30" t="str">
        <f>_xlfn.IFS(Table_13[[#This Row],[Month]]=1,"JAN",Table_13[[#This Row],[Month]]=2,"FEB",B1925=3,"MAR",B1925=4,"APR",B1925=5,"MAY",B1925=6,"JUN",B1925=7,"JUL",B1925=8,"AUG",Table_13[[#This Row],[Month]]=9,"SEPT",B1925=10,"OCT",B1925=11,"NOV",B1925=12,"DEC")</f>
        <v>APR</v>
      </c>
      <c r="D1925" s="2" t="s">
        <v>29</v>
      </c>
      <c r="E1925" s="2" t="s">
        <v>32</v>
      </c>
      <c r="F1925" s="2" t="s">
        <v>23</v>
      </c>
      <c r="G1925" s="2" t="s">
        <v>14</v>
      </c>
      <c r="H1925" s="2" t="s">
        <v>41</v>
      </c>
      <c r="I1925" s="2" t="s">
        <v>22</v>
      </c>
      <c r="J1925" s="15">
        <v>220000</v>
      </c>
      <c r="K1925" s="2">
        <v>7</v>
      </c>
      <c r="L1925" s="2" t="s">
        <v>24</v>
      </c>
      <c r="M1925" s="12">
        <f t="shared" si="63"/>
        <v>176000</v>
      </c>
      <c r="N1925" s="10">
        <f>PRODUCT(Table_13[[#This Row],[Unit Price]],Table_13[[#This Row],[Quantity]])</f>
        <v>1540000</v>
      </c>
      <c r="O1925" s="16">
        <f>PRODUCT(Table_13[[#This Row],[Cost Price]],Table_13[[#This Row],[Quantity]])</f>
        <v>1232000</v>
      </c>
      <c r="P1925" s="27">
        <f t="shared" si="69"/>
        <v>308000</v>
      </c>
    </row>
    <row r="1926" spans="1:16" x14ac:dyDescent="0.2">
      <c r="A1926" s="33">
        <v>47600</v>
      </c>
      <c r="B1926" s="30">
        <f t="shared" si="68"/>
        <v>4</v>
      </c>
      <c r="C1926" s="30" t="str">
        <f>_xlfn.IFS(Table_13[[#This Row],[Month]]=1,"JAN",Table_13[[#This Row],[Month]]=2,"FEB",B1926=3,"MAR",B1926=4,"APR",B1926=5,"MAY",B1926=6,"JUN",B1926=7,"JUL",B1926=8,"AUG",Table_13[[#This Row],[Month]]=9,"SEPT",B1926=10,"OCT",B1926=11,"NOV",B1926=12,"DEC")</f>
        <v>APR</v>
      </c>
      <c r="D1926" s="2" t="s">
        <v>25</v>
      </c>
      <c r="E1926" s="2" t="s">
        <v>32</v>
      </c>
      <c r="F1926" s="2" t="s">
        <v>23</v>
      </c>
      <c r="G1926" s="2" t="s">
        <v>20</v>
      </c>
      <c r="H1926" s="2" t="s">
        <v>36</v>
      </c>
      <c r="I1926" s="2" t="s">
        <v>31</v>
      </c>
      <c r="J1926" s="15">
        <v>150000</v>
      </c>
      <c r="K1926" s="2">
        <v>6</v>
      </c>
      <c r="L1926" s="2" t="s">
        <v>24</v>
      </c>
      <c r="M1926" s="12">
        <f t="shared" si="63"/>
        <v>120000</v>
      </c>
      <c r="N1926" s="10">
        <f>PRODUCT(Table_13[[#This Row],[Unit Price]],Table_13[[#This Row],[Quantity]])</f>
        <v>900000</v>
      </c>
      <c r="O1926" s="16">
        <f>PRODUCT(Table_13[[#This Row],[Cost Price]],Table_13[[#This Row],[Quantity]])</f>
        <v>720000</v>
      </c>
      <c r="P1926" s="27">
        <f t="shared" si="69"/>
        <v>180000</v>
      </c>
    </row>
    <row r="1927" spans="1:16" x14ac:dyDescent="0.2">
      <c r="A1927" s="33">
        <v>47601</v>
      </c>
      <c r="B1927" s="30">
        <f t="shared" si="68"/>
        <v>4</v>
      </c>
      <c r="C1927" s="30" t="str">
        <f>_xlfn.IFS(Table_13[[#This Row],[Month]]=1,"JAN",Table_13[[#This Row],[Month]]=2,"FEB",B1927=3,"MAR",B1927=4,"APR",B1927=5,"MAY",B1927=6,"JUN",B1927=7,"JUL",B1927=8,"AUG",Table_13[[#This Row],[Month]]=9,"SEPT",B1927=10,"OCT",B1927=11,"NOV",B1927=12,"DEC")</f>
        <v>APR</v>
      </c>
      <c r="D1927" s="2" t="s">
        <v>18</v>
      </c>
      <c r="E1927" s="2" t="s">
        <v>12</v>
      </c>
      <c r="F1927" s="2" t="s">
        <v>13</v>
      </c>
      <c r="G1927" s="2" t="s">
        <v>14</v>
      </c>
      <c r="H1927" s="2" t="s">
        <v>30</v>
      </c>
      <c r="I1927" s="2" t="s">
        <v>31</v>
      </c>
      <c r="J1927" s="15">
        <v>300000</v>
      </c>
      <c r="K1927" s="2">
        <v>8</v>
      </c>
      <c r="L1927" s="2" t="s">
        <v>28</v>
      </c>
      <c r="M1927" s="12">
        <f t="shared" si="63"/>
        <v>240000</v>
      </c>
      <c r="N1927" s="10">
        <f>PRODUCT(Table_13[[#This Row],[Unit Price]],Table_13[[#This Row],[Quantity]])</f>
        <v>2400000</v>
      </c>
      <c r="O1927" s="16">
        <f>PRODUCT(Table_13[[#This Row],[Cost Price]],Table_13[[#This Row],[Quantity]])</f>
        <v>1920000</v>
      </c>
      <c r="P1927" s="27">
        <f t="shared" si="69"/>
        <v>480000</v>
      </c>
    </row>
    <row r="1928" spans="1:16" x14ac:dyDescent="0.2">
      <c r="A1928" s="33">
        <v>47602</v>
      </c>
      <c r="B1928" s="30">
        <f t="shared" si="68"/>
        <v>4</v>
      </c>
      <c r="C1928" s="30" t="str">
        <f>_xlfn.IFS(Table_13[[#This Row],[Month]]=1,"JAN",Table_13[[#This Row],[Month]]=2,"FEB",B1928=3,"MAR",B1928=4,"APR",B1928=5,"MAY",B1928=6,"JUN",B1928=7,"JUL",B1928=8,"AUG",Table_13[[#This Row],[Month]]=9,"SEPT",B1928=10,"OCT",B1928=11,"NOV",B1928=12,"DEC")</f>
        <v>APR</v>
      </c>
      <c r="D1928" s="2" t="s">
        <v>18</v>
      </c>
      <c r="E1928" s="2" t="s">
        <v>32</v>
      </c>
      <c r="F1928" s="2" t="s">
        <v>23</v>
      </c>
      <c r="G1928" s="2" t="s">
        <v>20</v>
      </c>
      <c r="H1928" s="2" t="s">
        <v>38</v>
      </c>
      <c r="I1928" s="2" t="s">
        <v>31</v>
      </c>
      <c r="J1928" s="15">
        <v>420000</v>
      </c>
      <c r="K1928" s="2">
        <v>10</v>
      </c>
      <c r="L1928" s="2" t="s">
        <v>39</v>
      </c>
      <c r="M1928" s="12">
        <f t="shared" si="63"/>
        <v>336000</v>
      </c>
      <c r="N1928" s="10">
        <f>PRODUCT(Table_13[[#This Row],[Unit Price]],Table_13[[#This Row],[Quantity]])</f>
        <v>4200000</v>
      </c>
      <c r="O1928" s="16">
        <f>PRODUCT(Table_13[[#This Row],[Cost Price]],Table_13[[#This Row],[Quantity]])</f>
        <v>3360000</v>
      </c>
      <c r="P1928" s="27">
        <f t="shared" si="69"/>
        <v>840000</v>
      </c>
    </row>
    <row r="1929" spans="1:16" x14ac:dyDescent="0.2">
      <c r="A1929" s="33">
        <v>47603</v>
      </c>
      <c r="B1929" s="30">
        <f t="shared" si="68"/>
        <v>4</v>
      </c>
      <c r="C1929" s="30" t="str">
        <f>_xlfn.IFS(Table_13[[#This Row],[Month]]=1,"JAN",Table_13[[#This Row],[Month]]=2,"FEB",B1929=3,"MAR",B1929=4,"APR",B1929=5,"MAY",B1929=6,"JUN",B1929=7,"JUL",B1929=8,"AUG",Table_13[[#This Row],[Month]]=9,"SEPT",B1929=10,"OCT",B1929=11,"NOV",B1929=12,"DEC")</f>
        <v>APR</v>
      </c>
      <c r="D1929" s="2" t="s">
        <v>29</v>
      </c>
      <c r="E1929" s="2" t="s">
        <v>19</v>
      </c>
      <c r="F1929" s="2" t="s">
        <v>13</v>
      </c>
      <c r="G1929" s="2" t="s">
        <v>20</v>
      </c>
      <c r="H1929" s="2" t="s">
        <v>21</v>
      </c>
      <c r="I1929" s="2" t="s">
        <v>22</v>
      </c>
      <c r="J1929" s="15">
        <v>30000</v>
      </c>
      <c r="K1929" s="2">
        <v>1</v>
      </c>
      <c r="L1929" s="2" t="s">
        <v>24</v>
      </c>
      <c r="M1929" s="12">
        <f t="shared" si="63"/>
        <v>24000</v>
      </c>
      <c r="N1929" s="10">
        <f>PRODUCT(Table_13[[#This Row],[Unit Price]],Table_13[[#This Row],[Quantity]])</f>
        <v>30000</v>
      </c>
      <c r="O1929" s="16">
        <f>PRODUCT(Table_13[[#This Row],[Cost Price]],Table_13[[#This Row],[Quantity]])</f>
        <v>24000</v>
      </c>
      <c r="P1929" s="27">
        <f t="shared" si="69"/>
        <v>6000</v>
      </c>
    </row>
    <row r="1930" spans="1:16" x14ac:dyDescent="0.2">
      <c r="A1930" s="33">
        <v>47604</v>
      </c>
      <c r="B1930" s="30">
        <f t="shared" si="68"/>
        <v>5</v>
      </c>
      <c r="C1930" s="30" t="str">
        <f>_xlfn.IFS(Table_13[[#This Row],[Month]]=1,"JAN",Table_13[[#This Row],[Month]]=2,"FEB",B1930=3,"MAR",B1930=4,"APR",B1930=5,"MAY",B1930=6,"JUN",B1930=7,"JUL",B1930=8,"AUG",Table_13[[#This Row],[Month]]=9,"SEPT",B1930=10,"OCT",B1930=11,"NOV",B1930=12,"DEC")</f>
        <v>MAY</v>
      </c>
      <c r="D1930" s="2" t="s">
        <v>18</v>
      </c>
      <c r="E1930" s="2" t="s">
        <v>12</v>
      </c>
      <c r="F1930" s="2" t="s">
        <v>23</v>
      </c>
      <c r="G1930" s="2" t="s">
        <v>14</v>
      </c>
      <c r="H1930" s="2" t="s">
        <v>38</v>
      </c>
      <c r="I1930" s="2" t="s">
        <v>31</v>
      </c>
      <c r="J1930" s="15">
        <v>420000</v>
      </c>
      <c r="K1930" s="2">
        <v>7</v>
      </c>
      <c r="L1930" s="2" t="s">
        <v>17</v>
      </c>
      <c r="M1930" s="12">
        <f t="shared" si="63"/>
        <v>336000</v>
      </c>
      <c r="N1930" s="10">
        <f>PRODUCT(Table_13[[#This Row],[Unit Price]],Table_13[[#This Row],[Quantity]])</f>
        <v>2940000</v>
      </c>
      <c r="O1930" s="16">
        <f>PRODUCT(Table_13[[#This Row],[Cost Price]],Table_13[[#This Row],[Quantity]])</f>
        <v>2352000</v>
      </c>
      <c r="P1930" s="27">
        <f t="shared" si="69"/>
        <v>588000</v>
      </c>
    </row>
    <row r="1931" spans="1:16" x14ac:dyDescent="0.2">
      <c r="A1931" s="33">
        <v>47605</v>
      </c>
      <c r="B1931" s="30">
        <f t="shared" si="68"/>
        <v>5</v>
      </c>
      <c r="C1931" s="30" t="str">
        <f>_xlfn.IFS(Table_13[[#This Row],[Month]]=1,"JAN",Table_13[[#This Row],[Month]]=2,"FEB",B1931=3,"MAR",B1931=4,"APR",B1931=5,"MAY",B1931=6,"JUN",B1931=7,"JUL",B1931=8,"AUG",Table_13[[#This Row],[Month]]=9,"SEPT",B1931=10,"OCT",B1931=11,"NOV",B1931=12,"DEC")</f>
        <v>MAY</v>
      </c>
      <c r="D1931" s="2" t="s">
        <v>29</v>
      </c>
      <c r="E1931" s="2" t="s">
        <v>12</v>
      </c>
      <c r="F1931" s="2" t="s">
        <v>23</v>
      </c>
      <c r="G1931" s="2" t="s">
        <v>20</v>
      </c>
      <c r="H1931" s="2" t="s">
        <v>33</v>
      </c>
      <c r="I1931" s="2" t="s">
        <v>22</v>
      </c>
      <c r="J1931" s="15">
        <v>180000</v>
      </c>
      <c r="K1931" s="2">
        <v>6</v>
      </c>
      <c r="L1931" s="2" t="s">
        <v>35</v>
      </c>
      <c r="M1931" s="12">
        <f t="shared" si="63"/>
        <v>144000</v>
      </c>
      <c r="N1931" s="10">
        <f>PRODUCT(Table_13[[#This Row],[Unit Price]],Table_13[[#This Row],[Quantity]])</f>
        <v>1080000</v>
      </c>
      <c r="O1931" s="16">
        <f>PRODUCT(Table_13[[#This Row],[Cost Price]],Table_13[[#This Row],[Quantity]])</f>
        <v>864000</v>
      </c>
      <c r="P1931" s="27">
        <f t="shared" si="69"/>
        <v>216000</v>
      </c>
    </row>
    <row r="1932" spans="1:16" x14ac:dyDescent="0.2">
      <c r="A1932" s="33">
        <v>47606</v>
      </c>
      <c r="B1932" s="30">
        <f t="shared" si="68"/>
        <v>5</v>
      </c>
      <c r="C1932" s="30" t="str">
        <f>_xlfn.IFS(Table_13[[#This Row],[Month]]=1,"JAN",Table_13[[#This Row],[Month]]=2,"FEB",B1932=3,"MAR",B1932=4,"APR",B1932=5,"MAY",B1932=6,"JUN",B1932=7,"JUL",B1932=8,"AUG",Table_13[[#This Row],[Month]]=9,"SEPT",B1932=10,"OCT",B1932=11,"NOV",B1932=12,"DEC")</f>
        <v>MAY</v>
      </c>
      <c r="D1932" s="2" t="s">
        <v>25</v>
      </c>
      <c r="E1932" s="2" t="s">
        <v>26</v>
      </c>
      <c r="F1932" s="2" t="s">
        <v>13</v>
      </c>
      <c r="G1932" s="2" t="s">
        <v>14</v>
      </c>
      <c r="H1932" s="2" t="s">
        <v>21</v>
      </c>
      <c r="I1932" s="2" t="s">
        <v>22</v>
      </c>
      <c r="J1932" s="15">
        <v>30000</v>
      </c>
      <c r="K1932" s="2">
        <v>10</v>
      </c>
      <c r="L1932" s="2" t="s">
        <v>39</v>
      </c>
      <c r="M1932" s="12">
        <f t="shared" si="63"/>
        <v>24000</v>
      </c>
      <c r="N1932" s="10">
        <f>PRODUCT(Table_13[[#This Row],[Unit Price]],Table_13[[#This Row],[Quantity]])</f>
        <v>300000</v>
      </c>
      <c r="O1932" s="16">
        <f>PRODUCT(Table_13[[#This Row],[Cost Price]],Table_13[[#This Row],[Quantity]])</f>
        <v>240000</v>
      </c>
      <c r="P1932" s="27">
        <f t="shared" si="69"/>
        <v>60000</v>
      </c>
    </row>
    <row r="1933" spans="1:16" x14ac:dyDescent="0.2">
      <c r="A1933" s="33">
        <v>47607</v>
      </c>
      <c r="B1933" s="30">
        <f t="shared" si="68"/>
        <v>5</v>
      </c>
      <c r="C1933" s="30" t="str">
        <f>_xlfn.IFS(Table_13[[#This Row],[Month]]=1,"JAN",Table_13[[#This Row],[Month]]=2,"FEB",B1933=3,"MAR",B1933=4,"APR",B1933=5,"MAY",B1933=6,"JUN",B1933=7,"JUL",B1933=8,"AUG",Table_13[[#This Row],[Month]]=9,"SEPT",B1933=10,"OCT",B1933=11,"NOV",B1933=12,"DEC")</f>
        <v>MAY</v>
      </c>
      <c r="D1933" s="2" t="s">
        <v>11</v>
      </c>
      <c r="E1933" s="2" t="s">
        <v>12</v>
      </c>
      <c r="F1933" s="2" t="s">
        <v>13</v>
      </c>
      <c r="G1933" s="2" t="s">
        <v>20</v>
      </c>
      <c r="H1933" s="2" t="s">
        <v>41</v>
      </c>
      <c r="I1933" s="2" t="s">
        <v>22</v>
      </c>
      <c r="J1933" s="15">
        <v>220000</v>
      </c>
      <c r="K1933" s="2">
        <v>1</v>
      </c>
      <c r="L1933" s="2" t="s">
        <v>39</v>
      </c>
      <c r="M1933" s="12">
        <f t="shared" si="63"/>
        <v>176000</v>
      </c>
      <c r="N1933" s="10">
        <f>PRODUCT(Table_13[[#This Row],[Unit Price]],Table_13[[#This Row],[Quantity]])</f>
        <v>220000</v>
      </c>
      <c r="O1933" s="16">
        <f>PRODUCT(Table_13[[#This Row],[Cost Price]],Table_13[[#This Row],[Quantity]])</f>
        <v>176000</v>
      </c>
      <c r="P1933" s="27">
        <f t="shared" si="69"/>
        <v>44000</v>
      </c>
    </row>
    <row r="1934" spans="1:16" x14ac:dyDescent="0.2">
      <c r="A1934" s="33">
        <v>47608</v>
      </c>
      <c r="B1934" s="30">
        <f t="shared" si="68"/>
        <v>5</v>
      </c>
      <c r="C1934" s="30" t="str">
        <f>_xlfn.IFS(Table_13[[#This Row],[Month]]=1,"JAN",Table_13[[#This Row],[Month]]=2,"FEB",B1934=3,"MAR",B1934=4,"APR",B1934=5,"MAY",B1934=6,"JUN",B1934=7,"JUL",B1934=8,"AUG",Table_13[[#This Row],[Month]]=9,"SEPT",B1934=10,"OCT",B1934=11,"NOV",B1934=12,"DEC")</f>
        <v>MAY</v>
      </c>
      <c r="D1934" s="2" t="s">
        <v>25</v>
      </c>
      <c r="E1934" s="2" t="s">
        <v>26</v>
      </c>
      <c r="F1934" s="2" t="s">
        <v>13</v>
      </c>
      <c r="G1934" s="2" t="s">
        <v>14</v>
      </c>
      <c r="H1934" s="2" t="s">
        <v>34</v>
      </c>
      <c r="I1934" s="2" t="s">
        <v>16</v>
      </c>
      <c r="J1934" s="15">
        <v>320000</v>
      </c>
      <c r="K1934" s="2">
        <v>6</v>
      </c>
      <c r="L1934" s="2" t="s">
        <v>35</v>
      </c>
      <c r="M1934" s="12">
        <f t="shared" si="63"/>
        <v>256000</v>
      </c>
      <c r="N1934" s="10">
        <f>PRODUCT(Table_13[[#This Row],[Unit Price]],Table_13[[#This Row],[Quantity]])</f>
        <v>1920000</v>
      </c>
      <c r="O1934" s="16">
        <f>PRODUCT(Table_13[[#This Row],[Cost Price]],Table_13[[#This Row],[Quantity]])</f>
        <v>1536000</v>
      </c>
      <c r="P1934" s="27">
        <f t="shared" si="69"/>
        <v>384000</v>
      </c>
    </row>
    <row r="1935" spans="1:16" x14ac:dyDescent="0.2">
      <c r="A1935" s="33">
        <v>47609</v>
      </c>
      <c r="B1935" s="30">
        <f t="shared" si="68"/>
        <v>5</v>
      </c>
      <c r="C1935" s="30" t="str">
        <f>_xlfn.IFS(Table_13[[#This Row],[Month]]=1,"JAN",Table_13[[#This Row],[Month]]=2,"FEB",B1935=3,"MAR",B1935=4,"APR",B1935=5,"MAY",B1935=6,"JUN",B1935=7,"JUL",B1935=8,"AUG",Table_13[[#This Row],[Month]]=9,"SEPT",B1935=10,"OCT",B1935=11,"NOV",B1935=12,"DEC")</f>
        <v>MAY</v>
      </c>
      <c r="D1935" s="2" t="s">
        <v>25</v>
      </c>
      <c r="E1935" s="2" t="s">
        <v>32</v>
      </c>
      <c r="F1935" s="2" t="s">
        <v>23</v>
      </c>
      <c r="G1935" s="2" t="s">
        <v>20</v>
      </c>
      <c r="H1935" s="2" t="s">
        <v>27</v>
      </c>
      <c r="I1935" s="2" t="s">
        <v>22</v>
      </c>
      <c r="J1935" s="15">
        <v>60000</v>
      </c>
      <c r="K1935" s="2">
        <v>10</v>
      </c>
      <c r="L1935" s="2" t="s">
        <v>24</v>
      </c>
      <c r="M1935" s="12">
        <f t="shared" si="63"/>
        <v>48000</v>
      </c>
      <c r="N1935" s="10">
        <f>PRODUCT(Table_13[[#This Row],[Unit Price]],Table_13[[#This Row],[Quantity]])</f>
        <v>600000</v>
      </c>
      <c r="O1935" s="16">
        <f>PRODUCT(Table_13[[#This Row],[Cost Price]],Table_13[[#This Row],[Quantity]])</f>
        <v>480000</v>
      </c>
      <c r="P1935" s="27">
        <f t="shared" si="69"/>
        <v>120000</v>
      </c>
    </row>
    <row r="1936" spans="1:16" x14ac:dyDescent="0.2">
      <c r="A1936" s="33">
        <v>47610</v>
      </c>
      <c r="B1936" s="30">
        <f t="shared" si="68"/>
        <v>5</v>
      </c>
      <c r="C1936" s="30" t="str">
        <f>_xlfn.IFS(Table_13[[#This Row],[Month]]=1,"JAN",Table_13[[#This Row],[Month]]=2,"FEB",B1936=3,"MAR",B1936=4,"APR",B1936=5,"MAY",B1936=6,"JUN",B1936=7,"JUL",B1936=8,"AUG",Table_13[[#This Row],[Month]]=9,"SEPT",B1936=10,"OCT",B1936=11,"NOV",B1936=12,"DEC")</f>
        <v>MAY</v>
      </c>
      <c r="D1936" s="2" t="s">
        <v>11</v>
      </c>
      <c r="E1936" s="2" t="s">
        <v>32</v>
      </c>
      <c r="F1936" s="2" t="s">
        <v>13</v>
      </c>
      <c r="G1936" s="2" t="s">
        <v>14</v>
      </c>
      <c r="H1936" s="2" t="s">
        <v>15</v>
      </c>
      <c r="I1936" s="2" t="s">
        <v>16</v>
      </c>
      <c r="J1936" s="15">
        <v>85000</v>
      </c>
      <c r="K1936" s="2">
        <v>7</v>
      </c>
      <c r="L1936" s="2" t="s">
        <v>39</v>
      </c>
      <c r="M1936" s="12">
        <f t="shared" si="63"/>
        <v>68000</v>
      </c>
      <c r="N1936" s="10">
        <f>PRODUCT(Table_13[[#This Row],[Unit Price]],Table_13[[#This Row],[Quantity]])</f>
        <v>595000</v>
      </c>
      <c r="O1936" s="16">
        <f>PRODUCT(Table_13[[#This Row],[Cost Price]],Table_13[[#This Row],[Quantity]])</f>
        <v>476000</v>
      </c>
      <c r="P1936" s="27">
        <f t="shared" si="69"/>
        <v>119000</v>
      </c>
    </row>
    <row r="1937" spans="1:16" x14ac:dyDescent="0.2">
      <c r="A1937" s="33">
        <v>47611</v>
      </c>
      <c r="B1937" s="30">
        <f t="shared" si="68"/>
        <v>5</v>
      </c>
      <c r="C1937" s="30" t="str">
        <f>_xlfn.IFS(Table_13[[#This Row],[Month]]=1,"JAN",Table_13[[#This Row],[Month]]=2,"FEB",B1937=3,"MAR",B1937=4,"APR",B1937=5,"MAY",B1937=6,"JUN",B1937=7,"JUL",B1937=8,"AUG",Table_13[[#This Row],[Month]]=9,"SEPT",B1937=10,"OCT",B1937=11,"NOV",B1937=12,"DEC")</f>
        <v>MAY</v>
      </c>
      <c r="D1937" s="2" t="s">
        <v>18</v>
      </c>
      <c r="E1937" s="2" t="s">
        <v>32</v>
      </c>
      <c r="F1937" s="2" t="s">
        <v>23</v>
      </c>
      <c r="G1937" s="2" t="s">
        <v>14</v>
      </c>
      <c r="H1937" s="2" t="s">
        <v>40</v>
      </c>
      <c r="I1937" s="2" t="s">
        <v>31</v>
      </c>
      <c r="J1937" s="15">
        <v>250000</v>
      </c>
      <c r="K1937" s="2">
        <v>1</v>
      </c>
      <c r="L1937" s="2" t="s">
        <v>39</v>
      </c>
      <c r="M1937" s="12">
        <f t="shared" si="63"/>
        <v>200000</v>
      </c>
      <c r="N1937" s="10">
        <f>PRODUCT(Table_13[[#This Row],[Unit Price]],Table_13[[#This Row],[Quantity]])</f>
        <v>250000</v>
      </c>
      <c r="O1937" s="16">
        <f>PRODUCT(Table_13[[#This Row],[Cost Price]],Table_13[[#This Row],[Quantity]])</f>
        <v>200000</v>
      </c>
      <c r="P1937" s="27">
        <f t="shared" si="69"/>
        <v>50000</v>
      </c>
    </row>
    <row r="1938" spans="1:16" x14ac:dyDescent="0.2">
      <c r="A1938" s="33">
        <v>47612</v>
      </c>
      <c r="B1938" s="30">
        <f t="shared" si="68"/>
        <v>5</v>
      </c>
      <c r="C1938" s="30" t="str">
        <f>_xlfn.IFS(Table_13[[#This Row],[Month]]=1,"JAN",Table_13[[#This Row],[Month]]=2,"FEB",B1938=3,"MAR",B1938=4,"APR",B1938=5,"MAY",B1938=6,"JUN",B1938=7,"JUL",B1938=8,"AUG",Table_13[[#This Row],[Month]]=9,"SEPT",B1938=10,"OCT",B1938=11,"NOV",B1938=12,"DEC")</f>
        <v>MAY</v>
      </c>
      <c r="D1938" s="2" t="s">
        <v>29</v>
      </c>
      <c r="E1938" s="2" t="s">
        <v>32</v>
      </c>
      <c r="F1938" s="2" t="s">
        <v>23</v>
      </c>
      <c r="G1938" s="2" t="s">
        <v>20</v>
      </c>
      <c r="H1938" s="2" t="s">
        <v>41</v>
      </c>
      <c r="I1938" s="2" t="s">
        <v>22</v>
      </c>
      <c r="J1938" s="15">
        <v>220000</v>
      </c>
      <c r="K1938" s="2">
        <v>8</v>
      </c>
      <c r="L1938" s="2" t="s">
        <v>24</v>
      </c>
      <c r="M1938" s="12">
        <f t="shared" si="63"/>
        <v>176000</v>
      </c>
      <c r="N1938" s="10">
        <f>PRODUCT(Table_13[[#This Row],[Unit Price]],Table_13[[#This Row],[Quantity]])</f>
        <v>1760000</v>
      </c>
      <c r="O1938" s="16">
        <f>PRODUCT(Table_13[[#This Row],[Cost Price]],Table_13[[#This Row],[Quantity]])</f>
        <v>1408000</v>
      </c>
      <c r="P1938" s="27">
        <f t="shared" si="69"/>
        <v>352000</v>
      </c>
    </row>
    <row r="1939" spans="1:16" x14ac:dyDescent="0.2">
      <c r="A1939" s="33">
        <v>47613</v>
      </c>
      <c r="B1939" s="30">
        <f t="shared" si="68"/>
        <v>5</v>
      </c>
      <c r="C1939" s="30" t="str">
        <f>_xlfn.IFS(Table_13[[#This Row],[Month]]=1,"JAN",Table_13[[#This Row],[Month]]=2,"FEB",B1939=3,"MAR",B1939=4,"APR",B1939=5,"MAY",B1939=6,"JUN",B1939=7,"JUL",B1939=8,"AUG",Table_13[[#This Row],[Month]]=9,"SEPT",B1939=10,"OCT",B1939=11,"NOV",B1939=12,"DEC")</f>
        <v>MAY</v>
      </c>
      <c r="D1939" s="2" t="s">
        <v>29</v>
      </c>
      <c r="E1939" s="2" t="s">
        <v>19</v>
      </c>
      <c r="F1939" s="2" t="s">
        <v>13</v>
      </c>
      <c r="G1939" s="2" t="s">
        <v>14</v>
      </c>
      <c r="H1939" s="2" t="s">
        <v>40</v>
      </c>
      <c r="I1939" s="2" t="s">
        <v>31</v>
      </c>
      <c r="J1939" s="15">
        <v>250000</v>
      </c>
      <c r="K1939" s="2">
        <v>6</v>
      </c>
      <c r="L1939" s="2" t="s">
        <v>35</v>
      </c>
      <c r="M1939" s="12">
        <f t="shared" si="63"/>
        <v>200000</v>
      </c>
      <c r="N1939" s="10">
        <f>PRODUCT(Table_13[[#This Row],[Unit Price]],Table_13[[#This Row],[Quantity]])</f>
        <v>1500000</v>
      </c>
      <c r="O1939" s="16">
        <f>PRODUCT(Table_13[[#This Row],[Cost Price]],Table_13[[#This Row],[Quantity]])</f>
        <v>1200000</v>
      </c>
      <c r="P1939" s="27">
        <f t="shared" si="69"/>
        <v>300000</v>
      </c>
    </row>
    <row r="1940" spans="1:16" x14ac:dyDescent="0.2">
      <c r="A1940" s="33">
        <v>47614</v>
      </c>
      <c r="B1940" s="30">
        <f t="shared" si="68"/>
        <v>5</v>
      </c>
      <c r="C1940" s="30" t="str">
        <f>_xlfn.IFS(Table_13[[#This Row],[Month]]=1,"JAN",Table_13[[#This Row],[Month]]=2,"FEB",B1940=3,"MAR",B1940=4,"APR",B1940=5,"MAY",B1940=6,"JUN",B1940=7,"JUL",B1940=8,"AUG",Table_13[[#This Row],[Month]]=9,"SEPT",B1940=10,"OCT",B1940=11,"NOV",B1940=12,"DEC")</f>
        <v>MAY</v>
      </c>
      <c r="D1940" s="2" t="s">
        <v>29</v>
      </c>
      <c r="E1940" s="2" t="s">
        <v>32</v>
      </c>
      <c r="F1940" s="2" t="s">
        <v>13</v>
      </c>
      <c r="G1940" s="2" t="s">
        <v>14</v>
      </c>
      <c r="H1940" s="2" t="s">
        <v>15</v>
      </c>
      <c r="I1940" s="2" t="s">
        <v>16</v>
      </c>
      <c r="J1940" s="15">
        <v>85000</v>
      </c>
      <c r="K1940" s="2">
        <v>7</v>
      </c>
      <c r="L1940" s="2" t="s">
        <v>35</v>
      </c>
      <c r="M1940" s="12">
        <f t="shared" si="63"/>
        <v>68000</v>
      </c>
      <c r="N1940" s="10">
        <f>PRODUCT(Table_13[[#This Row],[Unit Price]],Table_13[[#This Row],[Quantity]])</f>
        <v>595000</v>
      </c>
      <c r="O1940" s="16">
        <f>PRODUCT(Table_13[[#This Row],[Cost Price]],Table_13[[#This Row],[Quantity]])</f>
        <v>476000</v>
      </c>
      <c r="P1940" s="27">
        <f t="shared" si="69"/>
        <v>119000</v>
      </c>
    </row>
    <row r="1941" spans="1:16" x14ac:dyDescent="0.2">
      <c r="A1941" s="33">
        <v>47615</v>
      </c>
      <c r="B1941" s="30">
        <f t="shared" si="68"/>
        <v>5</v>
      </c>
      <c r="C1941" s="30" t="str">
        <f>_xlfn.IFS(Table_13[[#This Row],[Month]]=1,"JAN",Table_13[[#This Row],[Month]]=2,"FEB",B1941=3,"MAR",B1941=4,"APR",B1941=5,"MAY",B1941=6,"JUN",B1941=7,"JUL",B1941=8,"AUG",Table_13[[#This Row],[Month]]=9,"SEPT",B1941=10,"OCT",B1941=11,"NOV",B1941=12,"DEC")</f>
        <v>MAY</v>
      </c>
      <c r="D1941" s="2" t="s">
        <v>25</v>
      </c>
      <c r="E1941" s="2" t="s">
        <v>26</v>
      </c>
      <c r="F1941" s="2" t="s">
        <v>13</v>
      </c>
      <c r="G1941" s="2" t="s">
        <v>20</v>
      </c>
      <c r="H1941" s="2" t="s">
        <v>15</v>
      </c>
      <c r="I1941" s="2" t="s">
        <v>16</v>
      </c>
      <c r="J1941" s="15">
        <v>85000</v>
      </c>
      <c r="K1941" s="2">
        <v>4</v>
      </c>
      <c r="L1941" s="2" t="s">
        <v>28</v>
      </c>
      <c r="M1941" s="12">
        <f t="shared" si="63"/>
        <v>68000</v>
      </c>
      <c r="N1941" s="10">
        <f>PRODUCT(Table_13[[#This Row],[Unit Price]],Table_13[[#This Row],[Quantity]])</f>
        <v>340000</v>
      </c>
      <c r="O1941" s="16">
        <f>PRODUCT(Table_13[[#This Row],[Cost Price]],Table_13[[#This Row],[Quantity]])</f>
        <v>272000</v>
      </c>
      <c r="P1941" s="27">
        <f t="shared" si="69"/>
        <v>68000</v>
      </c>
    </row>
    <row r="1942" spans="1:16" x14ac:dyDescent="0.2">
      <c r="A1942" s="33">
        <v>47616</v>
      </c>
      <c r="B1942" s="30">
        <f t="shared" si="68"/>
        <v>5</v>
      </c>
      <c r="C1942" s="30" t="str">
        <f>_xlfn.IFS(Table_13[[#This Row],[Month]]=1,"JAN",Table_13[[#This Row],[Month]]=2,"FEB",B1942=3,"MAR",B1942=4,"APR",B1942=5,"MAY",B1942=6,"JUN",B1942=7,"JUL",B1942=8,"AUG",Table_13[[#This Row],[Month]]=9,"SEPT",B1942=10,"OCT",B1942=11,"NOV",B1942=12,"DEC")</f>
        <v>MAY</v>
      </c>
      <c r="D1942" s="2" t="s">
        <v>18</v>
      </c>
      <c r="E1942" s="2" t="s">
        <v>32</v>
      </c>
      <c r="F1942" s="2" t="s">
        <v>23</v>
      </c>
      <c r="G1942" s="2" t="s">
        <v>20</v>
      </c>
      <c r="H1942" s="2" t="s">
        <v>38</v>
      </c>
      <c r="I1942" s="2" t="s">
        <v>31</v>
      </c>
      <c r="J1942" s="15">
        <v>420000</v>
      </c>
      <c r="K1942" s="2">
        <v>6</v>
      </c>
      <c r="L1942" s="2" t="s">
        <v>17</v>
      </c>
      <c r="M1942" s="12">
        <f t="shared" si="63"/>
        <v>336000</v>
      </c>
      <c r="N1942" s="10">
        <f>PRODUCT(Table_13[[#This Row],[Unit Price]],Table_13[[#This Row],[Quantity]])</f>
        <v>2520000</v>
      </c>
      <c r="O1942" s="16">
        <f>PRODUCT(Table_13[[#This Row],[Cost Price]],Table_13[[#This Row],[Quantity]])</f>
        <v>2016000</v>
      </c>
      <c r="P1942" s="27">
        <f t="shared" si="69"/>
        <v>504000</v>
      </c>
    </row>
    <row r="1943" spans="1:16" x14ac:dyDescent="0.2">
      <c r="A1943" s="33">
        <v>47617</v>
      </c>
      <c r="B1943" s="30">
        <f t="shared" si="68"/>
        <v>5</v>
      </c>
      <c r="C1943" s="30" t="str">
        <f>_xlfn.IFS(Table_13[[#This Row],[Month]]=1,"JAN",Table_13[[#This Row],[Month]]=2,"FEB",B1943=3,"MAR",B1943=4,"APR",B1943=5,"MAY",B1943=6,"JUN",B1943=7,"JUL",B1943=8,"AUG",Table_13[[#This Row],[Month]]=9,"SEPT",B1943=10,"OCT",B1943=11,"NOV",B1943=12,"DEC")</f>
        <v>MAY</v>
      </c>
      <c r="D1943" s="2" t="s">
        <v>18</v>
      </c>
      <c r="E1943" s="2" t="s">
        <v>12</v>
      </c>
      <c r="F1943" s="2" t="s">
        <v>23</v>
      </c>
      <c r="G1943" s="2" t="s">
        <v>20</v>
      </c>
      <c r="H1943" s="2" t="s">
        <v>40</v>
      </c>
      <c r="I1943" s="2" t="s">
        <v>31</v>
      </c>
      <c r="J1943" s="15">
        <v>250000</v>
      </c>
      <c r="K1943" s="2">
        <v>4</v>
      </c>
      <c r="L1943" s="2" t="s">
        <v>28</v>
      </c>
      <c r="M1943" s="12">
        <f t="shared" si="63"/>
        <v>200000</v>
      </c>
      <c r="N1943" s="10">
        <f>PRODUCT(Table_13[[#This Row],[Unit Price]],Table_13[[#This Row],[Quantity]])</f>
        <v>1000000</v>
      </c>
      <c r="O1943" s="16">
        <f>PRODUCT(Table_13[[#This Row],[Cost Price]],Table_13[[#This Row],[Quantity]])</f>
        <v>800000</v>
      </c>
      <c r="P1943" s="27">
        <f t="shared" si="69"/>
        <v>200000</v>
      </c>
    </row>
    <row r="1944" spans="1:16" x14ac:dyDescent="0.2">
      <c r="A1944" s="33">
        <v>47618</v>
      </c>
      <c r="B1944" s="30">
        <f t="shared" si="68"/>
        <v>5</v>
      </c>
      <c r="C1944" s="30" t="str">
        <f>_xlfn.IFS(Table_13[[#This Row],[Month]]=1,"JAN",Table_13[[#This Row],[Month]]=2,"FEB",B1944=3,"MAR",B1944=4,"APR",B1944=5,"MAY",B1944=6,"JUN",B1944=7,"JUL",B1944=8,"AUG",Table_13[[#This Row],[Month]]=9,"SEPT",B1944=10,"OCT",B1944=11,"NOV",B1944=12,"DEC")</f>
        <v>MAY</v>
      </c>
      <c r="D1944" s="2" t="s">
        <v>11</v>
      </c>
      <c r="E1944" s="2" t="s">
        <v>12</v>
      </c>
      <c r="F1944" s="2" t="s">
        <v>13</v>
      </c>
      <c r="G1944" s="2" t="s">
        <v>20</v>
      </c>
      <c r="H1944" s="2" t="s">
        <v>21</v>
      </c>
      <c r="I1944" s="2" t="s">
        <v>22</v>
      </c>
      <c r="J1944" s="15">
        <v>30000</v>
      </c>
      <c r="K1944" s="2">
        <v>3</v>
      </c>
      <c r="L1944" s="2" t="s">
        <v>37</v>
      </c>
      <c r="M1944" s="12">
        <f t="shared" si="63"/>
        <v>24000</v>
      </c>
      <c r="N1944" s="10">
        <f>PRODUCT(Table_13[[#This Row],[Unit Price]],Table_13[[#This Row],[Quantity]])</f>
        <v>90000</v>
      </c>
      <c r="O1944" s="16">
        <f>PRODUCT(Table_13[[#This Row],[Cost Price]],Table_13[[#This Row],[Quantity]])</f>
        <v>72000</v>
      </c>
      <c r="P1944" s="27">
        <f t="shared" si="69"/>
        <v>18000</v>
      </c>
    </row>
    <row r="1945" spans="1:16" x14ac:dyDescent="0.2">
      <c r="A1945" s="33">
        <v>47619</v>
      </c>
      <c r="B1945" s="30">
        <f t="shared" si="68"/>
        <v>5</v>
      </c>
      <c r="C1945" s="30" t="str">
        <f>_xlfn.IFS(Table_13[[#This Row],[Month]]=1,"JAN",Table_13[[#This Row],[Month]]=2,"FEB",B1945=3,"MAR",B1945=4,"APR",B1945=5,"MAY",B1945=6,"JUN",B1945=7,"JUL",B1945=8,"AUG",Table_13[[#This Row],[Month]]=9,"SEPT",B1945=10,"OCT",B1945=11,"NOV",B1945=12,"DEC")</f>
        <v>MAY</v>
      </c>
      <c r="D1945" s="2" t="s">
        <v>29</v>
      </c>
      <c r="E1945" s="2" t="s">
        <v>32</v>
      </c>
      <c r="F1945" s="2" t="s">
        <v>23</v>
      </c>
      <c r="G1945" s="2" t="s">
        <v>14</v>
      </c>
      <c r="H1945" s="2" t="s">
        <v>34</v>
      </c>
      <c r="I1945" s="2" t="s">
        <v>16</v>
      </c>
      <c r="J1945" s="15">
        <v>320000</v>
      </c>
      <c r="K1945" s="2">
        <v>9</v>
      </c>
      <c r="L1945" s="2" t="s">
        <v>35</v>
      </c>
      <c r="M1945" s="12">
        <f t="shared" si="63"/>
        <v>256000</v>
      </c>
      <c r="N1945" s="10">
        <f>PRODUCT(Table_13[[#This Row],[Unit Price]],Table_13[[#This Row],[Quantity]])</f>
        <v>2880000</v>
      </c>
      <c r="O1945" s="16">
        <f>PRODUCT(Table_13[[#This Row],[Cost Price]],Table_13[[#This Row],[Quantity]])</f>
        <v>2304000</v>
      </c>
      <c r="P1945" s="27">
        <f t="shared" si="69"/>
        <v>576000</v>
      </c>
    </row>
    <row r="1946" spans="1:16" x14ac:dyDescent="0.2">
      <c r="A1946" s="33">
        <v>47620</v>
      </c>
      <c r="B1946" s="30">
        <f t="shared" si="68"/>
        <v>5</v>
      </c>
      <c r="C1946" s="30" t="str">
        <f>_xlfn.IFS(Table_13[[#This Row],[Month]]=1,"JAN",Table_13[[#This Row],[Month]]=2,"FEB",B1946=3,"MAR",B1946=4,"APR",B1946=5,"MAY",B1946=6,"JUN",B1946=7,"JUL",B1946=8,"AUG",Table_13[[#This Row],[Month]]=9,"SEPT",B1946=10,"OCT",B1946=11,"NOV",B1946=12,"DEC")</f>
        <v>MAY</v>
      </c>
      <c r="D1946" s="2" t="s">
        <v>29</v>
      </c>
      <c r="E1946" s="2" t="s">
        <v>12</v>
      </c>
      <c r="F1946" s="2" t="s">
        <v>13</v>
      </c>
      <c r="G1946" s="2" t="s">
        <v>20</v>
      </c>
      <c r="H1946" s="2" t="s">
        <v>41</v>
      </c>
      <c r="I1946" s="2" t="s">
        <v>22</v>
      </c>
      <c r="J1946" s="15">
        <v>220000</v>
      </c>
      <c r="K1946" s="2">
        <v>7</v>
      </c>
      <c r="L1946" s="2" t="s">
        <v>28</v>
      </c>
      <c r="M1946" s="12">
        <f t="shared" si="63"/>
        <v>176000</v>
      </c>
      <c r="N1946" s="10">
        <f>PRODUCT(Table_13[[#This Row],[Unit Price]],Table_13[[#This Row],[Quantity]])</f>
        <v>1540000</v>
      </c>
      <c r="O1946" s="16">
        <f>PRODUCT(Table_13[[#This Row],[Cost Price]],Table_13[[#This Row],[Quantity]])</f>
        <v>1232000</v>
      </c>
      <c r="P1946" s="27">
        <f t="shared" si="69"/>
        <v>308000</v>
      </c>
    </row>
    <row r="1947" spans="1:16" x14ac:dyDescent="0.2">
      <c r="A1947" s="33">
        <v>47621</v>
      </c>
      <c r="B1947" s="30">
        <f t="shared" si="68"/>
        <v>5</v>
      </c>
      <c r="C1947" s="30" t="str">
        <f>_xlfn.IFS(Table_13[[#This Row],[Month]]=1,"JAN",Table_13[[#This Row],[Month]]=2,"FEB",B1947=3,"MAR",B1947=4,"APR",B1947=5,"MAY",B1947=6,"JUN",B1947=7,"JUL",B1947=8,"AUG",Table_13[[#This Row],[Month]]=9,"SEPT",B1947=10,"OCT",B1947=11,"NOV",B1947=12,"DEC")</f>
        <v>MAY</v>
      </c>
      <c r="D1947" s="2" t="s">
        <v>25</v>
      </c>
      <c r="E1947" s="2" t="s">
        <v>19</v>
      </c>
      <c r="F1947" s="2" t="s">
        <v>23</v>
      </c>
      <c r="G1947" s="2" t="s">
        <v>14</v>
      </c>
      <c r="H1947" s="2" t="s">
        <v>36</v>
      </c>
      <c r="I1947" s="2" t="s">
        <v>31</v>
      </c>
      <c r="J1947" s="15">
        <v>150000</v>
      </c>
      <c r="K1947" s="2">
        <v>5</v>
      </c>
      <c r="L1947" s="2" t="s">
        <v>17</v>
      </c>
      <c r="M1947" s="12">
        <f t="shared" si="63"/>
        <v>120000</v>
      </c>
      <c r="N1947" s="10">
        <f>PRODUCT(Table_13[[#This Row],[Unit Price]],Table_13[[#This Row],[Quantity]])</f>
        <v>750000</v>
      </c>
      <c r="O1947" s="16">
        <f>PRODUCT(Table_13[[#This Row],[Cost Price]],Table_13[[#This Row],[Quantity]])</f>
        <v>600000</v>
      </c>
      <c r="P1947" s="27">
        <f t="shared" si="69"/>
        <v>150000</v>
      </c>
    </row>
    <row r="1948" spans="1:16" x14ac:dyDescent="0.2">
      <c r="A1948" s="33">
        <v>47622</v>
      </c>
      <c r="B1948" s="30">
        <f t="shared" si="68"/>
        <v>5</v>
      </c>
      <c r="C1948" s="30" t="str">
        <f>_xlfn.IFS(Table_13[[#This Row],[Month]]=1,"JAN",Table_13[[#This Row],[Month]]=2,"FEB",B1948=3,"MAR",B1948=4,"APR",B1948=5,"MAY",B1948=6,"JUN",B1948=7,"JUL",B1948=8,"AUG",Table_13[[#This Row],[Month]]=9,"SEPT",B1948=10,"OCT",B1948=11,"NOV",B1948=12,"DEC")</f>
        <v>MAY</v>
      </c>
      <c r="D1948" s="2" t="s">
        <v>25</v>
      </c>
      <c r="E1948" s="2" t="s">
        <v>12</v>
      </c>
      <c r="F1948" s="2" t="s">
        <v>23</v>
      </c>
      <c r="G1948" s="2" t="s">
        <v>20</v>
      </c>
      <c r="H1948" s="2" t="s">
        <v>15</v>
      </c>
      <c r="I1948" s="2" t="s">
        <v>16</v>
      </c>
      <c r="J1948" s="15">
        <v>85000</v>
      </c>
      <c r="K1948" s="2">
        <v>9</v>
      </c>
      <c r="L1948" s="2" t="s">
        <v>35</v>
      </c>
      <c r="M1948" s="12">
        <f t="shared" si="63"/>
        <v>68000</v>
      </c>
      <c r="N1948" s="10">
        <f>PRODUCT(Table_13[[#This Row],[Unit Price]],Table_13[[#This Row],[Quantity]])</f>
        <v>765000</v>
      </c>
      <c r="O1948" s="16">
        <f>PRODUCT(Table_13[[#This Row],[Cost Price]],Table_13[[#This Row],[Quantity]])</f>
        <v>612000</v>
      </c>
      <c r="P1948" s="27">
        <f t="shared" si="69"/>
        <v>153000</v>
      </c>
    </row>
    <row r="1949" spans="1:16" x14ac:dyDescent="0.2">
      <c r="A1949" s="33">
        <v>47623</v>
      </c>
      <c r="B1949" s="30">
        <f t="shared" si="68"/>
        <v>5</v>
      </c>
      <c r="C1949" s="30" t="str">
        <f>_xlfn.IFS(Table_13[[#This Row],[Month]]=1,"JAN",Table_13[[#This Row],[Month]]=2,"FEB",B1949=3,"MAR",B1949=4,"APR",B1949=5,"MAY",B1949=6,"JUN",B1949=7,"JUL",B1949=8,"AUG",Table_13[[#This Row],[Month]]=9,"SEPT",B1949=10,"OCT",B1949=11,"NOV",B1949=12,"DEC")</f>
        <v>MAY</v>
      </c>
      <c r="D1949" s="2" t="s">
        <v>29</v>
      </c>
      <c r="E1949" s="2" t="s">
        <v>32</v>
      </c>
      <c r="F1949" s="2" t="s">
        <v>23</v>
      </c>
      <c r="G1949" s="2" t="s">
        <v>14</v>
      </c>
      <c r="H1949" s="2" t="s">
        <v>40</v>
      </c>
      <c r="I1949" s="2" t="s">
        <v>31</v>
      </c>
      <c r="J1949" s="15">
        <v>250000</v>
      </c>
      <c r="K1949" s="2">
        <v>10</v>
      </c>
      <c r="L1949" s="2" t="s">
        <v>17</v>
      </c>
      <c r="M1949" s="12">
        <f t="shared" si="63"/>
        <v>200000</v>
      </c>
      <c r="N1949" s="10">
        <f>PRODUCT(Table_13[[#This Row],[Unit Price]],Table_13[[#This Row],[Quantity]])</f>
        <v>2500000</v>
      </c>
      <c r="O1949" s="16">
        <f>PRODUCT(Table_13[[#This Row],[Cost Price]],Table_13[[#This Row],[Quantity]])</f>
        <v>2000000</v>
      </c>
      <c r="P1949" s="27">
        <f t="shared" si="69"/>
        <v>500000</v>
      </c>
    </row>
    <row r="1950" spans="1:16" x14ac:dyDescent="0.2">
      <c r="A1950" s="33">
        <v>47624</v>
      </c>
      <c r="B1950" s="30">
        <f t="shared" si="68"/>
        <v>5</v>
      </c>
      <c r="C1950" s="30" t="str">
        <f>_xlfn.IFS(Table_13[[#This Row],[Month]]=1,"JAN",Table_13[[#This Row],[Month]]=2,"FEB",B1950=3,"MAR",B1950=4,"APR",B1950=5,"MAY",B1950=6,"JUN",B1950=7,"JUL",B1950=8,"AUG",Table_13[[#This Row],[Month]]=9,"SEPT",B1950=10,"OCT",B1950=11,"NOV",B1950=12,"DEC")</f>
        <v>MAY</v>
      </c>
      <c r="D1950" s="2" t="s">
        <v>18</v>
      </c>
      <c r="E1950" s="2" t="s">
        <v>12</v>
      </c>
      <c r="F1950" s="2" t="s">
        <v>23</v>
      </c>
      <c r="G1950" s="2" t="s">
        <v>14</v>
      </c>
      <c r="H1950" s="2" t="s">
        <v>15</v>
      </c>
      <c r="I1950" s="2" t="s">
        <v>16</v>
      </c>
      <c r="J1950" s="15">
        <v>85000</v>
      </c>
      <c r="K1950" s="2">
        <v>7</v>
      </c>
      <c r="L1950" s="2" t="s">
        <v>24</v>
      </c>
      <c r="M1950" s="12">
        <f t="shared" si="63"/>
        <v>68000</v>
      </c>
      <c r="N1950" s="10">
        <f>PRODUCT(Table_13[[#This Row],[Unit Price]],Table_13[[#This Row],[Quantity]])</f>
        <v>595000</v>
      </c>
      <c r="O1950" s="16">
        <f>PRODUCT(Table_13[[#This Row],[Cost Price]],Table_13[[#This Row],[Quantity]])</f>
        <v>476000</v>
      </c>
      <c r="P1950" s="27">
        <f t="shared" si="69"/>
        <v>119000</v>
      </c>
    </row>
    <row r="1951" spans="1:16" x14ac:dyDescent="0.2">
      <c r="A1951" s="33">
        <v>47625</v>
      </c>
      <c r="B1951" s="30">
        <f t="shared" si="68"/>
        <v>5</v>
      </c>
      <c r="C1951" s="30" t="str">
        <f>_xlfn.IFS(Table_13[[#This Row],[Month]]=1,"JAN",Table_13[[#This Row],[Month]]=2,"FEB",B1951=3,"MAR",B1951=4,"APR",B1951=5,"MAY",B1951=6,"JUN",B1951=7,"JUL",B1951=8,"AUG",Table_13[[#This Row],[Month]]=9,"SEPT",B1951=10,"OCT",B1951=11,"NOV",B1951=12,"DEC")</f>
        <v>MAY</v>
      </c>
      <c r="D1951" s="2" t="s">
        <v>18</v>
      </c>
      <c r="E1951" s="2" t="s">
        <v>19</v>
      </c>
      <c r="F1951" s="2" t="s">
        <v>13</v>
      </c>
      <c r="G1951" s="2" t="s">
        <v>14</v>
      </c>
      <c r="H1951" s="2" t="s">
        <v>30</v>
      </c>
      <c r="I1951" s="2" t="s">
        <v>31</v>
      </c>
      <c r="J1951" s="15">
        <v>300000</v>
      </c>
      <c r="K1951" s="2">
        <v>6</v>
      </c>
      <c r="L1951" s="2" t="s">
        <v>37</v>
      </c>
      <c r="M1951" s="12">
        <f t="shared" si="63"/>
        <v>240000</v>
      </c>
      <c r="N1951" s="10">
        <f>PRODUCT(Table_13[[#This Row],[Unit Price]],Table_13[[#This Row],[Quantity]])</f>
        <v>1800000</v>
      </c>
      <c r="O1951" s="16">
        <f>PRODUCT(Table_13[[#This Row],[Cost Price]],Table_13[[#This Row],[Quantity]])</f>
        <v>1440000</v>
      </c>
      <c r="P1951" s="27">
        <f t="shared" si="69"/>
        <v>360000</v>
      </c>
    </row>
    <row r="1952" spans="1:16" x14ac:dyDescent="0.2">
      <c r="A1952" s="33">
        <v>47626</v>
      </c>
      <c r="B1952" s="30">
        <f t="shared" si="68"/>
        <v>5</v>
      </c>
      <c r="C1952" s="30" t="str">
        <f>_xlfn.IFS(Table_13[[#This Row],[Month]]=1,"JAN",Table_13[[#This Row],[Month]]=2,"FEB",B1952=3,"MAR",B1952=4,"APR",B1952=5,"MAY",B1952=6,"JUN",B1952=7,"JUL",B1952=8,"AUG",Table_13[[#This Row],[Month]]=9,"SEPT",B1952=10,"OCT",B1952=11,"NOV",B1952=12,"DEC")</f>
        <v>MAY</v>
      </c>
      <c r="D1952" s="2" t="s">
        <v>11</v>
      </c>
      <c r="E1952" s="2" t="s">
        <v>12</v>
      </c>
      <c r="F1952" s="2" t="s">
        <v>13</v>
      </c>
      <c r="G1952" s="2" t="s">
        <v>20</v>
      </c>
      <c r="H1952" s="2" t="s">
        <v>30</v>
      </c>
      <c r="I1952" s="2" t="s">
        <v>31</v>
      </c>
      <c r="J1952" s="15">
        <v>300000</v>
      </c>
      <c r="K1952" s="2">
        <v>10</v>
      </c>
      <c r="L1952" s="2" t="s">
        <v>24</v>
      </c>
      <c r="M1952" s="12">
        <f t="shared" si="63"/>
        <v>240000</v>
      </c>
      <c r="N1952" s="10">
        <f>PRODUCT(Table_13[[#This Row],[Unit Price]],Table_13[[#This Row],[Quantity]])</f>
        <v>3000000</v>
      </c>
      <c r="O1952" s="16">
        <f>PRODUCT(Table_13[[#This Row],[Cost Price]],Table_13[[#This Row],[Quantity]])</f>
        <v>2400000</v>
      </c>
      <c r="P1952" s="27">
        <f t="shared" si="69"/>
        <v>600000</v>
      </c>
    </row>
    <row r="1953" spans="1:16" x14ac:dyDescent="0.2">
      <c r="A1953" s="33">
        <v>47627</v>
      </c>
      <c r="B1953" s="30">
        <f t="shared" si="68"/>
        <v>5</v>
      </c>
      <c r="C1953" s="30" t="str">
        <f>_xlfn.IFS(Table_13[[#This Row],[Month]]=1,"JAN",Table_13[[#This Row],[Month]]=2,"FEB",B1953=3,"MAR",B1953=4,"APR",B1953=5,"MAY",B1953=6,"JUN",B1953=7,"JUL",B1953=8,"AUG",Table_13[[#This Row],[Month]]=9,"SEPT",B1953=10,"OCT",B1953=11,"NOV",B1953=12,"DEC")</f>
        <v>MAY</v>
      </c>
      <c r="D1953" s="2" t="s">
        <v>18</v>
      </c>
      <c r="E1953" s="2" t="s">
        <v>19</v>
      </c>
      <c r="F1953" s="2" t="s">
        <v>23</v>
      </c>
      <c r="G1953" s="2" t="s">
        <v>14</v>
      </c>
      <c r="H1953" s="2" t="s">
        <v>33</v>
      </c>
      <c r="I1953" s="2" t="s">
        <v>22</v>
      </c>
      <c r="J1953" s="15">
        <v>180000</v>
      </c>
      <c r="K1953" s="2">
        <v>1</v>
      </c>
      <c r="L1953" s="2" t="s">
        <v>28</v>
      </c>
      <c r="M1953" s="12">
        <f t="shared" si="63"/>
        <v>144000</v>
      </c>
      <c r="N1953" s="10">
        <f>PRODUCT(Table_13[[#This Row],[Unit Price]],Table_13[[#This Row],[Quantity]])</f>
        <v>180000</v>
      </c>
      <c r="O1953" s="16">
        <f>PRODUCT(Table_13[[#This Row],[Cost Price]],Table_13[[#This Row],[Quantity]])</f>
        <v>144000</v>
      </c>
      <c r="P1953" s="27">
        <f t="shared" si="69"/>
        <v>36000</v>
      </c>
    </row>
    <row r="1954" spans="1:16" x14ac:dyDescent="0.2">
      <c r="A1954" s="33">
        <v>47628</v>
      </c>
      <c r="B1954" s="30">
        <f t="shared" si="68"/>
        <v>5</v>
      </c>
      <c r="C1954" s="30" t="str">
        <f>_xlfn.IFS(Table_13[[#This Row],[Month]]=1,"JAN",Table_13[[#This Row],[Month]]=2,"FEB",B1954=3,"MAR",B1954=4,"APR",B1954=5,"MAY",B1954=6,"JUN",B1954=7,"JUL",B1954=8,"AUG",Table_13[[#This Row],[Month]]=9,"SEPT",B1954=10,"OCT",B1954=11,"NOV",B1954=12,"DEC")</f>
        <v>MAY</v>
      </c>
      <c r="D1954" s="2" t="s">
        <v>25</v>
      </c>
      <c r="E1954" s="2" t="s">
        <v>32</v>
      </c>
      <c r="F1954" s="2" t="s">
        <v>13</v>
      </c>
      <c r="G1954" s="2" t="s">
        <v>14</v>
      </c>
      <c r="H1954" s="2" t="s">
        <v>36</v>
      </c>
      <c r="I1954" s="2" t="s">
        <v>31</v>
      </c>
      <c r="J1954" s="15">
        <v>150000</v>
      </c>
      <c r="K1954" s="2">
        <v>7</v>
      </c>
      <c r="L1954" s="2" t="s">
        <v>37</v>
      </c>
      <c r="M1954" s="12">
        <f t="shared" si="63"/>
        <v>120000</v>
      </c>
      <c r="N1954" s="10">
        <f>PRODUCT(Table_13[[#This Row],[Unit Price]],Table_13[[#This Row],[Quantity]])</f>
        <v>1050000</v>
      </c>
      <c r="O1954" s="16">
        <f>PRODUCT(Table_13[[#This Row],[Cost Price]],Table_13[[#This Row],[Quantity]])</f>
        <v>840000</v>
      </c>
      <c r="P1954" s="27">
        <f t="shared" si="69"/>
        <v>210000</v>
      </c>
    </row>
    <row r="1955" spans="1:16" x14ac:dyDescent="0.2">
      <c r="A1955" s="33">
        <v>47629</v>
      </c>
      <c r="B1955" s="30">
        <f t="shared" si="68"/>
        <v>5</v>
      </c>
      <c r="C1955" s="30" t="str">
        <f>_xlfn.IFS(Table_13[[#This Row],[Month]]=1,"JAN",Table_13[[#This Row],[Month]]=2,"FEB",B1955=3,"MAR",B1955=4,"APR",B1955=5,"MAY",B1955=6,"JUN",B1955=7,"JUL",B1955=8,"AUG",Table_13[[#This Row],[Month]]=9,"SEPT",B1955=10,"OCT",B1955=11,"NOV",B1955=12,"DEC")</f>
        <v>MAY</v>
      </c>
      <c r="D1955" s="2" t="s">
        <v>29</v>
      </c>
      <c r="E1955" s="2" t="s">
        <v>12</v>
      </c>
      <c r="F1955" s="2" t="s">
        <v>13</v>
      </c>
      <c r="G1955" s="2" t="s">
        <v>14</v>
      </c>
      <c r="H1955" s="2" t="s">
        <v>41</v>
      </c>
      <c r="I1955" s="2" t="s">
        <v>22</v>
      </c>
      <c r="J1955" s="15">
        <v>220000</v>
      </c>
      <c r="K1955" s="2">
        <v>5</v>
      </c>
      <c r="L1955" s="2" t="s">
        <v>24</v>
      </c>
      <c r="M1955" s="12">
        <f t="shared" si="63"/>
        <v>176000</v>
      </c>
      <c r="N1955" s="10">
        <f>PRODUCT(Table_13[[#This Row],[Unit Price]],Table_13[[#This Row],[Quantity]])</f>
        <v>1100000</v>
      </c>
      <c r="O1955" s="16">
        <f>PRODUCT(Table_13[[#This Row],[Cost Price]],Table_13[[#This Row],[Quantity]])</f>
        <v>880000</v>
      </c>
      <c r="P1955" s="27">
        <f t="shared" si="69"/>
        <v>220000</v>
      </c>
    </row>
    <row r="1956" spans="1:16" x14ac:dyDescent="0.2">
      <c r="A1956" s="33">
        <v>47630</v>
      </c>
      <c r="B1956" s="30">
        <f t="shared" si="68"/>
        <v>5</v>
      </c>
      <c r="C1956" s="30" t="str">
        <f>_xlfn.IFS(Table_13[[#This Row],[Month]]=1,"JAN",Table_13[[#This Row],[Month]]=2,"FEB",B1956=3,"MAR",B1956=4,"APR",B1956=5,"MAY",B1956=6,"JUN",B1956=7,"JUL",B1956=8,"AUG",Table_13[[#This Row],[Month]]=9,"SEPT",B1956=10,"OCT",B1956=11,"NOV",B1956=12,"DEC")</f>
        <v>MAY</v>
      </c>
      <c r="D1956" s="2" t="s">
        <v>18</v>
      </c>
      <c r="E1956" s="2" t="s">
        <v>12</v>
      </c>
      <c r="F1956" s="2" t="s">
        <v>13</v>
      </c>
      <c r="G1956" s="2" t="s">
        <v>14</v>
      </c>
      <c r="H1956" s="2" t="s">
        <v>38</v>
      </c>
      <c r="I1956" s="2" t="s">
        <v>31</v>
      </c>
      <c r="J1956" s="15">
        <v>420000</v>
      </c>
      <c r="K1956" s="2">
        <v>2</v>
      </c>
      <c r="L1956" s="2" t="s">
        <v>37</v>
      </c>
      <c r="M1956" s="12">
        <f t="shared" si="63"/>
        <v>336000</v>
      </c>
      <c r="N1956" s="10">
        <f>PRODUCT(Table_13[[#This Row],[Unit Price]],Table_13[[#This Row],[Quantity]])</f>
        <v>840000</v>
      </c>
      <c r="O1956" s="16">
        <f>PRODUCT(Table_13[[#This Row],[Cost Price]],Table_13[[#This Row],[Quantity]])</f>
        <v>672000</v>
      </c>
      <c r="P1956" s="27">
        <f t="shared" si="69"/>
        <v>168000</v>
      </c>
    </row>
    <row r="1957" spans="1:16" x14ac:dyDescent="0.2">
      <c r="A1957" s="33">
        <v>47631</v>
      </c>
      <c r="B1957" s="30">
        <f t="shared" si="68"/>
        <v>5</v>
      </c>
      <c r="C1957" s="30" t="str">
        <f>_xlfn.IFS(Table_13[[#This Row],[Month]]=1,"JAN",Table_13[[#This Row],[Month]]=2,"FEB",B1957=3,"MAR",B1957=4,"APR",B1957=5,"MAY",B1957=6,"JUN",B1957=7,"JUL",B1957=8,"AUG",Table_13[[#This Row],[Month]]=9,"SEPT",B1957=10,"OCT",B1957=11,"NOV",B1957=12,"DEC")</f>
        <v>MAY</v>
      </c>
      <c r="D1957" s="2" t="s">
        <v>11</v>
      </c>
      <c r="E1957" s="2" t="s">
        <v>26</v>
      </c>
      <c r="F1957" s="2" t="s">
        <v>13</v>
      </c>
      <c r="G1957" s="2" t="s">
        <v>14</v>
      </c>
      <c r="H1957" s="2" t="s">
        <v>33</v>
      </c>
      <c r="I1957" s="2" t="s">
        <v>22</v>
      </c>
      <c r="J1957" s="15">
        <v>180000</v>
      </c>
      <c r="K1957" s="2">
        <v>9</v>
      </c>
      <c r="L1957" s="2" t="s">
        <v>35</v>
      </c>
      <c r="M1957" s="12">
        <f t="shared" si="63"/>
        <v>144000</v>
      </c>
      <c r="N1957" s="10">
        <f>PRODUCT(Table_13[[#This Row],[Unit Price]],Table_13[[#This Row],[Quantity]])</f>
        <v>1620000</v>
      </c>
      <c r="O1957" s="16">
        <f>PRODUCT(Table_13[[#This Row],[Cost Price]],Table_13[[#This Row],[Quantity]])</f>
        <v>1296000</v>
      </c>
      <c r="P1957" s="27">
        <f t="shared" si="69"/>
        <v>324000</v>
      </c>
    </row>
    <row r="1958" spans="1:16" x14ac:dyDescent="0.2">
      <c r="A1958" s="33">
        <v>47632</v>
      </c>
      <c r="B1958" s="30">
        <f t="shared" si="68"/>
        <v>5</v>
      </c>
      <c r="C1958" s="30" t="str">
        <f>_xlfn.IFS(Table_13[[#This Row],[Month]]=1,"JAN",Table_13[[#This Row],[Month]]=2,"FEB",B1958=3,"MAR",B1958=4,"APR",B1958=5,"MAY",B1958=6,"JUN",B1958=7,"JUL",B1958=8,"AUG",Table_13[[#This Row],[Month]]=9,"SEPT",B1958=10,"OCT",B1958=11,"NOV",B1958=12,"DEC")</f>
        <v>MAY</v>
      </c>
      <c r="D1958" s="2" t="s">
        <v>29</v>
      </c>
      <c r="E1958" s="2" t="s">
        <v>32</v>
      </c>
      <c r="F1958" s="2" t="s">
        <v>13</v>
      </c>
      <c r="G1958" s="2" t="s">
        <v>14</v>
      </c>
      <c r="H1958" s="2" t="s">
        <v>41</v>
      </c>
      <c r="I1958" s="2" t="s">
        <v>22</v>
      </c>
      <c r="J1958" s="15">
        <v>220000</v>
      </c>
      <c r="K1958" s="2">
        <v>5</v>
      </c>
      <c r="L1958" s="2" t="s">
        <v>35</v>
      </c>
      <c r="M1958" s="12">
        <f t="shared" si="63"/>
        <v>176000</v>
      </c>
      <c r="N1958" s="10">
        <f>PRODUCT(Table_13[[#This Row],[Unit Price]],Table_13[[#This Row],[Quantity]])</f>
        <v>1100000</v>
      </c>
      <c r="O1958" s="16">
        <f>PRODUCT(Table_13[[#This Row],[Cost Price]],Table_13[[#This Row],[Quantity]])</f>
        <v>880000</v>
      </c>
      <c r="P1958" s="27">
        <f t="shared" si="69"/>
        <v>220000</v>
      </c>
    </row>
    <row r="1959" spans="1:16" x14ac:dyDescent="0.2">
      <c r="A1959" s="33">
        <v>47633</v>
      </c>
      <c r="B1959" s="30">
        <f t="shared" si="68"/>
        <v>5</v>
      </c>
      <c r="C1959" s="30" t="str">
        <f>_xlfn.IFS(Table_13[[#This Row],[Month]]=1,"JAN",Table_13[[#This Row],[Month]]=2,"FEB",B1959=3,"MAR",B1959=4,"APR",B1959=5,"MAY",B1959=6,"JUN",B1959=7,"JUL",B1959=8,"AUG",Table_13[[#This Row],[Month]]=9,"SEPT",B1959=10,"OCT",B1959=11,"NOV",B1959=12,"DEC")</f>
        <v>MAY</v>
      </c>
      <c r="D1959" s="2" t="s">
        <v>29</v>
      </c>
      <c r="E1959" s="2" t="s">
        <v>26</v>
      </c>
      <c r="F1959" s="2" t="s">
        <v>13</v>
      </c>
      <c r="G1959" s="2" t="s">
        <v>14</v>
      </c>
      <c r="H1959" s="2" t="s">
        <v>33</v>
      </c>
      <c r="I1959" s="2" t="s">
        <v>22</v>
      </c>
      <c r="J1959" s="15">
        <v>180000</v>
      </c>
      <c r="K1959" s="2">
        <v>1</v>
      </c>
      <c r="L1959" s="2" t="s">
        <v>39</v>
      </c>
      <c r="M1959" s="12">
        <f t="shared" si="63"/>
        <v>144000</v>
      </c>
      <c r="N1959" s="10">
        <f>PRODUCT(Table_13[[#This Row],[Unit Price]],Table_13[[#This Row],[Quantity]])</f>
        <v>180000</v>
      </c>
      <c r="O1959" s="16">
        <f>PRODUCT(Table_13[[#This Row],[Cost Price]],Table_13[[#This Row],[Quantity]])</f>
        <v>144000</v>
      </c>
      <c r="P1959" s="27">
        <f t="shared" si="69"/>
        <v>36000</v>
      </c>
    </row>
    <row r="1960" spans="1:16" x14ac:dyDescent="0.2">
      <c r="A1960" s="33">
        <v>47634</v>
      </c>
      <c r="B1960" s="30">
        <f t="shared" si="68"/>
        <v>5</v>
      </c>
      <c r="C1960" s="30" t="str">
        <f>_xlfn.IFS(Table_13[[#This Row],[Month]]=1,"JAN",Table_13[[#This Row],[Month]]=2,"FEB",B1960=3,"MAR",B1960=4,"APR",B1960=5,"MAY",B1960=6,"JUN",B1960=7,"JUL",B1960=8,"AUG",Table_13[[#This Row],[Month]]=9,"SEPT",B1960=10,"OCT",B1960=11,"NOV",B1960=12,"DEC")</f>
        <v>MAY</v>
      </c>
      <c r="D1960" s="2" t="s">
        <v>18</v>
      </c>
      <c r="E1960" s="2" t="s">
        <v>26</v>
      </c>
      <c r="F1960" s="2" t="s">
        <v>23</v>
      </c>
      <c r="G1960" s="2" t="s">
        <v>20</v>
      </c>
      <c r="H1960" s="2" t="s">
        <v>27</v>
      </c>
      <c r="I1960" s="2" t="s">
        <v>22</v>
      </c>
      <c r="J1960" s="15">
        <v>60000</v>
      </c>
      <c r="K1960" s="2">
        <v>2</v>
      </c>
      <c r="L1960" s="2" t="s">
        <v>39</v>
      </c>
      <c r="M1960" s="12">
        <f t="shared" si="63"/>
        <v>48000</v>
      </c>
      <c r="N1960" s="10">
        <f>PRODUCT(Table_13[[#This Row],[Unit Price]],Table_13[[#This Row],[Quantity]])</f>
        <v>120000</v>
      </c>
      <c r="O1960" s="16">
        <f>PRODUCT(Table_13[[#This Row],[Cost Price]],Table_13[[#This Row],[Quantity]])</f>
        <v>96000</v>
      </c>
      <c r="P1960" s="27">
        <f t="shared" si="69"/>
        <v>24000</v>
      </c>
    </row>
    <row r="1961" spans="1:16" x14ac:dyDescent="0.2">
      <c r="A1961" s="33">
        <v>47635</v>
      </c>
      <c r="B1961" s="30">
        <f t="shared" si="68"/>
        <v>6</v>
      </c>
      <c r="C1961" s="30" t="str">
        <f>_xlfn.IFS(Table_13[[#This Row],[Month]]=1,"JAN",Table_13[[#This Row],[Month]]=2,"FEB",B1961=3,"MAR",B1961=4,"APR",B1961=5,"MAY",B1961=6,"JUN",B1961=7,"JUL",B1961=8,"AUG",Table_13[[#This Row],[Month]]=9,"SEPT",B1961=10,"OCT",B1961=11,"NOV",B1961=12,"DEC")</f>
        <v>JUN</v>
      </c>
      <c r="D1961" s="2" t="s">
        <v>29</v>
      </c>
      <c r="E1961" s="2" t="s">
        <v>26</v>
      </c>
      <c r="F1961" s="2" t="s">
        <v>13</v>
      </c>
      <c r="G1961" s="2" t="s">
        <v>14</v>
      </c>
      <c r="H1961" s="2" t="s">
        <v>30</v>
      </c>
      <c r="I1961" s="2" t="s">
        <v>31</v>
      </c>
      <c r="J1961" s="15">
        <v>300000</v>
      </c>
      <c r="K1961" s="2">
        <v>5</v>
      </c>
      <c r="L1961" s="2" t="s">
        <v>24</v>
      </c>
      <c r="M1961" s="12">
        <f t="shared" si="63"/>
        <v>240000</v>
      </c>
      <c r="N1961" s="10">
        <f>PRODUCT(Table_13[[#This Row],[Unit Price]],Table_13[[#This Row],[Quantity]])</f>
        <v>1500000</v>
      </c>
      <c r="O1961" s="16">
        <f>PRODUCT(Table_13[[#This Row],[Cost Price]],Table_13[[#This Row],[Quantity]])</f>
        <v>1200000</v>
      </c>
      <c r="P1961" s="27">
        <f t="shared" si="69"/>
        <v>300000</v>
      </c>
    </row>
    <row r="1962" spans="1:16" x14ac:dyDescent="0.2">
      <c r="A1962" s="33">
        <v>47636</v>
      </c>
      <c r="B1962" s="30">
        <f t="shared" si="68"/>
        <v>6</v>
      </c>
      <c r="C1962" s="30" t="str">
        <f>_xlfn.IFS(Table_13[[#This Row],[Month]]=1,"JAN",Table_13[[#This Row],[Month]]=2,"FEB",B1962=3,"MAR",B1962=4,"APR",B1962=5,"MAY",B1962=6,"JUN",B1962=7,"JUL",B1962=8,"AUG",Table_13[[#This Row],[Month]]=9,"SEPT",B1962=10,"OCT",B1962=11,"NOV",B1962=12,"DEC")</f>
        <v>JUN</v>
      </c>
      <c r="D1962" s="2" t="s">
        <v>29</v>
      </c>
      <c r="E1962" s="2" t="s">
        <v>26</v>
      </c>
      <c r="F1962" s="2" t="s">
        <v>13</v>
      </c>
      <c r="G1962" s="2" t="s">
        <v>20</v>
      </c>
      <c r="H1962" s="2" t="s">
        <v>30</v>
      </c>
      <c r="I1962" s="2" t="s">
        <v>31</v>
      </c>
      <c r="J1962" s="15">
        <v>300000</v>
      </c>
      <c r="K1962" s="2">
        <v>9</v>
      </c>
      <c r="L1962" s="2" t="s">
        <v>37</v>
      </c>
      <c r="M1962" s="12">
        <f t="shared" si="63"/>
        <v>240000</v>
      </c>
      <c r="N1962" s="10">
        <f>PRODUCT(Table_13[[#This Row],[Unit Price]],Table_13[[#This Row],[Quantity]])</f>
        <v>2700000</v>
      </c>
      <c r="O1962" s="16">
        <f>PRODUCT(Table_13[[#This Row],[Cost Price]],Table_13[[#This Row],[Quantity]])</f>
        <v>2160000</v>
      </c>
      <c r="P1962" s="27">
        <f t="shared" si="69"/>
        <v>540000</v>
      </c>
    </row>
    <row r="1963" spans="1:16" x14ac:dyDescent="0.2">
      <c r="A1963" s="33">
        <v>47637</v>
      </c>
      <c r="B1963" s="30">
        <f t="shared" si="68"/>
        <v>6</v>
      </c>
      <c r="C1963" s="30" t="str">
        <f>_xlfn.IFS(Table_13[[#This Row],[Month]]=1,"JAN",Table_13[[#This Row],[Month]]=2,"FEB",B1963=3,"MAR",B1963=4,"APR",B1963=5,"MAY",B1963=6,"JUN",B1963=7,"JUL",B1963=8,"AUG",Table_13[[#This Row],[Month]]=9,"SEPT",B1963=10,"OCT",B1963=11,"NOV",B1963=12,"DEC")</f>
        <v>JUN</v>
      </c>
      <c r="D1963" s="2" t="s">
        <v>25</v>
      </c>
      <c r="E1963" s="2" t="s">
        <v>32</v>
      </c>
      <c r="F1963" s="2" t="s">
        <v>13</v>
      </c>
      <c r="G1963" s="2" t="s">
        <v>14</v>
      </c>
      <c r="H1963" s="2" t="s">
        <v>41</v>
      </c>
      <c r="I1963" s="2" t="s">
        <v>22</v>
      </c>
      <c r="J1963" s="15">
        <v>220000</v>
      </c>
      <c r="K1963" s="2">
        <v>1</v>
      </c>
      <c r="L1963" s="2" t="s">
        <v>37</v>
      </c>
      <c r="M1963" s="12">
        <f t="shared" si="63"/>
        <v>176000</v>
      </c>
      <c r="N1963" s="10">
        <f>PRODUCT(Table_13[[#This Row],[Unit Price]],Table_13[[#This Row],[Quantity]])</f>
        <v>220000</v>
      </c>
      <c r="O1963" s="16">
        <f>PRODUCT(Table_13[[#This Row],[Cost Price]],Table_13[[#This Row],[Quantity]])</f>
        <v>176000</v>
      </c>
      <c r="P1963" s="27">
        <f t="shared" si="69"/>
        <v>44000</v>
      </c>
    </row>
    <row r="1964" spans="1:16" x14ac:dyDescent="0.2">
      <c r="A1964" s="33">
        <v>47638</v>
      </c>
      <c r="B1964" s="30">
        <f t="shared" si="68"/>
        <v>6</v>
      </c>
      <c r="C1964" s="30" t="str">
        <f>_xlfn.IFS(Table_13[[#This Row],[Month]]=1,"JAN",Table_13[[#This Row],[Month]]=2,"FEB",B1964=3,"MAR",B1964=4,"APR",B1964=5,"MAY",B1964=6,"JUN",B1964=7,"JUL",B1964=8,"AUG",Table_13[[#This Row],[Month]]=9,"SEPT",B1964=10,"OCT",B1964=11,"NOV",B1964=12,"DEC")</f>
        <v>JUN</v>
      </c>
      <c r="D1964" s="2" t="s">
        <v>11</v>
      </c>
      <c r="E1964" s="2" t="s">
        <v>32</v>
      </c>
      <c r="F1964" s="2" t="s">
        <v>23</v>
      </c>
      <c r="G1964" s="2" t="s">
        <v>20</v>
      </c>
      <c r="H1964" s="2" t="s">
        <v>21</v>
      </c>
      <c r="I1964" s="2" t="s">
        <v>22</v>
      </c>
      <c r="J1964" s="15">
        <v>30000</v>
      </c>
      <c r="K1964" s="2">
        <v>5</v>
      </c>
      <c r="L1964" s="2" t="s">
        <v>37</v>
      </c>
      <c r="M1964" s="12">
        <f t="shared" si="63"/>
        <v>24000</v>
      </c>
      <c r="N1964" s="10">
        <f>PRODUCT(Table_13[[#This Row],[Unit Price]],Table_13[[#This Row],[Quantity]])</f>
        <v>150000</v>
      </c>
      <c r="O1964" s="16">
        <f>PRODUCT(Table_13[[#This Row],[Cost Price]],Table_13[[#This Row],[Quantity]])</f>
        <v>120000</v>
      </c>
      <c r="P1964" s="27">
        <f t="shared" si="69"/>
        <v>30000</v>
      </c>
    </row>
    <row r="1965" spans="1:16" x14ac:dyDescent="0.2">
      <c r="A1965" s="33">
        <v>47639</v>
      </c>
      <c r="B1965" s="30">
        <f t="shared" si="68"/>
        <v>6</v>
      </c>
      <c r="C1965" s="30" t="str">
        <f>_xlfn.IFS(Table_13[[#This Row],[Month]]=1,"JAN",Table_13[[#This Row],[Month]]=2,"FEB",B1965=3,"MAR",B1965=4,"APR",B1965=5,"MAY",B1965=6,"JUN",B1965=7,"JUL",B1965=8,"AUG",Table_13[[#This Row],[Month]]=9,"SEPT",B1965=10,"OCT",B1965=11,"NOV",B1965=12,"DEC")</f>
        <v>JUN</v>
      </c>
      <c r="D1965" s="2" t="s">
        <v>25</v>
      </c>
      <c r="E1965" s="2" t="s">
        <v>12</v>
      </c>
      <c r="F1965" s="2" t="s">
        <v>23</v>
      </c>
      <c r="G1965" s="2" t="s">
        <v>14</v>
      </c>
      <c r="H1965" s="2" t="s">
        <v>33</v>
      </c>
      <c r="I1965" s="2" t="s">
        <v>22</v>
      </c>
      <c r="J1965" s="15">
        <v>180000</v>
      </c>
      <c r="K1965" s="2">
        <v>1</v>
      </c>
      <c r="L1965" s="2" t="s">
        <v>17</v>
      </c>
      <c r="M1965" s="12">
        <f t="shared" si="63"/>
        <v>144000</v>
      </c>
      <c r="N1965" s="10">
        <f>PRODUCT(Table_13[[#This Row],[Unit Price]],Table_13[[#This Row],[Quantity]])</f>
        <v>180000</v>
      </c>
      <c r="O1965" s="16">
        <f>PRODUCT(Table_13[[#This Row],[Cost Price]],Table_13[[#This Row],[Quantity]])</f>
        <v>144000</v>
      </c>
      <c r="P1965" s="27">
        <f t="shared" si="69"/>
        <v>36000</v>
      </c>
    </row>
    <row r="1966" spans="1:16" x14ac:dyDescent="0.2">
      <c r="A1966" s="33">
        <v>47640</v>
      </c>
      <c r="B1966" s="30">
        <f t="shared" si="68"/>
        <v>6</v>
      </c>
      <c r="C1966" s="30" t="str">
        <f>_xlfn.IFS(Table_13[[#This Row],[Month]]=1,"JAN",Table_13[[#This Row],[Month]]=2,"FEB",B1966=3,"MAR",B1966=4,"APR",B1966=5,"MAY",B1966=6,"JUN",B1966=7,"JUL",B1966=8,"AUG",Table_13[[#This Row],[Month]]=9,"SEPT",B1966=10,"OCT",B1966=11,"NOV",B1966=12,"DEC")</f>
        <v>JUN</v>
      </c>
      <c r="D1966" s="2" t="s">
        <v>29</v>
      </c>
      <c r="E1966" s="2" t="s">
        <v>26</v>
      </c>
      <c r="F1966" s="2" t="s">
        <v>13</v>
      </c>
      <c r="G1966" s="2" t="s">
        <v>14</v>
      </c>
      <c r="H1966" s="2" t="s">
        <v>30</v>
      </c>
      <c r="I1966" s="2" t="s">
        <v>31</v>
      </c>
      <c r="J1966" s="15">
        <v>300000</v>
      </c>
      <c r="K1966" s="2">
        <v>6</v>
      </c>
      <c r="L1966" s="2" t="s">
        <v>37</v>
      </c>
      <c r="M1966" s="12">
        <f t="shared" si="63"/>
        <v>240000</v>
      </c>
      <c r="N1966" s="10">
        <f>PRODUCT(Table_13[[#This Row],[Unit Price]],Table_13[[#This Row],[Quantity]])</f>
        <v>1800000</v>
      </c>
      <c r="O1966" s="16">
        <f>PRODUCT(Table_13[[#This Row],[Cost Price]],Table_13[[#This Row],[Quantity]])</f>
        <v>1440000</v>
      </c>
      <c r="P1966" s="27">
        <f t="shared" si="69"/>
        <v>360000</v>
      </c>
    </row>
    <row r="1967" spans="1:16" x14ac:dyDescent="0.2">
      <c r="A1967" s="33">
        <v>47641</v>
      </c>
      <c r="B1967" s="30">
        <f t="shared" si="68"/>
        <v>6</v>
      </c>
      <c r="C1967" s="30" t="str">
        <f>_xlfn.IFS(Table_13[[#This Row],[Month]]=1,"JAN",Table_13[[#This Row],[Month]]=2,"FEB",B1967=3,"MAR",B1967=4,"APR",B1967=5,"MAY",B1967=6,"JUN",B1967=7,"JUL",B1967=8,"AUG",Table_13[[#This Row],[Month]]=9,"SEPT",B1967=10,"OCT",B1967=11,"NOV",B1967=12,"DEC")</f>
        <v>JUN</v>
      </c>
      <c r="D1967" s="2" t="s">
        <v>11</v>
      </c>
      <c r="E1967" s="2" t="s">
        <v>26</v>
      </c>
      <c r="F1967" s="2" t="s">
        <v>13</v>
      </c>
      <c r="G1967" s="2" t="s">
        <v>20</v>
      </c>
      <c r="H1967" s="2" t="s">
        <v>41</v>
      </c>
      <c r="I1967" s="2" t="s">
        <v>22</v>
      </c>
      <c r="J1967" s="15">
        <v>220000</v>
      </c>
      <c r="K1967" s="2">
        <v>3</v>
      </c>
      <c r="L1967" s="2" t="s">
        <v>39</v>
      </c>
      <c r="M1967" s="12">
        <f t="shared" si="63"/>
        <v>176000</v>
      </c>
      <c r="N1967" s="10">
        <f>PRODUCT(Table_13[[#This Row],[Unit Price]],Table_13[[#This Row],[Quantity]])</f>
        <v>660000</v>
      </c>
      <c r="O1967" s="16">
        <f>PRODUCT(Table_13[[#This Row],[Cost Price]],Table_13[[#This Row],[Quantity]])</f>
        <v>528000</v>
      </c>
      <c r="P1967" s="27">
        <f t="shared" si="69"/>
        <v>132000</v>
      </c>
    </row>
    <row r="1968" spans="1:16" x14ac:dyDescent="0.2">
      <c r="A1968" s="33">
        <v>47642</v>
      </c>
      <c r="B1968" s="30">
        <f t="shared" si="68"/>
        <v>6</v>
      </c>
      <c r="C1968" s="30" t="str">
        <f>_xlfn.IFS(Table_13[[#This Row],[Month]]=1,"JAN",Table_13[[#This Row],[Month]]=2,"FEB",B1968=3,"MAR",B1968=4,"APR",B1968=5,"MAY",B1968=6,"JUN",B1968=7,"JUL",B1968=8,"AUG",Table_13[[#This Row],[Month]]=9,"SEPT",B1968=10,"OCT",B1968=11,"NOV",B1968=12,"DEC")</f>
        <v>JUN</v>
      </c>
      <c r="D1968" s="2" t="s">
        <v>29</v>
      </c>
      <c r="E1968" s="2" t="s">
        <v>12</v>
      </c>
      <c r="F1968" s="2" t="s">
        <v>13</v>
      </c>
      <c r="G1968" s="2" t="s">
        <v>20</v>
      </c>
      <c r="H1968" s="2" t="s">
        <v>34</v>
      </c>
      <c r="I1968" s="2" t="s">
        <v>16</v>
      </c>
      <c r="J1968" s="15">
        <v>320000</v>
      </c>
      <c r="K1968" s="2">
        <v>5</v>
      </c>
      <c r="L1968" s="2" t="s">
        <v>35</v>
      </c>
      <c r="M1968" s="12">
        <f t="shared" si="63"/>
        <v>256000</v>
      </c>
      <c r="N1968" s="10">
        <f>PRODUCT(Table_13[[#This Row],[Unit Price]],Table_13[[#This Row],[Quantity]])</f>
        <v>1600000</v>
      </c>
      <c r="O1968" s="16">
        <f>PRODUCT(Table_13[[#This Row],[Cost Price]],Table_13[[#This Row],[Quantity]])</f>
        <v>1280000</v>
      </c>
      <c r="P1968" s="27">
        <f t="shared" si="69"/>
        <v>320000</v>
      </c>
    </row>
    <row r="1969" spans="1:16" x14ac:dyDescent="0.2">
      <c r="A1969" s="33">
        <v>47643</v>
      </c>
      <c r="B1969" s="30">
        <f t="shared" si="68"/>
        <v>6</v>
      </c>
      <c r="C1969" s="30" t="str">
        <f>_xlfn.IFS(Table_13[[#This Row],[Month]]=1,"JAN",Table_13[[#This Row],[Month]]=2,"FEB",B1969=3,"MAR",B1969=4,"APR",B1969=5,"MAY",B1969=6,"JUN",B1969=7,"JUL",B1969=8,"AUG",Table_13[[#This Row],[Month]]=9,"SEPT",B1969=10,"OCT",B1969=11,"NOV",B1969=12,"DEC")</f>
        <v>JUN</v>
      </c>
      <c r="D1969" s="2" t="s">
        <v>25</v>
      </c>
      <c r="E1969" s="2" t="s">
        <v>26</v>
      </c>
      <c r="F1969" s="2" t="s">
        <v>13</v>
      </c>
      <c r="G1969" s="2" t="s">
        <v>14</v>
      </c>
      <c r="H1969" s="2" t="s">
        <v>36</v>
      </c>
      <c r="I1969" s="2" t="s">
        <v>31</v>
      </c>
      <c r="J1969" s="15">
        <v>150000</v>
      </c>
      <c r="K1969" s="2">
        <v>2</v>
      </c>
      <c r="L1969" s="2" t="s">
        <v>35</v>
      </c>
      <c r="M1969" s="12">
        <f t="shared" si="63"/>
        <v>120000</v>
      </c>
      <c r="N1969" s="10">
        <f>PRODUCT(Table_13[[#This Row],[Unit Price]],Table_13[[#This Row],[Quantity]])</f>
        <v>300000</v>
      </c>
      <c r="O1969" s="16">
        <f>PRODUCT(Table_13[[#This Row],[Cost Price]],Table_13[[#This Row],[Quantity]])</f>
        <v>240000</v>
      </c>
      <c r="P1969" s="27">
        <f t="shared" si="69"/>
        <v>60000</v>
      </c>
    </row>
    <row r="1970" spans="1:16" x14ac:dyDescent="0.2">
      <c r="A1970" s="33">
        <v>47644</v>
      </c>
      <c r="B1970" s="30">
        <f t="shared" si="68"/>
        <v>6</v>
      </c>
      <c r="C1970" s="30" t="str">
        <f>_xlfn.IFS(Table_13[[#This Row],[Month]]=1,"JAN",Table_13[[#This Row],[Month]]=2,"FEB",B1970=3,"MAR",B1970=4,"APR",B1970=5,"MAY",B1970=6,"JUN",B1970=7,"JUL",B1970=8,"AUG",Table_13[[#This Row],[Month]]=9,"SEPT",B1970=10,"OCT",B1970=11,"NOV",B1970=12,"DEC")</f>
        <v>JUN</v>
      </c>
      <c r="D1970" s="2" t="s">
        <v>11</v>
      </c>
      <c r="E1970" s="2" t="s">
        <v>12</v>
      </c>
      <c r="F1970" s="2" t="s">
        <v>13</v>
      </c>
      <c r="G1970" s="2" t="s">
        <v>14</v>
      </c>
      <c r="H1970" s="2" t="s">
        <v>33</v>
      </c>
      <c r="I1970" s="2" t="s">
        <v>22</v>
      </c>
      <c r="J1970" s="15">
        <v>180000</v>
      </c>
      <c r="K1970" s="2">
        <v>1</v>
      </c>
      <c r="L1970" s="2" t="s">
        <v>24</v>
      </c>
      <c r="M1970" s="12">
        <f t="shared" si="63"/>
        <v>144000</v>
      </c>
      <c r="N1970" s="10">
        <f>PRODUCT(Table_13[[#This Row],[Unit Price]],Table_13[[#This Row],[Quantity]])</f>
        <v>180000</v>
      </c>
      <c r="O1970" s="16">
        <f>PRODUCT(Table_13[[#This Row],[Cost Price]],Table_13[[#This Row],[Quantity]])</f>
        <v>144000</v>
      </c>
      <c r="P1970" s="27">
        <f t="shared" si="69"/>
        <v>36000</v>
      </c>
    </row>
    <row r="1971" spans="1:16" x14ac:dyDescent="0.2">
      <c r="A1971" s="33">
        <v>47645</v>
      </c>
      <c r="B1971" s="30">
        <f t="shared" si="68"/>
        <v>6</v>
      </c>
      <c r="C1971" s="30" t="str">
        <f>_xlfn.IFS(Table_13[[#This Row],[Month]]=1,"JAN",Table_13[[#This Row],[Month]]=2,"FEB",B1971=3,"MAR",B1971=4,"APR",B1971=5,"MAY",B1971=6,"JUN",B1971=7,"JUL",B1971=8,"AUG",Table_13[[#This Row],[Month]]=9,"SEPT",B1971=10,"OCT",B1971=11,"NOV",B1971=12,"DEC")</f>
        <v>JUN</v>
      </c>
      <c r="D1971" s="2" t="s">
        <v>11</v>
      </c>
      <c r="E1971" s="2" t="s">
        <v>19</v>
      </c>
      <c r="F1971" s="2" t="s">
        <v>23</v>
      </c>
      <c r="G1971" s="2" t="s">
        <v>20</v>
      </c>
      <c r="H1971" s="2" t="s">
        <v>21</v>
      </c>
      <c r="I1971" s="2" t="s">
        <v>22</v>
      </c>
      <c r="J1971" s="15">
        <v>30000</v>
      </c>
      <c r="K1971" s="2">
        <v>10</v>
      </c>
      <c r="L1971" s="2" t="s">
        <v>37</v>
      </c>
      <c r="M1971" s="12">
        <f t="shared" si="63"/>
        <v>24000</v>
      </c>
      <c r="N1971" s="10">
        <f>PRODUCT(Table_13[[#This Row],[Unit Price]],Table_13[[#This Row],[Quantity]])</f>
        <v>300000</v>
      </c>
      <c r="O1971" s="16">
        <f>PRODUCT(Table_13[[#This Row],[Cost Price]],Table_13[[#This Row],[Quantity]])</f>
        <v>240000</v>
      </c>
      <c r="P1971" s="27">
        <f t="shared" si="69"/>
        <v>60000</v>
      </c>
    </row>
    <row r="1972" spans="1:16" x14ac:dyDescent="0.2">
      <c r="A1972" s="33">
        <v>47646</v>
      </c>
      <c r="B1972" s="30">
        <f t="shared" si="68"/>
        <v>6</v>
      </c>
      <c r="C1972" s="30" t="str">
        <f>_xlfn.IFS(Table_13[[#This Row],[Month]]=1,"JAN",Table_13[[#This Row],[Month]]=2,"FEB",B1972=3,"MAR",B1972=4,"APR",B1972=5,"MAY",B1972=6,"JUN",B1972=7,"JUL",B1972=8,"AUG",Table_13[[#This Row],[Month]]=9,"SEPT",B1972=10,"OCT",B1972=11,"NOV",B1972=12,"DEC")</f>
        <v>JUN</v>
      </c>
      <c r="D1972" s="2" t="s">
        <v>29</v>
      </c>
      <c r="E1972" s="2" t="s">
        <v>19</v>
      </c>
      <c r="F1972" s="2" t="s">
        <v>13</v>
      </c>
      <c r="G1972" s="2" t="s">
        <v>20</v>
      </c>
      <c r="H1972" s="2" t="s">
        <v>36</v>
      </c>
      <c r="I1972" s="2" t="s">
        <v>31</v>
      </c>
      <c r="J1972" s="15">
        <v>150000</v>
      </c>
      <c r="K1972" s="2">
        <v>4</v>
      </c>
      <c r="L1972" s="2" t="s">
        <v>24</v>
      </c>
      <c r="M1972" s="12">
        <f t="shared" si="63"/>
        <v>120000</v>
      </c>
      <c r="N1972" s="10">
        <f>PRODUCT(Table_13[[#This Row],[Unit Price]],Table_13[[#This Row],[Quantity]])</f>
        <v>600000</v>
      </c>
      <c r="O1972" s="16">
        <f>PRODUCT(Table_13[[#This Row],[Cost Price]],Table_13[[#This Row],[Quantity]])</f>
        <v>480000</v>
      </c>
      <c r="P1972" s="27">
        <f t="shared" si="69"/>
        <v>120000</v>
      </c>
    </row>
    <row r="1973" spans="1:16" x14ac:dyDescent="0.2">
      <c r="A1973" s="33">
        <v>47647</v>
      </c>
      <c r="B1973" s="30">
        <f t="shared" si="68"/>
        <v>6</v>
      </c>
      <c r="C1973" s="30" t="str">
        <f>_xlfn.IFS(Table_13[[#This Row],[Month]]=1,"JAN",Table_13[[#This Row],[Month]]=2,"FEB",B1973=3,"MAR",B1973=4,"APR",B1973=5,"MAY",B1973=6,"JUN",B1973=7,"JUL",B1973=8,"AUG",Table_13[[#This Row],[Month]]=9,"SEPT",B1973=10,"OCT",B1973=11,"NOV",B1973=12,"DEC")</f>
        <v>JUN</v>
      </c>
      <c r="D1973" s="2" t="s">
        <v>29</v>
      </c>
      <c r="E1973" s="2" t="s">
        <v>26</v>
      </c>
      <c r="F1973" s="2" t="s">
        <v>13</v>
      </c>
      <c r="G1973" s="2" t="s">
        <v>14</v>
      </c>
      <c r="H1973" s="2" t="s">
        <v>21</v>
      </c>
      <c r="I1973" s="2" t="s">
        <v>22</v>
      </c>
      <c r="J1973" s="15">
        <v>30000</v>
      </c>
      <c r="K1973" s="2">
        <v>1</v>
      </c>
      <c r="L1973" s="2" t="s">
        <v>24</v>
      </c>
      <c r="M1973" s="12">
        <f t="shared" si="63"/>
        <v>24000</v>
      </c>
      <c r="N1973" s="10">
        <f>PRODUCT(Table_13[[#This Row],[Unit Price]],Table_13[[#This Row],[Quantity]])</f>
        <v>30000</v>
      </c>
      <c r="O1973" s="16">
        <f>PRODUCT(Table_13[[#This Row],[Cost Price]],Table_13[[#This Row],[Quantity]])</f>
        <v>24000</v>
      </c>
      <c r="P1973" s="27">
        <f t="shared" si="69"/>
        <v>6000</v>
      </c>
    </row>
    <row r="1974" spans="1:16" x14ac:dyDescent="0.2">
      <c r="A1974" s="33">
        <v>47648</v>
      </c>
      <c r="B1974" s="30">
        <f t="shared" si="68"/>
        <v>6</v>
      </c>
      <c r="C1974" s="30" t="str">
        <f>_xlfn.IFS(Table_13[[#This Row],[Month]]=1,"JAN",Table_13[[#This Row],[Month]]=2,"FEB",B1974=3,"MAR",B1974=4,"APR",B1974=5,"MAY",B1974=6,"JUN",B1974=7,"JUL",B1974=8,"AUG",Table_13[[#This Row],[Month]]=9,"SEPT",B1974=10,"OCT",B1974=11,"NOV",B1974=12,"DEC")</f>
        <v>JUN</v>
      </c>
      <c r="D1974" s="2" t="s">
        <v>29</v>
      </c>
      <c r="E1974" s="2" t="s">
        <v>19</v>
      </c>
      <c r="F1974" s="2" t="s">
        <v>13</v>
      </c>
      <c r="G1974" s="2" t="s">
        <v>14</v>
      </c>
      <c r="H1974" s="2" t="s">
        <v>21</v>
      </c>
      <c r="I1974" s="2" t="s">
        <v>22</v>
      </c>
      <c r="J1974" s="15">
        <v>30000</v>
      </c>
      <c r="K1974" s="2">
        <v>6</v>
      </c>
      <c r="L1974" s="2" t="s">
        <v>35</v>
      </c>
      <c r="M1974" s="12">
        <f t="shared" si="63"/>
        <v>24000</v>
      </c>
      <c r="N1974" s="10">
        <f>PRODUCT(Table_13[[#This Row],[Unit Price]],Table_13[[#This Row],[Quantity]])</f>
        <v>180000</v>
      </c>
      <c r="O1974" s="16">
        <f>PRODUCT(Table_13[[#This Row],[Cost Price]],Table_13[[#This Row],[Quantity]])</f>
        <v>144000</v>
      </c>
      <c r="P1974" s="27">
        <f t="shared" si="69"/>
        <v>36000</v>
      </c>
    </row>
    <row r="1975" spans="1:16" x14ac:dyDescent="0.2">
      <c r="A1975" s="33">
        <v>47649</v>
      </c>
      <c r="B1975" s="30">
        <f t="shared" si="68"/>
        <v>6</v>
      </c>
      <c r="C1975" s="30" t="str">
        <f>_xlfn.IFS(Table_13[[#This Row],[Month]]=1,"JAN",Table_13[[#This Row],[Month]]=2,"FEB",B1975=3,"MAR",B1975=4,"APR",B1975=5,"MAY",B1975=6,"JUN",B1975=7,"JUL",B1975=8,"AUG",Table_13[[#This Row],[Month]]=9,"SEPT",B1975=10,"OCT",B1975=11,"NOV",B1975=12,"DEC")</f>
        <v>JUN</v>
      </c>
      <c r="D1975" s="2" t="s">
        <v>25</v>
      </c>
      <c r="E1975" s="2" t="s">
        <v>12</v>
      </c>
      <c r="F1975" s="2" t="s">
        <v>23</v>
      </c>
      <c r="G1975" s="2" t="s">
        <v>14</v>
      </c>
      <c r="H1975" s="2" t="s">
        <v>33</v>
      </c>
      <c r="I1975" s="2" t="s">
        <v>22</v>
      </c>
      <c r="J1975" s="15">
        <v>180000</v>
      </c>
      <c r="K1975" s="2">
        <v>7</v>
      </c>
      <c r="L1975" s="2" t="s">
        <v>17</v>
      </c>
      <c r="M1975" s="12">
        <f t="shared" si="63"/>
        <v>144000</v>
      </c>
      <c r="N1975" s="10">
        <f>PRODUCT(Table_13[[#This Row],[Unit Price]],Table_13[[#This Row],[Quantity]])</f>
        <v>1260000</v>
      </c>
      <c r="O1975" s="16">
        <f>PRODUCT(Table_13[[#This Row],[Cost Price]],Table_13[[#This Row],[Quantity]])</f>
        <v>1008000</v>
      </c>
      <c r="P1975" s="27">
        <f t="shared" si="69"/>
        <v>252000</v>
      </c>
    </row>
    <row r="1976" spans="1:16" x14ac:dyDescent="0.2">
      <c r="A1976" s="33">
        <v>47650</v>
      </c>
      <c r="B1976" s="30">
        <f t="shared" si="68"/>
        <v>6</v>
      </c>
      <c r="C1976" s="30" t="str">
        <f>_xlfn.IFS(Table_13[[#This Row],[Month]]=1,"JAN",Table_13[[#This Row],[Month]]=2,"FEB",B1976=3,"MAR",B1976=4,"APR",B1976=5,"MAY",B1976=6,"JUN",B1976=7,"JUL",B1976=8,"AUG",Table_13[[#This Row],[Month]]=9,"SEPT",B1976=10,"OCT",B1976=11,"NOV",B1976=12,"DEC")</f>
        <v>JUN</v>
      </c>
      <c r="D1976" s="2" t="s">
        <v>25</v>
      </c>
      <c r="E1976" s="2" t="s">
        <v>32</v>
      </c>
      <c r="F1976" s="2" t="s">
        <v>13</v>
      </c>
      <c r="G1976" s="2" t="s">
        <v>14</v>
      </c>
      <c r="H1976" s="2" t="s">
        <v>27</v>
      </c>
      <c r="I1976" s="2" t="s">
        <v>22</v>
      </c>
      <c r="J1976" s="15">
        <v>60000</v>
      </c>
      <c r="K1976" s="2">
        <v>8</v>
      </c>
      <c r="L1976" s="2" t="s">
        <v>39</v>
      </c>
      <c r="M1976" s="12">
        <f t="shared" si="63"/>
        <v>48000</v>
      </c>
      <c r="N1976" s="10">
        <f>PRODUCT(Table_13[[#This Row],[Unit Price]],Table_13[[#This Row],[Quantity]])</f>
        <v>480000</v>
      </c>
      <c r="O1976" s="16">
        <f>PRODUCT(Table_13[[#This Row],[Cost Price]],Table_13[[#This Row],[Quantity]])</f>
        <v>384000</v>
      </c>
      <c r="P1976" s="27">
        <f t="shared" si="69"/>
        <v>96000</v>
      </c>
    </row>
    <row r="1977" spans="1:16" x14ac:dyDescent="0.2">
      <c r="A1977" s="33">
        <v>47651</v>
      </c>
      <c r="B1977" s="30">
        <f t="shared" si="68"/>
        <v>6</v>
      </c>
      <c r="C1977" s="30" t="str">
        <f>_xlfn.IFS(Table_13[[#This Row],[Month]]=1,"JAN",Table_13[[#This Row],[Month]]=2,"FEB",B1977=3,"MAR",B1977=4,"APR",B1977=5,"MAY",B1977=6,"JUN",B1977=7,"JUL",B1977=8,"AUG",Table_13[[#This Row],[Month]]=9,"SEPT",B1977=10,"OCT",B1977=11,"NOV",B1977=12,"DEC")</f>
        <v>JUN</v>
      </c>
      <c r="D1977" s="2" t="s">
        <v>25</v>
      </c>
      <c r="E1977" s="2" t="s">
        <v>19</v>
      </c>
      <c r="F1977" s="2" t="s">
        <v>13</v>
      </c>
      <c r="G1977" s="2" t="s">
        <v>14</v>
      </c>
      <c r="H1977" s="2" t="s">
        <v>27</v>
      </c>
      <c r="I1977" s="2" t="s">
        <v>22</v>
      </c>
      <c r="J1977" s="15">
        <v>60000</v>
      </c>
      <c r="K1977" s="2">
        <v>2</v>
      </c>
      <c r="L1977" s="2" t="s">
        <v>37</v>
      </c>
      <c r="M1977" s="12">
        <f t="shared" si="63"/>
        <v>48000</v>
      </c>
      <c r="N1977" s="10">
        <f>PRODUCT(Table_13[[#This Row],[Unit Price]],Table_13[[#This Row],[Quantity]])</f>
        <v>120000</v>
      </c>
      <c r="O1977" s="16">
        <f>PRODUCT(Table_13[[#This Row],[Cost Price]],Table_13[[#This Row],[Quantity]])</f>
        <v>96000</v>
      </c>
      <c r="P1977" s="27">
        <f t="shared" si="69"/>
        <v>24000</v>
      </c>
    </row>
    <row r="1978" spans="1:16" x14ac:dyDescent="0.2">
      <c r="A1978" s="33">
        <v>47652</v>
      </c>
      <c r="B1978" s="30">
        <f t="shared" si="68"/>
        <v>6</v>
      </c>
      <c r="C1978" s="30" t="str">
        <f>_xlfn.IFS(Table_13[[#This Row],[Month]]=1,"JAN",Table_13[[#This Row],[Month]]=2,"FEB",B1978=3,"MAR",B1978=4,"APR",B1978=5,"MAY",B1978=6,"JUN",B1978=7,"JUL",B1978=8,"AUG",Table_13[[#This Row],[Month]]=9,"SEPT",B1978=10,"OCT",B1978=11,"NOV",B1978=12,"DEC")</f>
        <v>JUN</v>
      </c>
      <c r="D1978" s="2" t="s">
        <v>25</v>
      </c>
      <c r="E1978" s="2" t="s">
        <v>26</v>
      </c>
      <c r="F1978" s="2" t="s">
        <v>13</v>
      </c>
      <c r="G1978" s="2" t="s">
        <v>20</v>
      </c>
      <c r="H1978" s="2" t="s">
        <v>15</v>
      </c>
      <c r="I1978" s="2" t="s">
        <v>16</v>
      </c>
      <c r="J1978" s="15">
        <v>85000</v>
      </c>
      <c r="K1978" s="2">
        <v>1</v>
      </c>
      <c r="L1978" s="2" t="s">
        <v>35</v>
      </c>
      <c r="M1978" s="12">
        <f t="shared" si="63"/>
        <v>68000</v>
      </c>
      <c r="N1978" s="10">
        <f>PRODUCT(Table_13[[#This Row],[Unit Price]],Table_13[[#This Row],[Quantity]])</f>
        <v>85000</v>
      </c>
      <c r="O1978" s="16">
        <f>PRODUCT(Table_13[[#This Row],[Cost Price]],Table_13[[#This Row],[Quantity]])</f>
        <v>68000</v>
      </c>
      <c r="P1978" s="27">
        <f t="shared" si="69"/>
        <v>17000</v>
      </c>
    </row>
    <row r="1979" spans="1:16" x14ac:dyDescent="0.2">
      <c r="A1979" s="33">
        <v>47653</v>
      </c>
      <c r="B1979" s="30">
        <f t="shared" si="68"/>
        <v>6</v>
      </c>
      <c r="C1979" s="30" t="str">
        <f>_xlfn.IFS(Table_13[[#This Row],[Month]]=1,"JAN",Table_13[[#This Row],[Month]]=2,"FEB",B1979=3,"MAR",B1979=4,"APR",B1979=5,"MAY",B1979=6,"JUN",B1979=7,"JUL",B1979=8,"AUG",Table_13[[#This Row],[Month]]=9,"SEPT",B1979=10,"OCT",B1979=11,"NOV",B1979=12,"DEC")</f>
        <v>JUN</v>
      </c>
      <c r="D1979" s="2" t="s">
        <v>29</v>
      </c>
      <c r="E1979" s="2" t="s">
        <v>26</v>
      </c>
      <c r="F1979" s="2" t="s">
        <v>23</v>
      </c>
      <c r="G1979" s="2" t="s">
        <v>14</v>
      </c>
      <c r="H1979" s="2" t="s">
        <v>21</v>
      </c>
      <c r="I1979" s="2" t="s">
        <v>22</v>
      </c>
      <c r="J1979" s="15">
        <v>30000</v>
      </c>
      <c r="K1979" s="2">
        <v>8</v>
      </c>
      <c r="L1979" s="2" t="s">
        <v>37</v>
      </c>
      <c r="M1979" s="12">
        <f t="shared" si="63"/>
        <v>24000</v>
      </c>
      <c r="N1979" s="10">
        <f>PRODUCT(Table_13[[#This Row],[Unit Price]],Table_13[[#This Row],[Quantity]])</f>
        <v>240000</v>
      </c>
      <c r="O1979" s="16">
        <f>PRODUCT(Table_13[[#This Row],[Cost Price]],Table_13[[#This Row],[Quantity]])</f>
        <v>192000</v>
      </c>
      <c r="P1979" s="27">
        <f t="shared" si="69"/>
        <v>48000</v>
      </c>
    </row>
    <row r="1980" spans="1:16" x14ac:dyDescent="0.2">
      <c r="A1980" s="33">
        <v>47654</v>
      </c>
      <c r="B1980" s="30">
        <f t="shared" si="68"/>
        <v>6</v>
      </c>
      <c r="C1980" s="30" t="str">
        <f>_xlfn.IFS(Table_13[[#This Row],[Month]]=1,"JAN",Table_13[[#This Row],[Month]]=2,"FEB",B1980=3,"MAR",B1980=4,"APR",B1980=5,"MAY",B1980=6,"JUN",B1980=7,"JUL",B1980=8,"AUG",Table_13[[#This Row],[Month]]=9,"SEPT",B1980=10,"OCT",B1980=11,"NOV",B1980=12,"DEC")</f>
        <v>JUN</v>
      </c>
      <c r="D1980" s="2" t="s">
        <v>29</v>
      </c>
      <c r="E1980" s="2" t="s">
        <v>32</v>
      </c>
      <c r="F1980" s="2" t="s">
        <v>13</v>
      </c>
      <c r="G1980" s="2" t="s">
        <v>20</v>
      </c>
      <c r="H1980" s="2" t="s">
        <v>27</v>
      </c>
      <c r="I1980" s="2" t="s">
        <v>22</v>
      </c>
      <c r="J1980" s="15">
        <v>60000</v>
      </c>
      <c r="K1980" s="2">
        <v>10</v>
      </c>
      <c r="L1980" s="2" t="s">
        <v>37</v>
      </c>
      <c r="M1980" s="12">
        <f t="shared" si="63"/>
        <v>48000</v>
      </c>
      <c r="N1980" s="10">
        <f>PRODUCT(Table_13[[#This Row],[Unit Price]],Table_13[[#This Row],[Quantity]])</f>
        <v>600000</v>
      </c>
      <c r="O1980" s="16">
        <f>PRODUCT(Table_13[[#This Row],[Cost Price]],Table_13[[#This Row],[Quantity]])</f>
        <v>480000</v>
      </c>
      <c r="P1980" s="27">
        <f t="shared" si="69"/>
        <v>120000</v>
      </c>
    </row>
    <row r="1981" spans="1:16" x14ac:dyDescent="0.2">
      <c r="A1981" s="33">
        <v>47655</v>
      </c>
      <c r="B1981" s="30">
        <f t="shared" si="68"/>
        <v>6</v>
      </c>
      <c r="C1981" s="30" t="str">
        <f>_xlfn.IFS(Table_13[[#This Row],[Month]]=1,"JAN",Table_13[[#This Row],[Month]]=2,"FEB",B1981=3,"MAR",B1981=4,"APR",B1981=5,"MAY",B1981=6,"JUN",B1981=7,"JUL",B1981=8,"AUG",Table_13[[#This Row],[Month]]=9,"SEPT",B1981=10,"OCT",B1981=11,"NOV",B1981=12,"DEC")</f>
        <v>JUN</v>
      </c>
      <c r="D1981" s="2" t="s">
        <v>11</v>
      </c>
      <c r="E1981" s="2" t="s">
        <v>12</v>
      </c>
      <c r="F1981" s="2" t="s">
        <v>23</v>
      </c>
      <c r="G1981" s="2" t="s">
        <v>20</v>
      </c>
      <c r="H1981" s="2" t="s">
        <v>36</v>
      </c>
      <c r="I1981" s="2" t="s">
        <v>31</v>
      </c>
      <c r="J1981" s="15">
        <v>150000</v>
      </c>
      <c r="K1981" s="2">
        <v>1</v>
      </c>
      <c r="L1981" s="2" t="s">
        <v>17</v>
      </c>
      <c r="M1981" s="12">
        <f t="shared" si="63"/>
        <v>120000</v>
      </c>
      <c r="N1981" s="10">
        <f>PRODUCT(Table_13[[#This Row],[Unit Price]],Table_13[[#This Row],[Quantity]])</f>
        <v>150000</v>
      </c>
      <c r="O1981" s="16">
        <f>PRODUCT(Table_13[[#This Row],[Cost Price]],Table_13[[#This Row],[Quantity]])</f>
        <v>120000</v>
      </c>
      <c r="P1981" s="27">
        <f t="shared" si="69"/>
        <v>30000</v>
      </c>
    </row>
    <row r="1982" spans="1:16" x14ac:dyDescent="0.2">
      <c r="A1982" s="33">
        <v>47656</v>
      </c>
      <c r="B1982" s="30">
        <f t="shared" si="68"/>
        <v>6</v>
      </c>
      <c r="C1982" s="30" t="str">
        <f>_xlfn.IFS(Table_13[[#This Row],[Month]]=1,"JAN",Table_13[[#This Row],[Month]]=2,"FEB",B1982=3,"MAR",B1982=4,"APR",B1982=5,"MAY",B1982=6,"JUN",B1982=7,"JUL",B1982=8,"AUG",Table_13[[#This Row],[Month]]=9,"SEPT",B1982=10,"OCT",B1982=11,"NOV",B1982=12,"DEC")</f>
        <v>JUN</v>
      </c>
      <c r="D1982" s="2" t="s">
        <v>25</v>
      </c>
      <c r="E1982" s="2" t="s">
        <v>12</v>
      </c>
      <c r="F1982" s="2" t="s">
        <v>23</v>
      </c>
      <c r="G1982" s="2" t="s">
        <v>20</v>
      </c>
      <c r="H1982" s="2" t="s">
        <v>27</v>
      </c>
      <c r="I1982" s="2" t="s">
        <v>22</v>
      </c>
      <c r="J1982" s="15">
        <v>60000</v>
      </c>
      <c r="K1982" s="2">
        <v>9</v>
      </c>
      <c r="L1982" s="2" t="s">
        <v>39</v>
      </c>
      <c r="M1982" s="12">
        <f t="shared" si="63"/>
        <v>48000</v>
      </c>
      <c r="N1982" s="10">
        <f>PRODUCT(Table_13[[#This Row],[Unit Price]],Table_13[[#This Row],[Quantity]])</f>
        <v>540000</v>
      </c>
      <c r="O1982" s="16">
        <f>PRODUCT(Table_13[[#This Row],[Cost Price]],Table_13[[#This Row],[Quantity]])</f>
        <v>432000</v>
      </c>
      <c r="P1982" s="27">
        <f t="shared" si="69"/>
        <v>108000</v>
      </c>
    </row>
    <row r="1983" spans="1:16" x14ac:dyDescent="0.2">
      <c r="A1983" s="33">
        <v>47657</v>
      </c>
      <c r="B1983" s="30">
        <f t="shared" si="68"/>
        <v>6</v>
      </c>
      <c r="C1983" s="30" t="str">
        <f>_xlfn.IFS(Table_13[[#This Row],[Month]]=1,"JAN",Table_13[[#This Row],[Month]]=2,"FEB",B1983=3,"MAR",B1983=4,"APR",B1983=5,"MAY",B1983=6,"JUN",B1983=7,"JUL",B1983=8,"AUG",Table_13[[#This Row],[Month]]=9,"SEPT",B1983=10,"OCT",B1983=11,"NOV",B1983=12,"DEC")</f>
        <v>JUN</v>
      </c>
      <c r="D1983" s="2" t="s">
        <v>29</v>
      </c>
      <c r="E1983" s="2" t="s">
        <v>32</v>
      </c>
      <c r="F1983" s="2" t="s">
        <v>13</v>
      </c>
      <c r="G1983" s="2" t="s">
        <v>14</v>
      </c>
      <c r="H1983" s="2" t="s">
        <v>27</v>
      </c>
      <c r="I1983" s="2" t="s">
        <v>22</v>
      </c>
      <c r="J1983" s="15">
        <v>60000</v>
      </c>
      <c r="K1983" s="2">
        <v>5</v>
      </c>
      <c r="L1983" s="2" t="s">
        <v>39</v>
      </c>
      <c r="M1983" s="12">
        <f t="shared" si="63"/>
        <v>48000</v>
      </c>
      <c r="N1983" s="10">
        <f>PRODUCT(Table_13[[#This Row],[Unit Price]],Table_13[[#This Row],[Quantity]])</f>
        <v>300000</v>
      </c>
      <c r="O1983" s="16">
        <f>PRODUCT(Table_13[[#This Row],[Cost Price]],Table_13[[#This Row],[Quantity]])</f>
        <v>240000</v>
      </c>
      <c r="P1983" s="27">
        <f t="shared" si="69"/>
        <v>60000</v>
      </c>
    </row>
    <row r="1984" spans="1:16" x14ac:dyDescent="0.2">
      <c r="A1984" s="33">
        <v>47658</v>
      </c>
      <c r="B1984" s="30">
        <f t="shared" si="68"/>
        <v>6</v>
      </c>
      <c r="C1984" s="30" t="str">
        <f>_xlfn.IFS(Table_13[[#This Row],[Month]]=1,"JAN",Table_13[[#This Row],[Month]]=2,"FEB",B1984=3,"MAR",B1984=4,"APR",B1984=5,"MAY",B1984=6,"JUN",B1984=7,"JUL",B1984=8,"AUG",Table_13[[#This Row],[Month]]=9,"SEPT",B1984=10,"OCT",B1984=11,"NOV",B1984=12,"DEC")</f>
        <v>JUN</v>
      </c>
      <c r="D1984" s="2" t="s">
        <v>18</v>
      </c>
      <c r="E1984" s="2" t="s">
        <v>12</v>
      </c>
      <c r="F1984" s="2" t="s">
        <v>13</v>
      </c>
      <c r="G1984" s="2" t="s">
        <v>20</v>
      </c>
      <c r="H1984" s="2" t="s">
        <v>41</v>
      </c>
      <c r="I1984" s="2" t="s">
        <v>22</v>
      </c>
      <c r="J1984" s="15">
        <v>220000</v>
      </c>
      <c r="K1984" s="2">
        <v>8</v>
      </c>
      <c r="L1984" s="2" t="s">
        <v>17</v>
      </c>
      <c r="M1984" s="12">
        <f t="shared" si="63"/>
        <v>176000</v>
      </c>
      <c r="N1984" s="10">
        <f>PRODUCT(Table_13[[#This Row],[Unit Price]],Table_13[[#This Row],[Quantity]])</f>
        <v>1760000</v>
      </c>
      <c r="O1984" s="16">
        <f>PRODUCT(Table_13[[#This Row],[Cost Price]],Table_13[[#This Row],[Quantity]])</f>
        <v>1408000</v>
      </c>
      <c r="P1984" s="27">
        <f t="shared" si="69"/>
        <v>352000</v>
      </c>
    </row>
    <row r="1985" spans="1:16" x14ac:dyDescent="0.2">
      <c r="A1985" s="33">
        <v>47659</v>
      </c>
      <c r="B1985" s="30">
        <f t="shared" si="68"/>
        <v>6</v>
      </c>
      <c r="C1985" s="30" t="str">
        <f>_xlfn.IFS(Table_13[[#This Row],[Month]]=1,"JAN",Table_13[[#This Row],[Month]]=2,"FEB",B1985=3,"MAR",B1985=4,"APR",B1985=5,"MAY",B1985=6,"JUN",B1985=7,"JUL",B1985=8,"AUG",Table_13[[#This Row],[Month]]=9,"SEPT",B1985=10,"OCT",B1985=11,"NOV",B1985=12,"DEC")</f>
        <v>JUN</v>
      </c>
      <c r="D1985" s="2" t="s">
        <v>11</v>
      </c>
      <c r="E1985" s="2" t="s">
        <v>12</v>
      </c>
      <c r="F1985" s="2" t="s">
        <v>13</v>
      </c>
      <c r="G1985" s="2" t="s">
        <v>20</v>
      </c>
      <c r="H1985" s="2" t="s">
        <v>15</v>
      </c>
      <c r="I1985" s="2" t="s">
        <v>16</v>
      </c>
      <c r="J1985" s="15">
        <v>85000</v>
      </c>
      <c r="K1985" s="2">
        <v>2</v>
      </c>
      <c r="L1985" s="2" t="s">
        <v>37</v>
      </c>
      <c r="M1985" s="12">
        <f t="shared" si="63"/>
        <v>68000</v>
      </c>
      <c r="N1985" s="10">
        <f>PRODUCT(Table_13[[#This Row],[Unit Price]],Table_13[[#This Row],[Quantity]])</f>
        <v>170000</v>
      </c>
      <c r="O1985" s="16">
        <f>PRODUCT(Table_13[[#This Row],[Cost Price]],Table_13[[#This Row],[Quantity]])</f>
        <v>136000</v>
      </c>
      <c r="P1985" s="27">
        <f t="shared" si="69"/>
        <v>34000</v>
      </c>
    </row>
    <row r="1986" spans="1:16" x14ac:dyDescent="0.2">
      <c r="A1986" s="33">
        <v>47660</v>
      </c>
      <c r="B1986" s="30">
        <f t="shared" ref="B1986:B2049" si="70">MONTH(A1986)</f>
        <v>6</v>
      </c>
      <c r="C1986" s="30" t="str">
        <f>_xlfn.IFS(Table_13[[#This Row],[Month]]=1,"JAN",Table_13[[#This Row],[Month]]=2,"FEB",B1986=3,"MAR",B1986=4,"APR",B1986=5,"MAY",B1986=6,"JUN",B1986=7,"JUL",B1986=8,"AUG",Table_13[[#This Row],[Month]]=9,"SEPT",B1986=10,"OCT",B1986=11,"NOV",B1986=12,"DEC")</f>
        <v>JUN</v>
      </c>
      <c r="D1986" s="2" t="s">
        <v>25</v>
      </c>
      <c r="E1986" s="2" t="s">
        <v>32</v>
      </c>
      <c r="F1986" s="2" t="s">
        <v>13</v>
      </c>
      <c r="G1986" s="2" t="s">
        <v>20</v>
      </c>
      <c r="H1986" s="2" t="s">
        <v>34</v>
      </c>
      <c r="I1986" s="2" t="s">
        <v>16</v>
      </c>
      <c r="J1986" s="15">
        <v>320000</v>
      </c>
      <c r="K1986" s="2">
        <v>7</v>
      </c>
      <c r="L1986" s="2" t="s">
        <v>37</v>
      </c>
      <c r="M1986" s="12">
        <f t="shared" si="63"/>
        <v>256000</v>
      </c>
      <c r="N1986" s="10">
        <f>PRODUCT(Table_13[[#This Row],[Unit Price]],Table_13[[#This Row],[Quantity]])</f>
        <v>2240000</v>
      </c>
      <c r="O1986" s="16">
        <f>PRODUCT(Table_13[[#This Row],[Cost Price]],Table_13[[#This Row],[Quantity]])</f>
        <v>1792000</v>
      </c>
      <c r="P1986" s="27">
        <f t="shared" ref="P1986:P2049" si="71">N1986-O1986</f>
        <v>448000</v>
      </c>
    </row>
    <row r="1987" spans="1:16" x14ac:dyDescent="0.2">
      <c r="A1987" s="33">
        <v>47661</v>
      </c>
      <c r="B1987" s="30">
        <f t="shared" si="70"/>
        <v>6</v>
      </c>
      <c r="C1987" s="30" t="str">
        <f>_xlfn.IFS(Table_13[[#This Row],[Month]]=1,"JAN",Table_13[[#This Row],[Month]]=2,"FEB",B1987=3,"MAR",B1987=4,"APR",B1987=5,"MAY",B1987=6,"JUN",B1987=7,"JUL",B1987=8,"AUG",Table_13[[#This Row],[Month]]=9,"SEPT",B1987=10,"OCT",B1987=11,"NOV",B1987=12,"DEC")</f>
        <v>JUN</v>
      </c>
      <c r="D1987" s="2" t="s">
        <v>25</v>
      </c>
      <c r="E1987" s="2" t="s">
        <v>32</v>
      </c>
      <c r="F1987" s="2" t="s">
        <v>13</v>
      </c>
      <c r="G1987" s="2" t="s">
        <v>14</v>
      </c>
      <c r="H1987" s="2" t="s">
        <v>40</v>
      </c>
      <c r="I1987" s="2" t="s">
        <v>31</v>
      </c>
      <c r="J1987" s="15">
        <v>250000</v>
      </c>
      <c r="K1987" s="2">
        <v>4</v>
      </c>
      <c r="L1987" s="2" t="s">
        <v>17</v>
      </c>
      <c r="M1987" s="12">
        <f t="shared" si="63"/>
        <v>200000</v>
      </c>
      <c r="N1987" s="10">
        <f>PRODUCT(Table_13[[#This Row],[Unit Price]],Table_13[[#This Row],[Quantity]])</f>
        <v>1000000</v>
      </c>
      <c r="O1987" s="16">
        <f>PRODUCT(Table_13[[#This Row],[Cost Price]],Table_13[[#This Row],[Quantity]])</f>
        <v>800000</v>
      </c>
      <c r="P1987" s="27">
        <f t="shared" si="71"/>
        <v>200000</v>
      </c>
    </row>
    <row r="1988" spans="1:16" x14ac:dyDescent="0.2">
      <c r="A1988" s="33">
        <v>47662</v>
      </c>
      <c r="B1988" s="30">
        <f t="shared" si="70"/>
        <v>6</v>
      </c>
      <c r="C1988" s="30" t="str">
        <f>_xlfn.IFS(Table_13[[#This Row],[Month]]=1,"JAN",Table_13[[#This Row],[Month]]=2,"FEB",B1988=3,"MAR",B1988=4,"APR",B1988=5,"MAY",B1988=6,"JUN",B1988=7,"JUL",B1988=8,"AUG",Table_13[[#This Row],[Month]]=9,"SEPT",B1988=10,"OCT",B1988=11,"NOV",B1988=12,"DEC")</f>
        <v>JUN</v>
      </c>
      <c r="D1988" s="2" t="s">
        <v>18</v>
      </c>
      <c r="E1988" s="2" t="s">
        <v>12</v>
      </c>
      <c r="F1988" s="2" t="s">
        <v>23</v>
      </c>
      <c r="G1988" s="2" t="s">
        <v>20</v>
      </c>
      <c r="H1988" s="2" t="s">
        <v>36</v>
      </c>
      <c r="I1988" s="2" t="s">
        <v>31</v>
      </c>
      <c r="J1988" s="15">
        <v>150000</v>
      </c>
      <c r="K1988" s="2">
        <v>6</v>
      </c>
      <c r="L1988" s="2" t="s">
        <v>24</v>
      </c>
      <c r="M1988" s="12">
        <f t="shared" si="63"/>
        <v>120000</v>
      </c>
      <c r="N1988" s="10">
        <f>PRODUCT(Table_13[[#This Row],[Unit Price]],Table_13[[#This Row],[Quantity]])</f>
        <v>900000</v>
      </c>
      <c r="O1988" s="16">
        <f>PRODUCT(Table_13[[#This Row],[Cost Price]],Table_13[[#This Row],[Quantity]])</f>
        <v>720000</v>
      </c>
      <c r="P1988" s="27">
        <f t="shared" si="71"/>
        <v>180000</v>
      </c>
    </row>
    <row r="1989" spans="1:16" x14ac:dyDescent="0.2">
      <c r="A1989" s="33">
        <v>47663</v>
      </c>
      <c r="B1989" s="30">
        <f t="shared" si="70"/>
        <v>6</v>
      </c>
      <c r="C1989" s="30" t="str">
        <f>_xlfn.IFS(Table_13[[#This Row],[Month]]=1,"JAN",Table_13[[#This Row],[Month]]=2,"FEB",B1989=3,"MAR",B1989=4,"APR",B1989=5,"MAY",B1989=6,"JUN",B1989=7,"JUL",B1989=8,"AUG",Table_13[[#This Row],[Month]]=9,"SEPT",B1989=10,"OCT",B1989=11,"NOV",B1989=12,"DEC")</f>
        <v>JUN</v>
      </c>
      <c r="D1989" s="2" t="s">
        <v>29</v>
      </c>
      <c r="E1989" s="2" t="s">
        <v>32</v>
      </c>
      <c r="F1989" s="2" t="s">
        <v>13</v>
      </c>
      <c r="G1989" s="2" t="s">
        <v>14</v>
      </c>
      <c r="H1989" s="2" t="s">
        <v>30</v>
      </c>
      <c r="I1989" s="2" t="s">
        <v>31</v>
      </c>
      <c r="J1989" s="15">
        <v>300000</v>
      </c>
      <c r="K1989" s="2">
        <v>8</v>
      </c>
      <c r="L1989" s="2" t="s">
        <v>24</v>
      </c>
      <c r="M1989" s="12">
        <f t="shared" si="63"/>
        <v>240000</v>
      </c>
      <c r="N1989" s="10">
        <f>PRODUCT(Table_13[[#This Row],[Unit Price]],Table_13[[#This Row],[Quantity]])</f>
        <v>2400000</v>
      </c>
      <c r="O1989" s="16">
        <f>PRODUCT(Table_13[[#This Row],[Cost Price]],Table_13[[#This Row],[Quantity]])</f>
        <v>1920000</v>
      </c>
      <c r="P1989" s="27">
        <f t="shared" si="71"/>
        <v>480000</v>
      </c>
    </row>
    <row r="1990" spans="1:16" x14ac:dyDescent="0.2">
      <c r="A1990" s="33">
        <v>47664</v>
      </c>
      <c r="B1990" s="30">
        <f t="shared" si="70"/>
        <v>6</v>
      </c>
      <c r="C1990" s="30" t="str">
        <f>_xlfn.IFS(Table_13[[#This Row],[Month]]=1,"JAN",Table_13[[#This Row],[Month]]=2,"FEB",B1990=3,"MAR",B1990=4,"APR",B1990=5,"MAY",B1990=6,"JUN",B1990=7,"JUL",B1990=8,"AUG",Table_13[[#This Row],[Month]]=9,"SEPT",B1990=10,"OCT",B1990=11,"NOV",B1990=12,"DEC")</f>
        <v>JUN</v>
      </c>
      <c r="D1990" s="2" t="s">
        <v>11</v>
      </c>
      <c r="E1990" s="2" t="s">
        <v>19</v>
      </c>
      <c r="F1990" s="2" t="s">
        <v>13</v>
      </c>
      <c r="G1990" s="2" t="s">
        <v>20</v>
      </c>
      <c r="H1990" s="2" t="s">
        <v>30</v>
      </c>
      <c r="I1990" s="2" t="s">
        <v>31</v>
      </c>
      <c r="J1990" s="15">
        <v>300000</v>
      </c>
      <c r="K1990" s="2">
        <v>10</v>
      </c>
      <c r="L1990" s="2" t="s">
        <v>17</v>
      </c>
      <c r="M1990" s="12">
        <f t="shared" si="63"/>
        <v>240000</v>
      </c>
      <c r="N1990" s="10">
        <f>PRODUCT(Table_13[[#This Row],[Unit Price]],Table_13[[#This Row],[Quantity]])</f>
        <v>3000000</v>
      </c>
      <c r="O1990" s="16">
        <f>PRODUCT(Table_13[[#This Row],[Cost Price]],Table_13[[#This Row],[Quantity]])</f>
        <v>2400000</v>
      </c>
      <c r="P1990" s="27">
        <f t="shared" si="71"/>
        <v>600000</v>
      </c>
    </row>
    <row r="1991" spans="1:16" x14ac:dyDescent="0.2">
      <c r="A1991" s="33">
        <v>47665</v>
      </c>
      <c r="B1991" s="30">
        <f t="shared" si="70"/>
        <v>7</v>
      </c>
      <c r="C1991" s="30" t="str">
        <f>_xlfn.IFS(Table_13[[#This Row],[Month]]=1,"JAN",Table_13[[#This Row],[Month]]=2,"FEB",B1991=3,"MAR",B1991=4,"APR",B1991=5,"MAY",B1991=6,"JUN",B1991=7,"JUL",B1991=8,"AUG",Table_13[[#This Row],[Month]]=9,"SEPT",B1991=10,"OCT",B1991=11,"NOV",B1991=12,"DEC")</f>
        <v>JUL</v>
      </c>
      <c r="D1991" s="2" t="s">
        <v>29</v>
      </c>
      <c r="E1991" s="2" t="s">
        <v>26</v>
      </c>
      <c r="F1991" s="2" t="s">
        <v>23</v>
      </c>
      <c r="G1991" s="2" t="s">
        <v>20</v>
      </c>
      <c r="H1991" s="2" t="s">
        <v>34</v>
      </c>
      <c r="I1991" s="2" t="s">
        <v>16</v>
      </c>
      <c r="J1991" s="15">
        <v>320000</v>
      </c>
      <c r="K1991" s="2">
        <v>1</v>
      </c>
      <c r="L1991" s="2" t="s">
        <v>28</v>
      </c>
      <c r="M1991" s="12">
        <f t="shared" si="63"/>
        <v>256000</v>
      </c>
      <c r="N1991" s="10">
        <f>PRODUCT(Table_13[[#This Row],[Unit Price]],Table_13[[#This Row],[Quantity]])</f>
        <v>320000</v>
      </c>
      <c r="O1991" s="16">
        <f>PRODUCT(Table_13[[#This Row],[Cost Price]],Table_13[[#This Row],[Quantity]])</f>
        <v>256000</v>
      </c>
      <c r="P1991" s="27">
        <f t="shared" si="71"/>
        <v>64000</v>
      </c>
    </row>
    <row r="1992" spans="1:16" x14ac:dyDescent="0.2">
      <c r="A1992" s="33">
        <v>47666</v>
      </c>
      <c r="B1992" s="30">
        <f t="shared" si="70"/>
        <v>7</v>
      </c>
      <c r="C1992" s="30" t="str">
        <f>_xlfn.IFS(Table_13[[#This Row],[Month]]=1,"JAN",Table_13[[#This Row],[Month]]=2,"FEB",B1992=3,"MAR",B1992=4,"APR",B1992=5,"MAY",B1992=6,"JUN",B1992=7,"JUL",B1992=8,"AUG",Table_13[[#This Row],[Month]]=9,"SEPT",B1992=10,"OCT",B1992=11,"NOV",B1992=12,"DEC")</f>
        <v>JUL</v>
      </c>
      <c r="D1992" s="2" t="s">
        <v>25</v>
      </c>
      <c r="E1992" s="2" t="s">
        <v>19</v>
      </c>
      <c r="F1992" s="2" t="s">
        <v>23</v>
      </c>
      <c r="G1992" s="2" t="s">
        <v>20</v>
      </c>
      <c r="H1992" s="2" t="s">
        <v>34</v>
      </c>
      <c r="I1992" s="2" t="s">
        <v>16</v>
      </c>
      <c r="J1992" s="15">
        <v>320000</v>
      </c>
      <c r="K1992" s="2">
        <v>3</v>
      </c>
      <c r="L1992" s="2" t="s">
        <v>28</v>
      </c>
      <c r="M1992" s="12">
        <f t="shared" si="63"/>
        <v>256000</v>
      </c>
      <c r="N1992" s="10">
        <f>PRODUCT(Table_13[[#This Row],[Unit Price]],Table_13[[#This Row],[Quantity]])</f>
        <v>960000</v>
      </c>
      <c r="O1992" s="16">
        <f>PRODUCT(Table_13[[#This Row],[Cost Price]],Table_13[[#This Row],[Quantity]])</f>
        <v>768000</v>
      </c>
      <c r="P1992" s="27">
        <f t="shared" si="71"/>
        <v>192000</v>
      </c>
    </row>
    <row r="1993" spans="1:16" x14ac:dyDescent="0.2">
      <c r="A1993" s="33">
        <v>47667</v>
      </c>
      <c r="B1993" s="30">
        <f t="shared" si="70"/>
        <v>7</v>
      </c>
      <c r="C1993" s="30" t="str">
        <f>_xlfn.IFS(Table_13[[#This Row],[Month]]=1,"JAN",Table_13[[#This Row],[Month]]=2,"FEB",B1993=3,"MAR",B1993=4,"APR",B1993=5,"MAY",B1993=6,"JUN",B1993=7,"JUL",B1993=8,"AUG",Table_13[[#This Row],[Month]]=9,"SEPT",B1993=10,"OCT",B1993=11,"NOV",B1993=12,"DEC")</f>
        <v>JUL</v>
      </c>
      <c r="D1993" s="2" t="s">
        <v>11</v>
      </c>
      <c r="E1993" s="2" t="s">
        <v>12</v>
      </c>
      <c r="F1993" s="2" t="s">
        <v>23</v>
      </c>
      <c r="G1993" s="2" t="s">
        <v>14</v>
      </c>
      <c r="H1993" s="2" t="s">
        <v>36</v>
      </c>
      <c r="I1993" s="2" t="s">
        <v>31</v>
      </c>
      <c r="J1993" s="15">
        <v>150000</v>
      </c>
      <c r="K1993" s="2">
        <v>6</v>
      </c>
      <c r="L1993" s="2" t="s">
        <v>35</v>
      </c>
      <c r="M1993" s="12">
        <f t="shared" si="63"/>
        <v>120000</v>
      </c>
      <c r="N1993" s="10">
        <f>PRODUCT(Table_13[[#This Row],[Unit Price]],Table_13[[#This Row],[Quantity]])</f>
        <v>900000</v>
      </c>
      <c r="O1993" s="16">
        <f>PRODUCT(Table_13[[#This Row],[Cost Price]],Table_13[[#This Row],[Quantity]])</f>
        <v>720000</v>
      </c>
      <c r="P1993" s="27">
        <f t="shared" si="71"/>
        <v>180000</v>
      </c>
    </row>
    <row r="1994" spans="1:16" x14ac:dyDescent="0.2">
      <c r="A1994" s="33">
        <v>47668</v>
      </c>
      <c r="B1994" s="30">
        <f t="shared" si="70"/>
        <v>7</v>
      </c>
      <c r="C1994" s="30" t="str">
        <f>_xlfn.IFS(Table_13[[#This Row],[Month]]=1,"JAN",Table_13[[#This Row],[Month]]=2,"FEB",B1994=3,"MAR",B1994=4,"APR",B1994=5,"MAY",B1994=6,"JUN",B1994=7,"JUL",B1994=8,"AUG",Table_13[[#This Row],[Month]]=9,"SEPT",B1994=10,"OCT",B1994=11,"NOV",B1994=12,"DEC")</f>
        <v>JUL</v>
      </c>
      <c r="D1994" s="2" t="s">
        <v>18</v>
      </c>
      <c r="E1994" s="2" t="s">
        <v>19</v>
      </c>
      <c r="F1994" s="2" t="s">
        <v>13</v>
      </c>
      <c r="G1994" s="2" t="s">
        <v>14</v>
      </c>
      <c r="H1994" s="2" t="s">
        <v>33</v>
      </c>
      <c r="I1994" s="2" t="s">
        <v>22</v>
      </c>
      <c r="J1994" s="15">
        <v>180000</v>
      </c>
      <c r="K1994" s="2">
        <v>9</v>
      </c>
      <c r="L1994" s="2" t="s">
        <v>39</v>
      </c>
      <c r="M1994" s="12">
        <f t="shared" si="63"/>
        <v>144000</v>
      </c>
      <c r="N1994" s="10">
        <f>PRODUCT(Table_13[[#This Row],[Unit Price]],Table_13[[#This Row],[Quantity]])</f>
        <v>1620000</v>
      </c>
      <c r="O1994" s="16">
        <f>PRODUCT(Table_13[[#This Row],[Cost Price]],Table_13[[#This Row],[Quantity]])</f>
        <v>1296000</v>
      </c>
      <c r="P1994" s="27">
        <f t="shared" si="71"/>
        <v>324000</v>
      </c>
    </row>
    <row r="1995" spans="1:16" x14ac:dyDescent="0.2">
      <c r="A1995" s="33">
        <v>47669</v>
      </c>
      <c r="B1995" s="30">
        <f t="shared" si="70"/>
        <v>7</v>
      </c>
      <c r="C1995" s="30" t="str">
        <f>_xlfn.IFS(Table_13[[#This Row],[Month]]=1,"JAN",Table_13[[#This Row],[Month]]=2,"FEB",B1995=3,"MAR",B1995=4,"APR",B1995=5,"MAY",B1995=6,"JUN",B1995=7,"JUL",B1995=8,"AUG",Table_13[[#This Row],[Month]]=9,"SEPT",B1995=10,"OCT",B1995=11,"NOV",B1995=12,"DEC")</f>
        <v>JUL</v>
      </c>
      <c r="D1995" s="2" t="s">
        <v>25</v>
      </c>
      <c r="E1995" s="2" t="s">
        <v>32</v>
      </c>
      <c r="F1995" s="2" t="s">
        <v>13</v>
      </c>
      <c r="G1995" s="2" t="s">
        <v>14</v>
      </c>
      <c r="H1995" s="2" t="s">
        <v>27</v>
      </c>
      <c r="I1995" s="2" t="s">
        <v>22</v>
      </c>
      <c r="J1995" s="15">
        <v>60000</v>
      </c>
      <c r="K1995" s="2">
        <v>2</v>
      </c>
      <c r="L1995" s="2" t="s">
        <v>35</v>
      </c>
      <c r="M1995" s="12">
        <f t="shared" si="63"/>
        <v>48000</v>
      </c>
      <c r="N1995" s="10">
        <f>PRODUCT(Table_13[[#This Row],[Unit Price]],Table_13[[#This Row],[Quantity]])</f>
        <v>120000</v>
      </c>
      <c r="O1995" s="16">
        <f>PRODUCT(Table_13[[#This Row],[Cost Price]],Table_13[[#This Row],[Quantity]])</f>
        <v>96000</v>
      </c>
      <c r="P1995" s="27">
        <f t="shared" si="71"/>
        <v>24000</v>
      </c>
    </row>
    <row r="1996" spans="1:16" x14ac:dyDescent="0.2">
      <c r="A1996" s="33">
        <v>47670</v>
      </c>
      <c r="B1996" s="30">
        <f t="shared" si="70"/>
        <v>7</v>
      </c>
      <c r="C1996" s="30" t="str">
        <f>_xlfn.IFS(Table_13[[#This Row],[Month]]=1,"JAN",Table_13[[#This Row],[Month]]=2,"FEB",B1996=3,"MAR",B1996=4,"APR",B1996=5,"MAY",B1996=6,"JUN",B1996=7,"JUL",B1996=8,"AUG",Table_13[[#This Row],[Month]]=9,"SEPT",B1996=10,"OCT",B1996=11,"NOV",B1996=12,"DEC")</f>
        <v>JUL</v>
      </c>
      <c r="D1996" s="2" t="s">
        <v>18</v>
      </c>
      <c r="E1996" s="2" t="s">
        <v>26</v>
      </c>
      <c r="F1996" s="2" t="s">
        <v>13</v>
      </c>
      <c r="G1996" s="2" t="s">
        <v>20</v>
      </c>
      <c r="H1996" s="2" t="s">
        <v>36</v>
      </c>
      <c r="I1996" s="2" t="s">
        <v>31</v>
      </c>
      <c r="J1996" s="15">
        <v>150000</v>
      </c>
      <c r="K1996" s="2">
        <v>5</v>
      </c>
      <c r="L1996" s="2" t="s">
        <v>35</v>
      </c>
      <c r="M1996" s="12">
        <f t="shared" si="63"/>
        <v>120000</v>
      </c>
      <c r="N1996" s="10">
        <f>PRODUCT(Table_13[[#This Row],[Unit Price]],Table_13[[#This Row],[Quantity]])</f>
        <v>750000</v>
      </c>
      <c r="O1996" s="16">
        <f>PRODUCT(Table_13[[#This Row],[Cost Price]],Table_13[[#This Row],[Quantity]])</f>
        <v>600000</v>
      </c>
      <c r="P1996" s="27">
        <f t="shared" si="71"/>
        <v>150000</v>
      </c>
    </row>
    <row r="1997" spans="1:16" x14ac:dyDescent="0.2">
      <c r="A1997" s="33">
        <v>47671</v>
      </c>
      <c r="B1997" s="30">
        <f t="shared" si="70"/>
        <v>7</v>
      </c>
      <c r="C1997" s="30" t="str">
        <f>_xlfn.IFS(Table_13[[#This Row],[Month]]=1,"JAN",Table_13[[#This Row],[Month]]=2,"FEB",B1997=3,"MAR",B1997=4,"APR",B1997=5,"MAY",B1997=6,"JUN",B1997=7,"JUL",B1997=8,"AUG",Table_13[[#This Row],[Month]]=9,"SEPT",B1997=10,"OCT",B1997=11,"NOV",B1997=12,"DEC")</f>
        <v>JUL</v>
      </c>
      <c r="D1997" s="2" t="s">
        <v>18</v>
      </c>
      <c r="E1997" s="2" t="s">
        <v>26</v>
      </c>
      <c r="F1997" s="2" t="s">
        <v>13</v>
      </c>
      <c r="G1997" s="2" t="s">
        <v>20</v>
      </c>
      <c r="H1997" s="2" t="s">
        <v>33</v>
      </c>
      <c r="I1997" s="2" t="s">
        <v>22</v>
      </c>
      <c r="J1997" s="15">
        <v>180000</v>
      </c>
      <c r="K1997" s="2">
        <v>10</v>
      </c>
      <c r="L1997" s="2" t="s">
        <v>35</v>
      </c>
      <c r="M1997" s="12">
        <f t="shared" si="63"/>
        <v>144000</v>
      </c>
      <c r="N1997" s="10">
        <f>PRODUCT(Table_13[[#This Row],[Unit Price]],Table_13[[#This Row],[Quantity]])</f>
        <v>1800000</v>
      </c>
      <c r="O1997" s="16">
        <f>PRODUCT(Table_13[[#This Row],[Cost Price]],Table_13[[#This Row],[Quantity]])</f>
        <v>1440000</v>
      </c>
      <c r="P1997" s="27">
        <f t="shared" si="71"/>
        <v>360000</v>
      </c>
    </row>
    <row r="1998" spans="1:16" x14ac:dyDescent="0.2">
      <c r="A1998" s="33">
        <v>47672</v>
      </c>
      <c r="B1998" s="30">
        <f t="shared" si="70"/>
        <v>7</v>
      </c>
      <c r="C1998" s="30" t="str">
        <f>_xlfn.IFS(Table_13[[#This Row],[Month]]=1,"JAN",Table_13[[#This Row],[Month]]=2,"FEB",B1998=3,"MAR",B1998=4,"APR",B1998=5,"MAY",B1998=6,"JUN",B1998=7,"JUL",B1998=8,"AUG",Table_13[[#This Row],[Month]]=9,"SEPT",B1998=10,"OCT",B1998=11,"NOV",B1998=12,"DEC")</f>
        <v>JUL</v>
      </c>
      <c r="D1998" s="2" t="s">
        <v>11</v>
      </c>
      <c r="E1998" s="2" t="s">
        <v>12</v>
      </c>
      <c r="F1998" s="2" t="s">
        <v>13</v>
      </c>
      <c r="G1998" s="2" t="s">
        <v>14</v>
      </c>
      <c r="H1998" s="2" t="s">
        <v>15</v>
      </c>
      <c r="I1998" s="2" t="s">
        <v>16</v>
      </c>
      <c r="J1998" s="15">
        <v>85000</v>
      </c>
      <c r="K1998" s="2">
        <v>7</v>
      </c>
      <c r="L1998" s="2" t="s">
        <v>37</v>
      </c>
      <c r="M1998" s="12">
        <f t="shared" si="63"/>
        <v>68000</v>
      </c>
      <c r="N1998" s="10">
        <f>PRODUCT(Table_13[[#This Row],[Unit Price]],Table_13[[#This Row],[Quantity]])</f>
        <v>595000</v>
      </c>
      <c r="O1998" s="16">
        <f>PRODUCT(Table_13[[#This Row],[Cost Price]],Table_13[[#This Row],[Quantity]])</f>
        <v>476000</v>
      </c>
      <c r="P1998" s="27">
        <f t="shared" si="71"/>
        <v>119000</v>
      </c>
    </row>
    <row r="1999" spans="1:16" x14ac:dyDescent="0.2">
      <c r="A1999" s="33">
        <v>47673</v>
      </c>
      <c r="B1999" s="30">
        <f t="shared" si="70"/>
        <v>7</v>
      </c>
      <c r="C1999" s="30" t="str">
        <f>_xlfn.IFS(Table_13[[#This Row],[Month]]=1,"JAN",Table_13[[#This Row],[Month]]=2,"FEB",B1999=3,"MAR",B1999=4,"APR",B1999=5,"MAY",B1999=6,"JUN",B1999=7,"JUL",B1999=8,"AUG",Table_13[[#This Row],[Month]]=9,"SEPT",B1999=10,"OCT",B1999=11,"NOV",B1999=12,"DEC")</f>
        <v>JUL</v>
      </c>
      <c r="D1999" s="2" t="s">
        <v>18</v>
      </c>
      <c r="E1999" s="2" t="s">
        <v>32</v>
      </c>
      <c r="F1999" s="2" t="s">
        <v>23</v>
      </c>
      <c r="G1999" s="2" t="s">
        <v>20</v>
      </c>
      <c r="H1999" s="2" t="s">
        <v>38</v>
      </c>
      <c r="I1999" s="2" t="s">
        <v>31</v>
      </c>
      <c r="J1999" s="15">
        <v>420000</v>
      </c>
      <c r="K1999" s="2">
        <v>3</v>
      </c>
      <c r="L1999" s="2" t="s">
        <v>24</v>
      </c>
      <c r="M1999" s="12">
        <f t="shared" si="63"/>
        <v>336000</v>
      </c>
      <c r="N1999" s="10">
        <f>PRODUCT(Table_13[[#This Row],[Unit Price]],Table_13[[#This Row],[Quantity]])</f>
        <v>1260000</v>
      </c>
      <c r="O1999" s="16">
        <f>PRODUCT(Table_13[[#This Row],[Cost Price]],Table_13[[#This Row],[Quantity]])</f>
        <v>1008000</v>
      </c>
      <c r="P1999" s="27">
        <f t="shared" si="71"/>
        <v>252000</v>
      </c>
    </row>
    <row r="2000" spans="1:16" x14ac:dyDescent="0.2">
      <c r="A2000" s="33">
        <v>47674</v>
      </c>
      <c r="B2000" s="30">
        <f t="shared" si="70"/>
        <v>7</v>
      </c>
      <c r="C2000" s="30" t="str">
        <f>_xlfn.IFS(Table_13[[#This Row],[Month]]=1,"JAN",Table_13[[#This Row],[Month]]=2,"FEB",B2000=3,"MAR",B2000=4,"APR",B2000=5,"MAY",B2000=6,"JUN",B2000=7,"JUL",B2000=8,"AUG",Table_13[[#This Row],[Month]]=9,"SEPT",B2000=10,"OCT",B2000=11,"NOV",B2000=12,"DEC")</f>
        <v>JUL</v>
      </c>
      <c r="D2000" s="2" t="s">
        <v>18</v>
      </c>
      <c r="E2000" s="2" t="s">
        <v>32</v>
      </c>
      <c r="F2000" s="2" t="s">
        <v>23</v>
      </c>
      <c r="G2000" s="2" t="s">
        <v>14</v>
      </c>
      <c r="H2000" s="2" t="s">
        <v>30</v>
      </c>
      <c r="I2000" s="2" t="s">
        <v>31</v>
      </c>
      <c r="J2000" s="15">
        <v>300000</v>
      </c>
      <c r="K2000" s="2">
        <v>2</v>
      </c>
      <c r="L2000" s="2" t="s">
        <v>37</v>
      </c>
      <c r="M2000" s="12">
        <f t="shared" si="63"/>
        <v>240000</v>
      </c>
      <c r="N2000" s="10">
        <f>PRODUCT(Table_13[[#This Row],[Unit Price]],Table_13[[#This Row],[Quantity]])</f>
        <v>600000</v>
      </c>
      <c r="O2000" s="16">
        <f>PRODUCT(Table_13[[#This Row],[Cost Price]],Table_13[[#This Row],[Quantity]])</f>
        <v>480000</v>
      </c>
      <c r="P2000" s="27">
        <f t="shared" si="71"/>
        <v>120000</v>
      </c>
    </row>
    <row r="2001" spans="1:16" x14ac:dyDescent="0.2">
      <c r="A2001" s="33">
        <v>47675</v>
      </c>
      <c r="B2001" s="30">
        <f t="shared" si="70"/>
        <v>7</v>
      </c>
      <c r="C2001" s="30" t="str">
        <f>_xlfn.IFS(Table_13[[#This Row],[Month]]=1,"JAN",Table_13[[#This Row],[Month]]=2,"FEB",B2001=3,"MAR",B2001=4,"APR",B2001=5,"MAY",B2001=6,"JUN",B2001=7,"JUL",B2001=8,"AUG",Table_13[[#This Row],[Month]]=9,"SEPT",B2001=10,"OCT",B2001=11,"NOV",B2001=12,"DEC")</f>
        <v>JUL</v>
      </c>
      <c r="D2001" s="2" t="s">
        <v>18</v>
      </c>
      <c r="E2001" s="2" t="s">
        <v>19</v>
      </c>
      <c r="F2001" s="2" t="s">
        <v>23</v>
      </c>
      <c r="G2001" s="2" t="s">
        <v>14</v>
      </c>
      <c r="H2001" s="2" t="s">
        <v>40</v>
      </c>
      <c r="I2001" s="2" t="s">
        <v>31</v>
      </c>
      <c r="J2001" s="15">
        <v>250000</v>
      </c>
      <c r="K2001" s="2">
        <v>3</v>
      </c>
      <c r="L2001" s="2" t="s">
        <v>37</v>
      </c>
      <c r="M2001" s="12">
        <f t="shared" si="63"/>
        <v>200000</v>
      </c>
      <c r="N2001" s="10">
        <f>PRODUCT(Table_13[[#This Row],[Unit Price]],Table_13[[#This Row],[Quantity]])</f>
        <v>750000</v>
      </c>
      <c r="O2001" s="16">
        <f>PRODUCT(Table_13[[#This Row],[Cost Price]],Table_13[[#This Row],[Quantity]])</f>
        <v>600000</v>
      </c>
      <c r="P2001" s="27">
        <f t="shared" si="71"/>
        <v>150000</v>
      </c>
    </row>
    <row r="2002" spans="1:16" x14ac:dyDescent="0.2">
      <c r="A2002" s="33">
        <v>47676</v>
      </c>
      <c r="B2002" s="30">
        <f t="shared" si="70"/>
        <v>7</v>
      </c>
      <c r="C2002" s="30" t="str">
        <f>_xlfn.IFS(Table_13[[#This Row],[Month]]=1,"JAN",Table_13[[#This Row],[Month]]=2,"FEB",B2002=3,"MAR",B2002=4,"APR",B2002=5,"MAY",B2002=6,"JUN",B2002=7,"JUL",B2002=8,"AUG",Table_13[[#This Row],[Month]]=9,"SEPT",B2002=10,"OCT",B2002=11,"NOV",B2002=12,"DEC")</f>
        <v>JUL</v>
      </c>
      <c r="D2002" s="2" t="s">
        <v>18</v>
      </c>
      <c r="E2002" s="2" t="s">
        <v>12</v>
      </c>
      <c r="F2002" s="2" t="s">
        <v>13</v>
      </c>
      <c r="G2002" s="2" t="s">
        <v>20</v>
      </c>
      <c r="H2002" s="2" t="s">
        <v>36</v>
      </c>
      <c r="I2002" s="2" t="s">
        <v>31</v>
      </c>
      <c r="J2002" s="15">
        <v>150000</v>
      </c>
      <c r="K2002" s="2">
        <v>7</v>
      </c>
      <c r="L2002" s="2" t="s">
        <v>24</v>
      </c>
      <c r="M2002" s="12">
        <f t="shared" si="63"/>
        <v>120000</v>
      </c>
      <c r="N2002" s="10">
        <f>PRODUCT(Table_13[[#This Row],[Unit Price]],Table_13[[#This Row],[Quantity]])</f>
        <v>1050000</v>
      </c>
      <c r="O2002" s="16">
        <f>PRODUCT(Table_13[[#This Row],[Cost Price]],Table_13[[#This Row],[Quantity]])</f>
        <v>840000</v>
      </c>
      <c r="P2002" s="27">
        <f t="shared" si="71"/>
        <v>210000</v>
      </c>
    </row>
    <row r="2003" spans="1:16" x14ac:dyDescent="0.2">
      <c r="A2003" s="33">
        <v>47677</v>
      </c>
      <c r="B2003" s="30">
        <f t="shared" si="70"/>
        <v>7</v>
      </c>
      <c r="C2003" s="30" t="str">
        <f>_xlfn.IFS(Table_13[[#This Row],[Month]]=1,"JAN",Table_13[[#This Row],[Month]]=2,"FEB",B2003=3,"MAR",B2003=4,"APR",B2003=5,"MAY",B2003=6,"JUN",B2003=7,"JUL",B2003=8,"AUG",Table_13[[#This Row],[Month]]=9,"SEPT",B2003=10,"OCT",B2003=11,"NOV",B2003=12,"DEC")</f>
        <v>JUL</v>
      </c>
      <c r="D2003" s="2" t="s">
        <v>11</v>
      </c>
      <c r="E2003" s="2" t="s">
        <v>12</v>
      </c>
      <c r="F2003" s="2" t="s">
        <v>23</v>
      </c>
      <c r="G2003" s="2" t="s">
        <v>14</v>
      </c>
      <c r="H2003" s="2" t="s">
        <v>38</v>
      </c>
      <c r="I2003" s="2" t="s">
        <v>31</v>
      </c>
      <c r="J2003" s="15">
        <v>420000</v>
      </c>
      <c r="K2003" s="2">
        <v>7</v>
      </c>
      <c r="L2003" s="2" t="s">
        <v>35</v>
      </c>
      <c r="M2003" s="12">
        <f t="shared" si="63"/>
        <v>336000</v>
      </c>
      <c r="N2003" s="10">
        <f>PRODUCT(Table_13[[#This Row],[Unit Price]],Table_13[[#This Row],[Quantity]])</f>
        <v>2940000</v>
      </c>
      <c r="O2003" s="16">
        <f>PRODUCT(Table_13[[#This Row],[Cost Price]],Table_13[[#This Row],[Quantity]])</f>
        <v>2352000</v>
      </c>
      <c r="P2003" s="27">
        <f t="shared" si="71"/>
        <v>588000</v>
      </c>
    </row>
    <row r="2004" spans="1:16" x14ac:dyDescent="0.2">
      <c r="A2004" s="33">
        <v>47678</v>
      </c>
      <c r="B2004" s="30">
        <f t="shared" si="70"/>
        <v>7</v>
      </c>
      <c r="C2004" s="30" t="str">
        <f>_xlfn.IFS(Table_13[[#This Row],[Month]]=1,"JAN",Table_13[[#This Row],[Month]]=2,"FEB",B2004=3,"MAR",B2004=4,"APR",B2004=5,"MAY",B2004=6,"JUN",B2004=7,"JUL",B2004=8,"AUG",Table_13[[#This Row],[Month]]=9,"SEPT",B2004=10,"OCT",B2004=11,"NOV",B2004=12,"DEC")</f>
        <v>JUL</v>
      </c>
      <c r="D2004" s="2" t="s">
        <v>25</v>
      </c>
      <c r="E2004" s="2" t="s">
        <v>19</v>
      </c>
      <c r="F2004" s="2" t="s">
        <v>13</v>
      </c>
      <c r="G2004" s="2" t="s">
        <v>20</v>
      </c>
      <c r="H2004" s="2" t="s">
        <v>33</v>
      </c>
      <c r="I2004" s="2" t="s">
        <v>22</v>
      </c>
      <c r="J2004" s="15">
        <v>180000</v>
      </c>
      <c r="K2004" s="2">
        <v>7</v>
      </c>
      <c r="L2004" s="2" t="s">
        <v>28</v>
      </c>
      <c r="M2004" s="12">
        <f t="shared" si="63"/>
        <v>144000</v>
      </c>
      <c r="N2004" s="10">
        <f>PRODUCT(Table_13[[#This Row],[Unit Price]],Table_13[[#This Row],[Quantity]])</f>
        <v>1260000</v>
      </c>
      <c r="O2004" s="16">
        <f>PRODUCT(Table_13[[#This Row],[Cost Price]],Table_13[[#This Row],[Quantity]])</f>
        <v>1008000</v>
      </c>
      <c r="P2004" s="27">
        <f t="shared" si="71"/>
        <v>252000</v>
      </c>
    </row>
    <row r="2005" spans="1:16" x14ac:dyDescent="0.2">
      <c r="A2005" s="33">
        <v>47679</v>
      </c>
      <c r="B2005" s="30">
        <f t="shared" si="70"/>
        <v>7</v>
      </c>
      <c r="C2005" s="30" t="str">
        <f>_xlfn.IFS(Table_13[[#This Row],[Month]]=1,"JAN",Table_13[[#This Row],[Month]]=2,"FEB",B2005=3,"MAR",B2005=4,"APR",B2005=5,"MAY",B2005=6,"JUN",B2005=7,"JUL",B2005=8,"AUG",Table_13[[#This Row],[Month]]=9,"SEPT",B2005=10,"OCT",B2005=11,"NOV",B2005=12,"DEC")</f>
        <v>JUL</v>
      </c>
      <c r="D2005" s="2" t="s">
        <v>11</v>
      </c>
      <c r="E2005" s="2" t="s">
        <v>12</v>
      </c>
      <c r="F2005" s="2" t="s">
        <v>13</v>
      </c>
      <c r="G2005" s="2" t="s">
        <v>20</v>
      </c>
      <c r="H2005" s="2" t="s">
        <v>34</v>
      </c>
      <c r="I2005" s="2" t="s">
        <v>16</v>
      </c>
      <c r="J2005" s="15">
        <v>320000</v>
      </c>
      <c r="K2005" s="2">
        <v>2</v>
      </c>
      <c r="L2005" s="2" t="s">
        <v>39</v>
      </c>
      <c r="M2005" s="12">
        <f t="shared" si="63"/>
        <v>256000</v>
      </c>
      <c r="N2005" s="10">
        <f>PRODUCT(Table_13[[#This Row],[Unit Price]],Table_13[[#This Row],[Quantity]])</f>
        <v>640000</v>
      </c>
      <c r="O2005" s="16">
        <f>PRODUCT(Table_13[[#This Row],[Cost Price]],Table_13[[#This Row],[Quantity]])</f>
        <v>512000</v>
      </c>
      <c r="P2005" s="27">
        <f t="shared" si="71"/>
        <v>128000</v>
      </c>
    </row>
    <row r="2006" spans="1:16" x14ac:dyDescent="0.2">
      <c r="A2006" s="33">
        <v>47680</v>
      </c>
      <c r="B2006" s="30">
        <f t="shared" si="70"/>
        <v>7</v>
      </c>
      <c r="C2006" s="30" t="str">
        <f>_xlfn.IFS(Table_13[[#This Row],[Month]]=1,"JAN",Table_13[[#This Row],[Month]]=2,"FEB",B2006=3,"MAR",B2006=4,"APR",B2006=5,"MAY",B2006=6,"JUN",B2006=7,"JUL",B2006=8,"AUG",Table_13[[#This Row],[Month]]=9,"SEPT",B2006=10,"OCT",B2006=11,"NOV",B2006=12,"DEC")</f>
        <v>JUL</v>
      </c>
      <c r="D2006" s="2" t="s">
        <v>29</v>
      </c>
      <c r="E2006" s="2" t="s">
        <v>12</v>
      </c>
      <c r="F2006" s="2" t="s">
        <v>23</v>
      </c>
      <c r="G2006" s="2" t="s">
        <v>20</v>
      </c>
      <c r="H2006" s="2" t="s">
        <v>34</v>
      </c>
      <c r="I2006" s="2" t="s">
        <v>16</v>
      </c>
      <c r="J2006" s="15">
        <v>320000</v>
      </c>
      <c r="K2006" s="2">
        <v>6</v>
      </c>
      <c r="L2006" s="2" t="s">
        <v>39</v>
      </c>
      <c r="M2006" s="12">
        <f t="shared" si="63"/>
        <v>256000</v>
      </c>
      <c r="N2006" s="10">
        <f>PRODUCT(Table_13[[#This Row],[Unit Price]],Table_13[[#This Row],[Quantity]])</f>
        <v>1920000</v>
      </c>
      <c r="O2006" s="16">
        <f>PRODUCT(Table_13[[#This Row],[Cost Price]],Table_13[[#This Row],[Quantity]])</f>
        <v>1536000</v>
      </c>
      <c r="P2006" s="27">
        <f t="shared" si="71"/>
        <v>384000</v>
      </c>
    </row>
    <row r="2007" spans="1:16" x14ac:dyDescent="0.2">
      <c r="A2007" s="33">
        <v>47681</v>
      </c>
      <c r="B2007" s="30">
        <f t="shared" si="70"/>
        <v>7</v>
      </c>
      <c r="C2007" s="30" t="str">
        <f>_xlfn.IFS(Table_13[[#This Row],[Month]]=1,"JAN",Table_13[[#This Row],[Month]]=2,"FEB",B2007=3,"MAR",B2007=4,"APR",B2007=5,"MAY",B2007=6,"JUN",B2007=7,"JUL",B2007=8,"AUG",Table_13[[#This Row],[Month]]=9,"SEPT",B2007=10,"OCT",B2007=11,"NOV",B2007=12,"DEC")</f>
        <v>JUL</v>
      </c>
      <c r="D2007" s="2" t="s">
        <v>18</v>
      </c>
      <c r="E2007" s="2" t="s">
        <v>26</v>
      </c>
      <c r="F2007" s="2" t="s">
        <v>23</v>
      </c>
      <c r="G2007" s="2" t="s">
        <v>14</v>
      </c>
      <c r="H2007" s="2" t="s">
        <v>21</v>
      </c>
      <c r="I2007" s="2" t="s">
        <v>22</v>
      </c>
      <c r="J2007" s="15">
        <v>30000</v>
      </c>
      <c r="K2007" s="2">
        <v>3</v>
      </c>
      <c r="L2007" s="2" t="s">
        <v>37</v>
      </c>
      <c r="M2007" s="12">
        <f t="shared" si="63"/>
        <v>24000</v>
      </c>
      <c r="N2007" s="10">
        <f>PRODUCT(Table_13[[#This Row],[Unit Price]],Table_13[[#This Row],[Quantity]])</f>
        <v>90000</v>
      </c>
      <c r="O2007" s="16">
        <f>PRODUCT(Table_13[[#This Row],[Cost Price]],Table_13[[#This Row],[Quantity]])</f>
        <v>72000</v>
      </c>
      <c r="P2007" s="27">
        <f t="shared" si="71"/>
        <v>18000</v>
      </c>
    </row>
    <row r="2008" spans="1:16" x14ac:dyDescent="0.2">
      <c r="A2008" s="33">
        <v>47682</v>
      </c>
      <c r="B2008" s="30">
        <f t="shared" si="70"/>
        <v>7</v>
      </c>
      <c r="C2008" s="30" t="str">
        <f>_xlfn.IFS(Table_13[[#This Row],[Month]]=1,"JAN",Table_13[[#This Row],[Month]]=2,"FEB",B2008=3,"MAR",B2008=4,"APR",B2008=5,"MAY",B2008=6,"JUN",B2008=7,"JUL",B2008=8,"AUG",Table_13[[#This Row],[Month]]=9,"SEPT",B2008=10,"OCT",B2008=11,"NOV",B2008=12,"DEC")</f>
        <v>JUL</v>
      </c>
      <c r="D2008" s="2" t="s">
        <v>29</v>
      </c>
      <c r="E2008" s="2" t="s">
        <v>12</v>
      </c>
      <c r="F2008" s="2" t="s">
        <v>13</v>
      </c>
      <c r="G2008" s="2" t="s">
        <v>14</v>
      </c>
      <c r="H2008" s="2" t="s">
        <v>38</v>
      </c>
      <c r="I2008" s="2" t="s">
        <v>31</v>
      </c>
      <c r="J2008" s="15">
        <v>420000</v>
      </c>
      <c r="K2008" s="2">
        <v>3</v>
      </c>
      <c r="L2008" s="2" t="s">
        <v>17</v>
      </c>
      <c r="M2008" s="12">
        <f t="shared" si="63"/>
        <v>336000</v>
      </c>
      <c r="N2008" s="10">
        <f>PRODUCT(Table_13[[#This Row],[Unit Price]],Table_13[[#This Row],[Quantity]])</f>
        <v>1260000</v>
      </c>
      <c r="O2008" s="16">
        <f>PRODUCT(Table_13[[#This Row],[Cost Price]],Table_13[[#This Row],[Quantity]])</f>
        <v>1008000</v>
      </c>
      <c r="P2008" s="27">
        <f t="shared" si="71"/>
        <v>252000</v>
      </c>
    </row>
    <row r="2009" spans="1:16" x14ac:dyDescent="0.2">
      <c r="A2009" s="33">
        <v>47683</v>
      </c>
      <c r="B2009" s="30">
        <f t="shared" si="70"/>
        <v>7</v>
      </c>
      <c r="C2009" s="30" t="str">
        <f>_xlfn.IFS(Table_13[[#This Row],[Month]]=1,"JAN",Table_13[[#This Row],[Month]]=2,"FEB",B2009=3,"MAR",B2009=4,"APR",B2009=5,"MAY",B2009=6,"JUN",B2009=7,"JUL",B2009=8,"AUG",Table_13[[#This Row],[Month]]=9,"SEPT",B2009=10,"OCT",B2009=11,"NOV",B2009=12,"DEC")</f>
        <v>JUL</v>
      </c>
      <c r="D2009" s="2" t="s">
        <v>25</v>
      </c>
      <c r="E2009" s="2" t="s">
        <v>19</v>
      </c>
      <c r="F2009" s="2" t="s">
        <v>13</v>
      </c>
      <c r="G2009" s="2" t="s">
        <v>20</v>
      </c>
      <c r="H2009" s="2" t="s">
        <v>21</v>
      </c>
      <c r="I2009" s="2" t="s">
        <v>22</v>
      </c>
      <c r="J2009" s="15">
        <v>30000</v>
      </c>
      <c r="K2009" s="2">
        <v>9</v>
      </c>
      <c r="L2009" s="2" t="s">
        <v>35</v>
      </c>
      <c r="M2009" s="12">
        <f t="shared" si="63"/>
        <v>24000</v>
      </c>
      <c r="N2009" s="10">
        <f>PRODUCT(Table_13[[#This Row],[Unit Price]],Table_13[[#This Row],[Quantity]])</f>
        <v>270000</v>
      </c>
      <c r="O2009" s="16">
        <f>PRODUCT(Table_13[[#This Row],[Cost Price]],Table_13[[#This Row],[Quantity]])</f>
        <v>216000</v>
      </c>
      <c r="P2009" s="27">
        <f t="shared" si="71"/>
        <v>54000</v>
      </c>
    </row>
    <row r="2010" spans="1:16" x14ac:dyDescent="0.2">
      <c r="A2010" s="33">
        <v>47684</v>
      </c>
      <c r="B2010" s="30">
        <f t="shared" si="70"/>
        <v>7</v>
      </c>
      <c r="C2010" s="30" t="str">
        <f>_xlfn.IFS(Table_13[[#This Row],[Month]]=1,"JAN",Table_13[[#This Row],[Month]]=2,"FEB",B2010=3,"MAR",B2010=4,"APR",B2010=5,"MAY",B2010=6,"JUN",B2010=7,"JUL",B2010=8,"AUG",Table_13[[#This Row],[Month]]=9,"SEPT",B2010=10,"OCT",B2010=11,"NOV",B2010=12,"DEC")</f>
        <v>JUL</v>
      </c>
      <c r="D2010" s="2" t="s">
        <v>18</v>
      </c>
      <c r="E2010" s="2" t="s">
        <v>12</v>
      </c>
      <c r="F2010" s="2" t="s">
        <v>23</v>
      </c>
      <c r="G2010" s="2" t="s">
        <v>20</v>
      </c>
      <c r="H2010" s="2" t="s">
        <v>34</v>
      </c>
      <c r="I2010" s="2" t="s">
        <v>16</v>
      </c>
      <c r="J2010" s="15">
        <v>320000</v>
      </c>
      <c r="K2010" s="2">
        <v>4</v>
      </c>
      <c r="L2010" s="2" t="s">
        <v>17</v>
      </c>
      <c r="M2010" s="12">
        <f t="shared" si="63"/>
        <v>256000</v>
      </c>
      <c r="N2010" s="10">
        <f>PRODUCT(Table_13[[#This Row],[Unit Price]],Table_13[[#This Row],[Quantity]])</f>
        <v>1280000</v>
      </c>
      <c r="O2010" s="16">
        <f>PRODUCT(Table_13[[#This Row],[Cost Price]],Table_13[[#This Row],[Quantity]])</f>
        <v>1024000</v>
      </c>
      <c r="P2010" s="27">
        <f t="shared" si="71"/>
        <v>256000</v>
      </c>
    </row>
    <row r="2011" spans="1:16" x14ac:dyDescent="0.2">
      <c r="A2011" s="33">
        <v>47685</v>
      </c>
      <c r="B2011" s="30">
        <f t="shared" si="70"/>
        <v>7</v>
      </c>
      <c r="C2011" s="30" t="str">
        <f>_xlfn.IFS(Table_13[[#This Row],[Month]]=1,"JAN",Table_13[[#This Row],[Month]]=2,"FEB",B2011=3,"MAR",B2011=4,"APR",B2011=5,"MAY",B2011=6,"JUN",B2011=7,"JUL",B2011=8,"AUG",Table_13[[#This Row],[Month]]=9,"SEPT",B2011=10,"OCT",B2011=11,"NOV",B2011=12,"DEC")</f>
        <v>JUL</v>
      </c>
      <c r="D2011" s="2" t="s">
        <v>29</v>
      </c>
      <c r="E2011" s="2" t="s">
        <v>32</v>
      </c>
      <c r="F2011" s="2" t="s">
        <v>23</v>
      </c>
      <c r="G2011" s="2" t="s">
        <v>20</v>
      </c>
      <c r="H2011" s="2" t="s">
        <v>36</v>
      </c>
      <c r="I2011" s="2" t="s">
        <v>31</v>
      </c>
      <c r="J2011" s="15">
        <v>150000</v>
      </c>
      <c r="K2011" s="2">
        <v>5</v>
      </c>
      <c r="L2011" s="2" t="s">
        <v>24</v>
      </c>
      <c r="M2011" s="12">
        <f t="shared" si="63"/>
        <v>120000</v>
      </c>
      <c r="N2011" s="10">
        <f>PRODUCT(Table_13[[#This Row],[Unit Price]],Table_13[[#This Row],[Quantity]])</f>
        <v>750000</v>
      </c>
      <c r="O2011" s="16">
        <f>PRODUCT(Table_13[[#This Row],[Cost Price]],Table_13[[#This Row],[Quantity]])</f>
        <v>600000</v>
      </c>
      <c r="P2011" s="27">
        <f t="shared" si="71"/>
        <v>150000</v>
      </c>
    </row>
    <row r="2012" spans="1:16" x14ac:dyDescent="0.2">
      <c r="A2012" s="33">
        <v>47686</v>
      </c>
      <c r="B2012" s="30">
        <f t="shared" si="70"/>
        <v>7</v>
      </c>
      <c r="C2012" s="30" t="str">
        <f>_xlfn.IFS(Table_13[[#This Row],[Month]]=1,"JAN",Table_13[[#This Row],[Month]]=2,"FEB",B2012=3,"MAR",B2012=4,"APR",B2012=5,"MAY",B2012=6,"JUN",B2012=7,"JUL",B2012=8,"AUG",Table_13[[#This Row],[Month]]=9,"SEPT",B2012=10,"OCT",B2012=11,"NOV",B2012=12,"DEC")</f>
        <v>JUL</v>
      </c>
      <c r="D2012" s="2" t="s">
        <v>25</v>
      </c>
      <c r="E2012" s="2" t="s">
        <v>12</v>
      </c>
      <c r="F2012" s="2" t="s">
        <v>23</v>
      </c>
      <c r="G2012" s="2" t="s">
        <v>20</v>
      </c>
      <c r="H2012" s="2" t="s">
        <v>15</v>
      </c>
      <c r="I2012" s="2" t="s">
        <v>16</v>
      </c>
      <c r="J2012" s="15">
        <v>85000</v>
      </c>
      <c r="K2012" s="2">
        <v>8</v>
      </c>
      <c r="L2012" s="2" t="s">
        <v>35</v>
      </c>
      <c r="M2012" s="12">
        <f t="shared" si="63"/>
        <v>68000</v>
      </c>
      <c r="N2012" s="10">
        <f>PRODUCT(Table_13[[#This Row],[Unit Price]],Table_13[[#This Row],[Quantity]])</f>
        <v>680000</v>
      </c>
      <c r="O2012" s="16">
        <f>PRODUCT(Table_13[[#This Row],[Cost Price]],Table_13[[#This Row],[Quantity]])</f>
        <v>544000</v>
      </c>
      <c r="P2012" s="27">
        <f t="shared" si="71"/>
        <v>136000</v>
      </c>
    </row>
    <row r="2013" spans="1:16" x14ac:dyDescent="0.2">
      <c r="A2013" s="33">
        <v>47687</v>
      </c>
      <c r="B2013" s="30">
        <f t="shared" si="70"/>
        <v>7</v>
      </c>
      <c r="C2013" s="30" t="str">
        <f>_xlfn.IFS(Table_13[[#This Row],[Month]]=1,"JAN",Table_13[[#This Row],[Month]]=2,"FEB",B2013=3,"MAR",B2013=4,"APR",B2013=5,"MAY",B2013=6,"JUN",B2013=7,"JUL",B2013=8,"AUG",Table_13[[#This Row],[Month]]=9,"SEPT",B2013=10,"OCT",B2013=11,"NOV",B2013=12,"DEC")</f>
        <v>JUL</v>
      </c>
      <c r="D2013" s="2" t="s">
        <v>29</v>
      </c>
      <c r="E2013" s="2" t="s">
        <v>32</v>
      </c>
      <c r="F2013" s="2" t="s">
        <v>13</v>
      </c>
      <c r="G2013" s="2" t="s">
        <v>20</v>
      </c>
      <c r="H2013" s="2" t="s">
        <v>27</v>
      </c>
      <c r="I2013" s="2" t="s">
        <v>22</v>
      </c>
      <c r="J2013" s="15">
        <v>60000</v>
      </c>
      <c r="K2013" s="2">
        <v>1</v>
      </c>
      <c r="L2013" s="2" t="s">
        <v>17</v>
      </c>
      <c r="M2013" s="12">
        <f t="shared" si="63"/>
        <v>48000</v>
      </c>
      <c r="N2013" s="10">
        <f>PRODUCT(Table_13[[#This Row],[Unit Price]],Table_13[[#This Row],[Quantity]])</f>
        <v>60000</v>
      </c>
      <c r="O2013" s="16">
        <f>PRODUCT(Table_13[[#This Row],[Cost Price]],Table_13[[#This Row],[Quantity]])</f>
        <v>48000</v>
      </c>
      <c r="P2013" s="27">
        <f t="shared" si="71"/>
        <v>12000</v>
      </c>
    </row>
    <row r="2014" spans="1:16" x14ac:dyDescent="0.2">
      <c r="A2014" s="33">
        <v>47688</v>
      </c>
      <c r="B2014" s="30">
        <f t="shared" si="70"/>
        <v>7</v>
      </c>
      <c r="C2014" s="30" t="str">
        <f>_xlfn.IFS(Table_13[[#This Row],[Month]]=1,"JAN",Table_13[[#This Row],[Month]]=2,"FEB",B2014=3,"MAR",B2014=4,"APR",B2014=5,"MAY",B2014=6,"JUN",B2014=7,"JUL",B2014=8,"AUG",Table_13[[#This Row],[Month]]=9,"SEPT",B2014=10,"OCT",B2014=11,"NOV",B2014=12,"DEC")</f>
        <v>JUL</v>
      </c>
      <c r="D2014" s="2" t="s">
        <v>25</v>
      </c>
      <c r="E2014" s="2" t="s">
        <v>19</v>
      </c>
      <c r="F2014" s="2" t="s">
        <v>13</v>
      </c>
      <c r="G2014" s="2" t="s">
        <v>14</v>
      </c>
      <c r="H2014" s="2" t="s">
        <v>41</v>
      </c>
      <c r="I2014" s="2" t="s">
        <v>22</v>
      </c>
      <c r="J2014" s="15">
        <v>220000</v>
      </c>
      <c r="K2014" s="2">
        <v>3</v>
      </c>
      <c r="L2014" s="2" t="s">
        <v>28</v>
      </c>
      <c r="M2014" s="12">
        <f t="shared" si="63"/>
        <v>176000</v>
      </c>
      <c r="N2014" s="10">
        <f>PRODUCT(Table_13[[#This Row],[Unit Price]],Table_13[[#This Row],[Quantity]])</f>
        <v>660000</v>
      </c>
      <c r="O2014" s="16">
        <f>PRODUCT(Table_13[[#This Row],[Cost Price]],Table_13[[#This Row],[Quantity]])</f>
        <v>528000</v>
      </c>
      <c r="P2014" s="27">
        <f t="shared" si="71"/>
        <v>132000</v>
      </c>
    </row>
    <row r="2015" spans="1:16" x14ac:dyDescent="0.2">
      <c r="A2015" s="33">
        <v>47689</v>
      </c>
      <c r="B2015" s="30">
        <f t="shared" si="70"/>
        <v>7</v>
      </c>
      <c r="C2015" s="30" t="str">
        <f>_xlfn.IFS(Table_13[[#This Row],[Month]]=1,"JAN",Table_13[[#This Row],[Month]]=2,"FEB",B2015=3,"MAR",B2015=4,"APR",B2015=5,"MAY",B2015=6,"JUN",B2015=7,"JUL",B2015=8,"AUG",Table_13[[#This Row],[Month]]=9,"SEPT",B2015=10,"OCT",B2015=11,"NOV",B2015=12,"DEC")</f>
        <v>JUL</v>
      </c>
      <c r="D2015" s="2" t="s">
        <v>11</v>
      </c>
      <c r="E2015" s="2" t="s">
        <v>32</v>
      </c>
      <c r="F2015" s="2" t="s">
        <v>23</v>
      </c>
      <c r="G2015" s="2" t="s">
        <v>14</v>
      </c>
      <c r="H2015" s="2" t="s">
        <v>33</v>
      </c>
      <c r="I2015" s="2" t="s">
        <v>22</v>
      </c>
      <c r="J2015" s="15">
        <v>180000</v>
      </c>
      <c r="K2015" s="2">
        <v>2</v>
      </c>
      <c r="L2015" s="2" t="s">
        <v>37</v>
      </c>
      <c r="M2015" s="12">
        <f t="shared" si="63"/>
        <v>144000</v>
      </c>
      <c r="N2015" s="10">
        <f>PRODUCT(Table_13[[#This Row],[Unit Price]],Table_13[[#This Row],[Quantity]])</f>
        <v>360000</v>
      </c>
      <c r="O2015" s="16">
        <f>PRODUCT(Table_13[[#This Row],[Cost Price]],Table_13[[#This Row],[Quantity]])</f>
        <v>288000</v>
      </c>
      <c r="P2015" s="27">
        <f t="shared" si="71"/>
        <v>72000</v>
      </c>
    </row>
    <row r="2016" spans="1:16" x14ac:dyDescent="0.2">
      <c r="A2016" s="33">
        <v>47690</v>
      </c>
      <c r="B2016" s="30">
        <f t="shared" si="70"/>
        <v>7</v>
      </c>
      <c r="C2016" s="30" t="str">
        <f>_xlfn.IFS(Table_13[[#This Row],[Month]]=1,"JAN",Table_13[[#This Row],[Month]]=2,"FEB",B2016=3,"MAR",B2016=4,"APR",B2016=5,"MAY",B2016=6,"JUN",B2016=7,"JUL",B2016=8,"AUG",Table_13[[#This Row],[Month]]=9,"SEPT",B2016=10,"OCT",B2016=11,"NOV",B2016=12,"DEC")</f>
        <v>JUL</v>
      </c>
      <c r="D2016" s="2" t="s">
        <v>25</v>
      </c>
      <c r="E2016" s="2" t="s">
        <v>12</v>
      </c>
      <c r="F2016" s="2" t="s">
        <v>23</v>
      </c>
      <c r="G2016" s="2" t="s">
        <v>14</v>
      </c>
      <c r="H2016" s="2" t="s">
        <v>40</v>
      </c>
      <c r="I2016" s="2" t="s">
        <v>31</v>
      </c>
      <c r="J2016" s="15">
        <v>250000</v>
      </c>
      <c r="K2016" s="2">
        <v>9</v>
      </c>
      <c r="L2016" s="2" t="s">
        <v>24</v>
      </c>
      <c r="M2016" s="12">
        <f t="shared" si="63"/>
        <v>200000</v>
      </c>
      <c r="N2016" s="10">
        <f>PRODUCT(Table_13[[#This Row],[Unit Price]],Table_13[[#This Row],[Quantity]])</f>
        <v>2250000</v>
      </c>
      <c r="O2016" s="16">
        <f>PRODUCT(Table_13[[#This Row],[Cost Price]],Table_13[[#This Row],[Quantity]])</f>
        <v>1800000</v>
      </c>
      <c r="P2016" s="27">
        <f t="shared" si="71"/>
        <v>450000</v>
      </c>
    </row>
    <row r="2017" spans="1:16" x14ac:dyDescent="0.2">
      <c r="A2017" s="33">
        <v>47691</v>
      </c>
      <c r="B2017" s="30">
        <f t="shared" si="70"/>
        <v>7</v>
      </c>
      <c r="C2017" s="30" t="str">
        <f>_xlfn.IFS(Table_13[[#This Row],[Month]]=1,"JAN",Table_13[[#This Row],[Month]]=2,"FEB",B2017=3,"MAR",B2017=4,"APR",B2017=5,"MAY",B2017=6,"JUN",B2017=7,"JUL",B2017=8,"AUG",Table_13[[#This Row],[Month]]=9,"SEPT",B2017=10,"OCT",B2017=11,"NOV",B2017=12,"DEC")</f>
        <v>JUL</v>
      </c>
      <c r="D2017" s="2" t="s">
        <v>11</v>
      </c>
      <c r="E2017" s="2" t="s">
        <v>12</v>
      </c>
      <c r="F2017" s="2" t="s">
        <v>23</v>
      </c>
      <c r="G2017" s="2" t="s">
        <v>14</v>
      </c>
      <c r="H2017" s="2" t="s">
        <v>30</v>
      </c>
      <c r="I2017" s="2" t="s">
        <v>31</v>
      </c>
      <c r="J2017" s="15">
        <v>300000</v>
      </c>
      <c r="K2017" s="2">
        <v>8</v>
      </c>
      <c r="L2017" s="2" t="s">
        <v>37</v>
      </c>
      <c r="M2017" s="12">
        <f t="shared" si="63"/>
        <v>240000</v>
      </c>
      <c r="N2017" s="10">
        <f>PRODUCT(Table_13[[#This Row],[Unit Price]],Table_13[[#This Row],[Quantity]])</f>
        <v>2400000</v>
      </c>
      <c r="O2017" s="16">
        <f>PRODUCT(Table_13[[#This Row],[Cost Price]],Table_13[[#This Row],[Quantity]])</f>
        <v>1920000</v>
      </c>
      <c r="P2017" s="27">
        <f t="shared" si="71"/>
        <v>480000</v>
      </c>
    </row>
    <row r="2018" spans="1:16" x14ac:dyDescent="0.2">
      <c r="A2018" s="33">
        <v>47692</v>
      </c>
      <c r="B2018" s="30">
        <f t="shared" si="70"/>
        <v>7</v>
      </c>
      <c r="C2018" s="30" t="str">
        <f>_xlfn.IFS(Table_13[[#This Row],[Month]]=1,"JAN",Table_13[[#This Row],[Month]]=2,"FEB",B2018=3,"MAR",B2018=4,"APR",B2018=5,"MAY",B2018=6,"JUN",B2018=7,"JUL",B2018=8,"AUG",Table_13[[#This Row],[Month]]=9,"SEPT",B2018=10,"OCT",B2018=11,"NOV",B2018=12,"DEC")</f>
        <v>JUL</v>
      </c>
      <c r="D2018" s="2" t="s">
        <v>11</v>
      </c>
      <c r="E2018" s="2" t="s">
        <v>19</v>
      </c>
      <c r="F2018" s="2" t="s">
        <v>13</v>
      </c>
      <c r="G2018" s="2" t="s">
        <v>14</v>
      </c>
      <c r="H2018" s="2" t="s">
        <v>36</v>
      </c>
      <c r="I2018" s="2" t="s">
        <v>31</v>
      </c>
      <c r="J2018" s="15">
        <v>150000</v>
      </c>
      <c r="K2018" s="2">
        <v>6</v>
      </c>
      <c r="L2018" s="2" t="s">
        <v>17</v>
      </c>
      <c r="M2018" s="12">
        <f t="shared" si="63"/>
        <v>120000</v>
      </c>
      <c r="N2018" s="10">
        <f>PRODUCT(Table_13[[#This Row],[Unit Price]],Table_13[[#This Row],[Quantity]])</f>
        <v>900000</v>
      </c>
      <c r="O2018" s="16">
        <f>PRODUCT(Table_13[[#This Row],[Cost Price]],Table_13[[#This Row],[Quantity]])</f>
        <v>720000</v>
      </c>
      <c r="P2018" s="27">
        <f t="shared" si="71"/>
        <v>180000</v>
      </c>
    </row>
    <row r="2019" spans="1:16" x14ac:dyDescent="0.2">
      <c r="A2019" s="33">
        <v>47693</v>
      </c>
      <c r="B2019" s="30">
        <f t="shared" si="70"/>
        <v>7</v>
      </c>
      <c r="C2019" s="30" t="str">
        <f>_xlfn.IFS(Table_13[[#This Row],[Month]]=1,"JAN",Table_13[[#This Row],[Month]]=2,"FEB",B2019=3,"MAR",B2019=4,"APR",B2019=5,"MAY",B2019=6,"JUN",B2019=7,"JUL",B2019=8,"AUG",Table_13[[#This Row],[Month]]=9,"SEPT",B2019=10,"OCT",B2019=11,"NOV",B2019=12,"DEC")</f>
        <v>JUL</v>
      </c>
      <c r="D2019" s="2" t="s">
        <v>29</v>
      </c>
      <c r="E2019" s="2" t="s">
        <v>32</v>
      </c>
      <c r="F2019" s="2" t="s">
        <v>23</v>
      </c>
      <c r="G2019" s="2" t="s">
        <v>20</v>
      </c>
      <c r="H2019" s="2" t="s">
        <v>15</v>
      </c>
      <c r="I2019" s="2" t="s">
        <v>16</v>
      </c>
      <c r="J2019" s="15">
        <v>85000</v>
      </c>
      <c r="K2019" s="2">
        <v>9</v>
      </c>
      <c r="L2019" s="2" t="s">
        <v>28</v>
      </c>
      <c r="M2019" s="12">
        <f t="shared" si="63"/>
        <v>68000</v>
      </c>
      <c r="N2019" s="10">
        <f>PRODUCT(Table_13[[#This Row],[Unit Price]],Table_13[[#This Row],[Quantity]])</f>
        <v>765000</v>
      </c>
      <c r="O2019" s="16">
        <f>PRODUCT(Table_13[[#This Row],[Cost Price]],Table_13[[#This Row],[Quantity]])</f>
        <v>612000</v>
      </c>
      <c r="P2019" s="27">
        <f t="shared" si="71"/>
        <v>153000</v>
      </c>
    </row>
    <row r="2020" spans="1:16" x14ac:dyDescent="0.2">
      <c r="A2020" s="33">
        <v>47694</v>
      </c>
      <c r="B2020" s="30">
        <f t="shared" si="70"/>
        <v>7</v>
      </c>
      <c r="C2020" s="30" t="str">
        <f>_xlfn.IFS(Table_13[[#This Row],[Month]]=1,"JAN",Table_13[[#This Row],[Month]]=2,"FEB",B2020=3,"MAR",B2020=4,"APR",B2020=5,"MAY",B2020=6,"JUN",B2020=7,"JUL",B2020=8,"AUG",Table_13[[#This Row],[Month]]=9,"SEPT",B2020=10,"OCT",B2020=11,"NOV",B2020=12,"DEC")</f>
        <v>JUL</v>
      </c>
      <c r="D2020" s="2" t="s">
        <v>29</v>
      </c>
      <c r="E2020" s="2" t="s">
        <v>26</v>
      </c>
      <c r="F2020" s="2" t="s">
        <v>23</v>
      </c>
      <c r="G2020" s="2" t="s">
        <v>14</v>
      </c>
      <c r="H2020" s="2" t="s">
        <v>27</v>
      </c>
      <c r="I2020" s="2" t="s">
        <v>22</v>
      </c>
      <c r="J2020" s="15">
        <v>60000</v>
      </c>
      <c r="K2020" s="2">
        <v>3</v>
      </c>
      <c r="L2020" s="2" t="s">
        <v>24</v>
      </c>
      <c r="M2020" s="12">
        <f t="shared" si="63"/>
        <v>48000</v>
      </c>
      <c r="N2020" s="10">
        <f>PRODUCT(Table_13[[#This Row],[Unit Price]],Table_13[[#This Row],[Quantity]])</f>
        <v>180000</v>
      </c>
      <c r="O2020" s="16">
        <f>PRODUCT(Table_13[[#This Row],[Cost Price]],Table_13[[#This Row],[Quantity]])</f>
        <v>144000</v>
      </c>
      <c r="P2020" s="27">
        <f t="shared" si="71"/>
        <v>36000</v>
      </c>
    </row>
    <row r="2021" spans="1:16" x14ac:dyDescent="0.2">
      <c r="A2021" s="33">
        <v>47695</v>
      </c>
      <c r="B2021" s="30">
        <f t="shared" si="70"/>
        <v>7</v>
      </c>
      <c r="C2021" s="30" t="str">
        <f>_xlfn.IFS(Table_13[[#This Row],[Month]]=1,"JAN",Table_13[[#This Row],[Month]]=2,"FEB",B2021=3,"MAR",B2021=4,"APR",B2021=5,"MAY",B2021=6,"JUN",B2021=7,"JUL",B2021=8,"AUG",Table_13[[#This Row],[Month]]=9,"SEPT",B2021=10,"OCT",B2021=11,"NOV",B2021=12,"DEC")</f>
        <v>JUL</v>
      </c>
      <c r="D2021" s="2" t="s">
        <v>25</v>
      </c>
      <c r="E2021" s="2" t="s">
        <v>32</v>
      </c>
      <c r="F2021" s="2" t="s">
        <v>13</v>
      </c>
      <c r="G2021" s="2" t="s">
        <v>20</v>
      </c>
      <c r="H2021" s="2" t="s">
        <v>38</v>
      </c>
      <c r="I2021" s="2" t="s">
        <v>31</v>
      </c>
      <c r="J2021" s="15">
        <v>420000</v>
      </c>
      <c r="K2021" s="2">
        <v>7</v>
      </c>
      <c r="L2021" s="2" t="s">
        <v>35</v>
      </c>
      <c r="M2021" s="12">
        <f t="shared" si="63"/>
        <v>336000</v>
      </c>
      <c r="N2021" s="10">
        <f>PRODUCT(Table_13[[#This Row],[Unit Price]],Table_13[[#This Row],[Quantity]])</f>
        <v>2940000</v>
      </c>
      <c r="O2021" s="16">
        <f>PRODUCT(Table_13[[#This Row],[Cost Price]],Table_13[[#This Row],[Quantity]])</f>
        <v>2352000</v>
      </c>
      <c r="P2021" s="27">
        <f t="shared" si="71"/>
        <v>588000</v>
      </c>
    </row>
    <row r="2022" spans="1:16" x14ac:dyDescent="0.2">
      <c r="A2022" s="33">
        <v>47696</v>
      </c>
      <c r="B2022" s="30">
        <f t="shared" si="70"/>
        <v>8</v>
      </c>
      <c r="C2022" s="30" t="str">
        <f>_xlfn.IFS(Table_13[[#This Row],[Month]]=1,"JAN",Table_13[[#This Row],[Month]]=2,"FEB",B2022=3,"MAR",B2022=4,"APR",B2022=5,"MAY",B2022=6,"JUN",B2022=7,"JUL",B2022=8,"AUG",Table_13[[#This Row],[Month]]=9,"SEPT",B2022=10,"OCT",B2022=11,"NOV",B2022=12,"DEC")</f>
        <v>AUG</v>
      </c>
      <c r="D2022" s="2" t="s">
        <v>25</v>
      </c>
      <c r="E2022" s="2" t="s">
        <v>12</v>
      </c>
      <c r="F2022" s="2" t="s">
        <v>23</v>
      </c>
      <c r="G2022" s="2" t="s">
        <v>14</v>
      </c>
      <c r="H2022" s="2" t="s">
        <v>15</v>
      </c>
      <c r="I2022" s="2" t="s">
        <v>16</v>
      </c>
      <c r="J2022" s="15">
        <v>85000</v>
      </c>
      <c r="K2022" s="2">
        <v>5</v>
      </c>
      <c r="L2022" s="2" t="s">
        <v>24</v>
      </c>
      <c r="M2022" s="12">
        <f t="shared" si="63"/>
        <v>68000</v>
      </c>
      <c r="N2022" s="10">
        <f>PRODUCT(Table_13[[#This Row],[Unit Price]],Table_13[[#This Row],[Quantity]])</f>
        <v>425000</v>
      </c>
      <c r="O2022" s="16">
        <f>PRODUCT(Table_13[[#This Row],[Cost Price]],Table_13[[#This Row],[Quantity]])</f>
        <v>340000</v>
      </c>
      <c r="P2022" s="27">
        <f t="shared" si="71"/>
        <v>85000</v>
      </c>
    </row>
    <row r="2023" spans="1:16" x14ac:dyDescent="0.2">
      <c r="A2023" s="33">
        <v>47697</v>
      </c>
      <c r="B2023" s="30">
        <f t="shared" si="70"/>
        <v>8</v>
      </c>
      <c r="C2023" s="30" t="str">
        <f>_xlfn.IFS(Table_13[[#This Row],[Month]]=1,"JAN",Table_13[[#This Row],[Month]]=2,"FEB",B2023=3,"MAR",B2023=4,"APR",B2023=5,"MAY",B2023=6,"JUN",B2023=7,"JUL",B2023=8,"AUG",Table_13[[#This Row],[Month]]=9,"SEPT",B2023=10,"OCT",B2023=11,"NOV",B2023=12,"DEC")</f>
        <v>AUG</v>
      </c>
      <c r="D2023" s="2" t="s">
        <v>18</v>
      </c>
      <c r="E2023" s="2" t="s">
        <v>12</v>
      </c>
      <c r="F2023" s="2" t="s">
        <v>23</v>
      </c>
      <c r="G2023" s="2" t="s">
        <v>14</v>
      </c>
      <c r="H2023" s="2" t="s">
        <v>27</v>
      </c>
      <c r="I2023" s="2" t="s">
        <v>22</v>
      </c>
      <c r="J2023" s="15">
        <v>60000</v>
      </c>
      <c r="K2023" s="2">
        <v>7</v>
      </c>
      <c r="L2023" s="2" t="s">
        <v>24</v>
      </c>
      <c r="M2023" s="12">
        <f t="shared" si="63"/>
        <v>48000</v>
      </c>
      <c r="N2023" s="10">
        <f>PRODUCT(Table_13[[#This Row],[Unit Price]],Table_13[[#This Row],[Quantity]])</f>
        <v>420000</v>
      </c>
      <c r="O2023" s="16">
        <f>PRODUCT(Table_13[[#This Row],[Cost Price]],Table_13[[#This Row],[Quantity]])</f>
        <v>336000</v>
      </c>
      <c r="P2023" s="27">
        <f t="shared" si="71"/>
        <v>84000</v>
      </c>
    </row>
    <row r="2024" spans="1:16" x14ac:dyDescent="0.2">
      <c r="A2024" s="33">
        <v>47698</v>
      </c>
      <c r="B2024" s="30">
        <f t="shared" si="70"/>
        <v>8</v>
      </c>
      <c r="C2024" s="30" t="str">
        <f>_xlfn.IFS(Table_13[[#This Row],[Month]]=1,"JAN",Table_13[[#This Row],[Month]]=2,"FEB",B2024=3,"MAR",B2024=4,"APR",B2024=5,"MAY",B2024=6,"JUN",B2024=7,"JUL",B2024=8,"AUG",Table_13[[#This Row],[Month]]=9,"SEPT",B2024=10,"OCT",B2024=11,"NOV",B2024=12,"DEC")</f>
        <v>AUG</v>
      </c>
      <c r="D2024" s="2" t="s">
        <v>18</v>
      </c>
      <c r="E2024" s="2" t="s">
        <v>32</v>
      </c>
      <c r="F2024" s="2" t="s">
        <v>13</v>
      </c>
      <c r="G2024" s="2" t="s">
        <v>14</v>
      </c>
      <c r="H2024" s="2" t="s">
        <v>33</v>
      </c>
      <c r="I2024" s="2" t="s">
        <v>22</v>
      </c>
      <c r="J2024" s="15">
        <v>180000</v>
      </c>
      <c r="K2024" s="2">
        <v>2</v>
      </c>
      <c r="L2024" s="2" t="s">
        <v>35</v>
      </c>
      <c r="M2024" s="12">
        <f t="shared" si="63"/>
        <v>144000</v>
      </c>
      <c r="N2024" s="10">
        <f>PRODUCT(Table_13[[#This Row],[Unit Price]],Table_13[[#This Row],[Quantity]])</f>
        <v>360000</v>
      </c>
      <c r="O2024" s="16">
        <f>PRODUCT(Table_13[[#This Row],[Cost Price]],Table_13[[#This Row],[Quantity]])</f>
        <v>288000</v>
      </c>
      <c r="P2024" s="27">
        <f t="shared" si="71"/>
        <v>72000</v>
      </c>
    </row>
    <row r="2025" spans="1:16" x14ac:dyDescent="0.2">
      <c r="A2025" s="33">
        <v>47699</v>
      </c>
      <c r="B2025" s="30">
        <f t="shared" si="70"/>
        <v>8</v>
      </c>
      <c r="C2025" s="30" t="str">
        <f>_xlfn.IFS(Table_13[[#This Row],[Month]]=1,"JAN",Table_13[[#This Row],[Month]]=2,"FEB",B2025=3,"MAR",B2025=4,"APR",B2025=5,"MAY",B2025=6,"JUN",B2025=7,"JUL",B2025=8,"AUG",Table_13[[#This Row],[Month]]=9,"SEPT",B2025=10,"OCT",B2025=11,"NOV",B2025=12,"DEC")</f>
        <v>AUG</v>
      </c>
      <c r="D2025" s="2" t="s">
        <v>11</v>
      </c>
      <c r="E2025" s="2" t="s">
        <v>12</v>
      </c>
      <c r="F2025" s="2" t="s">
        <v>23</v>
      </c>
      <c r="G2025" s="2" t="s">
        <v>20</v>
      </c>
      <c r="H2025" s="2" t="s">
        <v>40</v>
      </c>
      <c r="I2025" s="2" t="s">
        <v>31</v>
      </c>
      <c r="J2025" s="15">
        <v>250000</v>
      </c>
      <c r="K2025" s="2">
        <v>3</v>
      </c>
      <c r="L2025" s="2" t="s">
        <v>37</v>
      </c>
      <c r="M2025" s="12">
        <f t="shared" si="63"/>
        <v>200000</v>
      </c>
      <c r="N2025" s="10">
        <f>PRODUCT(Table_13[[#This Row],[Unit Price]],Table_13[[#This Row],[Quantity]])</f>
        <v>750000</v>
      </c>
      <c r="O2025" s="16">
        <f>PRODUCT(Table_13[[#This Row],[Cost Price]],Table_13[[#This Row],[Quantity]])</f>
        <v>600000</v>
      </c>
      <c r="P2025" s="27">
        <f t="shared" si="71"/>
        <v>150000</v>
      </c>
    </row>
    <row r="2026" spans="1:16" x14ac:dyDescent="0.2">
      <c r="A2026" s="33">
        <v>47700</v>
      </c>
      <c r="B2026" s="30">
        <f t="shared" si="70"/>
        <v>8</v>
      </c>
      <c r="C2026" s="30" t="str">
        <f>_xlfn.IFS(Table_13[[#This Row],[Month]]=1,"JAN",Table_13[[#This Row],[Month]]=2,"FEB",B2026=3,"MAR",B2026=4,"APR",B2026=5,"MAY",B2026=6,"JUN",B2026=7,"JUL",B2026=8,"AUG",Table_13[[#This Row],[Month]]=9,"SEPT",B2026=10,"OCT",B2026=11,"NOV",B2026=12,"DEC")</f>
        <v>AUG</v>
      </c>
      <c r="D2026" s="2" t="s">
        <v>18</v>
      </c>
      <c r="E2026" s="2" t="s">
        <v>26</v>
      </c>
      <c r="F2026" s="2" t="s">
        <v>23</v>
      </c>
      <c r="G2026" s="2" t="s">
        <v>14</v>
      </c>
      <c r="H2026" s="2" t="s">
        <v>33</v>
      </c>
      <c r="I2026" s="2" t="s">
        <v>22</v>
      </c>
      <c r="J2026" s="15">
        <v>180000</v>
      </c>
      <c r="K2026" s="2">
        <v>6</v>
      </c>
      <c r="L2026" s="2" t="s">
        <v>39</v>
      </c>
      <c r="M2026" s="12">
        <f t="shared" si="63"/>
        <v>144000</v>
      </c>
      <c r="N2026" s="10">
        <f>PRODUCT(Table_13[[#This Row],[Unit Price]],Table_13[[#This Row],[Quantity]])</f>
        <v>1080000</v>
      </c>
      <c r="O2026" s="16">
        <f>PRODUCT(Table_13[[#This Row],[Cost Price]],Table_13[[#This Row],[Quantity]])</f>
        <v>864000</v>
      </c>
      <c r="P2026" s="27">
        <f t="shared" si="71"/>
        <v>216000</v>
      </c>
    </row>
    <row r="2027" spans="1:16" x14ac:dyDescent="0.2">
      <c r="A2027" s="33">
        <v>47701</v>
      </c>
      <c r="B2027" s="30">
        <f t="shared" si="70"/>
        <v>8</v>
      </c>
      <c r="C2027" s="30" t="str">
        <f>_xlfn.IFS(Table_13[[#This Row],[Month]]=1,"JAN",Table_13[[#This Row],[Month]]=2,"FEB",B2027=3,"MAR",B2027=4,"APR",B2027=5,"MAY",B2027=6,"JUN",B2027=7,"JUL",B2027=8,"AUG",Table_13[[#This Row],[Month]]=9,"SEPT",B2027=10,"OCT",B2027=11,"NOV",B2027=12,"DEC")</f>
        <v>AUG</v>
      </c>
      <c r="D2027" s="2" t="s">
        <v>18</v>
      </c>
      <c r="E2027" s="2" t="s">
        <v>32</v>
      </c>
      <c r="F2027" s="2" t="s">
        <v>13</v>
      </c>
      <c r="G2027" s="2" t="s">
        <v>20</v>
      </c>
      <c r="H2027" s="2" t="s">
        <v>15</v>
      </c>
      <c r="I2027" s="2" t="s">
        <v>16</v>
      </c>
      <c r="J2027" s="15">
        <v>85000</v>
      </c>
      <c r="K2027" s="2">
        <v>2</v>
      </c>
      <c r="L2027" s="2" t="s">
        <v>39</v>
      </c>
      <c r="M2027" s="12">
        <f t="shared" si="63"/>
        <v>68000</v>
      </c>
      <c r="N2027" s="10">
        <f>PRODUCT(Table_13[[#This Row],[Unit Price]],Table_13[[#This Row],[Quantity]])</f>
        <v>170000</v>
      </c>
      <c r="O2027" s="16">
        <f>PRODUCT(Table_13[[#This Row],[Cost Price]],Table_13[[#This Row],[Quantity]])</f>
        <v>136000</v>
      </c>
      <c r="P2027" s="27">
        <f t="shared" si="71"/>
        <v>34000</v>
      </c>
    </row>
    <row r="2028" spans="1:16" x14ac:dyDescent="0.2">
      <c r="A2028" s="33">
        <v>47702</v>
      </c>
      <c r="B2028" s="30">
        <f t="shared" si="70"/>
        <v>8</v>
      </c>
      <c r="C2028" s="30" t="str">
        <f>_xlfn.IFS(Table_13[[#This Row],[Month]]=1,"JAN",Table_13[[#This Row],[Month]]=2,"FEB",B2028=3,"MAR",B2028=4,"APR",B2028=5,"MAY",B2028=6,"JUN",B2028=7,"JUL",B2028=8,"AUG",Table_13[[#This Row],[Month]]=9,"SEPT",B2028=10,"OCT",B2028=11,"NOV",B2028=12,"DEC")</f>
        <v>AUG</v>
      </c>
      <c r="D2028" s="2" t="s">
        <v>29</v>
      </c>
      <c r="E2028" s="2" t="s">
        <v>32</v>
      </c>
      <c r="F2028" s="2" t="s">
        <v>23</v>
      </c>
      <c r="G2028" s="2" t="s">
        <v>20</v>
      </c>
      <c r="H2028" s="2" t="s">
        <v>40</v>
      </c>
      <c r="I2028" s="2" t="s">
        <v>31</v>
      </c>
      <c r="J2028" s="15">
        <v>250000</v>
      </c>
      <c r="K2028" s="2">
        <v>5</v>
      </c>
      <c r="L2028" s="2" t="s">
        <v>28</v>
      </c>
      <c r="M2028" s="12">
        <f t="shared" si="63"/>
        <v>200000</v>
      </c>
      <c r="N2028" s="10">
        <f>PRODUCT(Table_13[[#This Row],[Unit Price]],Table_13[[#This Row],[Quantity]])</f>
        <v>1250000</v>
      </c>
      <c r="O2028" s="16">
        <f>PRODUCT(Table_13[[#This Row],[Cost Price]],Table_13[[#This Row],[Quantity]])</f>
        <v>1000000</v>
      </c>
      <c r="P2028" s="27">
        <f t="shared" si="71"/>
        <v>250000</v>
      </c>
    </row>
    <row r="2029" spans="1:16" x14ac:dyDescent="0.2">
      <c r="A2029" s="33">
        <v>47703</v>
      </c>
      <c r="B2029" s="30">
        <f t="shared" si="70"/>
        <v>8</v>
      </c>
      <c r="C2029" s="30" t="str">
        <f>_xlfn.IFS(Table_13[[#This Row],[Month]]=1,"JAN",Table_13[[#This Row],[Month]]=2,"FEB",B2029=3,"MAR",B2029=4,"APR",B2029=5,"MAY",B2029=6,"JUN",B2029=7,"JUL",B2029=8,"AUG",Table_13[[#This Row],[Month]]=9,"SEPT",B2029=10,"OCT",B2029=11,"NOV",B2029=12,"DEC")</f>
        <v>AUG</v>
      </c>
      <c r="D2029" s="2" t="s">
        <v>11</v>
      </c>
      <c r="E2029" s="2" t="s">
        <v>12</v>
      </c>
      <c r="F2029" s="2" t="s">
        <v>23</v>
      </c>
      <c r="G2029" s="2" t="s">
        <v>20</v>
      </c>
      <c r="H2029" s="2" t="s">
        <v>41</v>
      </c>
      <c r="I2029" s="2" t="s">
        <v>22</v>
      </c>
      <c r="J2029" s="15">
        <v>220000</v>
      </c>
      <c r="K2029" s="2">
        <v>2</v>
      </c>
      <c r="L2029" s="2" t="s">
        <v>37</v>
      </c>
      <c r="M2029" s="12">
        <f t="shared" si="63"/>
        <v>176000</v>
      </c>
      <c r="N2029" s="10">
        <f>PRODUCT(Table_13[[#This Row],[Unit Price]],Table_13[[#This Row],[Quantity]])</f>
        <v>440000</v>
      </c>
      <c r="O2029" s="16">
        <f>PRODUCT(Table_13[[#This Row],[Cost Price]],Table_13[[#This Row],[Quantity]])</f>
        <v>352000</v>
      </c>
      <c r="P2029" s="27">
        <f t="shared" si="71"/>
        <v>88000</v>
      </c>
    </row>
    <row r="2030" spans="1:16" x14ac:dyDescent="0.2">
      <c r="A2030" s="33">
        <v>47704</v>
      </c>
      <c r="B2030" s="30">
        <f t="shared" si="70"/>
        <v>8</v>
      </c>
      <c r="C2030" s="30" t="str">
        <f>_xlfn.IFS(Table_13[[#This Row],[Month]]=1,"JAN",Table_13[[#This Row],[Month]]=2,"FEB",B2030=3,"MAR",B2030=4,"APR",B2030=5,"MAY",B2030=6,"JUN",B2030=7,"JUL",B2030=8,"AUG",Table_13[[#This Row],[Month]]=9,"SEPT",B2030=10,"OCT",B2030=11,"NOV",B2030=12,"DEC")</f>
        <v>AUG</v>
      </c>
      <c r="D2030" s="2" t="s">
        <v>25</v>
      </c>
      <c r="E2030" s="2" t="s">
        <v>32</v>
      </c>
      <c r="F2030" s="2" t="s">
        <v>13</v>
      </c>
      <c r="G2030" s="2" t="s">
        <v>14</v>
      </c>
      <c r="H2030" s="2" t="s">
        <v>21</v>
      </c>
      <c r="I2030" s="2" t="s">
        <v>22</v>
      </c>
      <c r="J2030" s="15">
        <v>30000</v>
      </c>
      <c r="K2030" s="2">
        <v>2</v>
      </c>
      <c r="L2030" s="2" t="s">
        <v>24</v>
      </c>
      <c r="M2030" s="12">
        <f t="shared" si="63"/>
        <v>24000</v>
      </c>
      <c r="N2030" s="10">
        <f>PRODUCT(Table_13[[#This Row],[Unit Price]],Table_13[[#This Row],[Quantity]])</f>
        <v>60000</v>
      </c>
      <c r="O2030" s="16">
        <f>PRODUCT(Table_13[[#This Row],[Cost Price]],Table_13[[#This Row],[Quantity]])</f>
        <v>48000</v>
      </c>
      <c r="P2030" s="27">
        <f t="shared" si="71"/>
        <v>12000</v>
      </c>
    </row>
    <row r="2031" spans="1:16" x14ac:dyDescent="0.2">
      <c r="A2031" s="33">
        <v>47705</v>
      </c>
      <c r="B2031" s="30">
        <f t="shared" si="70"/>
        <v>8</v>
      </c>
      <c r="C2031" s="30" t="str">
        <f>_xlfn.IFS(Table_13[[#This Row],[Month]]=1,"JAN",Table_13[[#This Row],[Month]]=2,"FEB",B2031=3,"MAR",B2031=4,"APR",B2031=5,"MAY",B2031=6,"JUN",B2031=7,"JUL",B2031=8,"AUG",Table_13[[#This Row],[Month]]=9,"SEPT",B2031=10,"OCT",B2031=11,"NOV",B2031=12,"DEC")</f>
        <v>AUG</v>
      </c>
      <c r="D2031" s="2" t="s">
        <v>18</v>
      </c>
      <c r="E2031" s="2" t="s">
        <v>26</v>
      </c>
      <c r="F2031" s="2" t="s">
        <v>23</v>
      </c>
      <c r="G2031" s="2" t="s">
        <v>20</v>
      </c>
      <c r="H2031" s="2" t="s">
        <v>38</v>
      </c>
      <c r="I2031" s="2" t="s">
        <v>31</v>
      </c>
      <c r="J2031" s="15">
        <v>420000</v>
      </c>
      <c r="K2031" s="2">
        <v>10</v>
      </c>
      <c r="L2031" s="2" t="s">
        <v>37</v>
      </c>
      <c r="M2031" s="12">
        <f t="shared" si="63"/>
        <v>336000</v>
      </c>
      <c r="N2031" s="10">
        <f>PRODUCT(Table_13[[#This Row],[Unit Price]],Table_13[[#This Row],[Quantity]])</f>
        <v>4200000</v>
      </c>
      <c r="O2031" s="16">
        <f>PRODUCT(Table_13[[#This Row],[Cost Price]],Table_13[[#This Row],[Quantity]])</f>
        <v>3360000</v>
      </c>
      <c r="P2031" s="27">
        <f t="shared" si="71"/>
        <v>840000</v>
      </c>
    </row>
    <row r="2032" spans="1:16" x14ac:dyDescent="0.2">
      <c r="A2032" s="33">
        <v>47706</v>
      </c>
      <c r="B2032" s="30">
        <f t="shared" si="70"/>
        <v>8</v>
      </c>
      <c r="C2032" s="30" t="str">
        <f>_xlfn.IFS(Table_13[[#This Row],[Month]]=1,"JAN",Table_13[[#This Row],[Month]]=2,"FEB",B2032=3,"MAR",B2032=4,"APR",B2032=5,"MAY",B2032=6,"JUN",B2032=7,"JUL",B2032=8,"AUG",Table_13[[#This Row],[Month]]=9,"SEPT",B2032=10,"OCT",B2032=11,"NOV",B2032=12,"DEC")</f>
        <v>AUG</v>
      </c>
      <c r="D2032" s="2" t="s">
        <v>29</v>
      </c>
      <c r="E2032" s="2" t="s">
        <v>32</v>
      </c>
      <c r="F2032" s="2" t="s">
        <v>23</v>
      </c>
      <c r="G2032" s="2" t="s">
        <v>14</v>
      </c>
      <c r="H2032" s="2" t="s">
        <v>41</v>
      </c>
      <c r="I2032" s="2" t="s">
        <v>22</v>
      </c>
      <c r="J2032" s="15">
        <v>220000</v>
      </c>
      <c r="K2032" s="2">
        <v>2</v>
      </c>
      <c r="L2032" s="2" t="s">
        <v>35</v>
      </c>
      <c r="M2032" s="12">
        <f t="shared" si="63"/>
        <v>176000</v>
      </c>
      <c r="N2032" s="10">
        <f>PRODUCT(Table_13[[#This Row],[Unit Price]],Table_13[[#This Row],[Quantity]])</f>
        <v>440000</v>
      </c>
      <c r="O2032" s="16">
        <f>PRODUCT(Table_13[[#This Row],[Cost Price]],Table_13[[#This Row],[Quantity]])</f>
        <v>352000</v>
      </c>
      <c r="P2032" s="27">
        <f t="shared" si="71"/>
        <v>88000</v>
      </c>
    </row>
    <row r="2033" spans="1:16" x14ac:dyDescent="0.2">
      <c r="A2033" s="33">
        <v>47707</v>
      </c>
      <c r="B2033" s="30">
        <f t="shared" si="70"/>
        <v>8</v>
      </c>
      <c r="C2033" s="30" t="str">
        <f>_xlfn.IFS(Table_13[[#This Row],[Month]]=1,"JAN",Table_13[[#This Row],[Month]]=2,"FEB",B2033=3,"MAR",B2033=4,"APR",B2033=5,"MAY",B2033=6,"JUN",B2033=7,"JUL",B2033=8,"AUG",Table_13[[#This Row],[Month]]=9,"SEPT",B2033=10,"OCT",B2033=11,"NOV",B2033=12,"DEC")</f>
        <v>AUG</v>
      </c>
      <c r="D2033" s="2" t="s">
        <v>25</v>
      </c>
      <c r="E2033" s="2" t="s">
        <v>26</v>
      </c>
      <c r="F2033" s="2" t="s">
        <v>23</v>
      </c>
      <c r="G2033" s="2" t="s">
        <v>20</v>
      </c>
      <c r="H2033" s="2" t="s">
        <v>41</v>
      </c>
      <c r="I2033" s="2" t="s">
        <v>22</v>
      </c>
      <c r="J2033" s="15">
        <v>220000</v>
      </c>
      <c r="K2033" s="2">
        <v>10</v>
      </c>
      <c r="L2033" s="2" t="s">
        <v>24</v>
      </c>
      <c r="M2033" s="12">
        <f t="shared" si="63"/>
        <v>176000</v>
      </c>
      <c r="N2033" s="10">
        <f>PRODUCT(Table_13[[#This Row],[Unit Price]],Table_13[[#This Row],[Quantity]])</f>
        <v>2200000</v>
      </c>
      <c r="O2033" s="16">
        <f>PRODUCT(Table_13[[#This Row],[Cost Price]],Table_13[[#This Row],[Quantity]])</f>
        <v>1760000</v>
      </c>
      <c r="P2033" s="27">
        <f t="shared" si="71"/>
        <v>440000</v>
      </c>
    </row>
    <row r="2034" spans="1:16" x14ac:dyDescent="0.2">
      <c r="A2034" s="33">
        <v>47708</v>
      </c>
      <c r="B2034" s="30">
        <f t="shared" si="70"/>
        <v>8</v>
      </c>
      <c r="C2034" s="30" t="str">
        <f>_xlfn.IFS(Table_13[[#This Row],[Month]]=1,"JAN",Table_13[[#This Row],[Month]]=2,"FEB",B2034=3,"MAR",B2034=4,"APR",B2034=5,"MAY",B2034=6,"JUN",B2034=7,"JUL",B2034=8,"AUG",Table_13[[#This Row],[Month]]=9,"SEPT",B2034=10,"OCT",B2034=11,"NOV",B2034=12,"DEC")</f>
        <v>AUG</v>
      </c>
      <c r="D2034" s="2" t="s">
        <v>11</v>
      </c>
      <c r="E2034" s="2" t="s">
        <v>19</v>
      </c>
      <c r="F2034" s="2" t="s">
        <v>23</v>
      </c>
      <c r="G2034" s="2" t="s">
        <v>20</v>
      </c>
      <c r="H2034" s="2" t="s">
        <v>34</v>
      </c>
      <c r="I2034" s="2" t="s">
        <v>16</v>
      </c>
      <c r="J2034" s="15">
        <v>320000</v>
      </c>
      <c r="K2034" s="2">
        <v>6</v>
      </c>
      <c r="L2034" s="2" t="s">
        <v>35</v>
      </c>
      <c r="M2034" s="12">
        <f t="shared" si="63"/>
        <v>256000</v>
      </c>
      <c r="N2034" s="10">
        <f>PRODUCT(Table_13[[#This Row],[Unit Price]],Table_13[[#This Row],[Quantity]])</f>
        <v>1920000</v>
      </c>
      <c r="O2034" s="16">
        <f>PRODUCT(Table_13[[#This Row],[Cost Price]],Table_13[[#This Row],[Quantity]])</f>
        <v>1536000</v>
      </c>
      <c r="P2034" s="27">
        <f t="shared" si="71"/>
        <v>384000</v>
      </c>
    </row>
    <row r="2035" spans="1:16" x14ac:dyDescent="0.2">
      <c r="A2035" s="33">
        <v>47709</v>
      </c>
      <c r="B2035" s="30">
        <f t="shared" si="70"/>
        <v>8</v>
      </c>
      <c r="C2035" s="30" t="str">
        <f>_xlfn.IFS(Table_13[[#This Row],[Month]]=1,"JAN",Table_13[[#This Row],[Month]]=2,"FEB",B2035=3,"MAR",B2035=4,"APR",B2035=5,"MAY",B2035=6,"JUN",B2035=7,"JUL",B2035=8,"AUG",Table_13[[#This Row],[Month]]=9,"SEPT",B2035=10,"OCT",B2035=11,"NOV",B2035=12,"DEC")</f>
        <v>AUG</v>
      </c>
      <c r="D2035" s="2" t="s">
        <v>29</v>
      </c>
      <c r="E2035" s="2" t="s">
        <v>12</v>
      </c>
      <c r="F2035" s="2" t="s">
        <v>23</v>
      </c>
      <c r="G2035" s="2" t="s">
        <v>20</v>
      </c>
      <c r="H2035" s="2" t="s">
        <v>38</v>
      </c>
      <c r="I2035" s="2" t="s">
        <v>31</v>
      </c>
      <c r="J2035" s="15">
        <v>420000</v>
      </c>
      <c r="K2035" s="2">
        <v>8</v>
      </c>
      <c r="L2035" s="2" t="s">
        <v>35</v>
      </c>
      <c r="M2035" s="12">
        <f t="shared" si="63"/>
        <v>336000</v>
      </c>
      <c r="N2035" s="10">
        <f>PRODUCT(Table_13[[#This Row],[Unit Price]],Table_13[[#This Row],[Quantity]])</f>
        <v>3360000</v>
      </c>
      <c r="O2035" s="16">
        <f>PRODUCT(Table_13[[#This Row],[Cost Price]],Table_13[[#This Row],[Quantity]])</f>
        <v>2688000</v>
      </c>
      <c r="P2035" s="27">
        <f t="shared" si="71"/>
        <v>672000</v>
      </c>
    </row>
    <row r="2036" spans="1:16" x14ac:dyDescent="0.2">
      <c r="A2036" s="33">
        <v>47710</v>
      </c>
      <c r="B2036" s="30">
        <f t="shared" si="70"/>
        <v>8</v>
      </c>
      <c r="C2036" s="30" t="str">
        <f>_xlfn.IFS(Table_13[[#This Row],[Month]]=1,"JAN",Table_13[[#This Row],[Month]]=2,"FEB",B2036=3,"MAR",B2036=4,"APR",B2036=5,"MAY",B2036=6,"JUN",B2036=7,"JUL",B2036=8,"AUG",Table_13[[#This Row],[Month]]=9,"SEPT",B2036=10,"OCT",B2036=11,"NOV",B2036=12,"DEC")</f>
        <v>AUG</v>
      </c>
      <c r="D2036" s="2" t="s">
        <v>18</v>
      </c>
      <c r="E2036" s="2" t="s">
        <v>32</v>
      </c>
      <c r="F2036" s="2" t="s">
        <v>13</v>
      </c>
      <c r="G2036" s="2" t="s">
        <v>20</v>
      </c>
      <c r="H2036" s="2" t="s">
        <v>41</v>
      </c>
      <c r="I2036" s="2" t="s">
        <v>22</v>
      </c>
      <c r="J2036" s="15">
        <v>220000</v>
      </c>
      <c r="K2036" s="2">
        <v>9</v>
      </c>
      <c r="L2036" s="2" t="s">
        <v>35</v>
      </c>
      <c r="M2036" s="12">
        <f t="shared" si="63"/>
        <v>176000</v>
      </c>
      <c r="N2036" s="10">
        <f>PRODUCT(Table_13[[#This Row],[Unit Price]],Table_13[[#This Row],[Quantity]])</f>
        <v>1980000</v>
      </c>
      <c r="O2036" s="16">
        <f>PRODUCT(Table_13[[#This Row],[Cost Price]],Table_13[[#This Row],[Quantity]])</f>
        <v>1584000</v>
      </c>
      <c r="P2036" s="27">
        <f t="shared" si="71"/>
        <v>396000</v>
      </c>
    </row>
    <row r="2037" spans="1:16" x14ac:dyDescent="0.2">
      <c r="A2037" s="33">
        <v>47711</v>
      </c>
      <c r="B2037" s="30">
        <f t="shared" si="70"/>
        <v>8</v>
      </c>
      <c r="C2037" s="30" t="str">
        <f>_xlfn.IFS(Table_13[[#This Row],[Month]]=1,"JAN",Table_13[[#This Row],[Month]]=2,"FEB",B2037=3,"MAR",B2037=4,"APR",B2037=5,"MAY",B2037=6,"JUN",B2037=7,"JUL",B2037=8,"AUG",Table_13[[#This Row],[Month]]=9,"SEPT",B2037=10,"OCT",B2037=11,"NOV",B2037=12,"DEC")</f>
        <v>AUG</v>
      </c>
      <c r="D2037" s="2" t="s">
        <v>29</v>
      </c>
      <c r="E2037" s="2" t="s">
        <v>19</v>
      </c>
      <c r="F2037" s="2" t="s">
        <v>23</v>
      </c>
      <c r="G2037" s="2" t="s">
        <v>14</v>
      </c>
      <c r="H2037" s="2" t="s">
        <v>41</v>
      </c>
      <c r="I2037" s="2" t="s">
        <v>22</v>
      </c>
      <c r="J2037" s="15">
        <v>220000</v>
      </c>
      <c r="K2037" s="2">
        <v>2</v>
      </c>
      <c r="L2037" s="2" t="s">
        <v>39</v>
      </c>
      <c r="M2037" s="12">
        <f t="shared" si="63"/>
        <v>176000</v>
      </c>
      <c r="N2037" s="10">
        <f>PRODUCT(Table_13[[#This Row],[Unit Price]],Table_13[[#This Row],[Quantity]])</f>
        <v>440000</v>
      </c>
      <c r="O2037" s="16">
        <f>PRODUCT(Table_13[[#This Row],[Cost Price]],Table_13[[#This Row],[Quantity]])</f>
        <v>352000</v>
      </c>
      <c r="P2037" s="27">
        <f t="shared" si="71"/>
        <v>88000</v>
      </c>
    </row>
    <row r="2038" spans="1:16" x14ac:dyDescent="0.2">
      <c r="A2038" s="33">
        <v>47712</v>
      </c>
      <c r="B2038" s="30">
        <f t="shared" si="70"/>
        <v>8</v>
      </c>
      <c r="C2038" s="30" t="str">
        <f>_xlfn.IFS(Table_13[[#This Row],[Month]]=1,"JAN",Table_13[[#This Row],[Month]]=2,"FEB",B2038=3,"MAR",B2038=4,"APR",B2038=5,"MAY",B2038=6,"JUN",B2038=7,"JUL",B2038=8,"AUG",Table_13[[#This Row],[Month]]=9,"SEPT",B2038=10,"OCT",B2038=11,"NOV",B2038=12,"DEC")</f>
        <v>AUG</v>
      </c>
      <c r="D2038" s="2" t="s">
        <v>25</v>
      </c>
      <c r="E2038" s="2" t="s">
        <v>32</v>
      </c>
      <c r="F2038" s="2" t="s">
        <v>13</v>
      </c>
      <c r="G2038" s="2" t="s">
        <v>14</v>
      </c>
      <c r="H2038" s="2" t="s">
        <v>36</v>
      </c>
      <c r="I2038" s="2" t="s">
        <v>31</v>
      </c>
      <c r="J2038" s="15">
        <v>150000</v>
      </c>
      <c r="K2038" s="2">
        <v>4</v>
      </c>
      <c r="L2038" s="2" t="s">
        <v>37</v>
      </c>
      <c r="M2038" s="12">
        <f t="shared" si="63"/>
        <v>120000</v>
      </c>
      <c r="N2038" s="10">
        <f>PRODUCT(Table_13[[#This Row],[Unit Price]],Table_13[[#This Row],[Quantity]])</f>
        <v>600000</v>
      </c>
      <c r="O2038" s="16">
        <f>PRODUCT(Table_13[[#This Row],[Cost Price]],Table_13[[#This Row],[Quantity]])</f>
        <v>480000</v>
      </c>
      <c r="P2038" s="27">
        <f t="shared" si="71"/>
        <v>120000</v>
      </c>
    </row>
    <row r="2039" spans="1:16" x14ac:dyDescent="0.2">
      <c r="A2039" s="33">
        <v>47713</v>
      </c>
      <c r="B2039" s="30">
        <f t="shared" si="70"/>
        <v>8</v>
      </c>
      <c r="C2039" s="30" t="str">
        <f>_xlfn.IFS(Table_13[[#This Row],[Month]]=1,"JAN",Table_13[[#This Row],[Month]]=2,"FEB",B2039=3,"MAR",B2039=4,"APR",B2039=5,"MAY",B2039=6,"JUN",B2039=7,"JUL",B2039=8,"AUG",Table_13[[#This Row],[Month]]=9,"SEPT",B2039=10,"OCT",B2039=11,"NOV",B2039=12,"DEC")</f>
        <v>AUG</v>
      </c>
      <c r="D2039" s="2" t="s">
        <v>18</v>
      </c>
      <c r="E2039" s="2" t="s">
        <v>26</v>
      </c>
      <c r="F2039" s="2" t="s">
        <v>13</v>
      </c>
      <c r="G2039" s="2" t="s">
        <v>20</v>
      </c>
      <c r="H2039" s="2" t="s">
        <v>30</v>
      </c>
      <c r="I2039" s="2" t="s">
        <v>31</v>
      </c>
      <c r="J2039" s="15">
        <v>300000</v>
      </c>
      <c r="K2039" s="2">
        <v>7</v>
      </c>
      <c r="L2039" s="2" t="s">
        <v>39</v>
      </c>
      <c r="M2039" s="12">
        <f t="shared" si="63"/>
        <v>240000</v>
      </c>
      <c r="N2039" s="10">
        <f>PRODUCT(Table_13[[#This Row],[Unit Price]],Table_13[[#This Row],[Quantity]])</f>
        <v>2100000</v>
      </c>
      <c r="O2039" s="16">
        <f>PRODUCT(Table_13[[#This Row],[Cost Price]],Table_13[[#This Row],[Quantity]])</f>
        <v>1680000</v>
      </c>
      <c r="P2039" s="27">
        <f t="shared" si="71"/>
        <v>420000</v>
      </c>
    </row>
    <row r="2040" spans="1:16" x14ac:dyDescent="0.2">
      <c r="A2040" s="33">
        <v>47714</v>
      </c>
      <c r="B2040" s="30">
        <f t="shared" si="70"/>
        <v>8</v>
      </c>
      <c r="C2040" s="30" t="str">
        <f>_xlfn.IFS(Table_13[[#This Row],[Month]]=1,"JAN",Table_13[[#This Row],[Month]]=2,"FEB",B2040=3,"MAR",B2040=4,"APR",B2040=5,"MAY",B2040=6,"JUN",B2040=7,"JUL",B2040=8,"AUG",Table_13[[#This Row],[Month]]=9,"SEPT",B2040=10,"OCT",B2040=11,"NOV",B2040=12,"DEC")</f>
        <v>AUG</v>
      </c>
      <c r="D2040" s="2" t="s">
        <v>25</v>
      </c>
      <c r="E2040" s="2" t="s">
        <v>19</v>
      </c>
      <c r="F2040" s="2" t="s">
        <v>23</v>
      </c>
      <c r="G2040" s="2" t="s">
        <v>14</v>
      </c>
      <c r="H2040" s="2" t="s">
        <v>38</v>
      </c>
      <c r="I2040" s="2" t="s">
        <v>31</v>
      </c>
      <c r="J2040" s="15">
        <v>420000</v>
      </c>
      <c r="K2040" s="2">
        <v>4</v>
      </c>
      <c r="L2040" s="2" t="s">
        <v>39</v>
      </c>
      <c r="M2040" s="12">
        <f t="shared" si="63"/>
        <v>336000</v>
      </c>
      <c r="N2040" s="10">
        <f>PRODUCT(Table_13[[#This Row],[Unit Price]],Table_13[[#This Row],[Quantity]])</f>
        <v>1680000</v>
      </c>
      <c r="O2040" s="16">
        <f>PRODUCT(Table_13[[#This Row],[Cost Price]],Table_13[[#This Row],[Quantity]])</f>
        <v>1344000</v>
      </c>
      <c r="P2040" s="27">
        <f t="shared" si="71"/>
        <v>336000</v>
      </c>
    </row>
    <row r="2041" spans="1:16" x14ac:dyDescent="0.2">
      <c r="A2041" s="33">
        <v>47715</v>
      </c>
      <c r="B2041" s="30">
        <f t="shared" si="70"/>
        <v>8</v>
      </c>
      <c r="C2041" s="30" t="str">
        <f>_xlfn.IFS(Table_13[[#This Row],[Month]]=1,"JAN",Table_13[[#This Row],[Month]]=2,"FEB",B2041=3,"MAR",B2041=4,"APR",B2041=5,"MAY",B2041=6,"JUN",B2041=7,"JUL",B2041=8,"AUG",Table_13[[#This Row],[Month]]=9,"SEPT",B2041=10,"OCT",B2041=11,"NOV",B2041=12,"DEC")</f>
        <v>AUG</v>
      </c>
      <c r="D2041" s="2" t="s">
        <v>11</v>
      </c>
      <c r="E2041" s="2" t="s">
        <v>26</v>
      </c>
      <c r="F2041" s="2" t="s">
        <v>23</v>
      </c>
      <c r="G2041" s="2" t="s">
        <v>20</v>
      </c>
      <c r="H2041" s="2" t="s">
        <v>27</v>
      </c>
      <c r="I2041" s="2" t="s">
        <v>22</v>
      </c>
      <c r="J2041" s="15">
        <v>60000</v>
      </c>
      <c r="K2041" s="2">
        <v>4</v>
      </c>
      <c r="L2041" s="2" t="s">
        <v>37</v>
      </c>
      <c r="M2041" s="12">
        <f t="shared" si="63"/>
        <v>48000</v>
      </c>
      <c r="N2041" s="10">
        <f>PRODUCT(Table_13[[#This Row],[Unit Price]],Table_13[[#This Row],[Quantity]])</f>
        <v>240000</v>
      </c>
      <c r="O2041" s="16">
        <f>PRODUCT(Table_13[[#This Row],[Cost Price]],Table_13[[#This Row],[Quantity]])</f>
        <v>192000</v>
      </c>
      <c r="P2041" s="27">
        <f t="shared" si="71"/>
        <v>48000</v>
      </c>
    </row>
    <row r="2042" spans="1:16" x14ac:dyDescent="0.2">
      <c r="A2042" s="33">
        <v>47716</v>
      </c>
      <c r="B2042" s="30">
        <f t="shared" si="70"/>
        <v>8</v>
      </c>
      <c r="C2042" s="30" t="str">
        <f>_xlfn.IFS(Table_13[[#This Row],[Month]]=1,"JAN",Table_13[[#This Row],[Month]]=2,"FEB",B2042=3,"MAR",B2042=4,"APR",B2042=5,"MAY",B2042=6,"JUN",B2042=7,"JUL",B2042=8,"AUG",Table_13[[#This Row],[Month]]=9,"SEPT",B2042=10,"OCT",B2042=11,"NOV",B2042=12,"DEC")</f>
        <v>AUG</v>
      </c>
      <c r="D2042" s="2" t="s">
        <v>29</v>
      </c>
      <c r="E2042" s="2" t="s">
        <v>26</v>
      </c>
      <c r="F2042" s="2" t="s">
        <v>13</v>
      </c>
      <c r="G2042" s="2" t="s">
        <v>14</v>
      </c>
      <c r="H2042" s="2" t="s">
        <v>33</v>
      </c>
      <c r="I2042" s="2" t="s">
        <v>22</v>
      </c>
      <c r="J2042" s="15">
        <v>180000</v>
      </c>
      <c r="K2042" s="2">
        <v>6</v>
      </c>
      <c r="L2042" s="2" t="s">
        <v>17</v>
      </c>
      <c r="M2042" s="12">
        <f t="shared" ref="M2042:M2099" si="72">J2042-J2042*0.2</f>
        <v>144000</v>
      </c>
      <c r="N2042" s="10">
        <f>PRODUCT(Table_13[[#This Row],[Unit Price]],Table_13[[#This Row],[Quantity]])</f>
        <v>1080000</v>
      </c>
      <c r="O2042" s="16">
        <f>PRODUCT(Table_13[[#This Row],[Cost Price]],Table_13[[#This Row],[Quantity]])</f>
        <v>864000</v>
      </c>
      <c r="P2042" s="27">
        <f t="shared" si="71"/>
        <v>216000</v>
      </c>
    </row>
    <row r="2043" spans="1:16" x14ac:dyDescent="0.2">
      <c r="A2043" s="33">
        <v>47717</v>
      </c>
      <c r="B2043" s="30">
        <f t="shared" si="70"/>
        <v>8</v>
      </c>
      <c r="C2043" s="30" t="str">
        <f>_xlfn.IFS(Table_13[[#This Row],[Month]]=1,"JAN",Table_13[[#This Row],[Month]]=2,"FEB",B2043=3,"MAR",B2043=4,"APR",B2043=5,"MAY",B2043=6,"JUN",B2043=7,"JUL",B2043=8,"AUG",Table_13[[#This Row],[Month]]=9,"SEPT",B2043=10,"OCT",B2043=11,"NOV",B2043=12,"DEC")</f>
        <v>AUG</v>
      </c>
      <c r="D2043" s="2" t="s">
        <v>25</v>
      </c>
      <c r="E2043" s="2" t="s">
        <v>26</v>
      </c>
      <c r="F2043" s="2" t="s">
        <v>23</v>
      </c>
      <c r="G2043" s="2" t="s">
        <v>14</v>
      </c>
      <c r="H2043" s="2" t="s">
        <v>30</v>
      </c>
      <c r="I2043" s="2" t="s">
        <v>31</v>
      </c>
      <c r="J2043" s="15">
        <v>300000</v>
      </c>
      <c r="K2043" s="2">
        <v>8</v>
      </c>
      <c r="L2043" s="2" t="s">
        <v>35</v>
      </c>
      <c r="M2043" s="12">
        <f t="shared" si="72"/>
        <v>240000</v>
      </c>
      <c r="N2043" s="10">
        <f>PRODUCT(Table_13[[#This Row],[Unit Price]],Table_13[[#This Row],[Quantity]])</f>
        <v>2400000</v>
      </c>
      <c r="O2043" s="16">
        <f>PRODUCT(Table_13[[#This Row],[Cost Price]],Table_13[[#This Row],[Quantity]])</f>
        <v>1920000</v>
      </c>
      <c r="P2043" s="27">
        <f t="shared" si="71"/>
        <v>480000</v>
      </c>
    </row>
    <row r="2044" spans="1:16" x14ac:dyDescent="0.2">
      <c r="A2044" s="33">
        <v>47718</v>
      </c>
      <c r="B2044" s="30">
        <f t="shared" si="70"/>
        <v>8</v>
      </c>
      <c r="C2044" s="30" t="str">
        <f>_xlfn.IFS(Table_13[[#This Row],[Month]]=1,"JAN",Table_13[[#This Row],[Month]]=2,"FEB",B2044=3,"MAR",B2044=4,"APR",B2044=5,"MAY",B2044=6,"JUN",B2044=7,"JUL",B2044=8,"AUG",Table_13[[#This Row],[Month]]=9,"SEPT",B2044=10,"OCT",B2044=11,"NOV",B2044=12,"DEC")</f>
        <v>AUG</v>
      </c>
      <c r="D2044" s="2" t="s">
        <v>11</v>
      </c>
      <c r="E2044" s="2" t="s">
        <v>12</v>
      </c>
      <c r="F2044" s="2" t="s">
        <v>13</v>
      </c>
      <c r="G2044" s="2" t="s">
        <v>20</v>
      </c>
      <c r="H2044" s="2" t="s">
        <v>34</v>
      </c>
      <c r="I2044" s="2" t="s">
        <v>16</v>
      </c>
      <c r="J2044" s="15">
        <v>320000</v>
      </c>
      <c r="K2044" s="2">
        <v>10</v>
      </c>
      <c r="L2044" s="2" t="s">
        <v>17</v>
      </c>
      <c r="M2044" s="12">
        <f t="shared" si="72"/>
        <v>256000</v>
      </c>
      <c r="N2044" s="10">
        <f>PRODUCT(Table_13[[#This Row],[Unit Price]],Table_13[[#This Row],[Quantity]])</f>
        <v>3200000</v>
      </c>
      <c r="O2044" s="16">
        <f>PRODUCT(Table_13[[#This Row],[Cost Price]],Table_13[[#This Row],[Quantity]])</f>
        <v>2560000</v>
      </c>
      <c r="P2044" s="27">
        <f t="shared" si="71"/>
        <v>640000</v>
      </c>
    </row>
    <row r="2045" spans="1:16" x14ac:dyDescent="0.2">
      <c r="A2045" s="33">
        <v>47719</v>
      </c>
      <c r="B2045" s="30">
        <f t="shared" si="70"/>
        <v>8</v>
      </c>
      <c r="C2045" s="30" t="str">
        <f>_xlfn.IFS(Table_13[[#This Row],[Month]]=1,"JAN",Table_13[[#This Row],[Month]]=2,"FEB",B2045=3,"MAR",B2045=4,"APR",B2045=5,"MAY",B2045=6,"JUN",B2045=7,"JUL",B2045=8,"AUG",Table_13[[#This Row],[Month]]=9,"SEPT",B2045=10,"OCT",B2045=11,"NOV",B2045=12,"DEC")</f>
        <v>AUG</v>
      </c>
      <c r="D2045" s="2" t="s">
        <v>11</v>
      </c>
      <c r="E2045" s="2" t="s">
        <v>19</v>
      </c>
      <c r="F2045" s="2" t="s">
        <v>13</v>
      </c>
      <c r="G2045" s="2" t="s">
        <v>20</v>
      </c>
      <c r="H2045" s="2" t="s">
        <v>21</v>
      </c>
      <c r="I2045" s="2" t="s">
        <v>22</v>
      </c>
      <c r="J2045" s="15">
        <v>30000</v>
      </c>
      <c r="K2045" s="2">
        <v>1</v>
      </c>
      <c r="L2045" s="2" t="s">
        <v>17</v>
      </c>
      <c r="M2045" s="12">
        <f t="shared" si="72"/>
        <v>24000</v>
      </c>
      <c r="N2045" s="10">
        <f>PRODUCT(Table_13[[#This Row],[Unit Price]],Table_13[[#This Row],[Quantity]])</f>
        <v>30000</v>
      </c>
      <c r="O2045" s="16">
        <f>PRODUCT(Table_13[[#This Row],[Cost Price]],Table_13[[#This Row],[Quantity]])</f>
        <v>24000</v>
      </c>
      <c r="P2045" s="27">
        <f t="shared" si="71"/>
        <v>6000</v>
      </c>
    </row>
    <row r="2046" spans="1:16" x14ac:dyDescent="0.2">
      <c r="A2046" s="33">
        <v>47720</v>
      </c>
      <c r="B2046" s="30">
        <f t="shared" si="70"/>
        <v>8</v>
      </c>
      <c r="C2046" s="30" t="str">
        <f>_xlfn.IFS(Table_13[[#This Row],[Month]]=1,"JAN",Table_13[[#This Row],[Month]]=2,"FEB",B2046=3,"MAR",B2046=4,"APR",B2046=5,"MAY",B2046=6,"JUN",B2046=7,"JUL",B2046=8,"AUG",Table_13[[#This Row],[Month]]=9,"SEPT",B2046=10,"OCT",B2046=11,"NOV",B2046=12,"DEC")</f>
        <v>AUG</v>
      </c>
      <c r="D2046" s="2" t="s">
        <v>18</v>
      </c>
      <c r="E2046" s="2" t="s">
        <v>19</v>
      </c>
      <c r="F2046" s="2" t="s">
        <v>23</v>
      </c>
      <c r="G2046" s="2" t="s">
        <v>20</v>
      </c>
      <c r="H2046" s="2" t="s">
        <v>15</v>
      </c>
      <c r="I2046" s="2" t="s">
        <v>16</v>
      </c>
      <c r="J2046" s="15">
        <v>85000</v>
      </c>
      <c r="K2046" s="2">
        <v>2</v>
      </c>
      <c r="L2046" s="2" t="s">
        <v>35</v>
      </c>
      <c r="M2046" s="12">
        <f t="shared" si="72"/>
        <v>68000</v>
      </c>
      <c r="N2046" s="10">
        <f>PRODUCT(Table_13[[#This Row],[Unit Price]],Table_13[[#This Row],[Quantity]])</f>
        <v>170000</v>
      </c>
      <c r="O2046" s="16">
        <f>PRODUCT(Table_13[[#This Row],[Cost Price]],Table_13[[#This Row],[Quantity]])</f>
        <v>136000</v>
      </c>
      <c r="P2046" s="27">
        <f t="shared" si="71"/>
        <v>34000</v>
      </c>
    </row>
    <row r="2047" spans="1:16" x14ac:dyDescent="0.2">
      <c r="A2047" s="33">
        <v>47721</v>
      </c>
      <c r="B2047" s="30">
        <f t="shared" si="70"/>
        <v>8</v>
      </c>
      <c r="C2047" s="30" t="str">
        <f>_xlfn.IFS(Table_13[[#This Row],[Month]]=1,"JAN",Table_13[[#This Row],[Month]]=2,"FEB",B2047=3,"MAR",B2047=4,"APR",B2047=5,"MAY",B2047=6,"JUN",B2047=7,"JUL",B2047=8,"AUG",Table_13[[#This Row],[Month]]=9,"SEPT",B2047=10,"OCT",B2047=11,"NOV",B2047=12,"DEC")</f>
        <v>AUG</v>
      </c>
      <c r="D2047" s="2" t="s">
        <v>11</v>
      </c>
      <c r="E2047" s="2" t="s">
        <v>12</v>
      </c>
      <c r="F2047" s="2" t="s">
        <v>23</v>
      </c>
      <c r="G2047" s="2" t="s">
        <v>14</v>
      </c>
      <c r="H2047" s="2" t="s">
        <v>15</v>
      </c>
      <c r="I2047" s="2" t="s">
        <v>16</v>
      </c>
      <c r="J2047" s="15">
        <v>85000</v>
      </c>
      <c r="K2047" s="2">
        <v>5</v>
      </c>
      <c r="L2047" s="2" t="s">
        <v>37</v>
      </c>
      <c r="M2047" s="12">
        <f t="shared" si="72"/>
        <v>68000</v>
      </c>
      <c r="N2047" s="10">
        <f>PRODUCT(Table_13[[#This Row],[Unit Price]],Table_13[[#This Row],[Quantity]])</f>
        <v>425000</v>
      </c>
      <c r="O2047" s="16">
        <f>PRODUCT(Table_13[[#This Row],[Cost Price]],Table_13[[#This Row],[Quantity]])</f>
        <v>340000</v>
      </c>
      <c r="P2047" s="27">
        <f t="shared" si="71"/>
        <v>85000</v>
      </c>
    </row>
    <row r="2048" spans="1:16" x14ac:dyDescent="0.2">
      <c r="A2048" s="33">
        <v>47722</v>
      </c>
      <c r="B2048" s="30">
        <f t="shared" si="70"/>
        <v>8</v>
      </c>
      <c r="C2048" s="30" t="str">
        <f>_xlfn.IFS(Table_13[[#This Row],[Month]]=1,"JAN",Table_13[[#This Row],[Month]]=2,"FEB",B2048=3,"MAR",B2048=4,"APR",B2048=5,"MAY",B2048=6,"JUN",B2048=7,"JUL",B2048=8,"AUG",Table_13[[#This Row],[Month]]=9,"SEPT",B2048=10,"OCT",B2048=11,"NOV",B2048=12,"DEC")</f>
        <v>AUG</v>
      </c>
      <c r="D2048" s="2" t="s">
        <v>25</v>
      </c>
      <c r="E2048" s="2" t="s">
        <v>12</v>
      </c>
      <c r="F2048" s="2" t="s">
        <v>13</v>
      </c>
      <c r="G2048" s="2" t="s">
        <v>20</v>
      </c>
      <c r="H2048" s="2" t="s">
        <v>40</v>
      </c>
      <c r="I2048" s="2" t="s">
        <v>31</v>
      </c>
      <c r="J2048" s="15">
        <v>250000</v>
      </c>
      <c r="K2048" s="2">
        <v>8</v>
      </c>
      <c r="L2048" s="2" t="s">
        <v>37</v>
      </c>
      <c r="M2048" s="12">
        <f t="shared" si="72"/>
        <v>200000</v>
      </c>
      <c r="N2048" s="10">
        <f>PRODUCT(Table_13[[#This Row],[Unit Price]],Table_13[[#This Row],[Quantity]])</f>
        <v>2000000</v>
      </c>
      <c r="O2048" s="16">
        <f>PRODUCT(Table_13[[#This Row],[Cost Price]],Table_13[[#This Row],[Quantity]])</f>
        <v>1600000</v>
      </c>
      <c r="P2048" s="27">
        <f t="shared" si="71"/>
        <v>400000</v>
      </c>
    </row>
    <row r="2049" spans="1:16" x14ac:dyDescent="0.2">
      <c r="A2049" s="33">
        <v>47723</v>
      </c>
      <c r="B2049" s="30">
        <f t="shared" si="70"/>
        <v>8</v>
      </c>
      <c r="C2049" s="30" t="str">
        <f>_xlfn.IFS(Table_13[[#This Row],[Month]]=1,"JAN",Table_13[[#This Row],[Month]]=2,"FEB",B2049=3,"MAR",B2049=4,"APR",B2049=5,"MAY",B2049=6,"JUN",B2049=7,"JUL",B2049=8,"AUG",Table_13[[#This Row],[Month]]=9,"SEPT",B2049=10,"OCT",B2049=11,"NOV",B2049=12,"DEC")</f>
        <v>AUG</v>
      </c>
      <c r="D2049" s="2" t="s">
        <v>29</v>
      </c>
      <c r="E2049" s="2" t="s">
        <v>26</v>
      </c>
      <c r="F2049" s="2" t="s">
        <v>23</v>
      </c>
      <c r="G2049" s="2" t="s">
        <v>14</v>
      </c>
      <c r="H2049" s="2" t="s">
        <v>30</v>
      </c>
      <c r="I2049" s="2" t="s">
        <v>31</v>
      </c>
      <c r="J2049" s="15">
        <v>300000</v>
      </c>
      <c r="K2049" s="2">
        <v>8</v>
      </c>
      <c r="L2049" s="2" t="s">
        <v>35</v>
      </c>
      <c r="M2049" s="12">
        <f t="shared" si="72"/>
        <v>240000</v>
      </c>
      <c r="N2049" s="10">
        <f>PRODUCT(Table_13[[#This Row],[Unit Price]],Table_13[[#This Row],[Quantity]])</f>
        <v>2400000</v>
      </c>
      <c r="O2049" s="16">
        <f>PRODUCT(Table_13[[#This Row],[Cost Price]],Table_13[[#This Row],[Quantity]])</f>
        <v>1920000</v>
      </c>
      <c r="P2049" s="27">
        <f t="shared" si="71"/>
        <v>480000</v>
      </c>
    </row>
    <row r="2050" spans="1:16" x14ac:dyDescent="0.2">
      <c r="A2050" s="33">
        <v>47724</v>
      </c>
      <c r="B2050" s="30">
        <f t="shared" ref="B2050:B2113" si="73">MONTH(A2050)</f>
        <v>8</v>
      </c>
      <c r="C2050" s="30" t="str">
        <f>_xlfn.IFS(Table_13[[#This Row],[Month]]=1,"JAN",Table_13[[#This Row],[Month]]=2,"FEB",B2050=3,"MAR",B2050=4,"APR",B2050=5,"MAY",B2050=6,"JUN",B2050=7,"JUL",B2050=8,"AUG",Table_13[[#This Row],[Month]]=9,"SEPT",B2050=10,"OCT",B2050=11,"NOV",B2050=12,"DEC")</f>
        <v>AUG</v>
      </c>
      <c r="D2050" s="2" t="s">
        <v>11</v>
      </c>
      <c r="E2050" s="2" t="s">
        <v>19</v>
      </c>
      <c r="F2050" s="2" t="s">
        <v>23</v>
      </c>
      <c r="G2050" s="2" t="s">
        <v>20</v>
      </c>
      <c r="H2050" s="2" t="s">
        <v>33</v>
      </c>
      <c r="I2050" s="2" t="s">
        <v>22</v>
      </c>
      <c r="J2050" s="15">
        <v>180000</v>
      </c>
      <c r="K2050" s="2">
        <v>9</v>
      </c>
      <c r="L2050" s="2" t="s">
        <v>28</v>
      </c>
      <c r="M2050" s="12">
        <f t="shared" si="72"/>
        <v>144000</v>
      </c>
      <c r="N2050" s="10">
        <f>PRODUCT(Table_13[[#This Row],[Unit Price]],Table_13[[#This Row],[Quantity]])</f>
        <v>1620000</v>
      </c>
      <c r="O2050" s="16">
        <f>PRODUCT(Table_13[[#This Row],[Cost Price]],Table_13[[#This Row],[Quantity]])</f>
        <v>1296000</v>
      </c>
      <c r="P2050" s="27">
        <f t="shared" ref="P2050:P2099" si="74">N2050-O2050</f>
        <v>324000</v>
      </c>
    </row>
    <row r="2051" spans="1:16" x14ac:dyDescent="0.2">
      <c r="A2051" s="33">
        <v>47725</v>
      </c>
      <c r="B2051" s="30">
        <f t="shared" si="73"/>
        <v>8</v>
      </c>
      <c r="C2051" s="30" t="str">
        <f>_xlfn.IFS(Table_13[[#This Row],[Month]]=1,"JAN",Table_13[[#This Row],[Month]]=2,"FEB",B2051=3,"MAR",B2051=4,"APR",B2051=5,"MAY",B2051=6,"JUN",B2051=7,"JUL",B2051=8,"AUG",Table_13[[#This Row],[Month]]=9,"SEPT",B2051=10,"OCT",B2051=11,"NOV",B2051=12,"DEC")</f>
        <v>AUG</v>
      </c>
      <c r="D2051" s="2" t="s">
        <v>29</v>
      </c>
      <c r="E2051" s="2" t="s">
        <v>32</v>
      </c>
      <c r="F2051" s="2" t="s">
        <v>23</v>
      </c>
      <c r="G2051" s="2" t="s">
        <v>14</v>
      </c>
      <c r="H2051" s="2" t="s">
        <v>27</v>
      </c>
      <c r="I2051" s="2" t="s">
        <v>22</v>
      </c>
      <c r="J2051" s="15">
        <v>60000</v>
      </c>
      <c r="K2051" s="2">
        <v>4</v>
      </c>
      <c r="L2051" s="2" t="s">
        <v>35</v>
      </c>
      <c r="M2051" s="12">
        <f t="shared" si="72"/>
        <v>48000</v>
      </c>
      <c r="N2051" s="10">
        <f>PRODUCT(Table_13[[#This Row],[Unit Price]],Table_13[[#This Row],[Quantity]])</f>
        <v>240000</v>
      </c>
      <c r="O2051" s="16">
        <f>PRODUCT(Table_13[[#This Row],[Cost Price]],Table_13[[#This Row],[Quantity]])</f>
        <v>192000</v>
      </c>
      <c r="P2051" s="27">
        <f t="shared" si="74"/>
        <v>48000</v>
      </c>
    </row>
    <row r="2052" spans="1:16" x14ac:dyDescent="0.2">
      <c r="A2052" s="33">
        <v>47726</v>
      </c>
      <c r="B2052" s="30">
        <f t="shared" si="73"/>
        <v>8</v>
      </c>
      <c r="C2052" s="30" t="str">
        <f>_xlfn.IFS(Table_13[[#This Row],[Month]]=1,"JAN",Table_13[[#This Row],[Month]]=2,"FEB",B2052=3,"MAR",B2052=4,"APR",B2052=5,"MAY",B2052=6,"JUN",B2052=7,"JUL",B2052=8,"AUG",Table_13[[#This Row],[Month]]=9,"SEPT",B2052=10,"OCT",B2052=11,"NOV",B2052=12,"DEC")</f>
        <v>AUG</v>
      </c>
      <c r="D2052" s="2" t="s">
        <v>25</v>
      </c>
      <c r="E2052" s="2" t="s">
        <v>12</v>
      </c>
      <c r="F2052" s="2" t="s">
        <v>13</v>
      </c>
      <c r="G2052" s="2" t="s">
        <v>20</v>
      </c>
      <c r="H2052" s="2" t="s">
        <v>27</v>
      </c>
      <c r="I2052" s="2" t="s">
        <v>22</v>
      </c>
      <c r="J2052" s="15">
        <v>60000</v>
      </c>
      <c r="K2052" s="2">
        <v>3</v>
      </c>
      <c r="L2052" s="2" t="s">
        <v>35</v>
      </c>
      <c r="M2052" s="12">
        <f t="shared" si="72"/>
        <v>48000</v>
      </c>
      <c r="N2052" s="10">
        <f>PRODUCT(Table_13[[#This Row],[Unit Price]],Table_13[[#This Row],[Quantity]])</f>
        <v>180000</v>
      </c>
      <c r="O2052" s="16">
        <f>PRODUCT(Table_13[[#This Row],[Cost Price]],Table_13[[#This Row],[Quantity]])</f>
        <v>144000</v>
      </c>
      <c r="P2052" s="27">
        <f t="shared" si="74"/>
        <v>36000</v>
      </c>
    </row>
    <row r="2053" spans="1:16" x14ac:dyDescent="0.2">
      <c r="A2053" s="33">
        <v>47727</v>
      </c>
      <c r="B2053" s="30">
        <f t="shared" si="73"/>
        <v>9</v>
      </c>
      <c r="C2053" s="30" t="str">
        <f>_xlfn.IFS(Table_13[[#This Row],[Month]]=1,"JAN",Table_13[[#This Row],[Month]]=2,"FEB",B2053=3,"MAR",B2053=4,"APR",B2053=5,"MAY",B2053=6,"JUN",B2053=7,"JUL",B2053=8,"AUG",Table_13[[#This Row],[Month]]=9,"SEPT",B2053=10,"OCT",B2053=11,"NOV",B2053=12,"DEC")</f>
        <v>SEPT</v>
      </c>
      <c r="D2053" s="2" t="s">
        <v>25</v>
      </c>
      <c r="E2053" s="2" t="s">
        <v>12</v>
      </c>
      <c r="F2053" s="2" t="s">
        <v>13</v>
      </c>
      <c r="G2053" s="2" t="s">
        <v>14</v>
      </c>
      <c r="H2053" s="2" t="s">
        <v>41</v>
      </c>
      <c r="I2053" s="2" t="s">
        <v>22</v>
      </c>
      <c r="J2053" s="15">
        <v>220000</v>
      </c>
      <c r="K2053" s="2">
        <v>6</v>
      </c>
      <c r="L2053" s="2" t="s">
        <v>37</v>
      </c>
      <c r="M2053" s="12">
        <f t="shared" si="72"/>
        <v>176000</v>
      </c>
      <c r="N2053" s="10">
        <f>PRODUCT(Table_13[[#This Row],[Unit Price]],Table_13[[#This Row],[Quantity]])</f>
        <v>1320000</v>
      </c>
      <c r="O2053" s="16">
        <f>PRODUCT(Table_13[[#This Row],[Cost Price]],Table_13[[#This Row],[Quantity]])</f>
        <v>1056000</v>
      </c>
      <c r="P2053" s="27">
        <f t="shared" si="74"/>
        <v>264000</v>
      </c>
    </row>
    <row r="2054" spans="1:16" x14ac:dyDescent="0.2">
      <c r="A2054" s="33">
        <v>47728</v>
      </c>
      <c r="B2054" s="30">
        <f t="shared" si="73"/>
        <v>9</v>
      </c>
      <c r="C2054" s="30" t="str">
        <f>_xlfn.IFS(Table_13[[#This Row],[Month]]=1,"JAN",Table_13[[#This Row],[Month]]=2,"FEB",B2054=3,"MAR",B2054=4,"APR",B2054=5,"MAY",B2054=6,"JUN",B2054=7,"JUL",B2054=8,"AUG",Table_13[[#This Row],[Month]]=9,"SEPT",B2054=10,"OCT",B2054=11,"NOV",B2054=12,"DEC")</f>
        <v>SEPT</v>
      </c>
      <c r="D2054" s="2" t="s">
        <v>18</v>
      </c>
      <c r="E2054" s="2" t="s">
        <v>26</v>
      </c>
      <c r="F2054" s="2" t="s">
        <v>13</v>
      </c>
      <c r="G2054" s="2" t="s">
        <v>20</v>
      </c>
      <c r="H2054" s="2" t="s">
        <v>34</v>
      </c>
      <c r="I2054" s="2" t="s">
        <v>16</v>
      </c>
      <c r="J2054" s="15">
        <v>320000</v>
      </c>
      <c r="K2054" s="2">
        <v>9</v>
      </c>
      <c r="L2054" s="2" t="s">
        <v>35</v>
      </c>
      <c r="M2054" s="12">
        <f t="shared" si="72"/>
        <v>256000</v>
      </c>
      <c r="N2054" s="10">
        <f>PRODUCT(Table_13[[#This Row],[Unit Price]],Table_13[[#This Row],[Quantity]])</f>
        <v>2880000</v>
      </c>
      <c r="O2054" s="16">
        <f>PRODUCT(Table_13[[#This Row],[Cost Price]],Table_13[[#This Row],[Quantity]])</f>
        <v>2304000</v>
      </c>
      <c r="P2054" s="27">
        <f t="shared" si="74"/>
        <v>576000</v>
      </c>
    </row>
    <row r="2055" spans="1:16" x14ac:dyDescent="0.2">
      <c r="A2055" s="33">
        <v>47729</v>
      </c>
      <c r="B2055" s="30">
        <f t="shared" si="73"/>
        <v>9</v>
      </c>
      <c r="C2055" s="30" t="str">
        <f>_xlfn.IFS(Table_13[[#This Row],[Month]]=1,"JAN",Table_13[[#This Row],[Month]]=2,"FEB",B2055=3,"MAR",B2055=4,"APR",B2055=5,"MAY",B2055=6,"JUN",B2055=7,"JUL",B2055=8,"AUG",Table_13[[#This Row],[Month]]=9,"SEPT",B2055=10,"OCT",B2055=11,"NOV",B2055=12,"DEC")</f>
        <v>SEPT</v>
      </c>
      <c r="D2055" s="2" t="s">
        <v>25</v>
      </c>
      <c r="E2055" s="2" t="s">
        <v>26</v>
      </c>
      <c r="F2055" s="2" t="s">
        <v>13</v>
      </c>
      <c r="G2055" s="2" t="s">
        <v>20</v>
      </c>
      <c r="H2055" s="2" t="s">
        <v>38</v>
      </c>
      <c r="I2055" s="2" t="s">
        <v>31</v>
      </c>
      <c r="J2055" s="15">
        <v>420000</v>
      </c>
      <c r="K2055" s="2">
        <v>3</v>
      </c>
      <c r="L2055" s="2" t="s">
        <v>24</v>
      </c>
      <c r="M2055" s="12">
        <f t="shared" si="72"/>
        <v>336000</v>
      </c>
      <c r="N2055" s="10">
        <f>PRODUCT(Table_13[[#This Row],[Unit Price]],Table_13[[#This Row],[Quantity]])</f>
        <v>1260000</v>
      </c>
      <c r="O2055" s="16">
        <f>PRODUCT(Table_13[[#This Row],[Cost Price]],Table_13[[#This Row],[Quantity]])</f>
        <v>1008000</v>
      </c>
      <c r="P2055" s="27">
        <f t="shared" si="74"/>
        <v>252000</v>
      </c>
    </row>
    <row r="2056" spans="1:16" x14ac:dyDescent="0.2">
      <c r="A2056" s="33">
        <v>47730</v>
      </c>
      <c r="B2056" s="30">
        <f t="shared" si="73"/>
        <v>9</v>
      </c>
      <c r="C2056" s="30" t="str">
        <f>_xlfn.IFS(Table_13[[#This Row],[Month]]=1,"JAN",Table_13[[#This Row],[Month]]=2,"FEB",B2056=3,"MAR",B2056=4,"APR",B2056=5,"MAY",B2056=6,"JUN",B2056=7,"JUL",B2056=8,"AUG",Table_13[[#This Row],[Month]]=9,"SEPT",B2056=10,"OCT",B2056=11,"NOV",B2056=12,"DEC")</f>
        <v>SEPT</v>
      </c>
      <c r="D2056" s="2" t="s">
        <v>18</v>
      </c>
      <c r="E2056" s="2" t="s">
        <v>32</v>
      </c>
      <c r="F2056" s="2" t="s">
        <v>23</v>
      </c>
      <c r="G2056" s="2" t="s">
        <v>20</v>
      </c>
      <c r="H2056" s="2" t="s">
        <v>33</v>
      </c>
      <c r="I2056" s="2" t="s">
        <v>22</v>
      </c>
      <c r="J2056" s="15">
        <v>180000</v>
      </c>
      <c r="K2056" s="2">
        <v>9</v>
      </c>
      <c r="L2056" s="2" t="s">
        <v>17</v>
      </c>
      <c r="M2056" s="12">
        <f t="shared" si="72"/>
        <v>144000</v>
      </c>
      <c r="N2056" s="10">
        <f>PRODUCT(Table_13[[#This Row],[Unit Price]],Table_13[[#This Row],[Quantity]])</f>
        <v>1620000</v>
      </c>
      <c r="O2056" s="16">
        <f>PRODUCT(Table_13[[#This Row],[Cost Price]],Table_13[[#This Row],[Quantity]])</f>
        <v>1296000</v>
      </c>
      <c r="P2056" s="27">
        <f t="shared" si="74"/>
        <v>324000</v>
      </c>
    </row>
    <row r="2057" spans="1:16" x14ac:dyDescent="0.2">
      <c r="A2057" s="33">
        <v>47731</v>
      </c>
      <c r="B2057" s="30">
        <f t="shared" si="73"/>
        <v>9</v>
      </c>
      <c r="C2057" s="30" t="str">
        <f>_xlfn.IFS(Table_13[[#This Row],[Month]]=1,"JAN",Table_13[[#This Row],[Month]]=2,"FEB",B2057=3,"MAR",B2057=4,"APR",B2057=5,"MAY",B2057=6,"JUN",B2057=7,"JUL",B2057=8,"AUG",Table_13[[#This Row],[Month]]=9,"SEPT",B2057=10,"OCT",B2057=11,"NOV",B2057=12,"DEC")</f>
        <v>SEPT</v>
      </c>
      <c r="D2057" s="2" t="s">
        <v>25</v>
      </c>
      <c r="E2057" s="2" t="s">
        <v>32</v>
      </c>
      <c r="F2057" s="2" t="s">
        <v>23</v>
      </c>
      <c r="G2057" s="2" t="s">
        <v>20</v>
      </c>
      <c r="H2057" s="2" t="s">
        <v>27</v>
      </c>
      <c r="I2057" s="2" t="s">
        <v>22</v>
      </c>
      <c r="J2057" s="15">
        <v>60000</v>
      </c>
      <c r="K2057" s="2">
        <v>1</v>
      </c>
      <c r="L2057" s="2" t="s">
        <v>17</v>
      </c>
      <c r="M2057" s="12">
        <f t="shared" si="72"/>
        <v>48000</v>
      </c>
      <c r="N2057" s="10">
        <f>PRODUCT(Table_13[[#This Row],[Unit Price]],Table_13[[#This Row],[Quantity]])</f>
        <v>60000</v>
      </c>
      <c r="O2057" s="16">
        <f>PRODUCT(Table_13[[#This Row],[Cost Price]],Table_13[[#This Row],[Quantity]])</f>
        <v>48000</v>
      </c>
      <c r="P2057" s="27">
        <f t="shared" si="74"/>
        <v>12000</v>
      </c>
    </row>
    <row r="2058" spans="1:16" x14ac:dyDescent="0.2">
      <c r="A2058" s="33">
        <v>47732</v>
      </c>
      <c r="B2058" s="30">
        <f t="shared" si="73"/>
        <v>9</v>
      </c>
      <c r="C2058" s="30" t="str">
        <f>_xlfn.IFS(Table_13[[#This Row],[Month]]=1,"JAN",Table_13[[#This Row],[Month]]=2,"FEB",B2058=3,"MAR",B2058=4,"APR",B2058=5,"MAY",B2058=6,"JUN",B2058=7,"JUL",B2058=8,"AUG",Table_13[[#This Row],[Month]]=9,"SEPT",B2058=10,"OCT",B2058=11,"NOV",B2058=12,"DEC")</f>
        <v>SEPT</v>
      </c>
      <c r="D2058" s="2" t="s">
        <v>11</v>
      </c>
      <c r="E2058" s="2" t="s">
        <v>26</v>
      </c>
      <c r="F2058" s="2" t="s">
        <v>23</v>
      </c>
      <c r="G2058" s="2" t="s">
        <v>20</v>
      </c>
      <c r="H2058" s="2" t="s">
        <v>40</v>
      </c>
      <c r="I2058" s="2" t="s">
        <v>31</v>
      </c>
      <c r="J2058" s="15">
        <v>250000</v>
      </c>
      <c r="K2058" s="2">
        <v>5</v>
      </c>
      <c r="L2058" s="2" t="s">
        <v>35</v>
      </c>
      <c r="M2058" s="12">
        <f t="shared" si="72"/>
        <v>200000</v>
      </c>
      <c r="N2058" s="10">
        <f>PRODUCT(Table_13[[#This Row],[Unit Price]],Table_13[[#This Row],[Quantity]])</f>
        <v>1250000</v>
      </c>
      <c r="O2058" s="16">
        <f>PRODUCT(Table_13[[#This Row],[Cost Price]],Table_13[[#This Row],[Quantity]])</f>
        <v>1000000</v>
      </c>
      <c r="P2058" s="27">
        <f t="shared" si="74"/>
        <v>250000</v>
      </c>
    </row>
    <row r="2059" spans="1:16" x14ac:dyDescent="0.2">
      <c r="A2059" s="33">
        <v>47733</v>
      </c>
      <c r="B2059" s="30">
        <f t="shared" si="73"/>
        <v>9</v>
      </c>
      <c r="C2059" s="30" t="str">
        <f>_xlfn.IFS(Table_13[[#This Row],[Month]]=1,"JAN",Table_13[[#This Row],[Month]]=2,"FEB",B2059=3,"MAR",B2059=4,"APR",B2059=5,"MAY",B2059=6,"JUN",B2059=7,"JUL",B2059=8,"AUG",Table_13[[#This Row],[Month]]=9,"SEPT",B2059=10,"OCT",B2059=11,"NOV",B2059=12,"DEC")</f>
        <v>SEPT</v>
      </c>
      <c r="D2059" s="2" t="s">
        <v>11</v>
      </c>
      <c r="E2059" s="2" t="s">
        <v>12</v>
      </c>
      <c r="F2059" s="2" t="s">
        <v>23</v>
      </c>
      <c r="G2059" s="2" t="s">
        <v>20</v>
      </c>
      <c r="H2059" s="2" t="s">
        <v>21</v>
      </c>
      <c r="I2059" s="2" t="s">
        <v>22</v>
      </c>
      <c r="J2059" s="15">
        <v>30000</v>
      </c>
      <c r="K2059" s="2">
        <v>8</v>
      </c>
      <c r="L2059" s="2" t="s">
        <v>17</v>
      </c>
      <c r="M2059" s="12">
        <f t="shared" si="72"/>
        <v>24000</v>
      </c>
      <c r="N2059" s="10">
        <f>PRODUCT(Table_13[[#This Row],[Unit Price]],Table_13[[#This Row],[Quantity]])</f>
        <v>240000</v>
      </c>
      <c r="O2059" s="16">
        <f>PRODUCT(Table_13[[#This Row],[Cost Price]],Table_13[[#This Row],[Quantity]])</f>
        <v>192000</v>
      </c>
      <c r="P2059" s="27">
        <f t="shared" si="74"/>
        <v>48000</v>
      </c>
    </row>
    <row r="2060" spans="1:16" x14ac:dyDescent="0.2">
      <c r="A2060" s="33">
        <v>47734</v>
      </c>
      <c r="B2060" s="30">
        <f t="shared" si="73"/>
        <v>9</v>
      </c>
      <c r="C2060" s="30" t="str">
        <f>_xlfn.IFS(Table_13[[#This Row],[Month]]=1,"JAN",Table_13[[#This Row],[Month]]=2,"FEB",B2060=3,"MAR",B2060=4,"APR",B2060=5,"MAY",B2060=6,"JUN",B2060=7,"JUL",B2060=8,"AUG",Table_13[[#This Row],[Month]]=9,"SEPT",B2060=10,"OCT",B2060=11,"NOV",B2060=12,"DEC")</f>
        <v>SEPT</v>
      </c>
      <c r="D2060" s="2" t="s">
        <v>29</v>
      </c>
      <c r="E2060" s="2" t="s">
        <v>12</v>
      </c>
      <c r="F2060" s="2" t="s">
        <v>13</v>
      </c>
      <c r="G2060" s="2" t="s">
        <v>14</v>
      </c>
      <c r="H2060" s="2" t="s">
        <v>33</v>
      </c>
      <c r="I2060" s="2" t="s">
        <v>22</v>
      </c>
      <c r="J2060" s="15">
        <v>180000</v>
      </c>
      <c r="K2060" s="2">
        <v>6</v>
      </c>
      <c r="L2060" s="2" t="s">
        <v>17</v>
      </c>
      <c r="M2060" s="12">
        <f t="shared" si="72"/>
        <v>144000</v>
      </c>
      <c r="N2060" s="10">
        <f>PRODUCT(Table_13[[#This Row],[Unit Price]],Table_13[[#This Row],[Quantity]])</f>
        <v>1080000</v>
      </c>
      <c r="O2060" s="16">
        <f>PRODUCT(Table_13[[#This Row],[Cost Price]],Table_13[[#This Row],[Quantity]])</f>
        <v>864000</v>
      </c>
      <c r="P2060" s="27">
        <f t="shared" si="74"/>
        <v>216000</v>
      </c>
    </row>
    <row r="2061" spans="1:16" x14ac:dyDescent="0.2">
      <c r="A2061" s="33">
        <v>47735</v>
      </c>
      <c r="B2061" s="30">
        <f t="shared" si="73"/>
        <v>9</v>
      </c>
      <c r="C2061" s="30" t="str">
        <f>_xlfn.IFS(Table_13[[#This Row],[Month]]=1,"JAN",Table_13[[#This Row],[Month]]=2,"FEB",B2061=3,"MAR",B2061=4,"APR",B2061=5,"MAY",B2061=6,"JUN",B2061=7,"JUL",B2061=8,"AUG",Table_13[[#This Row],[Month]]=9,"SEPT",B2061=10,"OCT",B2061=11,"NOV",B2061=12,"DEC")</f>
        <v>SEPT</v>
      </c>
      <c r="D2061" s="2" t="s">
        <v>18</v>
      </c>
      <c r="E2061" s="2" t="s">
        <v>26</v>
      </c>
      <c r="F2061" s="2" t="s">
        <v>13</v>
      </c>
      <c r="G2061" s="2" t="s">
        <v>20</v>
      </c>
      <c r="H2061" s="2" t="s">
        <v>27</v>
      </c>
      <c r="I2061" s="2" t="s">
        <v>22</v>
      </c>
      <c r="J2061" s="15">
        <v>60000</v>
      </c>
      <c r="K2061" s="2">
        <v>1</v>
      </c>
      <c r="L2061" s="2" t="s">
        <v>28</v>
      </c>
      <c r="M2061" s="12">
        <f t="shared" si="72"/>
        <v>48000</v>
      </c>
      <c r="N2061" s="10">
        <f>PRODUCT(Table_13[[#This Row],[Unit Price]],Table_13[[#This Row],[Quantity]])</f>
        <v>60000</v>
      </c>
      <c r="O2061" s="16">
        <f>PRODUCT(Table_13[[#This Row],[Cost Price]],Table_13[[#This Row],[Quantity]])</f>
        <v>48000</v>
      </c>
      <c r="P2061" s="27">
        <f t="shared" si="74"/>
        <v>12000</v>
      </c>
    </row>
    <row r="2062" spans="1:16" x14ac:dyDescent="0.2">
      <c r="A2062" s="33">
        <v>47736</v>
      </c>
      <c r="B2062" s="30">
        <f t="shared" si="73"/>
        <v>9</v>
      </c>
      <c r="C2062" s="30" t="str">
        <f>_xlfn.IFS(Table_13[[#This Row],[Month]]=1,"JAN",Table_13[[#This Row],[Month]]=2,"FEB",B2062=3,"MAR",B2062=4,"APR",B2062=5,"MAY",B2062=6,"JUN",B2062=7,"JUL",B2062=8,"AUG",Table_13[[#This Row],[Month]]=9,"SEPT",B2062=10,"OCT",B2062=11,"NOV",B2062=12,"DEC")</f>
        <v>SEPT</v>
      </c>
      <c r="D2062" s="2" t="s">
        <v>18</v>
      </c>
      <c r="E2062" s="2" t="s">
        <v>26</v>
      </c>
      <c r="F2062" s="2" t="s">
        <v>13</v>
      </c>
      <c r="G2062" s="2" t="s">
        <v>14</v>
      </c>
      <c r="H2062" s="2" t="s">
        <v>36</v>
      </c>
      <c r="I2062" s="2" t="s">
        <v>31</v>
      </c>
      <c r="J2062" s="15">
        <v>150000</v>
      </c>
      <c r="K2062" s="2">
        <v>5</v>
      </c>
      <c r="L2062" s="2" t="s">
        <v>39</v>
      </c>
      <c r="M2062" s="12">
        <f t="shared" si="72"/>
        <v>120000</v>
      </c>
      <c r="N2062" s="10">
        <f>PRODUCT(Table_13[[#This Row],[Unit Price]],Table_13[[#This Row],[Quantity]])</f>
        <v>750000</v>
      </c>
      <c r="O2062" s="16">
        <f>PRODUCT(Table_13[[#This Row],[Cost Price]],Table_13[[#This Row],[Quantity]])</f>
        <v>600000</v>
      </c>
      <c r="P2062" s="27">
        <f t="shared" si="74"/>
        <v>150000</v>
      </c>
    </row>
    <row r="2063" spans="1:16" x14ac:dyDescent="0.2">
      <c r="A2063" s="33">
        <v>47737</v>
      </c>
      <c r="B2063" s="30">
        <f t="shared" si="73"/>
        <v>9</v>
      </c>
      <c r="C2063" s="30" t="str">
        <f>_xlfn.IFS(Table_13[[#This Row],[Month]]=1,"JAN",Table_13[[#This Row],[Month]]=2,"FEB",B2063=3,"MAR",B2063=4,"APR",B2063=5,"MAY",B2063=6,"JUN",B2063=7,"JUL",B2063=8,"AUG",Table_13[[#This Row],[Month]]=9,"SEPT",B2063=10,"OCT",B2063=11,"NOV",B2063=12,"DEC")</f>
        <v>SEPT</v>
      </c>
      <c r="D2063" s="2" t="s">
        <v>29</v>
      </c>
      <c r="E2063" s="2" t="s">
        <v>19</v>
      </c>
      <c r="F2063" s="2" t="s">
        <v>23</v>
      </c>
      <c r="G2063" s="2" t="s">
        <v>20</v>
      </c>
      <c r="H2063" s="2" t="s">
        <v>15</v>
      </c>
      <c r="I2063" s="2" t="s">
        <v>16</v>
      </c>
      <c r="J2063" s="15">
        <v>85000</v>
      </c>
      <c r="K2063" s="2">
        <v>1</v>
      </c>
      <c r="L2063" s="2" t="s">
        <v>39</v>
      </c>
      <c r="M2063" s="12">
        <f t="shared" si="72"/>
        <v>68000</v>
      </c>
      <c r="N2063" s="10">
        <f>PRODUCT(Table_13[[#This Row],[Unit Price]],Table_13[[#This Row],[Quantity]])</f>
        <v>85000</v>
      </c>
      <c r="O2063" s="16">
        <f>PRODUCT(Table_13[[#This Row],[Cost Price]],Table_13[[#This Row],[Quantity]])</f>
        <v>68000</v>
      </c>
      <c r="P2063" s="27">
        <f t="shared" si="74"/>
        <v>17000</v>
      </c>
    </row>
    <row r="2064" spans="1:16" x14ac:dyDescent="0.2">
      <c r="A2064" s="33">
        <v>47738</v>
      </c>
      <c r="B2064" s="30">
        <f t="shared" si="73"/>
        <v>9</v>
      </c>
      <c r="C2064" s="30" t="str">
        <f>_xlfn.IFS(Table_13[[#This Row],[Month]]=1,"JAN",Table_13[[#This Row],[Month]]=2,"FEB",B2064=3,"MAR",B2064=4,"APR",B2064=5,"MAY",B2064=6,"JUN",B2064=7,"JUL",B2064=8,"AUG",Table_13[[#This Row],[Month]]=9,"SEPT",B2064=10,"OCT",B2064=11,"NOV",B2064=12,"DEC")</f>
        <v>SEPT</v>
      </c>
      <c r="D2064" s="2" t="s">
        <v>25</v>
      </c>
      <c r="E2064" s="2" t="s">
        <v>19</v>
      </c>
      <c r="F2064" s="2" t="s">
        <v>23</v>
      </c>
      <c r="G2064" s="2" t="s">
        <v>20</v>
      </c>
      <c r="H2064" s="2" t="s">
        <v>36</v>
      </c>
      <c r="I2064" s="2" t="s">
        <v>31</v>
      </c>
      <c r="J2064" s="15">
        <v>150000</v>
      </c>
      <c r="K2064" s="2">
        <v>7</v>
      </c>
      <c r="L2064" s="2" t="s">
        <v>35</v>
      </c>
      <c r="M2064" s="12">
        <f t="shared" si="72"/>
        <v>120000</v>
      </c>
      <c r="N2064" s="10">
        <f>PRODUCT(Table_13[[#This Row],[Unit Price]],Table_13[[#This Row],[Quantity]])</f>
        <v>1050000</v>
      </c>
      <c r="O2064" s="16">
        <f>PRODUCT(Table_13[[#This Row],[Cost Price]],Table_13[[#This Row],[Quantity]])</f>
        <v>840000</v>
      </c>
      <c r="P2064" s="27">
        <f t="shared" si="74"/>
        <v>210000</v>
      </c>
    </row>
    <row r="2065" spans="1:16" x14ac:dyDescent="0.2">
      <c r="A2065" s="33">
        <v>47739</v>
      </c>
      <c r="B2065" s="30">
        <f t="shared" si="73"/>
        <v>9</v>
      </c>
      <c r="C2065" s="30" t="str">
        <f>_xlfn.IFS(Table_13[[#This Row],[Month]]=1,"JAN",Table_13[[#This Row],[Month]]=2,"FEB",B2065=3,"MAR",B2065=4,"APR",B2065=5,"MAY",B2065=6,"JUN",B2065=7,"JUL",B2065=8,"AUG",Table_13[[#This Row],[Month]]=9,"SEPT",B2065=10,"OCT",B2065=11,"NOV",B2065=12,"DEC")</f>
        <v>SEPT</v>
      </c>
      <c r="D2065" s="2" t="s">
        <v>29</v>
      </c>
      <c r="E2065" s="2" t="s">
        <v>26</v>
      </c>
      <c r="F2065" s="2" t="s">
        <v>23</v>
      </c>
      <c r="G2065" s="2" t="s">
        <v>20</v>
      </c>
      <c r="H2065" s="2" t="s">
        <v>33</v>
      </c>
      <c r="I2065" s="2" t="s">
        <v>22</v>
      </c>
      <c r="J2065" s="15">
        <v>180000</v>
      </c>
      <c r="K2065" s="2">
        <v>4</v>
      </c>
      <c r="L2065" s="2" t="s">
        <v>17</v>
      </c>
      <c r="M2065" s="12">
        <f t="shared" si="72"/>
        <v>144000</v>
      </c>
      <c r="N2065" s="10">
        <f>PRODUCT(Table_13[[#This Row],[Unit Price]],Table_13[[#This Row],[Quantity]])</f>
        <v>720000</v>
      </c>
      <c r="O2065" s="16">
        <f>PRODUCT(Table_13[[#This Row],[Cost Price]],Table_13[[#This Row],[Quantity]])</f>
        <v>576000</v>
      </c>
      <c r="P2065" s="27">
        <f t="shared" si="74"/>
        <v>144000</v>
      </c>
    </row>
    <row r="2066" spans="1:16" x14ac:dyDescent="0.2">
      <c r="A2066" s="33">
        <v>47740</v>
      </c>
      <c r="B2066" s="30">
        <f t="shared" si="73"/>
        <v>9</v>
      </c>
      <c r="C2066" s="30" t="str">
        <f>_xlfn.IFS(Table_13[[#This Row],[Month]]=1,"JAN",Table_13[[#This Row],[Month]]=2,"FEB",B2066=3,"MAR",B2066=4,"APR",B2066=5,"MAY",B2066=6,"JUN",B2066=7,"JUL",B2066=8,"AUG",Table_13[[#This Row],[Month]]=9,"SEPT",B2066=10,"OCT",B2066=11,"NOV",B2066=12,"DEC")</f>
        <v>SEPT</v>
      </c>
      <c r="D2066" s="2" t="s">
        <v>29</v>
      </c>
      <c r="E2066" s="2" t="s">
        <v>26</v>
      </c>
      <c r="F2066" s="2" t="s">
        <v>23</v>
      </c>
      <c r="G2066" s="2" t="s">
        <v>20</v>
      </c>
      <c r="H2066" s="2" t="s">
        <v>15</v>
      </c>
      <c r="I2066" s="2" t="s">
        <v>16</v>
      </c>
      <c r="J2066" s="15">
        <v>85000</v>
      </c>
      <c r="K2066" s="2">
        <v>8</v>
      </c>
      <c r="L2066" s="2" t="s">
        <v>17</v>
      </c>
      <c r="M2066" s="12">
        <f t="shared" si="72"/>
        <v>68000</v>
      </c>
      <c r="N2066" s="10">
        <f>PRODUCT(Table_13[[#This Row],[Unit Price]],Table_13[[#This Row],[Quantity]])</f>
        <v>680000</v>
      </c>
      <c r="O2066" s="16">
        <f>PRODUCT(Table_13[[#This Row],[Cost Price]],Table_13[[#This Row],[Quantity]])</f>
        <v>544000</v>
      </c>
      <c r="P2066" s="27">
        <f t="shared" si="74"/>
        <v>136000</v>
      </c>
    </row>
    <row r="2067" spans="1:16" x14ac:dyDescent="0.2">
      <c r="A2067" s="33">
        <v>47741</v>
      </c>
      <c r="B2067" s="30">
        <f t="shared" si="73"/>
        <v>9</v>
      </c>
      <c r="C2067" s="30" t="str">
        <f>_xlfn.IFS(Table_13[[#This Row],[Month]]=1,"JAN",Table_13[[#This Row],[Month]]=2,"FEB",B2067=3,"MAR",B2067=4,"APR",B2067=5,"MAY",B2067=6,"JUN",B2067=7,"JUL",B2067=8,"AUG",Table_13[[#This Row],[Month]]=9,"SEPT",B2067=10,"OCT",B2067=11,"NOV",B2067=12,"DEC")</f>
        <v>SEPT</v>
      </c>
      <c r="D2067" s="2" t="s">
        <v>29</v>
      </c>
      <c r="E2067" s="2" t="s">
        <v>32</v>
      </c>
      <c r="F2067" s="2" t="s">
        <v>23</v>
      </c>
      <c r="G2067" s="2" t="s">
        <v>20</v>
      </c>
      <c r="H2067" s="2" t="s">
        <v>34</v>
      </c>
      <c r="I2067" s="2" t="s">
        <v>16</v>
      </c>
      <c r="J2067" s="15">
        <v>320000</v>
      </c>
      <c r="K2067" s="2">
        <v>4</v>
      </c>
      <c r="L2067" s="2" t="s">
        <v>24</v>
      </c>
      <c r="M2067" s="12">
        <f t="shared" si="72"/>
        <v>256000</v>
      </c>
      <c r="N2067" s="10">
        <f>PRODUCT(Table_13[[#This Row],[Unit Price]],Table_13[[#This Row],[Quantity]])</f>
        <v>1280000</v>
      </c>
      <c r="O2067" s="16">
        <f>PRODUCT(Table_13[[#This Row],[Cost Price]],Table_13[[#This Row],[Quantity]])</f>
        <v>1024000</v>
      </c>
      <c r="P2067" s="27">
        <f t="shared" si="74"/>
        <v>256000</v>
      </c>
    </row>
    <row r="2068" spans="1:16" x14ac:dyDescent="0.2">
      <c r="A2068" s="33">
        <v>47742</v>
      </c>
      <c r="B2068" s="30">
        <f t="shared" si="73"/>
        <v>9</v>
      </c>
      <c r="C2068" s="30" t="str">
        <f>_xlfn.IFS(Table_13[[#This Row],[Month]]=1,"JAN",Table_13[[#This Row],[Month]]=2,"FEB",B2068=3,"MAR",B2068=4,"APR",B2068=5,"MAY",B2068=6,"JUN",B2068=7,"JUL",B2068=8,"AUG",Table_13[[#This Row],[Month]]=9,"SEPT",B2068=10,"OCT",B2068=11,"NOV",B2068=12,"DEC")</f>
        <v>SEPT</v>
      </c>
      <c r="D2068" s="2" t="s">
        <v>11</v>
      </c>
      <c r="E2068" s="2" t="s">
        <v>26</v>
      </c>
      <c r="F2068" s="2" t="s">
        <v>13</v>
      </c>
      <c r="G2068" s="2" t="s">
        <v>20</v>
      </c>
      <c r="H2068" s="2" t="s">
        <v>40</v>
      </c>
      <c r="I2068" s="2" t="s">
        <v>31</v>
      </c>
      <c r="J2068" s="15">
        <v>250000</v>
      </c>
      <c r="K2068" s="2">
        <v>6</v>
      </c>
      <c r="L2068" s="2" t="s">
        <v>35</v>
      </c>
      <c r="M2068" s="12">
        <f t="shared" si="72"/>
        <v>200000</v>
      </c>
      <c r="N2068" s="10">
        <f>PRODUCT(Table_13[[#This Row],[Unit Price]],Table_13[[#This Row],[Quantity]])</f>
        <v>1500000</v>
      </c>
      <c r="O2068" s="16">
        <f>PRODUCT(Table_13[[#This Row],[Cost Price]],Table_13[[#This Row],[Quantity]])</f>
        <v>1200000</v>
      </c>
      <c r="P2068" s="27">
        <f t="shared" si="74"/>
        <v>300000</v>
      </c>
    </row>
    <row r="2069" spans="1:16" x14ac:dyDescent="0.2">
      <c r="A2069" s="33">
        <v>47743</v>
      </c>
      <c r="B2069" s="30">
        <f t="shared" si="73"/>
        <v>9</v>
      </c>
      <c r="C2069" s="30" t="str">
        <f>_xlfn.IFS(Table_13[[#This Row],[Month]]=1,"JAN",Table_13[[#This Row],[Month]]=2,"FEB",B2069=3,"MAR",B2069=4,"APR",B2069=5,"MAY",B2069=6,"JUN",B2069=7,"JUL",B2069=8,"AUG",Table_13[[#This Row],[Month]]=9,"SEPT",B2069=10,"OCT",B2069=11,"NOV",B2069=12,"DEC")</f>
        <v>SEPT</v>
      </c>
      <c r="D2069" s="2" t="s">
        <v>11</v>
      </c>
      <c r="E2069" s="2" t="s">
        <v>26</v>
      </c>
      <c r="F2069" s="2" t="s">
        <v>13</v>
      </c>
      <c r="G2069" s="2" t="s">
        <v>20</v>
      </c>
      <c r="H2069" s="2" t="s">
        <v>41</v>
      </c>
      <c r="I2069" s="2" t="s">
        <v>22</v>
      </c>
      <c r="J2069" s="15">
        <v>220000</v>
      </c>
      <c r="K2069" s="2">
        <v>5</v>
      </c>
      <c r="L2069" s="2" t="s">
        <v>28</v>
      </c>
      <c r="M2069" s="12">
        <f t="shared" si="72"/>
        <v>176000</v>
      </c>
      <c r="N2069" s="10">
        <f>PRODUCT(Table_13[[#This Row],[Unit Price]],Table_13[[#This Row],[Quantity]])</f>
        <v>1100000</v>
      </c>
      <c r="O2069" s="16">
        <f>PRODUCT(Table_13[[#This Row],[Cost Price]],Table_13[[#This Row],[Quantity]])</f>
        <v>880000</v>
      </c>
      <c r="P2069" s="27">
        <f t="shared" si="74"/>
        <v>220000</v>
      </c>
    </row>
    <row r="2070" spans="1:16" x14ac:dyDescent="0.2">
      <c r="A2070" s="33">
        <v>47744</v>
      </c>
      <c r="B2070" s="30">
        <f t="shared" si="73"/>
        <v>9</v>
      </c>
      <c r="C2070" s="30" t="str">
        <f>_xlfn.IFS(Table_13[[#This Row],[Month]]=1,"JAN",Table_13[[#This Row],[Month]]=2,"FEB",B2070=3,"MAR",B2070=4,"APR",B2070=5,"MAY",B2070=6,"JUN",B2070=7,"JUL",B2070=8,"AUG",Table_13[[#This Row],[Month]]=9,"SEPT",B2070=10,"OCT",B2070=11,"NOV",B2070=12,"DEC")</f>
        <v>SEPT</v>
      </c>
      <c r="D2070" s="2" t="s">
        <v>25</v>
      </c>
      <c r="E2070" s="2" t="s">
        <v>19</v>
      </c>
      <c r="F2070" s="2" t="s">
        <v>23</v>
      </c>
      <c r="G2070" s="2" t="s">
        <v>20</v>
      </c>
      <c r="H2070" s="2" t="s">
        <v>30</v>
      </c>
      <c r="I2070" s="2" t="s">
        <v>31</v>
      </c>
      <c r="J2070" s="15">
        <v>300000</v>
      </c>
      <c r="K2070" s="2">
        <v>8</v>
      </c>
      <c r="L2070" s="2" t="s">
        <v>37</v>
      </c>
      <c r="M2070" s="12">
        <f t="shared" si="72"/>
        <v>240000</v>
      </c>
      <c r="N2070" s="10">
        <f>PRODUCT(Table_13[[#This Row],[Unit Price]],Table_13[[#This Row],[Quantity]])</f>
        <v>2400000</v>
      </c>
      <c r="O2070" s="16">
        <f>PRODUCT(Table_13[[#This Row],[Cost Price]],Table_13[[#This Row],[Quantity]])</f>
        <v>1920000</v>
      </c>
      <c r="P2070" s="27">
        <f t="shared" si="74"/>
        <v>480000</v>
      </c>
    </row>
    <row r="2071" spans="1:16" x14ac:dyDescent="0.2">
      <c r="A2071" s="33">
        <v>47745</v>
      </c>
      <c r="B2071" s="30">
        <f t="shared" si="73"/>
        <v>9</v>
      </c>
      <c r="C2071" s="30" t="str">
        <f>_xlfn.IFS(Table_13[[#This Row],[Month]]=1,"JAN",Table_13[[#This Row],[Month]]=2,"FEB",B2071=3,"MAR",B2071=4,"APR",B2071=5,"MAY",B2071=6,"JUN",B2071=7,"JUL",B2071=8,"AUG",Table_13[[#This Row],[Month]]=9,"SEPT",B2071=10,"OCT",B2071=11,"NOV",B2071=12,"DEC")</f>
        <v>SEPT</v>
      </c>
      <c r="D2071" s="2" t="s">
        <v>25</v>
      </c>
      <c r="E2071" s="2" t="s">
        <v>32</v>
      </c>
      <c r="F2071" s="2" t="s">
        <v>13</v>
      </c>
      <c r="G2071" s="2" t="s">
        <v>20</v>
      </c>
      <c r="H2071" s="2" t="s">
        <v>27</v>
      </c>
      <c r="I2071" s="2" t="s">
        <v>22</v>
      </c>
      <c r="J2071" s="15">
        <v>60000</v>
      </c>
      <c r="K2071" s="2">
        <v>10</v>
      </c>
      <c r="L2071" s="2" t="s">
        <v>28</v>
      </c>
      <c r="M2071" s="12">
        <f t="shared" si="72"/>
        <v>48000</v>
      </c>
      <c r="N2071" s="10">
        <f>PRODUCT(Table_13[[#This Row],[Unit Price]],Table_13[[#This Row],[Quantity]])</f>
        <v>600000</v>
      </c>
      <c r="O2071" s="16">
        <f>PRODUCT(Table_13[[#This Row],[Cost Price]],Table_13[[#This Row],[Quantity]])</f>
        <v>480000</v>
      </c>
      <c r="P2071" s="27">
        <f t="shared" si="74"/>
        <v>120000</v>
      </c>
    </row>
    <row r="2072" spans="1:16" x14ac:dyDescent="0.2">
      <c r="A2072" s="33">
        <v>47746</v>
      </c>
      <c r="B2072" s="30">
        <f t="shared" si="73"/>
        <v>9</v>
      </c>
      <c r="C2072" s="30" t="str">
        <f>_xlfn.IFS(Table_13[[#This Row],[Month]]=1,"JAN",Table_13[[#This Row],[Month]]=2,"FEB",B2072=3,"MAR",B2072=4,"APR",B2072=5,"MAY",B2072=6,"JUN",B2072=7,"JUL",B2072=8,"AUG",Table_13[[#This Row],[Month]]=9,"SEPT",B2072=10,"OCT",B2072=11,"NOV",B2072=12,"DEC")</f>
        <v>SEPT</v>
      </c>
      <c r="D2072" s="2" t="s">
        <v>25</v>
      </c>
      <c r="E2072" s="2" t="s">
        <v>19</v>
      </c>
      <c r="F2072" s="2" t="s">
        <v>13</v>
      </c>
      <c r="G2072" s="2" t="s">
        <v>20</v>
      </c>
      <c r="H2072" s="2" t="s">
        <v>33</v>
      </c>
      <c r="I2072" s="2" t="s">
        <v>22</v>
      </c>
      <c r="J2072" s="15">
        <v>180000</v>
      </c>
      <c r="K2072" s="2">
        <v>6</v>
      </c>
      <c r="L2072" s="2" t="s">
        <v>39</v>
      </c>
      <c r="M2072" s="12">
        <f t="shared" si="72"/>
        <v>144000</v>
      </c>
      <c r="N2072" s="10">
        <f>PRODUCT(Table_13[[#This Row],[Unit Price]],Table_13[[#This Row],[Quantity]])</f>
        <v>1080000</v>
      </c>
      <c r="O2072" s="16">
        <f>PRODUCT(Table_13[[#This Row],[Cost Price]],Table_13[[#This Row],[Quantity]])</f>
        <v>864000</v>
      </c>
      <c r="P2072" s="27">
        <f t="shared" si="74"/>
        <v>216000</v>
      </c>
    </row>
    <row r="2073" spans="1:16" x14ac:dyDescent="0.2">
      <c r="A2073" s="33">
        <v>47747</v>
      </c>
      <c r="B2073" s="30">
        <f t="shared" si="73"/>
        <v>9</v>
      </c>
      <c r="C2073" s="30" t="str">
        <f>_xlfn.IFS(Table_13[[#This Row],[Month]]=1,"JAN",Table_13[[#This Row],[Month]]=2,"FEB",B2073=3,"MAR",B2073=4,"APR",B2073=5,"MAY",B2073=6,"JUN",B2073=7,"JUL",B2073=8,"AUG",Table_13[[#This Row],[Month]]=9,"SEPT",B2073=10,"OCT",B2073=11,"NOV",B2073=12,"DEC")</f>
        <v>SEPT</v>
      </c>
      <c r="D2073" s="2" t="s">
        <v>25</v>
      </c>
      <c r="E2073" s="2" t="s">
        <v>26</v>
      </c>
      <c r="F2073" s="2" t="s">
        <v>23</v>
      </c>
      <c r="G2073" s="2" t="s">
        <v>20</v>
      </c>
      <c r="H2073" s="2" t="s">
        <v>27</v>
      </c>
      <c r="I2073" s="2" t="s">
        <v>22</v>
      </c>
      <c r="J2073" s="15">
        <v>60000</v>
      </c>
      <c r="K2073" s="2">
        <v>3</v>
      </c>
      <c r="L2073" s="2" t="s">
        <v>37</v>
      </c>
      <c r="M2073" s="12">
        <f t="shared" si="72"/>
        <v>48000</v>
      </c>
      <c r="N2073" s="10">
        <f>PRODUCT(Table_13[[#This Row],[Unit Price]],Table_13[[#This Row],[Quantity]])</f>
        <v>180000</v>
      </c>
      <c r="O2073" s="16">
        <f>PRODUCT(Table_13[[#This Row],[Cost Price]],Table_13[[#This Row],[Quantity]])</f>
        <v>144000</v>
      </c>
      <c r="P2073" s="27">
        <f t="shared" si="74"/>
        <v>36000</v>
      </c>
    </row>
    <row r="2074" spans="1:16" x14ac:dyDescent="0.2">
      <c r="A2074" s="33">
        <v>47748</v>
      </c>
      <c r="B2074" s="30">
        <f t="shared" si="73"/>
        <v>9</v>
      </c>
      <c r="C2074" s="30" t="str">
        <f>_xlfn.IFS(Table_13[[#This Row],[Month]]=1,"JAN",Table_13[[#This Row],[Month]]=2,"FEB",B2074=3,"MAR",B2074=4,"APR",B2074=5,"MAY",B2074=6,"JUN",B2074=7,"JUL",B2074=8,"AUG",Table_13[[#This Row],[Month]]=9,"SEPT",B2074=10,"OCT",B2074=11,"NOV",B2074=12,"DEC")</f>
        <v>SEPT</v>
      </c>
      <c r="D2074" s="2" t="s">
        <v>25</v>
      </c>
      <c r="E2074" s="2" t="s">
        <v>26</v>
      </c>
      <c r="F2074" s="2" t="s">
        <v>13</v>
      </c>
      <c r="G2074" s="2" t="s">
        <v>20</v>
      </c>
      <c r="H2074" s="2" t="s">
        <v>21</v>
      </c>
      <c r="I2074" s="2" t="s">
        <v>22</v>
      </c>
      <c r="J2074" s="15">
        <v>30000</v>
      </c>
      <c r="K2074" s="2">
        <v>4</v>
      </c>
      <c r="L2074" s="2" t="s">
        <v>24</v>
      </c>
      <c r="M2074" s="12">
        <f t="shared" si="72"/>
        <v>24000</v>
      </c>
      <c r="N2074" s="10">
        <f>PRODUCT(Table_13[[#This Row],[Unit Price]],Table_13[[#This Row],[Quantity]])</f>
        <v>120000</v>
      </c>
      <c r="O2074" s="16">
        <f>PRODUCT(Table_13[[#This Row],[Cost Price]],Table_13[[#This Row],[Quantity]])</f>
        <v>96000</v>
      </c>
      <c r="P2074" s="27">
        <f t="shared" si="74"/>
        <v>24000</v>
      </c>
    </row>
    <row r="2075" spans="1:16" x14ac:dyDescent="0.2">
      <c r="A2075" s="33">
        <v>47749</v>
      </c>
      <c r="B2075" s="30">
        <f t="shared" si="73"/>
        <v>9</v>
      </c>
      <c r="C2075" s="30" t="str">
        <f>_xlfn.IFS(Table_13[[#This Row],[Month]]=1,"JAN",Table_13[[#This Row],[Month]]=2,"FEB",B2075=3,"MAR",B2075=4,"APR",B2075=5,"MAY",B2075=6,"JUN",B2075=7,"JUL",B2075=8,"AUG",Table_13[[#This Row],[Month]]=9,"SEPT",B2075=10,"OCT",B2075=11,"NOV",B2075=12,"DEC")</f>
        <v>SEPT</v>
      </c>
      <c r="D2075" s="2" t="s">
        <v>18</v>
      </c>
      <c r="E2075" s="2" t="s">
        <v>12</v>
      </c>
      <c r="F2075" s="2" t="s">
        <v>23</v>
      </c>
      <c r="G2075" s="2" t="s">
        <v>20</v>
      </c>
      <c r="H2075" s="2" t="s">
        <v>27</v>
      </c>
      <c r="I2075" s="2" t="s">
        <v>22</v>
      </c>
      <c r="J2075" s="15">
        <v>60000</v>
      </c>
      <c r="K2075" s="2">
        <v>4</v>
      </c>
      <c r="L2075" s="2" t="s">
        <v>37</v>
      </c>
      <c r="M2075" s="12">
        <f t="shared" si="72"/>
        <v>48000</v>
      </c>
      <c r="N2075" s="10">
        <f>PRODUCT(Table_13[[#This Row],[Unit Price]],Table_13[[#This Row],[Quantity]])</f>
        <v>240000</v>
      </c>
      <c r="O2075" s="16">
        <f>PRODUCT(Table_13[[#This Row],[Cost Price]],Table_13[[#This Row],[Quantity]])</f>
        <v>192000</v>
      </c>
      <c r="P2075" s="27">
        <f t="shared" si="74"/>
        <v>48000</v>
      </c>
    </row>
    <row r="2076" spans="1:16" x14ac:dyDescent="0.2">
      <c r="A2076" s="33">
        <v>47750</v>
      </c>
      <c r="B2076" s="30">
        <f t="shared" si="73"/>
        <v>9</v>
      </c>
      <c r="C2076" s="30" t="str">
        <f>_xlfn.IFS(Table_13[[#This Row],[Month]]=1,"JAN",Table_13[[#This Row],[Month]]=2,"FEB",B2076=3,"MAR",B2076=4,"APR",B2076=5,"MAY",B2076=6,"JUN",B2076=7,"JUL",B2076=8,"AUG",Table_13[[#This Row],[Month]]=9,"SEPT",B2076=10,"OCT",B2076=11,"NOV",B2076=12,"DEC")</f>
        <v>SEPT</v>
      </c>
      <c r="D2076" s="2" t="s">
        <v>11</v>
      </c>
      <c r="E2076" s="2" t="s">
        <v>26</v>
      </c>
      <c r="F2076" s="2" t="s">
        <v>23</v>
      </c>
      <c r="G2076" s="2" t="s">
        <v>20</v>
      </c>
      <c r="H2076" s="2" t="s">
        <v>33</v>
      </c>
      <c r="I2076" s="2" t="s">
        <v>22</v>
      </c>
      <c r="J2076" s="15">
        <v>180000</v>
      </c>
      <c r="K2076" s="2">
        <v>5</v>
      </c>
      <c r="L2076" s="2" t="s">
        <v>28</v>
      </c>
      <c r="M2076" s="12">
        <f t="shared" si="72"/>
        <v>144000</v>
      </c>
      <c r="N2076" s="10">
        <f>PRODUCT(Table_13[[#This Row],[Unit Price]],Table_13[[#This Row],[Quantity]])</f>
        <v>900000</v>
      </c>
      <c r="O2076" s="16">
        <f>PRODUCT(Table_13[[#This Row],[Cost Price]],Table_13[[#This Row],[Quantity]])</f>
        <v>720000</v>
      </c>
      <c r="P2076" s="27">
        <f t="shared" si="74"/>
        <v>180000</v>
      </c>
    </row>
    <row r="2077" spans="1:16" x14ac:dyDescent="0.2">
      <c r="A2077" s="33">
        <v>47751</v>
      </c>
      <c r="B2077" s="30">
        <f t="shared" si="73"/>
        <v>9</v>
      </c>
      <c r="C2077" s="30" t="str">
        <f>_xlfn.IFS(Table_13[[#This Row],[Month]]=1,"JAN",Table_13[[#This Row],[Month]]=2,"FEB",B2077=3,"MAR",B2077=4,"APR",B2077=5,"MAY",B2077=6,"JUN",B2077=7,"JUL",B2077=8,"AUG",Table_13[[#This Row],[Month]]=9,"SEPT",B2077=10,"OCT",B2077=11,"NOV",B2077=12,"DEC")</f>
        <v>SEPT</v>
      </c>
      <c r="D2077" s="2" t="s">
        <v>29</v>
      </c>
      <c r="E2077" s="2" t="s">
        <v>12</v>
      </c>
      <c r="F2077" s="2" t="s">
        <v>13</v>
      </c>
      <c r="G2077" s="2" t="s">
        <v>20</v>
      </c>
      <c r="H2077" s="2" t="s">
        <v>15</v>
      </c>
      <c r="I2077" s="2" t="s">
        <v>16</v>
      </c>
      <c r="J2077" s="15">
        <v>85000</v>
      </c>
      <c r="K2077" s="2">
        <v>9</v>
      </c>
      <c r="L2077" s="2" t="s">
        <v>24</v>
      </c>
      <c r="M2077" s="12">
        <f t="shared" si="72"/>
        <v>68000</v>
      </c>
      <c r="N2077" s="10">
        <f>PRODUCT(Table_13[[#This Row],[Unit Price]],Table_13[[#This Row],[Quantity]])</f>
        <v>765000</v>
      </c>
      <c r="O2077" s="16">
        <f>PRODUCT(Table_13[[#This Row],[Cost Price]],Table_13[[#This Row],[Quantity]])</f>
        <v>612000</v>
      </c>
      <c r="P2077" s="27">
        <f t="shared" si="74"/>
        <v>153000</v>
      </c>
    </row>
    <row r="2078" spans="1:16" x14ac:dyDescent="0.2">
      <c r="A2078" s="33">
        <v>47752</v>
      </c>
      <c r="B2078" s="30">
        <f t="shared" si="73"/>
        <v>9</v>
      </c>
      <c r="C2078" s="30" t="str">
        <f>_xlfn.IFS(Table_13[[#This Row],[Month]]=1,"JAN",Table_13[[#This Row],[Month]]=2,"FEB",B2078=3,"MAR",B2078=4,"APR",B2078=5,"MAY",B2078=6,"JUN",B2078=7,"JUL",B2078=8,"AUG",Table_13[[#This Row],[Month]]=9,"SEPT",B2078=10,"OCT",B2078=11,"NOV",B2078=12,"DEC")</f>
        <v>SEPT</v>
      </c>
      <c r="D2078" s="2" t="s">
        <v>11</v>
      </c>
      <c r="E2078" s="2" t="s">
        <v>32</v>
      </c>
      <c r="F2078" s="2" t="s">
        <v>13</v>
      </c>
      <c r="G2078" s="2" t="s">
        <v>20</v>
      </c>
      <c r="H2078" s="2" t="s">
        <v>15</v>
      </c>
      <c r="I2078" s="2" t="s">
        <v>16</v>
      </c>
      <c r="J2078" s="15">
        <v>85000</v>
      </c>
      <c r="K2078" s="2">
        <v>9</v>
      </c>
      <c r="L2078" s="2" t="s">
        <v>37</v>
      </c>
      <c r="M2078" s="12">
        <f t="shared" si="72"/>
        <v>68000</v>
      </c>
      <c r="N2078" s="10">
        <f>PRODUCT(Table_13[[#This Row],[Unit Price]],Table_13[[#This Row],[Quantity]])</f>
        <v>765000</v>
      </c>
      <c r="O2078" s="16">
        <f>PRODUCT(Table_13[[#This Row],[Cost Price]],Table_13[[#This Row],[Quantity]])</f>
        <v>612000</v>
      </c>
      <c r="P2078" s="27">
        <f t="shared" si="74"/>
        <v>153000</v>
      </c>
    </row>
    <row r="2079" spans="1:16" x14ac:dyDescent="0.2">
      <c r="A2079" s="33">
        <v>47753</v>
      </c>
      <c r="B2079" s="30">
        <f t="shared" si="73"/>
        <v>9</v>
      </c>
      <c r="C2079" s="30" t="str">
        <f>_xlfn.IFS(Table_13[[#This Row],[Month]]=1,"JAN",Table_13[[#This Row],[Month]]=2,"FEB",B2079=3,"MAR",B2079=4,"APR",B2079=5,"MAY",B2079=6,"JUN",B2079=7,"JUL",B2079=8,"AUG",Table_13[[#This Row],[Month]]=9,"SEPT",B2079=10,"OCT",B2079=11,"NOV",B2079=12,"DEC")</f>
        <v>SEPT</v>
      </c>
      <c r="D2079" s="2" t="s">
        <v>29</v>
      </c>
      <c r="E2079" s="2" t="s">
        <v>12</v>
      </c>
      <c r="F2079" s="2" t="s">
        <v>23</v>
      </c>
      <c r="G2079" s="2" t="s">
        <v>20</v>
      </c>
      <c r="H2079" s="2" t="s">
        <v>33</v>
      </c>
      <c r="I2079" s="2" t="s">
        <v>22</v>
      </c>
      <c r="J2079" s="15">
        <v>180000</v>
      </c>
      <c r="K2079" s="2">
        <v>8</v>
      </c>
      <c r="L2079" s="2" t="s">
        <v>39</v>
      </c>
      <c r="M2079" s="12">
        <f t="shared" si="72"/>
        <v>144000</v>
      </c>
      <c r="N2079" s="10">
        <f>PRODUCT(Table_13[[#This Row],[Unit Price]],Table_13[[#This Row],[Quantity]])</f>
        <v>1440000</v>
      </c>
      <c r="O2079" s="16">
        <f>PRODUCT(Table_13[[#This Row],[Cost Price]],Table_13[[#This Row],[Quantity]])</f>
        <v>1152000</v>
      </c>
      <c r="P2079" s="27">
        <f t="shared" si="74"/>
        <v>288000</v>
      </c>
    </row>
    <row r="2080" spans="1:16" x14ac:dyDescent="0.2">
      <c r="A2080" s="33">
        <v>47754</v>
      </c>
      <c r="B2080" s="30">
        <f t="shared" si="73"/>
        <v>9</v>
      </c>
      <c r="C2080" s="30" t="str">
        <f>_xlfn.IFS(Table_13[[#This Row],[Month]]=1,"JAN",Table_13[[#This Row],[Month]]=2,"FEB",B2080=3,"MAR",B2080=4,"APR",B2080=5,"MAY",B2080=6,"JUN",B2080=7,"JUL",B2080=8,"AUG",Table_13[[#This Row],[Month]]=9,"SEPT",B2080=10,"OCT",B2080=11,"NOV",B2080=12,"DEC")</f>
        <v>SEPT</v>
      </c>
      <c r="D2080" s="2" t="s">
        <v>29</v>
      </c>
      <c r="E2080" s="2" t="s">
        <v>19</v>
      </c>
      <c r="F2080" s="2" t="s">
        <v>23</v>
      </c>
      <c r="G2080" s="2" t="s">
        <v>20</v>
      </c>
      <c r="H2080" s="2" t="s">
        <v>36</v>
      </c>
      <c r="I2080" s="2" t="s">
        <v>31</v>
      </c>
      <c r="J2080" s="15">
        <v>150000</v>
      </c>
      <c r="K2080" s="2">
        <v>2</v>
      </c>
      <c r="L2080" s="2" t="s">
        <v>39</v>
      </c>
      <c r="M2080" s="12">
        <f t="shared" si="72"/>
        <v>120000</v>
      </c>
      <c r="N2080" s="10">
        <f>PRODUCT(Table_13[[#This Row],[Unit Price]],Table_13[[#This Row],[Quantity]])</f>
        <v>300000</v>
      </c>
      <c r="O2080" s="16">
        <f>PRODUCT(Table_13[[#This Row],[Cost Price]],Table_13[[#This Row],[Quantity]])</f>
        <v>240000</v>
      </c>
      <c r="P2080" s="27">
        <f t="shared" si="74"/>
        <v>60000</v>
      </c>
    </row>
    <row r="2081" spans="1:16" x14ac:dyDescent="0.2">
      <c r="A2081" s="33">
        <v>47755</v>
      </c>
      <c r="B2081" s="30">
        <f t="shared" si="73"/>
        <v>9</v>
      </c>
      <c r="C2081" s="30" t="str">
        <f>_xlfn.IFS(Table_13[[#This Row],[Month]]=1,"JAN",Table_13[[#This Row],[Month]]=2,"FEB",B2081=3,"MAR",B2081=4,"APR",B2081=5,"MAY",B2081=6,"JUN",B2081=7,"JUL",B2081=8,"AUG",Table_13[[#This Row],[Month]]=9,"SEPT",B2081=10,"OCT",B2081=11,"NOV",B2081=12,"DEC")</f>
        <v>SEPT</v>
      </c>
      <c r="D2081" s="2" t="s">
        <v>18</v>
      </c>
      <c r="E2081" s="2" t="s">
        <v>26</v>
      </c>
      <c r="F2081" s="2" t="s">
        <v>23</v>
      </c>
      <c r="G2081" s="2" t="s">
        <v>20</v>
      </c>
      <c r="H2081" s="2" t="s">
        <v>21</v>
      </c>
      <c r="I2081" s="2" t="s">
        <v>22</v>
      </c>
      <c r="J2081" s="15">
        <v>30000</v>
      </c>
      <c r="K2081" s="2">
        <v>3</v>
      </c>
      <c r="L2081" s="2" t="s">
        <v>17</v>
      </c>
      <c r="M2081" s="12">
        <f t="shared" si="72"/>
        <v>24000</v>
      </c>
      <c r="N2081" s="10">
        <f>PRODUCT(Table_13[[#This Row],[Unit Price]],Table_13[[#This Row],[Quantity]])</f>
        <v>90000</v>
      </c>
      <c r="O2081" s="16">
        <f>PRODUCT(Table_13[[#This Row],[Cost Price]],Table_13[[#This Row],[Quantity]])</f>
        <v>72000</v>
      </c>
      <c r="P2081" s="27">
        <f t="shared" si="74"/>
        <v>18000</v>
      </c>
    </row>
    <row r="2082" spans="1:16" x14ac:dyDescent="0.2">
      <c r="A2082" s="33">
        <v>47756</v>
      </c>
      <c r="B2082" s="30">
        <f t="shared" si="73"/>
        <v>9</v>
      </c>
      <c r="C2082" s="30" t="str">
        <f>_xlfn.IFS(Table_13[[#This Row],[Month]]=1,"JAN",Table_13[[#This Row],[Month]]=2,"FEB",B2082=3,"MAR",B2082=4,"APR",B2082=5,"MAY",B2082=6,"JUN",B2082=7,"JUL",B2082=8,"AUG",Table_13[[#This Row],[Month]]=9,"SEPT",B2082=10,"OCT",B2082=11,"NOV",B2082=12,"DEC")</f>
        <v>SEPT</v>
      </c>
      <c r="D2082" s="2" t="s">
        <v>29</v>
      </c>
      <c r="E2082" s="2" t="s">
        <v>12</v>
      </c>
      <c r="F2082" s="2" t="s">
        <v>23</v>
      </c>
      <c r="G2082" s="2" t="s">
        <v>20</v>
      </c>
      <c r="H2082" s="2" t="s">
        <v>21</v>
      </c>
      <c r="I2082" s="2" t="s">
        <v>22</v>
      </c>
      <c r="J2082" s="15">
        <v>30000</v>
      </c>
      <c r="K2082" s="2">
        <v>5</v>
      </c>
      <c r="L2082" s="2" t="s">
        <v>24</v>
      </c>
      <c r="M2082" s="12">
        <f t="shared" si="72"/>
        <v>24000</v>
      </c>
      <c r="N2082" s="10">
        <f>PRODUCT(Table_13[[#This Row],[Unit Price]],Table_13[[#This Row],[Quantity]])</f>
        <v>150000</v>
      </c>
      <c r="O2082" s="16">
        <f>PRODUCT(Table_13[[#This Row],[Cost Price]],Table_13[[#This Row],[Quantity]])</f>
        <v>120000</v>
      </c>
      <c r="P2082" s="27">
        <f t="shared" si="74"/>
        <v>30000</v>
      </c>
    </row>
    <row r="2083" spans="1:16" x14ac:dyDescent="0.2">
      <c r="A2083" s="33">
        <v>47757</v>
      </c>
      <c r="B2083" s="30">
        <f t="shared" si="73"/>
        <v>10</v>
      </c>
      <c r="C2083" s="30" t="str">
        <f>_xlfn.IFS(Table_13[[#This Row],[Month]]=1,"JAN",Table_13[[#This Row],[Month]]=2,"FEB",B2083=3,"MAR",B2083=4,"APR",B2083=5,"MAY",B2083=6,"JUN",B2083=7,"JUL",B2083=8,"AUG",Table_13[[#This Row],[Month]]=9,"SEPT",B2083=10,"OCT",B2083=11,"NOV",B2083=12,"DEC")</f>
        <v>OCT</v>
      </c>
      <c r="D2083" s="2" t="s">
        <v>18</v>
      </c>
      <c r="E2083" s="2" t="s">
        <v>19</v>
      </c>
      <c r="F2083" s="2" t="s">
        <v>23</v>
      </c>
      <c r="G2083" s="2" t="s">
        <v>20</v>
      </c>
      <c r="H2083" s="2" t="s">
        <v>21</v>
      </c>
      <c r="I2083" s="2" t="s">
        <v>22</v>
      </c>
      <c r="J2083" s="15">
        <v>30000</v>
      </c>
      <c r="K2083" s="2">
        <v>7</v>
      </c>
      <c r="L2083" s="2" t="s">
        <v>39</v>
      </c>
      <c r="M2083" s="12">
        <f t="shared" si="72"/>
        <v>24000</v>
      </c>
      <c r="N2083" s="10">
        <f>PRODUCT(Table_13[[#This Row],[Unit Price]],Table_13[[#This Row],[Quantity]])</f>
        <v>210000</v>
      </c>
      <c r="O2083" s="16">
        <f>PRODUCT(Table_13[[#This Row],[Cost Price]],Table_13[[#This Row],[Quantity]])</f>
        <v>168000</v>
      </c>
      <c r="P2083" s="27">
        <f t="shared" si="74"/>
        <v>42000</v>
      </c>
    </row>
    <row r="2084" spans="1:16" x14ac:dyDescent="0.2">
      <c r="A2084" s="33">
        <v>47758</v>
      </c>
      <c r="B2084" s="30">
        <f t="shared" si="73"/>
        <v>10</v>
      </c>
      <c r="C2084" s="30" t="str">
        <f>_xlfn.IFS(Table_13[[#This Row],[Month]]=1,"JAN",Table_13[[#This Row],[Month]]=2,"FEB",B2084=3,"MAR",B2084=4,"APR",B2084=5,"MAY",B2084=6,"JUN",B2084=7,"JUL",B2084=8,"AUG",Table_13[[#This Row],[Month]]=9,"SEPT",B2084=10,"OCT",B2084=11,"NOV",B2084=12,"DEC")</f>
        <v>OCT</v>
      </c>
      <c r="D2084" s="2" t="s">
        <v>18</v>
      </c>
      <c r="E2084" s="2" t="s">
        <v>12</v>
      </c>
      <c r="F2084" s="2" t="s">
        <v>13</v>
      </c>
      <c r="G2084" s="2" t="s">
        <v>20</v>
      </c>
      <c r="H2084" s="2" t="s">
        <v>33</v>
      </c>
      <c r="I2084" s="2" t="s">
        <v>22</v>
      </c>
      <c r="J2084" s="15">
        <v>180000</v>
      </c>
      <c r="K2084" s="2">
        <v>4</v>
      </c>
      <c r="L2084" s="2" t="s">
        <v>17</v>
      </c>
      <c r="M2084" s="12">
        <f t="shared" si="72"/>
        <v>144000</v>
      </c>
      <c r="N2084" s="10">
        <f>PRODUCT(Table_13[[#This Row],[Unit Price]],Table_13[[#This Row],[Quantity]])</f>
        <v>720000</v>
      </c>
      <c r="O2084" s="16">
        <f>PRODUCT(Table_13[[#This Row],[Cost Price]],Table_13[[#This Row],[Quantity]])</f>
        <v>576000</v>
      </c>
      <c r="P2084" s="27">
        <f t="shared" si="74"/>
        <v>144000</v>
      </c>
    </row>
    <row r="2085" spans="1:16" x14ac:dyDescent="0.2">
      <c r="A2085" s="33">
        <v>47759</v>
      </c>
      <c r="B2085" s="30">
        <f t="shared" si="73"/>
        <v>10</v>
      </c>
      <c r="C2085" s="30" t="str">
        <f>_xlfn.IFS(Table_13[[#This Row],[Month]]=1,"JAN",Table_13[[#This Row],[Month]]=2,"FEB",B2085=3,"MAR",B2085=4,"APR",B2085=5,"MAY",B2085=6,"JUN",B2085=7,"JUL",B2085=8,"AUG",Table_13[[#This Row],[Month]]=9,"SEPT",B2085=10,"OCT",B2085=11,"NOV",B2085=12,"DEC")</f>
        <v>OCT</v>
      </c>
      <c r="D2085" s="2" t="s">
        <v>18</v>
      </c>
      <c r="E2085" s="2" t="s">
        <v>12</v>
      </c>
      <c r="F2085" s="2" t="s">
        <v>23</v>
      </c>
      <c r="G2085" s="2" t="s">
        <v>20</v>
      </c>
      <c r="H2085" s="2" t="s">
        <v>33</v>
      </c>
      <c r="I2085" s="2" t="s">
        <v>22</v>
      </c>
      <c r="J2085" s="15">
        <v>180000</v>
      </c>
      <c r="K2085" s="2">
        <v>1</v>
      </c>
      <c r="L2085" s="2" t="s">
        <v>35</v>
      </c>
      <c r="M2085" s="12">
        <f t="shared" si="72"/>
        <v>144000</v>
      </c>
      <c r="N2085" s="10">
        <f>PRODUCT(Table_13[[#This Row],[Unit Price]],Table_13[[#This Row],[Quantity]])</f>
        <v>180000</v>
      </c>
      <c r="O2085" s="16">
        <f>PRODUCT(Table_13[[#This Row],[Cost Price]],Table_13[[#This Row],[Quantity]])</f>
        <v>144000</v>
      </c>
      <c r="P2085" s="27">
        <f t="shared" si="74"/>
        <v>36000</v>
      </c>
    </row>
    <row r="2086" spans="1:16" x14ac:dyDescent="0.2">
      <c r="A2086" s="33">
        <v>47760</v>
      </c>
      <c r="B2086" s="30">
        <f t="shared" si="73"/>
        <v>10</v>
      </c>
      <c r="C2086" s="30" t="str">
        <f>_xlfn.IFS(Table_13[[#This Row],[Month]]=1,"JAN",Table_13[[#This Row],[Month]]=2,"FEB",B2086=3,"MAR",B2086=4,"APR",B2086=5,"MAY",B2086=6,"JUN",B2086=7,"JUL",B2086=8,"AUG",Table_13[[#This Row],[Month]]=9,"SEPT",B2086=10,"OCT",B2086=11,"NOV",B2086=12,"DEC")</f>
        <v>OCT</v>
      </c>
      <c r="D2086" s="2" t="s">
        <v>25</v>
      </c>
      <c r="E2086" s="2" t="s">
        <v>19</v>
      </c>
      <c r="F2086" s="2" t="s">
        <v>13</v>
      </c>
      <c r="G2086" s="2" t="s">
        <v>20</v>
      </c>
      <c r="H2086" s="2" t="s">
        <v>27</v>
      </c>
      <c r="I2086" s="2" t="s">
        <v>22</v>
      </c>
      <c r="J2086" s="15">
        <v>60000</v>
      </c>
      <c r="K2086" s="2">
        <v>10</v>
      </c>
      <c r="L2086" s="2" t="s">
        <v>37</v>
      </c>
      <c r="M2086" s="12">
        <f t="shared" si="72"/>
        <v>48000</v>
      </c>
      <c r="N2086" s="10">
        <f>PRODUCT(Table_13[[#This Row],[Unit Price]],Table_13[[#This Row],[Quantity]])</f>
        <v>600000</v>
      </c>
      <c r="O2086" s="16">
        <f>PRODUCT(Table_13[[#This Row],[Cost Price]],Table_13[[#This Row],[Quantity]])</f>
        <v>480000</v>
      </c>
      <c r="P2086" s="27">
        <f t="shared" si="74"/>
        <v>120000</v>
      </c>
    </row>
    <row r="2087" spans="1:16" x14ac:dyDescent="0.2">
      <c r="A2087" s="33">
        <v>47761</v>
      </c>
      <c r="B2087" s="30">
        <f t="shared" si="73"/>
        <v>10</v>
      </c>
      <c r="C2087" s="30" t="str">
        <f>_xlfn.IFS(Table_13[[#This Row],[Month]]=1,"JAN",Table_13[[#This Row],[Month]]=2,"FEB",B2087=3,"MAR",B2087=4,"APR",B2087=5,"MAY",B2087=6,"JUN",B2087=7,"JUL",B2087=8,"AUG",Table_13[[#This Row],[Month]]=9,"SEPT",B2087=10,"OCT",B2087=11,"NOV",B2087=12,"DEC")</f>
        <v>OCT</v>
      </c>
      <c r="D2087" s="2" t="s">
        <v>29</v>
      </c>
      <c r="E2087" s="2" t="s">
        <v>19</v>
      </c>
      <c r="F2087" s="2" t="s">
        <v>13</v>
      </c>
      <c r="G2087" s="2" t="s">
        <v>20</v>
      </c>
      <c r="H2087" s="2" t="s">
        <v>40</v>
      </c>
      <c r="I2087" s="2" t="s">
        <v>31</v>
      </c>
      <c r="J2087" s="15">
        <v>250000</v>
      </c>
      <c r="K2087" s="2">
        <v>8</v>
      </c>
      <c r="L2087" s="2" t="s">
        <v>28</v>
      </c>
      <c r="M2087" s="12">
        <f t="shared" si="72"/>
        <v>200000</v>
      </c>
      <c r="N2087" s="10">
        <f>PRODUCT(Table_13[[#This Row],[Unit Price]],Table_13[[#This Row],[Quantity]])</f>
        <v>2000000</v>
      </c>
      <c r="O2087" s="16">
        <f>PRODUCT(Table_13[[#This Row],[Cost Price]],Table_13[[#This Row],[Quantity]])</f>
        <v>1600000</v>
      </c>
      <c r="P2087" s="27">
        <f t="shared" si="74"/>
        <v>400000</v>
      </c>
    </row>
    <row r="2088" spans="1:16" x14ac:dyDescent="0.2">
      <c r="A2088" s="33">
        <v>47762</v>
      </c>
      <c r="B2088" s="30">
        <f t="shared" si="73"/>
        <v>10</v>
      </c>
      <c r="C2088" s="30" t="str">
        <f>_xlfn.IFS(Table_13[[#This Row],[Month]]=1,"JAN",Table_13[[#This Row],[Month]]=2,"FEB",B2088=3,"MAR",B2088=4,"APR",B2088=5,"MAY",B2088=6,"JUN",B2088=7,"JUL",B2088=8,"AUG",Table_13[[#This Row],[Month]]=9,"SEPT",B2088=10,"OCT",B2088=11,"NOV",B2088=12,"DEC")</f>
        <v>OCT</v>
      </c>
      <c r="D2088" s="2" t="s">
        <v>29</v>
      </c>
      <c r="E2088" s="2" t="s">
        <v>26</v>
      </c>
      <c r="F2088" s="2" t="s">
        <v>13</v>
      </c>
      <c r="G2088" s="2" t="s">
        <v>20</v>
      </c>
      <c r="H2088" s="2" t="s">
        <v>21</v>
      </c>
      <c r="I2088" s="2" t="s">
        <v>22</v>
      </c>
      <c r="J2088" s="15">
        <v>30000</v>
      </c>
      <c r="K2088" s="2">
        <v>8</v>
      </c>
      <c r="L2088" s="2" t="s">
        <v>37</v>
      </c>
      <c r="M2088" s="12">
        <f t="shared" si="72"/>
        <v>24000</v>
      </c>
      <c r="N2088" s="10">
        <f>PRODUCT(Table_13[[#This Row],[Unit Price]],Table_13[[#This Row],[Quantity]])</f>
        <v>240000</v>
      </c>
      <c r="O2088" s="16">
        <f>PRODUCT(Table_13[[#This Row],[Cost Price]],Table_13[[#This Row],[Quantity]])</f>
        <v>192000</v>
      </c>
      <c r="P2088" s="27">
        <f t="shared" si="74"/>
        <v>48000</v>
      </c>
    </row>
    <row r="2089" spans="1:16" x14ac:dyDescent="0.2">
      <c r="A2089" s="33">
        <v>47763</v>
      </c>
      <c r="B2089" s="30">
        <f t="shared" si="73"/>
        <v>10</v>
      </c>
      <c r="C2089" s="30" t="str">
        <f>_xlfn.IFS(Table_13[[#This Row],[Month]]=1,"JAN",Table_13[[#This Row],[Month]]=2,"FEB",B2089=3,"MAR",B2089=4,"APR",B2089=5,"MAY",B2089=6,"JUN",B2089=7,"JUL",B2089=8,"AUG",Table_13[[#This Row],[Month]]=9,"SEPT",B2089=10,"OCT",B2089=11,"NOV",B2089=12,"DEC")</f>
        <v>OCT</v>
      </c>
      <c r="D2089" s="2" t="s">
        <v>29</v>
      </c>
      <c r="E2089" s="2" t="s">
        <v>12</v>
      </c>
      <c r="F2089" s="2" t="s">
        <v>23</v>
      </c>
      <c r="G2089" s="2" t="s">
        <v>14</v>
      </c>
      <c r="H2089" s="2" t="s">
        <v>33</v>
      </c>
      <c r="I2089" s="2" t="s">
        <v>22</v>
      </c>
      <c r="J2089" s="15">
        <v>180000</v>
      </c>
      <c r="K2089" s="2">
        <v>4</v>
      </c>
      <c r="L2089" s="2" t="s">
        <v>28</v>
      </c>
      <c r="M2089" s="12">
        <f t="shared" si="72"/>
        <v>144000</v>
      </c>
      <c r="N2089" s="10">
        <f>PRODUCT(Table_13[[#This Row],[Unit Price]],Table_13[[#This Row],[Quantity]])</f>
        <v>720000</v>
      </c>
      <c r="O2089" s="16">
        <f>PRODUCT(Table_13[[#This Row],[Cost Price]],Table_13[[#This Row],[Quantity]])</f>
        <v>576000</v>
      </c>
      <c r="P2089" s="27">
        <f t="shared" si="74"/>
        <v>144000</v>
      </c>
    </row>
    <row r="2090" spans="1:16" x14ac:dyDescent="0.2">
      <c r="A2090" s="33">
        <v>47764</v>
      </c>
      <c r="B2090" s="30">
        <f t="shared" si="73"/>
        <v>10</v>
      </c>
      <c r="C2090" s="30" t="str">
        <f>_xlfn.IFS(Table_13[[#This Row],[Month]]=1,"JAN",Table_13[[#This Row],[Month]]=2,"FEB",B2090=3,"MAR",B2090=4,"APR",B2090=5,"MAY",B2090=6,"JUN",B2090=7,"JUL",B2090=8,"AUG",Table_13[[#This Row],[Month]]=9,"SEPT",B2090=10,"OCT",B2090=11,"NOV",B2090=12,"DEC")</f>
        <v>OCT</v>
      </c>
      <c r="D2090" s="2" t="s">
        <v>18</v>
      </c>
      <c r="E2090" s="2" t="s">
        <v>19</v>
      </c>
      <c r="F2090" s="2" t="s">
        <v>23</v>
      </c>
      <c r="G2090" s="2" t="s">
        <v>14</v>
      </c>
      <c r="H2090" s="2" t="s">
        <v>36</v>
      </c>
      <c r="I2090" s="2" t="s">
        <v>31</v>
      </c>
      <c r="J2090" s="15">
        <v>150000</v>
      </c>
      <c r="K2090" s="2">
        <v>1</v>
      </c>
      <c r="L2090" s="2" t="s">
        <v>28</v>
      </c>
      <c r="M2090" s="12">
        <f t="shared" si="72"/>
        <v>120000</v>
      </c>
      <c r="N2090" s="10">
        <f>PRODUCT(Table_13[[#This Row],[Unit Price]],Table_13[[#This Row],[Quantity]])</f>
        <v>150000</v>
      </c>
      <c r="O2090" s="16">
        <f>PRODUCT(Table_13[[#This Row],[Cost Price]],Table_13[[#This Row],[Quantity]])</f>
        <v>120000</v>
      </c>
      <c r="P2090" s="27">
        <f t="shared" si="74"/>
        <v>30000</v>
      </c>
    </row>
    <row r="2091" spans="1:16" x14ac:dyDescent="0.2">
      <c r="A2091" s="33">
        <v>47765</v>
      </c>
      <c r="B2091" s="30">
        <f t="shared" si="73"/>
        <v>10</v>
      </c>
      <c r="C2091" s="30" t="str">
        <f>_xlfn.IFS(Table_13[[#This Row],[Month]]=1,"JAN",Table_13[[#This Row],[Month]]=2,"FEB",B2091=3,"MAR",B2091=4,"APR",B2091=5,"MAY",B2091=6,"JUN",B2091=7,"JUL",B2091=8,"AUG",Table_13[[#This Row],[Month]]=9,"SEPT",B2091=10,"OCT",B2091=11,"NOV",B2091=12,"DEC")</f>
        <v>OCT</v>
      </c>
      <c r="D2091" s="2" t="s">
        <v>29</v>
      </c>
      <c r="E2091" s="2" t="s">
        <v>32</v>
      </c>
      <c r="F2091" s="2" t="s">
        <v>13</v>
      </c>
      <c r="G2091" s="2" t="s">
        <v>20</v>
      </c>
      <c r="H2091" s="2" t="s">
        <v>30</v>
      </c>
      <c r="I2091" s="2" t="s">
        <v>31</v>
      </c>
      <c r="J2091" s="15">
        <v>300000</v>
      </c>
      <c r="K2091" s="2">
        <v>3</v>
      </c>
      <c r="L2091" s="2" t="s">
        <v>17</v>
      </c>
      <c r="M2091" s="12">
        <f t="shared" si="72"/>
        <v>240000</v>
      </c>
      <c r="N2091" s="10">
        <f>PRODUCT(Table_13[[#This Row],[Unit Price]],Table_13[[#This Row],[Quantity]])</f>
        <v>900000</v>
      </c>
      <c r="O2091" s="16">
        <f>PRODUCT(Table_13[[#This Row],[Cost Price]],Table_13[[#This Row],[Quantity]])</f>
        <v>720000</v>
      </c>
      <c r="P2091" s="27">
        <f t="shared" si="74"/>
        <v>180000</v>
      </c>
    </row>
    <row r="2092" spans="1:16" x14ac:dyDescent="0.2">
      <c r="A2092" s="33">
        <v>47766</v>
      </c>
      <c r="B2092" s="30">
        <f t="shared" si="73"/>
        <v>10</v>
      </c>
      <c r="C2092" s="30" t="str">
        <f>_xlfn.IFS(Table_13[[#This Row],[Month]]=1,"JAN",Table_13[[#This Row],[Month]]=2,"FEB",B2092=3,"MAR",B2092=4,"APR",B2092=5,"MAY",B2092=6,"JUN",B2092=7,"JUL",B2092=8,"AUG",Table_13[[#This Row],[Month]]=9,"SEPT",B2092=10,"OCT",B2092=11,"NOV",B2092=12,"DEC")</f>
        <v>OCT</v>
      </c>
      <c r="D2092" s="2" t="s">
        <v>11</v>
      </c>
      <c r="E2092" s="2" t="s">
        <v>26</v>
      </c>
      <c r="F2092" s="2" t="s">
        <v>13</v>
      </c>
      <c r="G2092" s="2" t="s">
        <v>14</v>
      </c>
      <c r="H2092" s="2" t="s">
        <v>34</v>
      </c>
      <c r="I2092" s="2" t="s">
        <v>16</v>
      </c>
      <c r="J2092" s="15">
        <v>320000</v>
      </c>
      <c r="K2092" s="2">
        <v>5</v>
      </c>
      <c r="L2092" s="2" t="s">
        <v>17</v>
      </c>
      <c r="M2092" s="12">
        <f t="shared" si="72"/>
        <v>256000</v>
      </c>
      <c r="N2092" s="10">
        <f>PRODUCT(Table_13[[#This Row],[Unit Price]],Table_13[[#This Row],[Quantity]])</f>
        <v>1600000</v>
      </c>
      <c r="O2092" s="16">
        <f>PRODUCT(Table_13[[#This Row],[Cost Price]],Table_13[[#This Row],[Quantity]])</f>
        <v>1280000</v>
      </c>
      <c r="P2092" s="27">
        <f t="shared" si="74"/>
        <v>320000</v>
      </c>
    </row>
    <row r="2093" spans="1:16" x14ac:dyDescent="0.2">
      <c r="A2093" s="33">
        <v>47767</v>
      </c>
      <c r="B2093" s="30">
        <f t="shared" si="73"/>
        <v>10</v>
      </c>
      <c r="C2093" s="30" t="str">
        <f>_xlfn.IFS(Table_13[[#This Row],[Month]]=1,"JAN",Table_13[[#This Row],[Month]]=2,"FEB",B2093=3,"MAR",B2093=4,"APR",B2093=5,"MAY",B2093=6,"JUN",B2093=7,"JUL",B2093=8,"AUG",Table_13[[#This Row],[Month]]=9,"SEPT",B2093=10,"OCT",B2093=11,"NOV",B2093=12,"DEC")</f>
        <v>OCT</v>
      </c>
      <c r="D2093" s="2" t="s">
        <v>11</v>
      </c>
      <c r="E2093" s="2" t="s">
        <v>32</v>
      </c>
      <c r="F2093" s="2" t="s">
        <v>23</v>
      </c>
      <c r="G2093" s="2" t="s">
        <v>14</v>
      </c>
      <c r="H2093" s="2" t="s">
        <v>30</v>
      </c>
      <c r="I2093" s="2" t="s">
        <v>31</v>
      </c>
      <c r="J2093" s="15">
        <v>300000</v>
      </c>
      <c r="K2093" s="2">
        <v>1</v>
      </c>
      <c r="L2093" s="2" t="s">
        <v>24</v>
      </c>
      <c r="M2093" s="12">
        <f t="shared" si="72"/>
        <v>240000</v>
      </c>
      <c r="N2093" s="10">
        <f>PRODUCT(Table_13[[#This Row],[Unit Price]],Table_13[[#This Row],[Quantity]])</f>
        <v>300000</v>
      </c>
      <c r="O2093" s="16">
        <f>PRODUCT(Table_13[[#This Row],[Cost Price]],Table_13[[#This Row],[Quantity]])</f>
        <v>240000</v>
      </c>
      <c r="P2093" s="27">
        <f t="shared" si="74"/>
        <v>60000</v>
      </c>
    </row>
    <row r="2094" spans="1:16" x14ac:dyDescent="0.2">
      <c r="A2094" s="33">
        <v>47768</v>
      </c>
      <c r="B2094" s="30">
        <f t="shared" si="73"/>
        <v>10</v>
      </c>
      <c r="C2094" s="30" t="str">
        <f>_xlfn.IFS(Table_13[[#This Row],[Month]]=1,"JAN",Table_13[[#This Row],[Month]]=2,"FEB",B2094=3,"MAR",B2094=4,"APR",B2094=5,"MAY",B2094=6,"JUN",B2094=7,"JUL",B2094=8,"AUG",Table_13[[#This Row],[Month]]=9,"SEPT",B2094=10,"OCT",B2094=11,"NOV",B2094=12,"DEC")</f>
        <v>OCT</v>
      </c>
      <c r="D2094" s="2" t="s">
        <v>11</v>
      </c>
      <c r="E2094" s="2" t="s">
        <v>19</v>
      </c>
      <c r="F2094" s="2" t="s">
        <v>23</v>
      </c>
      <c r="G2094" s="2" t="s">
        <v>14</v>
      </c>
      <c r="H2094" s="2" t="s">
        <v>36</v>
      </c>
      <c r="I2094" s="2" t="s">
        <v>31</v>
      </c>
      <c r="J2094" s="15">
        <v>150000</v>
      </c>
      <c r="K2094" s="2">
        <v>4</v>
      </c>
      <c r="L2094" s="2" t="s">
        <v>28</v>
      </c>
      <c r="M2094" s="12">
        <f t="shared" si="72"/>
        <v>120000</v>
      </c>
      <c r="N2094" s="10">
        <f>PRODUCT(Table_13[[#This Row],[Unit Price]],Table_13[[#This Row],[Quantity]])</f>
        <v>600000</v>
      </c>
      <c r="O2094" s="16">
        <f>PRODUCT(Table_13[[#This Row],[Cost Price]],Table_13[[#This Row],[Quantity]])</f>
        <v>480000</v>
      </c>
      <c r="P2094" s="27">
        <f t="shared" si="74"/>
        <v>120000</v>
      </c>
    </row>
    <row r="2095" spans="1:16" x14ac:dyDescent="0.2">
      <c r="A2095" s="33">
        <v>47769</v>
      </c>
      <c r="B2095" s="30">
        <f t="shared" si="73"/>
        <v>10</v>
      </c>
      <c r="C2095" s="30" t="str">
        <f>_xlfn.IFS(Table_13[[#This Row],[Month]]=1,"JAN",Table_13[[#This Row],[Month]]=2,"FEB",B2095=3,"MAR",B2095=4,"APR",B2095=5,"MAY",B2095=6,"JUN",B2095=7,"JUL",B2095=8,"AUG",Table_13[[#This Row],[Month]]=9,"SEPT",B2095=10,"OCT",B2095=11,"NOV",B2095=12,"DEC")</f>
        <v>OCT</v>
      </c>
      <c r="D2095" s="2" t="s">
        <v>25</v>
      </c>
      <c r="E2095" s="2" t="s">
        <v>12</v>
      </c>
      <c r="F2095" s="2" t="s">
        <v>23</v>
      </c>
      <c r="G2095" s="2" t="s">
        <v>14</v>
      </c>
      <c r="H2095" s="2" t="s">
        <v>40</v>
      </c>
      <c r="I2095" s="2" t="s">
        <v>31</v>
      </c>
      <c r="J2095" s="15">
        <v>250000</v>
      </c>
      <c r="K2095" s="2">
        <v>2</v>
      </c>
      <c r="L2095" s="2" t="s">
        <v>35</v>
      </c>
      <c r="M2095" s="12">
        <f t="shared" si="72"/>
        <v>200000</v>
      </c>
      <c r="N2095" s="10">
        <f>PRODUCT(Table_13[[#This Row],[Unit Price]],Table_13[[#This Row],[Quantity]])</f>
        <v>500000</v>
      </c>
      <c r="O2095" s="16">
        <f>PRODUCT(Table_13[[#This Row],[Cost Price]],Table_13[[#This Row],[Quantity]])</f>
        <v>400000</v>
      </c>
      <c r="P2095" s="27">
        <f t="shared" si="74"/>
        <v>100000</v>
      </c>
    </row>
    <row r="2096" spans="1:16" x14ac:dyDescent="0.2">
      <c r="A2096" s="33">
        <v>47770</v>
      </c>
      <c r="B2096" s="30">
        <f t="shared" si="73"/>
        <v>10</v>
      </c>
      <c r="C2096" s="30" t="str">
        <f>_xlfn.IFS(Table_13[[#This Row],[Month]]=1,"JAN",Table_13[[#This Row],[Month]]=2,"FEB",B2096=3,"MAR",B2096=4,"APR",B2096=5,"MAY",B2096=6,"JUN",B2096=7,"JUL",B2096=8,"AUG",Table_13[[#This Row],[Month]]=9,"SEPT",B2096=10,"OCT",B2096=11,"NOV",B2096=12,"DEC")</f>
        <v>OCT</v>
      </c>
      <c r="D2096" s="2" t="s">
        <v>29</v>
      </c>
      <c r="E2096" s="2" t="s">
        <v>19</v>
      </c>
      <c r="F2096" s="2" t="s">
        <v>13</v>
      </c>
      <c r="G2096" s="2" t="s">
        <v>20</v>
      </c>
      <c r="H2096" s="2" t="s">
        <v>40</v>
      </c>
      <c r="I2096" s="2" t="s">
        <v>31</v>
      </c>
      <c r="J2096" s="15">
        <v>250000</v>
      </c>
      <c r="K2096" s="2">
        <v>10</v>
      </c>
      <c r="L2096" s="2" t="s">
        <v>37</v>
      </c>
      <c r="M2096" s="12">
        <f t="shared" si="72"/>
        <v>200000</v>
      </c>
      <c r="N2096" s="10">
        <f>PRODUCT(Table_13[[#This Row],[Unit Price]],Table_13[[#This Row],[Quantity]])</f>
        <v>2500000</v>
      </c>
      <c r="O2096" s="16">
        <f>PRODUCT(Table_13[[#This Row],[Cost Price]],Table_13[[#This Row],[Quantity]])</f>
        <v>2000000</v>
      </c>
      <c r="P2096" s="27">
        <f t="shared" si="74"/>
        <v>500000</v>
      </c>
    </row>
    <row r="2097" spans="1:16" x14ac:dyDescent="0.2">
      <c r="A2097" s="33">
        <v>47771</v>
      </c>
      <c r="B2097" s="30">
        <f t="shared" si="73"/>
        <v>10</v>
      </c>
      <c r="C2097" s="30" t="str">
        <f>_xlfn.IFS(Table_13[[#This Row],[Month]]=1,"JAN",Table_13[[#This Row],[Month]]=2,"FEB",B2097=3,"MAR",B2097=4,"APR",B2097=5,"MAY",B2097=6,"JUN",B2097=7,"JUL",B2097=8,"AUG",Table_13[[#This Row],[Month]]=9,"SEPT",B2097=10,"OCT",B2097=11,"NOV",B2097=12,"DEC")</f>
        <v>OCT</v>
      </c>
      <c r="D2097" s="2" t="s">
        <v>25</v>
      </c>
      <c r="E2097" s="2" t="s">
        <v>32</v>
      </c>
      <c r="F2097" s="2" t="s">
        <v>23</v>
      </c>
      <c r="G2097" s="2" t="s">
        <v>20</v>
      </c>
      <c r="H2097" s="2" t="s">
        <v>36</v>
      </c>
      <c r="I2097" s="2" t="s">
        <v>31</v>
      </c>
      <c r="J2097" s="15">
        <v>150000</v>
      </c>
      <c r="K2097" s="2">
        <v>2</v>
      </c>
      <c r="L2097" s="2" t="s">
        <v>17</v>
      </c>
      <c r="M2097" s="12">
        <f t="shared" si="72"/>
        <v>120000</v>
      </c>
      <c r="N2097" s="10">
        <f>PRODUCT(Table_13[[#This Row],[Unit Price]],Table_13[[#This Row],[Quantity]])</f>
        <v>300000</v>
      </c>
      <c r="O2097" s="16">
        <f>PRODUCT(Table_13[[#This Row],[Cost Price]],Table_13[[#This Row],[Quantity]])</f>
        <v>240000</v>
      </c>
      <c r="P2097" s="27">
        <f t="shared" si="74"/>
        <v>60000</v>
      </c>
    </row>
    <row r="2098" spans="1:16" x14ac:dyDescent="0.2">
      <c r="A2098" s="33">
        <v>47772</v>
      </c>
      <c r="B2098" s="30">
        <f t="shared" si="73"/>
        <v>10</v>
      </c>
      <c r="C2098" s="30" t="str">
        <f>_xlfn.IFS(Table_13[[#This Row],[Month]]=1,"JAN",Table_13[[#This Row],[Month]]=2,"FEB",B2098=3,"MAR",B2098=4,"APR",B2098=5,"MAY",B2098=6,"JUN",B2098=7,"JUL",B2098=8,"AUG",Table_13[[#This Row],[Month]]=9,"SEPT",B2098=10,"OCT",B2098=11,"NOV",B2098=12,"DEC")</f>
        <v>OCT</v>
      </c>
      <c r="D2098" s="2" t="s">
        <v>25</v>
      </c>
      <c r="E2098" s="2" t="s">
        <v>12</v>
      </c>
      <c r="F2098" s="2" t="s">
        <v>13</v>
      </c>
      <c r="G2098" s="2" t="s">
        <v>14</v>
      </c>
      <c r="H2098" s="2" t="s">
        <v>40</v>
      </c>
      <c r="I2098" s="2" t="s">
        <v>31</v>
      </c>
      <c r="J2098" s="15">
        <v>250000</v>
      </c>
      <c r="K2098" s="2">
        <v>9</v>
      </c>
      <c r="L2098" s="2" t="s">
        <v>35</v>
      </c>
      <c r="M2098" s="12">
        <f t="shared" si="72"/>
        <v>200000</v>
      </c>
      <c r="N2098" s="10">
        <f>PRODUCT(Table_13[[#This Row],[Unit Price]],Table_13[[#This Row],[Quantity]])</f>
        <v>2250000</v>
      </c>
      <c r="O2098" s="16">
        <f>PRODUCT(Table_13[[#This Row],[Cost Price]],Table_13[[#This Row],[Quantity]])</f>
        <v>1800000</v>
      </c>
      <c r="P2098" s="27">
        <f t="shared" si="74"/>
        <v>450000</v>
      </c>
    </row>
    <row r="2099" spans="1:16" x14ac:dyDescent="0.2">
      <c r="A2099" s="33">
        <v>47773</v>
      </c>
      <c r="B2099" s="30">
        <f t="shared" si="73"/>
        <v>10</v>
      </c>
      <c r="C2099" s="30" t="str">
        <f>_xlfn.IFS(Table_13[[#This Row],[Month]]=1,"JAN",Table_13[[#This Row],[Month]]=2,"FEB",B2099=3,"MAR",B2099=4,"APR",B2099=5,"MAY",B2099=6,"JUN",B2099=7,"JUL",B2099=8,"AUG",Table_13[[#This Row],[Month]]=9,"SEPT",B2099=10,"OCT",B2099=11,"NOV",B2099=12,"DEC")</f>
        <v>OCT</v>
      </c>
      <c r="D2099" s="2" t="s">
        <v>25</v>
      </c>
      <c r="E2099" s="2" t="s">
        <v>12</v>
      </c>
      <c r="F2099" s="2" t="s">
        <v>13</v>
      </c>
      <c r="G2099" s="2" t="s">
        <v>14</v>
      </c>
      <c r="H2099" s="2" t="s">
        <v>34</v>
      </c>
      <c r="I2099" s="2" t="s">
        <v>16</v>
      </c>
      <c r="J2099" s="15">
        <v>320000</v>
      </c>
      <c r="K2099" s="2">
        <v>4</v>
      </c>
      <c r="L2099" s="2" t="s">
        <v>24</v>
      </c>
      <c r="M2099" s="12">
        <f t="shared" si="72"/>
        <v>256000</v>
      </c>
      <c r="N2099" s="10">
        <f>PRODUCT(Table_13[[#This Row],[Unit Price]],Table_13[[#This Row],[Quantity]])</f>
        <v>1280000</v>
      </c>
      <c r="O2099" s="16">
        <f>PRODUCT(Table_13[[#This Row],[Cost Price]],Table_13[[#This Row],[Quantity]])</f>
        <v>1024000</v>
      </c>
      <c r="P2099" s="27">
        <f t="shared" si="74"/>
        <v>256000</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B1A79-E0ED-4E62-950A-5138D3D62336}">
  <sheetPr>
    <tabColor theme="9" tint="-0.499984740745262"/>
  </sheetPr>
  <dimension ref="A1:L50"/>
  <sheetViews>
    <sheetView topLeftCell="A75" workbookViewId="0">
      <selection activeCell="A57" sqref="A57"/>
    </sheetView>
  </sheetViews>
  <sheetFormatPr defaultRowHeight="15" x14ac:dyDescent="0.2"/>
  <cols>
    <col min="1" max="2" width="15.6015625" bestFit="1" customWidth="1"/>
    <col min="3" max="13" width="13.1796875" bestFit="1" customWidth="1"/>
    <col min="14" max="14" width="14.66015625" bestFit="1" customWidth="1"/>
  </cols>
  <sheetData>
    <row r="1" spans="1:2" ht="18.75" x14ac:dyDescent="0.25">
      <c r="A1" s="36" t="s">
        <v>54</v>
      </c>
      <c r="B1" s="37"/>
    </row>
    <row r="2" spans="1:2" x14ac:dyDescent="0.2">
      <c r="A2" s="4" t="s">
        <v>51</v>
      </c>
      <c r="B2" s="5" t="s">
        <v>45</v>
      </c>
    </row>
    <row r="3" spans="1:2" x14ac:dyDescent="0.2">
      <c r="A3" s="6" t="s">
        <v>33</v>
      </c>
      <c r="B3" s="21">
        <v>44964000</v>
      </c>
    </row>
    <row r="4" spans="1:2" x14ac:dyDescent="0.2">
      <c r="A4" s="7" t="s">
        <v>21</v>
      </c>
      <c r="B4" s="22">
        <v>6870000</v>
      </c>
    </row>
    <row r="5" spans="1:2" x14ac:dyDescent="0.2">
      <c r="A5" s="7" t="s">
        <v>30</v>
      </c>
      <c r="B5" s="22">
        <v>68640000</v>
      </c>
    </row>
    <row r="6" spans="1:2" x14ac:dyDescent="0.2">
      <c r="A6" s="7" t="s">
        <v>38</v>
      </c>
      <c r="B6" s="22">
        <v>105336000</v>
      </c>
    </row>
    <row r="7" spans="1:2" x14ac:dyDescent="0.2">
      <c r="A7" s="7" t="s">
        <v>27</v>
      </c>
      <c r="B7" s="22">
        <v>13416000</v>
      </c>
    </row>
    <row r="8" spans="1:2" x14ac:dyDescent="0.2">
      <c r="A8" s="7" t="s">
        <v>15</v>
      </c>
      <c r="B8" s="22">
        <v>18088000</v>
      </c>
    </row>
    <row r="9" spans="1:2" x14ac:dyDescent="0.2">
      <c r="A9" s="7" t="s">
        <v>36</v>
      </c>
      <c r="B9" s="22">
        <v>38850000</v>
      </c>
    </row>
    <row r="10" spans="1:2" x14ac:dyDescent="0.2">
      <c r="A10" s="7" t="s">
        <v>41</v>
      </c>
      <c r="B10" s="22">
        <v>48312000</v>
      </c>
    </row>
    <row r="11" spans="1:2" x14ac:dyDescent="0.2">
      <c r="A11" s="7" t="s">
        <v>40</v>
      </c>
      <c r="B11" s="22">
        <v>51950000</v>
      </c>
    </row>
    <row r="12" spans="1:2" x14ac:dyDescent="0.2">
      <c r="A12" s="7" t="s">
        <v>34</v>
      </c>
      <c r="B12" s="22">
        <v>69248000</v>
      </c>
    </row>
    <row r="13" spans="1:2" x14ac:dyDescent="0.2">
      <c r="A13" s="8" t="s">
        <v>44</v>
      </c>
      <c r="B13" s="23">
        <v>465674000</v>
      </c>
    </row>
    <row r="16" spans="1:2" ht="18.75" x14ac:dyDescent="0.25">
      <c r="A16" s="36" t="s">
        <v>53</v>
      </c>
      <c r="B16" s="37"/>
    </row>
    <row r="17" spans="1:12" x14ac:dyDescent="0.2">
      <c r="A17" s="4" t="s">
        <v>9</v>
      </c>
      <c r="B17" s="5" t="s">
        <v>46</v>
      </c>
    </row>
    <row r="18" spans="1:12" x14ac:dyDescent="0.2">
      <c r="A18" s="6" t="s">
        <v>37</v>
      </c>
      <c r="B18" s="24">
        <v>378035000</v>
      </c>
    </row>
    <row r="19" spans="1:12" x14ac:dyDescent="0.2">
      <c r="A19" s="7" t="s">
        <v>17</v>
      </c>
      <c r="B19" s="25">
        <v>371370000</v>
      </c>
    </row>
    <row r="20" spans="1:12" x14ac:dyDescent="0.2">
      <c r="A20" s="7" t="s">
        <v>24</v>
      </c>
      <c r="B20" s="25">
        <v>378660000</v>
      </c>
    </row>
    <row r="21" spans="1:12" x14ac:dyDescent="0.2">
      <c r="A21" s="7" t="s">
        <v>39</v>
      </c>
      <c r="B21" s="25">
        <v>367835000</v>
      </c>
    </row>
    <row r="22" spans="1:12" x14ac:dyDescent="0.2">
      <c r="A22" s="7" t="s">
        <v>28</v>
      </c>
      <c r="B22" s="25">
        <v>397665000</v>
      </c>
    </row>
    <row r="23" spans="1:12" x14ac:dyDescent="0.2">
      <c r="A23" s="7" t="s">
        <v>35</v>
      </c>
      <c r="B23" s="25">
        <v>434805000</v>
      </c>
    </row>
    <row r="24" spans="1:12" x14ac:dyDescent="0.2">
      <c r="A24" s="8" t="s">
        <v>44</v>
      </c>
      <c r="B24" s="26">
        <v>2328370000</v>
      </c>
    </row>
    <row r="25" spans="1:12" x14ac:dyDescent="0.2">
      <c r="L25">
        <f>GETPIVOTDATA("Revenue",$A$17)-GETPIVOTDATA("COGS",$A$28)</f>
        <v>465674000</v>
      </c>
    </row>
    <row r="27" spans="1:12" ht="18.75" x14ac:dyDescent="0.25">
      <c r="A27" s="36" t="s">
        <v>55</v>
      </c>
      <c r="B27" s="37"/>
    </row>
    <row r="28" spans="1:12" x14ac:dyDescent="0.2">
      <c r="A28" s="4" t="s">
        <v>50</v>
      </c>
      <c r="B28" s="5" t="s">
        <v>49</v>
      </c>
    </row>
    <row r="29" spans="1:12" x14ac:dyDescent="0.2">
      <c r="A29" s="6" t="s">
        <v>32</v>
      </c>
      <c r="B29" s="24">
        <v>423312000</v>
      </c>
    </row>
    <row r="30" spans="1:12" x14ac:dyDescent="0.2">
      <c r="A30" s="7" t="s">
        <v>26</v>
      </c>
      <c r="B30" s="25">
        <v>486788000</v>
      </c>
    </row>
    <row r="31" spans="1:12" x14ac:dyDescent="0.2">
      <c r="A31" s="7" t="s">
        <v>19</v>
      </c>
      <c r="B31" s="25">
        <v>493812000</v>
      </c>
    </row>
    <row r="32" spans="1:12" x14ac:dyDescent="0.2">
      <c r="A32" s="7" t="s">
        <v>12</v>
      </c>
      <c r="B32" s="25">
        <v>458784000</v>
      </c>
    </row>
    <row r="33" spans="1:2" x14ac:dyDescent="0.2">
      <c r="A33" s="8" t="s">
        <v>44</v>
      </c>
      <c r="B33" s="26">
        <v>1862696000</v>
      </c>
    </row>
    <row r="36" spans="1:2" ht="18.75" x14ac:dyDescent="0.25">
      <c r="A36" s="36" t="s">
        <v>56</v>
      </c>
      <c r="B36" s="37"/>
    </row>
    <row r="37" spans="1:2" x14ac:dyDescent="0.2">
      <c r="A37" s="4" t="s">
        <v>52</v>
      </c>
      <c r="B37" s="5" t="s">
        <v>46</v>
      </c>
    </row>
    <row r="38" spans="1:2" x14ac:dyDescent="0.2">
      <c r="A38" s="6" t="s">
        <v>59</v>
      </c>
      <c r="B38" s="18">
        <v>187065000</v>
      </c>
    </row>
    <row r="39" spans="1:2" x14ac:dyDescent="0.2">
      <c r="A39" s="7" t="s">
        <v>60</v>
      </c>
      <c r="B39" s="19">
        <v>205430000</v>
      </c>
    </row>
    <row r="40" spans="1:2" x14ac:dyDescent="0.2">
      <c r="A40" s="7" t="s">
        <v>61</v>
      </c>
      <c r="B40" s="19">
        <v>224260000</v>
      </c>
    </row>
    <row r="41" spans="1:2" x14ac:dyDescent="0.2">
      <c r="A41" s="7" t="s">
        <v>62</v>
      </c>
      <c r="B41" s="19">
        <v>220775000</v>
      </c>
    </row>
    <row r="42" spans="1:2" x14ac:dyDescent="0.2">
      <c r="A42" s="7" t="s">
        <v>63</v>
      </c>
      <c r="B42" s="19">
        <v>205310000</v>
      </c>
    </row>
    <row r="43" spans="1:2" x14ac:dyDescent="0.2">
      <c r="A43" s="7" t="s">
        <v>64</v>
      </c>
      <c r="B43" s="19">
        <v>178545000</v>
      </c>
    </row>
    <row r="44" spans="1:2" x14ac:dyDescent="0.2">
      <c r="A44" s="7" t="s">
        <v>65</v>
      </c>
      <c r="B44" s="19">
        <v>192555000</v>
      </c>
    </row>
    <row r="45" spans="1:2" x14ac:dyDescent="0.2">
      <c r="A45" s="7" t="s">
        <v>66</v>
      </c>
      <c r="B45" s="19">
        <v>214015000</v>
      </c>
    </row>
    <row r="46" spans="1:2" x14ac:dyDescent="0.2">
      <c r="A46" s="7" t="s">
        <v>68</v>
      </c>
      <c r="B46" s="19">
        <v>175055000</v>
      </c>
    </row>
    <row r="47" spans="1:2" x14ac:dyDescent="0.2">
      <c r="A47" s="7" t="s">
        <v>69</v>
      </c>
      <c r="B47" s="19">
        <v>152120000</v>
      </c>
    </row>
    <row r="48" spans="1:2" x14ac:dyDescent="0.2">
      <c r="A48" s="7" t="s">
        <v>70</v>
      </c>
      <c r="B48" s="19">
        <v>188190000</v>
      </c>
    </row>
    <row r="49" spans="1:2" x14ac:dyDescent="0.2">
      <c r="A49" s="7" t="s">
        <v>67</v>
      </c>
      <c r="B49" s="19">
        <v>185050000</v>
      </c>
    </row>
    <row r="50" spans="1:2" x14ac:dyDescent="0.2">
      <c r="A50" s="8" t="s">
        <v>44</v>
      </c>
      <c r="B50" s="20">
        <v>2328370000</v>
      </c>
    </row>
  </sheetData>
  <mergeCells count="4">
    <mergeCell ref="A16:B16"/>
    <mergeCell ref="A1:B1"/>
    <mergeCell ref="A27:B27"/>
    <mergeCell ref="A36:B36"/>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94C61-84BB-457D-A69F-55EE86D0DE8B}">
  <sheetPr>
    <tabColor theme="9" tint="-0.249977111117893"/>
  </sheetPr>
  <dimension ref="A15"/>
  <sheetViews>
    <sheetView tabSelected="1" zoomScale="85" zoomScaleNormal="85" workbookViewId="0">
      <selection sqref="A1:XFD1048576"/>
    </sheetView>
  </sheetViews>
  <sheetFormatPr defaultColWidth="9.14453125" defaultRowHeight="15" x14ac:dyDescent="0.2"/>
  <cols>
    <col min="1" max="15" width="9.14453125" style="35"/>
    <col min="16" max="16" width="20.04296875" style="35" customWidth="1"/>
    <col min="17" max="17" width="13.5859375" style="35" bestFit="1" customWidth="1"/>
    <col min="18" max="16384" width="9.14453125" style="35"/>
  </cols>
  <sheetData>
    <row r="15" ht="18.75" customHeight="1" x14ac:dyDescent="0.2"/>
  </sheetData>
  <mergeCells count="1">
    <mergeCell ref="A1:XFD1048576"/>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A57B930B-FB74-417B-951A-C3738D69E1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4</vt:i4>
      </vt:variant>
    </vt:vector>
  </HeadingPairs>
  <TitlesOfParts>
    <vt:vector size="4" baseType="lpstr">
      <vt:lpstr>Sales Data data set</vt:lpstr>
      <vt:lpstr>Cleaned_data</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Confidence EJIVIEJOR</cp:lastModifiedBy>
  <cp:lastPrinted>2026-04-02T17:39:39Z</cp:lastPrinted>
  <dcterms:created xsi:type="dcterms:W3CDTF">2025-11-23T21:32:00Z</dcterms:created>
  <dcterms:modified xsi:type="dcterms:W3CDTF">2026-04-11T14:34:04Z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